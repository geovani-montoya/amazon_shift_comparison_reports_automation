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70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geomonto\Desktop\priority  projects\icqa_shift_comparison_report_v2\"/>
    </mc:Choice>
  </mc:AlternateContent>
  <bookViews>
    <workbookView xWindow="0" yWindow="0" windowWidth="2450" windowHeight="360" tabRatio="910" firstSheet="21" activeTab="21"/>
  </bookViews>
  <sheets>
    <sheet name="1.19" sheetId="1" r:id="rId1"/>
    <sheet name="1.26" sheetId="3" r:id="rId2"/>
    <sheet name="2.2" sheetId="6" r:id="rId3"/>
    <sheet name="2.9" sheetId="7" r:id="rId4"/>
    <sheet name="2.16" sheetId="9" r:id="rId5"/>
    <sheet name="2.23" sheetId="10" r:id="rId6"/>
    <sheet name="3.1" sheetId="11" r:id="rId7"/>
    <sheet name="3.8" sheetId="12" r:id="rId8"/>
    <sheet name="4.26" sheetId="14" r:id="rId9"/>
    <sheet name="5.3" sheetId="15" r:id="rId10"/>
    <sheet name="5.10" sheetId="17" r:id="rId11"/>
    <sheet name="5.17" sheetId="18" r:id="rId12"/>
    <sheet name="5.24" sheetId="19" r:id="rId13"/>
    <sheet name="5.31" sheetId="20" r:id="rId14"/>
    <sheet name="6.7" sheetId="21" r:id="rId15"/>
    <sheet name="7.19" sheetId="22" r:id="rId16"/>
    <sheet name="7.26" sheetId="24" r:id="rId17"/>
    <sheet name="8.30" sheetId="27" r:id="rId18"/>
    <sheet name="9.13" sheetId="41" r:id="rId19"/>
    <sheet name="9.20" sheetId="43" r:id="rId20"/>
    <sheet name="9.27" sheetId="44" r:id="rId21"/>
    <sheet name="Report Generator" sheetId="35" r:id="rId22"/>
    <sheet name="ppr1" sheetId="45" state="hidden" r:id="rId23"/>
    <sheet name="pid1" sheetId="46" state="hidden" r:id="rId24"/>
    <sheet name="frr1" sheetId="47" state="hidden" r:id="rId25"/>
    <sheet name="ur1" sheetId="48" state="hidden" r:id="rId26"/>
    <sheet name="ppr2" sheetId="49" state="hidden" r:id="rId27"/>
    <sheet name="pid2" sheetId="50" state="hidden" r:id="rId28"/>
    <sheet name="frr2" sheetId="51" state="hidden" r:id="rId29"/>
    <sheet name="ur2" sheetId="52" state="hidden" r:id="rId30"/>
    <sheet name="ppr3" sheetId="53" state="hidden" r:id="rId31"/>
    <sheet name="pid3" sheetId="54" state="hidden" r:id="rId32"/>
    <sheet name="frr3" sheetId="55" state="hidden" r:id="rId33"/>
    <sheet name="ur3" sheetId="56" state="hidden" r:id="rId34"/>
    <sheet name="ppr4" sheetId="57" state="hidden" r:id="rId35"/>
    <sheet name="pid4" sheetId="58" state="hidden" r:id="rId36"/>
    <sheet name="frr4" sheetId="59" state="hidden" r:id="rId37"/>
    <sheet name="ur4" sheetId="60" state="hidden" r:id="rId38"/>
    <sheet name="ppr5" sheetId="61" state="hidden" r:id="rId39"/>
    <sheet name="pid5" sheetId="62" state="hidden" r:id="rId40"/>
    <sheet name="frr5" sheetId="63" state="hidden" r:id="rId41"/>
    <sheet name="ur5" sheetId="64" state="hidden" r:id="rId42"/>
    <sheet name="ppr6" sheetId="65" state="hidden" r:id="rId43"/>
    <sheet name="pid6" sheetId="66" state="hidden" r:id="rId44"/>
    <sheet name="frr6" sheetId="67" state="hidden" r:id="rId45"/>
    <sheet name="ur6" sheetId="68" state="hidden" r:id="rId46"/>
    <sheet name="ppr7" sheetId="69" state="hidden" r:id="rId47"/>
    <sheet name="pid7" sheetId="70" state="hidden" r:id="rId48"/>
    <sheet name="frr7" sheetId="71" state="hidden" r:id="rId49"/>
    <sheet name="ur7" sheetId="72" state="hidden" r:id="rId50"/>
  </sheets>
  <functionGroups builtInGroupCount="18"/>
  <definedNames>
    <definedName name="website1" localSheetId="24">'frr1'!$A$1:$A$289</definedName>
    <definedName name="website1" localSheetId="40">'frr5'!$A$1:$A$289</definedName>
    <definedName name="website1" localSheetId="23">'pid1'!$A$1:$A$18</definedName>
    <definedName name="website1" localSheetId="39">'pid5'!$A$1:$A$18</definedName>
    <definedName name="website1" localSheetId="22">'ppr1'!$A$1:$A$186</definedName>
    <definedName name="website1" localSheetId="38">'ppr5'!$A$1:$A$186</definedName>
    <definedName name="website1" localSheetId="25">'ur1'!$A$1:$A$188</definedName>
    <definedName name="website1" localSheetId="41">'ur5'!$A$1:$A$188</definedName>
    <definedName name="website1_1" localSheetId="24">'frr1'!$A$1:$A$289</definedName>
    <definedName name="website1_1" localSheetId="40">'frr5'!$A$1:$A$289</definedName>
    <definedName name="website1_1" localSheetId="23">'pid1'!$A$1:$A$18</definedName>
    <definedName name="website1_1" localSheetId="39">'pid5'!$A$1:$A$18</definedName>
    <definedName name="website1_1" localSheetId="22">'ppr1'!$A$1:$A$186</definedName>
    <definedName name="website1_1" localSheetId="38">'ppr5'!$A$1:$A$186</definedName>
    <definedName name="website1_1" localSheetId="25">'ur1'!$A$1:$A$188</definedName>
    <definedName name="website1_1" localSheetId="41">'ur5'!$A$1:$A$188</definedName>
    <definedName name="website1_2" localSheetId="40">'frr5'!$A$1:$A$289</definedName>
    <definedName name="website1_2" localSheetId="39">'pid5'!$A$1:$A$18</definedName>
    <definedName name="website1_2" localSheetId="38">'ppr5'!$A$1:$A$186</definedName>
    <definedName name="website1_2" localSheetId="41">'ur5'!$A$1:$A$188</definedName>
    <definedName name="website1_3" localSheetId="40">'frr5'!$A$1</definedName>
    <definedName name="website1_3" localSheetId="39">'pid5'!$A$1:$A$18</definedName>
    <definedName name="website1_3" localSheetId="38">'ppr5'!$A$1:$A$186</definedName>
    <definedName name="website1_3" localSheetId="41">'ur5'!$A$1:$A$188</definedName>
    <definedName name="website1_4" localSheetId="40">'frr5'!$A$1:$A$289</definedName>
    <definedName name="website1_4" localSheetId="39">'pid5'!$A$1:$A$18</definedName>
    <definedName name="website1_4" localSheetId="38">'ppr5'!$A$1:$A$186</definedName>
    <definedName name="website1_4" localSheetId="41">'ur5'!$A$1:$A$188</definedName>
    <definedName name="website10" localSheetId="24">'frr1'!$A$1:$A$218</definedName>
    <definedName name="website10" localSheetId="28">'frr2'!$A$1:$A$218</definedName>
    <definedName name="website10" localSheetId="44">'frr6'!$A$1:$A$218</definedName>
    <definedName name="website10" localSheetId="23">'pid1'!$A$1:$A$18</definedName>
    <definedName name="website10" localSheetId="27">'pid2'!$A$1:$A$18</definedName>
    <definedName name="website10" localSheetId="43">'pid6'!$A$1:$A$18</definedName>
    <definedName name="website10" localSheetId="22">'ppr1'!$A$1:$A$186</definedName>
    <definedName name="website10" localSheetId="26">'ppr2'!$A$1:$A$186</definedName>
    <definedName name="website10" localSheetId="42">'ppr6'!$A$1:$A$186</definedName>
    <definedName name="website10" localSheetId="25">'ur1'!$A$1:$A$144</definedName>
    <definedName name="website10" localSheetId="29">'ur2'!$A$1:$A$144</definedName>
    <definedName name="website10" localSheetId="45">'ur6'!$A$1:$A$144</definedName>
    <definedName name="website10_1" localSheetId="24">'frr1'!$A$1:$A$218</definedName>
    <definedName name="website10_1" localSheetId="44">'frr6'!$A$1</definedName>
    <definedName name="website10_1" localSheetId="23">'pid1'!$A$1:$A$18</definedName>
    <definedName name="website10_1" localSheetId="43">'pid6'!$A$1:$A$18</definedName>
    <definedName name="website10_1" localSheetId="22">'ppr1'!$A$1:$A$186</definedName>
    <definedName name="website10_1" localSheetId="42">'ppr6'!$A$1</definedName>
    <definedName name="website10_1" localSheetId="25">'ur1'!$A$1:$A$144</definedName>
    <definedName name="website10_1" localSheetId="45">'ur6'!$A$1</definedName>
    <definedName name="website10_2" localSheetId="24">'frr1'!$A$1:$A$218</definedName>
    <definedName name="website10_2" localSheetId="44">'frr6'!$A$1:$A$218</definedName>
    <definedName name="website10_2" localSheetId="23">'pid1'!$A$1:$A$18</definedName>
    <definedName name="website10_2" localSheetId="43">'pid6'!$A$1:$A$18</definedName>
    <definedName name="website10_2" localSheetId="22">'ppr1'!$A$1:$A$186</definedName>
    <definedName name="website10_2" localSheetId="42">'ppr6'!$A$1:$A$186</definedName>
    <definedName name="website10_2" localSheetId="25">'ur1'!$A$1:$A$144</definedName>
    <definedName name="website10_2" localSheetId="45">'ur6'!$A$1:$A$144</definedName>
    <definedName name="website10_3" localSheetId="24">'frr1'!$A$1:$A$218</definedName>
    <definedName name="website10_3" localSheetId="23">'pid1'!$A$1:$A$18</definedName>
    <definedName name="website10_3" localSheetId="22">'ppr1'!$A$1:$A$186</definedName>
    <definedName name="website10_3" localSheetId="25">'ur1'!$A$1:$A$144</definedName>
    <definedName name="website10_4" localSheetId="24">'frr1'!$A$1:$A$218</definedName>
    <definedName name="website10_4" localSheetId="23">'pid1'!$A$1:$A$18</definedName>
    <definedName name="website10_4" localSheetId="22">'ppr1'!$A$1:$A$186</definedName>
    <definedName name="website10_4" localSheetId="25">'ur1'!$A$1:$A$144</definedName>
    <definedName name="website10_5" localSheetId="24">'frr1'!$A$1:$A$218</definedName>
    <definedName name="website10_5" localSheetId="23">'pid1'!$A$1:$A$18</definedName>
    <definedName name="website10_5" localSheetId="22">'ppr1'!$A$1:$A$186</definedName>
    <definedName name="website10_5" localSheetId="25">'ur1'!$A$1:$A$144</definedName>
    <definedName name="website10_6" localSheetId="24">'frr1'!$A$1:$A$218</definedName>
    <definedName name="website10_6" localSheetId="23">'pid1'!$A$1:$A$18</definedName>
    <definedName name="website10_6" localSheetId="22">'ppr1'!$A$1:$A$186</definedName>
    <definedName name="website10_6" localSheetId="25">'ur1'!$A$1:$A$144</definedName>
    <definedName name="website11" localSheetId="24">'frr1'!$A$1:$A$212</definedName>
    <definedName name="website11" localSheetId="28">'frr2'!$A$1:$A$212</definedName>
    <definedName name="website11" localSheetId="32">'frr3'!$A$1:$A$212</definedName>
    <definedName name="website11" localSheetId="48">'frr7'!$A$1:$A$212</definedName>
    <definedName name="website11" localSheetId="23">'pid1'!$A$1:$A$18</definedName>
    <definedName name="website11" localSheetId="27">'pid2'!$A$1:$A$18</definedName>
    <definedName name="website11" localSheetId="31">'pid3'!$A$1:$A$18</definedName>
    <definedName name="website11" localSheetId="47">'pid7'!$A$1:$A$18</definedName>
    <definedName name="website11" localSheetId="22">'ppr1'!$A$1:$A$186</definedName>
    <definedName name="website11" localSheetId="26">'ppr2'!$A$1:$A$186</definedName>
    <definedName name="website11" localSheetId="30">'ppr3'!$A$1:$A$186</definedName>
    <definedName name="website11" localSheetId="46">'ppr7'!$A$1:$A$186</definedName>
    <definedName name="website11" localSheetId="25">'ur1'!$A$1:$A$139</definedName>
    <definedName name="website11" localSheetId="29">'ur2'!$A$1:$A$139</definedName>
    <definedName name="website11" localSheetId="33">'ur3'!$A$1:$A$139</definedName>
    <definedName name="website11" localSheetId="49">'ur7'!$A$1:$A$139</definedName>
    <definedName name="website11_1" localSheetId="24">'frr1'!$A$1:$A$212</definedName>
    <definedName name="website11_1" localSheetId="28">'frr2'!$A$1:$A$212</definedName>
    <definedName name="website11_1" localSheetId="48">'frr7'!$A$1</definedName>
    <definedName name="website11_1" localSheetId="23">'pid1'!$A$1:$A$18</definedName>
    <definedName name="website11_1" localSheetId="27">'pid2'!$A$1:$A$18</definedName>
    <definedName name="website11_1" localSheetId="47">'pid7'!$A$1:$A$18</definedName>
    <definedName name="website11_1" localSheetId="22">'ppr1'!$A$1:$A$186</definedName>
    <definedName name="website11_1" localSheetId="26">'ppr2'!$A$1:$A$186</definedName>
    <definedName name="website11_1" localSheetId="46">'ppr7'!$A$1</definedName>
    <definedName name="website11_1" localSheetId="25">'ur1'!$A$1:$A$139</definedName>
    <definedName name="website11_1" localSheetId="29">'ur2'!$A$1:$A$139</definedName>
    <definedName name="website11_1" localSheetId="49">'ur7'!$A$1</definedName>
    <definedName name="website11_2" localSheetId="28">'frr2'!$A$1:$A$212</definedName>
    <definedName name="website11_2" localSheetId="48">'frr7'!$A$1:$A$212</definedName>
    <definedName name="website11_2" localSheetId="27">'pid2'!$A$1:$A$18</definedName>
    <definedName name="website11_2" localSheetId="47">'pid7'!$A$1:$A$18</definedName>
    <definedName name="website11_2" localSheetId="26">'ppr2'!$A$1:$A$186</definedName>
    <definedName name="website11_2" localSheetId="46">'ppr7'!$A$1:$A$186</definedName>
    <definedName name="website11_2" localSheetId="29">'ur2'!$A$1:$A$139</definedName>
    <definedName name="website11_2" localSheetId="49">'ur7'!$A$1:$A$139</definedName>
    <definedName name="website11_3" localSheetId="28">'frr2'!$A$1:$A$212</definedName>
    <definedName name="website11_3" localSheetId="27">'pid2'!$A$1:$A$18</definedName>
    <definedName name="website11_3" localSheetId="26">'ppr2'!$A$1:$A$186</definedName>
    <definedName name="website11_3" localSheetId="29">'ur2'!$A$1:$A$139</definedName>
    <definedName name="website11_4" localSheetId="28">'frr2'!$A$1:$A$212</definedName>
    <definedName name="website11_4" localSheetId="27">'pid2'!$A$1:$A$18</definedName>
    <definedName name="website11_4" localSheetId="26">'ppr2'!$A$1:$A$186</definedName>
    <definedName name="website11_4" localSheetId="29">'ur2'!$A$1:$A$139</definedName>
    <definedName name="website11_5" localSheetId="28">'frr2'!$A$1:$A$212</definedName>
    <definedName name="website11_5" localSheetId="27">'pid2'!$A$1:$A$18</definedName>
    <definedName name="website11_5" localSheetId="26">'ppr2'!$A$1:$A$186</definedName>
    <definedName name="website11_5" localSheetId="29">'ur2'!$A$1:$A$139</definedName>
    <definedName name="website11_6" localSheetId="28">'frr2'!$A$1:$A$212</definedName>
    <definedName name="website11_6" localSheetId="27">'pid2'!$A$1:$A$18</definedName>
    <definedName name="website11_6" localSheetId="26">'ppr2'!$A$1:$A$186</definedName>
    <definedName name="website11_6" localSheetId="29">'ur2'!$A$1:$A$139</definedName>
    <definedName name="website12" localSheetId="24">'frr1'!$A$1:$A$233</definedName>
    <definedName name="website12" localSheetId="28">'frr2'!$A$1:$A$233</definedName>
    <definedName name="website12" localSheetId="32">'frr3'!$A$1:$A$233</definedName>
    <definedName name="website12" localSheetId="36">'frr4'!$A$1:$A$233</definedName>
    <definedName name="website12" localSheetId="23">'pid1'!$A$1:$A$18</definedName>
    <definedName name="website12" localSheetId="27">'pid2'!$A$1:$A$18</definedName>
    <definedName name="website12" localSheetId="31">'pid3'!$A$1:$A$18</definedName>
    <definedName name="website12" localSheetId="35">'pid4'!$A$1:$A$18</definedName>
    <definedName name="website12" localSheetId="22">'ppr1'!$A$1:$A$186</definedName>
    <definedName name="website12" localSheetId="26">'ppr2'!$A$1:$A$186</definedName>
    <definedName name="website12" localSheetId="30">'ppr3'!$A$1:$A$186</definedName>
    <definedName name="website12" localSheetId="34">'ppr4'!$A$1:$A$186</definedName>
    <definedName name="website12" localSheetId="25">'ur1'!$A$1:$A$141</definedName>
    <definedName name="website12" localSheetId="29">'ur2'!$A$1:$A$141</definedName>
    <definedName name="website12" localSheetId="33">'ur3'!$A$1:$A$141</definedName>
    <definedName name="website12" localSheetId="37">'ur4'!$A$1:$A$141</definedName>
    <definedName name="website12_1" localSheetId="28">'frr2'!$A$1:$A$233</definedName>
    <definedName name="website12_1" localSheetId="32">'frr3'!$A$1:$A$233</definedName>
    <definedName name="website12_1" localSheetId="27">'pid2'!$A$1:$A$18</definedName>
    <definedName name="website12_1" localSheetId="31">'pid3'!$A$1:$A$18</definedName>
    <definedName name="website12_1" localSheetId="26">'ppr2'!$A$1:$A$186</definedName>
    <definedName name="website12_1" localSheetId="30">'ppr3'!$A$1:$A$186</definedName>
    <definedName name="website12_1" localSheetId="29">'ur2'!$A$1:$A$141</definedName>
    <definedName name="website12_1" localSheetId="33">'ur3'!$A$1:$A$141</definedName>
    <definedName name="website12_2" localSheetId="32">'frr3'!$A$1:$A$233</definedName>
    <definedName name="website12_2" localSheetId="31">'pid3'!$A$1:$A$18</definedName>
    <definedName name="website12_2" localSheetId="30">'ppr3'!$A$1:$A$186</definedName>
    <definedName name="website12_2" localSheetId="33">'ur3'!$A$1:$A$141</definedName>
    <definedName name="website12_3" localSheetId="32">'frr3'!$A$1:$A$233</definedName>
    <definedName name="website12_3" localSheetId="31">'pid3'!$A$1:$A$18</definedName>
    <definedName name="website12_3" localSheetId="30">'ppr3'!$A$1:$A$186</definedName>
    <definedName name="website12_3" localSheetId="33">'ur3'!$A$1:$A$141</definedName>
    <definedName name="website12_4" localSheetId="32">'frr3'!$A$1:$A$233</definedName>
    <definedName name="website12_4" localSheetId="31">'pid3'!$A$1:$A$18</definedName>
    <definedName name="website12_4" localSheetId="30">'ppr3'!$A$1:$A$186</definedName>
    <definedName name="website12_4" localSheetId="33">'ur3'!$A$1:$A$141</definedName>
    <definedName name="website12_5" localSheetId="32">'frr3'!$A$1:$A$233</definedName>
    <definedName name="website12_5" localSheetId="31">'pid3'!$A$1:$A$18</definedName>
    <definedName name="website12_5" localSheetId="30">'ppr3'!$A$1:$A$186</definedName>
    <definedName name="website12_5" localSheetId="33">'ur3'!$A$1:$A$141</definedName>
    <definedName name="website12_6" localSheetId="32">'frr3'!$A$1:$A$233</definedName>
    <definedName name="website12_6" localSheetId="31">'pid3'!$A$1:$A$18</definedName>
    <definedName name="website12_6" localSheetId="30">'ppr3'!$A$1:$A$186</definedName>
    <definedName name="website12_6" localSheetId="33">'ur3'!$A$1:$A$141</definedName>
    <definedName name="website13" localSheetId="24">'frr1'!$A$1:$A$194</definedName>
    <definedName name="website13" localSheetId="28">'frr2'!$A$1:$A$194</definedName>
    <definedName name="website13" localSheetId="32">'frr3'!$A$1:$A$194</definedName>
    <definedName name="website13" localSheetId="36">'frr4'!$A$1:$A$194</definedName>
    <definedName name="website13" localSheetId="40">'frr5'!$A$1:$A$194</definedName>
    <definedName name="website13" localSheetId="23">'pid1'!$A$1:$A$18</definedName>
    <definedName name="website13" localSheetId="27">'pid2'!$A$1:$A$18</definedName>
    <definedName name="website13" localSheetId="31">'pid3'!$A$1:$A$18</definedName>
    <definedName name="website13" localSheetId="35">'pid4'!$A$1:$A$18</definedName>
    <definedName name="website13" localSheetId="39">'pid5'!$A$1:$A$18</definedName>
    <definedName name="website13" localSheetId="22">'ppr1'!$A$1:$A$186</definedName>
    <definedName name="website13" localSheetId="26">'ppr2'!$A$1:$A$186</definedName>
    <definedName name="website13" localSheetId="30">'ppr3'!$A$1:$A$186</definedName>
    <definedName name="website13" localSheetId="34">'ppr4'!$A$1:$A$186</definedName>
    <definedName name="website13" localSheetId="38">'ppr5'!$A$1:$A$186</definedName>
    <definedName name="website13" localSheetId="25">'ur1'!$A$1:$A$146</definedName>
    <definedName name="website13" localSheetId="29">'ur2'!$A$1:$A$145</definedName>
    <definedName name="website13" localSheetId="33">'ur3'!$A$1:$A$146</definedName>
    <definedName name="website13" localSheetId="37">'ur4'!$A$1:$A$145</definedName>
    <definedName name="website13" localSheetId="41">'ur5'!$A$1:$A$146</definedName>
    <definedName name="website13_1" localSheetId="32">'frr3'!$A$1:$A$194</definedName>
    <definedName name="website13_1" localSheetId="36">'frr4'!$A$1:$A$194</definedName>
    <definedName name="website13_1" localSheetId="31">'pid3'!$A$1:$A$18</definedName>
    <definedName name="website13_1" localSheetId="35">'pid4'!$A$1:$A$18</definedName>
    <definedName name="website13_1" localSheetId="30">'ppr3'!$A$1:$A$186</definedName>
    <definedName name="website13_1" localSheetId="34">'ppr4'!$A$1:$A$186</definedName>
    <definedName name="website13_1" localSheetId="33">'ur3'!$A$1:$A$146</definedName>
    <definedName name="website13_1" localSheetId="37">'ur4'!$A$1:$A$146</definedName>
    <definedName name="website13_2" localSheetId="36">'frr4'!$A$1:$A$194</definedName>
    <definedName name="website13_2" localSheetId="35">'pid4'!$A$1:$A$18</definedName>
    <definedName name="website13_2" localSheetId="34">'ppr4'!$A$1:$A$186</definedName>
    <definedName name="website13_2" localSheetId="37">'ur4'!$A$1:$A$146</definedName>
    <definedName name="website13_3" localSheetId="36">'frr4'!$A$1:$A$194</definedName>
    <definedName name="website13_3" localSheetId="35">'pid4'!$A$1:$A$18</definedName>
    <definedName name="website13_3" localSheetId="34">'ppr4'!$A$1:$A$186</definedName>
    <definedName name="website13_3" localSheetId="37">'ur4'!$A$1:$A$146</definedName>
    <definedName name="website13_4" localSheetId="36">'frr4'!$A$1:$A$194</definedName>
    <definedName name="website13_4" localSheetId="35">'pid4'!$A$1:$A$18</definedName>
    <definedName name="website13_4" localSheetId="34">'ppr4'!$A$1:$A$186</definedName>
    <definedName name="website13_4" localSheetId="37">'ur4'!$A$1:$A$146</definedName>
    <definedName name="website13_5" localSheetId="36">'frr4'!$A$1:$A$194</definedName>
    <definedName name="website13_5" localSheetId="35">'pid4'!$A$1:$A$18</definedName>
    <definedName name="website13_5" localSheetId="34">'ppr4'!$A$1:$A$186</definedName>
    <definedName name="website13_5" localSheetId="37">'ur4'!$A$1:$A$146</definedName>
    <definedName name="website13_6" localSheetId="36">'frr4'!$A$1:$A$194</definedName>
    <definedName name="website13_6" localSheetId="35">'pid4'!$A$1:$A$18</definedName>
    <definedName name="website13_6" localSheetId="34">'ppr4'!$A$1:$A$186</definedName>
    <definedName name="website13_6" localSheetId="37">'ur4'!$A$1:$A$146</definedName>
    <definedName name="website14" localSheetId="28">'frr2'!$A$1:$A$2</definedName>
    <definedName name="website14" localSheetId="32">'frr3'!$A$1:$A$2</definedName>
    <definedName name="website14" localSheetId="36">'frr4'!$A$1:$A$219</definedName>
    <definedName name="website14" localSheetId="40">'frr5'!$A$1:$A$2</definedName>
    <definedName name="website14" localSheetId="44">'frr6'!$A$1:$A$219</definedName>
    <definedName name="website14" localSheetId="27">'pid2'!$A$1:$C$3</definedName>
    <definedName name="website14" localSheetId="31">'pid3'!$A$1:$C$3</definedName>
    <definedName name="website14" localSheetId="35">'pid4'!$A$1:$A$18</definedName>
    <definedName name="website14" localSheetId="39">'pid5'!$A$1:$C$3</definedName>
    <definedName name="website14" localSheetId="43">'pid6'!$A$1:$A$18</definedName>
    <definedName name="website14" localSheetId="26">'ppr2'!$A$1:$A$186</definedName>
    <definedName name="website14" localSheetId="30">'ppr3'!$A$1:$A$186</definedName>
    <definedName name="website14" localSheetId="34">'ppr4'!$A$1:$A$186</definedName>
    <definedName name="website14" localSheetId="38">'ppr5'!$A$1:$A$186</definedName>
    <definedName name="website14" localSheetId="42">'ppr6'!$A$1:$A$186</definedName>
    <definedName name="website14" localSheetId="29">'ur2'!$A$1:$A$2</definedName>
    <definedName name="website14" localSheetId="33">'ur3'!$A$1:$A$2</definedName>
    <definedName name="website14" localSheetId="37">'ur4'!$A$1:$A$123</definedName>
    <definedName name="website14" localSheetId="41">'ur5'!$A$1:$A$2</definedName>
    <definedName name="website14" localSheetId="45">'ur6'!$A$1:$A$123</definedName>
    <definedName name="website14_1" localSheetId="36">'frr4'!$A$1:$A$219</definedName>
    <definedName name="website14_1" localSheetId="40">'frr5'!$A$1:$A$2</definedName>
    <definedName name="website14_1" localSheetId="35">'pid4'!$A$1:$A$18</definedName>
    <definedName name="website14_1" localSheetId="39">'pid5'!$A$1:$C$3</definedName>
    <definedName name="website14_1" localSheetId="34">'ppr4'!$A$1:$A$186</definedName>
    <definedName name="website14_1" localSheetId="38">'ppr5'!$A$1:$A$186</definedName>
    <definedName name="website14_1" localSheetId="37">'ur4'!$A$1:$A$126</definedName>
    <definedName name="website14_1" localSheetId="41">'ur5'!$A$1:$A$2</definedName>
    <definedName name="website14_2" localSheetId="40">'frr5'!$A$1:$A$219</definedName>
    <definedName name="website14_2" localSheetId="39">'pid5'!$A$1:$A$18</definedName>
    <definedName name="website14_2" localSheetId="38">'ppr5'!$A$1:$A$186</definedName>
    <definedName name="website14_2" localSheetId="41">'ur5'!$A$1:$A$120</definedName>
    <definedName name="website14_3" localSheetId="40">'frr5'!$A$1:$A$219</definedName>
    <definedName name="website14_3" localSheetId="39">'pid5'!$A$1:$A$18</definedName>
    <definedName name="website14_3" localSheetId="38">'ppr5'!$A$1:$A$186</definedName>
    <definedName name="website14_3" localSheetId="41">'ur5'!$A$1:$A$126</definedName>
    <definedName name="website14_4" localSheetId="40">'frr5'!$A$1:$A$226</definedName>
    <definedName name="website14_4" localSheetId="39">'pid5'!$A$1:$A$18</definedName>
    <definedName name="website14_4" localSheetId="38">'ppr5'!$A$1:$A$186</definedName>
    <definedName name="website14_4" localSheetId="41">'ur5'!$A$1:$A$131</definedName>
    <definedName name="website14_5" localSheetId="40">'frr5'!$A$1:$A$226</definedName>
    <definedName name="website14_5" localSheetId="39">'pid5'!$A$1:$A$18</definedName>
    <definedName name="website14_5" localSheetId="38">'ppr5'!$A$1:$A$186</definedName>
    <definedName name="website14_5" localSheetId="41">'ur5'!$A$1:$A$131</definedName>
    <definedName name="website14_6" localSheetId="40">'frr5'!$A$1:$A$226</definedName>
    <definedName name="website14_6" localSheetId="39">'pid5'!$A$1:$A$18</definedName>
    <definedName name="website14_6" localSheetId="38">'ppr5'!$A$1:$A$186</definedName>
    <definedName name="website14_6" localSheetId="41">'ur5'!$A$1:$A$133</definedName>
    <definedName name="website15" localSheetId="32">'frr3'!$A$1:$A$2</definedName>
    <definedName name="website15" localSheetId="36">'frr4'!$A$1:$A$2</definedName>
    <definedName name="website15" localSheetId="40">'frr5'!$A$1:$A$2</definedName>
    <definedName name="website15" localSheetId="44">'frr6'!$A$1:$A$2</definedName>
    <definedName name="website15" localSheetId="48">'frr7'!$A$1:$A$2</definedName>
    <definedName name="website15" localSheetId="31">'pid3'!$A$1:$C$3</definedName>
    <definedName name="website15" localSheetId="35">'pid4'!$A$1:$C$3</definedName>
    <definedName name="website15" localSheetId="39">'pid5'!$A$1:$C$3</definedName>
    <definedName name="website15" localSheetId="43">'pid6'!$A$1:$C$3</definedName>
    <definedName name="website15" localSheetId="47">'pid7'!$A$1:$C$3</definedName>
    <definedName name="website15" localSheetId="30">'ppr3'!$A$1:$A$186</definedName>
    <definedName name="website15" localSheetId="34">'ppr4'!$A$1:$A$186</definedName>
    <definedName name="website15" localSheetId="38">'ppr5'!$A$1:$A$186</definedName>
    <definedName name="website15" localSheetId="42">'ppr6'!$A$1:$A$186</definedName>
    <definedName name="website15" localSheetId="46">'ppr7'!$A$1:$A$186</definedName>
    <definedName name="website15" localSheetId="33">'ur3'!$A$1:$A$2</definedName>
    <definedName name="website15" localSheetId="37">'ur4'!$A$1:$A$2</definedName>
    <definedName name="website15" localSheetId="41">'ur5'!$A$1:$A$2</definedName>
    <definedName name="website15" localSheetId="45">'ur6'!$A$1:$A$2</definedName>
    <definedName name="website15" localSheetId="49">'ur7'!$A$1:$A$2</definedName>
    <definedName name="website15_1" localSheetId="40">'frr5'!$A$1:$A$2</definedName>
    <definedName name="website15_1" localSheetId="44">'frr6'!$A$1:$A$2</definedName>
    <definedName name="website15_1" localSheetId="39">'pid5'!$A$1:$C$3</definedName>
    <definedName name="website15_1" localSheetId="43">'pid6'!$A$1:$C$3</definedName>
    <definedName name="website15_1" localSheetId="38">'ppr5'!$A$1:$A$186</definedName>
    <definedName name="website15_1" localSheetId="42">'ppr6'!$A$1:$A$186</definedName>
    <definedName name="website15_1" localSheetId="41">'ur5'!$A$1:$A$2</definedName>
    <definedName name="website15_1" localSheetId="45">'ur6'!$A$1:$A$2</definedName>
    <definedName name="website15_2" localSheetId="44">'frr6'!$A$1:$A$2</definedName>
    <definedName name="website15_2" localSheetId="43">'pid6'!$A$1:$C$3</definedName>
    <definedName name="website15_2" localSheetId="42">'ppr6'!$A$1:$A$186</definedName>
    <definedName name="website15_2" localSheetId="45">'ur6'!$A$1:$A$2</definedName>
    <definedName name="website15_3" localSheetId="44">'frr6'!$A$1:$A$2</definedName>
    <definedName name="website15_3" localSheetId="43">'pid6'!$A$1:$C$3</definedName>
    <definedName name="website15_3" localSheetId="42">'ppr6'!$A$1:$A$186</definedName>
    <definedName name="website15_3" localSheetId="45">'ur6'!$A$1:$A$2</definedName>
    <definedName name="website15_4" localSheetId="44">'frr6'!$A$1:$A$2</definedName>
    <definedName name="website15_4" localSheetId="43">'pid6'!$A$1:$C$3</definedName>
    <definedName name="website15_4" localSheetId="42">'ppr6'!$A$1:$A$186</definedName>
    <definedName name="website15_4" localSheetId="45">'ur6'!$A$1:$A$2</definedName>
    <definedName name="website15_5" localSheetId="44">'frr6'!$A$1:$A$2</definedName>
    <definedName name="website15_5" localSheetId="43">'pid6'!$A$1:$C$3</definedName>
    <definedName name="website15_5" localSheetId="42">'ppr6'!$A$1:$A$186</definedName>
    <definedName name="website15_5" localSheetId="45">'ur6'!$A$1:$A$2</definedName>
    <definedName name="website15_6" localSheetId="44">'frr6'!$A$1:$A$2</definedName>
    <definedName name="website15_6" localSheetId="43">'pid6'!$A$1:$C$3</definedName>
    <definedName name="website15_6" localSheetId="42">'ppr6'!$A$1:$A$186</definedName>
    <definedName name="website15_6" localSheetId="45">'ur6'!$A$1:$A$2</definedName>
    <definedName name="website16" localSheetId="36">'frr4'!$A$1:$A$2</definedName>
    <definedName name="website16" localSheetId="40">'frr5'!$A$1:$A$2</definedName>
    <definedName name="website16" localSheetId="44">'frr6'!$A$1:$A$2</definedName>
    <definedName name="website16" localSheetId="48">'frr7'!$A$1:$A$2</definedName>
    <definedName name="website16" localSheetId="35">'pid4'!$A$1:$C$3</definedName>
    <definedName name="website16" localSheetId="39">'pid5'!$A$1:$C$3</definedName>
    <definedName name="website16" localSheetId="43">'pid6'!$A$1:$C$3</definedName>
    <definedName name="website16" localSheetId="47">'pid7'!$A$1:$C$3</definedName>
    <definedName name="website16" localSheetId="34">'ppr4'!$A$1:$A$186</definedName>
    <definedName name="website16" localSheetId="38">'ppr5'!$A$1:$A$186</definedName>
    <definedName name="website16" localSheetId="42">'ppr6'!$A$1:$A$186</definedName>
    <definedName name="website16" localSheetId="46">'ppr7'!$A$1:$A$186</definedName>
    <definedName name="website16" localSheetId="37">'ur4'!$A$1:$A$2</definedName>
    <definedName name="website16" localSheetId="41">'ur5'!$A$1:$A$2</definedName>
    <definedName name="website16" localSheetId="45">'ur6'!$A$1:$A$2</definedName>
    <definedName name="website16" localSheetId="49">'ur7'!$A$1:$A$2</definedName>
    <definedName name="website16_1" localSheetId="44">'frr6'!$A$1:$A$2</definedName>
    <definedName name="website16_1" localSheetId="48">'frr7'!$A$1:$A$2</definedName>
    <definedName name="website16_1" localSheetId="43">'pid6'!$A$1:$C$3</definedName>
    <definedName name="website16_1" localSheetId="47">'pid7'!$A$1:$C$3</definedName>
    <definedName name="website16_1" localSheetId="42">'ppr6'!$A$1:$A$186</definedName>
    <definedName name="website16_1" localSheetId="46">'ppr7'!$A$1:$A$186</definedName>
    <definedName name="website16_1" localSheetId="45">'ur6'!$A$1:$A$2</definedName>
    <definedName name="website16_1" localSheetId="49">'ur7'!$A$1:$A$2</definedName>
    <definedName name="website16_2" localSheetId="48">'frr7'!$A$1:$A$2</definedName>
    <definedName name="website16_2" localSheetId="47">'pid7'!$A$1:$C$3</definedName>
    <definedName name="website16_2" localSheetId="46">'ppr7'!$A$1</definedName>
    <definedName name="website16_2" localSheetId="49">'ur7'!$A$1:$A$2</definedName>
    <definedName name="website16_3" localSheetId="48">'frr7'!$A$1:$A$2</definedName>
    <definedName name="website16_3" localSheetId="47">'pid7'!$A$1:$C$3</definedName>
    <definedName name="website16_3" localSheetId="46">'ppr7'!$A$1:$A$186</definedName>
    <definedName name="website16_3" localSheetId="49">'ur7'!$A$1:$A$2</definedName>
    <definedName name="website16_4" localSheetId="48">'frr7'!$A$1:$A$2</definedName>
    <definedName name="website16_4" localSheetId="47">'pid7'!$A$1:$C$3</definedName>
    <definedName name="website16_4" localSheetId="46">'ppr7'!$A$1:$A$186</definedName>
    <definedName name="website16_4" localSheetId="49">'ur7'!$A$1:$A$2</definedName>
    <definedName name="website16_5" localSheetId="48">'frr7'!$A$1:$A$2</definedName>
    <definedName name="website16_5" localSheetId="47">'pid7'!$A$1:$C$3</definedName>
    <definedName name="website16_5" localSheetId="46">'ppr7'!$A$1:$A$186</definedName>
    <definedName name="website16_5" localSheetId="49">'ur7'!$A$1:$A$2</definedName>
    <definedName name="website16_6" localSheetId="48">'frr7'!$A$1:$A$2</definedName>
    <definedName name="website16_6" localSheetId="47">'pid7'!$A$1:$C$3</definedName>
    <definedName name="website16_6" localSheetId="46">'ppr7'!$A$1:$A$186</definedName>
    <definedName name="website16_6" localSheetId="49">'ur7'!$A$1:$A$2</definedName>
    <definedName name="website17" localSheetId="24">'frr1'!$A$1:$A$233</definedName>
    <definedName name="website17" localSheetId="40">'frr5'!$A$1:$A$2</definedName>
    <definedName name="website17" localSheetId="44">'frr6'!$A$1:$A$2</definedName>
    <definedName name="website17" localSheetId="48">'frr7'!$A$1:$A$2</definedName>
    <definedName name="website17" localSheetId="23">'pid1'!$A$1:$A$18</definedName>
    <definedName name="website17" localSheetId="39">'pid5'!$A$1:$C$3</definedName>
    <definedName name="website17" localSheetId="43">'pid6'!$A$1:$C$3</definedName>
    <definedName name="website17" localSheetId="47">'pid7'!$A$1:$C$3</definedName>
    <definedName name="website17" localSheetId="22">'ppr1'!$A$1:$A$186</definedName>
    <definedName name="website17" localSheetId="38">'ppr5'!$A$1:$A$186</definedName>
    <definedName name="website17" localSheetId="42">'ppr6'!$A$1:$A$186</definedName>
    <definedName name="website17" localSheetId="46">'ppr7'!$A$1:$A$186</definedName>
    <definedName name="website17" localSheetId="25">'ur1'!$A$1:$A$143</definedName>
    <definedName name="website17" localSheetId="41">'ur5'!$A$1:$A$2</definedName>
    <definedName name="website17" localSheetId="45">'ur6'!$A$1:$A$2</definedName>
    <definedName name="website17" localSheetId="49">'ur7'!$A$1:$A$2</definedName>
    <definedName name="website17_1" localSheetId="48">'frr7'!$A$1:$A$2</definedName>
    <definedName name="website17_1" localSheetId="47">'pid7'!$A$1:$C$3</definedName>
    <definedName name="website17_1" localSheetId="46">'ppr7'!$A$1:$A$186</definedName>
    <definedName name="website17_1" localSheetId="49">'ur7'!$A$1:$A$2</definedName>
    <definedName name="website18" localSheetId="28">'frr2'!$A$1:$A$310</definedName>
    <definedName name="website18" localSheetId="44">'frr6'!$A$1:$A$2</definedName>
    <definedName name="website18" localSheetId="48">'frr7'!$A$1:$A$2</definedName>
    <definedName name="website18" localSheetId="27">'pid2'!$A$1:$A$18</definedName>
    <definedName name="website18" localSheetId="43">'pid6'!$A$1:$C$3</definedName>
    <definedName name="website18" localSheetId="47">'pid7'!$A$1:$C$3</definedName>
    <definedName name="website18" localSheetId="26">'ppr2'!$A$1:$A$186</definedName>
    <definedName name="website18" localSheetId="42">'ppr6'!$A$1:$A$186</definedName>
    <definedName name="website18" localSheetId="46">'ppr7'!$A$1:$A$186</definedName>
    <definedName name="website18" localSheetId="29">'ur2'!$A$1:$A$188</definedName>
    <definedName name="website18" localSheetId="45">'ur6'!$A$1:$A$2</definedName>
    <definedName name="website18" localSheetId="49">'ur7'!$A$1:$A$2</definedName>
    <definedName name="website19" localSheetId="32">'frr3'!$A$1:$A$275</definedName>
    <definedName name="website19" localSheetId="48">'frr7'!$A$1:$A$2</definedName>
    <definedName name="website19" localSheetId="31">'pid3'!$A$1:$A$18</definedName>
    <definedName name="website19" localSheetId="47">'pid7'!$A$1:$C$3</definedName>
    <definedName name="website19" localSheetId="30">'ppr3'!$A$1:$A$186</definedName>
    <definedName name="website19" localSheetId="46">'ppr7'!$A$1:$A$186</definedName>
    <definedName name="website19" localSheetId="33">'ur3'!$A$1:$A$168</definedName>
    <definedName name="website19" localSheetId="49">'ur7'!$A$1:$A$2</definedName>
    <definedName name="website2" localSheetId="28">'frr2'!$A$1:$A$303</definedName>
    <definedName name="website2" localSheetId="44">'frr6'!$A$1:$A$303</definedName>
    <definedName name="website2" localSheetId="27">'pid2'!$A$1:$A$18</definedName>
    <definedName name="website2" localSheetId="43">'pid6'!$A$1:$A$18</definedName>
    <definedName name="website2" localSheetId="26">'ppr2'!$A$1:$A$186</definedName>
    <definedName name="website2" localSheetId="42">'ppr6'!$A$1:$A$186</definedName>
    <definedName name="website2" localSheetId="29">'ur2'!$A$1:$A$204</definedName>
    <definedName name="website2" localSheetId="45">'ur6'!$A$1:$A$204</definedName>
    <definedName name="website2_1" localSheetId="28">'frr2'!$A$1:$A$303</definedName>
    <definedName name="website2_1" localSheetId="44">'frr6'!$A$1:$A$303</definedName>
    <definedName name="website2_1" localSheetId="27">'pid2'!$A$1:$A$18</definedName>
    <definedName name="website2_1" localSheetId="43">'pid6'!$A$1:$A$18</definedName>
    <definedName name="website2_1" localSheetId="26">'ppr2'!$A$1:$A$186</definedName>
    <definedName name="website2_1" localSheetId="42">'ppr6'!$A$1:$A$186</definedName>
    <definedName name="website2_1" localSheetId="29">'ur2'!$A$1:$A$204</definedName>
    <definedName name="website2_1" localSheetId="45">'ur6'!$A$1:$A$204</definedName>
    <definedName name="website2_2" localSheetId="44">'frr6'!$A$1:$A$303</definedName>
    <definedName name="website2_2" localSheetId="43">'pid6'!$A$1:$A$18</definedName>
    <definedName name="website2_2" localSheetId="42">'ppr6'!$A$1:$A$186</definedName>
    <definedName name="website2_2" localSheetId="45">'ur6'!$A$1:$A$204</definedName>
    <definedName name="website2_3" localSheetId="44">'frr6'!$A$1:$A$303</definedName>
    <definedName name="website2_3" localSheetId="43">'pid6'!$A$1:$A$18</definedName>
    <definedName name="website2_3" localSheetId="42">'ppr6'!$A$1:$A$186</definedName>
    <definedName name="website2_3" localSheetId="45">'ur6'!$A$1:$A$204</definedName>
    <definedName name="website2_4" localSheetId="44">'frr6'!$A$1:$A$303</definedName>
    <definedName name="website2_4" localSheetId="43">'pid6'!$A$1:$A$18</definedName>
    <definedName name="website2_4" localSheetId="42">'ppr6'!$A$1:$A$186</definedName>
    <definedName name="website2_4" localSheetId="45">'ur6'!$A$1:$A$204</definedName>
    <definedName name="website20" localSheetId="24">'frr1'!$A$1:$A$2</definedName>
    <definedName name="website20" localSheetId="36">'frr4'!$A$1:$A$275</definedName>
    <definedName name="website20" localSheetId="23">'pid1'!$A$1:$C$3</definedName>
    <definedName name="website20" localSheetId="35">'pid4'!$A$1:$A$18</definedName>
    <definedName name="website20" localSheetId="22">'ppr1'!$A$1:$A$186</definedName>
    <definedName name="website20" localSheetId="34">'ppr4'!$A$1:$A$186</definedName>
    <definedName name="website20" localSheetId="25">'ur1'!$A$1:$A$2</definedName>
    <definedName name="website20" localSheetId="37">'ur4'!$A$1:$A$169</definedName>
    <definedName name="website21" localSheetId="28">'frr2'!$A$1:$A$2</definedName>
    <definedName name="website21" localSheetId="40">'frr5'!$A$1:$A$261</definedName>
    <definedName name="website21" localSheetId="27">'pid2'!$A$1:$C$3</definedName>
    <definedName name="website21" localSheetId="39">'pid5'!$A$1:$A$18</definedName>
    <definedName name="website21" localSheetId="26">'ppr2'!$A$1:$A$186</definedName>
    <definedName name="website21" localSheetId="38">'ppr5'!$A$1:$A$186</definedName>
    <definedName name="website21" localSheetId="29">'ur2'!$A$1:$A$2</definedName>
    <definedName name="website21" localSheetId="41">'ur5'!$A$1:$A$157</definedName>
    <definedName name="website22" localSheetId="32">'frr3'!$A$1:$A$2</definedName>
    <definedName name="website22" localSheetId="44">'frr6'!$A$1:$A$206</definedName>
    <definedName name="website22" localSheetId="31">'pid3'!$A$1:$C$3</definedName>
    <definedName name="website22" localSheetId="43">'pid6'!$A$1:$A$18</definedName>
    <definedName name="website22" localSheetId="30">'ppr3'!$A$1:$A$186</definedName>
    <definedName name="website22" localSheetId="42">'ppr6'!$A$1:$A$186</definedName>
    <definedName name="website22" localSheetId="33">'ur3'!$A$1:$A$2</definedName>
    <definedName name="website22" localSheetId="45">'ur6'!$A$1:$A$139</definedName>
    <definedName name="website23" localSheetId="36">'frr4'!$A$1:$A$2</definedName>
    <definedName name="website23" localSheetId="48">'frr7'!$A$1:$A$254</definedName>
    <definedName name="website23" localSheetId="35">'pid4'!$A$1:$C$3</definedName>
    <definedName name="website23" localSheetId="47">'pid7'!$A$1:$A$18</definedName>
    <definedName name="website23" localSheetId="34">'ppr4'!$A$1:$A$186</definedName>
    <definedName name="website23" localSheetId="46">'ppr7'!$A$1:$A$186</definedName>
    <definedName name="website23" localSheetId="37">'ur4'!$A$1:$A$2</definedName>
    <definedName name="website23" localSheetId="49">'ur7'!$A$1:$A$159</definedName>
    <definedName name="website24" localSheetId="40">'frr5'!$A$1:$A$2</definedName>
    <definedName name="website24" localSheetId="39">'pid5'!$A$1:$C$3</definedName>
    <definedName name="website24" localSheetId="38">'ppr5'!$A$1:$A$186</definedName>
    <definedName name="website24" localSheetId="41">'ur5'!$A$1:$A$2</definedName>
    <definedName name="website25" localSheetId="24">'frr1'!$A$1:$A$2</definedName>
    <definedName name="website25" localSheetId="44">'frr6'!$A$1:$A$2</definedName>
    <definedName name="website25" localSheetId="23">'pid1'!$A$1:$C$3</definedName>
    <definedName name="website25" localSheetId="43">'pid6'!$A$1:$C$3</definedName>
    <definedName name="website25" localSheetId="22">'ppr1'!$A$1:$A$186</definedName>
    <definedName name="website25" localSheetId="42">'ppr6'!$A$1:$A$186</definedName>
    <definedName name="website25" localSheetId="25">'ur1'!$A$1:$A$2</definedName>
    <definedName name="website25" localSheetId="45">'ur6'!$A$1:$A$2</definedName>
    <definedName name="website26" localSheetId="28">'frr2'!$A$1:$A$2</definedName>
    <definedName name="website26" localSheetId="48">'frr7'!$A$1:$A$2</definedName>
    <definedName name="website26" localSheetId="27">'pid2'!$A$1:$C$3</definedName>
    <definedName name="website26" localSheetId="47">'pid7'!$A$1:$C$3</definedName>
    <definedName name="website26" localSheetId="26">'ppr2'!$A$1:$A$186</definedName>
    <definedName name="website26" localSheetId="46">'ppr7'!$A$1:$A$186</definedName>
    <definedName name="website26" localSheetId="29">'ur2'!$A$1:$A$2</definedName>
    <definedName name="website26" localSheetId="49">'ur7'!$A$1:$A$2</definedName>
    <definedName name="website27" localSheetId="24">'frr1'!$A$1:$A$282</definedName>
    <definedName name="website27" localSheetId="32">'frr3'!$A$1:$A$2</definedName>
    <definedName name="website27" localSheetId="23">'pid1'!$A$1:$A$18</definedName>
    <definedName name="website27" localSheetId="31">'pid3'!$A$1:$C$3</definedName>
    <definedName name="website27" localSheetId="22">'ppr1'!$A$1:$A$186</definedName>
    <definedName name="website27" localSheetId="30">'ppr3'!$A$1:$A$186</definedName>
    <definedName name="website27" localSheetId="25">'ur1'!$A$1:$A$170</definedName>
    <definedName name="website27" localSheetId="33">'ur3'!$A$1:$A$2</definedName>
    <definedName name="website27_1" localSheetId="24">'frr1'!$A$1:$A$282</definedName>
    <definedName name="website27_1" localSheetId="23">'pid1'!$A$1:$A$18</definedName>
    <definedName name="website27_1" localSheetId="22">'ppr1'!$A$1:$A$186</definedName>
    <definedName name="website27_1" localSheetId="25">'ur1'!$A$1:$A$170</definedName>
    <definedName name="website27_2" localSheetId="24">'frr1'!$A$1:$A$282</definedName>
    <definedName name="website27_2" localSheetId="23">'pid1'!$A$1:$A$18</definedName>
    <definedName name="website27_2" localSheetId="22">'ppr1'!$A$1:$A$186</definedName>
    <definedName name="website27_2" localSheetId="25">'ur1'!$A$1:$A$170</definedName>
    <definedName name="website27_3" localSheetId="24">'frr1'!$A$1:$A$282</definedName>
    <definedName name="website27_3" localSheetId="23">'pid1'!$A$1:$A$18</definedName>
    <definedName name="website27_3" localSheetId="22">'ppr1'!$A$1:$A$186</definedName>
    <definedName name="website27_3" localSheetId="25">'ur1'!$A$1:$A$170</definedName>
    <definedName name="website27_4" localSheetId="24">'frr1'!$A$1:$A$282</definedName>
    <definedName name="website27_4" localSheetId="23">'pid1'!$A$1:$A$18</definedName>
    <definedName name="website27_4" localSheetId="22">'ppr1'!$A$1:$A$186</definedName>
    <definedName name="website27_4" localSheetId="25">'ur1'!$A$1:$A$170</definedName>
    <definedName name="website28" localSheetId="28">'frr2'!$A$1:$A$254</definedName>
    <definedName name="website28" localSheetId="36">'frr4'!$A$1:$A$2</definedName>
    <definedName name="website28" localSheetId="27">'pid2'!$A$1:$A$18</definedName>
    <definedName name="website28" localSheetId="35">'pid4'!$A$1:$C$3</definedName>
    <definedName name="website28" localSheetId="26">'ppr2'!$A$1:$A$186</definedName>
    <definedName name="website28" localSheetId="34">'ppr4'!$A$1:$A$186</definedName>
    <definedName name="website28" localSheetId="29">'ur2'!$A$1:$A$174</definedName>
    <definedName name="website28" localSheetId="37">'ur4'!$A$1:$A$2</definedName>
    <definedName name="website28_1" localSheetId="28">'frr2'!$A$1:$A$254</definedName>
    <definedName name="website28_1" localSheetId="27">'pid2'!$A$1:$A$18</definedName>
    <definedName name="website28_1" localSheetId="26">'ppr2'!$A$1:$A$186</definedName>
    <definedName name="website28_1" localSheetId="29">'ur2'!$A$1:$A$174</definedName>
    <definedName name="website28_2" localSheetId="28">'frr2'!$A$1:$A$254</definedName>
    <definedName name="website28_2" localSheetId="27">'pid2'!$A$1:$A$18</definedName>
    <definedName name="website28_2" localSheetId="26">'ppr2'!$A$1:$A$186</definedName>
    <definedName name="website28_2" localSheetId="29">'ur2'!$A$1:$A$174</definedName>
    <definedName name="website28_3" localSheetId="28">'frr2'!$A$1:$A$254</definedName>
    <definedName name="website28_3" localSheetId="27">'pid2'!$A$1:$A$18</definedName>
    <definedName name="website28_3" localSheetId="26">'ppr2'!$A$1:$A$186</definedName>
    <definedName name="website28_3" localSheetId="29">'ur2'!$A$1:$A$174</definedName>
    <definedName name="website28_4" localSheetId="28">'frr2'!$A$1:$A$254</definedName>
    <definedName name="website28_4" localSheetId="27">'pid2'!$A$1:$A$18</definedName>
    <definedName name="website28_4" localSheetId="26">'ppr2'!$A$1:$A$186</definedName>
    <definedName name="website28_4" localSheetId="29">'ur2'!$A$1:$A$174</definedName>
    <definedName name="website29" localSheetId="32">'frr3'!$A$1:$A$212</definedName>
    <definedName name="website29" localSheetId="40">'frr5'!$A$1:$A$2</definedName>
    <definedName name="website29" localSheetId="31">'pid3'!$A$1:$A$18</definedName>
    <definedName name="website29" localSheetId="39">'pid5'!$A$1:$C$3</definedName>
    <definedName name="website29" localSheetId="30">'ppr3'!$A$1:$A$186</definedName>
    <definedName name="website29" localSheetId="38">'ppr5'!$A$1:$A$186</definedName>
    <definedName name="website29" localSheetId="33">'ur3'!$A$1:$A$159</definedName>
    <definedName name="website29" localSheetId="41">'ur5'!$A$1:$A$2</definedName>
    <definedName name="website29_1" localSheetId="32">'frr3'!$A$1:$A$212</definedName>
    <definedName name="website29_1" localSheetId="31">'pid3'!$A$1:$A$18</definedName>
    <definedName name="website29_1" localSheetId="30">'ppr3'!$A$1:$A$186</definedName>
    <definedName name="website29_1" localSheetId="33">'ur3'!$A$1:$A$159</definedName>
    <definedName name="website29_2" localSheetId="32">'frr3'!$A$1:$A$212</definedName>
    <definedName name="website29_2" localSheetId="31">'pid3'!$A$1:$A$18</definedName>
    <definedName name="website29_2" localSheetId="30">'ppr3'!$A$1:$A$186</definedName>
    <definedName name="website29_2" localSheetId="33">'ur3'!$A$1:$A$159</definedName>
    <definedName name="website29_3" localSheetId="32">'frr3'!$A$1:$A$212</definedName>
    <definedName name="website29_3" localSheetId="31">'pid3'!$A$1:$A$18</definedName>
    <definedName name="website29_3" localSheetId="30">'ppr3'!$A$1:$A$186</definedName>
    <definedName name="website29_3" localSheetId="33">'ur3'!$A$1:$A$159</definedName>
    <definedName name="website29_4" localSheetId="32">'frr3'!$A$1:$A$212</definedName>
    <definedName name="website29_4" localSheetId="31">'pid3'!$A$1:$A$18</definedName>
    <definedName name="website29_4" localSheetId="30">'ppr3'!$A$1:$A$186</definedName>
    <definedName name="website29_4" localSheetId="33">'ur3'!$A$1:$A$159</definedName>
    <definedName name="website3" localSheetId="32">'frr3'!$A$1:$A$310</definedName>
    <definedName name="website3" localSheetId="48">'frr7'!$A$1:$A$310</definedName>
    <definedName name="website3" localSheetId="31">'pid3'!$A$1:$A$18</definedName>
    <definedName name="website3" localSheetId="47">'pid7'!$A$1:$A$18</definedName>
    <definedName name="website3" localSheetId="30">'ppr3'!$A$1:$A$186</definedName>
    <definedName name="website3" localSheetId="46">'ppr7'!$A$1:$A$186</definedName>
    <definedName name="website3" localSheetId="33">'ur3'!$A$1:$A$198</definedName>
    <definedName name="website3" localSheetId="49">'ur7'!$A$1:$A$198</definedName>
    <definedName name="website3_1" localSheetId="32">'frr3'!$A$1:$A$310</definedName>
    <definedName name="website3_1" localSheetId="48">'frr7'!$A$1:$A$310</definedName>
    <definedName name="website3_1" localSheetId="31">'pid3'!$A$1:$A$18</definedName>
    <definedName name="website3_1" localSheetId="47">'pid7'!$A$1:$A$18</definedName>
    <definedName name="website3_1" localSheetId="30">'ppr3'!$A$1:$A$186</definedName>
    <definedName name="website3_1" localSheetId="46">'ppr7'!$A$1:$A$186</definedName>
    <definedName name="website3_1" localSheetId="33">'ur3'!$A$1:$A$198</definedName>
    <definedName name="website3_1" localSheetId="49">'ur7'!$A$1:$A$198</definedName>
    <definedName name="website3_2" localSheetId="48">'frr7'!$A$1:$A$310</definedName>
    <definedName name="website3_2" localSheetId="47">'pid7'!$A$1:$A$18</definedName>
    <definedName name="website3_2" localSheetId="46">'ppr7'!$A$1:$A$186</definedName>
    <definedName name="website3_2" localSheetId="49">'ur7'!$A$1:$A$198</definedName>
    <definedName name="website3_3" localSheetId="48">'frr7'!$A$1:$A$310</definedName>
    <definedName name="website3_3" localSheetId="47">'pid7'!$A$1:$A$18</definedName>
    <definedName name="website3_3" localSheetId="46">'ppr7'!$A$1:$A$186</definedName>
    <definedName name="website3_3" localSheetId="49">'ur7'!$A$1:$A$198</definedName>
    <definedName name="website3_4" localSheetId="48">'frr7'!$A$1:$A$310</definedName>
    <definedName name="website3_4" localSheetId="47">'pid7'!$A$1:$A$18</definedName>
    <definedName name="website3_4" localSheetId="46">'ppr7'!$A$1:$A$186</definedName>
    <definedName name="website3_4" localSheetId="49">'ur7'!$A$1:$A$198</definedName>
    <definedName name="website30" localSheetId="36">'frr4'!$A$1:$A$289</definedName>
    <definedName name="website30" localSheetId="44">'frr6'!$A$1:$A$2</definedName>
    <definedName name="website30" localSheetId="35">'pid4'!$A$1:$A$18</definedName>
    <definedName name="website30" localSheetId="43">'pid6'!$A$1:$C$3</definedName>
    <definedName name="website30" localSheetId="34">'ppr4'!$A$1:$A$186</definedName>
    <definedName name="website30" localSheetId="42">'ppr6'!$A$1:$A$186</definedName>
    <definedName name="website30" localSheetId="37">'ur4'!$A$1:$A$177</definedName>
    <definedName name="website30" localSheetId="45">'ur6'!$A$1:$A$2</definedName>
    <definedName name="website30_1" localSheetId="36">'frr4'!$A$1:$A$289</definedName>
    <definedName name="website30_1" localSheetId="35">'pid4'!$A$1:$A$18</definedName>
    <definedName name="website30_1" localSheetId="34">'ppr4'!$A$1:$A$186</definedName>
    <definedName name="website30_1" localSheetId="37">'ur4'!$A$1:$A$177</definedName>
    <definedName name="website30_2" localSheetId="36">'frr4'!$A$1:$A$289</definedName>
    <definedName name="website30_2" localSheetId="35">'pid4'!$A$1:$A$18</definedName>
    <definedName name="website30_2" localSheetId="34">'ppr4'!$A$1:$A$186</definedName>
    <definedName name="website30_2" localSheetId="37">'ur4'!$A$1:$A$177</definedName>
    <definedName name="website30_3" localSheetId="36">'frr4'!$A$1:$A$289</definedName>
    <definedName name="website30_3" localSheetId="35">'pid4'!$A$1:$A$18</definedName>
    <definedName name="website30_3" localSheetId="34">'ppr4'!$A$1:$A$186</definedName>
    <definedName name="website30_3" localSheetId="37">'ur4'!$A$1:$A$177</definedName>
    <definedName name="website30_4" localSheetId="36">'frr4'!$A$1:$A$289</definedName>
    <definedName name="website30_4" localSheetId="35">'pid4'!$A$1:$A$18</definedName>
    <definedName name="website30_4" localSheetId="34">'ppr4'!$A$1:$A$186</definedName>
    <definedName name="website30_4" localSheetId="37">'ur4'!$A$1:$A$177</definedName>
    <definedName name="website31" localSheetId="48">'frr7'!$A$1:$A$2</definedName>
    <definedName name="website31" localSheetId="47">'pid7'!$A$1:$C$3</definedName>
    <definedName name="website31" localSheetId="46">'ppr7'!$A$1:$A$186</definedName>
    <definedName name="website31" localSheetId="49">'ur7'!$A$1:$A$2</definedName>
    <definedName name="website4" localSheetId="36">'frr4'!$A$1:$A$254</definedName>
    <definedName name="website4" localSheetId="35">'pid4'!$A$1:$A$18</definedName>
    <definedName name="website4" localSheetId="34">'ppr4'!$A$1:$A$186</definedName>
    <definedName name="website4" localSheetId="37">'ur4'!$A$1:$A$199</definedName>
    <definedName name="website4_1" localSheetId="36">'frr4'!$A$1:$A$254</definedName>
    <definedName name="website4_1" localSheetId="35">'pid4'!$A$1:$A$18</definedName>
    <definedName name="website4_1" localSheetId="34">'ppr4'!$A$1:$A$186</definedName>
    <definedName name="website4_1" localSheetId="37">'ur4'!$A$1:$A$199</definedName>
    <definedName name="website5" localSheetId="24">'frr1'!$A$1:$A$218</definedName>
    <definedName name="website5" localSheetId="40">'frr5'!$A$1:$A$218</definedName>
    <definedName name="website5" localSheetId="23">'pid1'!$A$1:$A$18</definedName>
    <definedName name="website5" localSheetId="39">'pid5'!$A$1:$A$18</definedName>
    <definedName name="website5" localSheetId="22">'ppr1'!$A$1:$A$186</definedName>
    <definedName name="website5" localSheetId="38">'ppr5'!$A$1:$A$186</definedName>
    <definedName name="website5" localSheetId="25">'ur1'!$A$1:$A$169</definedName>
    <definedName name="website5" localSheetId="41">'ur5'!$A$1:$A$169</definedName>
    <definedName name="website5_1" localSheetId="24">'frr1'!$A$1:$A$218</definedName>
    <definedName name="website5_1" localSheetId="40">'frr5'!$A$1:$A$218</definedName>
    <definedName name="website5_1" localSheetId="23">'pid1'!$A$1:$A$18</definedName>
    <definedName name="website5_1" localSheetId="39">'pid5'!$A$1:$A$18</definedName>
    <definedName name="website5_1" localSheetId="22">'ppr1'!$A$1:$A$186</definedName>
    <definedName name="website5_1" localSheetId="38">'ppr5'!$A$1:$A$186</definedName>
    <definedName name="website5_1" localSheetId="25">'ur1'!$A$1:$A$169</definedName>
    <definedName name="website5_1" localSheetId="41">'ur5'!$A$1:$A$169</definedName>
    <definedName name="website5_2" localSheetId="24">'frr1'!$A$1:$A$218</definedName>
    <definedName name="website5_2" localSheetId="23">'pid1'!$A$1:$A$18</definedName>
    <definedName name="website5_2" localSheetId="22">'ppr1'!$A$1:$A$186</definedName>
    <definedName name="website5_2" localSheetId="25">'ur1'!$A$1:$A$169</definedName>
    <definedName name="website5_3" localSheetId="22">'ppr1'!$A$1:$A$186</definedName>
    <definedName name="website6" localSheetId="28">'frr2'!$A$1:$A$248</definedName>
    <definedName name="website6" localSheetId="44">'frr6'!$A$1:$A$248</definedName>
    <definedName name="website6" localSheetId="27">'pid2'!$A$1:$A$18</definedName>
    <definedName name="website6" localSheetId="43">'pid6'!$A$1:$A$18</definedName>
    <definedName name="website6" localSheetId="26">'ppr2'!$A$1:$A$186</definedName>
    <definedName name="website6" localSheetId="42">'ppr6'!$A$1:$A$186</definedName>
    <definedName name="website6" localSheetId="29">'ur2'!$A$1:$A$180</definedName>
    <definedName name="website6" localSheetId="45">'ur6'!$A$1:$A$180</definedName>
    <definedName name="website6_1" localSheetId="28">'frr2'!$A$1:$A$248</definedName>
    <definedName name="website6_1" localSheetId="44">'frr6'!$A$1:$A$248</definedName>
    <definedName name="website6_1" localSheetId="27">'pid2'!$A$1:$A$18</definedName>
    <definedName name="website6_1" localSheetId="43">'pid6'!$A$1:$A$18</definedName>
    <definedName name="website6_1" localSheetId="26">'ppr2'!$A$1:$A$186</definedName>
    <definedName name="website6_1" localSheetId="42">'ppr6'!$A$1:$A$186</definedName>
    <definedName name="website6_1" localSheetId="29">'ur2'!$A$1:$A$180</definedName>
    <definedName name="website6_1" localSheetId="45">'ur6'!$A$1:$A$180</definedName>
    <definedName name="website6_2" localSheetId="28">'frr2'!$A$1:$A$248</definedName>
    <definedName name="website6_2" localSheetId="27">'pid2'!$A$1:$A$18</definedName>
    <definedName name="website6_2" localSheetId="26">'ppr2'!$A$1:$A$186</definedName>
    <definedName name="website6_2" localSheetId="29">'ur2'!$A$1:$A$180</definedName>
    <definedName name="website7" localSheetId="32">'frr3'!$A$1:$A$247</definedName>
    <definedName name="website7" localSheetId="48">'frr7'!$A$1:$A$247</definedName>
    <definedName name="website7" localSheetId="31">'pid3'!$A$1:$A$18</definedName>
    <definedName name="website7" localSheetId="47">'pid7'!$A$1:$A$18</definedName>
    <definedName name="website7" localSheetId="30">'ppr3'!$A$1:$A$186</definedName>
    <definedName name="website7" localSheetId="46">'ppr7'!$A$1:$A$186</definedName>
    <definedName name="website7" localSheetId="33">'ur3'!$A$1:$A$160</definedName>
    <definedName name="website7" localSheetId="49">'ur7'!$A$1:$A$160</definedName>
    <definedName name="website7_1" localSheetId="32">'frr3'!$A$1:$A$247</definedName>
    <definedName name="website7_1" localSheetId="48">'frr7'!$A$1:$A$247</definedName>
    <definedName name="website7_1" localSheetId="31">'pid3'!$A$1:$A$18</definedName>
    <definedName name="website7_1" localSheetId="47">'pid7'!$A$1:$A$18</definedName>
    <definedName name="website7_1" localSheetId="30">'ppr3'!$A$1:$A$186</definedName>
    <definedName name="website7_1" localSheetId="46">'ppr7'!$A$1:$A$186</definedName>
    <definedName name="website7_1" localSheetId="33">'ur3'!$A$1</definedName>
    <definedName name="website7_1" localSheetId="49">'ur7'!$A$1:$A$160</definedName>
    <definedName name="website7_2" localSheetId="32">'frr3'!$A$1:$A$247</definedName>
    <definedName name="website7_2" localSheetId="31">'pid3'!$A$1:$A$18</definedName>
    <definedName name="website7_2" localSheetId="30">'ppr3'!$A$1:$A$186</definedName>
    <definedName name="website7_2" localSheetId="33">'ur3'!$A$1:$A$160</definedName>
    <definedName name="website8" localSheetId="36">'frr4'!$A$1:$A$275</definedName>
    <definedName name="website8" localSheetId="35">'pid4'!$A$1:$A$18</definedName>
    <definedName name="website8" localSheetId="34">'ppr4'!$A$1:$A$186</definedName>
    <definedName name="website8" localSheetId="37">'ur4'!$A$1:$A$191</definedName>
    <definedName name="website8_1" localSheetId="36">'frr4'!$A$1:$A$275</definedName>
    <definedName name="website8_1" localSheetId="35">'pid4'!$A$1:$A$18</definedName>
    <definedName name="website8_1" localSheetId="34">'ppr4'!$A$1:$A$186</definedName>
    <definedName name="website8_1" localSheetId="37">'ur4'!$A$1:$A$191</definedName>
    <definedName name="website8_2" localSheetId="36">'frr4'!$A$1:$A$275</definedName>
    <definedName name="website8_2" localSheetId="35">'pid4'!$A$1:$A$18</definedName>
    <definedName name="website8_2" localSheetId="34">'ppr4'!$A$1:$A$186</definedName>
    <definedName name="website8_2" localSheetId="37">'ur4'!$A$1:$A$191</definedName>
    <definedName name="website9" localSheetId="24">'frr1'!$A$1</definedName>
    <definedName name="website9" localSheetId="40">'frr5'!$A$1:$A$275</definedName>
    <definedName name="website9" localSheetId="23">'pid1'!$A$1:$A$18</definedName>
    <definedName name="website9" localSheetId="39">'pid5'!$A$1:$A$18</definedName>
    <definedName name="website9" localSheetId="22">'ppr1'!$A$1:$A$186</definedName>
    <definedName name="website9" localSheetId="38">'ppr5'!$A$1:$A$186</definedName>
    <definedName name="website9" localSheetId="25">'ur1'!$A$1:$A$171</definedName>
    <definedName name="website9" localSheetId="41">'ur5'!$A$1:$A$171</definedName>
    <definedName name="website9_1" localSheetId="40">'frr5'!$A$1:$A$275</definedName>
    <definedName name="website9_1" localSheetId="39">'pid5'!$A$1:$A$18</definedName>
    <definedName name="website9_1" localSheetId="38">'ppr5'!$A$1:$A$186</definedName>
    <definedName name="website9_1" localSheetId="41">'ur5'!$A$1</definedName>
    <definedName name="website9_2" localSheetId="40">'frr5'!$A$1:$A$275</definedName>
    <definedName name="website9_2" localSheetId="39">'pid5'!$A$1:$A$18</definedName>
    <definedName name="website9_2" localSheetId="38">'ppr5'!$A$1:$A$186</definedName>
    <definedName name="website9_2" localSheetId="41">'ur5'!$A$1:$A$171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35" l="1"/>
  <c r="I11" i="35" l="1"/>
  <c r="I10" i="35"/>
  <c r="F11" i="35"/>
  <c r="F10" i="35"/>
  <c r="E11" i="35"/>
  <c r="E10" i="35"/>
  <c r="D11" i="35"/>
  <c r="D10" i="35"/>
  <c r="C11" i="35"/>
  <c r="C10" i="35"/>
  <c r="B11" i="35"/>
  <c r="B12" i="35" l="1"/>
  <c r="G10" i="35"/>
  <c r="C12" i="35" l="1"/>
  <c r="F12" i="35"/>
  <c r="E12" i="35"/>
  <c r="D12" i="35"/>
  <c r="C34" i="35"/>
  <c r="D34" i="35"/>
  <c r="E34" i="35"/>
  <c r="F34" i="35"/>
  <c r="G34" i="35"/>
  <c r="H34" i="35"/>
  <c r="I34" i="35"/>
  <c r="J34" i="35"/>
  <c r="K34" i="35"/>
  <c r="L34" i="35"/>
  <c r="M34" i="35"/>
  <c r="N34" i="35"/>
  <c r="O34" i="35"/>
  <c r="P34" i="35"/>
  <c r="C35" i="35"/>
  <c r="D35" i="35"/>
  <c r="E35" i="35"/>
  <c r="F35" i="35"/>
  <c r="G35" i="35"/>
  <c r="H35" i="35"/>
  <c r="I35" i="35"/>
  <c r="J35" i="35"/>
  <c r="K35" i="35"/>
  <c r="L35" i="35"/>
  <c r="M35" i="35"/>
  <c r="N35" i="35"/>
  <c r="O35" i="35"/>
  <c r="P35" i="35"/>
  <c r="C36" i="35"/>
  <c r="D36" i="35"/>
  <c r="E36" i="35"/>
  <c r="F36" i="35"/>
  <c r="G36" i="35"/>
  <c r="H36" i="35"/>
  <c r="I36" i="35"/>
  <c r="J36" i="35"/>
  <c r="K36" i="35"/>
  <c r="L36" i="35"/>
  <c r="M36" i="35"/>
  <c r="N36" i="35"/>
  <c r="O36" i="35"/>
  <c r="P36" i="35"/>
  <c r="C37" i="35"/>
  <c r="D37" i="35"/>
  <c r="E37" i="35"/>
  <c r="F37" i="35"/>
  <c r="G37" i="35"/>
  <c r="H37" i="35"/>
  <c r="I37" i="35"/>
  <c r="J37" i="35"/>
  <c r="K37" i="35"/>
  <c r="L37" i="35"/>
  <c r="M37" i="35"/>
  <c r="N37" i="35"/>
  <c r="O37" i="35"/>
  <c r="P37" i="35"/>
  <c r="C38" i="35"/>
  <c r="D38" i="35"/>
  <c r="E38" i="35"/>
  <c r="F38" i="35"/>
  <c r="G38" i="35"/>
  <c r="H38" i="35"/>
  <c r="I38" i="35"/>
  <c r="J38" i="35"/>
  <c r="K38" i="35"/>
  <c r="L38" i="35"/>
  <c r="M38" i="35"/>
  <c r="N38" i="35"/>
  <c r="O38" i="35"/>
  <c r="P38" i="35"/>
  <c r="C39" i="35"/>
  <c r="D39" i="35"/>
  <c r="E39" i="35"/>
  <c r="F39" i="35"/>
  <c r="G39" i="35"/>
  <c r="H39" i="35"/>
  <c r="I39" i="35"/>
  <c r="J39" i="35"/>
  <c r="K39" i="35"/>
  <c r="L39" i="35"/>
  <c r="M39" i="35"/>
  <c r="N39" i="35"/>
  <c r="O39" i="35"/>
  <c r="P39" i="35"/>
  <c r="C40" i="35"/>
  <c r="D40" i="35"/>
  <c r="E40" i="35"/>
  <c r="F40" i="35"/>
  <c r="G40" i="35"/>
  <c r="H40" i="35"/>
  <c r="I40" i="35"/>
  <c r="J40" i="35"/>
  <c r="K40" i="35"/>
  <c r="L40" i="35"/>
  <c r="M40" i="35"/>
  <c r="N40" i="35"/>
  <c r="O40" i="35"/>
  <c r="P40" i="35"/>
  <c r="B36" i="35"/>
  <c r="B37" i="35"/>
  <c r="B38" i="35"/>
  <c r="B39" i="35"/>
  <c r="B40" i="35"/>
  <c r="B35" i="35"/>
  <c r="B34" i="35"/>
  <c r="A14" i="35" l="1"/>
  <c r="A15" i="35" s="1"/>
  <c r="A16" i="35" s="1"/>
  <c r="A17" i="35" s="1"/>
  <c r="A18" i="35" s="1"/>
  <c r="A19" i="35" s="1"/>
  <c r="A20" i="35" s="1"/>
  <c r="A40" i="35" s="1"/>
  <c r="A36" i="35" l="1"/>
  <c r="A37" i="35"/>
  <c r="A35" i="35"/>
  <c r="A38" i="35"/>
  <c r="A39" i="35"/>
  <c r="A34" i="35"/>
  <c r="P44" i="44"/>
  <c r="O44" i="44"/>
  <c r="N44" i="44"/>
  <c r="M44" i="44"/>
  <c r="L44" i="44"/>
  <c r="K44" i="44"/>
  <c r="J44" i="44"/>
  <c r="I44" i="44"/>
  <c r="H44" i="44"/>
  <c r="G44" i="44"/>
  <c r="F44" i="44"/>
  <c r="E44" i="44"/>
  <c r="D44" i="44"/>
  <c r="C44" i="44"/>
  <c r="B44" i="44"/>
  <c r="P43" i="44"/>
  <c r="O43" i="44"/>
  <c r="N43" i="44"/>
  <c r="M43" i="44"/>
  <c r="L43" i="44"/>
  <c r="K43" i="44"/>
  <c r="J43" i="44"/>
  <c r="I43" i="44"/>
  <c r="H43" i="44"/>
  <c r="G43" i="44"/>
  <c r="F43" i="44"/>
  <c r="E43" i="44"/>
  <c r="D43" i="44"/>
  <c r="C43" i="44"/>
  <c r="B43" i="44"/>
  <c r="P32" i="44"/>
  <c r="O32" i="44"/>
  <c r="N32" i="44"/>
  <c r="M32" i="44"/>
  <c r="L32" i="44"/>
  <c r="K32" i="44"/>
  <c r="J32" i="44"/>
  <c r="I32" i="44"/>
  <c r="H32" i="44"/>
  <c r="G32" i="44"/>
  <c r="F32" i="44"/>
  <c r="E32" i="44"/>
  <c r="D32" i="44"/>
  <c r="C32" i="44"/>
  <c r="B32" i="44"/>
  <c r="P31" i="44"/>
  <c r="O31" i="44"/>
  <c r="N31" i="44"/>
  <c r="M31" i="44"/>
  <c r="L31" i="44"/>
  <c r="K31" i="44"/>
  <c r="J31" i="44"/>
  <c r="I31" i="44"/>
  <c r="H31" i="44"/>
  <c r="G31" i="44"/>
  <c r="F31" i="44"/>
  <c r="E31" i="44"/>
  <c r="D31" i="44"/>
  <c r="C31" i="44"/>
  <c r="B31" i="44"/>
  <c r="P30" i="44"/>
  <c r="O30" i="44"/>
  <c r="N30" i="44"/>
  <c r="M30" i="44"/>
  <c r="L30" i="44"/>
  <c r="K30" i="44"/>
  <c r="J30" i="44"/>
  <c r="I30" i="44"/>
  <c r="H30" i="44"/>
  <c r="G30" i="44"/>
  <c r="F30" i="44"/>
  <c r="E30" i="44"/>
  <c r="D30" i="44"/>
  <c r="C30" i="44"/>
  <c r="B30" i="44"/>
  <c r="P24" i="44"/>
  <c r="O24" i="44"/>
  <c r="N24" i="44"/>
  <c r="M24" i="44"/>
  <c r="L24" i="44"/>
  <c r="K24" i="44"/>
  <c r="J24" i="44"/>
  <c r="I24" i="44"/>
  <c r="H24" i="44"/>
  <c r="G24" i="44"/>
  <c r="F24" i="44"/>
  <c r="E24" i="44"/>
  <c r="D24" i="44"/>
  <c r="C24" i="44"/>
  <c r="B24" i="44"/>
  <c r="P23" i="44"/>
  <c r="O23" i="44"/>
  <c r="N23" i="44"/>
  <c r="M23" i="44"/>
  <c r="L23" i="44"/>
  <c r="K23" i="44"/>
  <c r="J23" i="44"/>
  <c r="I23" i="44"/>
  <c r="H23" i="44"/>
  <c r="G23" i="44"/>
  <c r="F23" i="44"/>
  <c r="E23" i="44"/>
  <c r="D23" i="44"/>
  <c r="C23" i="44"/>
  <c r="B23" i="44"/>
  <c r="P12" i="44"/>
  <c r="O12" i="44"/>
  <c r="N12" i="44"/>
  <c r="M12" i="44"/>
  <c r="L12" i="44"/>
  <c r="K12" i="44"/>
  <c r="J12" i="44"/>
  <c r="I12" i="44"/>
  <c r="H12" i="44"/>
  <c r="G12" i="44"/>
  <c r="F12" i="44"/>
  <c r="E12" i="44"/>
  <c r="D12" i="44"/>
  <c r="C12" i="44"/>
  <c r="B12" i="44"/>
  <c r="P11" i="44"/>
  <c r="O11" i="44"/>
  <c r="N11" i="44"/>
  <c r="M11" i="44"/>
  <c r="L11" i="44"/>
  <c r="K11" i="44"/>
  <c r="J11" i="44"/>
  <c r="I11" i="44"/>
  <c r="H11" i="44"/>
  <c r="G11" i="44"/>
  <c r="F11" i="44"/>
  <c r="E11" i="44"/>
  <c r="D11" i="44"/>
  <c r="C11" i="44"/>
  <c r="B11" i="44"/>
  <c r="P10" i="44"/>
  <c r="O10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B10" i="44"/>
  <c r="P44" i="43"/>
  <c r="O44" i="43"/>
  <c r="N44" i="43"/>
  <c r="M44" i="43"/>
  <c r="L44" i="43"/>
  <c r="K44" i="43"/>
  <c r="J44" i="43"/>
  <c r="I44" i="43"/>
  <c r="H44" i="43"/>
  <c r="G44" i="43"/>
  <c r="F44" i="43"/>
  <c r="E44" i="43"/>
  <c r="D44" i="43"/>
  <c r="C44" i="43"/>
  <c r="B44" i="43"/>
  <c r="P43" i="43"/>
  <c r="O43" i="43"/>
  <c r="N43" i="43"/>
  <c r="M43" i="43"/>
  <c r="L43" i="43"/>
  <c r="K43" i="43"/>
  <c r="J43" i="43"/>
  <c r="I43" i="43"/>
  <c r="H43" i="43"/>
  <c r="G43" i="43"/>
  <c r="F43" i="43"/>
  <c r="E43" i="43"/>
  <c r="D43" i="43"/>
  <c r="C43" i="43"/>
  <c r="B43" i="43"/>
  <c r="P32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C32" i="43"/>
  <c r="B32" i="43"/>
  <c r="P31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C31" i="43"/>
  <c r="B31" i="43"/>
  <c r="P30" i="43"/>
  <c r="O30" i="43"/>
  <c r="N30" i="43"/>
  <c r="M30" i="43"/>
  <c r="L30" i="43"/>
  <c r="K30" i="43"/>
  <c r="J30" i="43"/>
  <c r="I30" i="43"/>
  <c r="H30" i="43"/>
  <c r="G30" i="43"/>
  <c r="F30" i="43"/>
  <c r="E30" i="43"/>
  <c r="D30" i="43"/>
  <c r="C30" i="43"/>
  <c r="B30" i="43"/>
  <c r="P24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C24" i="43"/>
  <c r="B24" i="43"/>
  <c r="P23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C23" i="43"/>
  <c r="B23" i="43"/>
  <c r="P12" i="43"/>
  <c r="O12" i="43"/>
  <c r="N12" i="43"/>
  <c r="M12" i="43"/>
  <c r="L12" i="43"/>
  <c r="K12" i="43"/>
  <c r="J12" i="43"/>
  <c r="I12" i="43"/>
  <c r="H12" i="43"/>
  <c r="G12" i="43"/>
  <c r="F12" i="43"/>
  <c r="E12" i="43"/>
  <c r="D12" i="43"/>
  <c r="C12" i="43"/>
  <c r="B12" i="43"/>
  <c r="P11" i="43"/>
  <c r="O11" i="43"/>
  <c r="N11" i="43"/>
  <c r="M11" i="43"/>
  <c r="L11" i="43"/>
  <c r="K11" i="43"/>
  <c r="J11" i="43"/>
  <c r="I11" i="43"/>
  <c r="H11" i="43"/>
  <c r="G11" i="43"/>
  <c r="F11" i="43"/>
  <c r="E11" i="43"/>
  <c r="D11" i="43"/>
  <c r="C11" i="43"/>
  <c r="B11" i="43"/>
  <c r="P10" i="43"/>
  <c r="O10" i="43"/>
  <c r="N10" i="43"/>
  <c r="M10" i="43"/>
  <c r="L10" i="43"/>
  <c r="K10" i="43"/>
  <c r="J10" i="43"/>
  <c r="I10" i="43"/>
  <c r="H10" i="43"/>
  <c r="G10" i="43"/>
  <c r="F10" i="43"/>
  <c r="E10" i="43"/>
  <c r="D10" i="43"/>
  <c r="C10" i="43"/>
  <c r="B10" i="43"/>
  <c r="P44" i="41"/>
  <c r="O44" i="41"/>
  <c r="N44" i="41"/>
  <c r="M44" i="41"/>
  <c r="L44" i="41"/>
  <c r="K44" i="41"/>
  <c r="J44" i="41"/>
  <c r="I44" i="41"/>
  <c r="H44" i="41"/>
  <c r="G44" i="41"/>
  <c r="F44" i="41"/>
  <c r="E44" i="41"/>
  <c r="D44" i="41"/>
  <c r="C44" i="41"/>
  <c r="B44" i="41"/>
  <c r="P43" i="41"/>
  <c r="O43" i="41"/>
  <c r="N43" i="41"/>
  <c r="M43" i="41"/>
  <c r="L43" i="41"/>
  <c r="K43" i="41"/>
  <c r="J43" i="41"/>
  <c r="I43" i="41"/>
  <c r="H43" i="41"/>
  <c r="G43" i="41"/>
  <c r="F43" i="41"/>
  <c r="E43" i="41"/>
  <c r="D43" i="41"/>
  <c r="C43" i="41"/>
  <c r="B43" i="41"/>
  <c r="P32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C32" i="41"/>
  <c r="B32" i="41"/>
  <c r="P31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C31" i="41"/>
  <c r="B31" i="41"/>
  <c r="P30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C30" i="41"/>
  <c r="B30" i="41"/>
  <c r="P24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C24" i="41"/>
  <c r="B24" i="41"/>
  <c r="P23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C23" i="41"/>
  <c r="B23" i="41"/>
  <c r="P12" i="41"/>
  <c r="O12" i="41"/>
  <c r="N12" i="41"/>
  <c r="M12" i="41"/>
  <c r="L12" i="41"/>
  <c r="K12" i="41"/>
  <c r="J12" i="41"/>
  <c r="I12" i="41"/>
  <c r="H12" i="41"/>
  <c r="G12" i="41"/>
  <c r="F12" i="41"/>
  <c r="E12" i="41"/>
  <c r="D12" i="41"/>
  <c r="C12" i="41"/>
  <c r="B12" i="41"/>
  <c r="P11" i="41"/>
  <c r="O11" i="41"/>
  <c r="N11" i="41"/>
  <c r="M11" i="41"/>
  <c r="L11" i="41"/>
  <c r="K11" i="41"/>
  <c r="J11" i="41"/>
  <c r="I11" i="41"/>
  <c r="H11" i="41"/>
  <c r="G11" i="41"/>
  <c r="F11" i="41"/>
  <c r="E11" i="41"/>
  <c r="D11" i="41"/>
  <c r="C11" i="41"/>
  <c r="B11" i="41"/>
  <c r="P10" i="41"/>
  <c r="O10" i="41"/>
  <c r="N10" i="41"/>
  <c r="M10" i="41"/>
  <c r="L10" i="41"/>
  <c r="K10" i="41"/>
  <c r="J10" i="41"/>
  <c r="I10" i="41"/>
  <c r="H10" i="41"/>
  <c r="G10" i="41"/>
  <c r="F10" i="41"/>
  <c r="E10" i="41"/>
  <c r="D10" i="41"/>
  <c r="C10" i="41"/>
  <c r="B10" i="41"/>
  <c r="P20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P8" i="27"/>
  <c r="O8" i="27"/>
  <c r="N8" i="27"/>
  <c r="M8" i="27"/>
  <c r="L8" i="27"/>
  <c r="K8" i="27"/>
  <c r="J8" i="27"/>
  <c r="I8" i="27"/>
  <c r="H8" i="27"/>
  <c r="G8" i="27"/>
  <c r="F8" i="27"/>
  <c r="E8" i="27"/>
  <c r="D8" i="27"/>
  <c r="C8" i="27"/>
  <c r="B8" i="27"/>
  <c r="P7" i="27"/>
  <c r="O7" i="27"/>
  <c r="N7" i="27"/>
  <c r="M7" i="27"/>
  <c r="L7" i="27"/>
  <c r="K7" i="27"/>
  <c r="J7" i="27"/>
  <c r="I7" i="27"/>
  <c r="H7" i="27"/>
  <c r="G7" i="27"/>
  <c r="F7" i="27"/>
  <c r="E7" i="27"/>
  <c r="D7" i="27"/>
  <c r="C7" i="27"/>
  <c r="B7" i="27"/>
  <c r="L17" i="24"/>
  <c r="K17" i="24"/>
  <c r="J17" i="24"/>
  <c r="I17" i="24"/>
  <c r="H17" i="24"/>
  <c r="G17" i="24"/>
  <c r="F17" i="24"/>
  <c r="E17" i="24"/>
  <c r="D17" i="24"/>
  <c r="C17" i="24"/>
  <c r="B17" i="24"/>
  <c r="L16" i="24"/>
  <c r="K16" i="24"/>
  <c r="J16" i="24"/>
  <c r="I16" i="24"/>
  <c r="H16" i="24"/>
  <c r="G16" i="24"/>
  <c r="F16" i="24"/>
  <c r="E16" i="24"/>
  <c r="D16" i="24"/>
  <c r="C16" i="24"/>
  <c r="B16" i="24"/>
  <c r="L5" i="24"/>
  <c r="K5" i="24"/>
  <c r="J5" i="24"/>
  <c r="I5" i="24"/>
  <c r="H5" i="24"/>
  <c r="G5" i="24"/>
  <c r="F5" i="24"/>
  <c r="E5" i="24"/>
  <c r="D5" i="24"/>
  <c r="C5" i="24"/>
  <c r="B5" i="24"/>
  <c r="L4" i="24"/>
  <c r="K4" i="24"/>
  <c r="J4" i="24"/>
  <c r="I4" i="24"/>
  <c r="H4" i="24"/>
  <c r="G4" i="24"/>
  <c r="F4" i="24"/>
  <c r="E4" i="24"/>
  <c r="D4" i="24"/>
  <c r="C4" i="24"/>
  <c r="B4" i="24"/>
  <c r="L20" i="22"/>
  <c r="K20" i="22"/>
  <c r="J20" i="22"/>
  <c r="I20" i="22"/>
  <c r="H20" i="22"/>
  <c r="G20" i="22"/>
  <c r="F20" i="22"/>
  <c r="E20" i="22"/>
  <c r="D20" i="22"/>
  <c r="C20" i="22"/>
  <c r="B20" i="22"/>
  <c r="L19" i="22"/>
  <c r="K19" i="22"/>
  <c r="J19" i="22"/>
  <c r="I19" i="22"/>
  <c r="H19" i="22"/>
  <c r="G19" i="22"/>
  <c r="F19" i="22"/>
  <c r="E19" i="22"/>
  <c r="D19" i="22"/>
  <c r="C19" i="22"/>
  <c r="B19" i="22"/>
  <c r="L8" i="22"/>
  <c r="K8" i="22"/>
  <c r="J8" i="22"/>
  <c r="I8" i="22"/>
  <c r="H8" i="22"/>
  <c r="G8" i="22"/>
  <c r="F8" i="22"/>
  <c r="E8" i="22"/>
  <c r="D8" i="22"/>
  <c r="C8" i="22"/>
  <c r="B8" i="22"/>
  <c r="L7" i="22"/>
  <c r="K7" i="22"/>
  <c r="J7" i="22"/>
  <c r="I7" i="22"/>
  <c r="H7" i="22"/>
  <c r="G7" i="22"/>
  <c r="F7" i="22"/>
  <c r="E7" i="22"/>
  <c r="D7" i="22"/>
  <c r="C7" i="22"/>
  <c r="B7" i="22"/>
  <c r="L17" i="21"/>
  <c r="K17" i="21"/>
  <c r="J17" i="21"/>
  <c r="I17" i="21"/>
  <c r="H17" i="21"/>
  <c r="G17" i="21"/>
  <c r="F17" i="21"/>
  <c r="E17" i="21"/>
  <c r="D17" i="21"/>
  <c r="C17" i="21"/>
  <c r="B17" i="21"/>
  <c r="L16" i="21"/>
  <c r="K16" i="21"/>
  <c r="J16" i="21"/>
  <c r="I16" i="21"/>
  <c r="H16" i="21"/>
  <c r="G16" i="21"/>
  <c r="F16" i="21"/>
  <c r="E16" i="21"/>
  <c r="D16" i="21"/>
  <c r="C16" i="21"/>
  <c r="B16" i="21"/>
  <c r="L5" i="21"/>
  <c r="K5" i="21"/>
  <c r="J5" i="21"/>
  <c r="I5" i="21"/>
  <c r="H5" i="21"/>
  <c r="G5" i="21"/>
  <c r="F5" i="21"/>
  <c r="E5" i="21"/>
  <c r="D5" i="21"/>
  <c r="C5" i="21"/>
  <c r="B5" i="21"/>
  <c r="L4" i="21"/>
  <c r="K4" i="21"/>
  <c r="J4" i="21"/>
  <c r="I4" i="21"/>
  <c r="H4" i="21"/>
  <c r="G4" i="21"/>
  <c r="F4" i="21"/>
  <c r="E4" i="21"/>
  <c r="D4" i="21"/>
  <c r="C4" i="21"/>
  <c r="B4" i="21"/>
  <c r="L17" i="20"/>
  <c r="K17" i="20"/>
  <c r="J17" i="20"/>
  <c r="I17" i="20"/>
  <c r="H17" i="20"/>
  <c r="G17" i="20"/>
  <c r="F17" i="20"/>
  <c r="E17" i="20"/>
  <c r="D17" i="20"/>
  <c r="C17" i="20"/>
  <c r="B17" i="20"/>
  <c r="L16" i="20"/>
  <c r="K16" i="20"/>
  <c r="J16" i="20"/>
  <c r="I16" i="20"/>
  <c r="H16" i="20"/>
  <c r="G16" i="20"/>
  <c r="F16" i="20"/>
  <c r="E16" i="20"/>
  <c r="D16" i="20"/>
  <c r="C16" i="20"/>
  <c r="B16" i="20"/>
  <c r="L5" i="20"/>
  <c r="K5" i="20"/>
  <c r="J5" i="20"/>
  <c r="I5" i="20"/>
  <c r="H5" i="20"/>
  <c r="G5" i="20"/>
  <c r="F5" i="20"/>
  <c r="E5" i="20"/>
  <c r="D5" i="20"/>
  <c r="C5" i="20"/>
  <c r="B5" i="20"/>
  <c r="L4" i="20"/>
  <c r="K4" i="20"/>
  <c r="J4" i="20"/>
  <c r="I4" i="20"/>
  <c r="H4" i="20"/>
  <c r="G4" i="20"/>
  <c r="F4" i="20"/>
  <c r="E4" i="20"/>
  <c r="D4" i="20"/>
  <c r="C4" i="20"/>
  <c r="B4" i="20"/>
  <c r="L17" i="19"/>
  <c r="K17" i="19"/>
  <c r="J17" i="19"/>
  <c r="I17" i="19"/>
  <c r="H17" i="19"/>
  <c r="G17" i="19"/>
  <c r="F17" i="19"/>
  <c r="E17" i="19"/>
  <c r="D17" i="19"/>
  <c r="C17" i="19"/>
  <c r="B17" i="19"/>
  <c r="L16" i="19"/>
  <c r="K16" i="19"/>
  <c r="J16" i="19"/>
  <c r="I16" i="19"/>
  <c r="H16" i="19"/>
  <c r="G16" i="19"/>
  <c r="F16" i="19"/>
  <c r="E16" i="19"/>
  <c r="D16" i="19"/>
  <c r="C16" i="19"/>
  <c r="B16" i="19"/>
  <c r="L5" i="19"/>
  <c r="K5" i="19"/>
  <c r="J5" i="19"/>
  <c r="I5" i="19"/>
  <c r="H5" i="19"/>
  <c r="G5" i="19"/>
  <c r="F5" i="19"/>
  <c r="E5" i="19"/>
  <c r="D5" i="19"/>
  <c r="C5" i="19"/>
  <c r="B5" i="19"/>
  <c r="L4" i="19"/>
  <c r="K4" i="19"/>
  <c r="J4" i="19"/>
  <c r="I4" i="19"/>
  <c r="H4" i="19"/>
  <c r="G4" i="19"/>
  <c r="F4" i="19"/>
  <c r="E4" i="19"/>
  <c r="D4" i="19"/>
  <c r="C4" i="19"/>
  <c r="B4" i="19"/>
  <c r="L17" i="18"/>
  <c r="K17" i="18"/>
  <c r="J17" i="18"/>
  <c r="I17" i="18"/>
  <c r="H17" i="18"/>
  <c r="G17" i="18"/>
  <c r="F17" i="18"/>
  <c r="E17" i="18"/>
  <c r="D17" i="18"/>
  <c r="C17" i="18"/>
  <c r="B17" i="18"/>
  <c r="L16" i="18"/>
  <c r="K16" i="18"/>
  <c r="J16" i="18"/>
  <c r="I16" i="18"/>
  <c r="H16" i="18"/>
  <c r="G16" i="18"/>
  <c r="F16" i="18"/>
  <c r="E16" i="18"/>
  <c r="D16" i="18"/>
  <c r="C16" i="18"/>
  <c r="B16" i="18"/>
  <c r="L5" i="18"/>
  <c r="K5" i="18"/>
  <c r="J5" i="18"/>
  <c r="I5" i="18"/>
  <c r="H5" i="18"/>
  <c r="G5" i="18"/>
  <c r="F5" i="18"/>
  <c r="E5" i="18"/>
  <c r="D5" i="18"/>
  <c r="C5" i="18"/>
  <c r="B5" i="18"/>
  <c r="L4" i="18"/>
  <c r="K4" i="18"/>
  <c r="J4" i="18"/>
  <c r="I4" i="18"/>
  <c r="H4" i="18"/>
  <c r="G4" i="18"/>
  <c r="F4" i="18"/>
  <c r="E4" i="18"/>
  <c r="D4" i="18"/>
  <c r="C4" i="18"/>
  <c r="B4" i="18"/>
  <c r="L17" i="17"/>
  <c r="K17" i="17"/>
  <c r="J17" i="17"/>
  <c r="I17" i="17"/>
  <c r="H17" i="17"/>
  <c r="G17" i="17"/>
  <c r="F17" i="17"/>
  <c r="E17" i="17"/>
  <c r="D17" i="17"/>
  <c r="C17" i="17"/>
  <c r="B17" i="17"/>
  <c r="L16" i="17"/>
  <c r="K16" i="17"/>
  <c r="J16" i="17"/>
  <c r="I16" i="17"/>
  <c r="H16" i="17"/>
  <c r="G16" i="17"/>
  <c r="F16" i="17"/>
  <c r="E16" i="17"/>
  <c r="D16" i="17"/>
  <c r="C16" i="17"/>
  <c r="B16" i="17"/>
  <c r="L5" i="17"/>
  <c r="K5" i="17"/>
  <c r="J5" i="17"/>
  <c r="I5" i="17"/>
  <c r="H5" i="17"/>
  <c r="G5" i="17"/>
  <c r="F5" i="17"/>
  <c r="E5" i="17"/>
  <c r="D5" i="17"/>
  <c r="C5" i="17"/>
  <c r="B5" i="17"/>
  <c r="L4" i="17"/>
  <c r="K4" i="17"/>
  <c r="J4" i="17"/>
  <c r="I4" i="17"/>
  <c r="H4" i="17"/>
  <c r="G4" i="17"/>
  <c r="F4" i="17"/>
  <c r="E4" i="17"/>
  <c r="D4" i="17"/>
  <c r="C4" i="17"/>
  <c r="B4" i="17"/>
  <c r="L17" i="15"/>
  <c r="K17" i="15"/>
  <c r="J17" i="15"/>
  <c r="I17" i="15"/>
  <c r="H17" i="15"/>
  <c r="G17" i="15"/>
  <c r="F17" i="15"/>
  <c r="E17" i="15"/>
  <c r="D17" i="15"/>
  <c r="C17" i="15"/>
  <c r="B17" i="15"/>
  <c r="L16" i="15"/>
  <c r="K16" i="15"/>
  <c r="J16" i="15"/>
  <c r="I16" i="15"/>
  <c r="H16" i="15"/>
  <c r="G16" i="15"/>
  <c r="F16" i="15"/>
  <c r="E16" i="15"/>
  <c r="D16" i="15"/>
  <c r="C16" i="15"/>
  <c r="B16" i="15"/>
  <c r="L5" i="15"/>
  <c r="K5" i="15"/>
  <c r="J5" i="15"/>
  <c r="I5" i="15"/>
  <c r="H5" i="15"/>
  <c r="G5" i="15"/>
  <c r="F5" i="15"/>
  <c r="E5" i="15"/>
  <c r="D5" i="15"/>
  <c r="C5" i="15"/>
  <c r="B5" i="15"/>
  <c r="L4" i="15"/>
  <c r="K4" i="15"/>
  <c r="J4" i="15"/>
  <c r="I4" i="15"/>
  <c r="H4" i="15"/>
  <c r="G4" i="15"/>
  <c r="F4" i="15"/>
  <c r="E4" i="15"/>
  <c r="D4" i="15"/>
  <c r="C4" i="15"/>
  <c r="B4" i="15"/>
  <c r="L17" i="14"/>
  <c r="K17" i="14"/>
  <c r="J17" i="14"/>
  <c r="I17" i="14"/>
  <c r="H17" i="14"/>
  <c r="G17" i="14"/>
  <c r="F17" i="14"/>
  <c r="E17" i="14"/>
  <c r="D17" i="14"/>
  <c r="C17" i="14"/>
  <c r="B17" i="14"/>
  <c r="L16" i="14"/>
  <c r="K16" i="14"/>
  <c r="J16" i="14"/>
  <c r="I16" i="14"/>
  <c r="H16" i="14"/>
  <c r="G16" i="14"/>
  <c r="F16" i="14"/>
  <c r="E16" i="14"/>
  <c r="D16" i="14"/>
  <c r="C16" i="14"/>
  <c r="B16" i="14"/>
  <c r="L5" i="14"/>
  <c r="K5" i="14"/>
  <c r="J5" i="14"/>
  <c r="I5" i="14"/>
  <c r="H5" i="14"/>
  <c r="G5" i="14"/>
  <c r="F5" i="14"/>
  <c r="E5" i="14"/>
  <c r="D5" i="14"/>
  <c r="C5" i="14"/>
  <c r="B5" i="14"/>
  <c r="L4" i="14"/>
  <c r="K4" i="14"/>
  <c r="J4" i="14"/>
  <c r="I4" i="14"/>
  <c r="H4" i="14"/>
  <c r="G4" i="14"/>
  <c r="F4" i="14"/>
  <c r="E4" i="14"/>
  <c r="D4" i="14"/>
  <c r="C4" i="14"/>
  <c r="B4" i="14"/>
  <c r="L17" i="12"/>
  <c r="K17" i="12"/>
  <c r="J17" i="12"/>
  <c r="I17" i="12"/>
  <c r="H17" i="12"/>
  <c r="G17" i="12"/>
  <c r="F17" i="12"/>
  <c r="E17" i="12"/>
  <c r="D17" i="12"/>
  <c r="C17" i="12"/>
  <c r="B17" i="12"/>
  <c r="L16" i="12"/>
  <c r="K16" i="12"/>
  <c r="J16" i="12"/>
  <c r="I16" i="12"/>
  <c r="H16" i="12"/>
  <c r="G16" i="12"/>
  <c r="F16" i="12"/>
  <c r="E16" i="12"/>
  <c r="D16" i="12"/>
  <c r="C16" i="12"/>
  <c r="B16" i="12"/>
  <c r="L5" i="12"/>
  <c r="K5" i="12"/>
  <c r="J5" i="12"/>
  <c r="I5" i="12"/>
  <c r="H5" i="12"/>
  <c r="G5" i="12"/>
  <c r="F5" i="12"/>
  <c r="E5" i="12"/>
  <c r="D5" i="12"/>
  <c r="C5" i="12"/>
  <c r="B5" i="12"/>
  <c r="L4" i="12"/>
  <c r="K4" i="12"/>
  <c r="J4" i="12"/>
  <c r="I4" i="12"/>
  <c r="H4" i="12"/>
  <c r="G4" i="12"/>
  <c r="F4" i="12"/>
  <c r="E4" i="12"/>
  <c r="D4" i="12"/>
  <c r="C4" i="12"/>
  <c r="B4" i="12"/>
  <c r="L17" i="11"/>
  <c r="K17" i="11"/>
  <c r="J17" i="11"/>
  <c r="I17" i="11"/>
  <c r="H17" i="11"/>
  <c r="G17" i="11"/>
  <c r="F17" i="11"/>
  <c r="E17" i="11"/>
  <c r="D17" i="11"/>
  <c r="C17" i="11"/>
  <c r="B17" i="11"/>
  <c r="L16" i="11"/>
  <c r="K16" i="11"/>
  <c r="J16" i="11"/>
  <c r="I16" i="11"/>
  <c r="H16" i="11"/>
  <c r="G16" i="11"/>
  <c r="F16" i="11"/>
  <c r="E16" i="11"/>
  <c r="D16" i="11"/>
  <c r="C16" i="11"/>
  <c r="B16" i="11"/>
  <c r="L5" i="11"/>
  <c r="K5" i="11"/>
  <c r="J5" i="11"/>
  <c r="I5" i="11"/>
  <c r="H5" i="11"/>
  <c r="G5" i="11"/>
  <c r="F5" i="11"/>
  <c r="E5" i="11"/>
  <c r="D5" i="11"/>
  <c r="C5" i="11"/>
  <c r="B5" i="11"/>
  <c r="L4" i="11"/>
  <c r="K4" i="11"/>
  <c r="J4" i="11"/>
  <c r="I4" i="11"/>
  <c r="H4" i="11"/>
  <c r="G4" i="11"/>
  <c r="F4" i="11"/>
  <c r="E4" i="11"/>
  <c r="D4" i="11"/>
  <c r="C4" i="11"/>
  <c r="B4" i="11"/>
  <c r="L17" i="10"/>
  <c r="K17" i="10"/>
  <c r="J17" i="10"/>
  <c r="I17" i="10"/>
  <c r="H17" i="10"/>
  <c r="G17" i="10"/>
  <c r="F17" i="10"/>
  <c r="E17" i="10"/>
  <c r="D17" i="10"/>
  <c r="C17" i="10"/>
  <c r="B17" i="10"/>
  <c r="L16" i="10"/>
  <c r="K16" i="10"/>
  <c r="J16" i="10"/>
  <c r="I16" i="10"/>
  <c r="H16" i="10"/>
  <c r="G16" i="10"/>
  <c r="F16" i="10"/>
  <c r="E16" i="10"/>
  <c r="D16" i="10"/>
  <c r="C16" i="10"/>
  <c r="B16" i="10"/>
  <c r="L5" i="10"/>
  <c r="K5" i="10"/>
  <c r="J5" i="10"/>
  <c r="I5" i="10"/>
  <c r="H5" i="10"/>
  <c r="G5" i="10"/>
  <c r="F5" i="10"/>
  <c r="E5" i="10"/>
  <c r="D5" i="10"/>
  <c r="C5" i="10"/>
  <c r="B5" i="10"/>
  <c r="L4" i="10"/>
  <c r="K4" i="10"/>
  <c r="J4" i="10"/>
  <c r="I4" i="10"/>
  <c r="H4" i="10"/>
  <c r="G4" i="10"/>
  <c r="F4" i="10"/>
  <c r="E4" i="10"/>
  <c r="D4" i="10"/>
  <c r="C4" i="10"/>
  <c r="B4" i="10"/>
  <c r="L17" i="9"/>
  <c r="K17" i="9"/>
  <c r="J17" i="9"/>
  <c r="I17" i="9"/>
  <c r="H17" i="9"/>
  <c r="G17" i="9"/>
  <c r="F17" i="9"/>
  <c r="E17" i="9"/>
  <c r="D17" i="9"/>
  <c r="C17" i="9"/>
  <c r="B17" i="9"/>
  <c r="L16" i="9"/>
  <c r="K16" i="9"/>
  <c r="J16" i="9"/>
  <c r="I16" i="9"/>
  <c r="H16" i="9"/>
  <c r="G16" i="9"/>
  <c r="F16" i="9"/>
  <c r="E16" i="9"/>
  <c r="D16" i="9"/>
  <c r="C16" i="9"/>
  <c r="B16" i="9"/>
  <c r="L5" i="9"/>
  <c r="K5" i="9"/>
  <c r="J5" i="9"/>
  <c r="I5" i="9"/>
  <c r="H5" i="9"/>
  <c r="G5" i="9"/>
  <c r="F5" i="9"/>
  <c r="E5" i="9"/>
  <c r="D5" i="9"/>
  <c r="C5" i="9"/>
  <c r="B5" i="9"/>
  <c r="L4" i="9"/>
  <c r="K4" i="9"/>
  <c r="J4" i="9"/>
  <c r="I4" i="9"/>
  <c r="H4" i="9"/>
  <c r="G4" i="9"/>
  <c r="F4" i="9"/>
  <c r="E4" i="9"/>
  <c r="D4" i="9"/>
  <c r="C4" i="9"/>
  <c r="B4" i="9"/>
  <c r="J17" i="7"/>
  <c r="I17" i="7"/>
  <c r="H17" i="7"/>
  <c r="G17" i="7"/>
  <c r="F17" i="7"/>
  <c r="E17" i="7"/>
  <c r="D17" i="7"/>
  <c r="C17" i="7"/>
  <c r="B17" i="7"/>
  <c r="J16" i="7"/>
  <c r="I16" i="7"/>
  <c r="H16" i="7"/>
  <c r="G16" i="7"/>
  <c r="F16" i="7"/>
  <c r="E16" i="7"/>
  <c r="D16" i="7"/>
  <c r="C16" i="7"/>
  <c r="B16" i="7"/>
  <c r="J5" i="7"/>
  <c r="I5" i="7"/>
  <c r="H5" i="7"/>
  <c r="G5" i="7"/>
  <c r="F5" i="7"/>
  <c r="E5" i="7"/>
  <c r="D5" i="7"/>
  <c r="C5" i="7"/>
  <c r="B5" i="7"/>
  <c r="J4" i="7"/>
  <c r="I4" i="7"/>
  <c r="H4" i="7"/>
  <c r="G4" i="7"/>
  <c r="F4" i="7"/>
  <c r="E4" i="7"/>
  <c r="D4" i="7"/>
  <c r="C4" i="7"/>
  <c r="B4" i="7"/>
  <c r="J17" i="6"/>
  <c r="I17" i="6"/>
  <c r="H17" i="6"/>
  <c r="G17" i="6"/>
  <c r="F17" i="6"/>
  <c r="E17" i="6"/>
  <c r="D17" i="6"/>
  <c r="C17" i="6"/>
  <c r="B17" i="6"/>
  <c r="J16" i="6"/>
  <c r="I16" i="6"/>
  <c r="H16" i="6"/>
  <c r="G16" i="6"/>
  <c r="F16" i="6"/>
  <c r="E16" i="6"/>
  <c r="D16" i="6"/>
  <c r="C16" i="6"/>
  <c r="B16" i="6"/>
  <c r="J5" i="6"/>
  <c r="I5" i="6"/>
  <c r="H5" i="6"/>
  <c r="G5" i="6"/>
  <c r="F5" i="6"/>
  <c r="E5" i="6"/>
  <c r="D5" i="6"/>
  <c r="C5" i="6"/>
  <c r="B5" i="6"/>
  <c r="J4" i="6"/>
  <c r="I4" i="6"/>
  <c r="H4" i="6"/>
  <c r="G4" i="6"/>
  <c r="F4" i="6"/>
  <c r="E4" i="6"/>
  <c r="D4" i="6"/>
  <c r="C4" i="6"/>
  <c r="B4" i="6"/>
  <c r="J17" i="3"/>
  <c r="I17" i="3"/>
  <c r="H17" i="3"/>
  <c r="G17" i="3"/>
  <c r="F17" i="3"/>
  <c r="E17" i="3"/>
  <c r="D17" i="3"/>
  <c r="C17" i="3"/>
  <c r="B17" i="3"/>
  <c r="J16" i="3"/>
  <c r="I16" i="3"/>
  <c r="H16" i="3"/>
  <c r="G16" i="3"/>
  <c r="F16" i="3"/>
  <c r="E16" i="3"/>
  <c r="D16" i="3"/>
  <c r="C16" i="3"/>
  <c r="B16" i="3"/>
  <c r="J5" i="3"/>
  <c r="I5" i="3"/>
  <c r="H5" i="3"/>
  <c r="G5" i="3"/>
  <c r="F5" i="3"/>
  <c r="E5" i="3"/>
  <c r="D5" i="3"/>
  <c r="C5" i="3"/>
  <c r="B5" i="3"/>
  <c r="J4" i="3"/>
  <c r="I4" i="3"/>
  <c r="H4" i="3"/>
  <c r="G4" i="3"/>
  <c r="F4" i="3"/>
  <c r="E4" i="3"/>
  <c r="D4" i="3"/>
  <c r="C4" i="3"/>
  <c r="B4" i="3"/>
  <c r="J17" i="1"/>
  <c r="I17" i="1"/>
  <c r="H17" i="1"/>
  <c r="G17" i="1"/>
  <c r="F17" i="1"/>
  <c r="E17" i="1"/>
  <c r="D17" i="1"/>
  <c r="C17" i="1"/>
  <c r="B17" i="1"/>
  <c r="J16" i="1"/>
  <c r="I16" i="1"/>
  <c r="H16" i="1"/>
  <c r="G16" i="1"/>
  <c r="F16" i="1"/>
  <c r="E16" i="1"/>
  <c r="D16" i="1"/>
  <c r="C16" i="1"/>
  <c r="B16" i="1"/>
  <c r="J5" i="1"/>
  <c r="I5" i="1"/>
  <c r="H5" i="1"/>
  <c r="G5" i="1"/>
  <c r="F5" i="1"/>
  <c r="E5" i="1"/>
  <c r="D5" i="1"/>
  <c r="C5" i="1"/>
  <c r="B5" i="1"/>
  <c r="J4" i="1"/>
  <c r="I4" i="1"/>
  <c r="H4" i="1"/>
  <c r="G4" i="1"/>
  <c r="F4" i="1"/>
  <c r="E4" i="1"/>
  <c r="D4" i="1"/>
  <c r="C4" i="1"/>
  <c r="B4" i="1"/>
  <c r="P43" i="35"/>
  <c r="P44" i="35" s="1"/>
  <c r="M43" i="35"/>
  <c r="M44" i="35" s="1"/>
  <c r="L43" i="35"/>
  <c r="L44" i="35" s="1"/>
  <c r="J43" i="35"/>
  <c r="J44" i="35" s="1"/>
  <c r="I43" i="35"/>
  <c r="I44" i="35" s="1"/>
  <c r="G43" i="35"/>
  <c r="G44" i="35" s="1"/>
  <c r="C43" i="35"/>
  <c r="C44" i="35" s="1"/>
  <c r="O31" i="35"/>
  <c r="K30" i="35"/>
  <c r="F30" i="35"/>
  <c r="P31" i="35"/>
  <c r="M31" i="35"/>
  <c r="L31" i="35"/>
  <c r="J31" i="35"/>
  <c r="I31" i="35"/>
  <c r="G31" i="35"/>
  <c r="C31" i="35"/>
  <c r="P30" i="35"/>
  <c r="M30" i="35"/>
  <c r="L30" i="35"/>
  <c r="J30" i="35"/>
  <c r="I30" i="35"/>
  <c r="G30" i="35"/>
  <c r="C30" i="35"/>
  <c r="P23" i="35"/>
  <c r="P24" i="35" s="1"/>
  <c r="O23" i="35"/>
  <c r="O24" i="35" s="1"/>
  <c r="N23" i="35"/>
  <c r="N24" i="35" s="1"/>
  <c r="M23" i="35"/>
  <c r="M24" i="35" s="1"/>
  <c r="L23" i="35"/>
  <c r="L24" i="35" s="1"/>
  <c r="K23" i="35"/>
  <c r="K24" i="35" s="1"/>
  <c r="J23" i="35"/>
  <c r="J24" i="35" s="1"/>
  <c r="I23" i="35"/>
  <c r="I24" i="35" s="1"/>
  <c r="H23" i="35"/>
  <c r="H24" i="35" s="1"/>
  <c r="G23" i="35"/>
  <c r="G24" i="35" s="1"/>
  <c r="F23" i="35"/>
  <c r="F24" i="35" s="1"/>
  <c r="E23" i="35"/>
  <c r="E24" i="35" s="1"/>
  <c r="D23" i="35"/>
  <c r="D24" i="35" s="1"/>
  <c r="C23" i="35"/>
  <c r="C24" i="35" s="1"/>
  <c r="B23" i="35"/>
  <c r="B24" i="35" s="1"/>
  <c r="P11" i="35"/>
  <c r="O11" i="35"/>
  <c r="N11" i="35"/>
  <c r="M11" i="35"/>
  <c r="L11" i="35"/>
  <c r="K11" i="35"/>
  <c r="J11" i="35"/>
  <c r="H11" i="35"/>
  <c r="G11" i="35"/>
  <c r="P10" i="35"/>
  <c r="O10" i="35"/>
  <c r="N10" i="35"/>
  <c r="M10" i="35"/>
  <c r="L10" i="35"/>
  <c r="K10" i="35"/>
  <c r="J10" i="35"/>
  <c r="H10" i="35"/>
  <c r="P12" i="35" l="1"/>
  <c r="I12" i="35"/>
  <c r="L32" i="35"/>
  <c r="L12" i="35"/>
  <c r="M32" i="35"/>
  <c r="P32" i="35"/>
  <c r="G12" i="35"/>
  <c r="J12" i="35"/>
  <c r="M12" i="35"/>
  <c r="G32" i="35"/>
  <c r="I32" i="35"/>
  <c r="J32" i="35"/>
  <c r="C32" i="35"/>
  <c r="B31" i="35"/>
  <c r="N31" i="35"/>
  <c r="D31" i="35"/>
  <c r="H31" i="35"/>
  <c r="N30" i="35"/>
  <c r="H30" i="35"/>
  <c r="D30" i="35"/>
  <c r="F31" i="35"/>
  <c r="F32" i="35" s="1"/>
  <c r="E31" i="35"/>
  <c r="O12" i="35"/>
  <c r="N12" i="35"/>
  <c r="K12" i="35"/>
  <c r="K31" i="35"/>
  <c r="K32" i="35" s="1"/>
  <c r="H12" i="35"/>
  <c r="O30" i="35"/>
  <c r="O32" i="35" s="1"/>
  <c r="E30" i="35"/>
  <c r="O43" i="35"/>
  <c r="O44" i="35" s="1"/>
  <c r="N43" i="35"/>
  <c r="N44" i="35" s="1"/>
  <c r="K43" i="35"/>
  <c r="K44" i="35" s="1"/>
  <c r="H43" i="35"/>
  <c r="H44" i="35" s="1"/>
  <c r="F43" i="35"/>
  <c r="F44" i="35" s="1"/>
  <c r="E43" i="35"/>
  <c r="E44" i="35" s="1"/>
  <c r="B43" i="35"/>
  <c r="B44" i="35" s="1"/>
  <c r="D43" i="35"/>
  <c r="D44" i="35" s="1"/>
  <c r="B30" i="35"/>
  <c r="N32" i="35" l="1"/>
  <c r="D32" i="35"/>
  <c r="B32" i="35"/>
  <c r="H32" i="35"/>
  <c r="E32" i="35"/>
</calcChain>
</file>

<file path=xl/connections.xml><?xml version="1.0" encoding="utf-8"?>
<connections xmlns="http://schemas.openxmlformats.org/spreadsheetml/2006/main">
  <connection id="1" name="Connection" type="4" refreshedVersion="0" deleted="1" background="1" saveData="1">
    <webPr htmlTables="1" htmlFormat="all"/>
  </connection>
  <connection id="2" name="Connection1" type="4" refreshedVersion="0" deleted="1" background="1" saveData="1">
    <webPr htmlTables="1" htmlFormat="all"/>
  </connection>
  <connection id="3" name="Connection10" type="4" refreshedVersion="0" deleted="1" background="1" saveData="1">
    <webPr htmlTables="1" htmlFormat="all"/>
  </connection>
  <connection id="4" name="Connection100" type="4" refreshedVersion="6" deleted="1" background="1" saveData="1">
    <webPr sourceData="1" parsePre="1" consecutive="1" xl2000="1" htmlTables="1"/>
  </connection>
  <connection id="5" name="Connection101" type="4" refreshedVersion="6" minRefreshableVersion="1" deleted="1" background="1" saveData="1">
    <webPr sourceData="1" parsePre="1" consecutive="1" xl2000="1" htmlTables="1"/>
  </connection>
  <connection id="6" name="Connection102" type="4" refreshedVersion="6" deleted="1" background="1" saveData="1">
    <webPr sourceData="1" parsePre="1" consecutive="1" xl2000="1" htmlTables="1"/>
  </connection>
  <connection id="7" name="Connection103" type="4" refreshedVersion="6" deleted="1" background="1" saveData="1">
    <webPr sourceData="1" parsePre="1" consecutive="1" xl2000="1" htmlTables="1"/>
  </connection>
  <connection id="8" name="Connection104" type="4" refreshedVersion="6" deleted="1" background="1" saveData="1">
    <webPr sourceData="1" parsePre="1" consecutive="1" xl2000="1" htmlTables="1"/>
  </connection>
  <connection id="9" name="Connection105" type="4" refreshedVersion="6" minRefreshableVersion="1" deleted="1" background="1" saveData="1">
    <webPr sourceData="1" parsePre="1" consecutive="1" xl2000="1" htmlTables="1"/>
  </connection>
  <connection id="10" name="Connection106" type="4" refreshedVersion="6" deleted="1" background="1" saveData="1">
    <webPr sourceData="1" parsePre="1" consecutive="1" xl2000="1" htmlTables="1"/>
  </connection>
  <connection id="11" name="Connection107" type="4" refreshedVersion="6" deleted="1" background="1" saveData="1">
    <webPr sourceData="1" parsePre="1" consecutive="1" xl2000="1" htmlTables="1"/>
  </connection>
  <connection id="12" name="Connection108" type="4" refreshedVersion="6" deleted="1" background="1" saveData="1">
    <webPr sourceData="1" parsePre="1" consecutive="1" xl2000="1" htmlTables="1"/>
  </connection>
  <connection id="13" name="Connection109" type="4" refreshedVersion="6" minRefreshableVersion="1" deleted="1" background="1" saveData="1">
    <webPr sourceData="1" parsePre="1" consecutive="1" xl2000="1" htmlTables="1"/>
  </connection>
  <connection id="14" name="Connection11" type="4" refreshedVersion="0" deleted="1" background="1" saveData="1">
    <webPr htmlTables="1" htmlFormat="all"/>
  </connection>
  <connection id="15" name="Connection110" type="4" refreshedVersion="6" deleted="1" background="1" saveData="1">
    <webPr sourceData="1" parsePre="1" consecutive="1" xl2000="1" htmlTables="1"/>
  </connection>
  <connection id="16" name="Connection111" type="4" refreshedVersion="6" deleted="1" background="1" saveData="1">
    <webPr sourceData="1" parsePre="1" consecutive="1" xl2000="1" htmlTables="1"/>
  </connection>
  <connection id="17" name="Connection112" type="4" refreshedVersion="6" deleted="1" background="1" saveData="1">
    <webPr sourceData="1" parsePre="1" consecutive="1" xl2000="1" htmlTables="1"/>
  </connection>
  <connection id="18" name="Connection113" type="4" refreshedVersion="6" deleted="1" background="1" saveData="1">
    <webPr sourceData="1" parsePre="1" consecutive="1" xl2000="1" htmlTables="1"/>
  </connection>
  <connection id="19" name="Connection114" type="4" refreshedVersion="6" deleted="1" background="1" saveData="1">
    <webPr sourceData="1" parsePre="1" consecutive="1" xl2000="1" htmlTables="1"/>
  </connection>
  <connection id="20" name="Connection115" type="4" refreshedVersion="6" deleted="1" background="1" saveData="1">
    <webPr sourceData="1" parsePre="1" consecutive="1" xl2000="1" htmlTables="1"/>
  </connection>
  <connection id="21" name="Connection116" type="4" refreshedVersion="6" deleted="1" background="1" saveData="1">
    <webPr sourceData="1" parsePre="1" consecutive="1" xl2000="1" htmlTables="1"/>
  </connection>
  <connection id="22" name="Connection117" type="4" refreshedVersion="6" deleted="1" background="1" saveData="1">
    <webPr sourceData="1" parsePre="1" consecutive="1" xl2000="1" htmlTables="1"/>
  </connection>
  <connection id="23" name="Connection118" type="4" refreshedVersion="6" deleted="1" background="1" saveData="1">
    <webPr sourceData="1" parsePre="1" consecutive="1" xl2000="1" htmlTables="1"/>
  </connection>
  <connection id="24" name="Connection119" type="4" refreshedVersion="6" deleted="1" background="1" saveData="1">
    <webPr sourceData="1" parsePre="1" consecutive="1" xl2000="1" htmlTables="1"/>
  </connection>
  <connection id="25" name="Connection12" type="4" refreshedVersion="0" deleted="1" background="1" saveData="1">
    <webPr htmlTables="1" htmlFormat="all"/>
  </connection>
  <connection id="26" name="Connection120" type="4" refreshedVersion="6" deleted="1" background="1" saveData="1">
    <webPr sourceData="1" parsePre="1" consecutive="1" xl2000="1" htmlTables="1"/>
  </connection>
  <connection id="27" name="Connection121" type="4" refreshedVersion="6" deleted="1" background="1" saveData="1">
    <webPr sourceData="1" parsePre="1" consecutive="1" xl2000="1" htmlTables="1"/>
  </connection>
  <connection id="28" name="Connection122" type="4" refreshedVersion="6" deleted="1" background="1" saveData="1">
    <webPr sourceData="1" parsePre="1" consecutive="1" xl2000="1" htmlTables="1"/>
  </connection>
  <connection id="29" name="Connection123" type="4" refreshedVersion="6" deleted="1" background="1" saveData="1">
    <webPr sourceData="1" parsePre="1" consecutive="1" xl2000="1" htmlTables="1"/>
  </connection>
  <connection id="30" name="Connection124" type="4" refreshedVersion="6" deleted="1" background="1" saveData="1">
    <webPr sourceData="1" parsePre="1" consecutive="1" xl2000="1" htmlTables="1"/>
  </connection>
  <connection id="31" name="Connection125" type="4" refreshedVersion="6" deleted="1" background="1" saveData="1">
    <webPr sourceData="1" parsePre="1" consecutive="1" xl2000="1" htmlTables="1"/>
  </connection>
  <connection id="32" name="Connection126" type="4" refreshedVersion="6" deleted="1" background="1" saveData="1">
    <webPr sourceData="1" parsePre="1" consecutive="1" xl2000="1" htmlTables="1"/>
  </connection>
  <connection id="33" name="Connection127" type="4" refreshedVersion="6" deleted="1" background="1" saveData="1">
    <webPr sourceData="1" parsePre="1" consecutive="1" xl2000="1" htmlTables="1"/>
  </connection>
  <connection id="34" name="Connection128" type="4" refreshedVersion="6" deleted="1" background="1" saveData="1">
    <webPr sourceData="1" parsePre="1" consecutive="1" xl2000="1" htmlTables="1"/>
  </connection>
  <connection id="35" name="Connection129" type="4" refreshedVersion="6" minRefreshableVersion="1" deleted="1" background="1" saveData="1">
    <webPr sourceData="1" parsePre="1" consecutive="1" xl2000="1" htmlTables="1"/>
  </connection>
  <connection id="36" name="Connection13" type="4" refreshedVersion="0" deleted="1" background="1" saveData="1">
    <webPr htmlTables="1" htmlFormat="all"/>
  </connection>
  <connection id="37" name="Connection130" type="4" refreshedVersion="6" deleted="1" background="1" saveData="1">
    <webPr sourceData="1" parsePre="1" consecutive="1" xl2000="1" htmlTables="1"/>
  </connection>
  <connection id="38" name="Connection131" type="4" refreshedVersion="6" deleted="1" background="1" saveData="1">
    <webPr sourceData="1" parsePre="1" consecutive="1" xl2000="1" htmlTables="1"/>
  </connection>
  <connection id="39" name="Connection132" type="4" refreshedVersion="6" deleted="1" background="1" saveData="1">
    <webPr sourceData="1" parsePre="1" consecutive="1" xl2000="1" htmlTables="1"/>
  </connection>
  <connection id="40" name="Connection133" type="4" refreshedVersion="6" minRefreshableVersion="1" deleted="1" background="1" saveData="1">
    <webPr sourceData="1" parsePre="1" consecutive="1" xl2000="1" htmlTables="1"/>
  </connection>
  <connection id="41" name="Connection134" type="4" refreshedVersion="6" deleted="1" background="1" saveData="1">
    <webPr sourceData="1" parsePre="1" consecutive="1" xl2000="1" htmlTables="1"/>
  </connection>
  <connection id="42" name="Connection135" type="4" refreshedVersion="6" deleted="1" background="1" saveData="1">
    <webPr sourceData="1" parsePre="1" consecutive="1" xl2000="1" htmlTables="1"/>
  </connection>
  <connection id="43" name="Connection136" type="4" refreshedVersion="6" deleted="1" background="1" saveData="1">
    <webPr sourceData="1" parsePre="1" consecutive="1" xl2000="1" htmlTables="1"/>
  </connection>
  <connection id="44" name="Connection137" type="4" refreshedVersion="6" minRefreshableVersion="1" deleted="1" background="1" saveData="1">
    <webPr sourceData="1" parsePre="1" consecutive="1" xl2000="1" htmlTables="1"/>
  </connection>
  <connection id="45" name="Connection138" type="4" refreshedVersion="6" deleted="1" background="1" saveData="1">
    <webPr sourceData="1" parsePre="1" consecutive="1" xl2000="1" htmlTables="1"/>
  </connection>
  <connection id="46" name="Connection139" type="4" refreshedVersion="6" deleted="1" background="1" saveData="1">
    <webPr sourceData="1" parsePre="1" consecutive="1" xl2000="1" htmlTables="1"/>
  </connection>
  <connection id="47" name="Connection14" type="4" refreshedVersion="0" deleted="1" background="1" saveData="1">
    <webPr htmlTables="1" htmlFormat="all"/>
  </connection>
  <connection id="48" name="Connection140" type="4" refreshedVersion="6" deleted="1" background="1" saveData="1">
    <webPr sourceData="1" parsePre="1" consecutive="1" xl2000="1" htmlTables="1"/>
  </connection>
  <connection id="49" name="Connection141" type="4" refreshedVersion="6" deleted="1" background="1" saveData="1">
    <webPr sourceData="1" parsePre="1" consecutive="1" xl2000="1" htmlTables="1"/>
  </connection>
  <connection id="50" name="Connection142" type="4" refreshedVersion="6" deleted="1" background="1" saveData="1">
    <webPr sourceData="1" parsePre="1" consecutive="1" xl2000="1" htmlTables="1"/>
  </connection>
  <connection id="51" name="Connection143" type="4" refreshedVersion="6" deleted="1" background="1" saveData="1">
    <webPr sourceData="1" parsePre="1" consecutive="1" xl2000="1" htmlTables="1"/>
  </connection>
  <connection id="52" name="Connection144" type="4" refreshedVersion="6" deleted="1" background="1" saveData="1">
    <webPr sourceData="1" parsePre="1" consecutive="1" xl2000="1" htmlTables="1"/>
  </connection>
  <connection id="53" name="Connection145" type="4" refreshedVersion="6" deleted="1" background="1" saveData="1">
    <webPr sourceData="1" parsePre="1" consecutive="1" xl2000="1" htmlTables="1"/>
  </connection>
  <connection id="54" name="Connection146" type="4" refreshedVersion="6" deleted="1" background="1" saveData="1">
    <webPr sourceData="1" parsePre="1" consecutive="1" xl2000="1" htmlTables="1"/>
  </connection>
  <connection id="55" name="Connection147" type="4" refreshedVersion="6" deleted="1" background="1" saveData="1">
    <webPr sourceData="1" parsePre="1" consecutive="1" xl2000="1" htmlTables="1"/>
  </connection>
  <connection id="56" name="Connection148" type="4" refreshedVersion="6" deleted="1" background="1" saveData="1">
    <webPr sourceData="1" parsePre="1" consecutive="1" xl2000="1" htmlTables="1"/>
  </connection>
  <connection id="57" name="Connection149" type="4" refreshedVersion="6" deleted="1" background="1" saveData="1">
    <webPr sourceData="1" parsePre="1" consecutive="1" xl2000="1" htmlTables="1"/>
  </connection>
  <connection id="58" name="Connection15" type="4" refreshedVersion="0" deleted="1" background="1" saveData="1">
    <webPr htmlTables="1" htmlFormat="all"/>
  </connection>
  <connection id="59" name="Connection150" type="4" refreshedVersion="6" deleted="1" background="1" saveData="1">
    <webPr sourceData="1" parsePre="1" consecutive="1" xl2000="1" htmlTables="1"/>
  </connection>
  <connection id="60" name="Connection151" type="4" refreshedVersion="6" deleted="1" background="1" saveData="1">
    <webPr sourceData="1" parsePre="1" consecutive="1" xl2000="1" htmlTables="1"/>
  </connection>
  <connection id="61" name="Connection152" type="4" refreshedVersion="6" deleted="1" background="1" saveData="1">
    <webPr sourceData="1" parsePre="1" consecutive="1" xl2000="1" htmlTables="1"/>
  </connection>
  <connection id="62" name="Connection153" type="4" refreshedVersion="6" deleted="1" background="1" saveData="1">
    <webPr sourceData="1" parsePre="1" consecutive="1" xl2000="1" htmlTables="1"/>
  </connection>
  <connection id="63" name="Connection154" type="4" refreshedVersion="6" deleted="1" background="1" saveData="1">
    <webPr sourceData="1" parsePre="1" consecutive="1" xl2000="1" htmlTables="1"/>
  </connection>
  <connection id="64" name="Connection155" type="4" refreshedVersion="6" deleted="1" background="1" saveData="1">
    <webPr sourceData="1" parsePre="1" consecutive="1" xl2000="1" htmlTables="1"/>
  </connection>
  <connection id="65" name="Connection156" type="4" refreshedVersion="6" deleted="1" background="1" saveData="1">
    <webPr sourceData="1" parsePre="1" consecutive="1" xl2000="1" htmlTables="1"/>
  </connection>
  <connection id="66" name="Connection157" type="4" refreshedVersion="6" deleted="1" background="1" saveData="1">
    <webPr sourceData="1" parsePre="1" consecutive="1" xl2000="1" htmlTables="1"/>
  </connection>
  <connection id="67" name="Connection158" type="4" refreshedVersion="6" deleted="1" background="1" saveData="1">
    <webPr sourceData="1" parsePre="1" consecutive="1" xl2000="1" htmlTables="1"/>
  </connection>
  <connection id="68" name="Connection159" type="4" refreshedVersion="6" deleted="1" background="1" saveData="1">
    <webPr sourceData="1" parsePre="1" consecutive="1" xl2000="1" htmlTables="1"/>
  </connection>
  <connection id="69" name="Connection16" type="4" refreshedVersion="0" deleted="1" background="1" saveData="1">
    <webPr htmlTables="1" htmlFormat="all"/>
  </connection>
  <connection id="70" name="Connection160" type="4" refreshedVersion="6" deleted="1" background="1" saveData="1">
    <webPr sourceData="1" parsePre="1" consecutive="1" xl2000="1" htmlTables="1"/>
  </connection>
  <connection id="71" name="Connection161" type="4" refreshedVersion="6" minRefreshableVersion="1" deleted="1" background="1" saveData="1">
    <webPr sourceData="1" parsePre="1" consecutive="1" xl2000="1" htmlTables="1"/>
  </connection>
  <connection id="72" name="Connection162" type="4" refreshedVersion="6" deleted="1" background="1" saveData="1">
    <webPr sourceData="1" parsePre="1" consecutive="1" xl2000="1" htmlTables="1"/>
  </connection>
  <connection id="73" name="Connection163" type="4" refreshedVersion="6" deleted="1" background="1" saveData="1">
    <webPr sourceData="1" parsePre="1" consecutive="1" xl2000="1" htmlTables="1"/>
  </connection>
  <connection id="74" name="Connection164" type="4" refreshedVersion="0" deleted="1" background="1" saveData="1">
    <webPr sourceData="1" parsePre="1" consecutive="1" htmlTables="1"/>
  </connection>
  <connection id="75" name="Connection165" type="4" refreshedVersion="6" minRefreshableVersion="1" deleted="1" background="1" saveData="1">
    <webPr sourceData="1" parsePre="1" consecutive="1" xl2000="1" htmlTables="1"/>
  </connection>
  <connection id="76" name="Connection166" type="4" refreshedVersion="6" deleted="1" background="1" saveData="1">
    <webPr sourceData="1" parsePre="1" consecutive="1" xl2000="1" htmlTables="1"/>
  </connection>
  <connection id="77" name="Connection167" type="4" refreshedVersion="6" deleted="1" background="1" saveData="1">
    <webPr sourceData="1" parsePre="1" consecutive="1" xl2000="1" htmlTables="1"/>
  </connection>
  <connection id="78" name="Connection168" type="4" refreshedVersion="6" deleted="1" background="1" saveData="1">
    <webPr sourceData="1" parsePre="1" consecutive="1" xl2000="1" htmlTables="1"/>
  </connection>
  <connection id="79" name="Connection169" type="4" refreshedVersion="6" deleted="1" background="1" saveData="1">
    <webPr sourceData="1" parsePre="1" consecutive="1" xl2000="1" htmlTables="1"/>
  </connection>
  <connection id="80" name="Connection17" type="4" refreshedVersion="0" deleted="1" background="1" saveData="1">
    <webPr htmlTables="1" htmlFormat="all"/>
  </connection>
  <connection id="81" name="Connection170" type="4" refreshedVersion="6" deleted="1" background="1" saveData="1">
    <webPr sourceData="1" parsePre="1" consecutive="1" xl2000="1" htmlTables="1"/>
  </connection>
  <connection id="82" name="Connection171" type="4" refreshedVersion="6" deleted="1" background="1" saveData="1">
    <webPr sourceData="1" parsePre="1" consecutive="1" xl2000="1" htmlTables="1"/>
  </connection>
  <connection id="83" name="Connection172" type="4" refreshedVersion="6" deleted="1" background="1" saveData="1">
    <webPr sourceData="1" parsePre="1" consecutive="1" xl2000="1" htmlTables="1"/>
  </connection>
  <connection id="84" name="Connection173" type="4" refreshedVersion="6" deleted="1" background="1" saveData="1">
    <webPr sourceData="1" parsePre="1" consecutive="1" xl2000="1" htmlTables="1"/>
  </connection>
  <connection id="85" name="Connection174" type="4" refreshedVersion="6" deleted="1" background="1" saveData="1">
    <webPr sourceData="1" parsePre="1" consecutive="1" xl2000="1" htmlTables="1"/>
  </connection>
  <connection id="86" name="Connection175" type="4" refreshedVersion="6" deleted="1" background="1" saveData="1">
    <webPr sourceData="1" parsePre="1" consecutive="1" xl2000="1" htmlTables="1"/>
  </connection>
  <connection id="87" name="Connection176" type="4" refreshedVersion="6" deleted="1" background="1" saveData="1">
    <webPr sourceData="1" parsePre="1" consecutive="1" xl2000="1" htmlTables="1"/>
  </connection>
  <connection id="88" name="Connection177" type="4" refreshedVersion="6" deleted="1" background="1" saveData="1">
    <webPr sourceData="1" parsePre="1" consecutive="1" xl2000="1" htmlTables="1"/>
  </connection>
  <connection id="89" name="Connection178" type="4" refreshedVersion="6" deleted="1" background="1" saveData="1">
    <webPr sourceData="1" parsePre="1" consecutive="1" xl2000="1" htmlTables="1"/>
  </connection>
  <connection id="90" name="Connection179" type="4" refreshedVersion="6" deleted="1" background="1" saveData="1">
    <webPr sourceData="1" parsePre="1" consecutive="1" xl2000="1" htmlTables="1"/>
  </connection>
  <connection id="91" name="Connection18" type="4" refreshedVersion="0" deleted="1" background="1" saveData="1">
    <webPr htmlTables="1" htmlFormat="all"/>
  </connection>
  <connection id="92" name="Connection180" type="4" refreshedVersion="6" deleted="1" background="1" saveData="1">
    <webPr sourceData="1" parsePre="1" consecutive="1" xl2000="1" htmlTables="1"/>
  </connection>
  <connection id="93" name="Connection181" type="4" refreshedVersion="6" deleted="1" background="1" saveData="1">
    <webPr sourceData="1" parsePre="1" consecutive="1" xl2000="1" htmlTables="1"/>
  </connection>
  <connection id="94" name="Connection182" type="4" refreshedVersion="6" deleted="1" background="1" saveData="1">
    <webPr sourceData="1" parsePre="1" consecutive="1" xl2000="1" htmlTables="1"/>
  </connection>
  <connection id="95" name="Connection183" type="4" refreshedVersion="6" deleted="1" background="1" saveData="1">
    <webPr sourceData="1" parsePre="1" consecutive="1" xl2000="1" htmlTables="1"/>
  </connection>
  <connection id="96" name="Connection184" type="4" refreshedVersion="6" deleted="1" background="1" saveData="1">
    <webPr sourceData="1" parsePre="1" consecutive="1" xl2000="1" htmlTables="1"/>
  </connection>
  <connection id="97" name="Connection185" type="4" refreshedVersion="6" deleted="1" background="1" saveData="1">
    <webPr sourceData="1" parsePre="1" consecutive="1" xl2000="1" htmlTables="1"/>
  </connection>
  <connection id="98" name="Connection186" type="4" refreshedVersion="6" deleted="1" background="1" saveData="1">
    <webPr sourceData="1" parsePre="1" consecutive="1" xl2000="1" htmlTables="1"/>
  </connection>
  <connection id="99" name="Connection187" type="4" refreshedVersion="6" deleted="1" background="1" saveData="1">
    <webPr sourceData="1" parsePre="1" consecutive="1" xl2000="1" htmlTables="1"/>
  </connection>
  <connection id="100" name="Connection188" type="4" refreshedVersion="6" deleted="1" background="1" saveData="1">
    <webPr sourceData="1" parsePre="1" consecutive="1" xl2000="1" htmlTables="1"/>
  </connection>
  <connection id="101" name="Connection189" type="4" refreshedVersion="6" deleted="1" background="1" saveData="1">
    <webPr sourceData="1" parsePre="1" consecutive="1" xl2000="1" htmlTables="1"/>
  </connection>
  <connection id="102" name="Connection19" type="4" refreshedVersion="0" deleted="1" background="1" saveData="1">
    <webPr htmlTables="1" htmlFormat="all"/>
  </connection>
  <connection id="103" name="Connection190" type="4" refreshedVersion="6" deleted="1" background="1" saveData="1">
    <webPr sourceData="1" parsePre="1" consecutive="1" xl2000="1" htmlTables="1"/>
  </connection>
  <connection id="104" name="Connection191" type="4" refreshedVersion="6" deleted="1" background="1" saveData="1">
    <webPr sourceData="1" parsePre="1" consecutive="1" xl2000="1" htmlTables="1"/>
  </connection>
  <connection id="105" name="Connection192" type="4" refreshedVersion="6" deleted="1" background="1" saveData="1">
    <webPr sourceData="1" parsePre="1" consecutive="1" xl2000="1" htmlTables="1"/>
  </connection>
  <connection id="106" name="Connection193" type="4" refreshedVersion="6" deleted="1" background="1" saveData="1">
    <webPr sourceData="1" parsePre="1" consecutive="1" xl2000="1" htmlTables="1"/>
  </connection>
  <connection id="107" name="Connection194" type="4" refreshedVersion="6" deleted="1" background="1" saveData="1">
    <webPr sourceData="1" parsePre="1" consecutive="1" xl2000="1" htmlTables="1"/>
  </connection>
  <connection id="108" name="Connection195" type="4" refreshedVersion="6" deleted="1" background="1" saveData="1">
    <webPr sourceData="1" parsePre="1" consecutive="1" xl2000="1" htmlTables="1"/>
  </connection>
  <connection id="109" name="Connection196" type="4" refreshedVersion="6" deleted="1" background="1" saveData="1">
    <webPr sourceData="1" parsePre="1" consecutive="1" xl2000="1" htmlTables="1"/>
  </connection>
  <connection id="110" name="Connection197" type="4" refreshedVersion="6" deleted="1" background="1" saveData="1">
    <webPr sourceData="1" parsePre="1" consecutive="1" xl2000="1" htmlTables="1"/>
  </connection>
  <connection id="111" name="Connection198" type="4" refreshedVersion="6" deleted="1" background="1" saveData="1">
    <webPr sourceData="1" parsePre="1" consecutive="1" xl2000="1" htmlTables="1"/>
  </connection>
  <connection id="112" name="Connection199" type="4" refreshedVersion="6" deleted="1" background="1" saveData="1">
    <webPr sourceData="1" parsePre="1" consecutive="1" xl2000="1" htmlTables="1"/>
  </connection>
  <connection id="113" name="Connection2" type="4" refreshedVersion="0" deleted="1" background="1" saveData="1">
    <webPr htmlTables="1" htmlFormat="all"/>
  </connection>
  <connection id="114" name="Connection20" type="4" refreshedVersion="0" deleted="1" background="1" saveData="1">
    <webPr htmlTables="1" htmlFormat="all"/>
  </connection>
  <connection id="115" name="Connection200" type="4" refreshedVersion="6" deleted="1" background="1" saveData="1">
    <webPr sourceData="1" parsePre="1" consecutive="1" xl2000="1" htmlTables="1"/>
  </connection>
  <connection id="116" name="Connection201" type="4" refreshedVersion="6" deleted="1" background="1" saveData="1">
    <webPr sourceData="1" parsePre="1" consecutive="1" xl2000="1" htmlTables="1"/>
  </connection>
  <connection id="117" name="Connection202" type="4" refreshedVersion="6" deleted="1" background="1" saveData="1">
    <webPr sourceData="1" parsePre="1" consecutive="1" xl2000="1" htmlTables="1"/>
  </connection>
  <connection id="118" name="Connection203" type="4" refreshedVersion="6" deleted="1" background="1" saveData="1">
    <webPr sourceData="1" parsePre="1" consecutive="1" xl2000="1" htmlTables="1"/>
  </connection>
  <connection id="119" name="Connection204" type="4" refreshedVersion="6" deleted="1" background="1" saveData="1">
    <webPr sourceData="1" parsePre="1" consecutive="1" xl2000="1" htmlTables="1"/>
  </connection>
  <connection id="120" name="Connection205" type="4" refreshedVersion="6" deleted="1" background="1" saveData="1">
    <webPr sourceData="1" parsePre="1" consecutive="1" xl2000="1" htmlTables="1"/>
  </connection>
  <connection id="121" name="Connection206" type="4" refreshedVersion="6" deleted="1" background="1" saveData="1">
    <webPr sourceData="1" parsePre="1" consecutive="1" xl2000="1" htmlTables="1"/>
  </connection>
  <connection id="122" name="Connection207" type="4" refreshedVersion="6" deleted="1" background="1" saveData="1">
    <webPr sourceData="1" parsePre="1" consecutive="1" xl2000="1" htmlTables="1"/>
  </connection>
  <connection id="123" name="Connection208" type="4" refreshedVersion="6" deleted="1" background="1" saveData="1">
    <webPr sourceData="1" parsePre="1" consecutive="1" xl2000="1" htmlTables="1"/>
  </connection>
  <connection id="124" name="Connection209" type="4" refreshedVersion="6" deleted="1" background="1" saveData="1">
    <webPr sourceData="1" parsePre="1" consecutive="1" xl2000="1" htmlTables="1"/>
  </connection>
  <connection id="125" name="Connection21" type="4" refreshedVersion="0" deleted="1" background="1" saveData="1">
    <webPr htmlTables="1" htmlFormat="all"/>
  </connection>
  <connection id="126" name="Connection210" type="4" refreshedVersion="6" deleted="1" background="1" saveData="1">
    <webPr sourceData="1" parsePre="1" consecutive="1" xl2000="1" htmlTables="1"/>
  </connection>
  <connection id="127" name="Connection211" type="4" refreshedVersion="6" deleted="1" background="1" saveData="1">
    <webPr sourceData="1" parsePre="1" consecutive="1" xl2000="1" htmlTables="1"/>
  </connection>
  <connection id="128" name="Connection212" type="4" refreshedVersion="6" deleted="1" background="1" saveData="1">
    <webPr sourceData="1" parsePre="1" consecutive="1" xl2000="1" htmlTables="1"/>
  </connection>
  <connection id="129" name="Connection213" type="4" refreshedVersion="6" deleted="1" background="1" saveData="1">
    <webPr sourceData="1" parsePre="1" consecutive="1" xl2000="1" htmlTables="1"/>
  </connection>
  <connection id="130" name="Connection214" type="4" refreshedVersion="6" deleted="1" background="1" saveData="1">
    <webPr sourceData="1" parsePre="1" consecutive="1" xl2000="1" htmlTables="1"/>
  </connection>
  <connection id="131" name="Connection215" type="4" refreshedVersion="6" deleted="1" background="1" saveData="1">
    <webPr sourceData="1" parsePre="1" consecutive="1" xl2000="1" htmlTables="1"/>
  </connection>
  <connection id="132" name="Connection216" type="4" refreshedVersion="6" deleted="1" background="1" saveData="1">
    <webPr sourceData="1" parsePre="1" consecutive="1" xl2000="1" htmlTables="1"/>
  </connection>
  <connection id="133" name="Connection217" type="4" refreshedVersion="6" deleted="1" background="1" saveData="1">
    <webPr sourceData="1" parsePre="1" consecutive="1" xl2000="1" htmlTables="1"/>
  </connection>
  <connection id="134" name="Connection218" type="4" refreshedVersion="6" deleted="1" background="1" saveData="1">
    <webPr sourceData="1" parsePre="1" consecutive="1" xl2000="1" htmlTables="1"/>
  </connection>
  <connection id="135" name="Connection219" type="4" refreshedVersion="6" deleted="1" background="1" saveData="1">
    <webPr sourceData="1" parsePre="1" consecutive="1" xl2000="1" htmlTables="1"/>
  </connection>
  <connection id="136" name="Connection22" type="4" refreshedVersion="0" deleted="1" background="1" saveData="1">
    <webPr htmlTables="1" htmlFormat="all"/>
  </connection>
  <connection id="137" name="Connection220" type="4" refreshedVersion="6" deleted="1" background="1" saveData="1">
    <webPr sourceData="1" parsePre="1" consecutive="1" xl2000="1" htmlTables="1"/>
  </connection>
  <connection id="138" name="Connection221" type="4" refreshedVersion="6" deleted="1" background="1" saveData="1">
    <webPr sourceData="1" parsePre="1" consecutive="1" xl2000="1" htmlTables="1"/>
  </connection>
  <connection id="139" name="Connection222" type="4" refreshedVersion="6" deleted="1" background="1" saveData="1">
    <webPr sourceData="1" parsePre="1" consecutive="1" xl2000="1" htmlTables="1"/>
  </connection>
  <connection id="140" name="Connection223" type="4" refreshedVersion="6" deleted="1" background="1" saveData="1">
    <webPr sourceData="1" parsePre="1" consecutive="1" xl2000="1" htmlTables="1"/>
  </connection>
  <connection id="141" name="Connection224" type="4" refreshedVersion="6" deleted="1" background="1" saveData="1">
    <webPr sourceData="1" parsePre="1" consecutive="1" xl2000="1" htmlTables="1"/>
  </connection>
  <connection id="142" name="Connection225" type="4" refreshedVersion="6" deleted="1" background="1" saveData="1">
    <webPr sourceData="1" parsePre="1" consecutive="1" xl2000="1" htmlTables="1"/>
  </connection>
  <connection id="143" name="Connection226" type="4" refreshedVersion="6" deleted="1" background="1" saveData="1">
    <webPr sourceData="1" parsePre="1" consecutive="1" xl2000="1" htmlTables="1"/>
  </connection>
  <connection id="144" name="Connection227" type="4" refreshedVersion="6" deleted="1" background="1" saveData="1">
    <webPr sourceData="1" parsePre="1" consecutive="1" xl2000="1" htmlTables="1"/>
  </connection>
  <connection id="145" name="Connection228" type="4" refreshedVersion="6" deleted="1" background="1" saveData="1">
    <webPr sourceData="1" parsePre="1" consecutive="1" xl2000="1" htmlTables="1"/>
  </connection>
  <connection id="146" name="Connection229" type="4" refreshedVersion="6" deleted="1" background="1" saveData="1">
    <webPr sourceData="1" parsePre="1" consecutive="1" xl2000="1" htmlTables="1"/>
  </connection>
  <connection id="147" name="Connection23" type="4" refreshedVersion="0" deleted="1" background="1" saveData="1">
    <webPr htmlTables="1" htmlFormat="all"/>
  </connection>
  <connection id="148" name="Connection230" type="4" refreshedVersion="6" deleted="1" background="1" saveData="1">
    <webPr sourceData="1" parsePre="1" consecutive="1" xl2000="1" htmlTables="1"/>
  </connection>
  <connection id="149" name="Connection231" type="4" refreshedVersion="6" deleted="1" background="1" saveData="1">
    <webPr sourceData="1" parsePre="1" consecutive="1" xl2000="1" htmlTables="1"/>
  </connection>
  <connection id="150" name="Connection232" type="4" refreshedVersion="6" deleted="1" background="1" saveData="1">
    <webPr sourceData="1" parsePre="1" consecutive="1" xl2000="1" htmlTables="1"/>
  </connection>
  <connection id="151" name="Connection233" type="4" refreshedVersion="6" deleted="1" background="1" saveData="1">
    <webPr sourceData="1" parsePre="1" consecutive="1" xl2000="1" htmlTables="1"/>
  </connection>
  <connection id="152" name="Connection234" type="4" refreshedVersion="6" deleted="1" background="1" saveData="1">
    <webPr sourceData="1" parsePre="1" consecutive="1" xl2000="1" htmlTables="1"/>
  </connection>
  <connection id="153" name="Connection235" type="4" refreshedVersion="6" deleted="1" background="1" saveData="1">
    <webPr sourceData="1" parsePre="1" consecutive="1" xl2000="1" htmlTables="1"/>
  </connection>
  <connection id="154" name="Connection236" type="4" refreshedVersion="6" deleted="1" background="1" saveData="1">
    <webPr sourceData="1" parsePre="1" consecutive="1" xl2000="1" htmlTables="1"/>
  </connection>
  <connection id="155" name="Connection237" type="4" refreshedVersion="6" deleted="1" background="1" saveData="1">
    <webPr sourceData="1" parsePre="1" consecutive="1" xl2000="1" htmlTables="1"/>
  </connection>
  <connection id="156" name="Connection238" type="4" refreshedVersion="6" deleted="1" background="1" saveData="1">
    <webPr sourceData="1" parsePre="1" consecutive="1" xl2000="1" htmlTables="1"/>
  </connection>
  <connection id="157" name="Connection239" type="4" refreshedVersion="6" deleted="1" background="1" saveData="1">
    <webPr sourceData="1" parsePre="1" consecutive="1" xl2000="1" htmlTables="1"/>
  </connection>
  <connection id="158" name="Connection24" type="4" refreshedVersion="0" deleted="1" background="1" saveData="1">
    <webPr htmlTables="1" htmlFormat="all"/>
  </connection>
  <connection id="159" name="Connection240" type="4" refreshedVersion="6" deleted="1" background="1" saveData="1">
    <webPr sourceData="1" parsePre="1" consecutive="1" xl2000="1" htmlTables="1"/>
  </connection>
  <connection id="160" name="Connection241" type="4" refreshedVersion="6" minRefreshableVersion="1" deleted="1" background="1" saveData="1">
    <webPr sourceData="1" parsePre="1" consecutive="1" xl2000="1" htmlTables="1"/>
  </connection>
  <connection id="161" name="Connection242" type="4" refreshedVersion="6" deleted="1" background="1" saveData="1">
    <webPr sourceData="1" parsePre="1" consecutive="1" xl2000="1" htmlTables="1"/>
  </connection>
  <connection id="162" name="Connection243" type="4" refreshedVersion="6" deleted="1" background="1" saveData="1">
    <webPr sourceData="1" parsePre="1" consecutive="1" xl2000="1" htmlTables="1"/>
  </connection>
  <connection id="163" name="Connection244" type="4" refreshedVersion="6" deleted="1" background="1" saveData="1">
    <webPr sourceData="1" parsePre="1" consecutive="1" xl2000="1" htmlTables="1"/>
  </connection>
  <connection id="164" name="Connection245" type="4" refreshedVersion="6" minRefreshableVersion="1" deleted="1" background="1" saveData="1">
    <webPr sourceData="1" parsePre="1" consecutive="1" xl2000="1" htmlTables="1"/>
  </connection>
  <connection id="165" name="Connection246" type="4" refreshedVersion="6" deleted="1" background="1" saveData="1">
    <webPr sourceData="1" parsePre="1" consecutive="1" xl2000="1" htmlTables="1"/>
  </connection>
  <connection id="166" name="Connection247" type="4" refreshedVersion="6" deleted="1" background="1" saveData="1">
    <webPr sourceData="1" parsePre="1" consecutive="1" xl2000="1" htmlTables="1"/>
  </connection>
  <connection id="167" name="Connection248" type="4" refreshedVersion="6" deleted="1" background="1" saveData="1">
    <webPr sourceData="1" parsePre="1" consecutive="1" xl2000="1" htmlTables="1"/>
  </connection>
  <connection id="168" name="Connection249" type="4" refreshedVersion="6" minRefreshableVersion="1" deleted="1" background="1" saveData="1">
    <webPr sourceData="1" parsePre="1" consecutive="1" xl2000="1" htmlTables="1"/>
  </connection>
  <connection id="169" name="Connection25" type="4" refreshedVersion="0" deleted="1" background="1" saveData="1">
    <webPr htmlTables="1" htmlFormat="all"/>
  </connection>
  <connection id="170" name="Connection250" type="4" refreshedVersion="6" deleted="1" background="1" saveData="1">
    <webPr sourceData="1" parsePre="1" consecutive="1" xl2000="1" htmlTables="1"/>
  </connection>
  <connection id="171" name="Connection251" type="4" refreshedVersion="6" deleted="1" background="1" saveData="1">
    <webPr sourceData="1" parsePre="1" consecutive="1" xl2000="1" htmlTables="1"/>
  </connection>
  <connection id="172" name="Connection252" type="4" refreshedVersion="6" deleted="1" background="1" saveData="1">
    <webPr sourceData="1" parsePre="1" consecutive="1" xl2000="1" htmlTables="1"/>
  </connection>
  <connection id="173" name="Connection253" type="4" refreshedVersion="6" deleted="1" background="1" saveData="1">
    <webPr sourceData="1" parsePre="1" consecutive="1" xl2000="1" htmlTables="1"/>
  </connection>
  <connection id="174" name="Connection254" type="4" refreshedVersion="0" deleted="1" background="1" saveData="1">
    <webPr sourceData="1" parsePre="1" consecutive="1" htmlTables="1"/>
  </connection>
  <connection id="175" name="Connection255" type="4" refreshedVersion="6" deleted="1" background="1" saveData="1">
    <webPr sourceData="1" parsePre="1" consecutive="1" xl2000="1" htmlTables="1"/>
  </connection>
  <connection id="176" name="Connection256" type="4" refreshedVersion="6" deleted="1" background="1" saveData="1">
    <webPr sourceData="1" parsePre="1" consecutive="1" xl2000="1" htmlTables="1"/>
  </connection>
  <connection id="177" name="Connection257" type="4" refreshedVersion="6" deleted="1" background="1" saveData="1">
    <webPr sourceData="1" parsePre="1" consecutive="1" xl2000="1" htmlTables="1"/>
  </connection>
  <connection id="178" name="Connection258" type="4" refreshedVersion="6" deleted="1" background="1" saveData="1">
    <webPr sourceData="1" parsePre="1" consecutive="1" xl2000="1" htmlTables="1"/>
  </connection>
  <connection id="179" name="Connection259" type="4" refreshedVersion="6" deleted="1" background="1" saveData="1">
    <webPr sourceData="1" parsePre="1" consecutive="1" xl2000="1" htmlTables="1"/>
  </connection>
  <connection id="180" name="Connection26" type="4" refreshedVersion="0" deleted="1" background="1" saveData="1">
    <webPr htmlTables="1" htmlFormat="all"/>
  </connection>
  <connection id="181" name="Connection260" type="4" refreshedVersion="6" deleted="1" background="1" saveData="1">
    <webPr sourceData="1" parsePre="1" consecutive="1" xl2000="1" htmlTables="1"/>
  </connection>
  <connection id="182" name="Connection261" type="4" refreshedVersion="6" deleted="1" background="1" saveData="1">
    <webPr sourceData="1" parsePre="1" consecutive="1" xl2000="1" htmlTables="1"/>
  </connection>
  <connection id="183" name="Connection262" type="4" refreshedVersion="6" deleted="1" background="1" saveData="1">
    <webPr sourceData="1" parsePre="1" consecutive="1" xl2000="1" htmlTables="1"/>
  </connection>
  <connection id="184" name="Connection263" type="4" refreshedVersion="6" deleted="1" background="1" saveData="1">
    <webPr sourceData="1" parsePre="1" consecutive="1" xl2000="1" htmlTables="1"/>
  </connection>
  <connection id="185" name="Connection264" type="4" refreshedVersion="6" deleted="1" background="1" saveData="1">
    <webPr sourceData="1" parsePre="1" consecutive="1" xl2000="1" htmlTables="1"/>
  </connection>
  <connection id="186" name="Connection265" type="4" refreshedVersion="6" deleted="1" background="1" saveData="1">
    <webPr sourceData="1" parsePre="1" consecutive="1" xl2000="1" htmlTables="1"/>
  </connection>
  <connection id="187" name="Connection266" type="4" refreshedVersion="6" deleted="1" background="1" saveData="1">
    <webPr sourceData="1" parsePre="1" consecutive="1" xl2000="1" htmlTables="1"/>
  </connection>
  <connection id="188" name="Connection267" type="4" refreshedVersion="6" deleted="1" background="1" saveData="1">
    <webPr sourceData="1" parsePre="1" consecutive="1" xl2000="1" htmlTables="1"/>
  </connection>
  <connection id="189" name="Connection268" type="4" refreshedVersion="6" deleted="1" background="1" saveData="1">
    <webPr sourceData="1" parsePre="1" consecutive="1" xl2000="1" htmlTables="1"/>
  </connection>
  <connection id="190" name="Connection269" type="4" refreshedVersion="6" deleted="1" background="1" saveData="1">
    <webPr sourceData="1" parsePre="1" consecutive="1" xl2000="1" htmlTables="1"/>
  </connection>
  <connection id="191" name="Connection27" type="4" refreshedVersion="0" deleted="1" background="1" saveData="1">
    <webPr htmlTables="1" htmlFormat="all"/>
  </connection>
  <connection id="192" name="Connection270" type="4" refreshedVersion="6" deleted="1" background="1" saveData="1">
    <webPr sourceData="1" parsePre="1" consecutive="1" xl2000="1" htmlTables="1"/>
  </connection>
  <connection id="193" name="Connection271" type="4" refreshedVersion="6" deleted="1" background="1" saveData="1">
    <webPr sourceData="1" parsePre="1" consecutive="1" xl2000="1" htmlTables="1"/>
  </connection>
  <connection id="194" name="Connection272" type="4" refreshedVersion="6" deleted="1" background="1" saveData="1">
    <webPr sourceData="1" parsePre="1" consecutive="1" xl2000="1" htmlTables="1"/>
  </connection>
  <connection id="195" name="Connection273" type="4" refreshedVersion="6" deleted="1" background="1" saveData="1">
    <webPr sourceData="1" parsePre="1" consecutive="1" xl2000="1" htmlTables="1"/>
  </connection>
  <connection id="196" name="Connection274" type="4" refreshedVersion="6" deleted="1" background="1" saveData="1">
    <webPr sourceData="1" parsePre="1" consecutive="1" xl2000="1" htmlTables="1"/>
  </connection>
  <connection id="197" name="Connection275" type="4" refreshedVersion="6" deleted="1" background="1" saveData="1">
    <webPr sourceData="1" parsePre="1" consecutive="1" xl2000="1" htmlTables="1"/>
  </connection>
  <connection id="198" name="Connection276" type="4" refreshedVersion="6" deleted="1" background="1" saveData="1">
    <webPr sourceData="1" parsePre="1" consecutive="1" xl2000="1" htmlTables="1"/>
  </connection>
  <connection id="199" name="Connection277" type="4" refreshedVersion="6" minRefreshableVersion="1" deleted="1" background="1" saveData="1">
    <webPr sourceData="1" parsePre="1" consecutive="1" xl2000="1" htmlTables="1"/>
  </connection>
  <connection id="200" name="Connection278" type="4" refreshedVersion="6" deleted="1" background="1" saveData="1">
    <webPr sourceData="1" parsePre="1" consecutive="1" xl2000="1" htmlTables="1"/>
  </connection>
  <connection id="201" name="Connection279" type="4" refreshedVersion="6" deleted="1" background="1" saveData="1">
    <webPr sourceData="1" parsePre="1" consecutive="1" xl2000="1" htmlTables="1"/>
  </connection>
  <connection id="202" name="Connection28" type="4" refreshedVersion="0" deleted="1" background="1" saveData="1">
    <webPr htmlTables="1" htmlFormat="all"/>
  </connection>
  <connection id="203" name="Connection280" type="4" refreshedVersion="6" deleted="1" background="1" saveData="1">
    <webPr sourceData="1" parsePre="1" consecutive="1" xl2000="1" htmlTables="1"/>
  </connection>
  <connection id="204" name="Connection281" type="4" refreshedVersion="6" minRefreshableVersion="1" deleted="1" background="1" saveData="1">
    <webPr sourceData="1" parsePre="1" consecutive="1" xl2000="1" htmlTables="1"/>
  </connection>
  <connection id="205" name="Connection282" type="4" refreshedVersion="6" deleted="1" background="1" saveData="1">
    <webPr sourceData="1" parsePre="1" consecutive="1" xl2000="1" htmlTables="1"/>
  </connection>
  <connection id="206" name="Connection283" type="4" refreshedVersion="6" deleted="1" background="1" saveData="1">
    <webPr sourceData="1" parsePre="1" consecutive="1" xl2000="1" htmlTables="1"/>
  </connection>
  <connection id="207" name="Connection284" type="4" refreshedVersion="6" deleted="1" background="1" saveData="1">
    <webPr sourceData="1" parsePre="1" consecutive="1" xl2000="1" htmlTables="1"/>
  </connection>
  <connection id="208" name="Connection285" type="4" refreshedVersion="6" minRefreshableVersion="1" deleted="1" background="1" saveData="1">
    <webPr sourceData="1" parsePre="1" consecutive="1" xl2000="1" htmlTables="1"/>
  </connection>
  <connection id="209" name="Connection286" type="4" refreshedVersion="6" deleted="1" background="1" saveData="1">
    <webPr sourceData="1" parsePre="1" consecutive="1" xl2000="1" htmlTables="1"/>
  </connection>
  <connection id="210" name="Connection287" type="4" refreshedVersion="6" deleted="1" background="1" saveData="1">
    <webPr sourceData="1" parsePre="1" consecutive="1" xl2000="1" htmlTables="1"/>
  </connection>
  <connection id="211" name="Connection288" type="4" refreshedVersion="6" deleted="1" background="1" saveData="1">
    <webPr sourceData="1" parsePre="1" consecutive="1" xl2000="1" htmlTables="1"/>
  </connection>
  <connection id="212" name="Connection289" type="4" refreshedVersion="6" minRefreshableVersion="1" deleted="1" background="1" saveData="1">
    <webPr sourceData="1" parsePre="1" consecutive="1" xl2000="1" htmlTables="1"/>
  </connection>
  <connection id="213" name="Connection29" type="4" refreshedVersion="6" deleted="1" background="1" saveData="1">
    <webPr sourceData="1" parsePre="1" consecutive="1" xl2000="1" htmlTables="1"/>
  </connection>
  <connection id="214" name="Connection290" type="4" refreshedVersion="6" deleted="1" background="1" saveData="1">
    <webPr sourceData="1" parsePre="1" consecutive="1" xl2000="1" htmlTables="1"/>
  </connection>
  <connection id="215" name="Connection291" type="4" refreshedVersion="6" deleted="1" background="1" saveData="1">
    <webPr sourceData="1" parsePre="1" consecutive="1" xl2000="1" htmlTables="1"/>
  </connection>
  <connection id="216" name="Connection292" type="4" refreshedVersion="6" deleted="1" background="1" saveData="1">
    <webPr sourceData="1" parsePre="1" consecutive="1" xl2000="1" htmlTables="1"/>
  </connection>
  <connection id="217" name="Connection293" type="4" refreshedVersion="6" minRefreshableVersion="1" deleted="1" background="1" saveData="1">
    <webPr sourceData="1" parsePre="1" consecutive="1" xl2000="1" htmlTables="1"/>
  </connection>
  <connection id="218" name="Connection294" type="4" refreshedVersion="6" deleted="1" background="1" saveData="1">
    <webPr sourceData="1" parsePre="1" consecutive="1" xl2000="1" htmlTables="1"/>
  </connection>
  <connection id="219" name="Connection295" type="4" refreshedVersion="6" deleted="1" background="1" saveData="1">
    <webPr sourceData="1" parsePre="1" consecutive="1" xl2000="1" htmlTables="1"/>
  </connection>
  <connection id="220" name="Connection296" type="4" refreshedVersion="6" deleted="1" background="1" saveData="1">
    <webPr sourceData="1" parsePre="1" consecutive="1" xl2000="1" htmlTables="1"/>
  </connection>
  <connection id="221" name="Connection297" type="4" refreshedVersion="6" minRefreshableVersion="1" deleted="1" background="1" saveData="1">
    <webPr sourceData="1" parsePre="1" consecutive="1" xl2000="1" htmlTables="1"/>
  </connection>
  <connection id="222" name="Connection298" type="4" refreshedVersion="6" deleted="1" background="1" saveData="1">
    <webPr sourceData="1" parsePre="1" consecutive="1" xl2000="1" htmlTables="1"/>
  </connection>
  <connection id="223" name="Connection299" type="4" refreshedVersion="6" deleted="1" background="1" saveData="1">
    <webPr sourceData="1" parsePre="1" consecutive="1" xl2000="1" htmlTables="1"/>
  </connection>
  <connection id="224" name="Connection3" type="4" refreshedVersion="0" deleted="1" background="1" saveData="1">
    <webPr htmlTables="1" htmlFormat="all"/>
  </connection>
  <connection id="225" name="Connection30" type="4" refreshedVersion="6" deleted="1" background="1" saveData="1">
    <webPr sourceData="1" parsePre="1" consecutive="1" xl2000="1" htmlTables="1"/>
  </connection>
  <connection id="226" name="Connection300" type="4" refreshedVersion="6" deleted="1" background="1" saveData="1">
    <webPr sourceData="1" parsePre="1" consecutive="1" xl2000="1" htmlTables="1"/>
  </connection>
  <connection id="227" name="Connection301" type="4" refreshedVersion="6" minRefreshableVersion="1" deleted="1" background="1" saveData="1">
    <webPr sourceData="1" parsePre="1" consecutive="1" xl2000="1" htmlTables="1"/>
  </connection>
  <connection id="228" name="Connection302" type="4" refreshedVersion="6" deleted="1" background="1" saveData="1">
    <webPr sourceData="1" parsePre="1" consecutive="1" xl2000="1" htmlTables="1"/>
  </connection>
  <connection id="229" name="Connection303" type="4" refreshedVersion="6" deleted="1" background="1" saveData="1">
    <webPr sourceData="1" parsePre="1" consecutive="1" xl2000="1" htmlTables="1"/>
  </connection>
  <connection id="230" name="Connection304" type="4" refreshedVersion="6" deleted="1" background="1" saveData="1">
    <webPr sourceData="1" parsePre="1" consecutive="1" xl2000="1" htmlTables="1"/>
  </connection>
  <connection id="231" name="Connection305" type="4" refreshedVersion="6" minRefreshableVersion="1" deleted="1" background="1" saveData="1">
    <webPr sourceData="1" parsePre="1" consecutive="1" xl2000="1" htmlTables="1"/>
  </connection>
  <connection id="232" name="Connection306" type="4" refreshedVersion="6" deleted="1" background="1" saveData="1">
    <webPr sourceData="1" parsePre="1" consecutive="1" xl2000="1" htmlTables="1"/>
  </connection>
  <connection id="233" name="Connection307" type="4" refreshedVersion="6" deleted="1" background="1" saveData="1">
    <webPr sourceData="1" parsePre="1" consecutive="1" xl2000="1" htmlTables="1"/>
  </connection>
  <connection id="234" name="Connection308" type="4" refreshedVersion="6" deleted="1" background="1" saveData="1">
    <webPr sourceData="1" parsePre="1" consecutive="1" xl2000="1" htmlTables="1"/>
  </connection>
  <connection id="235" name="Connection309" type="4" refreshedVersion="6" minRefreshableVersion="1" deleted="1" background="1" saveData="1">
    <webPr sourceData="1" parsePre="1" consecutive="1" xl2000="1" htmlTables="1"/>
  </connection>
  <connection id="236" name="Connection31" type="4" refreshedVersion="6" deleted="1" background="1" saveData="1">
    <webPr sourceData="1" parsePre="1" consecutive="1" xl2000="1" htmlTables="1"/>
  </connection>
  <connection id="237" name="Connection310" type="4" refreshedVersion="6" deleted="1" background="1" saveData="1">
    <webPr sourceData="1" parsePre="1" consecutive="1" xl2000="1" htmlTables="1"/>
  </connection>
  <connection id="238" name="Connection311" type="4" refreshedVersion="6" deleted="1" background="1" saveData="1">
    <webPr sourceData="1" parsePre="1" consecutive="1" xl2000="1" htmlTables="1"/>
  </connection>
  <connection id="239" name="Connection312" type="4" refreshedVersion="6" deleted="1" background="1" saveData="1">
    <webPr sourceData="1" parsePre="1" consecutive="1" xl2000="1" htmlTables="1"/>
  </connection>
  <connection id="240" name="Connection313" type="4" refreshedVersion="6" minRefreshableVersion="1" deleted="1" background="1" saveData="1">
    <webPr sourceData="1" parsePre="1" consecutive="1" xl2000="1" htmlTables="1"/>
  </connection>
  <connection id="241" name="Connection314" type="4" refreshedVersion="6" deleted="1" background="1" saveData="1">
    <webPr sourceData="1" parsePre="1" consecutive="1" xl2000="1" htmlTables="1"/>
  </connection>
  <connection id="242" name="Connection315" type="4" refreshedVersion="6" deleted="1" background="1" saveData="1">
    <webPr sourceData="1" parsePre="1" consecutive="1" xl2000="1" htmlTables="1"/>
  </connection>
  <connection id="243" name="Connection316" type="4" refreshedVersion="6" deleted="1" background="1" saveData="1">
    <webPr sourceData="1" parsePre="1" consecutive="1" xl2000="1" htmlTables="1"/>
  </connection>
  <connection id="244" name="Connection317" type="4" refreshedVersion="6" minRefreshableVersion="1" deleted="1" background="1" saveData="1">
    <webPr sourceData="1" parsePre="1" consecutive="1" xl2000="1" htmlTables="1"/>
  </connection>
  <connection id="245" name="Connection318" type="4" refreshedVersion="6" deleted="1" background="1" saveData="1">
    <webPr sourceData="1" parsePre="1" consecutive="1" xl2000="1" htmlTables="1"/>
  </connection>
  <connection id="246" name="Connection319" type="4" refreshedVersion="6" deleted="1" background="1" saveData="1">
    <webPr sourceData="1" parsePre="1" consecutive="1" xl2000="1" htmlTables="1"/>
  </connection>
  <connection id="247" name="Connection32" type="4" refreshedVersion="6" deleted="1" background="1" saveData="1">
    <webPr sourceData="1" parsePre="1" consecutive="1" xl2000="1" htmlTables="1"/>
  </connection>
  <connection id="248" name="Connection320" type="4" refreshedVersion="6" deleted="1" background="1" saveData="1">
    <webPr sourceData="1" parsePre="1" consecutive="1" xl2000="1" htmlTables="1"/>
  </connection>
  <connection id="249" name="Connection321" type="4" refreshedVersion="6" minRefreshableVersion="1" deleted="1" background="1" saveData="1">
    <webPr sourceData="1" parsePre="1" consecutive="1" xl2000="1" htmlTables="1"/>
  </connection>
  <connection id="250" name="Connection322" type="4" refreshedVersion="6" deleted="1" background="1" saveData="1">
    <webPr sourceData="1" parsePre="1" consecutive="1" xl2000="1" htmlTables="1"/>
  </connection>
  <connection id="251" name="Connection323" type="4" refreshedVersion="6" deleted="1" background="1" saveData="1">
    <webPr sourceData="1" parsePre="1" consecutive="1" xl2000="1" htmlTables="1"/>
  </connection>
  <connection id="252" name="Connection324" type="4" refreshedVersion="6" deleted="1" background="1" saveData="1">
    <webPr sourceData="1" parsePre="1" consecutive="1" xl2000="1" htmlTables="1"/>
  </connection>
  <connection id="253" name="Connection325" type="4" refreshedVersion="6" minRefreshableVersion="1" deleted="1" background="1" saveData="1">
    <webPr sourceData="1" parsePre="1" consecutive="1" xl2000="1" htmlTables="1"/>
  </connection>
  <connection id="254" name="Connection326" type="4" refreshedVersion="6" deleted="1" background="1" saveData="1">
    <webPr sourceData="1" parsePre="1" consecutive="1" xl2000="1" htmlTables="1"/>
  </connection>
  <connection id="255" name="Connection327" type="4" refreshedVersion="6" deleted="1" background="1" saveData="1">
    <webPr sourceData="1" parsePre="1" consecutive="1" xl2000="1" htmlTables="1"/>
  </connection>
  <connection id="256" name="Connection328" type="4" refreshedVersion="6" deleted="1" background="1" saveData="1">
    <webPr sourceData="1" parsePre="1" consecutive="1" xl2000="1" htmlTables="1"/>
  </connection>
  <connection id="257" name="Connection329" type="4" refreshedVersion="6" minRefreshableVersion="1" deleted="1" background="1" saveData="1">
    <webPr sourceData="1" parsePre="1" consecutive="1" xl2000="1" htmlTables="1"/>
  </connection>
  <connection id="258" name="Connection33" type="4" refreshedVersion="6" deleted="1" background="1" saveData="1">
    <webPr sourceData="1" parsePre="1" consecutive="1" xl2000="1" htmlTables="1"/>
  </connection>
  <connection id="259" name="Connection330" type="4" refreshedVersion="6" deleted="1" background="1" saveData="1">
    <webPr sourceData="1" parsePre="1" consecutive="1" xl2000="1" htmlTables="1"/>
  </connection>
  <connection id="260" name="Connection331" type="4" refreshedVersion="6" deleted="1" background="1" saveData="1">
    <webPr sourceData="1" parsePre="1" consecutive="1" xl2000="1" htmlTables="1"/>
  </connection>
  <connection id="261" name="Connection332" type="4" refreshedVersion="6" deleted="1" background="1" saveData="1">
    <webPr sourceData="1" parsePre="1" consecutive="1" xl2000="1" htmlTables="1"/>
  </connection>
  <connection id="262" name="Connection333" type="4" refreshedVersion="6" minRefreshableVersion="1" deleted="1" background="1" saveData="1">
    <webPr sourceData="1" parsePre="1" consecutive="1" xl2000="1" htmlTables="1"/>
  </connection>
  <connection id="263" name="Connection334" type="4" refreshedVersion="6" deleted="1" background="1" saveData="1">
    <webPr sourceData="1" parsePre="1" consecutive="1" xl2000="1" htmlTables="1"/>
  </connection>
  <connection id="264" name="Connection335" type="4" refreshedVersion="6" deleted="1" background="1" saveData="1">
    <webPr sourceData="1" parsePre="1" consecutive="1" xl2000="1" htmlTables="1"/>
  </connection>
  <connection id="265" name="Connection336" type="4" refreshedVersion="6" deleted="1" background="1" saveData="1">
    <webPr sourceData="1" parsePre="1" consecutive="1" xl2000="1" htmlTables="1"/>
  </connection>
  <connection id="266" name="Connection337" type="4" refreshedVersion="6" deleted="1" background="1" saveData="1">
    <webPr sourceData="1" parsePre="1" consecutive="1" xl2000="1" htmlTables="1"/>
  </connection>
  <connection id="267" name="Connection338" type="4" refreshedVersion="6" deleted="1" background="1" saveData="1">
    <webPr sourceData="1" parsePre="1" consecutive="1" xl2000="1" htmlTables="1"/>
  </connection>
  <connection id="268" name="Connection339" type="4" refreshedVersion="6" deleted="1" background="1" saveData="1">
    <webPr sourceData="1" parsePre="1" consecutive="1" xl2000="1" htmlTables="1"/>
  </connection>
  <connection id="269" name="Connection34" type="4" refreshedVersion="6" deleted="1" background="1" saveData="1">
    <webPr sourceData="1" parsePre="1" consecutive="1" xl2000="1" htmlTables="1"/>
  </connection>
  <connection id="270" name="Connection340" type="4" refreshedVersion="6" deleted="1" background="1" saveData="1">
    <webPr sourceData="1" parsePre="1" consecutive="1" xl2000="1" htmlTables="1"/>
  </connection>
  <connection id="271" name="Connection341" type="4" refreshedVersion="6" deleted="1" background="1" saveData="1">
    <webPr sourceData="1" parsePre="1" consecutive="1" xl2000="1" htmlTables="1"/>
  </connection>
  <connection id="272" name="Connection342" type="4" refreshedVersion="6" deleted="1" background="1" saveData="1">
    <webPr sourceData="1" parsePre="1" consecutive="1" xl2000="1" htmlTables="1"/>
  </connection>
  <connection id="273" name="Connection343" type="4" refreshedVersion="6" deleted="1" background="1" saveData="1">
    <webPr sourceData="1" parsePre="1" consecutive="1" xl2000="1" htmlTables="1"/>
  </connection>
  <connection id="274" name="Connection344" type="4" refreshedVersion="6" deleted="1" background="1" saveData="1">
    <webPr sourceData="1" parsePre="1" consecutive="1" xl2000="1" htmlTables="1"/>
  </connection>
  <connection id="275" name="Connection345" type="4" refreshedVersion="6" deleted="1" background="1" saveData="1">
    <webPr sourceData="1" parsePre="1" consecutive="1" xl2000="1" htmlTables="1"/>
  </connection>
  <connection id="276" name="Connection346" type="4" refreshedVersion="6" deleted="1" background="1" saveData="1">
    <webPr sourceData="1" parsePre="1" consecutive="1" xl2000="1" htmlTables="1"/>
  </connection>
  <connection id="277" name="Connection347" type="4" refreshedVersion="6" deleted="1" background="1" saveData="1">
    <webPr sourceData="1" parsePre="1" consecutive="1" xl2000="1" htmlTables="1"/>
  </connection>
  <connection id="278" name="Connection348" type="4" refreshedVersion="6" deleted="1" background="1" saveData="1">
    <webPr sourceData="1" parsePre="1" consecutive="1" xl2000="1" htmlTables="1"/>
  </connection>
  <connection id="279" name="Connection349" type="4" refreshedVersion="6" deleted="1" background="1" saveData="1">
    <webPr sourceData="1" parsePre="1" consecutive="1" xl2000="1" htmlTables="1"/>
  </connection>
  <connection id="280" name="Connection35" type="4" refreshedVersion="6" deleted="1" background="1" saveData="1">
    <webPr sourceData="1" parsePre="1" consecutive="1" xl2000="1" htmlTables="1"/>
  </connection>
  <connection id="281" name="Connection350" type="4" refreshedVersion="6" deleted="1" background="1" saveData="1">
    <webPr sourceData="1" parsePre="1" consecutive="1" xl2000="1" htmlTables="1"/>
  </connection>
  <connection id="282" name="Connection351" type="4" refreshedVersion="6" deleted="1" background="1" saveData="1">
    <webPr sourceData="1" parsePre="1" consecutive="1" xl2000="1" htmlTables="1"/>
  </connection>
  <connection id="283" name="Connection352" type="4" refreshedVersion="6" deleted="1" background="1" saveData="1">
    <webPr sourceData="1" parsePre="1" consecutive="1" xl2000="1" htmlTables="1"/>
  </connection>
  <connection id="284" name="Connection353" type="4" refreshedVersion="6" deleted="1" background="1" saveData="1">
    <webPr sourceData="1" parsePre="1" consecutive="1" xl2000="1" htmlTables="1"/>
  </connection>
  <connection id="285" name="Connection354" type="4" refreshedVersion="6" deleted="1" background="1" saveData="1">
    <webPr sourceData="1" parsePre="1" consecutive="1" xl2000="1" htmlTables="1"/>
  </connection>
  <connection id="286" name="Connection355" type="4" refreshedVersion="6" deleted="1" background="1" saveData="1">
    <webPr sourceData="1" parsePre="1" consecutive="1" xl2000="1" htmlTables="1"/>
  </connection>
  <connection id="287" name="Connection356" type="4" refreshedVersion="6" deleted="1" background="1" saveData="1">
    <webPr sourceData="1" parsePre="1" consecutive="1" xl2000="1" htmlTables="1"/>
  </connection>
  <connection id="288" name="Connection357" type="4" refreshedVersion="6" deleted="1" background="1" saveData="1">
    <webPr sourceData="1" parsePre="1" consecutive="1" xl2000="1" htmlTables="1"/>
  </connection>
  <connection id="289" name="Connection358" type="4" refreshedVersion="6" deleted="1" background="1" saveData="1">
    <webPr sourceData="1" parsePre="1" consecutive="1" xl2000="1" htmlTables="1"/>
  </connection>
  <connection id="290" name="Connection359" type="4" refreshedVersion="6" deleted="1" background="1" saveData="1">
    <webPr sourceData="1" parsePre="1" consecutive="1" xl2000="1" htmlTables="1"/>
  </connection>
  <connection id="291" name="Connection36" type="4" refreshedVersion="6" deleted="1" background="1" saveData="1">
    <webPr sourceData="1" parsePre="1" consecutive="1" xl2000="1" htmlTables="1"/>
  </connection>
  <connection id="292" name="Connection360" type="4" refreshedVersion="6" deleted="1" background="1" saveData="1">
    <webPr sourceData="1" parsePre="1" consecutive="1" xl2000="1" htmlTables="1"/>
  </connection>
  <connection id="293" name="Connection361" type="4" refreshedVersion="6" deleted="1" background="1" saveData="1">
    <webPr sourceData="1" parsePre="1" consecutive="1" xl2000="1" htmlTables="1"/>
  </connection>
  <connection id="294" name="Connection362" type="4" refreshedVersion="6" deleted="1" background="1" saveData="1">
    <webPr sourceData="1" parsePre="1" consecutive="1" xl2000="1" htmlTables="1"/>
  </connection>
  <connection id="295" name="Connection363" type="4" refreshedVersion="6" deleted="1" background="1" saveData="1">
    <webPr sourceData="1" parsePre="1" consecutive="1" xl2000="1" htmlTables="1"/>
  </connection>
  <connection id="296" name="Connection364" type="4" refreshedVersion="6" deleted="1" background="1" saveData="1">
    <webPr sourceData="1" parsePre="1" consecutive="1" xl2000="1" htmlTables="1"/>
  </connection>
  <connection id="297" name="Connection365" type="4" refreshedVersion="6" deleted="1" background="1" saveData="1">
    <webPr sourceData="1" parsePre="1" consecutive="1" xl2000="1" htmlTables="1"/>
  </connection>
  <connection id="298" name="Connection366" type="4" refreshedVersion="6" deleted="1" background="1" saveData="1">
    <webPr sourceData="1" parsePre="1" consecutive="1" xl2000="1" htmlTables="1"/>
  </connection>
  <connection id="299" name="Connection367" type="4" refreshedVersion="6" deleted="1" background="1" saveData="1">
    <webPr sourceData="1" parsePre="1" consecutive="1" xl2000="1" htmlTables="1"/>
  </connection>
  <connection id="300" name="Connection368" type="4" refreshedVersion="6" deleted="1" background="1" saveData="1">
    <webPr sourceData="1" parsePre="1" consecutive="1" xl2000="1" htmlTables="1"/>
  </connection>
  <connection id="301" name="Connection369" type="4" refreshedVersion="6" deleted="1" background="1" saveData="1">
    <webPr sourceData="1" parsePre="1" consecutive="1" xl2000="1" htmlTables="1"/>
  </connection>
  <connection id="302" name="Connection37" type="4" refreshedVersion="6" minRefreshableVersion="1" deleted="1" background="1" saveData="1">
    <webPr sourceData="1" parsePre="1" consecutive="1" xl2000="1" htmlTables="1"/>
  </connection>
  <connection id="303" name="Connection370" type="4" refreshedVersion="6" deleted="1" background="1" saveData="1">
    <webPr sourceData="1" parsePre="1" consecutive="1" xl2000="1" htmlTables="1"/>
  </connection>
  <connection id="304" name="Connection371" type="4" refreshedVersion="6" deleted="1" background="1" saveData="1">
    <webPr sourceData="1" parsePre="1" consecutive="1" xl2000="1" htmlTables="1"/>
  </connection>
  <connection id="305" name="Connection372" type="4" refreshedVersion="6" deleted="1" background="1" saveData="1">
    <webPr sourceData="1" parsePre="1" consecutive="1" xl2000="1" htmlTables="1"/>
  </connection>
  <connection id="306" name="Connection373" type="4" refreshedVersion="6" deleted="1" background="1" saveData="1">
    <webPr sourceData="1" parsePre="1" consecutive="1" xl2000="1" htmlTables="1"/>
  </connection>
  <connection id="307" name="Connection374" type="4" refreshedVersion="6" deleted="1" background="1" saveData="1">
    <webPr sourceData="1" parsePre="1" consecutive="1" xl2000="1" htmlTables="1"/>
  </connection>
  <connection id="308" name="Connection375" type="4" refreshedVersion="6" deleted="1" background="1" saveData="1">
    <webPr sourceData="1" parsePre="1" consecutive="1" xl2000="1" htmlTables="1"/>
  </connection>
  <connection id="309" name="Connection376" type="4" refreshedVersion="6" deleted="1" background="1" saveData="1">
    <webPr sourceData="1" parsePre="1" consecutive="1" xl2000="1" htmlTables="1"/>
  </connection>
  <connection id="310" name="Connection377" type="4" refreshedVersion="6" deleted="1" background="1" saveData="1">
    <webPr sourceData="1" parsePre="1" consecutive="1" xl2000="1" htmlTables="1"/>
  </connection>
  <connection id="311" name="Connection378" type="4" refreshedVersion="6" deleted="1" background="1" saveData="1">
    <webPr sourceData="1" parsePre="1" consecutive="1" xl2000="1" htmlTables="1"/>
  </connection>
  <connection id="312" name="Connection379" type="4" refreshedVersion="6" deleted="1" background="1" saveData="1">
    <webPr sourceData="1" parsePre="1" consecutive="1" xl2000="1" htmlTables="1"/>
  </connection>
  <connection id="313" name="Connection38" type="4" refreshedVersion="6" deleted="1" background="1" saveData="1">
    <webPr sourceData="1" parsePre="1" consecutive="1" xl2000="1" htmlTables="1"/>
  </connection>
  <connection id="314" name="Connection380" type="4" refreshedVersion="6" deleted="1" background="1" saveData="1">
    <webPr sourceData="1" parsePre="1" consecutive="1" xl2000="1" htmlTables="1"/>
  </connection>
  <connection id="315" name="Connection381" type="4" refreshedVersion="6" minRefreshableVersion="1" deleted="1" background="1" saveData="1">
    <webPr sourceData="1" parsePre="1" consecutive="1" xl2000="1" htmlTables="1"/>
  </connection>
  <connection id="316" name="Connection382" type="4" refreshedVersion="6" deleted="1" background="1" saveData="1">
    <webPr sourceData="1" parsePre="1" consecutive="1" xl2000="1" htmlTables="1"/>
  </connection>
  <connection id="317" name="Connection383" type="4" refreshedVersion="6" deleted="1" background="1" saveData="1">
    <webPr sourceData="1" parsePre="1" consecutive="1" xl2000="1" htmlTables="1"/>
  </connection>
  <connection id="318" name="Connection384" type="4" refreshedVersion="6" deleted="1" background="1" saveData="1">
    <webPr sourceData="1" parsePre="1" consecutive="1" xl2000="1" htmlTables="1"/>
  </connection>
  <connection id="319" name="Connection385" type="4" refreshedVersion="6" minRefreshableVersion="1" deleted="1" background="1" saveData="1">
    <webPr sourceData="1" parsePre="1" consecutive="1" xl2000="1" htmlTables="1"/>
  </connection>
  <connection id="320" name="Connection386" type="4" refreshedVersion="6" deleted="1" background="1" saveData="1">
    <webPr sourceData="1" parsePre="1" consecutive="1" xl2000="1" htmlTables="1"/>
  </connection>
  <connection id="321" name="Connection387" type="4" refreshedVersion="6" deleted="1" background="1" saveData="1">
    <webPr sourceData="1" parsePre="1" consecutive="1" xl2000="1" htmlTables="1"/>
  </connection>
  <connection id="322" name="Connection388" type="4" refreshedVersion="6" deleted="1" background="1" saveData="1">
    <webPr sourceData="1" parsePre="1" consecutive="1" xl2000="1" htmlTables="1"/>
  </connection>
  <connection id="323" name="Connection389" type="4" refreshedVersion="6" minRefreshableVersion="1" deleted="1" background="1" saveData="1">
    <webPr sourceData="1" parsePre="1" consecutive="1" xl2000="1" htmlTables="1"/>
  </connection>
  <connection id="324" name="Connection39" type="4" refreshedVersion="6" deleted="1" background="1" saveData="1">
    <webPr sourceData="1" parsePre="1" consecutive="1" xl2000="1" htmlTables="1"/>
  </connection>
  <connection id="325" name="Connection390" type="4" refreshedVersion="6" deleted="1" background="1" saveData="1">
    <webPr sourceData="1" parsePre="1" consecutive="1" xl2000="1" htmlTables="1"/>
  </connection>
  <connection id="326" name="Connection391" type="4" refreshedVersion="6" deleted="1" background="1" saveData="1">
    <webPr sourceData="1" parsePre="1" consecutive="1" xl2000="1" htmlTables="1"/>
  </connection>
  <connection id="327" name="Connection392" type="4" refreshedVersion="6" deleted="1" background="1" saveData="1">
    <webPr sourceData="1" parsePre="1" consecutive="1" xl2000="1" htmlTables="1"/>
  </connection>
  <connection id="328" name="Connection393" type="4" refreshedVersion="6" deleted="1" background="1" saveData="1">
    <webPr sourceData="1" parsePre="1" consecutive="1" xl2000="1" htmlTables="1"/>
  </connection>
  <connection id="329" name="Connection394" type="4" refreshedVersion="6" deleted="1" background="1" saveData="1">
    <webPr sourceData="1" parsePre="1" consecutive="1" xl2000="1" htmlTables="1"/>
  </connection>
  <connection id="330" name="Connection395" type="4" refreshedVersion="6" deleted="1" background="1" saveData="1">
    <webPr sourceData="1" parsePre="1" consecutive="1" xl2000="1" htmlTables="1"/>
  </connection>
  <connection id="331" name="Connection396" type="4" refreshedVersion="6" deleted="1" background="1" saveData="1">
    <webPr sourceData="1" parsePre="1" consecutive="1" xl2000="1" htmlTables="1"/>
  </connection>
  <connection id="332" name="Connection397" type="4" refreshedVersion="6" deleted="1" background="1" saveData="1">
    <webPr sourceData="1" parsePre="1" consecutive="1" xl2000="1" htmlTables="1"/>
  </connection>
  <connection id="333" name="Connection398" type="4" refreshedVersion="6" deleted="1" background="1" saveData="1">
    <webPr sourceData="1" parsePre="1" consecutive="1" xl2000="1" htmlTables="1"/>
  </connection>
  <connection id="334" name="Connection399" type="4" refreshedVersion="6" deleted="1" background="1" saveData="1">
    <webPr sourceData="1" parsePre="1" consecutive="1" xl2000="1" htmlTables="1"/>
  </connection>
  <connection id="335" name="Connection4" type="4" refreshedVersion="0" deleted="1" background="1" saveData="1">
    <webPr htmlTables="1" htmlFormat="all"/>
  </connection>
  <connection id="336" name="Connection40" type="4" refreshedVersion="6" deleted="1" background="1" saveData="1">
    <webPr sourceData="1" parsePre="1" consecutive="1" xl2000="1" htmlTables="1"/>
  </connection>
  <connection id="337" name="Connection400" type="4" refreshedVersion="6" deleted="1" background="1" saveData="1">
    <webPr sourceData="1" parsePre="1" consecutive="1" xl2000="1" htmlTables="1"/>
  </connection>
  <connection id="338" name="Connection401" type="4" refreshedVersion="6" deleted="1" background="1" saveData="1">
    <webPr sourceData="1" parsePre="1" consecutive="1" xl2000="1" htmlTables="1"/>
  </connection>
  <connection id="339" name="Connection402" type="4" refreshedVersion="6" deleted="1" background="1" saveData="1">
    <webPr sourceData="1" parsePre="1" consecutive="1" xl2000="1" htmlTables="1"/>
  </connection>
  <connection id="340" name="Connection403" type="4" refreshedVersion="6" deleted="1" background="1" saveData="1">
    <webPr sourceData="1" parsePre="1" consecutive="1" xl2000="1" htmlTables="1"/>
  </connection>
  <connection id="341" name="Connection404" type="4" refreshedVersion="6" deleted="1" background="1" saveData="1">
    <webPr sourceData="1" parsePre="1" consecutive="1" xl2000="1" htmlTables="1"/>
  </connection>
  <connection id="342" name="Connection405" type="4" refreshedVersion="6" deleted="1" background="1" saveData="1">
    <webPr sourceData="1" parsePre="1" consecutive="1" xl2000="1" htmlTables="1"/>
  </connection>
  <connection id="343" name="Connection406" type="4" refreshedVersion="6" deleted="1" background="1" saveData="1">
    <webPr sourceData="1" parsePre="1" consecutive="1" xl2000="1" htmlTables="1"/>
  </connection>
  <connection id="344" name="Connection407" type="4" refreshedVersion="6" deleted="1" background="1" saveData="1">
    <webPr sourceData="1" parsePre="1" consecutive="1" xl2000="1" htmlTables="1"/>
  </connection>
  <connection id="345" name="Connection408" type="4" refreshedVersion="6" deleted="1" background="1" saveData="1">
    <webPr sourceData="1" parsePre="1" consecutive="1" xl2000="1" htmlTables="1"/>
  </connection>
  <connection id="346" name="Connection409" type="4" refreshedVersion="6" deleted="1" background="1" saveData="1">
    <webPr sourceData="1" parsePre="1" consecutive="1" xl2000="1" htmlTables="1"/>
  </connection>
  <connection id="347" name="Connection41" type="4" refreshedVersion="6" minRefreshableVersion="1" deleted="1" background="1" saveData="1">
    <webPr sourceData="1" parsePre="1" consecutive="1" xl2000="1" htmlTables="1"/>
  </connection>
  <connection id="348" name="Connection410" type="4" refreshedVersion="6" deleted="1" background="1" saveData="1">
    <webPr sourceData="1" parsePre="1" consecutive="1" xl2000="1" htmlTables="1"/>
  </connection>
  <connection id="349" name="Connection411" type="4" refreshedVersion="6" deleted="1" background="1" saveData="1">
    <webPr sourceData="1" parsePre="1" consecutive="1" xl2000="1" htmlTables="1"/>
  </connection>
  <connection id="350" name="Connection412" type="4" refreshedVersion="6" deleted="1" background="1" saveData="1">
    <webPr sourceData="1" parsePre="1" consecutive="1" xl2000="1" htmlTables="1"/>
  </connection>
  <connection id="351" name="Connection413" type="4" refreshedVersion="6" deleted="1" background="1" saveData="1">
    <webPr sourceData="1" parsePre="1" consecutive="1" xl2000="1" htmlTables="1"/>
  </connection>
  <connection id="352" name="Connection414" type="4" refreshedVersion="6" deleted="1" background="1" saveData="1">
    <webPr sourceData="1" parsePre="1" consecutive="1" xl2000="1" htmlTables="1"/>
  </connection>
  <connection id="353" name="Connection415" type="4" refreshedVersion="6" deleted="1" background="1" saveData="1">
    <webPr sourceData="1" parsePre="1" consecutive="1" xl2000="1" htmlTables="1"/>
  </connection>
  <connection id="354" name="Connection416" type="4" refreshedVersion="6" deleted="1" background="1" saveData="1">
    <webPr sourceData="1" parsePre="1" consecutive="1" xl2000="1" htmlTables="1"/>
  </connection>
  <connection id="355" name="Connection417" type="4" refreshedVersion="6" deleted="1" background="1" saveData="1">
    <webPr sourceData="1" parsePre="1" consecutive="1" xl2000="1" htmlTables="1"/>
  </connection>
  <connection id="356" name="Connection418" type="4" refreshedVersion="6" deleted="1" background="1" saveData="1">
    <webPr sourceData="1" parsePre="1" consecutive="1" xl2000="1" htmlTables="1"/>
  </connection>
  <connection id="357" name="Connection419" type="4" refreshedVersion="6" deleted="1" background="1" saveData="1">
    <webPr sourceData="1" parsePre="1" consecutive="1" xl2000="1" htmlTables="1"/>
  </connection>
  <connection id="358" name="Connection42" type="4" refreshedVersion="6" deleted="1" background="1" saveData="1">
    <webPr sourceData="1" parsePre="1" consecutive="1" xl2000="1" htmlTables="1"/>
  </connection>
  <connection id="359" name="Connection420" type="4" refreshedVersion="6" deleted="1" background="1" saveData="1">
    <webPr sourceData="1" parsePre="1" consecutive="1" xl2000="1" htmlTables="1"/>
  </connection>
  <connection id="360" name="Connection421" type="4" refreshedVersion="6" deleted="1" background="1" saveData="1">
    <webPr sourceData="1" parsePre="1" consecutive="1" xl2000="1" htmlTables="1"/>
  </connection>
  <connection id="361" name="Connection422" type="4" refreshedVersion="6" deleted="1" background="1" saveData="1">
    <webPr sourceData="1" parsePre="1" consecutive="1" xl2000="1" htmlTables="1"/>
  </connection>
  <connection id="362" name="Connection423" type="4" refreshedVersion="6" deleted="1" background="1" saveData="1">
    <webPr sourceData="1" parsePre="1" consecutive="1" xl2000="1" htmlTables="1"/>
  </connection>
  <connection id="363" name="Connection424" type="4" refreshedVersion="6" deleted="1" background="1" saveData="1">
    <webPr sourceData="1" parsePre="1" consecutive="1" xl2000="1" htmlTables="1"/>
  </connection>
  <connection id="364" name="Connection425" type="4" refreshedVersion="6" deleted="1" background="1" saveData="1">
    <webPr sourceData="1" parsePre="1" consecutive="1" xl2000="1" htmlTables="1"/>
  </connection>
  <connection id="365" name="Connection426" type="4" refreshedVersion="6" deleted="1" background="1" saveData="1">
    <webPr sourceData="1" parsePre="1" consecutive="1" xl2000="1" htmlTables="1"/>
  </connection>
  <connection id="366" name="Connection427" type="4" refreshedVersion="6" deleted="1" background="1" saveData="1">
    <webPr sourceData="1" parsePre="1" consecutive="1" xl2000="1" htmlTables="1"/>
  </connection>
  <connection id="367" name="Connection428" type="4" refreshedVersion="6" deleted="1" background="1" saveData="1">
    <webPr sourceData="1" parsePre="1" consecutive="1" xl2000="1" htmlTables="1"/>
  </connection>
  <connection id="368" name="Connection429" type="4" refreshedVersion="6" deleted="1" background="1" saveData="1">
    <webPr sourceData="1" parsePre="1" consecutive="1" xl2000="1" htmlTables="1"/>
  </connection>
  <connection id="369" name="Connection43" type="4" refreshedVersion="6" deleted="1" background="1" saveData="1">
    <webPr sourceData="1" parsePre="1" consecutive="1" xl2000="1" htmlTables="1"/>
  </connection>
  <connection id="370" name="Connection430" type="4" refreshedVersion="6" deleted="1" background="1" saveData="1">
    <webPr sourceData="1" parsePre="1" consecutive="1" xl2000="1" htmlTables="1"/>
  </connection>
  <connection id="371" name="Connection431" type="4" refreshedVersion="6" deleted="1" background="1" saveData="1">
    <webPr sourceData="1" parsePre="1" consecutive="1" xl2000="1" htmlTables="1"/>
  </connection>
  <connection id="372" name="Connection432" type="4" refreshedVersion="6" deleted="1" background="1" saveData="1">
    <webPr sourceData="1" parsePre="1" consecutive="1" xl2000="1" htmlTables="1"/>
  </connection>
  <connection id="373" name="Connection433" type="4" refreshedVersion="6" deleted="1" background="1" saveData="1">
    <webPr sourceData="1" parsePre="1" consecutive="1" xl2000="1" htmlTables="1"/>
  </connection>
  <connection id="374" name="Connection434" type="4" refreshedVersion="6" deleted="1" background="1" saveData="1">
    <webPr sourceData="1" parsePre="1" consecutive="1" xl2000="1" htmlTables="1"/>
  </connection>
  <connection id="375" name="Connection435" type="4" refreshedVersion="6" deleted="1" background="1" saveData="1">
    <webPr sourceData="1" parsePre="1" consecutive="1" xl2000="1" htmlTables="1"/>
  </connection>
  <connection id="376" name="Connection436" type="4" refreshedVersion="6" deleted="1" background="1" saveData="1">
    <webPr sourceData="1" parsePre="1" consecutive="1" xl2000="1" htmlTables="1"/>
  </connection>
  <connection id="377" name="Connection437" type="4" refreshedVersion="6" deleted="1" background="1" saveData="1">
    <webPr sourceData="1" parsePre="1" consecutive="1" xl2000="1" htmlTables="1"/>
  </connection>
  <connection id="378" name="Connection438" type="4" refreshedVersion="6" deleted="1" background="1" saveData="1">
    <webPr sourceData="1" parsePre="1" consecutive="1" xl2000="1" htmlTables="1"/>
  </connection>
  <connection id="379" name="Connection439" type="4" refreshedVersion="6" deleted="1" background="1" saveData="1">
    <webPr sourceData="1" parsePre="1" consecutive="1" xl2000="1" htmlTables="1"/>
  </connection>
  <connection id="380" name="Connection44" type="4" refreshedVersion="6" deleted="1" background="1" saveData="1">
    <webPr sourceData="1" parsePre="1" consecutive="1" xl2000="1" htmlTables="1"/>
  </connection>
  <connection id="381" name="Connection440" type="4" refreshedVersion="6" deleted="1" background="1" saveData="1">
    <webPr sourceData="1" parsePre="1" consecutive="1" xl2000="1" htmlTables="1"/>
  </connection>
  <connection id="382" name="Connection441" type="4" refreshedVersion="6" minRefreshableVersion="1" deleted="1" background="1" saveData="1">
    <webPr sourceData="1" parsePre="1" consecutive="1" xl2000="1" htmlTables="1"/>
  </connection>
  <connection id="383" name="Connection442" type="4" refreshedVersion="6" deleted="1" background="1" saveData="1">
    <webPr sourceData="1" parsePre="1" consecutive="1" xl2000="1" htmlTables="1"/>
  </connection>
  <connection id="384" name="Connection443" type="4" refreshedVersion="6" deleted="1" background="1" saveData="1">
    <webPr sourceData="1" parsePre="1" consecutive="1" xl2000="1" htmlTables="1"/>
  </connection>
  <connection id="385" name="Connection444" type="4" refreshedVersion="6" deleted="1" background="1" saveData="1">
    <webPr sourceData="1" parsePre="1" consecutive="1" xl2000="1" htmlTables="1"/>
  </connection>
  <connection id="386" name="Connection445" type="4" refreshedVersion="6" minRefreshableVersion="1" deleted="1" background="1" saveData="1">
    <webPr sourceData="1" parsePre="1" consecutive="1" xl2000="1" htmlTables="1"/>
  </connection>
  <connection id="387" name="Connection446" type="4" refreshedVersion="6" deleted="1" background="1" saveData="1">
    <webPr sourceData="1" parsePre="1" consecutive="1" xl2000="1" htmlTables="1"/>
  </connection>
  <connection id="388" name="Connection447" type="4" refreshedVersion="6" deleted="1" background="1" saveData="1">
    <webPr sourceData="1" parsePre="1" consecutive="1" xl2000="1" htmlTables="1"/>
  </connection>
  <connection id="389" name="Connection448" type="4" refreshedVersion="6" deleted="1" background="1" saveData="1">
    <webPr sourceData="1" parsePre="1" consecutive="1" xl2000="1" htmlTables="1"/>
  </connection>
  <connection id="390" name="Connection449" type="4" refreshedVersion="6" deleted="1" background="1" saveData="1">
    <webPr sourceData="1" parsePre="1" consecutive="1" xl2000="1" htmlTables="1"/>
  </connection>
  <connection id="391" name="Connection45" type="4" refreshedVersion="6" minRefreshableVersion="1" deleted="1" background="1" saveData="1">
    <webPr sourceData="1" parsePre="1" consecutive="1" xl2000="1" htmlTables="1"/>
  </connection>
  <connection id="392" name="Connection450" type="4" refreshedVersion="6" deleted="1" background="1" saveData="1">
    <webPr sourceData="1" parsePre="1" consecutive="1" xl2000="1" htmlTables="1"/>
  </connection>
  <connection id="393" name="Connection451" type="4" refreshedVersion="6" deleted="1" background="1" saveData="1">
    <webPr sourceData="1" parsePre="1" consecutive="1" xl2000="1" htmlTables="1"/>
  </connection>
  <connection id="394" name="Connection452" type="4" refreshedVersion="6" deleted="1" background="1" saveData="1">
    <webPr sourceData="1" parsePre="1" consecutive="1" xl2000="1" htmlTables="1"/>
  </connection>
  <connection id="395" name="Connection453" type="4" refreshedVersion="6" deleted="1" background="1" saveData="1">
    <webPr sourceData="1" parsePre="1" consecutive="1" xl2000="1" htmlTables="1"/>
  </connection>
  <connection id="396" name="Connection454" type="4" refreshedVersion="6" deleted="1" background="1" saveData="1">
    <webPr sourceData="1" parsePre="1" consecutive="1" xl2000="1" htmlTables="1"/>
  </connection>
  <connection id="397" name="Connection455" type="4" refreshedVersion="6" deleted="1" background="1" saveData="1">
    <webPr sourceData="1" parsePre="1" consecutive="1" xl2000="1" htmlTables="1"/>
  </connection>
  <connection id="398" name="Connection456" type="4" refreshedVersion="6" deleted="1" background="1" saveData="1">
    <webPr sourceData="1" parsePre="1" consecutive="1" xl2000="1" htmlTables="1"/>
  </connection>
  <connection id="399" name="Connection457" type="4" refreshedVersion="6" deleted="1" background="1" saveData="1">
    <webPr sourceData="1" parsePre="1" consecutive="1" xl2000="1" htmlTables="1"/>
  </connection>
  <connection id="400" name="Connection458" type="4" refreshedVersion="6" deleted="1" background="1" saveData="1">
    <webPr sourceData="1" parsePre="1" consecutive="1" xl2000="1" htmlTables="1"/>
  </connection>
  <connection id="401" name="Connection459" type="4" refreshedVersion="6" deleted="1" background="1" saveData="1">
    <webPr sourceData="1" parsePre="1" consecutive="1" xl2000="1" htmlTables="1"/>
  </connection>
  <connection id="402" name="Connection46" type="4" refreshedVersion="6" deleted="1" background="1" saveData="1">
    <webPr sourceData="1" parsePre="1" consecutive="1" xl2000="1" htmlTables="1"/>
  </connection>
  <connection id="403" name="Connection460" type="4" refreshedVersion="6" deleted="1" background="1" saveData="1">
    <webPr sourceData="1" parsePre="1" consecutive="1" xl2000="1" htmlTables="1"/>
  </connection>
  <connection id="404" name="Connection461" type="4" refreshedVersion="6" deleted="1" background="1" saveData="1">
    <webPr sourceData="1" parsePre="1" consecutive="1" xl2000="1" htmlTables="1"/>
  </connection>
  <connection id="405" name="Connection462" type="4" refreshedVersion="6" deleted="1" background="1" saveData="1">
    <webPr sourceData="1" parsePre="1" consecutive="1" xl2000="1" htmlTables="1"/>
  </connection>
  <connection id="406" name="Connection463" type="4" refreshedVersion="6" deleted="1" background="1" saveData="1">
    <webPr sourceData="1" parsePre="1" consecutive="1" xl2000="1" htmlTables="1"/>
  </connection>
  <connection id="407" name="Connection464" type="4" refreshedVersion="6" deleted="1" background="1" saveData="1">
    <webPr sourceData="1" parsePre="1" consecutive="1" xl2000="1" htmlTables="1"/>
  </connection>
  <connection id="408" name="Connection465" type="4" refreshedVersion="6" deleted="1" background="1" saveData="1">
    <webPr sourceData="1" parsePre="1" consecutive="1" xl2000="1" htmlTables="1"/>
  </connection>
  <connection id="409" name="Connection466" type="4" refreshedVersion="6" deleted="1" background="1" saveData="1">
    <webPr sourceData="1" parsePre="1" consecutive="1" xl2000="1" htmlTables="1"/>
  </connection>
  <connection id="410" name="Connection467" type="4" refreshedVersion="6" deleted="1" background="1" saveData="1">
    <webPr sourceData="1" parsePre="1" consecutive="1" xl2000="1" htmlTables="1"/>
  </connection>
  <connection id="411" name="Connection468" type="4" refreshedVersion="6" deleted="1" background="1" saveData="1">
    <webPr sourceData="1" parsePre="1" consecutive="1" xl2000="1" htmlTables="1"/>
  </connection>
  <connection id="412" name="Connection469" type="4" refreshedVersion="6" deleted="1" background="1" saveData="1">
    <webPr sourceData="1" parsePre="1" consecutive="1" xl2000="1" htmlTables="1"/>
  </connection>
  <connection id="413" name="Connection47" type="4" refreshedVersion="6" deleted="1" background="1" saveData="1">
    <webPr sourceData="1" parsePre="1" consecutive="1" xl2000="1" htmlTables="1"/>
  </connection>
  <connection id="414" name="Connection470" type="4" refreshedVersion="6" deleted="1" background="1" saveData="1">
    <webPr sourceData="1" parsePre="1" consecutive="1" xl2000="1" htmlTables="1"/>
  </connection>
  <connection id="415" name="Connection471" type="4" refreshedVersion="6" deleted="1" background="1" saveData="1">
    <webPr sourceData="1" parsePre="1" consecutive="1" xl2000="1" htmlTables="1"/>
  </connection>
  <connection id="416" name="Connection472" type="4" refreshedVersion="6" deleted="1" background="1" saveData="1">
    <webPr sourceData="1" parsePre="1" consecutive="1" xl2000="1" htmlTables="1"/>
  </connection>
  <connection id="417" name="Connection473" type="4" refreshedVersion="6" deleted="1" background="1" saveData="1">
    <webPr sourceData="1" parsePre="1" consecutive="1" xl2000="1" htmlTables="1"/>
  </connection>
  <connection id="418" name="Connection474" type="4" refreshedVersion="6" deleted="1" background="1" saveData="1">
    <webPr sourceData="1" parsePre="1" consecutive="1" xl2000="1" htmlTables="1"/>
  </connection>
  <connection id="419" name="Connection475" type="4" refreshedVersion="6" deleted="1" background="1" saveData="1">
    <webPr sourceData="1" parsePre="1" consecutive="1" xl2000="1" htmlTables="1"/>
  </connection>
  <connection id="420" name="Connection48" type="4" refreshedVersion="6" deleted="1" background="1" saveData="1">
    <webPr sourceData="1" parsePre="1" consecutive="1" xl2000="1" htmlTables="1"/>
  </connection>
  <connection id="421" name="Connection49" type="4" refreshedVersion="6" minRefreshableVersion="1" deleted="1" background="1" saveData="1">
    <webPr sourceData="1" parsePre="1" consecutive="1" xl2000="1" htmlTables="1"/>
  </connection>
  <connection id="422" name="Connection5" type="4" refreshedVersion="0" deleted="1" background="1" saveData="1">
    <webPr htmlTables="1" htmlFormat="all"/>
  </connection>
  <connection id="423" name="Connection50" type="4" refreshedVersion="6" deleted="1" background="1" saveData="1">
    <webPr sourceData="1" parsePre="1" consecutive="1" xl2000="1" htmlTables="1"/>
  </connection>
  <connection id="424" name="Connection51" type="4" refreshedVersion="6" deleted="1" background="1" saveData="1">
    <webPr sourceData="1" parsePre="1" consecutive="1" xl2000="1" htmlTables="1"/>
  </connection>
  <connection id="425" name="Connection52" type="4" refreshedVersion="6" deleted="1" background="1" saveData="1">
    <webPr sourceData="1" parsePre="1" consecutive="1" xl2000="1" htmlTables="1"/>
  </connection>
  <connection id="426" name="Connection53" type="4" refreshedVersion="6" minRefreshableVersion="1" deleted="1" background="1" saveData="1">
    <webPr sourceData="1" parsePre="1" consecutive="1" xl2000="1" htmlTables="1"/>
  </connection>
  <connection id="427" name="Connection54" type="4" refreshedVersion="6" deleted="1" background="1" saveData="1">
    <webPr sourceData="1" parsePre="1" consecutive="1" xl2000="1" htmlTables="1"/>
  </connection>
  <connection id="428" name="Connection55" type="4" refreshedVersion="6" deleted="1" background="1" saveData="1">
    <webPr sourceData="1" parsePre="1" consecutive="1" xl2000="1" htmlTables="1"/>
  </connection>
  <connection id="429" name="Connection56" type="4" refreshedVersion="6" deleted="1" background="1" saveData="1">
    <webPr sourceData="1" parsePre="1" consecutive="1" xl2000="1" htmlTables="1"/>
  </connection>
  <connection id="430" name="Connection57" type="4" refreshedVersion="6" deleted="1" background="1" saveData="1">
    <webPr sourceData="1" parsePre="1" consecutive="1" xl2000="1" htmlTables="1"/>
  </connection>
  <connection id="431" name="Connection58" type="4" refreshedVersion="6" deleted="1" background="1" saveData="1">
    <webPr sourceData="1" parsePre="1" consecutive="1" xl2000="1" htmlTables="1"/>
  </connection>
  <connection id="432" name="Connection59" type="4" refreshedVersion="6" deleted="1" background="1" saveData="1">
    <webPr sourceData="1" parsePre="1" consecutive="1" xl2000="1" htmlTables="1"/>
  </connection>
  <connection id="433" name="Connection6" type="4" refreshedVersion="0" deleted="1" background="1" saveData="1">
    <webPr htmlTables="1" htmlFormat="all"/>
  </connection>
  <connection id="434" name="Connection60" type="4" refreshedVersion="6" deleted="1" background="1" saveData="1">
    <webPr sourceData="1" parsePre="1" consecutive="1" xl2000="1" htmlTables="1"/>
  </connection>
  <connection id="435" name="Connection61" type="4" refreshedVersion="6" deleted="1" background="1" saveData="1">
    <webPr sourceData="1" parsePre="1" consecutive="1" xl2000="1" htmlTables="1"/>
  </connection>
  <connection id="436" name="Connection62" type="4" refreshedVersion="6" deleted="1" background="1" saveData="1">
    <webPr sourceData="1" parsePre="1" consecutive="1" xl2000="1" htmlTables="1"/>
  </connection>
  <connection id="437" name="Connection63" type="4" refreshedVersion="6" deleted="1" background="1" saveData="1">
    <webPr sourceData="1" parsePre="1" consecutive="1" xl2000="1" htmlTables="1"/>
  </connection>
  <connection id="438" name="Connection64" type="4" refreshedVersion="6" deleted="1" background="1" saveData="1">
    <webPr sourceData="1" parsePre="1" consecutive="1" xl2000="1" htmlTables="1"/>
  </connection>
  <connection id="439" name="Connection65" type="4" refreshedVersion="6" deleted="1" background="1" saveData="1">
    <webPr sourceData="1" parsePre="1" consecutive="1" xl2000="1" htmlTables="1"/>
  </connection>
  <connection id="440" name="Connection66" type="4" refreshedVersion="6" deleted="1" background="1" saveData="1">
    <webPr sourceData="1" parsePre="1" consecutive="1" xl2000="1" htmlTables="1"/>
  </connection>
  <connection id="441" name="Connection67" type="4" refreshedVersion="6" deleted="1" background="1" saveData="1">
    <webPr sourceData="1" parsePre="1" consecutive="1" xl2000="1" htmlTables="1"/>
  </connection>
  <connection id="442" name="Connection68" type="4" refreshedVersion="6" deleted="1" background="1" saveData="1">
    <webPr sourceData="1" parsePre="1" consecutive="1" xl2000="1" htmlTables="1"/>
  </connection>
  <connection id="443" name="Connection69" type="4" refreshedVersion="6" deleted="1" background="1" saveData="1">
    <webPr sourceData="1" parsePre="1" consecutive="1" xl2000="1" htmlTables="1"/>
  </connection>
  <connection id="444" name="Connection7" type="4" refreshedVersion="0" deleted="1" background="1" saveData="1">
    <webPr htmlTables="1" htmlFormat="all"/>
  </connection>
  <connection id="445" name="Connection70" type="4" refreshedVersion="6" deleted="1" background="1" saveData="1">
    <webPr sourceData="1" parsePre="1" consecutive="1" xl2000="1" htmlTables="1"/>
  </connection>
  <connection id="446" name="Connection71" type="4" refreshedVersion="6" deleted="1" background="1" saveData="1">
    <webPr sourceData="1" parsePre="1" consecutive="1" xl2000="1" htmlTables="1"/>
  </connection>
  <connection id="447" name="Connection72" type="4" refreshedVersion="6" deleted="1" background="1" saveData="1">
    <webPr sourceData="1" parsePre="1" consecutive="1" xl2000="1" htmlTables="1"/>
  </connection>
  <connection id="448" name="Connection73" type="4" refreshedVersion="6" minRefreshableVersion="1" deleted="1" background="1" saveData="1">
    <webPr sourceData="1" parsePre="1" consecutive="1" xl2000="1" htmlTables="1"/>
  </connection>
  <connection id="449" name="Connection74" type="4" refreshedVersion="6" deleted="1" background="1" saveData="1">
    <webPr sourceData="1" parsePre="1" consecutive="1" xl2000="1" htmlTables="1"/>
  </connection>
  <connection id="450" name="Connection75" type="4" refreshedVersion="6" deleted="1" background="1" saveData="1">
    <webPr sourceData="1" parsePre="1" consecutive="1" xl2000="1" htmlTables="1"/>
  </connection>
  <connection id="451" name="Connection76" type="4" refreshedVersion="6" deleted="1" background="1" saveData="1">
    <webPr sourceData="1" parsePre="1" consecutive="1" xl2000="1" htmlTables="1"/>
  </connection>
  <connection id="452" name="Connection77" type="4" refreshedVersion="6" minRefreshableVersion="1" deleted="1" background="1" saveData="1">
    <webPr sourceData="1" parsePre="1" consecutive="1" xl2000="1" htmlTables="1"/>
  </connection>
  <connection id="453" name="Connection78" type="4" refreshedVersion="6" deleted="1" background="1" saveData="1">
    <webPr sourceData="1" parsePre="1" consecutive="1" xl2000="1" htmlTables="1"/>
  </connection>
  <connection id="454" name="Connection79" type="4" refreshedVersion="6" deleted="1" background="1" saveData="1">
    <webPr sourceData="1" parsePre="1" consecutive="1" xl2000="1" htmlTables="1"/>
  </connection>
  <connection id="455" name="Connection8" type="4" refreshedVersion="0" deleted="1" background="1" saveData="1">
    <webPr htmlTables="1" htmlFormat="all"/>
  </connection>
  <connection id="456" name="Connection80" type="4" refreshedVersion="6" deleted="1" background="1" saveData="1">
    <webPr sourceData="1" parsePre="1" consecutive="1" xl2000="1" htmlTables="1"/>
  </connection>
  <connection id="457" name="Connection81" type="4" refreshedVersion="6" minRefreshableVersion="1" deleted="1" background="1" saveData="1">
    <webPr sourceData="1" parsePre="1" consecutive="1" xl2000="1" htmlTables="1"/>
  </connection>
  <connection id="458" name="Connection82" type="4" refreshedVersion="6" deleted="1" background="1" saveData="1">
    <webPr sourceData="1" parsePre="1" consecutive="1" xl2000="1" htmlTables="1"/>
  </connection>
  <connection id="459" name="Connection83" type="4" refreshedVersion="6" deleted="1" background="1" saveData="1">
    <webPr sourceData="1" parsePre="1" consecutive="1" xl2000="1" htmlTables="1"/>
  </connection>
  <connection id="460" name="Connection84" type="4" refreshedVersion="6" deleted="1" background="1" saveData="1">
    <webPr sourceData="1" parsePre="1" consecutive="1" xl2000="1" htmlTables="1"/>
  </connection>
  <connection id="461" name="Connection85" type="4" refreshedVersion="6" deleted="1" background="1" saveData="1">
    <webPr sourceData="1" parsePre="1" consecutive="1" xl2000="1" htmlTables="1"/>
  </connection>
  <connection id="462" name="Connection86" type="4" refreshedVersion="6" deleted="1" background="1" saveData="1">
    <webPr sourceData="1" parsePre="1" consecutive="1" xl2000="1" htmlTables="1"/>
  </connection>
  <connection id="463" name="Connection87" type="4" refreshedVersion="6" deleted="1" background="1" saveData="1">
    <webPr sourceData="1" parsePre="1" consecutive="1" xl2000="1" htmlTables="1"/>
  </connection>
  <connection id="464" name="Connection88" type="4" refreshedVersion="6" deleted="1" background="1" saveData="1">
    <webPr sourceData="1" parsePre="1" consecutive="1" xl2000="1" htmlTables="1"/>
  </connection>
  <connection id="465" name="Connection89" type="4" refreshedVersion="6" minRefreshableVersion="1" deleted="1" background="1" saveData="1">
    <webPr sourceData="1" parsePre="1" consecutive="1" xl2000="1" htmlTables="1"/>
  </connection>
  <connection id="466" name="Connection9" type="4" refreshedVersion="0" deleted="1" background="1" saveData="1">
    <webPr htmlTables="1" htmlFormat="all"/>
  </connection>
  <connection id="467" name="Connection90" type="4" refreshedVersion="6" deleted="1" background="1" saveData="1">
    <webPr sourceData="1" parsePre="1" consecutive="1" xl2000="1" htmlTables="1"/>
  </connection>
  <connection id="468" name="Connection91" type="4" refreshedVersion="6" deleted="1" background="1" saveData="1">
    <webPr sourceData="1" parsePre="1" consecutive="1" xl2000="1" htmlTables="1"/>
  </connection>
  <connection id="469" name="Connection92" type="4" refreshedVersion="6" deleted="1" background="1" saveData="1">
    <webPr sourceData="1" parsePre="1" consecutive="1" xl2000="1" htmlTables="1"/>
  </connection>
  <connection id="470" name="Connection93" type="4" refreshedVersion="6" minRefreshableVersion="1" deleted="1" background="1" saveData="1">
    <webPr sourceData="1" parsePre="1" consecutive="1" xl2000="1" htmlTables="1"/>
  </connection>
  <connection id="471" name="Connection94" type="4" refreshedVersion="6" deleted="1" background="1" saveData="1">
    <webPr sourceData="1" parsePre="1" consecutive="1" xl2000="1" htmlTables="1"/>
  </connection>
  <connection id="472" name="Connection95" type="4" refreshedVersion="6" deleted="1" background="1" saveData="1">
    <webPr sourceData="1" parsePre="1" consecutive="1" xl2000="1" htmlTables="1"/>
  </connection>
  <connection id="473" name="Connection96" type="4" refreshedVersion="6" deleted="1" background="1" saveData="1">
    <webPr sourceData="1" parsePre="1" consecutive="1" xl2000="1" htmlTables="1"/>
  </connection>
  <connection id="474" name="Connection97" type="4" refreshedVersion="6" minRefreshableVersion="1" deleted="1" background="1" saveData="1">
    <webPr sourceData="1" parsePre="1" consecutive="1" xl2000="1" htmlTables="1"/>
  </connection>
  <connection id="475" name="Connection98" type="4" refreshedVersion="6" deleted="1" background="1" saveData="1">
    <webPr sourceData="1" parsePre="1" consecutive="1" xl2000="1" htmlTables="1"/>
  </connection>
  <connection id="476" name="Connection99" type="4" refreshedVersion="6" deleted="1" background="1" saveData="1">
    <webPr sourceData="1" parsePre="1" consecutive="1" xl2000="1" htmlTables="1"/>
  </connection>
</connections>
</file>

<file path=xl/sharedStrings.xml><?xml version="1.0" encoding="utf-8"?>
<sst xmlns="http://schemas.openxmlformats.org/spreadsheetml/2006/main" count="21490" uniqueCount="648">
  <si>
    <t>Goal</t>
  </si>
  <si>
    <t>Front Half</t>
  </si>
  <si>
    <t>Back Half</t>
  </si>
  <si>
    <t xml:space="preserve">Previous Week Average </t>
  </si>
  <si>
    <t>Current Week Average</t>
  </si>
  <si>
    <t xml:space="preserve">WoW Improvement </t>
  </si>
  <si>
    <t>Receive Dock</t>
  </si>
  <si>
    <t>LP Receive</t>
  </si>
  <si>
    <t>Stow</t>
  </si>
  <si>
    <t>Pick</t>
  </si>
  <si>
    <t>TO Dock</t>
  </si>
  <si>
    <t>IB Total</t>
  </si>
  <si>
    <t xml:space="preserve">TO Total </t>
  </si>
  <si>
    <t>Inbound</t>
  </si>
  <si>
    <t>Trans Out</t>
  </si>
  <si>
    <t>UPC</t>
  </si>
  <si>
    <r>
      <t xml:space="preserve">Before you send this out, is everything the right color? </t>
    </r>
    <r>
      <rPr>
        <b/>
        <sz val="11"/>
        <color theme="1"/>
        <rFont val="Calibri"/>
        <family val="2"/>
        <scheme val="minor"/>
      </rPr>
      <t>Stop sending this out like a dingus.</t>
    </r>
    <r>
      <rPr>
        <sz val="11"/>
        <color theme="1"/>
        <rFont val="Calibri"/>
        <family val="2"/>
        <scheme val="minor"/>
      </rPr>
      <t xml:space="preserve"> 
Don't forget to </t>
    </r>
    <r>
      <rPr>
        <b/>
        <sz val="11"/>
        <color theme="1"/>
        <rFont val="Calibri"/>
        <family val="2"/>
        <scheme val="minor"/>
      </rPr>
      <t xml:space="preserve">copy the previous weeks average </t>
    </r>
    <r>
      <rPr>
        <sz val="11"/>
        <color theme="1"/>
        <rFont val="Calibri"/>
        <family val="2"/>
        <scheme val="minor"/>
      </rPr>
      <t xml:space="preserve">when you start a new week!! 
</t>
    </r>
  </si>
  <si>
    <t>Stow Volume</t>
  </si>
  <si>
    <t xml:space="preserve">Pick Volume </t>
  </si>
  <si>
    <t>Receive Volume</t>
  </si>
  <si>
    <t>Time at Bin</t>
  </si>
  <si>
    <t>Time at bin</t>
  </si>
  <si>
    <t>TOT%</t>
  </si>
  <si>
    <t>TO total</t>
  </si>
  <si>
    <t>Pick Rate</t>
  </si>
  <si>
    <t>IB CPLH</t>
  </si>
  <si>
    <t>OB CPLH</t>
  </si>
  <si>
    <t>Absolute difference</t>
  </si>
  <si>
    <t>* Wednesday is considered to be Front Half this week</t>
  </si>
  <si>
    <t>*Wednesday is considered to be Back Half this week</t>
  </si>
  <si>
    <t>KRB1</t>
  </si>
  <si>
    <t>Building</t>
  </si>
  <si>
    <t>Inputs</t>
  </si>
  <si>
    <t>*Wednesday is considered to be Back Half (BH) this week</t>
  </si>
  <si>
    <t xml:space="preserve"> </t>
  </si>
  <si>
    <t>Report</t>
  </si>
  <si>
    <t>Line Number</t>
  </si>
  <si>
    <t>LineItem Id</t>
  </si>
  <si>
    <t>LineItem Name</t>
  </si>
  <si>
    <t>Main Process</t>
  </si>
  <si>
    <t>Core Process</t>
  </si>
  <si>
    <t>Unit Type</t>
  </si>
  <si>
    <t>Actual Volume</t>
  </si>
  <si>
    <t>Actual Hours</t>
  </si>
  <si>
    <t>Actual Rate</t>
  </si>
  <si>
    <t>Plan Productivity</t>
  </si>
  <si>
    <t>Hours @ Plan Rate</t>
  </si>
  <si>
    <t>Plan Variance (Hrs)</t>
  </si>
  <si>
    <t>% to Plan</t>
  </si>
  <si>
    <t>YOY Baseline Volume</t>
  </si>
  <si>
    <t>YOY Rate</t>
  </si>
  <si>
    <t>YOY Vol / Actual Rate (Hrs)</t>
  </si>
  <si>
    <t>YOY Vol / PY Rate (Hrs)</t>
  </si>
  <si>
    <t>YOY %</t>
  </si>
  <si>
    <t>DETAIL_PPR</t>
  </si>
  <si>
    <t>ppr.detail.inbound.receive.receiveDock</t>
  </si>
  <si>
    <t>Receive</t>
  </si>
  <si>
    <t>-</t>
  </si>
  <si>
    <t>ppr.detail.inbound.receive.eachReceive.small</t>
  </si>
  <si>
    <t>Each Receive - Small</t>
  </si>
  <si>
    <t>EACH</t>
  </si>
  <si>
    <t>ppr.detail.inbound.receive.eachReceive.medium</t>
  </si>
  <si>
    <t>Each Receive - Medium</t>
  </si>
  <si>
    <t>ppr.detail.inbound.receive.eachReceive.large</t>
  </si>
  <si>
    <t>Each Receive - Large</t>
  </si>
  <si>
    <t>ppr.detail.inbound.receive.eachReceive.heavyBulky</t>
  </si>
  <si>
    <t>Each Receive - Heavy/Bulky</t>
  </si>
  <si>
    <t>ppr.detail.inbound.receive.eachReceive.total</t>
  </si>
  <si>
    <t>Each Receive - Total</t>
  </si>
  <si>
    <t>ppr.detail.inbound.receive.eachToBin.small</t>
  </si>
  <si>
    <t>Each To Bin - Small</t>
  </si>
  <si>
    <t>ppr.detail.inbound.receive.eachToBin.medium</t>
  </si>
  <si>
    <t>Each To Bin - Medium</t>
  </si>
  <si>
    <t>ppr.detail.inbound.receive.eachToBin.large</t>
  </si>
  <si>
    <t>Each To Bin - Large</t>
  </si>
  <si>
    <t>ppr.detail.inbound.receive.eachToBin.heavyBulky</t>
  </si>
  <si>
    <t>Each To Bin - Heavy/Bulky</t>
  </si>
  <si>
    <t>ppr.detail.inbound.receive.eachToBin.total</t>
  </si>
  <si>
    <t>Each To Bin - Total</t>
  </si>
  <si>
    <t>ppr.detail.inbound.receive.caseReceive</t>
  </si>
  <si>
    <t>Case Receive</t>
  </si>
  <si>
    <t>Case</t>
  </si>
  <si>
    <t>ppr.detail.inbound.receive.lpReceive</t>
  </si>
  <si>
    <t>ppr.detail.inbound.receive.palletReceive</t>
  </si>
  <si>
    <t>Pallet Receive</t>
  </si>
  <si>
    <t>Pallet</t>
  </si>
  <si>
    <t>ppr.detail.inbound.receive.receiveSupport</t>
  </si>
  <si>
    <t>Receive Support</t>
  </si>
  <si>
    <t>ppr.detail.inbound.receive.receiveTotal</t>
  </si>
  <si>
    <t>Receive - Total</t>
  </si>
  <si>
    <t>ppr.detail.inbound.transferInAndStow.transferInDecant</t>
  </si>
  <si>
    <t>Transfer In Decant</t>
  </si>
  <si>
    <t>Transfer In and Stow</t>
  </si>
  <si>
    <t>ppr.detail.inbound.transferInAndStow.eachTransferIn.small</t>
  </si>
  <si>
    <t>Each Transfer In - Small</t>
  </si>
  <si>
    <t>ppr.detail.inbound.transferInAndStow.eachTransferIn.medium</t>
  </si>
  <si>
    <t>Each Transfer In - Medium</t>
  </si>
  <si>
    <t>ppr.detail.inbound.transferInAndStow.eachTransferIn.large</t>
  </si>
  <si>
    <t>Each Transfer In - Large</t>
  </si>
  <si>
    <t>ppr.detail.inbound.transferInAndStow.eachTransferIn.heavyBulky</t>
  </si>
  <si>
    <t>Each Transfer In - Heavy/Bulky</t>
  </si>
  <si>
    <t>ppr.detail.inbound.transferInAndStow.eachTransferIn.total</t>
  </si>
  <si>
    <t>Each Transfer In - Total</t>
  </si>
  <si>
    <t>ppr.detail.inbound.transferInAndStow.caseTransferIn</t>
  </si>
  <si>
    <t>Case Transfer In</t>
  </si>
  <si>
    <t>ppr.detail.inbound.transferInAndStow.palletTransferIn</t>
  </si>
  <si>
    <t>Pallet Transfer In</t>
  </si>
  <si>
    <t>ppr.detail.inbound.transferInAndStow.transferInSupport</t>
  </si>
  <si>
    <t>Transfer In Support</t>
  </si>
  <si>
    <t>ppr.detail.inbound.transferInAndStow.transferInTotal</t>
  </si>
  <si>
    <t>Transfer In - Total</t>
  </si>
  <si>
    <t>ppr.detail.inbound.ibPrep.cubiscan</t>
  </si>
  <si>
    <t>Cubiscan</t>
  </si>
  <si>
    <t>IB Prep</t>
  </si>
  <si>
    <t>ppr.detail.inbound.ibPrep.sampleCenter</t>
  </si>
  <si>
    <t>Sample Center</t>
  </si>
  <si>
    <t>ppr.detail.inbound.ibPrep.prepRecorder.small</t>
  </si>
  <si>
    <t>Prep Recorder - Small</t>
  </si>
  <si>
    <t>ppr.detail.inbound.ibPrep.prepRecorder.medium</t>
  </si>
  <si>
    <t>Prep Recorder - Medium</t>
  </si>
  <si>
    <t>ppr.detail.inbound.ibPrep.prepRecorder.large</t>
  </si>
  <si>
    <t>Prep Recorder - Large</t>
  </si>
  <si>
    <t>ppr.detail.inbound.ibPrep.prepRecorder.heavyBulky</t>
  </si>
  <si>
    <t>Prep Recorder - Heavy/Bulky</t>
  </si>
  <si>
    <t>ppr.detail.inbound.ibPrep.prepRecorder.total</t>
  </si>
  <si>
    <t>Prep Recorder - Total</t>
  </si>
  <si>
    <t>ppr.detail.inbound.ibPrep.prepSupport</t>
  </si>
  <si>
    <t>Prep Support</t>
  </si>
  <si>
    <t>ppr.detail.inbound.ibPrep.ibPrep.total</t>
  </si>
  <si>
    <t>Prep - Total</t>
  </si>
  <si>
    <t>ppr.detail.inbound.stowToPrime.eachStowToPrime.small</t>
  </si>
  <si>
    <t>Each Stow To Prime - Small</t>
  </si>
  <si>
    <t>Stow to Prime</t>
  </si>
  <si>
    <t>ppr.detail.inbound.stowToPrime.eachStowToPrime.medium</t>
  </si>
  <si>
    <t>Each Stow To Prime - Medium</t>
  </si>
  <si>
    <t>ppr.detail.inbound.stowToPrime.eachStowToPrime.large</t>
  </si>
  <si>
    <t>Each Stow To Prime - Large</t>
  </si>
  <si>
    <t>ppr.detail.inbound.stowToPrime.eachStowToPrime.heavyBulky</t>
  </si>
  <si>
    <t>Each Stow To Prime - Heavy/Bulky</t>
  </si>
  <si>
    <t>ppr.detail.inbound.stowToPrime.eachStowToPrime.total</t>
  </si>
  <si>
    <t>Each Stow to Prime - Total</t>
  </si>
  <si>
    <t>ppr.detail.inbound.stowToPrime.caseStowToPrime</t>
  </si>
  <si>
    <t>Case Stow to Prime</t>
  </si>
  <si>
    <t>ppr.detail.inbound.stowToPrime.palletStowToPrime</t>
  </si>
  <si>
    <t>Pallet Stow to Prime</t>
  </si>
  <si>
    <t>ppr.detail.inbound.stowToPrime.stowToPrimeSupport</t>
  </si>
  <si>
    <t>Stow to Prime Support</t>
  </si>
  <si>
    <t>ppr.detail.inbound.stowToPrime.stowToPrimeTotal</t>
  </si>
  <si>
    <t>Stow to Prime - Total</t>
  </si>
  <si>
    <t>ppr.detail.inbound.rsr.caseStowToReserve</t>
  </si>
  <si>
    <t>Case Stow to Reserve</t>
  </si>
  <si>
    <t>RSR</t>
  </si>
  <si>
    <t>ppr.detail.inbound.rsr.caseReplenishment</t>
  </si>
  <si>
    <t>Case Replenishment</t>
  </si>
  <si>
    <t>CASE</t>
  </si>
  <si>
    <t>ppr.detail.inbound.rsr.palletStowToReserve</t>
  </si>
  <si>
    <t>Pallet Stow Reserve</t>
  </si>
  <si>
    <t>ppr.detail.inbound.rsr.palletReplenishment</t>
  </si>
  <si>
    <t>Pallet Replenishment</t>
  </si>
  <si>
    <t>PALLET</t>
  </si>
  <si>
    <t>ppr.detail.inbound.rsr.rsrSupport</t>
  </si>
  <si>
    <t>RSR Support</t>
  </si>
  <si>
    <t>ppr.detail.inbound.rsr.rsrTotal</t>
  </si>
  <si>
    <t>RSR - Total</t>
  </si>
  <si>
    <t>ppr.detail.inbound.ibLeadPa.ibLeadPa</t>
  </si>
  <si>
    <t>IB Lead/PA</t>
  </si>
  <si>
    <t>ppr.detail.inbound.ibDefect.ibProblemSolve</t>
  </si>
  <si>
    <t>IB Problem Solve</t>
  </si>
  <si>
    <t>IB Defect</t>
  </si>
  <si>
    <t>ppr.detail.inbound.inbound.total</t>
  </si>
  <si>
    <t>TOTAL</t>
  </si>
  <si>
    <t>ppr.detail.da.rcStow.rcCaseStow</t>
  </si>
  <si>
    <t>RC Case Stow</t>
  </si>
  <si>
    <t>DA - Building to Building Transfer</t>
  </si>
  <si>
    <t>RC Stow</t>
  </si>
  <si>
    <t>ppr.detail.da.rcStow.rcPalletStow</t>
  </si>
  <si>
    <t>RC Pallet Stow</t>
  </si>
  <si>
    <t>ppr.detail.da.rcPick.rcPickLibrary</t>
  </si>
  <si>
    <t>RC Pick - Library</t>
  </si>
  <si>
    <t>RC Pick</t>
  </si>
  <si>
    <t>ppr.detail.da.rcPick.rcPickPalletRack</t>
  </si>
  <si>
    <t>RC Pick - Pallet Rack</t>
  </si>
  <si>
    <t>ppr.detail.da.rcSort.rcSortCases</t>
  </si>
  <si>
    <t>RC Presort Cases</t>
  </si>
  <si>
    <t>RC Sort</t>
  </si>
  <si>
    <t>ppr.detail.da.rcSort.rcSort.small</t>
  </si>
  <si>
    <t>RC Sort - Small</t>
  </si>
  <si>
    <t>ppr.detail.da.rcSort.rcSort.medium</t>
  </si>
  <si>
    <t>RC Sort - Medium</t>
  </si>
  <si>
    <t>ppr.detail.da.rcSort.rcSort.large</t>
  </si>
  <si>
    <t>RC Sort - Large</t>
  </si>
  <si>
    <t>ppr.detail.da.rcSort.rcSort.heavyBulky</t>
  </si>
  <si>
    <t>RC Sort - Heavy/Bulky</t>
  </si>
  <si>
    <t>ppr.detail.da.rcSort.rcSort.total</t>
  </si>
  <si>
    <t>RC Sort - Total</t>
  </si>
  <si>
    <t>ppr.detail.da.rcPick.transferOutPick.small</t>
  </si>
  <si>
    <t>Transfer Out Pick - Small</t>
  </si>
  <si>
    <t>Transfer Out Pick</t>
  </si>
  <si>
    <t>ppr.detail.da.rcPick.transferOutPick.medium</t>
  </si>
  <si>
    <t>Transfer Out Pick - Medium</t>
  </si>
  <si>
    <t>ppr.detail.da.rcPick.transferOutPick.large</t>
  </si>
  <si>
    <t>Transfer Out Pick - Large</t>
  </si>
  <si>
    <t>ppr.detail.da.rcPick.transferOutPick.heavyBulky</t>
  </si>
  <si>
    <t>Transfer Out Pick - Heavy/Bulky</t>
  </si>
  <si>
    <t>ppr.detail.da.rcPick.transferOutPick.total</t>
  </si>
  <si>
    <t>Transfer Out Pick - Total</t>
  </si>
  <si>
    <t>ppr.detail.da.transferOut.transferOut</t>
  </si>
  <si>
    <t>Transfer Out</t>
  </si>
  <si>
    <t>ppr.detail.da.transferOutDock.transferOutDock</t>
  </si>
  <si>
    <t>Transfer Out Dock</t>
  </si>
  <si>
    <t>ppr.detail.da.toLeadPa.toLeadPa</t>
  </si>
  <si>
    <t>TO Lead/PA</t>
  </si>
  <si>
    <t>ppr.detail.da.toDefect.toProblemSolve</t>
  </si>
  <si>
    <t>TO Problem Solve</t>
  </si>
  <si>
    <t>TO Defect</t>
  </si>
  <si>
    <t>ppr.detail.da.da.total</t>
  </si>
  <si>
    <t>DA Bldg to Bldg Transfer TOTAL</t>
  </si>
  <si>
    <t>ppr.detail.outbound.pick.pick.small</t>
  </si>
  <si>
    <t>Pick - Small</t>
  </si>
  <si>
    <t>Outbound</t>
  </si>
  <si>
    <t>ppr.detail.outbound.pick.pick.medium</t>
  </si>
  <si>
    <t>Pick - Medium</t>
  </si>
  <si>
    <t>ppr.detail.outbound.pick.pick.large</t>
  </si>
  <si>
    <t>Pick - Large</t>
  </si>
  <si>
    <t>ppr.detail.outbound.pick.pick.heavyBulky</t>
  </si>
  <si>
    <t>Pick - Heavy/Bulky</t>
  </si>
  <si>
    <t>ppr.detail.outbound.pick.pick.total</t>
  </si>
  <si>
    <t>Pick - Total</t>
  </si>
  <si>
    <t>ppr.detail.outbound.pick.pickSupport</t>
  </si>
  <si>
    <t>Pick Support</t>
  </si>
  <si>
    <t>ppr.detail.outbound.pick.pick.grossTotal</t>
  </si>
  <si>
    <t>Pick Total (Incl. Support)</t>
  </si>
  <si>
    <t>ppr.detail.outbound.sort.batchSort.small</t>
  </si>
  <si>
    <t>Batch Sort - Small</t>
  </si>
  <si>
    <t>Sort</t>
  </si>
  <si>
    <t>ppr.detail.outbound.sort.batchSort.medium</t>
  </si>
  <si>
    <t>Batch Sort - Medium</t>
  </si>
  <si>
    <t>ppr.detail.outbound.sort.batchSort.large</t>
  </si>
  <si>
    <t>Batch Sort - Large</t>
  </si>
  <si>
    <t>ppr.detail.outbound.sort.batchSort.heavyBulky</t>
  </si>
  <si>
    <t>Batch Sort - Heavy/Bulky</t>
  </si>
  <si>
    <t>ppr.detail.outbound.sort.batchSort.total</t>
  </si>
  <si>
    <t>Batch Sort - Total</t>
  </si>
  <si>
    <t>ppr.detail.outbound.sort.flowSort.small</t>
  </si>
  <si>
    <t>Flow Sort - Small</t>
  </si>
  <si>
    <t>ppr.detail.outbound.sort.flowSort.medium</t>
  </si>
  <si>
    <t>Flow Sort - Medium</t>
  </si>
  <si>
    <t>ppr.detail.outbound.sort.flowSort.large</t>
  </si>
  <si>
    <t>Flow Sort - Large</t>
  </si>
  <si>
    <t>ppr.detail.outbound.sort.flowSort.heavyBulky</t>
  </si>
  <si>
    <t>Flow Sort - Heavy/Bulky</t>
  </si>
  <si>
    <t>ppr.detail.outbound.sort.flowSort.total</t>
  </si>
  <si>
    <t>Flow Sort - Total</t>
  </si>
  <si>
    <t>ppr.detail.outbound.sort.sortSupport</t>
  </si>
  <si>
    <t>Sort Support</t>
  </si>
  <si>
    <t>ppr.detail.outbound.sort.sort.total</t>
  </si>
  <si>
    <t>Sort - Total</t>
  </si>
  <si>
    <t>ppr.detail.outbound.pack.chuting.small</t>
  </si>
  <si>
    <t>Chutings - Small</t>
  </si>
  <si>
    <t>Pack</t>
  </si>
  <si>
    <t>ppr.detail.outbound.pack.chuting.medium</t>
  </si>
  <si>
    <t>Chutings - Medium</t>
  </si>
  <si>
    <t>ppr.detail.outbound.pack.chuting.large</t>
  </si>
  <si>
    <t>Chutings - Large</t>
  </si>
  <si>
    <t>ppr.detail.outbound.pack.chuting.heavyBulky</t>
  </si>
  <si>
    <t>Chutings - Heavy/Bulky</t>
  </si>
  <si>
    <t>ppr.detail.outbound.pack.chuting.total</t>
  </si>
  <si>
    <t>Pack Chuting - Total</t>
  </si>
  <si>
    <t>ppr.detail.outbound.pack.autoSlam</t>
  </si>
  <si>
    <t>Auto Slam</t>
  </si>
  <si>
    <t>Package</t>
  </si>
  <si>
    <t>ppr.detail.outbound.pack.packAutobox</t>
  </si>
  <si>
    <t>Pack - Autobox</t>
  </si>
  <si>
    <t>ppr.detail.outbound.pack.packLevAutofold</t>
  </si>
  <si>
    <t>Pack - Lev/Autofold</t>
  </si>
  <si>
    <t>ppr.detail.outbound.pack.packSingle.small</t>
  </si>
  <si>
    <t>Pack Singles - Small</t>
  </si>
  <si>
    <t>ppr.detail.outbound.pack.packSingle.medium</t>
  </si>
  <si>
    <t>Pack Singles - Medium</t>
  </si>
  <si>
    <t>ppr.detail.outbound.pack.packSingle.large</t>
  </si>
  <si>
    <t>Pack Singles - Large</t>
  </si>
  <si>
    <t>ppr.detail.outbound.pack.packSingle.heavyBulky</t>
  </si>
  <si>
    <t>Pack Singles - Heavy/Bulky</t>
  </si>
  <si>
    <t>ppr.detail.outbound.pack.packSingle.total</t>
  </si>
  <si>
    <t>Pack Singles - Total</t>
  </si>
  <si>
    <t>ppr.detail.outbound.pack.packMultis.small</t>
  </si>
  <si>
    <t>Pack Multis - Small</t>
  </si>
  <si>
    <t>ppr.detail.outbound.pack.packMultis.medium</t>
  </si>
  <si>
    <t>Pack Multis - Medium</t>
  </si>
  <si>
    <t>ppr.detail.outbound.pack.packMultis.large</t>
  </si>
  <si>
    <t>Pack Multis - Large</t>
  </si>
  <si>
    <t>ppr.detail.outbound.pack.packMultis.heavyBulky</t>
  </si>
  <si>
    <t>Pack Multis - Heavy/Bulky</t>
  </si>
  <si>
    <t>ppr.detail.outbound.pack.packMultis.total</t>
  </si>
  <si>
    <t>Pack Multis - Total</t>
  </si>
  <si>
    <t>ppr.detail.outbound.pack.packSupport</t>
  </si>
  <si>
    <t>Pack Support</t>
  </si>
  <si>
    <t>ppr.detail.outbound.outboundPrep.giftwrap</t>
  </si>
  <si>
    <t>Giftwrap</t>
  </si>
  <si>
    <t>Outbound Prep</t>
  </si>
  <si>
    <t>ppr.detail.outbound.outboundPrep.partnerPrep</t>
  </si>
  <si>
    <t>Partner Prep</t>
  </si>
  <si>
    <t>ppr.detail.outbound.outboundPrep.libraryServices</t>
  </si>
  <si>
    <t>Library Services</t>
  </si>
  <si>
    <t>ppr.detail.outbound.outboundPrep.customPackaging</t>
  </si>
  <si>
    <t>Custom Packaging</t>
  </si>
  <si>
    <t>ppr.detail.outbound.outboundPrep.packAndOBPrepTotal</t>
  </si>
  <si>
    <t>Pack and OB Prep Total</t>
  </si>
  <si>
    <t>ppr.detail.outbound.obLeadPA.obLeadPA</t>
  </si>
  <si>
    <t>OB Lead/PA</t>
  </si>
  <si>
    <t>ppr.detail.outbound.obDefect.obProblemSolve</t>
  </si>
  <si>
    <t>OB Problem Solve</t>
  </si>
  <si>
    <t>OB Defect</t>
  </si>
  <si>
    <t>ppr.detail.outbound.ship.shipDock</t>
  </si>
  <si>
    <t>Ship Dock</t>
  </si>
  <si>
    <t>Ship</t>
  </si>
  <si>
    <t>ppr.detail.outbound.outbound.total</t>
  </si>
  <si>
    <t>OB TOTAL</t>
  </si>
  <si>
    <t>ppr.detail.reverseLogistics.cReturn.cReturnProcessed.small</t>
  </si>
  <si>
    <t>C-Returns Processed - Small</t>
  </si>
  <si>
    <t>Reverse Logistics</t>
  </si>
  <si>
    <t>C-Return</t>
  </si>
  <si>
    <t>ppr.detail.reverseLogistics.cReturn.cReturnProcessed.medium</t>
  </si>
  <si>
    <t>C-Returns Processed - Medium</t>
  </si>
  <si>
    <t>ppr.detail.reverseLogistics.cReturn.cReturnProcessed.large</t>
  </si>
  <si>
    <t>C-Returns Processed - Large</t>
  </si>
  <si>
    <t>ppr.detail.reverseLogistics.cReturn.cReturnProcessed.heavyBulky</t>
  </si>
  <si>
    <t>C-Returns Processed - Heavy/Bulky</t>
  </si>
  <si>
    <t>ppr.detail.reverseLogistics.cReturn.cReturnProcessed.total</t>
  </si>
  <si>
    <t>C-Return Processed - Total</t>
  </si>
  <si>
    <t>ppr.detail.reverseLogistics.cReturn.cReturnStow.small</t>
  </si>
  <si>
    <t>C-Return Stow - Small</t>
  </si>
  <si>
    <t>ppr.detail.reverseLogistics.cReturn.cReturnStow.medium</t>
  </si>
  <si>
    <t>C-Return Stow - Medium</t>
  </si>
  <si>
    <t>ppr.detail.reverseLogistics.cReturn.cReturnStow.large</t>
  </si>
  <si>
    <t>C-Return Stow - Large</t>
  </si>
  <si>
    <t>ppr.detail.reverseLogistics.cReturn.cReturnStow.heavyBulky</t>
  </si>
  <si>
    <t>C-Return Stow - Heavy/Bulky</t>
  </si>
  <si>
    <t>ppr.detail.reverseLogistics.cReturn.cReturnStow.total</t>
  </si>
  <si>
    <t>C-Return Stow - Total</t>
  </si>
  <si>
    <t>ppr.detail.reverseLogistics.cReturn.cReturnSupport</t>
  </si>
  <si>
    <t>C-Return Support</t>
  </si>
  <si>
    <t>ppr.detail.reverseLogistics.cReturn.customerReturns.total</t>
  </si>
  <si>
    <t>Customer Returns - Total</t>
  </si>
  <si>
    <t>ppr.detail.reverseLogistics.vReturn.vReturnPick.small</t>
  </si>
  <si>
    <t>V-Return Pick - Small</t>
  </si>
  <si>
    <t>V-Return</t>
  </si>
  <si>
    <t>ppr.detail.reverseLogistics.vReturn.vReturnPick.medium</t>
  </si>
  <si>
    <t>V-Return Pick - Medium</t>
  </si>
  <si>
    <t>ppr.detail.reverseLogistics.vReturn.vReturnPick.large</t>
  </si>
  <si>
    <t>V-Return Pick - Large</t>
  </si>
  <si>
    <t>ppr.detail.reverseLogistics.vReturn.vReturnPick.heavyBulky</t>
  </si>
  <si>
    <t>V-Return Pick - Heavy/Bulky</t>
  </si>
  <si>
    <t>ppr.detail.reverseLogistics.vReturn.vReturnPick.total</t>
  </si>
  <si>
    <t>V-Return Pick - Total</t>
  </si>
  <si>
    <t>ppr.detail.reverseLogistics.vReturn.vReturnPack.small</t>
  </si>
  <si>
    <t>V-Return Pack - Small</t>
  </si>
  <si>
    <t>ppr.detail.reverseLogistics.vReturn.vReturnPack.medium</t>
  </si>
  <si>
    <t>V-Return Pack - Medium</t>
  </si>
  <si>
    <t>ppr.detail.reverseLogistics.vReturn.vReturnPack.large</t>
  </si>
  <si>
    <t>V-Return Pack - Large</t>
  </si>
  <si>
    <t>ppr.detail.reverseLogistics.vReturn.vReturnPack.heavyBulky</t>
  </si>
  <si>
    <t>V-Return Pack - Heavy/Bulky</t>
  </si>
  <si>
    <t>ppr.detail.reverseLogistics.vReturn.vReturnPack.total</t>
  </si>
  <si>
    <t>V-Return Pack - Total</t>
  </si>
  <si>
    <t>ppr.detail.reverseLogistics.vReturn.vReturnSupport</t>
  </si>
  <si>
    <t>V-Return Support</t>
  </si>
  <si>
    <t>ppr.detail.reverseLogistics.vReturn.vendorReturns.total</t>
  </si>
  <si>
    <t>Vendor Returns - Total</t>
  </si>
  <si>
    <t>ppr.detail.reverseLogistics.whseDeals.whdGrading</t>
  </si>
  <si>
    <t>WHD Grading</t>
  </si>
  <si>
    <t>Warehouse Deals</t>
  </si>
  <si>
    <t>ppr.detail.reverseLogistics.whseDeals.whdSpecialtyGrading</t>
  </si>
  <si>
    <t>WHD Specialty Grading</t>
  </si>
  <si>
    <t>ppr.detail.reverseLogistics.whseDeals.whdSupport</t>
  </si>
  <si>
    <t>WHD Support</t>
  </si>
  <si>
    <t>ppr.detail.reverseLogistics.whseDeals.whseDeals.total</t>
  </si>
  <si>
    <t>Warehouse Deals - Total</t>
  </si>
  <si>
    <t>ppr.detail.reverseLogistics.externalRepair.externalRepairPrep</t>
  </si>
  <si>
    <t>External Repair Prep</t>
  </si>
  <si>
    <t>External Repairs</t>
  </si>
  <si>
    <t>ppr.detail.reverseLogistics.externalRepair.externalRepairSupport</t>
  </si>
  <si>
    <t>External Repair Support</t>
  </si>
  <si>
    <t>ppr.detail.reverseLogistics.externalRepair.externalRepair.total</t>
  </si>
  <si>
    <t>External Repair - Total</t>
  </si>
  <si>
    <t>ppr.detail.reverseLogistics.tradeIn.tradeInGrading</t>
  </si>
  <si>
    <t>Trade In Grading</t>
  </si>
  <si>
    <t>Trade In</t>
  </si>
  <si>
    <t>ppr.detail.reverseLogistics.tradeIn.tradeInSupport</t>
  </si>
  <si>
    <t>Trade In Support</t>
  </si>
  <si>
    <t>ppr.detail.reverseLogistics.tradeIn.tradeIn.total</t>
  </si>
  <si>
    <t>Trade In - Total</t>
  </si>
  <si>
    <t>ppr.detail.reverseLogistics.kindleDiagnostics</t>
  </si>
  <si>
    <t>Kindle Diagnostics</t>
  </si>
  <si>
    <t>ppr.detail.reverseLogistics.reverseLogistics.total</t>
  </si>
  <si>
    <t>REVERSE LOGISTICS TOTAL</t>
  </si>
  <si>
    <t>ppr.detail.onDemand.onDemand.printOnDemand</t>
  </si>
  <si>
    <t>Print On Demand</t>
  </si>
  <si>
    <t>On-Demand</t>
  </si>
  <si>
    <t>On Demand</t>
  </si>
  <si>
    <t>ppr.detail.onDemand.onDemand.discOnDemand</t>
  </si>
  <si>
    <t>Disc On Demand</t>
  </si>
  <si>
    <t>ppr.detail.onDemand.onDemand.createYourOwnRing</t>
  </si>
  <si>
    <t>Create Your Own Ring (CYOR)</t>
  </si>
  <si>
    <t>ppr.detail.support.support.adminHRIT</t>
  </si>
  <si>
    <t>Admin/HR/IT</t>
  </si>
  <si>
    <t>Support</t>
  </si>
  <si>
    <t>ppr.detail.support.support.onBoarding</t>
  </si>
  <si>
    <t>On Boarding</t>
  </si>
  <si>
    <t>ppr.detail.support.support.arSupport</t>
  </si>
  <si>
    <t>AR Support</t>
  </si>
  <si>
    <t>ppr.detail.support.support.nonFCControllable</t>
  </si>
  <si>
    <t>Non_FC_Controllable</t>
  </si>
  <si>
    <t>ppr.detail.support.support.ICQACS</t>
  </si>
  <si>
    <t>IC/QA/CS</t>
  </si>
  <si>
    <t>ppr.detail.support.support.facilities</t>
  </si>
  <si>
    <t>Facilities</t>
  </si>
  <si>
    <t>ppr.detail.transport.amtran.amtranIn</t>
  </si>
  <si>
    <t>Amtran In</t>
  </si>
  <si>
    <t>Transport</t>
  </si>
  <si>
    <t>AmTran</t>
  </si>
  <si>
    <t>ppr.detail.transport.amtran.amtranSortation</t>
  </si>
  <si>
    <t>Amtran Sortation</t>
  </si>
  <si>
    <t>ppr.detail.transport.amtran.amtranOut</t>
  </si>
  <si>
    <t>Amtran Out</t>
  </si>
  <si>
    <t>FC_SUMMARY_PPR</t>
  </si>
  <si>
    <t>ppr.fcSummary.vendorRec</t>
  </si>
  <si>
    <t>Vendor Rec (incl. Stow+Prep+RSR)</t>
  </si>
  <si>
    <t>FC Summary</t>
  </si>
  <si>
    <t>ppr.fcSummary.transferIn</t>
  </si>
  <si>
    <t>Transfer-In</t>
  </si>
  <si>
    <t>ppr.fcSummary.totalInbound</t>
  </si>
  <si>
    <t>Total Inbound</t>
  </si>
  <si>
    <t>ppr.fcSummary.outbound</t>
  </si>
  <si>
    <t>ppr.fcSummary.transferOut</t>
  </si>
  <si>
    <t>Transfer-Out</t>
  </si>
  <si>
    <t>ppr.fcSummary.reverseLogistics</t>
  </si>
  <si>
    <t>ppr.fcSummary.onDemand</t>
  </si>
  <si>
    <t>ppr.fcSummary.support</t>
  </si>
  <si>
    <t>ppr.fcSummary.transport</t>
  </si>
  <si>
    <t>ppr.fcSummary.throughput</t>
  </si>
  <si>
    <t>THROUGHPUT</t>
  </si>
  <si>
    <t>RC_SUMMARY_PPR</t>
  </si>
  <si>
    <t>ppr.rcSummary.inbound</t>
  </si>
  <si>
    <t>RC Summary</t>
  </si>
  <si>
    <t>ppr.rcSummary.delayedAllocation</t>
  </si>
  <si>
    <t>DA</t>
  </si>
  <si>
    <t>ppr.rcSummary.reverseLogistics</t>
  </si>
  <si>
    <t>ppr.rcSummary.support</t>
  </si>
  <si>
    <t>ppr.rcSummary.transport</t>
  </si>
  <si>
    <t>ppr.rcSummary.throughput</t>
  </si>
  <si>
    <t>Process Name</t>
  </si>
  <si>
    <t>Function Name</t>
  </si>
  <si>
    <t>Employee Type</t>
  </si>
  <si>
    <t>Employee Id</t>
  </si>
  <si>
    <t>Name</t>
  </si>
  <si>
    <t>Manager</t>
  </si>
  <si>
    <t>Paid Hours-Small(function,employee)</t>
  </si>
  <si>
    <t>Paid Hours-Medium(function,employee)</t>
  </si>
  <si>
    <t>Paid Hours-Large(function,employee)</t>
  </si>
  <si>
    <t>Paid Hours-HeavyBulky(function,employee)</t>
  </si>
  <si>
    <t>Paid Hours-Total(function,employee)</t>
  </si>
  <si>
    <t>Job Action</t>
  </si>
  <si>
    <t>Jobs</t>
  </si>
  <si>
    <t>JPH</t>
  </si>
  <si>
    <t>Size</t>
  </si>
  <si>
    <t>Units</t>
  </si>
  <si>
    <t>UPH</t>
  </si>
  <si>
    <t>Employee Name</t>
  </si>
  <si>
    <t>Employee Manager</t>
  </si>
  <si>
    <t>Job Count</t>
  </si>
  <si>
    <t>Category</t>
  </si>
  <si>
    <t>Unit Count</t>
  </si>
  <si>
    <t>Start date (looking forward)</t>
  </si>
  <si>
    <t>* Wednesday is considered to be Front Half (FH) this week, given that "Start Date" is Sunday</t>
  </si>
  <si>
    <t>Id</t>
  </si>
  <si>
    <t>Label=AVG (avg: {avg})</t>
  </si>
  <si>
    <t>Label</t>
  </si>
  <si>
    <t>Result</t>
  </si>
  <si>
    <t>MetricData</t>
  </si>
  <si>
    <t>Min</t>
  </si>
  <si>
    <t>Avg</t>
  </si>
  <si>
    <t>Max</t>
  </si>
  <si>
    <t>RF Pick Transship</t>
  </si>
  <si>
    <t>AMZN</t>
  </si>
  <si>
    <t>McGee,Dezzy</t>
  </si>
  <si>
    <t>Padilla,Erik Eliseo</t>
  </si>
  <si>
    <t>ItemPicked</t>
  </si>
  <si>
    <t>Small</t>
  </si>
  <si>
    <t>Medium</t>
  </si>
  <si>
    <t>Large</t>
  </si>
  <si>
    <t>HeavyBulky</t>
  </si>
  <si>
    <t>Total</t>
  </si>
  <si>
    <t>TEMP</t>
  </si>
  <si>
    <t>Bansode,Mayur</t>
  </si>
  <si>
    <t>Rivas,Brian</t>
  </si>
  <si>
    <t>Espinoza,Frank</t>
  </si>
  <si>
    <t>Villalobos Jr,Ricky</t>
  </si>
  <si>
    <t>Burrows,Shevion J</t>
  </si>
  <si>
    <t>Wilson,Lorenza</t>
  </si>
  <si>
    <t>Velasquez,Cristhian</t>
  </si>
  <si>
    <t>Hangyal,Christine Sotto</t>
  </si>
  <si>
    <t>De Haro,Jennifer</t>
  </si>
  <si>
    <t>Johnson,Jakil Gregory</t>
  </si>
  <si>
    <t>Vargas,Cameron L</t>
  </si>
  <si>
    <t>Castellanos,Celine Silva</t>
  </si>
  <si>
    <t>Reddic,Jordyn</t>
  </si>
  <si>
    <t>Uisetiawan,Reza</t>
  </si>
  <si>
    <t>Napierala,Vanessa Joyce</t>
  </si>
  <si>
    <t>Haughton,Jurrien Leslie-Lee</t>
  </si>
  <si>
    <t>Ramirez,Yasmin Jade</t>
  </si>
  <si>
    <t>Pham,Kelly</t>
  </si>
  <si>
    <t>REYNA,BRYANT JONATHAN</t>
  </si>
  <si>
    <t>Sanchez,Beronica</t>
  </si>
  <si>
    <t>Murillo,Felipe</t>
  </si>
  <si>
    <t>Epley,Katelyn</t>
  </si>
  <si>
    <t>Hanson,Lindsey Jo</t>
  </si>
  <si>
    <t>Johnson,Kyle Thomas</t>
  </si>
  <si>
    <t>Erickson,Carver</t>
  </si>
  <si>
    <t>Cooper,Audrey Hope-sailau</t>
  </si>
  <si>
    <t>james,larissa lynn</t>
  </si>
  <si>
    <t>arellano,adam</t>
  </si>
  <si>
    <t>Ramirez,chris</t>
  </si>
  <si>
    <t>Pajares,Roberto</t>
  </si>
  <si>
    <t>flores,bianca stephanie</t>
  </si>
  <si>
    <t>Moreno,Annette</t>
  </si>
  <si>
    <t>Villalobos,Jake W</t>
  </si>
  <si>
    <t>Garcia,Perla</t>
  </si>
  <si>
    <t>Nubes,Julio Cesar</t>
  </si>
  <si>
    <t>Gertsch,Jessica</t>
  </si>
  <si>
    <t>Tuiasosopo,Erika D</t>
  </si>
  <si>
    <t>Tarbet,Mark Mark</t>
  </si>
  <si>
    <t>Medina,Tanya</t>
  </si>
  <si>
    <t>Alarid,Marissa Marie</t>
  </si>
  <si>
    <t>beltran,mario</t>
  </si>
  <si>
    <t>Trejo,Tais</t>
  </si>
  <si>
    <t>Lauder,Kay N</t>
  </si>
  <si>
    <t>Mena,Francisco Angel</t>
  </si>
  <si>
    <t>Camacho,Danny</t>
  </si>
  <si>
    <t>macias,luca</t>
  </si>
  <si>
    <t>Curiel,Alyssa</t>
  </si>
  <si>
    <t>Sanico,Jason</t>
  </si>
  <si>
    <t>Jimenez,Guadalupe</t>
  </si>
  <si>
    <t>Gambino,Giovanni Giuseppe</t>
  </si>
  <si>
    <t>gomez,nicholas</t>
  </si>
  <si>
    <t>Clark,Christopher Luke</t>
  </si>
  <si>
    <t>Sanchez Ceron,Diana M</t>
  </si>
  <si>
    <t>Rodriguez,Moises</t>
  </si>
  <si>
    <t>Valetina,Kasandra Helena</t>
  </si>
  <si>
    <t>Cardenas,Liliana</t>
  </si>
  <si>
    <t>Lopez,Jonathan</t>
  </si>
  <si>
    <t>Rincon,Jasmine</t>
  </si>
  <si>
    <t>Anderson,Briggette Janelle</t>
  </si>
  <si>
    <t>Huerta Romero,Martin A</t>
  </si>
  <si>
    <t>BANOOB,MAIKEL</t>
  </si>
  <si>
    <t>Goals (manual input)</t>
  </si>
  <si>
    <t>*before pressing, wait for "fetch data" to complete (&lt;2.5 min depending on wifi)</t>
  </si>
  <si>
    <t>Barnett,Matthew</t>
  </si>
  <si>
    <t>ringenberg,maryna</t>
  </si>
  <si>
    <t>creek,brittney delaney</t>
  </si>
  <si>
    <t>Roque,Melvin Nuguid</t>
  </si>
  <si>
    <t>Azanon,Jose Antonio</t>
  </si>
  <si>
    <t>AVG (avg: 774.45)</t>
  </si>
  <si>
    <t>2020/10/10 07:00 PDT</t>
  </si>
  <si>
    <t>2020/10/10 08:00 PDT</t>
  </si>
  <si>
    <t>2020/10/10 09:00 PDT</t>
  </si>
  <si>
    <t>2020/10/10 10:00 PDT</t>
  </si>
  <si>
    <t>2020/10/10 11:00 PDT</t>
  </si>
  <si>
    <t>2020/10/10 12:00 PDT</t>
  </si>
  <si>
    <t>2020/10/10 13:00 PDT</t>
  </si>
  <si>
    <t>2020/10/10 14:00 PDT</t>
  </si>
  <si>
    <t>2020/10/10 15:00 PDT</t>
  </si>
  <si>
    <t>2020/10/10 16:00 PDT</t>
  </si>
  <si>
    <t>2020/10/10 17:00 PDT</t>
  </si>
  <si>
    <t>AVG (avg: 1,076.73)</t>
  </si>
  <si>
    <t>2020/10/11 07:00 PDT</t>
  </si>
  <si>
    <t>2020/10/11 08:00 PDT</t>
  </si>
  <si>
    <t>2020/10/11 09:00 PDT</t>
  </si>
  <si>
    <t>2020/10/11 10:00 PDT</t>
  </si>
  <si>
    <t>2020/10/11 11:00 PDT</t>
  </si>
  <si>
    <t>2020/10/11 12:00 PDT</t>
  </si>
  <si>
    <t>2020/10/11 13:00 PDT</t>
  </si>
  <si>
    <t>2020/10/11 14:00 PDT</t>
  </si>
  <si>
    <t>2020/10/11 15:00 PDT</t>
  </si>
  <si>
    <t>2020/10/11 16:00 PDT</t>
  </si>
  <si>
    <t>2020/10/11 17:00 PDT</t>
  </si>
  <si>
    <t>Macias,Kristna Noheli</t>
  </si>
  <si>
    <t>Ruffin,Ashton</t>
  </si>
  <si>
    <t>Habchy,Danny Tony</t>
  </si>
  <si>
    <t>Marquez,Bryan Aaron</t>
  </si>
  <si>
    <t>Wagner,Michael</t>
  </si>
  <si>
    <t>Jones,Alexa A</t>
  </si>
  <si>
    <t>Llamas,Yared</t>
  </si>
  <si>
    <t>/Response</t>
  </si>
  <si>
    <t>/Errors/Error/Code</t>
  </si>
  <si>
    <t>/Errors/Error/Message</t>
  </si>
  <si>
    <t>/RequestID</t>
  </si>
  <si>
    <t>InvalidParameterValue</t>
  </si>
  <si>
    <t>Value (2020-10-15T14:00:00Z/2020-10-16T01:00:00Z) for parameter StartTime/EndTime is invalid. The requested time range will never have data</t>
  </si>
  <si>
    <t>Value (2020-10-16T14:00:00Z/2020-10-17T01:00:00Z) for parameter StartTime/EndTime is invalid. The requested time range will never have data</t>
  </si>
  <si>
    <t>AVG (avg: 1,706.55)</t>
  </si>
  <si>
    <t>2020/10/12 07:00 PDT</t>
  </si>
  <si>
    <t>2020/10/12 08:00 PDT</t>
  </si>
  <si>
    <t>2020/10/12 09:00 PDT</t>
  </si>
  <si>
    <t>2020/10/12 10:00 PDT</t>
  </si>
  <si>
    <t>2020/10/12 11:00 PDT</t>
  </si>
  <si>
    <t>2020/10/12 12:00 PDT</t>
  </si>
  <si>
    <t>2020/10/12 13:00 PDT</t>
  </si>
  <si>
    <t>2020/10/12 14:00 PDT</t>
  </si>
  <si>
    <t>2020/10/12 15:00 PDT</t>
  </si>
  <si>
    <t>2020/10/12 16:00 PDT</t>
  </si>
  <si>
    <t>2020/10/12 17:00 PDT</t>
  </si>
  <si>
    <t>AVG (avg: 1,595.82)</t>
  </si>
  <si>
    <t>2020/10/13 07:00 PDT</t>
  </si>
  <si>
    <t>2020/10/13 08:00 PDT</t>
  </si>
  <si>
    <t>2020/10/13 09:00 PDT</t>
  </si>
  <si>
    <t>2020/10/13 10:00 PDT</t>
  </si>
  <si>
    <t>2020/10/13 11:00 PDT</t>
  </si>
  <si>
    <t>2020/10/13 12:00 PDT</t>
  </si>
  <si>
    <t>2020/10/13 13:00 PDT</t>
  </si>
  <si>
    <t>2020/10/13 14:00 PDT</t>
  </si>
  <si>
    <t>2020/10/13 15:00 PDT</t>
  </si>
  <si>
    <t>2020/10/13 16:00 PDT</t>
  </si>
  <si>
    <t>2020/10/13 17:00 PDT</t>
  </si>
  <si>
    <t>AVG (avg: 1,829.43)</t>
  </si>
  <si>
    <t>2020/10/14 07:00 PDT</t>
  </si>
  <si>
    <t>2020/10/14 08:00 PDT</t>
  </si>
  <si>
    <t>2020/10/14 09:00 PDT</t>
  </si>
  <si>
    <t>2020/10/14 10:00 PDT</t>
  </si>
  <si>
    <t>2020/10/14 11:00 PDT</t>
  </si>
  <si>
    <t>2020/10/14 12:00 PDT</t>
  </si>
  <si>
    <t>2020/10/14 13:00 PDT</t>
  </si>
  <si>
    <t>2020/10/14 14:00 PDT</t>
  </si>
  <si>
    <t>2020/10/14 15:00 PDT</t>
  </si>
  <si>
    <t>2020/10/14 16:00 PDT</t>
  </si>
  <si>
    <t>2020/10/14 17:00 PDT</t>
  </si>
  <si>
    <t>Castillo,Joey</t>
  </si>
  <si>
    <t>Barrera,Melissa Elizabeth</t>
  </si>
  <si>
    <t>Gallegos,Viviana Ruby</t>
  </si>
  <si>
    <t>Valencia Garcia,Alfonso</t>
  </si>
  <si>
    <t>Purtty-Harris,Keyaun C</t>
  </si>
  <si>
    <t>Kilioni,Debra</t>
  </si>
  <si>
    <t>Jackson,James</t>
  </si>
  <si>
    <t>Yarber,Danny</t>
  </si>
  <si>
    <t>rascon,mayuri</t>
  </si>
  <si>
    <t>Hernandez,Gabriela</t>
  </si>
  <si>
    <t>524549fe-f9ba-4922-80c2-c207780b2a09</t>
  </si>
  <si>
    <t>481be7a3-375a-46d3-bb56-b62a33d73ad8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</si>
</sst>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(* #,##0.00_);_(* \(#,##0.00\);_(* &quot;-&quot;??_);_(@_)"/>
    <numFmt numFmtId="164" formatCode="0.0"/>
    <numFmt numFmtId="165" formatCode="_(* #,##0.0_);_(* \(#,##0.0\);_(* &quot;-&quot;??_);_(@_)"/>
    <numFmt numFmtId="166" formatCode="[$-409]h:mm\ AM/PM;@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Amazon Ember Display"/>
      <family val="2"/>
    </font>
    <font>
      <sz val="11"/>
      <color theme="1"/>
      <name val="Amazon Ember Heavy"/>
      <family val="2"/>
    </font>
    <font>
      <b/>
      <sz val="11"/>
      <name val="Amazon Ember Heavy"/>
      <family val="2"/>
    </font>
    <font>
      <b/>
      <sz val="11"/>
      <color theme="1"/>
      <name val="Amazon Ember Display"/>
      <family val="2"/>
    </font>
    <font>
      <sz val="11"/>
      <name val="Amazon Ember Display"/>
      <family val="2"/>
    </font>
    <font>
      <u/>
      <sz val="11"/>
      <color theme="10"/>
      <name val="Calibri"/>
      <family val="2"/>
      <scheme val="minor"/>
    </font>
    <font>
      <sz val="12"/>
      <color theme="1"/>
      <name val="Amazon Ember Heavy"/>
      <family val="2"/>
    </font>
    <font>
      <b/>
      <sz val="16"/>
      <color rgb="FF00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C3CED1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B481"/>
        <bgColor indexed="64"/>
      </patternFill>
    </fill>
    <fill>
      <patternFill patternType="solid">
        <fgColor rgb="FF96B3E2"/>
        <bgColor indexed="64"/>
      </patternFill>
    </fill>
    <fill>
      <patternFill patternType="solid">
        <fgColor rgb="FFBDE7BB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0" fontId="9" fillId="0" borderId="0" applyNumberFormat="0" applyFill="0" applyBorder="0" applyAlignment="0" applyProtection="0"/>
  </cellStyleXfs>
  <cellXfs count="115">
    <xf numFmtId="0" fontId="0" fillId="0" borderId="0" xfId="0"/>
    <xf numFmtId="0" fontId="0" fillId="0" borderId="1" xfId="0" applyBorder="1"/>
    <xf numFmtId="0" fontId="0" fillId="0" borderId="1" xfId="0" applyFill="1" applyBorder="1"/>
    <xf numFmtId="14" fontId="0" fillId="0" borderId="1" xfId="0" applyNumberFormat="1" applyBorder="1" applyAlignment="1">
      <alignment horizontal="left"/>
    </xf>
    <xf numFmtId="164" fontId="0" fillId="0" borderId="1" xfId="0" applyNumberFormat="1" applyBorder="1"/>
    <xf numFmtId="1" fontId="0" fillId="0" borderId="1" xfId="0" applyNumberFormat="1" applyBorder="1"/>
    <xf numFmtId="9" fontId="0" fillId="0" borderId="1" xfId="1" applyFont="1" applyBorder="1"/>
    <xf numFmtId="0" fontId="0" fillId="5" borderId="1" xfId="0" applyFill="1" applyBorder="1"/>
    <xf numFmtId="0" fontId="0" fillId="6" borderId="1" xfId="0" applyFill="1" applyBorder="1"/>
    <xf numFmtId="3" fontId="0" fillId="6" borderId="1" xfId="0" applyNumberFormat="1" applyFill="1" applyBorder="1"/>
    <xf numFmtId="0" fontId="0" fillId="7" borderId="1" xfId="0" applyFill="1" applyBorder="1"/>
    <xf numFmtId="0" fontId="0" fillId="2" borderId="1" xfId="0" applyFill="1" applyBorder="1"/>
    <xf numFmtId="0" fontId="3" fillId="8" borderId="1" xfId="0" applyFont="1" applyFill="1" applyBorder="1"/>
    <xf numFmtId="1" fontId="0" fillId="0" borderId="1" xfId="0" applyNumberFormat="1" applyBorder="1" applyAlignment="1">
      <alignment horizontal="right"/>
    </xf>
    <xf numFmtId="14" fontId="0" fillId="0" borderId="1" xfId="0" applyNumberFormat="1" applyFill="1" applyBorder="1" applyAlignment="1">
      <alignment horizontal="left"/>
    </xf>
    <xf numFmtId="164" fontId="0" fillId="6" borderId="1" xfId="0" applyNumberFormat="1" applyFill="1" applyBorder="1"/>
    <xf numFmtId="164" fontId="3" fillId="8" borderId="1" xfId="0" applyNumberFormat="1" applyFont="1" applyFill="1" applyBorder="1"/>
    <xf numFmtId="164" fontId="0" fillId="7" borderId="1" xfId="0" applyNumberFormat="1" applyFill="1" applyBorder="1"/>
    <xf numFmtId="164" fontId="0" fillId="0" borderId="1" xfId="0" applyNumberFormat="1" applyBorder="1" applyAlignment="1">
      <alignment horizontal="right"/>
    </xf>
    <xf numFmtId="164" fontId="0" fillId="9" borderId="1" xfId="0" applyNumberFormat="1" applyFill="1" applyBorder="1"/>
    <xf numFmtId="164" fontId="0" fillId="0" borderId="1" xfId="0" applyNumberFormat="1" applyFill="1" applyBorder="1"/>
    <xf numFmtId="43" fontId="0" fillId="0" borderId="1" xfId="2" applyFont="1" applyBorder="1"/>
    <xf numFmtId="43" fontId="0" fillId="0" borderId="0" xfId="2" applyFont="1"/>
    <xf numFmtId="165" fontId="3" fillId="8" borderId="1" xfId="2" applyNumberFormat="1" applyFont="1" applyFill="1" applyBorder="1"/>
    <xf numFmtId="165" fontId="0" fillId="0" borderId="1" xfId="2" applyNumberFormat="1" applyFont="1" applyBorder="1"/>
    <xf numFmtId="165" fontId="0" fillId="0" borderId="1" xfId="2" applyNumberFormat="1" applyFont="1" applyFill="1" applyBorder="1"/>
    <xf numFmtId="165" fontId="0" fillId="6" borderId="1" xfId="2" applyNumberFormat="1" applyFont="1" applyFill="1" applyBorder="1"/>
    <xf numFmtId="165" fontId="0" fillId="7" borderId="1" xfId="2" applyNumberFormat="1" applyFont="1" applyFill="1" applyBorder="1"/>
    <xf numFmtId="0" fontId="0" fillId="3" borderId="3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5" borderId="1" xfId="0" applyFill="1" applyBorder="1" applyAlignment="1">
      <alignment horizontal="center"/>
    </xf>
    <xf numFmtId="9" fontId="0" fillId="5" borderId="1" xfId="0" applyNumberFormat="1" applyFill="1" applyBorder="1" applyAlignment="1">
      <alignment horizontal="center"/>
    </xf>
    <xf numFmtId="0" fontId="5" fillId="12" borderId="0" xfId="3" applyFont="1" applyFill="1" applyBorder="1"/>
    <xf numFmtId="0" fontId="0" fillId="12" borderId="0" xfId="3" applyFont="1" applyFill="1"/>
    <xf numFmtId="0" fontId="0" fillId="12" borderId="0" xfId="3" applyFont="1" applyFill="1" applyBorder="1"/>
    <xf numFmtId="0" fontId="4" fillId="12" borderId="0" xfId="3" applyFont="1" applyFill="1" applyBorder="1" applyAlignment="1">
      <alignment horizontal="right"/>
    </xf>
    <xf numFmtId="14" fontId="0" fillId="12" borderId="0" xfId="3" applyNumberFormat="1" applyFont="1" applyFill="1" applyBorder="1" applyAlignment="1">
      <alignment horizontal="left"/>
    </xf>
    <xf numFmtId="43" fontId="4" fillId="12" borderId="0" xfId="3" applyNumberFormat="1" applyFont="1" applyFill="1" applyBorder="1" applyAlignment="1">
      <alignment horizontal="center"/>
    </xf>
    <xf numFmtId="14" fontId="0" fillId="12" borderId="0" xfId="3" applyNumberFormat="1" applyFont="1" applyFill="1"/>
    <xf numFmtId="0" fontId="5" fillId="12" borderId="6" xfId="3" applyFont="1" applyFill="1" applyBorder="1" applyAlignment="1">
      <alignment horizontal="center"/>
    </xf>
    <xf numFmtId="164" fontId="4" fillId="12" borderId="1" xfId="3" applyNumberFormat="1" applyFont="1" applyFill="1" applyBorder="1" applyAlignment="1">
      <alignment horizontal="center"/>
    </xf>
    <xf numFmtId="9" fontId="6" fillId="12" borderId="1" xfId="3" applyNumberFormat="1" applyFont="1" applyFill="1" applyBorder="1" applyAlignment="1">
      <alignment horizontal="center"/>
    </xf>
    <xf numFmtId="164" fontId="4" fillId="13" borderId="1" xfId="3" applyNumberFormat="1" applyFont="1" applyFill="1" applyBorder="1" applyAlignment="1">
      <alignment horizontal="center"/>
    </xf>
    <xf numFmtId="165" fontId="4" fillId="13" borderId="1" xfId="3" applyNumberFormat="1" applyFont="1" applyFill="1" applyBorder="1" applyAlignment="1">
      <alignment horizontal="center"/>
    </xf>
    <xf numFmtId="164" fontId="4" fillId="14" borderId="1" xfId="3" applyNumberFormat="1" applyFont="1" applyFill="1" applyBorder="1" applyAlignment="1">
      <alignment horizontal="center"/>
    </xf>
    <xf numFmtId="165" fontId="4" fillId="14" borderId="1" xfId="3" applyNumberFormat="1" applyFont="1" applyFill="1" applyBorder="1" applyAlignment="1">
      <alignment horizontal="center"/>
    </xf>
    <xf numFmtId="164" fontId="8" fillId="15" borderId="1" xfId="3" applyNumberFormat="1" applyFont="1" applyFill="1" applyBorder="1" applyAlignment="1">
      <alignment horizontal="center"/>
    </xf>
    <xf numFmtId="165" fontId="8" fillId="15" borderId="1" xfId="3" applyNumberFormat="1" applyFont="1" applyFill="1" applyBorder="1" applyAlignment="1">
      <alignment horizontal="center"/>
    </xf>
    <xf numFmtId="164" fontId="4" fillId="16" borderId="1" xfId="3" applyNumberFormat="1" applyFont="1" applyFill="1" applyBorder="1" applyAlignment="1">
      <alignment horizontal="center"/>
    </xf>
    <xf numFmtId="0" fontId="7" fillId="16" borderId="1" xfId="3" applyFont="1" applyFill="1" applyBorder="1" applyAlignment="1">
      <alignment horizontal="center"/>
    </xf>
    <xf numFmtId="9" fontId="7" fillId="16" borderId="1" xfId="3" applyNumberFormat="1" applyFont="1" applyFill="1" applyBorder="1" applyAlignment="1">
      <alignment horizontal="center"/>
    </xf>
    <xf numFmtId="14" fontId="4" fillId="12" borderId="0" xfId="3" applyNumberFormat="1" applyFont="1" applyFill="1" applyBorder="1" applyAlignment="1">
      <alignment horizontal="center"/>
    </xf>
    <xf numFmtId="0" fontId="5" fillId="12" borderId="5" xfId="3" applyFont="1" applyFill="1" applyBorder="1" applyAlignment="1">
      <alignment horizontal="center"/>
    </xf>
    <xf numFmtId="164" fontId="4" fillId="12" borderId="2" xfId="3" applyNumberFormat="1" applyFont="1" applyFill="1" applyBorder="1" applyAlignment="1">
      <alignment horizontal="center"/>
    </xf>
    <xf numFmtId="0" fontId="5" fillId="12" borderId="9" xfId="3" applyFont="1" applyFill="1" applyBorder="1" applyAlignment="1">
      <alignment horizontal="center"/>
    </xf>
    <xf numFmtId="164" fontId="4" fillId="12" borderId="7" xfId="3" applyNumberFormat="1" applyFont="1" applyFill="1" applyBorder="1" applyAlignment="1">
      <alignment horizontal="center"/>
    </xf>
    <xf numFmtId="164" fontId="4" fillId="13" borderId="2" xfId="3" applyNumberFormat="1" applyFont="1" applyFill="1" applyBorder="1" applyAlignment="1">
      <alignment horizontal="center"/>
    </xf>
    <xf numFmtId="164" fontId="8" fillId="15" borderId="2" xfId="3" applyNumberFormat="1" applyFont="1" applyFill="1" applyBorder="1" applyAlignment="1">
      <alignment horizontal="center"/>
    </xf>
    <xf numFmtId="164" fontId="4" fillId="14" borderId="2" xfId="3" applyNumberFormat="1" applyFont="1" applyFill="1" applyBorder="1" applyAlignment="1">
      <alignment horizontal="center"/>
    </xf>
    <xf numFmtId="164" fontId="4" fillId="13" borderId="7" xfId="3" applyNumberFormat="1" applyFont="1" applyFill="1" applyBorder="1" applyAlignment="1">
      <alignment horizontal="center"/>
    </xf>
    <xf numFmtId="164" fontId="8" fillId="15" borderId="7" xfId="3" applyNumberFormat="1" applyFont="1" applyFill="1" applyBorder="1" applyAlignment="1">
      <alignment horizontal="center"/>
    </xf>
    <xf numFmtId="164" fontId="4" fillId="14" borderId="7" xfId="3" applyNumberFormat="1" applyFont="1" applyFill="1" applyBorder="1" applyAlignment="1">
      <alignment horizontal="center"/>
    </xf>
    <xf numFmtId="164" fontId="4" fillId="16" borderId="2" xfId="3" applyNumberFormat="1" applyFont="1" applyFill="1" applyBorder="1" applyAlignment="1">
      <alignment horizontal="center"/>
    </xf>
    <xf numFmtId="9" fontId="6" fillId="12" borderId="2" xfId="3" applyNumberFormat="1" applyFont="1" applyFill="1" applyBorder="1" applyAlignment="1">
      <alignment horizontal="center"/>
    </xf>
    <xf numFmtId="164" fontId="4" fillId="16" borderId="7" xfId="3" applyNumberFormat="1" applyFont="1" applyFill="1" applyBorder="1" applyAlignment="1">
      <alignment horizontal="center"/>
    </xf>
    <xf numFmtId="9" fontId="6" fillId="12" borderId="7" xfId="3" applyNumberFormat="1" applyFont="1" applyFill="1" applyBorder="1" applyAlignment="1">
      <alignment horizontal="center"/>
    </xf>
    <xf numFmtId="9" fontId="7" fillId="16" borderId="2" xfId="3" applyNumberFormat="1" applyFont="1" applyFill="1" applyBorder="1" applyAlignment="1">
      <alignment horizontal="center"/>
    </xf>
    <xf numFmtId="0" fontId="7" fillId="16" borderId="7" xfId="3" applyFont="1" applyFill="1" applyBorder="1" applyAlignment="1">
      <alignment horizontal="center"/>
    </xf>
    <xf numFmtId="0" fontId="0" fillId="12" borderId="0" xfId="3" applyFont="1" applyFill="1" applyAlignment="1">
      <alignment horizontal="center"/>
    </xf>
    <xf numFmtId="0" fontId="4" fillId="12" borderId="0" xfId="3" applyFont="1" applyFill="1" applyBorder="1" applyAlignment="1">
      <alignment horizontal="center"/>
    </xf>
    <xf numFmtId="0" fontId="9" fillId="12" borderId="0" xfId="4" applyFill="1"/>
    <xf numFmtId="0" fontId="0" fillId="12" borderId="0" xfId="3" applyFont="1" applyFill="1" applyBorder="1" applyAlignment="1">
      <alignment horizontal="center"/>
    </xf>
    <xf numFmtId="0" fontId="4" fillId="12" borderId="0" xfId="3" applyFont="1" applyFill="1" applyBorder="1" applyAlignment="1"/>
    <xf numFmtId="0" fontId="0" fillId="12" borderId="0" xfId="3" applyFont="1" applyFill="1" applyAlignment="1">
      <alignment horizontal="left"/>
    </xf>
    <xf numFmtId="0" fontId="10" fillId="12" borderId="0" xfId="3" applyFont="1" applyFill="1"/>
    <xf numFmtId="0" fontId="0" fillId="12" borderId="0" xfId="3" applyFont="1" applyFill="1" applyAlignment="1">
      <alignment horizontal="center"/>
    </xf>
    <xf numFmtId="0" fontId="4" fillId="12" borderId="0" xfId="3" applyFont="1" applyFill="1" applyBorder="1" applyAlignment="1">
      <alignment horizontal="center"/>
    </xf>
    <xf numFmtId="0" fontId="0" fillId="12" borderId="0" xfId="3" applyFont="1" applyFill="1" applyAlignment="1">
      <alignment horizontal="center"/>
    </xf>
    <xf numFmtId="0" fontId="4" fillId="12" borderId="0" xfId="3" applyFont="1" applyFill="1" applyBorder="1" applyAlignment="1">
      <alignment horizontal="center"/>
    </xf>
    <xf numFmtId="0" fontId="0" fillId="17" borderId="1" xfId="3" applyFont="1" applyFill="1" applyBorder="1" applyAlignment="1">
      <alignment horizontal="center"/>
    </xf>
    <xf numFmtId="164" fontId="4" fillId="18" borderId="1" xfId="3" applyNumberFormat="1" applyFont="1" applyFill="1" applyBorder="1" applyAlignment="1">
      <alignment horizontal="center"/>
    </xf>
    <xf numFmtId="0" fontId="2" fillId="12" borderId="0" xfId="3" applyFont="1" applyFill="1" applyBorder="1" applyAlignment="1">
      <alignment horizontal="right"/>
    </xf>
    <xf numFmtId="166" fontId="2" fillId="12" borderId="0" xfId="3" applyNumberFormat="1" applyFont="1" applyFill="1" applyBorder="1" applyAlignment="1">
      <alignment horizontal="right"/>
    </xf>
    <xf numFmtId="0" fontId="2" fillId="12" borderId="0" xfId="3" applyFont="1" applyFill="1" applyAlignment="1">
      <alignment horizontal="center"/>
    </xf>
    <xf numFmtId="11" fontId="0" fillId="0" borderId="0" xfId="0" applyNumberFormat="1"/>
    <xf numFmtId="14" fontId="0" fillId="17" borderId="1" xfId="3" applyNumberFormat="1" applyFont="1" applyFill="1" applyBorder="1" applyAlignment="1">
      <alignment horizontal="center"/>
    </xf>
    <xf numFmtId="164" fontId="4" fillId="12" borderId="1" xfId="3" applyNumberFormat="1" applyFont="1" applyFill="1" applyBorder="1" applyAlignment="1" applyProtection="1">
      <alignment horizontal="center"/>
    </xf>
    <xf numFmtId="164" fontId="4" fillId="12" borderId="2" xfId="3" applyNumberFormat="1" applyFont="1" applyFill="1" applyBorder="1" applyAlignment="1" applyProtection="1">
      <alignment horizontal="center"/>
    </xf>
    <xf numFmtId="164" fontId="4" fillId="12" borderId="7" xfId="3" applyNumberFormat="1" applyFont="1" applyFill="1" applyBorder="1" applyAlignment="1" applyProtection="1">
      <alignment horizontal="center"/>
    </xf>
    <xf numFmtId="164" fontId="4" fillId="16" borderId="1" xfId="3" applyNumberFormat="1" applyFont="1" applyFill="1" applyBorder="1" applyAlignment="1" applyProtection="1">
      <alignment horizontal="center"/>
    </xf>
    <xf numFmtId="164" fontId="4" fillId="16" borderId="2" xfId="3" applyNumberFormat="1" applyFont="1" applyFill="1" applyBorder="1" applyAlignment="1" applyProtection="1">
      <alignment horizontal="center"/>
    </xf>
    <xf numFmtId="164" fontId="4" fillId="16" borderId="7" xfId="3" applyNumberFormat="1" applyFont="1" applyFill="1" applyBorder="1" applyAlignment="1" applyProtection="1">
      <alignment horizontal="center"/>
    </xf>
    <xf numFmtId="0" fontId="7" fillId="16" borderId="1" xfId="3" applyFont="1" applyFill="1" applyBorder="1" applyAlignment="1" applyProtection="1">
      <alignment horizontal="center"/>
      <protection locked="0"/>
    </xf>
    <xf numFmtId="9" fontId="7" fillId="16" borderId="2" xfId="3" applyNumberFormat="1" applyFont="1" applyFill="1" applyBorder="1" applyAlignment="1" applyProtection="1">
      <alignment horizontal="center"/>
      <protection locked="0"/>
    </xf>
    <xf numFmtId="0" fontId="7" fillId="16" borderId="7" xfId="3" applyFont="1" applyFill="1" applyBorder="1" applyAlignment="1" applyProtection="1">
      <alignment horizontal="center"/>
      <protection locked="0"/>
    </xf>
    <xf numFmtId="9" fontId="7" fillId="16" borderId="1" xfId="3" applyNumberFormat="1" applyFont="1" applyFill="1" applyBorder="1" applyAlignment="1" applyProtection="1">
      <alignment horizontal="center"/>
      <protection locked="0"/>
    </xf>
    <xf numFmtId="9" fontId="6" fillId="12" borderId="1" xfId="3" applyNumberFormat="1" applyFont="1" applyFill="1" applyBorder="1" applyAlignment="1" applyProtection="1">
      <alignment horizontal="center"/>
    </xf>
    <xf numFmtId="9" fontId="6" fillId="12" borderId="2" xfId="3" applyNumberFormat="1" applyFont="1" applyFill="1" applyBorder="1" applyAlignment="1" applyProtection="1">
      <alignment horizontal="center"/>
    </xf>
    <xf numFmtId="9" fontId="6" fillId="12" borderId="7" xfId="3" applyNumberFormat="1" applyFont="1" applyFill="1" applyBorder="1" applyAlignment="1" applyProtection="1">
      <alignment horizontal="center"/>
    </xf>
    <xf numFmtId="0" fontId="0" fillId="4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0" borderId="0" xfId="0" applyAlignment="1">
      <alignment horizontal="center" vertical="top" wrapText="1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5" fillId="11" borderId="2" xfId="3" applyFont="1" applyFill="1" applyBorder="1" applyAlignment="1">
      <alignment horizontal="center"/>
    </xf>
    <xf numFmtId="0" fontId="5" fillId="11" borderId="3" xfId="3" applyFont="1" applyFill="1" applyBorder="1" applyAlignment="1">
      <alignment horizontal="center"/>
    </xf>
    <xf numFmtId="0" fontId="5" fillId="11" borderId="10" xfId="3" applyFont="1" applyFill="1" applyBorder="1" applyAlignment="1">
      <alignment horizontal="center"/>
    </xf>
    <xf numFmtId="0" fontId="5" fillId="10" borderId="8" xfId="3" applyFont="1" applyFill="1" applyBorder="1" applyAlignment="1">
      <alignment horizontal="center"/>
    </xf>
    <xf numFmtId="0" fontId="5" fillId="10" borderId="3" xfId="3" applyFont="1" applyFill="1" applyBorder="1" applyAlignment="1">
      <alignment horizontal="center"/>
    </xf>
    <xf numFmtId="0" fontId="5" fillId="10" borderId="4" xfId="3" applyFont="1" applyFill="1" applyBorder="1" applyAlignment="1">
      <alignment horizontal="center"/>
    </xf>
    <xf numFmtId="0" fontId="0" fillId="12" borderId="0" xfId="3" applyFont="1" applyFill="1" applyAlignment="1">
      <alignment horizontal="center"/>
    </xf>
    <xf numFmtId="0" fontId="9" fillId="12" borderId="0" xfId="4" applyFill="1" applyAlignment="1">
      <alignment horizontal="center"/>
    </xf>
  </cellXfs>
  <cellStyles count="5">
    <cellStyle name="Comma" xfId="2" builtinId="3"/>
    <cellStyle name="Hyperlink" xfId="4" builtinId="8"/>
    <cellStyle name="Normal" xfId="0" builtinId="0"/>
    <cellStyle name="Percent" xfId="1" builtinId="5"/>
    <cellStyle name="Style 1" xfId="3"/>
  </cellStyles>
  <dxfs count="243"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96B3E2"/>
      <color rgb="FFE8B31C"/>
      <color rgb="FFC68606"/>
      <color rgb="FF66CCFF"/>
      <color rgb="FF33CC33"/>
      <color rgb="FFFF4747"/>
      <color rgb="FFFFE593"/>
      <color rgb="FFBDE7BB"/>
      <color rgb="FFFFB481"/>
      <color rgb="FFFFDB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71438</xdr:colOff>
      <xdr:row>1</xdr:row>
      <xdr:rowOff>59531</xdr:rowOff>
    </xdr:from>
    <xdr:ext cx="184731" cy="264560"/>
    <xdr:sp macro="" textlink="">
      <xdr:nvSpPr>
        <xdr:cNvPr id="3" name="TextBox 2"/>
        <xdr:cNvSpPr txBox="1"/>
      </xdr:nvSpPr>
      <xdr:spPr>
        <a:xfrm>
          <a:off x="5068888" y="24368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0</xdr:col>
      <xdr:colOff>1440657</xdr:colOff>
      <xdr:row>33</xdr:row>
      <xdr:rowOff>0</xdr:rowOff>
    </xdr:from>
    <xdr:to>
      <xdr:col>1</xdr:col>
      <xdr:colOff>0</xdr:colOff>
      <xdr:row>40</xdr:row>
      <xdr:rowOff>11907</xdr:rowOff>
    </xdr:to>
    <xdr:grpSp>
      <xdr:nvGrpSpPr>
        <xdr:cNvPr id="5" name="Group 4"/>
        <xdr:cNvGrpSpPr/>
      </xdr:nvGrpSpPr>
      <xdr:grpSpPr>
        <a:xfrm>
          <a:off x="1440657" y="6715125"/>
          <a:ext cx="250031" cy="1512095"/>
          <a:chOff x="1428750" y="6369844"/>
          <a:chExt cx="250031" cy="1512094"/>
        </a:xfrm>
      </xdr:grpSpPr>
      <xdr:sp macro="" textlink="">
        <xdr:nvSpPr>
          <xdr:cNvPr id="6" name="Rectangle 5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7" name="Rectangle 6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13</xdr:row>
      <xdr:rowOff>1</xdr:rowOff>
    </xdr:from>
    <xdr:to>
      <xdr:col>0</xdr:col>
      <xdr:colOff>1777999</xdr:colOff>
      <xdr:row>20</xdr:row>
      <xdr:rowOff>2</xdr:rowOff>
    </xdr:to>
    <xdr:grpSp>
      <xdr:nvGrpSpPr>
        <xdr:cNvPr id="10" name="Group 9"/>
        <xdr:cNvGrpSpPr/>
      </xdr:nvGrpSpPr>
      <xdr:grpSpPr>
        <a:xfrm>
          <a:off x="1440656" y="2583657"/>
          <a:ext cx="251618" cy="1464470"/>
          <a:chOff x="1428750" y="6369844"/>
          <a:chExt cx="250031" cy="1512094"/>
        </a:xfrm>
      </xdr:grpSpPr>
      <xdr:sp macro="" textlink="">
        <xdr:nvSpPr>
          <xdr:cNvPr id="11" name="Rectangle 10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2" name="Rectangle 11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13" name="Group 12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14" name="Rectangle 13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5" name="Rectangle 14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13</xdr:row>
      <xdr:rowOff>0</xdr:rowOff>
    </xdr:from>
    <xdr:to>
      <xdr:col>0</xdr:col>
      <xdr:colOff>1777999</xdr:colOff>
      <xdr:row>20</xdr:row>
      <xdr:rowOff>0</xdr:rowOff>
    </xdr:to>
    <xdr:grpSp>
      <xdr:nvGrpSpPr>
        <xdr:cNvPr id="16" name="Group 15"/>
        <xdr:cNvGrpSpPr/>
      </xdr:nvGrpSpPr>
      <xdr:grpSpPr>
        <a:xfrm>
          <a:off x="1440656" y="2583656"/>
          <a:ext cx="251618" cy="1464469"/>
          <a:chOff x="1428750" y="6369844"/>
          <a:chExt cx="250031" cy="1512093"/>
        </a:xfrm>
      </xdr:grpSpPr>
      <xdr:sp macro="" textlink="">
        <xdr:nvSpPr>
          <xdr:cNvPr id="17" name="Rectangle 16"/>
          <xdr:cNvSpPr/>
        </xdr:nvSpPr>
        <xdr:spPr>
          <a:xfrm>
            <a:off x="1428750" y="7236529"/>
            <a:ext cx="250031" cy="645408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8" name="Rectangle 17"/>
          <xdr:cNvSpPr/>
        </xdr:nvSpPr>
        <xdr:spPr>
          <a:xfrm>
            <a:off x="1428750" y="6369844"/>
            <a:ext cx="250031" cy="84824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19" name="Group 18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20" name="Rectangle 19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1" name="Rectangle 20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22" name="Group 21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23" name="Rectangle 22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4" name="Rectangle 23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25" name="Group 24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26" name="Rectangle 25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7" name="Rectangle 26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28" name="Group 27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29" name="Rectangle 28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0" name="Rectangle 29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31" name="Group 30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32" name="Rectangle 31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3" name="Rectangle 32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34" name="Group 33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35" name="Rectangle 34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6" name="Rectangle 35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37" name="Group 36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38" name="Rectangle 37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9" name="Rectangle 38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0" name="Group 39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41" name="Rectangle 40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2" name="Rectangle 41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3" name="Group 42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44" name="Rectangle 43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5" name="Rectangle 44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6" name="Group 45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47" name="Rectangle 46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8" name="Rectangle 47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9" name="Group 48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50" name="Rectangle 49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51" name="Rectangle 50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52" name="Group 51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53" name="Rectangle 52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54" name="Rectangle 53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71438</xdr:colOff>
      <xdr:row>1</xdr:row>
      <xdr:rowOff>59531</xdr:rowOff>
    </xdr:from>
    <xdr:ext cx="184731" cy="264560"/>
    <xdr:sp macro="" textlink="">
      <xdr:nvSpPr>
        <xdr:cNvPr id="3" name="TextBox 2"/>
        <xdr:cNvSpPr txBox="1"/>
      </xdr:nvSpPr>
      <xdr:spPr>
        <a:xfrm>
          <a:off x="5068888" y="24368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0</xdr:col>
      <xdr:colOff>1440657</xdr:colOff>
      <xdr:row>33</xdr:row>
      <xdr:rowOff>0</xdr:rowOff>
    </xdr:from>
    <xdr:to>
      <xdr:col>1</xdr:col>
      <xdr:colOff>0</xdr:colOff>
      <xdr:row>40</xdr:row>
      <xdr:rowOff>11907</xdr:rowOff>
    </xdr:to>
    <xdr:grpSp>
      <xdr:nvGrpSpPr>
        <xdr:cNvPr id="5" name="Group 4"/>
        <xdr:cNvGrpSpPr/>
      </xdr:nvGrpSpPr>
      <xdr:grpSpPr>
        <a:xfrm>
          <a:off x="1440657" y="6072188"/>
          <a:ext cx="337343" cy="1289844"/>
          <a:chOff x="1428750" y="6369844"/>
          <a:chExt cx="250031" cy="1512094"/>
        </a:xfrm>
      </xdr:grpSpPr>
      <xdr:sp macro="" textlink="">
        <xdr:nvSpPr>
          <xdr:cNvPr id="6" name="Rectangle 5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7" name="Rectangle 6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13</xdr:row>
      <xdr:rowOff>1</xdr:rowOff>
    </xdr:from>
    <xdr:to>
      <xdr:col>0</xdr:col>
      <xdr:colOff>1777999</xdr:colOff>
      <xdr:row>20</xdr:row>
      <xdr:rowOff>2</xdr:rowOff>
    </xdr:to>
    <xdr:grpSp>
      <xdr:nvGrpSpPr>
        <xdr:cNvPr id="10" name="Group 9"/>
        <xdr:cNvGrpSpPr/>
      </xdr:nvGrpSpPr>
      <xdr:grpSpPr>
        <a:xfrm>
          <a:off x="1440656" y="2397126"/>
          <a:ext cx="337343" cy="1301751"/>
          <a:chOff x="1428750" y="6369844"/>
          <a:chExt cx="250031" cy="1512094"/>
        </a:xfrm>
      </xdr:grpSpPr>
      <xdr:sp macro="" textlink="">
        <xdr:nvSpPr>
          <xdr:cNvPr id="11" name="Rectangle 10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2" name="Rectangle 11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13" name="Group 12"/>
        <xdr:cNvGrpSpPr/>
      </xdr:nvGrpSpPr>
      <xdr:grpSpPr>
        <a:xfrm>
          <a:off x="1440656" y="6072189"/>
          <a:ext cx="337343" cy="1277938"/>
          <a:chOff x="1428750" y="6369844"/>
          <a:chExt cx="250031" cy="1512094"/>
        </a:xfrm>
      </xdr:grpSpPr>
      <xdr:sp macro="" textlink="">
        <xdr:nvSpPr>
          <xdr:cNvPr id="14" name="Rectangle 13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5" name="Rectangle 14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13</xdr:row>
      <xdr:rowOff>0</xdr:rowOff>
    </xdr:from>
    <xdr:to>
      <xdr:col>0</xdr:col>
      <xdr:colOff>1777999</xdr:colOff>
      <xdr:row>20</xdr:row>
      <xdr:rowOff>0</xdr:rowOff>
    </xdr:to>
    <xdr:grpSp>
      <xdr:nvGrpSpPr>
        <xdr:cNvPr id="16" name="Group 15"/>
        <xdr:cNvGrpSpPr/>
      </xdr:nvGrpSpPr>
      <xdr:grpSpPr>
        <a:xfrm>
          <a:off x="1440656" y="2397125"/>
          <a:ext cx="337343" cy="1301750"/>
          <a:chOff x="1428750" y="6369844"/>
          <a:chExt cx="250031" cy="1512093"/>
        </a:xfrm>
      </xdr:grpSpPr>
      <xdr:sp macro="" textlink="">
        <xdr:nvSpPr>
          <xdr:cNvPr id="17" name="Rectangle 16"/>
          <xdr:cNvSpPr/>
        </xdr:nvSpPr>
        <xdr:spPr>
          <a:xfrm>
            <a:off x="1428750" y="7236529"/>
            <a:ext cx="250031" cy="645408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8" name="Rectangle 17"/>
          <xdr:cNvSpPr/>
        </xdr:nvSpPr>
        <xdr:spPr>
          <a:xfrm>
            <a:off x="1428750" y="6369844"/>
            <a:ext cx="250031" cy="84824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19" name="Group 18"/>
        <xdr:cNvGrpSpPr/>
      </xdr:nvGrpSpPr>
      <xdr:grpSpPr>
        <a:xfrm>
          <a:off x="1440656" y="6072189"/>
          <a:ext cx="337343" cy="1277938"/>
          <a:chOff x="1428750" y="6369844"/>
          <a:chExt cx="250031" cy="1512094"/>
        </a:xfrm>
      </xdr:grpSpPr>
      <xdr:sp macro="" textlink="">
        <xdr:nvSpPr>
          <xdr:cNvPr id="20" name="Rectangle 19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1" name="Rectangle 20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22" name="Group 21"/>
        <xdr:cNvGrpSpPr/>
      </xdr:nvGrpSpPr>
      <xdr:grpSpPr>
        <a:xfrm>
          <a:off x="1440656" y="6072189"/>
          <a:ext cx="337343" cy="1277938"/>
          <a:chOff x="1428750" y="6369844"/>
          <a:chExt cx="250031" cy="1512094"/>
        </a:xfrm>
      </xdr:grpSpPr>
      <xdr:sp macro="" textlink="">
        <xdr:nvSpPr>
          <xdr:cNvPr id="23" name="Rectangle 22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4" name="Rectangle 23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25" name="Group 24"/>
        <xdr:cNvGrpSpPr/>
      </xdr:nvGrpSpPr>
      <xdr:grpSpPr>
        <a:xfrm>
          <a:off x="1440656" y="6072189"/>
          <a:ext cx="337343" cy="1277938"/>
          <a:chOff x="1428750" y="6369844"/>
          <a:chExt cx="250031" cy="1512094"/>
        </a:xfrm>
      </xdr:grpSpPr>
      <xdr:sp macro="" textlink="">
        <xdr:nvSpPr>
          <xdr:cNvPr id="26" name="Rectangle 25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7" name="Rectangle 26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28" name="Group 27"/>
        <xdr:cNvGrpSpPr/>
      </xdr:nvGrpSpPr>
      <xdr:grpSpPr>
        <a:xfrm>
          <a:off x="1440656" y="6072189"/>
          <a:ext cx="337343" cy="1277938"/>
          <a:chOff x="1428750" y="6369844"/>
          <a:chExt cx="250031" cy="1512094"/>
        </a:xfrm>
      </xdr:grpSpPr>
      <xdr:sp macro="" textlink="">
        <xdr:nvSpPr>
          <xdr:cNvPr id="29" name="Rectangle 28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0" name="Rectangle 29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31" name="Group 30"/>
        <xdr:cNvGrpSpPr/>
      </xdr:nvGrpSpPr>
      <xdr:grpSpPr>
        <a:xfrm>
          <a:off x="1440656" y="6072189"/>
          <a:ext cx="337343" cy="1277938"/>
          <a:chOff x="1428750" y="6369844"/>
          <a:chExt cx="250031" cy="1512094"/>
        </a:xfrm>
      </xdr:grpSpPr>
      <xdr:sp macro="" textlink="">
        <xdr:nvSpPr>
          <xdr:cNvPr id="32" name="Rectangle 31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3" name="Rectangle 32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34" name="Group 33"/>
        <xdr:cNvGrpSpPr/>
      </xdr:nvGrpSpPr>
      <xdr:grpSpPr>
        <a:xfrm>
          <a:off x="1440656" y="6072189"/>
          <a:ext cx="337343" cy="1277938"/>
          <a:chOff x="1428750" y="6369844"/>
          <a:chExt cx="250031" cy="1512094"/>
        </a:xfrm>
      </xdr:grpSpPr>
      <xdr:sp macro="" textlink="">
        <xdr:nvSpPr>
          <xdr:cNvPr id="35" name="Rectangle 34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6" name="Rectangle 35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37" name="Group 36"/>
        <xdr:cNvGrpSpPr/>
      </xdr:nvGrpSpPr>
      <xdr:grpSpPr>
        <a:xfrm>
          <a:off x="1440656" y="6072189"/>
          <a:ext cx="337343" cy="1277938"/>
          <a:chOff x="1428750" y="6369844"/>
          <a:chExt cx="250031" cy="1512094"/>
        </a:xfrm>
      </xdr:grpSpPr>
      <xdr:sp macro="" textlink="">
        <xdr:nvSpPr>
          <xdr:cNvPr id="38" name="Rectangle 37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9" name="Rectangle 38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0" name="Group 39"/>
        <xdr:cNvGrpSpPr/>
      </xdr:nvGrpSpPr>
      <xdr:grpSpPr>
        <a:xfrm>
          <a:off x="1440656" y="6072189"/>
          <a:ext cx="337343" cy="1277938"/>
          <a:chOff x="1428750" y="6369844"/>
          <a:chExt cx="250031" cy="1512094"/>
        </a:xfrm>
      </xdr:grpSpPr>
      <xdr:sp macro="" textlink="">
        <xdr:nvSpPr>
          <xdr:cNvPr id="41" name="Rectangle 40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2" name="Rectangle 41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3" name="Group 42"/>
        <xdr:cNvGrpSpPr/>
      </xdr:nvGrpSpPr>
      <xdr:grpSpPr>
        <a:xfrm>
          <a:off x="1440656" y="6072189"/>
          <a:ext cx="337343" cy="1277938"/>
          <a:chOff x="1428750" y="6369844"/>
          <a:chExt cx="250031" cy="1512094"/>
        </a:xfrm>
      </xdr:grpSpPr>
      <xdr:sp macro="" textlink="">
        <xdr:nvSpPr>
          <xdr:cNvPr id="44" name="Rectangle 43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5" name="Rectangle 44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6" name="Group 45"/>
        <xdr:cNvGrpSpPr/>
      </xdr:nvGrpSpPr>
      <xdr:grpSpPr>
        <a:xfrm>
          <a:off x="1440656" y="6072189"/>
          <a:ext cx="337343" cy="1277938"/>
          <a:chOff x="1428750" y="6369844"/>
          <a:chExt cx="250031" cy="1512094"/>
        </a:xfrm>
      </xdr:grpSpPr>
      <xdr:sp macro="" textlink="">
        <xdr:nvSpPr>
          <xdr:cNvPr id="47" name="Rectangle 46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8" name="Rectangle 47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9" name="Group 48"/>
        <xdr:cNvGrpSpPr/>
      </xdr:nvGrpSpPr>
      <xdr:grpSpPr>
        <a:xfrm>
          <a:off x="1440656" y="6072189"/>
          <a:ext cx="337343" cy="1277938"/>
          <a:chOff x="1428750" y="6369844"/>
          <a:chExt cx="250031" cy="1512094"/>
        </a:xfrm>
      </xdr:grpSpPr>
      <xdr:sp macro="" textlink="">
        <xdr:nvSpPr>
          <xdr:cNvPr id="50" name="Rectangle 49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51" name="Rectangle 50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52" name="Group 51"/>
        <xdr:cNvGrpSpPr/>
      </xdr:nvGrpSpPr>
      <xdr:grpSpPr>
        <a:xfrm>
          <a:off x="1440656" y="6072189"/>
          <a:ext cx="337343" cy="1277938"/>
          <a:chOff x="1428750" y="6369844"/>
          <a:chExt cx="250031" cy="1512094"/>
        </a:xfrm>
      </xdr:grpSpPr>
      <xdr:sp macro="" textlink="">
        <xdr:nvSpPr>
          <xdr:cNvPr id="53" name="Rectangle 52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2860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54" name="Rectangle 53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3716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71438</xdr:colOff>
      <xdr:row>1</xdr:row>
      <xdr:rowOff>59531</xdr:rowOff>
    </xdr:from>
    <xdr:ext cx="184731" cy="264560"/>
    <xdr:sp macro="" textlink="">
      <xdr:nvSpPr>
        <xdr:cNvPr id="3" name="TextBox 2"/>
        <xdr:cNvSpPr txBox="1"/>
      </xdr:nvSpPr>
      <xdr:spPr>
        <a:xfrm>
          <a:off x="4843463" y="2500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0</xdr:col>
      <xdr:colOff>1440657</xdr:colOff>
      <xdr:row>33</xdr:row>
      <xdr:rowOff>0</xdr:rowOff>
    </xdr:from>
    <xdr:to>
      <xdr:col>1</xdr:col>
      <xdr:colOff>0</xdr:colOff>
      <xdr:row>40</xdr:row>
      <xdr:rowOff>11907</xdr:rowOff>
    </xdr:to>
    <xdr:grpSp>
      <xdr:nvGrpSpPr>
        <xdr:cNvPr id="5" name="Group 4"/>
        <xdr:cNvGrpSpPr/>
      </xdr:nvGrpSpPr>
      <xdr:grpSpPr>
        <a:xfrm>
          <a:off x="1440657" y="6072188"/>
          <a:ext cx="337343" cy="1289844"/>
          <a:chOff x="1428750" y="6369844"/>
          <a:chExt cx="250031" cy="1512094"/>
        </a:xfrm>
      </xdr:grpSpPr>
      <xdr:sp macro="" textlink="">
        <xdr:nvSpPr>
          <xdr:cNvPr id="6" name="Rectangle 5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7" name="Rectangle 6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13</xdr:row>
      <xdr:rowOff>1</xdr:rowOff>
    </xdr:from>
    <xdr:to>
      <xdr:col>1</xdr:col>
      <xdr:colOff>0</xdr:colOff>
      <xdr:row>20</xdr:row>
      <xdr:rowOff>2</xdr:rowOff>
    </xdr:to>
    <xdr:grpSp>
      <xdr:nvGrpSpPr>
        <xdr:cNvPr id="10" name="Group 9"/>
        <xdr:cNvGrpSpPr/>
      </xdr:nvGrpSpPr>
      <xdr:grpSpPr>
        <a:xfrm>
          <a:off x="1440656" y="2397126"/>
          <a:ext cx="337344" cy="1301751"/>
          <a:chOff x="1428750" y="6369844"/>
          <a:chExt cx="250031" cy="1512094"/>
        </a:xfrm>
      </xdr:grpSpPr>
      <xdr:sp macro="" textlink="">
        <xdr:nvSpPr>
          <xdr:cNvPr id="11" name="Rectangle 10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2" name="Rectangle 11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71438</xdr:colOff>
      <xdr:row>1</xdr:row>
      <xdr:rowOff>59531</xdr:rowOff>
    </xdr:from>
    <xdr:ext cx="184731" cy="264560"/>
    <xdr:sp macro="" textlink="">
      <xdr:nvSpPr>
        <xdr:cNvPr id="5" name="TextBox 4"/>
        <xdr:cNvSpPr txBox="1"/>
      </xdr:nvSpPr>
      <xdr:spPr>
        <a:xfrm>
          <a:off x="4845844" y="2500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17</xdr:col>
      <xdr:colOff>14741</xdr:colOff>
      <xdr:row>0</xdr:row>
      <xdr:rowOff>116229</xdr:rowOff>
    </xdr:from>
    <xdr:to>
      <xdr:col>19</xdr:col>
      <xdr:colOff>244361</xdr:colOff>
      <xdr:row>3</xdr:row>
      <xdr:rowOff>125866</xdr:rowOff>
    </xdr:to>
    <xdr:sp macro="[0]!openWebsites" textlink="">
      <xdr:nvSpPr>
        <xdr:cNvPr id="11" name="Rectangle 10"/>
        <xdr:cNvSpPr/>
      </xdr:nvSpPr>
      <xdr:spPr>
        <a:xfrm>
          <a:off x="13659304" y="116229"/>
          <a:ext cx="1713932" cy="581137"/>
        </a:xfrm>
        <a:prstGeom prst="rect">
          <a:avLst/>
        </a:prstGeom>
        <a:gradFill>
          <a:gsLst>
            <a:gs pos="0">
              <a:schemeClr val="accent3">
                <a:lumMod val="110000"/>
                <a:satMod val="105000"/>
                <a:tint val="67000"/>
              </a:schemeClr>
            </a:gs>
            <a:gs pos="50000">
              <a:schemeClr val="accent3">
                <a:lumMod val="105000"/>
                <a:satMod val="103000"/>
                <a:tint val="73000"/>
              </a:schemeClr>
            </a:gs>
            <a:gs pos="100000">
              <a:schemeClr val="accent3">
                <a:lumMod val="105000"/>
                <a:satMod val="109000"/>
                <a:tint val="81000"/>
              </a:schemeClr>
            </a:gs>
          </a:gsLst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aseline="0">
              <a:latin typeface="Amazon Ember Heavy" panose="020B0803020204020204" pitchFamily="34" charset="0"/>
              <a:ea typeface="Amazon Ember Heavy" panose="020B0803020204020204" pitchFamily="34" charset="0"/>
              <a:cs typeface="Amazon Ember Heavy" panose="020B0803020204020204" pitchFamily="34" charset="0"/>
            </a:rPr>
            <a:t>Open All Websites </a:t>
          </a:r>
        </a:p>
        <a:p>
          <a:pPr algn="ctr"/>
          <a:r>
            <a:rPr lang="en-US" sz="1200" baseline="0">
              <a:latin typeface="Amazon Ember Heavy" panose="020B0803020204020204" pitchFamily="34" charset="0"/>
              <a:ea typeface="Amazon Ember Heavy" panose="020B0803020204020204" pitchFamily="34" charset="0"/>
              <a:cs typeface="Amazon Ember Heavy" panose="020B0803020204020204" pitchFamily="34" charset="0"/>
            </a:rPr>
            <a:t>(Data Sources)</a:t>
          </a:r>
          <a:endParaRPr lang="en-US" sz="1200">
            <a:latin typeface="Amazon Ember Heavy" panose="020B0803020204020204" pitchFamily="34" charset="0"/>
            <a:ea typeface="Amazon Ember Heavy" panose="020B0803020204020204" pitchFamily="34" charset="0"/>
            <a:cs typeface="Amazon Ember Heavy" panose="020B0803020204020204" pitchFamily="34" charset="0"/>
          </a:endParaRPr>
        </a:p>
      </xdr:txBody>
    </xdr:sp>
    <xdr:clientData/>
  </xdr:twoCellAnchor>
  <xdr:twoCellAnchor>
    <xdr:from>
      <xdr:col>0</xdr:col>
      <xdr:colOff>1440655</xdr:colOff>
      <xdr:row>32</xdr:row>
      <xdr:rowOff>190499</xdr:rowOff>
    </xdr:from>
    <xdr:to>
      <xdr:col>1</xdr:col>
      <xdr:colOff>-1</xdr:colOff>
      <xdr:row>39</xdr:row>
      <xdr:rowOff>214311</xdr:rowOff>
    </xdr:to>
    <xdr:grpSp>
      <xdr:nvGrpSpPr>
        <xdr:cNvPr id="22" name="Group 21"/>
        <xdr:cNvGrpSpPr/>
      </xdr:nvGrpSpPr>
      <xdr:grpSpPr>
        <a:xfrm>
          <a:off x="1440655" y="6073774"/>
          <a:ext cx="337344" cy="1276350"/>
          <a:chOff x="1428749" y="6369844"/>
          <a:chExt cx="250032" cy="1500186"/>
        </a:xfrm>
      </xdr:grpSpPr>
      <xdr:sp macro="" textlink="">
        <xdr:nvSpPr>
          <xdr:cNvPr id="7" name="Rectangle 6"/>
          <xdr:cNvSpPr/>
        </xdr:nvSpPr>
        <xdr:spPr>
          <a:xfrm>
            <a:off x="1428749" y="7024689"/>
            <a:ext cx="250031" cy="845341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  BH*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8" name="Rectangle 17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 FH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1440658</xdr:colOff>
      <xdr:row>13</xdr:row>
      <xdr:rowOff>1</xdr:rowOff>
    </xdr:from>
    <xdr:to>
      <xdr:col>1</xdr:col>
      <xdr:colOff>0</xdr:colOff>
      <xdr:row>20</xdr:row>
      <xdr:rowOff>2</xdr:rowOff>
    </xdr:to>
    <xdr:grpSp>
      <xdr:nvGrpSpPr>
        <xdr:cNvPr id="28" name="Group 27"/>
        <xdr:cNvGrpSpPr/>
      </xdr:nvGrpSpPr>
      <xdr:grpSpPr>
        <a:xfrm>
          <a:off x="1440658" y="2397126"/>
          <a:ext cx="337342" cy="1301751"/>
          <a:chOff x="1428751" y="6369844"/>
          <a:chExt cx="259530" cy="1512094"/>
        </a:xfrm>
      </xdr:grpSpPr>
      <xdr:sp macro="" textlink="">
        <xdr:nvSpPr>
          <xdr:cNvPr id="29" name="Rectangle 28"/>
          <xdr:cNvSpPr/>
        </xdr:nvSpPr>
        <xdr:spPr>
          <a:xfrm>
            <a:off x="1431802" y="7229932"/>
            <a:ext cx="256478" cy="652006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 baseline="0">
                <a:solidFill>
                  <a:sysClr val="windowText" lastClr="000000"/>
                </a:solidFill>
              </a:rPr>
              <a:t> BH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0" name="Rectangle 29"/>
          <xdr:cNvSpPr/>
        </xdr:nvSpPr>
        <xdr:spPr>
          <a:xfrm>
            <a:off x="1428751" y="6369844"/>
            <a:ext cx="259530" cy="846216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    FH*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228600</xdr:colOff>
          <xdr:row>0</xdr:row>
          <xdr:rowOff>95250</xdr:rowOff>
        </xdr:from>
        <xdr:to>
          <xdr:col>5</xdr:col>
          <xdr:colOff>0</xdr:colOff>
          <xdr:row>2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Fetch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215900</xdr:colOff>
          <xdr:row>2</xdr:row>
          <xdr:rowOff>203200</xdr:rowOff>
        </xdr:from>
        <xdr:to>
          <xdr:col>5</xdr:col>
          <xdr:colOff>12700</xdr:colOff>
          <xdr:row>4</xdr:row>
          <xdr:rowOff>165100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Populate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565150</xdr:colOff>
          <xdr:row>0</xdr:row>
          <xdr:rowOff>88900</xdr:rowOff>
        </xdr:from>
        <xdr:to>
          <xdr:col>15</xdr:col>
          <xdr:colOff>412750</xdr:colOff>
          <xdr:row>2</xdr:row>
          <xdr:rowOff>88900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Report to New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558800</xdr:colOff>
          <xdr:row>2</xdr:row>
          <xdr:rowOff>177800</xdr:rowOff>
        </xdr:from>
        <xdr:to>
          <xdr:col>15</xdr:col>
          <xdr:colOff>406400</xdr:colOff>
          <xdr:row>4</xdr:row>
          <xdr:rowOff>127000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website10_6" growShrinkType="overwriteClear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website1_1" growShrinkType="overwriteClear" connectionId="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website27_4" growShrinkType="overwriteClear" connectionId="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website10_5" growShrinkType="overwriteClear" connectionId="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website10_4" growShrinkType="overwriteClear" connectionId="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website27_1" growShrinkType="overwriteClear" connectionId="109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website10_2" growShrinkType="overwriteClear" connectionId="48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website5_1" growShrinkType="overwriteClear" connectionId="202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website13" growShrinkType="overwriteClear" connectionId="46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website1" growShrinkType="overwriteClear" connectionId="78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website27_2" growShrinkType="overwriteClear" connectionId="26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website25" growShrinkType="overwriteClear" connectionId="23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website11_1" growShrinkType="overwriteClear" connectionId="296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website10_1" growShrinkType="overwriteClear" connectionId="1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website5" growShrinkType="overwriteClear" connectionId="32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website10" growShrinkType="overwriteClear" connectionId="429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website5_3" growShrinkType="overwriteClear" connectionId="1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website12" growShrinkType="overwriteClear" connectionId="202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website27_3" growShrinkType="overwriteClear" connectionId="1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website5_2" growShrinkType="overwriteClear" connectionId="1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website10_3" growShrinkType="overwriteClear" connectionId="35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website11" growShrinkType="overwriteClear" connectionId="14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website27" growShrinkType="overwriteClear" connectionId="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website9" growShrinkType="overwriteClear" connectionId="17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website17" growShrinkType="overwriteClear" connectionId="389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website20" growShrinkType="overwriteClear" connectionId="203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website10_6" growShrinkType="overwriteClear" connectionId="2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website1_1" growShrinkType="overwriteClear" connectionId="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website27_4" growShrinkType="overwriteClear" connectionId="2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website10_5" growShrinkType="overwriteClear" connectionId="2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website10_4" growShrinkType="overwriteClear" connectionId="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website5" growShrinkType="overwriteClear" connectionId="328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website9" growShrinkType="overwriteClear" connectionId="17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website27_2" growShrinkType="overwriteClear" connectionId="266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website17" growShrinkType="overwriteClear" connectionId="39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website27_3" growShrinkType="overwriteClear" connectionId="2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website13" growShrinkType="overwriteClear" connectionId="46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website10_1" growShrinkType="overwriteClear" connectionId="18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website25" growShrinkType="overwriteClear" connectionId="235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website20" growShrinkType="overwriteClear" connectionId="204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website12" growShrinkType="overwriteClear" connectionId="213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website11_1" growShrinkType="overwriteClear" connectionId="297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website10_2" growShrinkType="overwriteClear" connectionId="49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website27" growShrinkType="overwriteClear" connectionId="2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website1" growShrinkType="overwriteClear" connectionId="79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website11" growShrinkType="overwriteClear" connectionId="142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website10_3" growShrinkType="overwriteClear" connectionId="36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website5_2" growShrinkType="overwriteClear" connectionId="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website10" growShrinkType="overwriteClear" connectionId="43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website27_1" growShrinkType="overwriteClear" connectionId="11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website5_1" growShrinkType="overwriteClear" connectionId="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website10_6" growShrinkType="overwriteClear" connectionId="113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website1_1" growShrinkType="overwriteClear" connectionId="11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website27_4" growShrinkType="overwriteClear" connectionId="11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website10_5" growShrinkType="overwriteClear" connectionId="11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website10_4" growShrinkType="overwriteClear" connectionId="11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website27_2" growShrinkType="overwriteClear" connectionId="267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website5_2" growShrinkType="overwriteClear" connectionId="113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website17" growShrinkType="overwriteClear" connectionId="39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website10" growShrinkType="overwriteClear" connectionId="431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website5_1" growShrinkType="overwriteClear" connectionId="113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website10_3" growShrinkType="overwriteClear" connectionId="36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website11" growShrinkType="overwriteClear" connectionId="143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website25" growShrinkType="overwriteClear" connectionId="237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website27" growShrinkType="overwriteClear" connectionId="113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website27_1" growShrinkType="overwriteClear" connectionId="111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website5" growShrinkType="overwriteClear" connectionId="329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website13" growShrinkType="overwriteClear" connectionId="462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website10_1" growShrinkType="overwriteClear" connectionId="19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website20" growShrinkType="overwriteClear" connectionId="205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website9" firstBackgroundRefresh="1" growShrinkType="overwriteClear" connectionId="174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website12" growShrinkType="overwriteClear" connectionId="225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website1" growShrinkType="overwriteClear" connectionId="81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website10_2" growShrinkType="overwriteClear" connectionId="50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website27_3" growShrinkType="overwriteClear" connectionId="113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website11_1" growShrinkType="overwriteClear" connectionId="29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website10_6" growShrinkType="overwriteClear" connectionId="224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website1_1" growShrinkType="overwriteClear" connectionId="224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website27_4" growShrinkType="overwriteClear" connectionId="224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website10_5" growShrinkType="overwriteClear" connectionId="224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website10_4" growShrinkType="overwriteClear" connectionId="224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website27_2" growShrinkType="overwriteClear" connectionId="268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website10_2" growShrinkType="overwriteClear" connectionId="51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website1" growShrinkType="overwriteClear" connectionId="82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website13" growShrinkType="overwriteClear" connectionId="46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website5" growShrinkType="overwriteClear" connectionId="330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website17" growShrinkType="overwriteClear" connectionId="393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website10_1" growShrinkType="overwriteClear" connectionId="2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website10_3" growShrinkType="overwriteClear" connectionId="362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website10" growShrinkType="overwriteClear" connectionId="432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website11" growShrinkType="overwriteClear" connectionId="144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website5_2" growShrinkType="overwriteClear" connectionId="224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website9" growShrinkType="overwriteClear" connectionId="175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website11_1" growShrinkType="overwriteClear" connectionId="299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website5_1" growShrinkType="overwriteClear" connectionId="224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website27" growShrinkType="overwriteClear" connectionId="224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website27_3" growShrinkType="overwriteClear" connectionId="224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website25" growShrinkType="overwriteClear" connectionId="238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website12" growShrinkType="overwriteClear" connectionId="236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website20" growShrinkType="overwriteClear" connectionId="206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website27_1" growShrinkType="overwriteClear" connectionId="112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website11_6" growShrinkType="overwriteClear" connectionId="335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website2_1" growShrinkType="overwriteClear" connectionId="335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website28_4" growShrinkType="overwriteClear" connectionId="335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website11_5" growShrinkType="overwriteClear" connectionId="335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website11_4" growShrinkType="overwriteClear" connectionId="335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website10" growShrinkType="overwriteClear" connectionId="176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website12_1" growShrinkType="overwriteClear" connectionId="300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website28_1" growShrinkType="overwriteClear" connectionId="115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website18" growShrinkType="overwriteClear" connectionId="394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website2" growShrinkType="overwriteClear" connectionId="83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website11" growShrinkType="overwriteClear" connectionId="434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website21" growShrinkType="overwriteClear" connectionId="207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website14" growShrinkType="overwriteClear" connectionId="464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website13" growShrinkType="overwriteClear" connectionId="247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website11_1" growShrinkType="overwriteClear" connectionId="21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website26" growShrinkType="overwriteClear" connectionId="239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website28" growShrinkType="overwriteClear" connectionId="335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website12" growShrinkType="overwriteClear" connectionId="145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website28_2" growShrinkType="overwriteClear" connectionId="270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website6" growShrinkType="overwriteClear" connectionId="331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website6_2" growShrinkType="overwriteClear" connectionId="335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website11_3" growShrinkType="overwriteClear" connectionId="363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website11_2" growShrinkType="overwriteClear" connectionId="52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website6_1" growShrinkType="overwriteClear" connectionId="335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website28_3" growShrinkType="overwriteClear" connectionId="335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website11_6" growShrinkType="overwriteClear" connectionId="422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website2_1" growShrinkType="overwriteClear" connectionId="422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website28_4" growShrinkType="overwriteClear" connectionId="422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website11_5" growShrinkType="overwriteClear" connectionId="422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website11_4" growShrinkType="overwriteClear" connectionId="422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website6_2" growShrinkType="overwriteClear" connectionId="422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website12" growShrinkType="overwriteClear" connectionId="146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website18" growShrinkType="overwriteClear" connectionId="395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website6_1" growShrinkType="overwriteClear" connectionId="422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website10" growShrinkType="overwriteClear" connectionId="177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website11_2" growShrinkType="overwriteClear" connectionId="53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website13" growShrinkType="overwriteClear" connectionId="258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website11" growShrinkType="overwriteClear" connectionId="435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website21" growShrinkType="overwriteClear" connectionId="208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website28_1" growShrinkType="overwriteClear" connectionId="116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website2" growShrinkType="overwriteClear" connectionId="84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website11_1" growShrinkType="overwriteClear" connectionId="22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website14" growShrinkType="overwriteClear" connectionId="465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website28_3" growShrinkType="overwriteClear" connectionId="422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website28" growShrinkType="overwriteClear" connectionId="422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website26" growShrinkType="overwriteClear" connectionId="240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website6" growShrinkType="overwriteClear" connectionId="332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website12_1" growShrinkType="overwriteClear" connectionId="301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website11_3" growShrinkType="overwriteClear" connectionId="364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website28_2" growShrinkType="overwriteClear" connectionId="271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website11_6" growShrinkType="overwriteClear" connectionId="433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website2_1" growShrinkType="overwriteClear" connectionId="433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website28_4" growShrinkType="overwriteClear" connectionId="433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website11_5" growShrinkType="overwriteClear" connectionId="433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website11_4" growShrinkType="overwriteClear" connectionId="433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website28_1" growShrinkType="overwriteClear" connectionId="117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website10" growShrinkType="overwriteClear" connectionId="178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website28" growShrinkType="overwriteClear" connectionId="433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website12" growShrinkType="overwriteClear" connectionId="148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website12_1" growShrinkType="overwriteClear" connectionId="303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website13" growShrinkType="overwriteClear" connectionId="269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website14" growShrinkType="overwriteClear" connectionId="467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website28_3" growShrinkType="overwriteClear" connectionId="433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website18" growShrinkType="overwriteClear" connectionId="396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website6_2" growShrinkType="overwriteClear" connectionId="433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website2" growShrinkType="overwriteClear" connectionId="85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website21" growShrinkType="overwriteClear" connectionId="209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website6_1" growShrinkType="overwriteClear" connectionId="433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website11_1" growShrinkType="overwriteClear" connectionId="23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website11_2" growShrinkType="overwriteClear" connectionId="54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website28_2" growShrinkType="overwriteClear" connectionId="272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website6" growShrinkType="overwriteClear" connectionId="333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website11" growShrinkType="overwriteClear" connectionId="436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website26" growShrinkType="overwriteClear" connectionId="241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website11_3" growShrinkType="overwriteClear" connectionId="365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website11_6" growShrinkType="overwriteClear" connectionId="444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website2_1" growShrinkType="overwriteClear" connectionId="444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website28_4" growShrinkType="overwriteClear" connectionId="444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website11_5" growShrinkType="overwriteClear" connectionId="444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website11_4" growShrinkType="overwriteClear" connectionId="444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website10" growShrinkType="overwriteClear" connectionId="179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website13" growShrinkType="overwriteClear" connectionId="280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website2" growShrinkType="overwriteClear" connectionId="86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website28_1" growShrinkType="overwriteClear" connectionId="118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website28" growShrinkType="overwriteClear" connectionId="444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website11_3" growShrinkType="overwriteClear" connectionId="366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website12_1" growShrinkType="overwriteClear" connectionId="304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website11" growShrinkType="overwriteClear" connectionId="437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website12" growShrinkType="overwriteClear" connectionId="149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website26" growShrinkType="overwriteClear" connectionId="242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website21" growShrinkType="overwriteClear" connectionId="210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website6" growShrinkType="overwriteClear" connectionId="334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website28_2" growShrinkType="overwriteClear" connectionId="273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website14" growShrinkType="overwriteClear" connectionId="468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website6_2" growShrinkType="overwriteClear" connectionId="444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website11_1" growShrinkType="overwriteClear" connectionId="24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website28_3" growShrinkType="overwriteClear" connectionId="444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website6_1" growShrinkType="overwriteClear" connectionId="444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website11_2" growShrinkType="overwriteClear" connectionId="55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website18" growShrinkType="overwriteClear" connectionId="397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website12_6" growShrinkType="overwriteClear" connectionId="455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website3_1" growShrinkType="overwriteClear" connectionId="455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website29_4" growShrinkType="overwriteClear" connectionId="455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website12_5" growShrinkType="overwriteClear" connectionId="455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website12_4" growShrinkType="overwriteClear" connectionId="455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website29_1" growShrinkType="overwriteClear" connectionId="119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website3" growShrinkType="overwriteClear" connectionId="87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website7_1" growShrinkType="overwriteClear" connectionId="455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website22" growShrinkType="overwriteClear" connectionId="211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website13" growShrinkType="overwriteClear" connectionId="150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website12_1" growShrinkType="overwriteClear" connectionId="26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website29_3" growShrinkType="overwriteClear" connectionId="455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website27" growShrinkType="overwriteClear" connectionId="243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website12_3" growShrinkType="overwriteClear" connectionId="367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website29" growShrinkType="overwriteClear" connectionId="455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website12" growShrinkType="overwriteClear" connectionId="438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website19" growShrinkType="overwriteClear" connectionId="398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website14" growShrinkType="overwriteClear" connectionId="291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website12_2" growShrinkType="overwriteClear" connectionId="56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website15" growShrinkType="overwriteClear" connectionId="469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website29_2" growShrinkType="overwriteClear" connectionId="274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website7" growShrinkType="overwriteClear" connectionId="337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website13_1" growShrinkType="overwriteClear" connectionId="305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website11" growShrinkType="overwriteClear" connectionId="181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website7_2" growShrinkType="overwriteClear" connectionId="455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website12_6" growShrinkType="overwriteClear" connectionId="466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website3_1" growShrinkType="overwriteClear" connectionId="466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website29_4" growShrinkType="overwriteClear" connectionId="466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website12_5" growShrinkType="overwriteClear" connectionId="466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website12_4" growShrinkType="overwriteClear" connectionId="466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website12_3" growShrinkType="overwriteClear" connectionId="368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website22" growShrinkType="overwriteClear" connectionId="212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website13_1" growShrinkType="overwriteClear" connectionId="306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website12" growShrinkType="overwriteClear" connectionId="439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website7_2" growShrinkType="overwriteClear" connectionId="466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website15" growShrinkType="overwriteClear" connectionId="470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website27" growShrinkType="overwriteClear" connectionId="244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website7_1" growShrinkType="overwriteClear" connectionId="466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website19" growShrinkType="overwriteClear" connectionId="399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website29" growShrinkType="overwriteClear" connectionId="466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website7" growShrinkType="overwriteClear" connectionId="338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website29_1" growShrinkType="overwriteClear" connectionId="120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website12_1" growShrinkType="overwriteClear" connectionId="27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website14" growShrinkType="overwriteClear" connectionId="302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website29_3" growShrinkType="overwriteClear" connectionId="466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website13" growShrinkType="overwriteClear" connectionId="151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website12_2" growShrinkType="overwriteClear" connectionId="57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website29_2" growShrinkType="overwriteClear" connectionId="275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website3" growShrinkType="overwriteClear" connectionId="88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website11" growShrinkType="overwriteClear" connectionId="182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website12_6" growShrinkType="overwriteClear" connectionId="3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website3_1" growShrinkType="overwriteClear" connectionId="3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website29_4" growShrinkType="overwriteClear" connectionId="3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website12_5" growShrinkType="overwriteClear" connectionId="3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website12_4" growShrinkType="overwriteClear" connectionId="3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website13_1" growShrinkType="overwriteClear" connectionId="307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website29_2" growShrinkType="overwriteClear" connectionId="276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website12_1" growShrinkType="overwriteClear" connectionId="28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website3" growShrinkType="overwriteClear" connectionId="89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website12_3" growShrinkType="overwriteClear" connectionId="370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website22" growShrinkType="overwriteClear" connectionId="214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website14" growShrinkType="overwriteClear" connectionId="313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website27" growShrinkType="overwriteClear" connectionId="245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website13" growShrinkType="overwriteClear" connectionId="152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website29_3" growShrinkType="overwriteClear" connectionId="3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website11" growShrinkType="overwriteClear" connectionId="183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website7" growShrinkType="overwriteClear" connectionId="339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website15" growShrinkType="overwriteClear" connectionId="471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website7_2" growShrinkType="overwriteClear" connectionId="3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website12_2" growShrinkType="overwriteClear" connectionId="59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website12" growShrinkType="overwriteClear" connectionId="440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website7_1" growShrinkType="overwriteClear" connectionId="3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website29_1" growShrinkType="overwriteClear" connectionId="121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website29" growShrinkType="overwriteClear" connectionId="3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website19" growShrinkType="overwriteClear" connectionId="400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website12_6" growShrinkType="overwriteClear" connectionId="14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website3_1" growShrinkType="overwriteClear" connectionId="14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website29_4" growShrinkType="overwriteClear" connectionId="14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website12_5" growShrinkType="overwriteClear" connectionId="14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website12_4" growShrinkType="overwriteClear" connectionId="14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website12" growShrinkType="overwriteClear" connectionId="441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website7_1" firstBackgroundRefresh="1" growShrinkType="overwriteClear" connectionId="14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website15" growShrinkType="overwriteClear" connectionId="472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website12_1" growShrinkType="overwriteClear" connectionId="29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website29" growShrinkType="overwriteClear" connectionId="14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website7" growShrinkType="overwriteClear" connectionId="340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website13" growShrinkType="overwriteClear" connectionId="153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website29_2" growShrinkType="overwriteClear" connectionId="277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website22" growShrinkType="overwriteClear" connectionId="215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website3" growShrinkType="overwriteClear" connectionId="90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website12_2" growShrinkType="overwriteClear" connectionId="60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website19" growShrinkType="overwriteClear" connectionId="401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website27" growShrinkType="overwriteClear" connectionId="246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website14" growShrinkType="overwriteClear" connectionId="324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website13_1" growShrinkType="overwriteClear" connectionId="308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website11" growShrinkType="overwriteClear" connectionId="184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website12_3" growShrinkType="overwriteClear" connectionId="371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website29_1" growShrinkType="overwriteClear" connectionId="122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website7_2" growShrinkType="overwriteClear" connectionId="14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website29_3" growShrinkType="overwriteClear" connectionId="14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website13_6" growShrinkType="overwriteClear" connectionId="25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website4_1" growShrinkType="overwriteClear" connectionId="25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website30_4" growShrinkType="overwriteClear" connectionId="25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website13_5" growShrinkType="overwriteClear" connectionId="25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website13_4" growShrinkType="overwriteClear" connectionId="25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website13" growShrinkType="overwriteClear" connectionId="442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website4" growShrinkType="overwriteClear" connectionId="92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website15" growShrinkType="overwriteClear" connectionId="336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website8_2" growShrinkType="overwriteClear" connectionId="25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website30_2" growShrinkType="overwriteClear" connectionId="278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website14" growShrinkType="overwriteClear" connectionId="154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website8_1" growShrinkType="overwriteClear" connectionId="25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website14_1" growShrinkType="overwriteClear" connectionId="309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website20" growShrinkType="overwriteClear" connectionId="403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website30_3" growShrinkType="overwriteClear" connectionId="25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website13_3" growShrinkType="overwriteClear" connectionId="372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website16" growShrinkType="overwriteClear" connectionId="473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website28" growShrinkType="overwriteClear" connectionId="248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website30_1" growShrinkType="overwriteClear" connectionId="123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website13_1" growShrinkType="overwriteClear" connectionId="30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website8" growShrinkType="overwriteClear" connectionId="341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website23" growShrinkType="overwriteClear" connectionId="216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website12" growShrinkType="overwriteClear" connectionId="185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website13_2" growShrinkType="overwriteClear" connectionId="61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website30" growShrinkType="overwriteClear" connectionId="25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website13_6" growShrinkType="overwriteClear" connectionId="36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website4_1" growShrinkType="overwriteClear" connectionId="36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website30_4" growShrinkType="overwriteClear" connectionId="36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website13_5" growShrinkType="overwriteClear" connectionId="36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website13_4" growShrinkType="overwriteClear" connectionId="36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website16" growShrinkType="overwriteClear" connectionId="474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website13_2" growShrinkType="overwriteClear" connectionId="62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website4" growShrinkType="overwriteClear" connectionId="93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website30_3" growShrinkType="overwriteClear" connectionId="36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website30_2" growShrinkType="overwriteClear" connectionId="279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website20" growShrinkType="overwriteClear" connectionId="404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website30" growShrinkType="overwriteClear" connectionId="36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website14_1" growShrinkType="overwriteClear" connectionId="310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website30_1" growShrinkType="overwriteClear" connectionId="124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website12" growShrinkType="overwriteClear" connectionId="186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website23" growShrinkType="overwriteClear" connectionId="217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website28" growShrinkType="overwriteClear" connectionId="249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website8_2" growShrinkType="overwriteClear" connectionId="36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website13_3" growShrinkType="overwriteClear" connectionId="373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website14" growShrinkType="overwriteClear" connectionId="155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website8_1" growShrinkType="overwriteClear" connectionId="36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website13_1" growShrinkType="overwriteClear" connectionId="31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website13" growShrinkType="overwriteClear" connectionId="443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website8" growShrinkType="overwriteClear" connectionId="342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website15" growShrinkType="overwriteClear" connectionId="347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website13_6" growShrinkType="overwriteClear" connectionId="47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website4_1" growShrinkType="overwriteClear" connectionId="47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website30_4" growShrinkType="overwriteClear" connectionId="47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website13_5" growShrinkType="overwriteClear" connectionId="47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website13_4" growShrinkType="overwriteClear" connectionId="47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website8_1" growShrinkType="overwriteClear" connectionId="47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website13" growShrinkType="overwriteClear" connectionId="445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website30" growShrinkType="overwriteClear" connectionId="47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website13_3" growShrinkType="overwriteClear" connectionId="374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website30_1" growShrinkType="overwriteClear" connectionId="126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website14_1" growShrinkType="overwriteClear" connectionId="311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website30_2" growShrinkType="overwriteClear" connectionId="281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website20" growShrinkType="overwriteClear" connectionId="405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website16" growShrinkType="overwriteClear" connectionId="475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website28" growShrinkType="overwriteClear" connectionId="250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website15" growShrinkType="overwriteClear" connectionId="358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website30_3" growShrinkType="overwriteClear" connectionId="47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website4" growShrinkType="overwriteClear" connectionId="94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website12" growShrinkType="overwriteClear" connectionId="187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website8" growShrinkType="overwriteClear" connectionId="343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website13_1" growShrinkType="overwriteClear" connectionId="32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website23" growShrinkType="overwriteClear" connectionId="218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website8_2" growShrinkType="overwriteClear" connectionId="47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website13_2" growShrinkType="overwriteClear" connectionId="63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website14" growShrinkType="overwriteClear" connectionId="156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website13_6" growShrinkType="overwriteClear" connectionId="58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website4_1" growShrinkType="overwriteClear" connectionId="58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website30_4" growShrinkType="overwriteClear" connectionId="58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website13_5" growShrinkType="overwriteClear" connectionId="58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website13_4" growShrinkType="overwriteClear" connectionId="58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website13_1" growShrinkType="overwriteClear" connectionId="33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website30_3" growShrinkType="overwriteClear" connectionId="58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website8_2" growShrinkType="overwriteClear" connectionId="58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website16" growShrinkType="overwriteClear" connectionId="476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website12" growShrinkType="overwriteClear" connectionId="188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website8_1" growShrinkType="overwriteClear" connectionId="58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website4" growShrinkType="overwriteClear" connectionId="95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website30_2" growShrinkType="overwriteClear" connectionId="282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website8" growShrinkType="overwriteClear" connectionId="344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name="website14" growShrinkType="overwriteClear" connectionId="157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website23" growShrinkType="overwriteClear" connectionId="219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website15" growShrinkType="overwriteClear" connectionId="369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website13" growShrinkType="overwriteClear" connectionId="446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website13_2" growShrinkType="overwriteClear" connectionId="64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website28" growShrinkType="overwriteClear" connectionId="251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website13_3" growShrinkType="overwriteClear" connectionId="375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website14_1" growShrinkType="overwriteClear" connectionId="312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name="website30" growShrinkType="overwriteClear" connectionId="58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name="website30_1" growShrinkType="overwriteClear" connectionId="127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name="website20" growShrinkType="overwriteClear" connectionId="406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website14_6" growShrinkType="overwriteClear" connectionId="69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website5_1" growShrinkType="overwriteClear" connectionId="69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name="website1_4" growShrinkType="overwriteClear" connectionId="69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name="website14_5" growShrinkType="overwriteClear" connectionId="69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website14_4" growShrinkType="overwriteClear" connectionId="69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name="website1_3" growShrinkType="overwriteClear" connectionId="69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name="website14" growShrinkType="overwriteClear" connectionId="447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website14_3" growShrinkType="overwriteClear" connectionId="376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name="website15_1" growShrinkType="overwriteClear" connectionId="314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website1" growShrinkType="overwriteClear" connectionId="69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name="website13" growShrinkType="overwriteClear" connectionId="189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name="website17" growShrinkType="overwriteClear" connectionId="4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name="website1_2" growShrinkType="overwriteClear" connectionId="283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name="website14_2" growShrinkType="overwriteClear" connectionId="65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name="website29" growShrinkType="overwriteClear" connectionId="252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name="website16" growShrinkType="overwriteClear" connectionId="380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name="website9_2" growShrinkType="overwriteClear" connectionId="69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name="website5" growShrinkType="overwriteClear" connectionId="96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name="website15" growShrinkType="overwriteClear" connectionId="159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website9_1" growShrinkType="overwriteClear" connectionId="69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name="website21" growShrinkType="overwriteClear" connectionId="407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name="website1_1" growShrinkType="overwriteClear" connectionId="128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website9" growShrinkType="overwriteClear" connectionId="345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name="website24" growShrinkType="overwriteClear" connectionId="220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name="website14_1" growShrinkType="overwriteClear" connectionId="34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name="website14_6" growShrinkType="overwriteClear" connectionId="80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name="website5_1" growShrinkType="overwriteClear" connectionId="80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name="website1_4" growShrinkType="overwriteClear" connectionId="80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name="website14_5" growShrinkType="overwriteClear" connectionId="80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name="website14_4" growShrinkType="overwriteClear" connectionId="80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name="website9" growShrinkType="overwriteClear" connectionId="346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name="website17" growShrinkType="overwriteClear" connectionId="5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name="website13" growShrinkType="overwriteClear" connectionId="190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name="website21" growShrinkType="overwriteClear" connectionId="408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name="website1_3" growShrinkType="overwriteClear" connectionId="80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name="website24" growShrinkType="overwriteClear" connectionId="221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name="website29" growShrinkType="overwriteClear" connectionId="253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name="website14_2" growShrinkType="overwriteClear" connectionId="66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name="website1_2" growShrinkType="overwriteClear" connectionId="284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name="website15" growShrinkType="overwriteClear" connectionId="160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name="website15_1" growShrinkType="overwriteClear" connectionId="315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name="website5" growShrinkType="overwriteClear" connectionId="97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name="website14" growShrinkType="overwriteClear" connectionId="448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name="website14_1" growShrinkType="overwriteClear" connectionId="35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name="website1" growShrinkType="overwriteClear" connectionId="80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name="website14_3" growShrinkType="overwriteClear" connectionId="377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name="website9_2" growShrinkType="overwriteClear" connectionId="80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name="website1_1" growShrinkType="overwriteClear" connectionId="129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name="website16" growShrinkType="overwriteClear" connectionId="391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name="website9_1" growShrinkType="overwriteClear" connectionId="80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name="website14_6" growShrinkType="overwriteClear" connectionId="91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name="website5_1" growShrinkType="overwriteClear" connectionId="91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name="website1_4" growShrinkType="overwriteClear" connectionId="91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name="website14_5" growShrinkType="overwriteClear" connectionId="91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name="website14_4" growShrinkType="overwriteClear" connectionId="91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name="website5" growShrinkType="overwriteClear" connectionId="98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name="website9_2" growShrinkType="overwriteClear" connectionId="91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name="website21" growShrinkType="overwriteClear" connectionId="409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name="website1_2" growShrinkType="overwriteClear" connectionId="285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name="website9_1" growShrinkType="overwriteClear" connectionId="91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name="website14_3" growShrinkType="overwriteClear" connectionId="378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name="website16" growShrinkType="overwriteClear" connectionId="402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name="website14" growShrinkType="overwriteClear" connectionId="449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name="website24" growShrinkType="overwriteClear" connectionId="222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name="website15" growShrinkType="overwriteClear" connectionId="161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name="website9" growShrinkType="overwriteClear" connectionId="348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name="website1_1" growShrinkType="overwriteClear" connectionId="130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name="website1" growShrinkType="overwriteClear" connectionId="91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name="website13" growShrinkType="overwriteClear" connectionId="192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name="website14_2" growShrinkType="overwriteClear" connectionId="67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name="website17" growShrinkType="overwriteClear" connectionId="6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name="website29" growShrinkType="overwriteClear" connectionId="254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name="website14_1" growShrinkType="overwriteClear" connectionId="37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name="website1_3" firstBackgroundRefresh="1" growShrinkType="overwriteClear" connectionId="91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name="website15_1" growShrinkType="overwriteClear" connectionId="316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name="website14_6" growShrinkType="overwriteClear" connectionId="102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name="website5_1" growShrinkType="overwriteClear" connectionId="102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name="website1_4" growShrinkType="overwriteClear" connectionId="102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name="website14_5" growShrinkType="overwriteClear" connectionId="102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name="website14_4" growShrinkType="overwriteClear" connectionId="102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name="website1" growShrinkType="overwriteClear" connectionId="102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name="website1_2" growShrinkType="overwriteClear" connectionId="286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name="website14" growShrinkType="overwriteClear" connectionId="450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name="website5" growShrinkType="overwriteClear" connectionId="99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name="website9" growShrinkType="overwriteClear" connectionId="349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name="website21" growShrinkType="overwriteClear" connectionId="410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name="website16" growShrinkType="overwriteClear" connectionId="413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name="website14_3" growShrinkType="overwriteClear" connectionId="379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name="website1_1" growShrinkType="overwriteClear" connectionId="131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name="website14_2" growShrinkType="overwriteClear" connectionId="68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name="website9_2" growShrinkType="overwriteClear" connectionId="102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name="website14_1" growShrinkType="overwriteClear" connectionId="38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name="website15_1" growShrinkType="overwriteClear" connectionId="317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name="website9_1" firstBackgroundRefresh="1" growShrinkType="overwriteClear" connectionId="102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name="website15" growShrinkType="overwriteClear" connectionId="162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name="website1_3" growShrinkType="overwriteClear" connectionId="102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name="website17" growShrinkType="overwriteClear" connectionId="7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name="website24" growShrinkType="overwriteClear" connectionId="223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name="website13" growShrinkType="overwriteClear" connectionId="193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name="website29" growShrinkType="overwriteClear" connectionId="255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name="website15_6" growShrinkType="overwriteClear" connectionId="114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name="website6_1" growShrinkType="overwriteClear" connectionId="114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name="website2_4" growShrinkType="overwriteClear" connectionId="114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name="website15_5" growShrinkType="overwriteClear" connectionId="114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name="website15_4" growShrinkType="overwriteClear" connectionId="114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name="website16" growShrinkType="overwriteClear" connectionId="163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name="website16_1" growShrinkType="overwriteClear" connectionId="318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name="website30" growShrinkType="overwriteClear" connectionId="256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name="website22" growShrinkType="overwriteClear" connectionId="411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name="website2_1" growShrinkType="overwriteClear" connectionId="132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name="website14" growShrinkType="overwriteClear" connectionId="194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name="website15_1" growShrinkType="overwriteClear" connectionId="39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name="website2_2" growShrinkType="overwriteClear" connectionId="287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name="website15" growShrinkType="overwriteClear" connectionId="451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name="website18" growShrinkType="overwriteClear" connectionId="8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name="website2" growShrinkType="overwriteClear" connectionId="114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name="website6" growShrinkType="overwriteClear" connectionId="100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name="website15_2" growShrinkType="overwriteClear" connectionId="70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name="website25" growShrinkType="overwriteClear" connectionId="226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name="website10" growShrinkType="overwriteClear" connectionId="350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name="website10_2" growShrinkType="overwriteClear" connectionId="114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name="website15_3" growShrinkType="overwriteClear" connectionId="381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name="website17" growShrinkType="overwriteClear" connectionId="420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name="website10_1" firstBackgroundRefresh="1" growShrinkType="overwriteClear" connectionId="114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name="website2_3" growShrinkType="overwriteClear" connectionId="114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name="website15_6" growShrinkType="overwriteClear" connectionId="125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name="website6_1" growShrinkType="overwriteClear" connectionId="125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name="website2_4" growShrinkType="overwriteClear" connectionId="125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name="website15_5" growShrinkType="overwriteClear" connectionId="125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name="website15_4" growShrinkType="overwriteClear" connectionId="125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name="website10_2" growShrinkType="overwriteClear" connectionId="125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name="website15_2" growShrinkType="overwriteClear" connectionId="71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name="website22" growShrinkType="overwriteClear" connectionId="412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name="website10_1" growShrinkType="overwriteClear" connectionId="125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name="website16" growShrinkType="overwriteClear" connectionId="164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name="website15" growShrinkType="overwriteClear" connectionId="452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name="website2_1" growShrinkType="overwriteClear" connectionId="133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name="website14" growShrinkType="overwriteClear" connectionId="195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name="website30" growShrinkType="overwriteClear" connectionId="257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name="website18" growShrinkType="overwriteClear" connectionId="9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name="website15_1" growShrinkType="overwriteClear" connectionId="40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name="website2" growShrinkType="overwriteClear" connectionId="125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name="website2_2" growShrinkType="overwriteClear" connectionId="288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name="website2_3" growShrinkType="overwriteClear" connectionId="125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name="website25" growShrinkType="overwriteClear" connectionId="227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name="website6" growShrinkType="overwriteClear" connectionId="101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name="website10" growShrinkType="overwriteClear" connectionId="351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name="website16_1" growShrinkType="overwriteClear" connectionId="319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name="website15_3" growShrinkType="overwriteClear" connectionId="382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name="website17" growShrinkType="overwriteClear" connectionId="421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name="website15_6" growShrinkType="overwriteClear" connectionId="136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name="website6_1" growShrinkType="overwriteClear" connectionId="136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name="website2_4" growShrinkType="overwriteClear" connectionId="136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name="website15_5" growShrinkType="overwriteClear" connectionId="136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name="website15_4" growShrinkType="overwriteClear" connectionId="136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name="website2" growShrinkType="overwriteClear" connectionId="136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name="website30" growShrinkType="overwriteClear" connectionId="259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name="website15" growShrinkType="overwriteClear" connectionId="453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name="website18" growShrinkType="overwriteClear" connectionId="10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name="website16_1" growShrinkType="overwriteClear" connectionId="320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name="website25" growShrinkType="overwriteClear" connectionId="228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name="website2_1" growShrinkType="overwriteClear" connectionId="134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name="website2_3" growShrinkType="overwriteClear" connectionId="136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name="website22" growShrinkType="overwriteClear" connectionId="414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name="website10_2" growShrinkType="overwriteClear" connectionId="136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name="website15_1" growShrinkType="overwriteClear" connectionId="41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name="website6" growShrinkType="overwriteClear" connectionId="103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name="website10_1" firstBackgroundRefresh="1" growShrinkType="overwriteClear" connectionId="136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name="website17" growShrinkType="overwriteClear" connectionId="423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name="website14" growShrinkType="overwriteClear" connectionId="196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name="website15_2" growShrinkType="overwriteClear" connectionId="72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name="website10" growShrinkType="overwriteClear" connectionId="352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name="website16" growShrinkType="overwriteClear" connectionId="165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name="website2_2" growShrinkType="overwriteClear" connectionId="289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name="website15_3" growShrinkType="overwriteClear" connectionId="383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name="website15_6" growShrinkType="overwriteClear" connectionId="147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name="website6_1" growShrinkType="overwriteClear" connectionId="147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name="website2_4" growShrinkType="overwriteClear" connectionId="147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name="website15_5" growShrinkType="overwriteClear" connectionId="147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name="website15_4" growShrinkType="overwriteClear" connectionId="147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name="website30" growShrinkType="overwriteClear" connectionId="260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name="website18" growShrinkType="overwriteClear" connectionId="11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name="website16" growShrinkType="overwriteClear" connectionId="166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name="website17" growShrinkType="overwriteClear" connectionId="424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name="website2_1" growShrinkType="overwriteClear" connectionId="135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name="website15_3" growShrinkType="overwriteClear" connectionId="384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name="website16_1" growShrinkType="overwriteClear" connectionId="321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name="website6" growShrinkType="overwriteClear" connectionId="104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name="website2_2" growShrinkType="overwriteClear" connectionId="290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name="website15_2" growShrinkType="overwriteClear" connectionId="73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name="website14" growShrinkType="overwriteClear" connectionId="197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name="website10" growShrinkType="overwriteClear" connectionId="353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name="website15" growShrinkType="overwriteClear" connectionId="454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name="website2" growShrinkType="overwriteClear" connectionId="147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name="website10_2" growShrinkType="overwriteClear" connectionId="147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name="website25" growShrinkType="overwriteClear" connectionId="229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name="website2_3" growShrinkType="overwriteClear" connectionId="147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name="website10_1" firstBackgroundRefresh="1" growShrinkType="overwriteClear" connectionId="147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name="website15_1" growShrinkType="overwriteClear" connectionId="42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name="website22" growShrinkType="overwriteClear" connectionId="415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name="website16_6" growShrinkType="overwriteClear" connectionId="158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name="website7_1" growShrinkType="overwriteClear" connectionId="158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name="website3_4" growShrinkType="overwriteClear" connectionId="158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name="website16_5" growShrinkType="overwriteClear" connectionId="158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name="website16_4" growShrinkType="overwriteClear" connectionId="158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name="website3" growShrinkType="overwriteClear" connectionId="158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name="website17" growShrinkType="overwriteClear" connectionId="167" autoFormatId="16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name="website11_1" firstBackgroundRefresh="1" growShrinkType="overwriteClear" connectionId="158" autoFormatId="16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name="website15" growShrinkType="overwriteClear" connectionId="198" autoFormatId="16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name="website19" growShrinkType="overwriteClear" connectionId="12" autoFormatId="16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name="website3_2" growShrinkType="overwriteClear" connectionId="292" autoFormatId="16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name="website3_3" growShrinkType="overwriteClear" connectionId="158" autoFormatId="16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name="website16_2" firstBackgroundRefresh="1" growShrinkType="overwriteClear" connectionId="74" autoFormatId="16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name="website16_3" growShrinkType="overwriteClear" connectionId="385" autoFormatId="16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name="website7" growShrinkType="overwriteClear" connectionId="105" autoFormatId="16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name="website18" growShrinkType="overwriteClear" connectionId="425" autoFormatId="16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name="website23" growShrinkType="overwriteClear" connectionId="416" autoFormatId="16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name="website16_1" growShrinkType="overwriteClear" connectionId="43" autoFormatId="16" applyNumberFormats="0" applyBorderFormats="0" applyFontFormats="1" applyPatternFormats="1" applyAlignmentFormats="0" applyWidthHeightFormats="0"/>
</file>

<file path=xl/queryTables/queryTable620.xml><?xml version="1.0" encoding="utf-8"?>
<queryTable xmlns="http://schemas.openxmlformats.org/spreadsheetml/2006/main" name="website26" growShrinkType="overwriteClear" connectionId="230" autoFormatId="16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name="website3_1" growShrinkType="overwriteClear" connectionId="137" autoFormatId="16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name="website16" growShrinkType="overwriteClear" connectionId="456" autoFormatId="16" applyNumberFormats="0" applyBorderFormats="0" applyFontFormats="1" applyPatternFormats="1" applyAlignmentFormats="0" applyWidthHeightFormats="0"/>
</file>

<file path=xl/queryTables/queryTable623.xml><?xml version="1.0" encoding="utf-8"?>
<queryTable xmlns="http://schemas.openxmlformats.org/spreadsheetml/2006/main" name="website11" growShrinkType="overwriteClear" connectionId="354" autoFormatId="16" applyNumberFormats="0" applyBorderFormats="0" applyFontFormats="1" applyPatternFormats="1" applyAlignmentFormats="0" applyWidthHeightFormats="0"/>
</file>

<file path=xl/queryTables/queryTable624.xml><?xml version="1.0" encoding="utf-8"?>
<queryTable xmlns="http://schemas.openxmlformats.org/spreadsheetml/2006/main" name="website17_1" growShrinkType="overwriteClear" connectionId="322" autoFormatId="16" applyNumberFormats="0" applyBorderFormats="0" applyFontFormats="1" applyPatternFormats="1" applyAlignmentFormats="0" applyWidthHeightFormats="0"/>
</file>

<file path=xl/queryTables/queryTable625.xml><?xml version="1.0" encoding="utf-8"?>
<queryTable xmlns="http://schemas.openxmlformats.org/spreadsheetml/2006/main" name="website31" growShrinkType="overwriteClear" connectionId="261" autoFormatId="16" applyNumberFormats="0" applyBorderFormats="0" applyFontFormats="1" applyPatternFormats="1" applyAlignmentFormats="0" applyWidthHeightFormats="0"/>
</file>

<file path=xl/queryTables/queryTable626.xml><?xml version="1.0" encoding="utf-8"?>
<queryTable xmlns="http://schemas.openxmlformats.org/spreadsheetml/2006/main" name="website11_2" growShrinkType="overwriteClear" connectionId="158" autoFormatId="16" applyNumberFormats="0" applyBorderFormats="0" applyFontFormats="1" applyPatternFormats="1" applyAlignmentFormats="0" applyWidthHeightFormats="0"/>
</file>

<file path=xl/queryTables/queryTable627.xml><?xml version="1.0" encoding="utf-8"?>
<queryTable xmlns="http://schemas.openxmlformats.org/spreadsheetml/2006/main" name="website16_6" growShrinkType="overwriteClear" connectionId="169" autoFormatId="16" applyNumberFormats="0" applyBorderFormats="0" applyFontFormats="1" applyPatternFormats="1" applyAlignmentFormats="0" applyWidthHeightFormats="0"/>
</file>

<file path=xl/queryTables/queryTable628.xml><?xml version="1.0" encoding="utf-8"?>
<queryTable xmlns="http://schemas.openxmlformats.org/spreadsheetml/2006/main" name="website7_1" growShrinkType="overwriteClear" connectionId="169" autoFormatId="16" applyNumberFormats="0" applyBorderFormats="0" applyFontFormats="1" applyPatternFormats="1" applyAlignmentFormats="0" applyWidthHeightFormats="0"/>
</file>

<file path=xl/queryTables/queryTable629.xml><?xml version="1.0" encoding="utf-8"?>
<queryTable xmlns="http://schemas.openxmlformats.org/spreadsheetml/2006/main" name="website3_4" growShrinkType="overwriteClear" connectionId="169" autoFormatId="16" applyNumberFormats="0" applyBorderFormats="0" applyFontFormats="1" applyPatternFormats="1" applyAlignmentFormats="0" applyWidthHeightFormats="0"/>
</file>

<file path=xl/queryTables/queryTable630.xml><?xml version="1.0" encoding="utf-8"?>
<queryTable xmlns="http://schemas.openxmlformats.org/spreadsheetml/2006/main" name="website16_5" growShrinkType="overwriteClear" connectionId="169" autoFormatId="16" applyNumberFormats="0" applyBorderFormats="0" applyFontFormats="1" applyPatternFormats="1" applyAlignmentFormats="0" applyWidthHeightFormats="0"/>
</file>

<file path=xl/queryTables/queryTable631.xml><?xml version="1.0" encoding="utf-8"?>
<queryTable xmlns="http://schemas.openxmlformats.org/spreadsheetml/2006/main" name="website16_4" growShrinkType="overwriteClear" connectionId="169" autoFormatId="16" applyNumberFormats="0" applyBorderFormats="0" applyFontFormats="1" applyPatternFormats="1" applyAlignmentFormats="0" applyWidthHeightFormats="0"/>
</file>

<file path=xl/queryTables/queryTable632.xml><?xml version="1.0" encoding="utf-8"?>
<queryTable xmlns="http://schemas.openxmlformats.org/spreadsheetml/2006/main" name="website16_3" growShrinkType="overwriteClear" connectionId="386" autoFormatId="16" applyNumberFormats="0" applyBorderFormats="0" applyFontFormats="1" applyPatternFormats="1" applyAlignmentFormats="0" applyWidthHeightFormats="0"/>
</file>

<file path=xl/queryTables/queryTable633.xml><?xml version="1.0" encoding="utf-8"?>
<queryTable xmlns="http://schemas.openxmlformats.org/spreadsheetml/2006/main" name="website3_1" growShrinkType="overwriteClear" connectionId="138" autoFormatId="16" applyNumberFormats="0" applyBorderFormats="0" applyFontFormats="1" applyPatternFormats="1" applyAlignmentFormats="0" applyWidthHeightFormats="0"/>
</file>

<file path=xl/queryTables/queryTable634.xml><?xml version="1.0" encoding="utf-8"?>
<queryTable xmlns="http://schemas.openxmlformats.org/spreadsheetml/2006/main" name="website17_1" growShrinkType="overwriteClear" connectionId="323" autoFormatId="16" applyNumberFormats="0" applyBorderFormats="0" applyFontFormats="1" applyPatternFormats="1" applyAlignmentFormats="0" applyWidthHeightFormats="0"/>
</file>

<file path=xl/queryTables/queryTable635.xml><?xml version="1.0" encoding="utf-8"?>
<queryTable xmlns="http://schemas.openxmlformats.org/spreadsheetml/2006/main" name="website16_1" growShrinkType="overwriteClear" connectionId="44" autoFormatId="16" applyNumberFormats="0" applyBorderFormats="0" applyFontFormats="1" applyPatternFormats="1" applyAlignmentFormats="0" applyWidthHeightFormats="0"/>
</file>

<file path=xl/queryTables/queryTable636.xml><?xml version="1.0" encoding="utf-8"?>
<queryTable xmlns="http://schemas.openxmlformats.org/spreadsheetml/2006/main" name="website11_2" growShrinkType="overwriteClear" connectionId="169" autoFormatId="16" applyNumberFormats="0" applyBorderFormats="0" applyFontFormats="1" applyPatternFormats="1" applyAlignmentFormats="0" applyWidthHeightFormats="0"/>
</file>

<file path=xl/queryTables/queryTable637.xml><?xml version="1.0" encoding="utf-8"?>
<queryTable xmlns="http://schemas.openxmlformats.org/spreadsheetml/2006/main" name="website15" growShrinkType="overwriteClear" connectionId="199" autoFormatId="16" applyNumberFormats="0" applyBorderFormats="0" applyFontFormats="1" applyPatternFormats="1" applyAlignmentFormats="0" applyWidthHeightFormats="0"/>
</file>

<file path=xl/queryTables/queryTable638.xml><?xml version="1.0" encoding="utf-8"?>
<queryTable xmlns="http://schemas.openxmlformats.org/spreadsheetml/2006/main" name="website26" growShrinkType="overwriteClear" connectionId="231" autoFormatId="16" applyNumberFormats="0" applyBorderFormats="0" applyFontFormats="1" applyPatternFormats="1" applyAlignmentFormats="0" applyWidthHeightFormats="0"/>
</file>

<file path=xl/queryTables/queryTable639.xml><?xml version="1.0" encoding="utf-8"?>
<queryTable xmlns="http://schemas.openxmlformats.org/spreadsheetml/2006/main" name="website11_1" growShrinkType="overwriteClear" connectionId="169" autoFormatId="16" applyNumberFormats="0" applyBorderFormats="0" applyFontFormats="1" applyPatternFormats="1" applyAlignmentFormats="0" applyWidthHeightFormats="0"/>
</file>

<file path=xl/queryTables/queryTable640.xml><?xml version="1.0" encoding="utf-8"?>
<queryTable xmlns="http://schemas.openxmlformats.org/spreadsheetml/2006/main" name="website23" growShrinkType="overwriteClear" connectionId="417" autoFormatId="16" applyNumberFormats="0" applyBorderFormats="0" applyFontFormats="1" applyPatternFormats="1" applyAlignmentFormats="0" applyWidthHeightFormats="0"/>
</file>

<file path=xl/queryTables/queryTable641.xml><?xml version="1.0" encoding="utf-8"?>
<queryTable xmlns="http://schemas.openxmlformats.org/spreadsheetml/2006/main" name="website18" growShrinkType="overwriteClear" connectionId="426" autoFormatId="16" applyNumberFormats="0" applyBorderFormats="0" applyFontFormats="1" applyPatternFormats="1" applyAlignmentFormats="0" applyWidthHeightFormats="0"/>
</file>

<file path=xl/queryTables/queryTable642.xml><?xml version="1.0" encoding="utf-8"?>
<queryTable xmlns="http://schemas.openxmlformats.org/spreadsheetml/2006/main" name="website11" growShrinkType="overwriteClear" connectionId="355" autoFormatId="16" applyNumberFormats="0" applyBorderFormats="0" applyFontFormats="1" applyPatternFormats="1" applyAlignmentFormats="0" applyWidthHeightFormats="0"/>
</file>

<file path=xl/queryTables/queryTable643.xml><?xml version="1.0" encoding="utf-8"?>
<queryTable xmlns="http://schemas.openxmlformats.org/spreadsheetml/2006/main" name="website3_2" growShrinkType="overwriteClear" connectionId="293" autoFormatId="16" applyNumberFormats="0" applyBorderFormats="0" applyFontFormats="1" applyPatternFormats="1" applyAlignmentFormats="0" applyWidthHeightFormats="0"/>
</file>

<file path=xl/queryTables/queryTable644.xml><?xml version="1.0" encoding="utf-8"?>
<queryTable xmlns="http://schemas.openxmlformats.org/spreadsheetml/2006/main" name="website19" growShrinkType="overwriteClear" connectionId="13" autoFormatId="16" applyNumberFormats="0" applyBorderFormats="0" applyFontFormats="1" applyPatternFormats="1" applyAlignmentFormats="0" applyWidthHeightFormats="0"/>
</file>

<file path=xl/queryTables/queryTable645.xml><?xml version="1.0" encoding="utf-8"?>
<queryTable xmlns="http://schemas.openxmlformats.org/spreadsheetml/2006/main" name="website7" growShrinkType="overwriteClear" connectionId="106" autoFormatId="16" applyNumberFormats="0" applyBorderFormats="0" applyFontFormats="1" applyPatternFormats="1" applyAlignmentFormats="0" applyWidthHeightFormats="0"/>
</file>

<file path=xl/queryTables/queryTable646.xml><?xml version="1.0" encoding="utf-8"?>
<queryTable xmlns="http://schemas.openxmlformats.org/spreadsheetml/2006/main" name="website3_3" growShrinkType="overwriteClear" connectionId="169" autoFormatId="16" applyNumberFormats="0" applyBorderFormats="0" applyFontFormats="1" applyPatternFormats="1" applyAlignmentFormats="0" applyWidthHeightFormats="0"/>
</file>

<file path=xl/queryTables/queryTable647.xml><?xml version="1.0" encoding="utf-8"?>
<queryTable xmlns="http://schemas.openxmlformats.org/spreadsheetml/2006/main" name="website3" growShrinkType="overwriteClear" connectionId="169" autoFormatId="16" applyNumberFormats="0" applyBorderFormats="0" applyFontFormats="1" applyPatternFormats="1" applyAlignmentFormats="0" applyWidthHeightFormats="0"/>
</file>

<file path=xl/queryTables/queryTable648.xml><?xml version="1.0" encoding="utf-8"?>
<queryTable xmlns="http://schemas.openxmlformats.org/spreadsheetml/2006/main" name="website16" growShrinkType="overwriteClear" connectionId="457" autoFormatId="16" applyNumberFormats="0" applyBorderFormats="0" applyFontFormats="1" applyPatternFormats="1" applyAlignmentFormats="0" applyWidthHeightFormats="0"/>
</file>

<file path=xl/queryTables/queryTable649.xml><?xml version="1.0" encoding="utf-8"?>
<queryTable xmlns="http://schemas.openxmlformats.org/spreadsheetml/2006/main" name="website31" growShrinkType="overwriteClear" connectionId="262" autoFormatId="16" applyNumberFormats="0" applyBorderFormats="0" applyFontFormats="1" applyPatternFormats="1" applyAlignmentFormats="0" applyWidthHeightFormats="0"/>
</file>

<file path=xl/queryTables/queryTable650.xml><?xml version="1.0" encoding="utf-8"?>
<queryTable xmlns="http://schemas.openxmlformats.org/spreadsheetml/2006/main" name="website17" growShrinkType="overwriteClear" connectionId="168" autoFormatId="16" applyNumberFormats="0" applyBorderFormats="0" applyFontFormats="1" applyPatternFormats="1" applyAlignmentFormats="0" applyWidthHeightFormats="0"/>
</file>

<file path=xl/queryTables/queryTable651.xml><?xml version="1.0" encoding="utf-8"?>
<queryTable xmlns="http://schemas.openxmlformats.org/spreadsheetml/2006/main" name="website16_2" growShrinkType="overwriteClear" connectionId="75" autoFormatId="16" applyNumberFormats="0" applyBorderFormats="0" applyFontFormats="1" applyPatternFormats="1" applyAlignmentFormats="0" applyWidthHeightFormats="0"/>
</file>

<file path=xl/queryTables/queryTable652.xml><?xml version="1.0" encoding="utf-8"?>
<queryTable xmlns="http://schemas.openxmlformats.org/spreadsheetml/2006/main" name="website16_6" growShrinkType="overwriteClear" connectionId="180" autoFormatId="16" applyNumberFormats="0" applyBorderFormats="0" applyFontFormats="1" applyPatternFormats="1" applyAlignmentFormats="0" applyWidthHeightFormats="0"/>
</file>

<file path=xl/queryTables/queryTable653.xml><?xml version="1.0" encoding="utf-8"?>
<queryTable xmlns="http://schemas.openxmlformats.org/spreadsheetml/2006/main" name="website7_1" growShrinkType="overwriteClear" connectionId="180" autoFormatId="16" applyNumberFormats="0" applyBorderFormats="0" applyFontFormats="1" applyPatternFormats="1" applyAlignmentFormats="0" applyWidthHeightFormats="0"/>
</file>

<file path=xl/queryTables/queryTable654.xml><?xml version="1.0" encoding="utf-8"?>
<queryTable xmlns="http://schemas.openxmlformats.org/spreadsheetml/2006/main" name="website3_4" growShrinkType="overwriteClear" connectionId="180" autoFormatId="16" applyNumberFormats="0" applyBorderFormats="0" applyFontFormats="1" applyPatternFormats="1" applyAlignmentFormats="0" applyWidthHeightFormats="0"/>
</file>

<file path=xl/queryTables/queryTable655.xml><?xml version="1.0" encoding="utf-8"?>
<queryTable xmlns="http://schemas.openxmlformats.org/spreadsheetml/2006/main" name="website16_5" growShrinkType="overwriteClear" connectionId="180" autoFormatId="16" applyNumberFormats="0" applyBorderFormats="0" applyFontFormats="1" applyPatternFormats="1" applyAlignmentFormats="0" applyWidthHeightFormats="0"/>
</file>

<file path=xl/queryTables/queryTable656.xml><?xml version="1.0" encoding="utf-8"?>
<queryTable xmlns="http://schemas.openxmlformats.org/spreadsheetml/2006/main" name="website16_4" growShrinkType="overwriteClear" connectionId="180" autoFormatId="16" applyNumberFormats="0" applyBorderFormats="0" applyFontFormats="1" applyPatternFormats="1" applyAlignmentFormats="0" applyWidthHeightFormats="0"/>
</file>

<file path=xl/queryTables/queryTable657.xml><?xml version="1.0" encoding="utf-8"?>
<queryTable xmlns="http://schemas.openxmlformats.org/spreadsheetml/2006/main" name="website17_1" growShrinkType="overwriteClear" connectionId="325" autoFormatId="16" applyNumberFormats="0" applyBorderFormats="0" applyFontFormats="1" applyPatternFormats="1" applyAlignmentFormats="0" applyWidthHeightFormats="0"/>
</file>

<file path=xl/queryTables/queryTable658.xml><?xml version="1.0" encoding="utf-8"?>
<queryTable xmlns="http://schemas.openxmlformats.org/spreadsheetml/2006/main" name="website17" growShrinkType="overwriteClear" connectionId="170" autoFormatId="16" applyNumberFormats="0" applyBorderFormats="0" applyFontFormats="1" applyPatternFormats="1" applyAlignmentFormats="0" applyWidthHeightFormats="0"/>
</file>

<file path=xl/queryTables/queryTable659.xml><?xml version="1.0" encoding="utf-8"?>
<queryTable xmlns="http://schemas.openxmlformats.org/spreadsheetml/2006/main" name="website3" growShrinkType="overwriteClear" connectionId="180" autoFormatId="16" applyNumberFormats="0" applyBorderFormats="0" applyFontFormats="1" applyPatternFormats="1" applyAlignmentFormats="0" applyWidthHeightFormats="0"/>
</file>

<file path=xl/queryTables/queryTable660.xml><?xml version="1.0" encoding="utf-8"?>
<queryTable xmlns="http://schemas.openxmlformats.org/spreadsheetml/2006/main" name="website18" growShrinkType="overwriteClear" connectionId="427" autoFormatId="16" applyNumberFormats="0" applyBorderFormats="0" applyFontFormats="1" applyPatternFormats="1" applyAlignmentFormats="0" applyWidthHeightFormats="0"/>
</file>

<file path=xl/queryTables/queryTable661.xml><?xml version="1.0" encoding="utf-8"?>
<queryTable xmlns="http://schemas.openxmlformats.org/spreadsheetml/2006/main" name="website16_3" growShrinkType="overwriteClear" connectionId="387" autoFormatId="16" applyNumberFormats="0" applyBorderFormats="0" applyFontFormats="1" applyPatternFormats="1" applyAlignmentFormats="0" applyWidthHeightFormats="0"/>
</file>

<file path=xl/queryTables/queryTable662.xml><?xml version="1.0" encoding="utf-8"?>
<queryTable xmlns="http://schemas.openxmlformats.org/spreadsheetml/2006/main" name="website3_1" growShrinkType="overwriteClear" connectionId="139" autoFormatId="16" applyNumberFormats="0" applyBorderFormats="0" applyFontFormats="1" applyPatternFormats="1" applyAlignmentFormats="0" applyWidthHeightFormats="0"/>
</file>

<file path=xl/queryTables/queryTable663.xml><?xml version="1.0" encoding="utf-8"?>
<queryTable xmlns="http://schemas.openxmlformats.org/spreadsheetml/2006/main" name="website26" growShrinkType="overwriteClear" connectionId="232" autoFormatId="16" applyNumberFormats="0" applyBorderFormats="0" applyFontFormats="1" applyPatternFormats="1" applyAlignmentFormats="0" applyWidthHeightFormats="0"/>
</file>

<file path=xl/queryTables/queryTable664.xml><?xml version="1.0" encoding="utf-8"?>
<queryTable xmlns="http://schemas.openxmlformats.org/spreadsheetml/2006/main" name="website7" growShrinkType="overwriteClear" connectionId="107" autoFormatId="16" applyNumberFormats="0" applyBorderFormats="0" applyFontFormats="1" applyPatternFormats="1" applyAlignmentFormats="0" applyWidthHeightFormats="0"/>
</file>

<file path=xl/queryTables/queryTable665.xml><?xml version="1.0" encoding="utf-8"?>
<queryTable xmlns="http://schemas.openxmlformats.org/spreadsheetml/2006/main" name="website16" growShrinkType="overwriteClear" connectionId="458" autoFormatId="16" applyNumberFormats="0" applyBorderFormats="0" applyFontFormats="1" applyPatternFormats="1" applyAlignmentFormats="0" applyWidthHeightFormats="0"/>
</file>

<file path=xl/queryTables/queryTable666.xml><?xml version="1.0" encoding="utf-8"?>
<queryTable xmlns="http://schemas.openxmlformats.org/spreadsheetml/2006/main" name="website3_3" growShrinkType="overwriteClear" connectionId="180" autoFormatId="16" applyNumberFormats="0" applyBorderFormats="0" applyFontFormats="1" applyPatternFormats="1" applyAlignmentFormats="0" applyWidthHeightFormats="0"/>
</file>

<file path=xl/queryTables/queryTable667.xml><?xml version="1.0" encoding="utf-8"?>
<queryTable xmlns="http://schemas.openxmlformats.org/spreadsheetml/2006/main" name="website3_2" growShrinkType="overwriteClear" connectionId="294" autoFormatId="16" applyNumberFormats="0" applyBorderFormats="0" applyFontFormats="1" applyPatternFormats="1" applyAlignmentFormats="0" applyWidthHeightFormats="0"/>
</file>

<file path=xl/queryTables/queryTable668.xml><?xml version="1.0" encoding="utf-8"?>
<queryTable xmlns="http://schemas.openxmlformats.org/spreadsheetml/2006/main" name="website11" growShrinkType="overwriteClear" connectionId="356" autoFormatId="16" applyNumberFormats="0" applyBorderFormats="0" applyFontFormats="1" applyPatternFormats="1" applyAlignmentFormats="0" applyWidthHeightFormats="0"/>
</file>

<file path=xl/queryTables/queryTable669.xml><?xml version="1.0" encoding="utf-8"?>
<queryTable xmlns="http://schemas.openxmlformats.org/spreadsheetml/2006/main" name="website16_1" growShrinkType="overwriteClear" connectionId="45" autoFormatId="16" applyNumberFormats="0" applyBorderFormats="0" applyFontFormats="1" applyPatternFormats="1" applyAlignmentFormats="0" applyWidthHeightFormats="0"/>
</file>

<file path=xl/queryTables/queryTable670.xml><?xml version="1.0" encoding="utf-8"?>
<queryTable xmlns="http://schemas.openxmlformats.org/spreadsheetml/2006/main" name="website11_2" growShrinkType="overwriteClear" connectionId="180" autoFormatId="16" applyNumberFormats="0" applyBorderFormats="0" applyFontFormats="1" applyPatternFormats="1" applyAlignmentFormats="0" applyWidthHeightFormats="0"/>
</file>

<file path=xl/queryTables/queryTable671.xml><?xml version="1.0" encoding="utf-8"?>
<queryTable xmlns="http://schemas.openxmlformats.org/spreadsheetml/2006/main" name="website19" growShrinkType="overwriteClear" connectionId="15" autoFormatId="16" applyNumberFormats="0" applyBorderFormats="0" applyFontFormats="1" applyPatternFormats="1" applyAlignmentFormats="0" applyWidthHeightFormats="0"/>
</file>

<file path=xl/queryTables/queryTable672.xml><?xml version="1.0" encoding="utf-8"?>
<queryTable xmlns="http://schemas.openxmlformats.org/spreadsheetml/2006/main" name="website15" growShrinkType="overwriteClear" connectionId="200" autoFormatId="16" applyNumberFormats="0" applyBorderFormats="0" applyFontFormats="1" applyPatternFormats="1" applyAlignmentFormats="0" applyWidthHeightFormats="0"/>
</file>

<file path=xl/queryTables/queryTable673.xml><?xml version="1.0" encoding="utf-8"?>
<queryTable xmlns="http://schemas.openxmlformats.org/spreadsheetml/2006/main" name="website11_1" firstBackgroundRefresh="1" growShrinkType="overwriteClear" connectionId="180" autoFormatId="16" applyNumberFormats="0" applyBorderFormats="0" applyFontFormats="1" applyPatternFormats="1" applyAlignmentFormats="0" applyWidthHeightFormats="0"/>
</file>

<file path=xl/queryTables/queryTable674.xml><?xml version="1.0" encoding="utf-8"?>
<queryTable xmlns="http://schemas.openxmlformats.org/spreadsheetml/2006/main" name="website31" growShrinkType="overwriteClear" connectionId="263" autoFormatId="16" applyNumberFormats="0" applyBorderFormats="0" applyFontFormats="1" applyPatternFormats="1" applyAlignmentFormats="0" applyWidthHeightFormats="0"/>
</file>

<file path=xl/queryTables/queryTable675.xml><?xml version="1.0" encoding="utf-8"?>
<queryTable xmlns="http://schemas.openxmlformats.org/spreadsheetml/2006/main" name="website16_2" growShrinkType="overwriteClear" connectionId="76" autoFormatId="16" applyNumberFormats="0" applyBorderFormats="0" applyFontFormats="1" applyPatternFormats="1" applyAlignmentFormats="0" applyWidthHeightFormats="0"/>
</file>

<file path=xl/queryTables/queryTable676.xml><?xml version="1.0" encoding="utf-8"?>
<queryTable xmlns="http://schemas.openxmlformats.org/spreadsheetml/2006/main" name="website23" growShrinkType="overwriteClear" connectionId="418" autoFormatId="16" applyNumberFormats="0" applyBorderFormats="0" applyFontFormats="1" applyPatternFormats="1" applyAlignmentFormats="0" applyWidthHeightFormats="0"/>
</file>

<file path=xl/queryTables/queryTable677.xml><?xml version="1.0" encoding="utf-8"?>
<queryTable xmlns="http://schemas.openxmlformats.org/spreadsheetml/2006/main" name="website16_6" growShrinkType="overwriteClear" connectionId="191" autoFormatId="16" applyNumberFormats="0" applyBorderFormats="0" applyFontFormats="1" applyPatternFormats="1" applyAlignmentFormats="0" applyWidthHeightFormats="0"/>
</file>

<file path=xl/queryTables/queryTable678.xml><?xml version="1.0" encoding="utf-8"?>
<queryTable xmlns="http://schemas.openxmlformats.org/spreadsheetml/2006/main" name="website7_1" growShrinkType="overwriteClear" connectionId="191" autoFormatId="16" applyNumberFormats="0" applyBorderFormats="0" applyFontFormats="1" applyPatternFormats="1" applyAlignmentFormats="0" applyWidthHeightFormats="0"/>
</file>

<file path=xl/queryTables/queryTable679.xml><?xml version="1.0" encoding="utf-8"?>
<queryTable xmlns="http://schemas.openxmlformats.org/spreadsheetml/2006/main" name="website3_4" growShrinkType="overwriteClear" connectionId="191" autoFormatId="16" applyNumberFormats="0" applyBorderFormats="0" applyFontFormats="1" applyPatternFormats="1" applyAlignmentFormats="0" applyWidthHeightFormats="0"/>
</file>

<file path=xl/queryTables/queryTable680.xml><?xml version="1.0" encoding="utf-8"?>
<queryTable xmlns="http://schemas.openxmlformats.org/spreadsheetml/2006/main" name="website16_5" growShrinkType="overwriteClear" connectionId="191" autoFormatId="16" applyNumberFormats="0" applyBorderFormats="0" applyFontFormats="1" applyPatternFormats="1" applyAlignmentFormats="0" applyWidthHeightFormats="0"/>
</file>

<file path=xl/queryTables/queryTable681.xml><?xml version="1.0" encoding="utf-8"?>
<queryTable xmlns="http://schemas.openxmlformats.org/spreadsheetml/2006/main" name="website16_4" growShrinkType="overwriteClear" connectionId="191" autoFormatId="16" applyNumberFormats="0" applyBorderFormats="0" applyFontFormats="1" applyPatternFormats="1" applyAlignmentFormats="0" applyWidthHeightFormats="0"/>
</file>

<file path=xl/queryTables/queryTable682.xml><?xml version="1.0" encoding="utf-8"?>
<queryTable xmlns="http://schemas.openxmlformats.org/spreadsheetml/2006/main" name="website26" growShrinkType="overwriteClear" connectionId="233" autoFormatId="16" applyNumberFormats="0" applyBorderFormats="0" applyFontFormats="1" applyPatternFormats="1" applyAlignmentFormats="0" applyWidthHeightFormats="0"/>
</file>

<file path=xl/queryTables/queryTable683.xml><?xml version="1.0" encoding="utf-8"?>
<queryTable xmlns="http://schemas.openxmlformats.org/spreadsheetml/2006/main" name="website11_1" firstBackgroundRefresh="1" growShrinkType="overwriteClear" connectionId="191" autoFormatId="16" applyNumberFormats="0" applyBorderFormats="0" applyFontFormats="1" applyPatternFormats="1" applyAlignmentFormats="0" applyWidthHeightFormats="0"/>
</file>

<file path=xl/queryTables/queryTable684.xml><?xml version="1.0" encoding="utf-8"?>
<queryTable xmlns="http://schemas.openxmlformats.org/spreadsheetml/2006/main" name="website15" growShrinkType="overwriteClear" connectionId="201" autoFormatId="16" applyNumberFormats="0" applyBorderFormats="0" applyFontFormats="1" applyPatternFormats="1" applyAlignmentFormats="0" applyWidthHeightFormats="0"/>
</file>

<file path=xl/queryTables/queryTable685.xml><?xml version="1.0" encoding="utf-8"?>
<queryTable xmlns="http://schemas.openxmlformats.org/spreadsheetml/2006/main" name="website16_2" growShrinkType="overwriteClear" connectionId="77" autoFormatId="16" applyNumberFormats="0" applyBorderFormats="0" applyFontFormats="1" applyPatternFormats="1" applyAlignmentFormats="0" applyWidthHeightFormats="0"/>
</file>

<file path=xl/queryTables/queryTable686.xml><?xml version="1.0" encoding="utf-8"?>
<queryTable xmlns="http://schemas.openxmlformats.org/spreadsheetml/2006/main" name="website18" growShrinkType="overwriteClear" connectionId="428" autoFormatId="16" applyNumberFormats="0" applyBorderFormats="0" applyFontFormats="1" applyPatternFormats="1" applyAlignmentFormats="0" applyWidthHeightFormats="0"/>
</file>

<file path=xl/queryTables/queryTable687.xml><?xml version="1.0" encoding="utf-8"?>
<queryTable xmlns="http://schemas.openxmlformats.org/spreadsheetml/2006/main" name="website11" growShrinkType="overwriteClear" connectionId="357" autoFormatId="16" applyNumberFormats="0" applyBorderFormats="0" applyFontFormats="1" applyPatternFormats="1" applyAlignmentFormats="0" applyWidthHeightFormats="0"/>
</file>

<file path=xl/queryTables/queryTable688.xml><?xml version="1.0" encoding="utf-8"?>
<queryTable xmlns="http://schemas.openxmlformats.org/spreadsheetml/2006/main" name="website3" growShrinkType="overwriteClear" connectionId="191" autoFormatId="16" applyNumberFormats="0" applyBorderFormats="0" applyFontFormats="1" applyPatternFormats="1" applyAlignmentFormats="0" applyWidthHeightFormats="0"/>
</file>

<file path=xl/queryTables/queryTable689.xml><?xml version="1.0" encoding="utf-8"?>
<queryTable xmlns="http://schemas.openxmlformats.org/spreadsheetml/2006/main" name="website16_1" growShrinkType="overwriteClear" connectionId="46" autoFormatId="16" applyNumberFormats="0" applyBorderFormats="0" applyFontFormats="1" applyPatternFormats="1" applyAlignmentFormats="0" applyWidthHeightFormats="0"/>
</file>

<file path=xl/queryTables/queryTable690.xml><?xml version="1.0" encoding="utf-8"?>
<queryTable xmlns="http://schemas.openxmlformats.org/spreadsheetml/2006/main" name="website3_1" growShrinkType="overwriteClear" connectionId="140" autoFormatId="16" applyNumberFormats="0" applyBorderFormats="0" applyFontFormats="1" applyPatternFormats="1" applyAlignmentFormats="0" applyWidthHeightFormats="0"/>
</file>

<file path=xl/queryTables/queryTable691.xml><?xml version="1.0" encoding="utf-8"?>
<queryTable xmlns="http://schemas.openxmlformats.org/spreadsheetml/2006/main" name="website3_2" growShrinkType="overwriteClear" connectionId="295" autoFormatId="16" applyNumberFormats="0" applyBorderFormats="0" applyFontFormats="1" applyPatternFormats="1" applyAlignmentFormats="0" applyWidthHeightFormats="0"/>
</file>

<file path=xl/queryTables/queryTable692.xml><?xml version="1.0" encoding="utf-8"?>
<queryTable xmlns="http://schemas.openxmlformats.org/spreadsheetml/2006/main" name="website7" growShrinkType="overwriteClear" connectionId="108" autoFormatId="16" applyNumberFormats="0" applyBorderFormats="0" applyFontFormats="1" applyPatternFormats="1" applyAlignmentFormats="0" applyWidthHeightFormats="0"/>
</file>

<file path=xl/queryTables/queryTable693.xml><?xml version="1.0" encoding="utf-8"?>
<queryTable xmlns="http://schemas.openxmlformats.org/spreadsheetml/2006/main" name="website23" growShrinkType="overwriteClear" connectionId="419" autoFormatId="16" applyNumberFormats="0" applyBorderFormats="0" applyFontFormats="1" applyPatternFormats="1" applyAlignmentFormats="0" applyWidthHeightFormats="0"/>
</file>

<file path=xl/queryTables/queryTable694.xml><?xml version="1.0" encoding="utf-8"?>
<queryTable xmlns="http://schemas.openxmlformats.org/spreadsheetml/2006/main" name="website16" growShrinkType="overwriteClear" connectionId="459" autoFormatId="16" applyNumberFormats="0" applyBorderFormats="0" applyFontFormats="1" applyPatternFormats="1" applyAlignmentFormats="0" applyWidthHeightFormats="0"/>
</file>

<file path=xl/queryTables/queryTable695.xml><?xml version="1.0" encoding="utf-8"?>
<queryTable xmlns="http://schemas.openxmlformats.org/spreadsheetml/2006/main" name="website19" growShrinkType="overwriteClear" connectionId="16" autoFormatId="16" applyNumberFormats="0" applyBorderFormats="0" applyFontFormats="1" applyPatternFormats="1" applyAlignmentFormats="0" applyWidthHeightFormats="0"/>
</file>

<file path=xl/queryTables/queryTable696.xml><?xml version="1.0" encoding="utf-8"?>
<queryTable xmlns="http://schemas.openxmlformats.org/spreadsheetml/2006/main" name="website17_1" growShrinkType="overwriteClear" connectionId="326" autoFormatId="16" applyNumberFormats="0" applyBorderFormats="0" applyFontFormats="1" applyPatternFormats="1" applyAlignmentFormats="0" applyWidthHeightFormats="0"/>
</file>

<file path=xl/queryTables/queryTable697.xml><?xml version="1.0" encoding="utf-8"?>
<queryTable xmlns="http://schemas.openxmlformats.org/spreadsheetml/2006/main" name="website17" growShrinkType="overwriteClear" connectionId="171" autoFormatId="16" applyNumberFormats="0" applyBorderFormats="0" applyFontFormats="1" applyPatternFormats="1" applyAlignmentFormats="0" applyWidthHeightFormats="0"/>
</file>

<file path=xl/queryTables/queryTable698.xml><?xml version="1.0" encoding="utf-8"?>
<queryTable xmlns="http://schemas.openxmlformats.org/spreadsheetml/2006/main" name="website16_3" growShrinkType="overwriteClear" connectionId="388" autoFormatId="16" applyNumberFormats="0" applyBorderFormats="0" applyFontFormats="1" applyPatternFormats="1" applyAlignmentFormats="0" applyWidthHeightFormats="0"/>
</file>

<file path=xl/queryTables/queryTable699.xml><?xml version="1.0" encoding="utf-8"?>
<queryTable xmlns="http://schemas.openxmlformats.org/spreadsheetml/2006/main" name="website31" growShrinkType="overwriteClear" connectionId="264" autoFormatId="16" applyNumberFormats="0" applyBorderFormats="0" applyFontFormats="1" applyPatternFormats="1" applyAlignmentFormats="0" applyWidthHeightFormats="0"/>
</file>

<file path=xl/queryTables/queryTable700.xml><?xml version="1.0" encoding="utf-8"?>
<queryTable xmlns="http://schemas.openxmlformats.org/spreadsheetml/2006/main" name="website11_2" growShrinkType="overwriteClear" connectionId="191" autoFormatId="16" applyNumberFormats="0" applyBorderFormats="0" applyFontFormats="1" applyPatternFormats="1" applyAlignmentFormats="0" applyWidthHeightFormats="0"/>
</file>

<file path=xl/queryTables/queryTable701.xml><?xml version="1.0" encoding="utf-8"?>
<queryTable xmlns="http://schemas.openxmlformats.org/spreadsheetml/2006/main" name="website3_3" growShrinkType="overwriteClear" connectionId="19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26" Type="http://schemas.openxmlformats.org/officeDocument/2006/relationships/queryTable" Target="../queryTables/queryTable26.xml"/><Relationship Id="rId3" Type="http://schemas.openxmlformats.org/officeDocument/2006/relationships/queryTable" Target="../queryTables/queryTable3.xml"/><Relationship Id="rId21" Type="http://schemas.openxmlformats.org/officeDocument/2006/relationships/queryTable" Target="../queryTables/queryTable21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5" Type="http://schemas.openxmlformats.org/officeDocument/2006/relationships/queryTable" Target="../queryTables/queryTable25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20" Type="http://schemas.openxmlformats.org/officeDocument/2006/relationships/queryTable" Target="../queryTables/queryTable20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24" Type="http://schemas.openxmlformats.org/officeDocument/2006/relationships/queryTable" Target="../queryTables/queryTable24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Relationship Id="rId22" Type="http://schemas.openxmlformats.org/officeDocument/2006/relationships/queryTable" Target="../queryTables/queryTable22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34.xml"/><Relationship Id="rId13" Type="http://schemas.openxmlformats.org/officeDocument/2006/relationships/queryTable" Target="../queryTables/queryTable39.xml"/><Relationship Id="rId18" Type="http://schemas.openxmlformats.org/officeDocument/2006/relationships/queryTable" Target="../queryTables/queryTable44.xml"/><Relationship Id="rId3" Type="http://schemas.openxmlformats.org/officeDocument/2006/relationships/queryTable" Target="../queryTables/queryTable29.xml"/><Relationship Id="rId21" Type="http://schemas.openxmlformats.org/officeDocument/2006/relationships/queryTable" Target="../queryTables/queryTable47.xml"/><Relationship Id="rId7" Type="http://schemas.openxmlformats.org/officeDocument/2006/relationships/queryTable" Target="../queryTables/queryTable33.xml"/><Relationship Id="rId12" Type="http://schemas.openxmlformats.org/officeDocument/2006/relationships/queryTable" Target="../queryTables/queryTable38.xml"/><Relationship Id="rId17" Type="http://schemas.openxmlformats.org/officeDocument/2006/relationships/queryTable" Target="../queryTables/queryTable43.xml"/><Relationship Id="rId25" Type="http://schemas.openxmlformats.org/officeDocument/2006/relationships/queryTable" Target="../queryTables/queryTable51.xml"/><Relationship Id="rId2" Type="http://schemas.openxmlformats.org/officeDocument/2006/relationships/queryTable" Target="../queryTables/queryTable28.xml"/><Relationship Id="rId16" Type="http://schemas.openxmlformats.org/officeDocument/2006/relationships/queryTable" Target="../queryTables/queryTable42.xml"/><Relationship Id="rId20" Type="http://schemas.openxmlformats.org/officeDocument/2006/relationships/queryTable" Target="../queryTables/queryTable46.xml"/><Relationship Id="rId1" Type="http://schemas.openxmlformats.org/officeDocument/2006/relationships/queryTable" Target="../queryTables/queryTable27.xml"/><Relationship Id="rId6" Type="http://schemas.openxmlformats.org/officeDocument/2006/relationships/queryTable" Target="../queryTables/queryTable32.xml"/><Relationship Id="rId11" Type="http://schemas.openxmlformats.org/officeDocument/2006/relationships/queryTable" Target="../queryTables/queryTable37.xml"/><Relationship Id="rId24" Type="http://schemas.openxmlformats.org/officeDocument/2006/relationships/queryTable" Target="../queryTables/queryTable50.xml"/><Relationship Id="rId5" Type="http://schemas.openxmlformats.org/officeDocument/2006/relationships/queryTable" Target="../queryTables/queryTable31.xml"/><Relationship Id="rId15" Type="http://schemas.openxmlformats.org/officeDocument/2006/relationships/queryTable" Target="../queryTables/queryTable41.xml"/><Relationship Id="rId23" Type="http://schemas.openxmlformats.org/officeDocument/2006/relationships/queryTable" Target="../queryTables/queryTable49.xml"/><Relationship Id="rId10" Type="http://schemas.openxmlformats.org/officeDocument/2006/relationships/queryTable" Target="../queryTables/queryTable36.xml"/><Relationship Id="rId19" Type="http://schemas.openxmlformats.org/officeDocument/2006/relationships/queryTable" Target="../queryTables/queryTable45.xml"/><Relationship Id="rId4" Type="http://schemas.openxmlformats.org/officeDocument/2006/relationships/queryTable" Target="../queryTables/queryTable30.xml"/><Relationship Id="rId9" Type="http://schemas.openxmlformats.org/officeDocument/2006/relationships/queryTable" Target="../queryTables/queryTable35.xml"/><Relationship Id="rId14" Type="http://schemas.openxmlformats.org/officeDocument/2006/relationships/queryTable" Target="../queryTables/queryTable40.xml"/><Relationship Id="rId22" Type="http://schemas.openxmlformats.org/officeDocument/2006/relationships/queryTable" Target="../queryTables/queryTable48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59.xml"/><Relationship Id="rId13" Type="http://schemas.openxmlformats.org/officeDocument/2006/relationships/queryTable" Target="../queryTables/queryTable64.xml"/><Relationship Id="rId18" Type="http://schemas.openxmlformats.org/officeDocument/2006/relationships/queryTable" Target="../queryTables/queryTable69.xml"/><Relationship Id="rId3" Type="http://schemas.openxmlformats.org/officeDocument/2006/relationships/queryTable" Target="../queryTables/queryTable54.xml"/><Relationship Id="rId21" Type="http://schemas.openxmlformats.org/officeDocument/2006/relationships/queryTable" Target="../queryTables/queryTable72.xml"/><Relationship Id="rId7" Type="http://schemas.openxmlformats.org/officeDocument/2006/relationships/queryTable" Target="../queryTables/queryTable58.xml"/><Relationship Id="rId12" Type="http://schemas.openxmlformats.org/officeDocument/2006/relationships/queryTable" Target="../queryTables/queryTable63.xml"/><Relationship Id="rId17" Type="http://schemas.openxmlformats.org/officeDocument/2006/relationships/queryTable" Target="../queryTables/queryTable68.xml"/><Relationship Id="rId25" Type="http://schemas.openxmlformats.org/officeDocument/2006/relationships/queryTable" Target="../queryTables/queryTable76.xml"/><Relationship Id="rId2" Type="http://schemas.openxmlformats.org/officeDocument/2006/relationships/queryTable" Target="../queryTables/queryTable53.xml"/><Relationship Id="rId16" Type="http://schemas.openxmlformats.org/officeDocument/2006/relationships/queryTable" Target="../queryTables/queryTable67.xml"/><Relationship Id="rId20" Type="http://schemas.openxmlformats.org/officeDocument/2006/relationships/queryTable" Target="../queryTables/queryTable71.xml"/><Relationship Id="rId1" Type="http://schemas.openxmlformats.org/officeDocument/2006/relationships/queryTable" Target="../queryTables/queryTable52.xml"/><Relationship Id="rId6" Type="http://schemas.openxmlformats.org/officeDocument/2006/relationships/queryTable" Target="../queryTables/queryTable57.xml"/><Relationship Id="rId11" Type="http://schemas.openxmlformats.org/officeDocument/2006/relationships/queryTable" Target="../queryTables/queryTable62.xml"/><Relationship Id="rId24" Type="http://schemas.openxmlformats.org/officeDocument/2006/relationships/queryTable" Target="../queryTables/queryTable75.xml"/><Relationship Id="rId5" Type="http://schemas.openxmlformats.org/officeDocument/2006/relationships/queryTable" Target="../queryTables/queryTable56.xml"/><Relationship Id="rId15" Type="http://schemas.openxmlformats.org/officeDocument/2006/relationships/queryTable" Target="../queryTables/queryTable66.xml"/><Relationship Id="rId23" Type="http://schemas.openxmlformats.org/officeDocument/2006/relationships/queryTable" Target="../queryTables/queryTable74.xml"/><Relationship Id="rId10" Type="http://schemas.openxmlformats.org/officeDocument/2006/relationships/queryTable" Target="../queryTables/queryTable61.xml"/><Relationship Id="rId19" Type="http://schemas.openxmlformats.org/officeDocument/2006/relationships/queryTable" Target="../queryTables/queryTable70.xml"/><Relationship Id="rId4" Type="http://schemas.openxmlformats.org/officeDocument/2006/relationships/queryTable" Target="../queryTables/queryTable55.xml"/><Relationship Id="rId9" Type="http://schemas.openxmlformats.org/officeDocument/2006/relationships/queryTable" Target="../queryTables/queryTable60.xml"/><Relationship Id="rId14" Type="http://schemas.openxmlformats.org/officeDocument/2006/relationships/queryTable" Target="../queryTables/queryTable65.xml"/><Relationship Id="rId22" Type="http://schemas.openxmlformats.org/officeDocument/2006/relationships/queryTable" Target="../queryTables/queryTable73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4.xml"/><Relationship Id="rId13" Type="http://schemas.openxmlformats.org/officeDocument/2006/relationships/queryTable" Target="../queryTables/queryTable89.xml"/><Relationship Id="rId18" Type="http://schemas.openxmlformats.org/officeDocument/2006/relationships/queryTable" Target="../queryTables/queryTable94.xml"/><Relationship Id="rId3" Type="http://schemas.openxmlformats.org/officeDocument/2006/relationships/queryTable" Target="../queryTables/queryTable79.xml"/><Relationship Id="rId21" Type="http://schemas.openxmlformats.org/officeDocument/2006/relationships/queryTable" Target="../queryTables/queryTable97.xml"/><Relationship Id="rId7" Type="http://schemas.openxmlformats.org/officeDocument/2006/relationships/queryTable" Target="../queryTables/queryTable83.xml"/><Relationship Id="rId12" Type="http://schemas.openxmlformats.org/officeDocument/2006/relationships/queryTable" Target="../queryTables/queryTable88.xml"/><Relationship Id="rId17" Type="http://schemas.openxmlformats.org/officeDocument/2006/relationships/queryTable" Target="../queryTables/queryTable93.xml"/><Relationship Id="rId25" Type="http://schemas.openxmlformats.org/officeDocument/2006/relationships/queryTable" Target="../queryTables/queryTable101.xml"/><Relationship Id="rId2" Type="http://schemas.openxmlformats.org/officeDocument/2006/relationships/queryTable" Target="../queryTables/queryTable78.xml"/><Relationship Id="rId16" Type="http://schemas.openxmlformats.org/officeDocument/2006/relationships/queryTable" Target="../queryTables/queryTable92.xml"/><Relationship Id="rId20" Type="http://schemas.openxmlformats.org/officeDocument/2006/relationships/queryTable" Target="../queryTables/queryTable96.xml"/><Relationship Id="rId1" Type="http://schemas.openxmlformats.org/officeDocument/2006/relationships/queryTable" Target="../queryTables/queryTable77.xml"/><Relationship Id="rId6" Type="http://schemas.openxmlformats.org/officeDocument/2006/relationships/queryTable" Target="../queryTables/queryTable82.xml"/><Relationship Id="rId11" Type="http://schemas.openxmlformats.org/officeDocument/2006/relationships/queryTable" Target="../queryTables/queryTable87.xml"/><Relationship Id="rId24" Type="http://schemas.openxmlformats.org/officeDocument/2006/relationships/queryTable" Target="../queryTables/queryTable100.xml"/><Relationship Id="rId5" Type="http://schemas.openxmlformats.org/officeDocument/2006/relationships/queryTable" Target="../queryTables/queryTable81.xml"/><Relationship Id="rId15" Type="http://schemas.openxmlformats.org/officeDocument/2006/relationships/queryTable" Target="../queryTables/queryTable91.xml"/><Relationship Id="rId23" Type="http://schemas.openxmlformats.org/officeDocument/2006/relationships/queryTable" Target="../queryTables/queryTable99.xml"/><Relationship Id="rId10" Type="http://schemas.openxmlformats.org/officeDocument/2006/relationships/queryTable" Target="../queryTables/queryTable86.xml"/><Relationship Id="rId19" Type="http://schemas.openxmlformats.org/officeDocument/2006/relationships/queryTable" Target="../queryTables/queryTable95.xml"/><Relationship Id="rId4" Type="http://schemas.openxmlformats.org/officeDocument/2006/relationships/queryTable" Target="../queryTables/queryTable80.xml"/><Relationship Id="rId9" Type="http://schemas.openxmlformats.org/officeDocument/2006/relationships/queryTable" Target="../queryTables/queryTable85.xml"/><Relationship Id="rId14" Type="http://schemas.openxmlformats.org/officeDocument/2006/relationships/queryTable" Target="../queryTables/queryTable90.xml"/><Relationship Id="rId22" Type="http://schemas.openxmlformats.org/officeDocument/2006/relationships/queryTable" Target="../queryTables/queryTable98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09.xml"/><Relationship Id="rId13" Type="http://schemas.openxmlformats.org/officeDocument/2006/relationships/queryTable" Target="../queryTables/queryTable114.xml"/><Relationship Id="rId18" Type="http://schemas.openxmlformats.org/officeDocument/2006/relationships/queryTable" Target="../queryTables/queryTable119.xml"/><Relationship Id="rId3" Type="http://schemas.openxmlformats.org/officeDocument/2006/relationships/queryTable" Target="../queryTables/queryTable104.xml"/><Relationship Id="rId21" Type="http://schemas.openxmlformats.org/officeDocument/2006/relationships/queryTable" Target="../queryTables/queryTable122.xml"/><Relationship Id="rId7" Type="http://schemas.openxmlformats.org/officeDocument/2006/relationships/queryTable" Target="../queryTables/queryTable108.xml"/><Relationship Id="rId12" Type="http://schemas.openxmlformats.org/officeDocument/2006/relationships/queryTable" Target="../queryTables/queryTable113.xml"/><Relationship Id="rId17" Type="http://schemas.openxmlformats.org/officeDocument/2006/relationships/queryTable" Target="../queryTables/queryTable118.xml"/><Relationship Id="rId25" Type="http://schemas.openxmlformats.org/officeDocument/2006/relationships/queryTable" Target="../queryTables/queryTable126.xml"/><Relationship Id="rId2" Type="http://schemas.openxmlformats.org/officeDocument/2006/relationships/queryTable" Target="../queryTables/queryTable103.xml"/><Relationship Id="rId16" Type="http://schemas.openxmlformats.org/officeDocument/2006/relationships/queryTable" Target="../queryTables/queryTable117.xml"/><Relationship Id="rId20" Type="http://schemas.openxmlformats.org/officeDocument/2006/relationships/queryTable" Target="../queryTables/queryTable121.xml"/><Relationship Id="rId1" Type="http://schemas.openxmlformats.org/officeDocument/2006/relationships/queryTable" Target="../queryTables/queryTable102.xml"/><Relationship Id="rId6" Type="http://schemas.openxmlformats.org/officeDocument/2006/relationships/queryTable" Target="../queryTables/queryTable107.xml"/><Relationship Id="rId11" Type="http://schemas.openxmlformats.org/officeDocument/2006/relationships/queryTable" Target="../queryTables/queryTable112.xml"/><Relationship Id="rId24" Type="http://schemas.openxmlformats.org/officeDocument/2006/relationships/queryTable" Target="../queryTables/queryTable125.xml"/><Relationship Id="rId5" Type="http://schemas.openxmlformats.org/officeDocument/2006/relationships/queryTable" Target="../queryTables/queryTable106.xml"/><Relationship Id="rId15" Type="http://schemas.openxmlformats.org/officeDocument/2006/relationships/queryTable" Target="../queryTables/queryTable116.xml"/><Relationship Id="rId23" Type="http://schemas.openxmlformats.org/officeDocument/2006/relationships/queryTable" Target="../queryTables/queryTable124.xml"/><Relationship Id="rId10" Type="http://schemas.openxmlformats.org/officeDocument/2006/relationships/queryTable" Target="../queryTables/queryTable111.xml"/><Relationship Id="rId19" Type="http://schemas.openxmlformats.org/officeDocument/2006/relationships/queryTable" Target="../queryTables/queryTable120.xml"/><Relationship Id="rId4" Type="http://schemas.openxmlformats.org/officeDocument/2006/relationships/queryTable" Target="../queryTables/queryTable105.xml"/><Relationship Id="rId9" Type="http://schemas.openxmlformats.org/officeDocument/2006/relationships/queryTable" Target="../queryTables/queryTable110.xml"/><Relationship Id="rId14" Type="http://schemas.openxmlformats.org/officeDocument/2006/relationships/queryTable" Target="../queryTables/queryTable115.xml"/><Relationship Id="rId22" Type="http://schemas.openxmlformats.org/officeDocument/2006/relationships/queryTable" Target="../queryTables/queryTable123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34.xml"/><Relationship Id="rId13" Type="http://schemas.openxmlformats.org/officeDocument/2006/relationships/queryTable" Target="../queryTables/queryTable139.xml"/><Relationship Id="rId18" Type="http://schemas.openxmlformats.org/officeDocument/2006/relationships/queryTable" Target="../queryTables/queryTable144.xml"/><Relationship Id="rId3" Type="http://schemas.openxmlformats.org/officeDocument/2006/relationships/queryTable" Target="../queryTables/queryTable129.xml"/><Relationship Id="rId21" Type="http://schemas.openxmlformats.org/officeDocument/2006/relationships/queryTable" Target="../queryTables/queryTable147.xml"/><Relationship Id="rId7" Type="http://schemas.openxmlformats.org/officeDocument/2006/relationships/queryTable" Target="../queryTables/queryTable133.xml"/><Relationship Id="rId12" Type="http://schemas.openxmlformats.org/officeDocument/2006/relationships/queryTable" Target="../queryTables/queryTable138.xml"/><Relationship Id="rId17" Type="http://schemas.openxmlformats.org/officeDocument/2006/relationships/queryTable" Target="../queryTables/queryTable143.xml"/><Relationship Id="rId25" Type="http://schemas.openxmlformats.org/officeDocument/2006/relationships/queryTable" Target="../queryTables/queryTable151.xml"/><Relationship Id="rId2" Type="http://schemas.openxmlformats.org/officeDocument/2006/relationships/queryTable" Target="../queryTables/queryTable128.xml"/><Relationship Id="rId16" Type="http://schemas.openxmlformats.org/officeDocument/2006/relationships/queryTable" Target="../queryTables/queryTable142.xml"/><Relationship Id="rId20" Type="http://schemas.openxmlformats.org/officeDocument/2006/relationships/queryTable" Target="../queryTables/queryTable146.xml"/><Relationship Id="rId1" Type="http://schemas.openxmlformats.org/officeDocument/2006/relationships/queryTable" Target="../queryTables/queryTable127.xml"/><Relationship Id="rId6" Type="http://schemas.openxmlformats.org/officeDocument/2006/relationships/queryTable" Target="../queryTables/queryTable132.xml"/><Relationship Id="rId11" Type="http://schemas.openxmlformats.org/officeDocument/2006/relationships/queryTable" Target="../queryTables/queryTable137.xml"/><Relationship Id="rId24" Type="http://schemas.openxmlformats.org/officeDocument/2006/relationships/queryTable" Target="../queryTables/queryTable150.xml"/><Relationship Id="rId5" Type="http://schemas.openxmlformats.org/officeDocument/2006/relationships/queryTable" Target="../queryTables/queryTable131.xml"/><Relationship Id="rId15" Type="http://schemas.openxmlformats.org/officeDocument/2006/relationships/queryTable" Target="../queryTables/queryTable141.xml"/><Relationship Id="rId23" Type="http://schemas.openxmlformats.org/officeDocument/2006/relationships/queryTable" Target="../queryTables/queryTable149.xml"/><Relationship Id="rId10" Type="http://schemas.openxmlformats.org/officeDocument/2006/relationships/queryTable" Target="../queryTables/queryTable136.xml"/><Relationship Id="rId19" Type="http://schemas.openxmlformats.org/officeDocument/2006/relationships/queryTable" Target="../queryTables/queryTable145.xml"/><Relationship Id="rId4" Type="http://schemas.openxmlformats.org/officeDocument/2006/relationships/queryTable" Target="../queryTables/queryTable130.xml"/><Relationship Id="rId9" Type="http://schemas.openxmlformats.org/officeDocument/2006/relationships/queryTable" Target="../queryTables/queryTable135.xml"/><Relationship Id="rId14" Type="http://schemas.openxmlformats.org/officeDocument/2006/relationships/queryTable" Target="../queryTables/queryTable140.xml"/><Relationship Id="rId22" Type="http://schemas.openxmlformats.org/officeDocument/2006/relationships/queryTable" Target="../queryTables/queryTable148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59.xml"/><Relationship Id="rId13" Type="http://schemas.openxmlformats.org/officeDocument/2006/relationships/queryTable" Target="../queryTables/queryTable164.xml"/><Relationship Id="rId18" Type="http://schemas.openxmlformats.org/officeDocument/2006/relationships/queryTable" Target="../queryTables/queryTable169.xml"/><Relationship Id="rId3" Type="http://schemas.openxmlformats.org/officeDocument/2006/relationships/queryTable" Target="../queryTables/queryTable154.xml"/><Relationship Id="rId21" Type="http://schemas.openxmlformats.org/officeDocument/2006/relationships/queryTable" Target="../queryTables/queryTable172.xml"/><Relationship Id="rId7" Type="http://schemas.openxmlformats.org/officeDocument/2006/relationships/queryTable" Target="../queryTables/queryTable158.xml"/><Relationship Id="rId12" Type="http://schemas.openxmlformats.org/officeDocument/2006/relationships/queryTable" Target="../queryTables/queryTable163.xml"/><Relationship Id="rId17" Type="http://schemas.openxmlformats.org/officeDocument/2006/relationships/queryTable" Target="../queryTables/queryTable168.xml"/><Relationship Id="rId25" Type="http://schemas.openxmlformats.org/officeDocument/2006/relationships/queryTable" Target="../queryTables/queryTable176.xml"/><Relationship Id="rId2" Type="http://schemas.openxmlformats.org/officeDocument/2006/relationships/queryTable" Target="../queryTables/queryTable153.xml"/><Relationship Id="rId16" Type="http://schemas.openxmlformats.org/officeDocument/2006/relationships/queryTable" Target="../queryTables/queryTable167.xml"/><Relationship Id="rId20" Type="http://schemas.openxmlformats.org/officeDocument/2006/relationships/queryTable" Target="../queryTables/queryTable171.xml"/><Relationship Id="rId1" Type="http://schemas.openxmlformats.org/officeDocument/2006/relationships/queryTable" Target="../queryTables/queryTable152.xml"/><Relationship Id="rId6" Type="http://schemas.openxmlformats.org/officeDocument/2006/relationships/queryTable" Target="../queryTables/queryTable157.xml"/><Relationship Id="rId11" Type="http://schemas.openxmlformats.org/officeDocument/2006/relationships/queryTable" Target="../queryTables/queryTable162.xml"/><Relationship Id="rId24" Type="http://schemas.openxmlformats.org/officeDocument/2006/relationships/queryTable" Target="../queryTables/queryTable175.xml"/><Relationship Id="rId5" Type="http://schemas.openxmlformats.org/officeDocument/2006/relationships/queryTable" Target="../queryTables/queryTable156.xml"/><Relationship Id="rId15" Type="http://schemas.openxmlformats.org/officeDocument/2006/relationships/queryTable" Target="../queryTables/queryTable166.xml"/><Relationship Id="rId23" Type="http://schemas.openxmlformats.org/officeDocument/2006/relationships/queryTable" Target="../queryTables/queryTable174.xml"/><Relationship Id="rId10" Type="http://schemas.openxmlformats.org/officeDocument/2006/relationships/queryTable" Target="../queryTables/queryTable161.xml"/><Relationship Id="rId19" Type="http://schemas.openxmlformats.org/officeDocument/2006/relationships/queryTable" Target="../queryTables/queryTable170.xml"/><Relationship Id="rId4" Type="http://schemas.openxmlformats.org/officeDocument/2006/relationships/queryTable" Target="../queryTables/queryTable155.xml"/><Relationship Id="rId9" Type="http://schemas.openxmlformats.org/officeDocument/2006/relationships/queryTable" Target="../queryTables/queryTable160.xml"/><Relationship Id="rId14" Type="http://schemas.openxmlformats.org/officeDocument/2006/relationships/queryTable" Target="../queryTables/queryTable165.xml"/><Relationship Id="rId22" Type="http://schemas.openxmlformats.org/officeDocument/2006/relationships/queryTable" Target="../queryTables/queryTable173.xml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84.xml"/><Relationship Id="rId13" Type="http://schemas.openxmlformats.org/officeDocument/2006/relationships/queryTable" Target="../queryTables/queryTable189.xml"/><Relationship Id="rId18" Type="http://schemas.openxmlformats.org/officeDocument/2006/relationships/queryTable" Target="../queryTables/queryTable194.xml"/><Relationship Id="rId3" Type="http://schemas.openxmlformats.org/officeDocument/2006/relationships/queryTable" Target="../queryTables/queryTable179.xml"/><Relationship Id="rId21" Type="http://schemas.openxmlformats.org/officeDocument/2006/relationships/queryTable" Target="../queryTables/queryTable197.xml"/><Relationship Id="rId7" Type="http://schemas.openxmlformats.org/officeDocument/2006/relationships/queryTable" Target="../queryTables/queryTable183.xml"/><Relationship Id="rId12" Type="http://schemas.openxmlformats.org/officeDocument/2006/relationships/queryTable" Target="../queryTables/queryTable188.xml"/><Relationship Id="rId17" Type="http://schemas.openxmlformats.org/officeDocument/2006/relationships/queryTable" Target="../queryTables/queryTable193.xml"/><Relationship Id="rId25" Type="http://schemas.openxmlformats.org/officeDocument/2006/relationships/queryTable" Target="../queryTables/queryTable201.xml"/><Relationship Id="rId2" Type="http://schemas.openxmlformats.org/officeDocument/2006/relationships/queryTable" Target="../queryTables/queryTable178.xml"/><Relationship Id="rId16" Type="http://schemas.openxmlformats.org/officeDocument/2006/relationships/queryTable" Target="../queryTables/queryTable192.xml"/><Relationship Id="rId20" Type="http://schemas.openxmlformats.org/officeDocument/2006/relationships/queryTable" Target="../queryTables/queryTable196.xml"/><Relationship Id="rId1" Type="http://schemas.openxmlformats.org/officeDocument/2006/relationships/queryTable" Target="../queryTables/queryTable177.xml"/><Relationship Id="rId6" Type="http://schemas.openxmlformats.org/officeDocument/2006/relationships/queryTable" Target="../queryTables/queryTable182.xml"/><Relationship Id="rId11" Type="http://schemas.openxmlformats.org/officeDocument/2006/relationships/queryTable" Target="../queryTables/queryTable187.xml"/><Relationship Id="rId24" Type="http://schemas.openxmlformats.org/officeDocument/2006/relationships/queryTable" Target="../queryTables/queryTable200.xml"/><Relationship Id="rId5" Type="http://schemas.openxmlformats.org/officeDocument/2006/relationships/queryTable" Target="../queryTables/queryTable181.xml"/><Relationship Id="rId15" Type="http://schemas.openxmlformats.org/officeDocument/2006/relationships/queryTable" Target="../queryTables/queryTable191.xml"/><Relationship Id="rId23" Type="http://schemas.openxmlformats.org/officeDocument/2006/relationships/queryTable" Target="../queryTables/queryTable199.xml"/><Relationship Id="rId10" Type="http://schemas.openxmlformats.org/officeDocument/2006/relationships/queryTable" Target="../queryTables/queryTable186.xml"/><Relationship Id="rId19" Type="http://schemas.openxmlformats.org/officeDocument/2006/relationships/queryTable" Target="../queryTables/queryTable195.xml"/><Relationship Id="rId4" Type="http://schemas.openxmlformats.org/officeDocument/2006/relationships/queryTable" Target="../queryTables/queryTable180.xml"/><Relationship Id="rId9" Type="http://schemas.openxmlformats.org/officeDocument/2006/relationships/queryTable" Target="../queryTables/queryTable185.xml"/><Relationship Id="rId14" Type="http://schemas.openxmlformats.org/officeDocument/2006/relationships/queryTable" Target="../queryTables/queryTable190.xml"/><Relationship Id="rId22" Type="http://schemas.openxmlformats.org/officeDocument/2006/relationships/queryTable" Target="../queryTables/queryTable198.xm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09.xml"/><Relationship Id="rId13" Type="http://schemas.openxmlformats.org/officeDocument/2006/relationships/queryTable" Target="../queryTables/queryTable214.xml"/><Relationship Id="rId18" Type="http://schemas.openxmlformats.org/officeDocument/2006/relationships/queryTable" Target="../queryTables/queryTable219.xml"/><Relationship Id="rId3" Type="http://schemas.openxmlformats.org/officeDocument/2006/relationships/queryTable" Target="../queryTables/queryTable204.xml"/><Relationship Id="rId21" Type="http://schemas.openxmlformats.org/officeDocument/2006/relationships/queryTable" Target="../queryTables/queryTable222.xml"/><Relationship Id="rId7" Type="http://schemas.openxmlformats.org/officeDocument/2006/relationships/queryTable" Target="../queryTables/queryTable208.xml"/><Relationship Id="rId12" Type="http://schemas.openxmlformats.org/officeDocument/2006/relationships/queryTable" Target="../queryTables/queryTable213.xml"/><Relationship Id="rId17" Type="http://schemas.openxmlformats.org/officeDocument/2006/relationships/queryTable" Target="../queryTables/queryTable218.xml"/><Relationship Id="rId25" Type="http://schemas.openxmlformats.org/officeDocument/2006/relationships/queryTable" Target="../queryTables/queryTable226.xml"/><Relationship Id="rId2" Type="http://schemas.openxmlformats.org/officeDocument/2006/relationships/queryTable" Target="../queryTables/queryTable203.xml"/><Relationship Id="rId16" Type="http://schemas.openxmlformats.org/officeDocument/2006/relationships/queryTable" Target="../queryTables/queryTable217.xml"/><Relationship Id="rId20" Type="http://schemas.openxmlformats.org/officeDocument/2006/relationships/queryTable" Target="../queryTables/queryTable221.xml"/><Relationship Id="rId1" Type="http://schemas.openxmlformats.org/officeDocument/2006/relationships/queryTable" Target="../queryTables/queryTable202.xml"/><Relationship Id="rId6" Type="http://schemas.openxmlformats.org/officeDocument/2006/relationships/queryTable" Target="../queryTables/queryTable207.xml"/><Relationship Id="rId11" Type="http://schemas.openxmlformats.org/officeDocument/2006/relationships/queryTable" Target="../queryTables/queryTable212.xml"/><Relationship Id="rId24" Type="http://schemas.openxmlformats.org/officeDocument/2006/relationships/queryTable" Target="../queryTables/queryTable225.xml"/><Relationship Id="rId5" Type="http://schemas.openxmlformats.org/officeDocument/2006/relationships/queryTable" Target="../queryTables/queryTable206.xml"/><Relationship Id="rId15" Type="http://schemas.openxmlformats.org/officeDocument/2006/relationships/queryTable" Target="../queryTables/queryTable216.xml"/><Relationship Id="rId23" Type="http://schemas.openxmlformats.org/officeDocument/2006/relationships/queryTable" Target="../queryTables/queryTable224.xml"/><Relationship Id="rId10" Type="http://schemas.openxmlformats.org/officeDocument/2006/relationships/queryTable" Target="../queryTables/queryTable211.xml"/><Relationship Id="rId19" Type="http://schemas.openxmlformats.org/officeDocument/2006/relationships/queryTable" Target="../queryTables/queryTable220.xml"/><Relationship Id="rId4" Type="http://schemas.openxmlformats.org/officeDocument/2006/relationships/queryTable" Target="../queryTables/queryTable205.xml"/><Relationship Id="rId9" Type="http://schemas.openxmlformats.org/officeDocument/2006/relationships/queryTable" Target="../queryTables/queryTable210.xml"/><Relationship Id="rId14" Type="http://schemas.openxmlformats.org/officeDocument/2006/relationships/queryTable" Target="../queryTables/queryTable215.xml"/><Relationship Id="rId22" Type="http://schemas.openxmlformats.org/officeDocument/2006/relationships/queryTable" Target="../queryTables/queryTable223.xml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34.xml"/><Relationship Id="rId13" Type="http://schemas.openxmlformats.org/officeDocument/2006/relationships/queryTable" Target="../queryTables/queryTable239.xml"/><Relationship Id="rId18" Type="http://schemas.openxmlformats.org/officeDocument/2006/relationships/queryTable" Target="../queryTables/queryTable244.xml"/><Relationship Id="rId3" Type="http://schemas.openxmlformats.org/officeDocument/2006/relationships/queryTable" Target="../queryTables/queryTable229.xml"/><Relationship Id="rId21" Type="http://schemas.openxmlformats.org/officeDocument/2006/relationships/queryTable" Target="../queryTables/queryTable247.xml"/><Relationship Id="rId7" Type="http://schemas.openxmlformats.org/officeDocument/2006/relationships/queryTable" Target="../queryTables/queryTable233.xml"/><Relationship Id="rId12" Type="http://schemas.openxmlformats.org/officeDocument/2006/relationships/queryTable" Target="../queryTables/queryTable238.xml"/><Relationship Id="rId17" Type="http://schemas.openxmlformats.org/officeDocument/2006/relationships/queryTable" Target="../queryTables/queryTable243.xml"/><Relationship Id="rId25" Type="http://schemas.openxmlformats.org/officeDocument/2006/relationships/queryTable" Target="../queryTables/queryTable251.xml"/><Relationship Id="rId2" Type="http://schemas.openxmlformats.org/officeDocument/2006/relationships/queryTable" Target="../queryTables/queryTable228.xml"/><Relationship Id="rId16" Type="http://schemas.openxmlformats.org/officeDocument/2006/relationships/queryTable" Target="../queryTables/queryTable242.xml"/><Relationship Id="rId20" Type="http://schemas.openxmlformats.org/officeDocument/2006/relationships/queryTable" Target="../queryTables/queryTable246.xml"/><Relationship Id="rId1" Type="http://schemas.openxmlformats.org/officeDocument/2006/relationships/queryTable" Target="../queryTables/queryTable227.xml"/><Relationship Id="rId6" Type="http://schemas.openxmlformats.org/officeDocument/2006/relationships/queryTable" Target="../queryTables/queryTable232.xml"/><Relationship Id="rId11" Type="http://schemas.openxmlformats.org/officeDocument/2006/relationships/queryTable" Target="../queryTables/queryTable237.xml"/><Relationship Id="rId24" Type="http://schemas.openxmlformats.org/officeDocument/2006/relationships/queryTable" Target="../queryTables/queryTable250.xml"/><Relationship Id="rId5" Type="http://schemas.openxmlformats.org/officeDocument/2006/relationships/queryTable" Target="../queryTables/queryTable231.xml"/><Relationship Id="rId15" Type="http://schemas.openxmlformats.org/officeDocument/2006/relationships/queryTable" Target="../queryTables/queryTable241.xml"/><Relationship Id="rId23" Type="http://schemas.openxmlformats.org/officeDocument/2006/relationships/queryTable" Target="../queryTables/queryTable249.xml"/><Relationship Id="rId10" Type="http://schemas.openxmlformats.org/officeDocument/2006/relationships/queryTable" Target="../queryTables/queryTable236.xml"/><Relationship Id="rId19" Type="http://schemas.openxmlformats.org/officeDocument/2006/relationships/queryTable" Target="../queryTables/queryTable245.xml"/><Relationship Id="rId4" Type="http://schemas.openxmlformats.org/officeDocument/2006/relationships/queryTable" Target="../queryTables/queryTable230.xml"/><Relationship Id="rId9" Type="http://schemas.openxmlformats.org/officeDocument/2006/relationships/queryTable" Target="../queryTables/queryTable235.xml"/><Relationship Id="rId14" Type="http://schemas.openxmlformats.org/officeDocument/2006/relationships/queryTable" Target="../queryTables/queryTable240.xml"/><Relationship Id="rId22" Type="http://schemas.openxmlformats.org/officeDocument/2006/relationships/queryTable" Target="../queryTables/queryTable248.xm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59.xml"/><Relationship Id="rId13" Type="http://schemas.openxmlformats.org/officeDocument/2006/relationships/queryTable" Target="../queryTables/queryTable264.xml"/><Relationship Id="rId18" Type="http://schemas.openxmlformats.org/officeDocument/2006/relationships/queryTable" Target="../queryTables/queryTable269.xml"/><Relationship Id="rId3" Type="http://schemas.openxmlformats.org/officeDocument/2006/relationships/queryTable" Target="../queryTables/queryTable254.xml"/><Relationship Id="rId21" Type="http://schemas.openxmlformats.org/officeDocument/2006/relationships/queryTable" Target="../queryTables/queryTable272.xml"/><Relationship Id="rId7" Type="http://schemas.openxmlformats.org/officeDocument/2006/relationships/queryTable" Target="../queryTables/queryTable258.xml"/><Relationship Id="rId12" Type="http://schemas.openxmlformats.org/officeDocument/2006/relationships/queryTable" Target="../queryTables/queryTable263.xml"/><Relationship Id="rId17" Type="http://schemas.openxmlformats.org/officeDocument/2006/relationships/queryTable" Target="../queryTables/queryTable268.xml"/><Relationship Id="rId25" Type="http://schemas.openxmlformats.org/officeDocument/2006/relationships/queryTable" Target="../queryTables/queryTable276.xml"/><Relationship Id="rId2" Type="http://schemas.openxmlformats.org/officeDocument/2006/relationships/queryTable" Target="../queryTables/queryTable253.xml"/><Relationship Id="rId16" Type="http://schemas.openxmlformats.org/officeDocument/2006/relationships/queryTable" Target="../queryTables/queryTable267.xml"/><Relationship Id="rId20" Type="http://schemas.openxmlformats.org/officeDocument/2006/relationships/queryTable" Target="../queryTables/queryTable271.xml"/><Relationship Id="rId1" Type="http://schemas.openxmlformats.org/officeDocument/2006/relationships/queryTable" Target="../queryTables/queryTable252.xml"/><Relationship Id="rId6" Type="http://schemas.openxmlformats.org/officeDocument/2006/relationships/queryTable" Target="../queryTables/queryTable257.xml"/><Relationship Id="rId11" Type="http://schemas.openxmlformats.org/officeDocument/2006/relationships/queryTable" Target="../queryTables/queryTable262.xml"/><Relationship Id="rId24" Type="http://schemas.openxmlformats.org/officeDocument/2006/relationships/queryTable" Target="../queryTables/queryTable275.xml"/><Relationship Id="rId5" Type="http://schemas.openxmlformats.org/officeDocument/2006/relationships/queryTable" Target="../queryTables/queryTable256.xml"/><Relationship Id="rId15" Type="http://schemas.openxmlformats.org/officeDocument/2006/relationships/queryTable" Target="../queryTables/queryTable266.xml"/><Relationship Id="rId23" Type="http://schemas.openxmlformats.org/officeDocument/2006/relationships/queryTable" Target="../queryTables/queryTable274.xml"/><Relationship Id="rId10" Type="http://schemas.openxmlformats.org/officeDocument/2006/relationships/queryTable" Target="../queryTables/queryTable261.xml"/><Relationship Id="rId19" Type="http://schemas.openxmlformats.org/officeDocument/2006/relationships/queryTable" Target="../queryTables/queryTable270.xml"/><Relationship Id="rId4" Type="http://schemas.openxmlformats.org/officeDocument/2006/relationships/queryTable" Target="../queryTables/queryTable255.xml"/><Relationship Id="rId9" Type="http://schemas.openxmlformats.org/officeDocument/2006/relationships/queryTable" Target="../queryTables/queryTable260.xml"/><Relationship Id="rId14" Type="http://schemas.openxmlformats.org/officeDocument/2006/relationships/queryTable" Target="../queryTables/queryTable265.xml"/><Relationship Id="rId22" Type="http://schemas.openxmlformats.org/officeDocument/2006/relationships/queryTable" Target="../queryTables/queryTable273.xml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84.xml"/><Relationship Id="rId13" Type="http://schemas.openxmlformats.org/officeDocument/2006/relationships/queryTable" Target="../queryTables/queryTable289.xml"/><Relationship Id="rId18" Type="http://schemas.openxmlformats.org/officeDocument/2006/relationships/queryTable" Target="../queryTables/queryTable294.xml"/><Relationship Id="rId3" Type="http://schemas.openxmlformats.org/officeDocument/2006/relationships/queryTable" Target="../queryTables/queryTable279.xml"/><Relationship Id="rId21" Type="http://schemas.openxmlformats.org/officeDocument/2006/relationships/queryTable" Target="../queryTables/queryTable297.xml"/><Relationship Id="rId7" Type="http://schemas.openxmlformats.org/officeDocument/2006/relationships/queryTable" Target="../queryTables/queryTable283.xml"/><Relationship Id="rId12" Type="http://schemas.openxmlformats.org/officeDocument/2006/relationships/queryTable" Target="../queryTables/queryTable288.xml"/><Relationship Id="rId17" Type="http://schemas.openxmlformats.org/officeDocument/2006/relationships/queryTable" Target="../queryTables/queryTable293.xml"/><Relationship Id="rId25" Type="http://schemas.openxmlformats.org/officeDocument/2006/relationships/queryTable" Target="../queryTables/queryTable301.xml"/><Relationship Id="rId2" Type="http://schemas.openxmlformats.org/officeDocument/2006/relationships/queryTable" Target="../queryTables/queryTable278.xml"/><Relationship Id="rId16" Type="http://schemas.openxmlformats.org/officeDocument/2006/relationships/queryTable" Target="../queryTables/queryTable292.xml"/><Relationship Id="rId20" Type="http://schemas.openxmlformats.org/officeDocument/2006/relationships/queryTable" Target="../queryTables/queryTable296.xml"/><Relationship Id="rId1" Type="http://schemas.openxmlformats.org/officeDocument/2006/relationships/queryTable" Target="../queryTables/queryTable277.xml"/><Relationship Id="rId6" Type="http://schemas.openxmlformats.org/officeDocument/2006/relationships/queryTable" Target="../queryTables/queryTable282.xml"/><Relationship Id="rId11" Type="http://schemas.openxmlformats.org/officeDocument/2006/relationships/queryTable" Target="../queryTables/queryTable287.xml"/><Relationship Id="rId24" Type="http://schemas.openxmlformats.org/officeDocument/2006/relationships/queryTable" Target="../queryTables/queryTable300.xml"/><Relationship Id="rId5" Type="http://schemas.openxmlformats.org/officeDocument/2006/relationships/queryTable" Target="../queryTables/queryTable281.xml"/><Relationship Id="rId15" Type="http://schemas.openxmlformats.org/officeDocument/2006/relationships/queryTable" Target="../queryTables/queryTable291.xml"/><Relationship Id="rId23" Type="http://schemas.openxmlformats.org/officeDocument/2006/relationships/queryTable" Target="../queryTables/queryTable299.xml"/><Relationship Id="rId10" Type="http://schemas.openxmlformats.org/officeDocument/2006/relationships/queryTable" Target="../queryTables/queryTable286.xml"/><Relationship Id="rId19" Type="http://schemas.openxmlformats.org/officeDocument/2006/relationships/queryTable" Target="../queryTables/queryTable295.xml"/><Relationship Id="rId4" Type="http://schemas.openxmlformats.org/officeDocument/2006/relationships/queryTable" Target="../queryTables/queryTable280.xml"/><Relationship Id="rId9" Type="http://schemas.openxmlformats.org/officeDocument/2006/relationships/queryTable" Target="../queryTables/queryTable285.xml"/><Relationship Id="rId14" Type="http://schemas.openxmlformats.org/officeDocument/2006/relationships/queryTable" Target="../queryTables/queryTable290.xml"/><Relationship Id="rId22" Type="http://schemas.openxmlformats.org/officeDocument/2006/relationships/queryTable" Target="../queryTables/queryTable298.x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309.xml"/><Relationship Id="rId13" Type="http://schemas.openxmlformats.org/officeDocument/2006/relationships/queryTable" Target="../queryTables/queryTable314.xml"/><Relationship Id="rId18" Type="http://schemas.openxmlformats.org/officeDocument/2006/relationships/queryTable" Target="../queryTables/queryTable319.xml"/><Relationship Id="rId3" Type="http://schemas.openxmlformats.org/officeDocument/2006/relationships/queryTable" Target="../queryTables/queryTable304.xml"/><Relationship Id="rId21" Type="http://schemas.openxmlformats.org/officeDocument/2006/relationships/queryTable" Target="../queryTables/queryTable322.xml"/><Relationship Id="rId7" Type="http://schemas.openxmlformats.org/officeDocument/2006/relationships/queryTable" Target="../queryTables/queryTable308.xml"/><Relationship Id="rId12" Type="http://schemas.openxmlformats.org/officeDocument/2006/relationships/queryTable" Target="../queryTables/queryTable313.xml"/><Relationship Id="rId17" Type="http://schemas.openxmlformats.org/officeDocument/2006/relationships/queryTable" Target="../queryTables/queryTable318.xml"/><Relationship Id="rId25" Type="http://schemas.openxmlformats.org/officeDocument/2006/relationships/queryTable" Target="../queryTables/queryTable326.xml"/><Relationship Id="rId2" Type="http://schemas.openxmlformats.org/officeDocument/2006/relationships/queryTable" Target="../queryTables/queryTable303.xml"/><Relationship Id="rId16" Type="http://schemas.openxmlformats.org/officeDocument/2006/relationships/queryTable" Target="../queryTables/queryTable317.xml"/><Relationship Id="rId20" Type="http://schemas.openxmlformats.org/officeDocument/2006/relationships/queryTable" Target="../queryTables/queryTable321.xml"/><Relationship Id="rId1" Type="http://schemas.openxmlformats.org/officeDocument/2006/relationships/queryTable" Target="../queryTables/queryTable302.xml"/><Relationship Id="rId6" Type="http://schemas.openxmlformats.org/officeDocument/2006/relationships/queryTable" Target="../queryTables/queryTable307.xml"/><Relationship Id="rId11" Type="http://schemas.openxmlformats.org/officeDocument/2006/relationships/queryTable" Target="../queryTables/queryTable312.xml"/><Relationship Id="rId24" Type="http://schemas.openxmlformats.org/officeDocument/2006/relationships/queryTable" Target="../queryTables/queryTable325.xml"/><Relationship Id="rId5" Type="http://schemas.openxmlformats.org/officeDocument/2006/relationships/queryTable" Target="../queryTables/queryTable306.xml"/><Relationship Id="rId15" Type="http://schemas.openxmlformats.org/officeDocument/2006/relationships/queryTable" Target="../queryTables/queryTable316.xml"/><Relationship Id="rId23" Type="http://schemas.openxmlformats.org/officeDocument/2006/relationships/queryTable" Target="../queryTables/queryTable324.xml"/><Relationship Id="rId10" Type="http://schemas.openxmlformats.org/officeDocument/2006/relationships/queryTable" Target="../queryTables/queryTable311.xml"/><Relationship Id="rId19" Type="http://schemas.openxmlformats.org/officeDocument/2006/relationships/queryTable" Target="../queryTables/queryTable320.xml"/><Relationship Id="rId4" Type="http://schemas.openxmlformats.org/officeDocument/2006/relationships/queryTable" Target="../queryTables/queryTable305.xml"/><Relationship Id="rId9" Type="http://schemas.openxmlformats.org/officeDocument/2006/relationships/queryTable" Target="../queryTables/queryTable310.xml"/><Relationship Id="rId14" Type="http://schemas.openxmlformats.org/officeDocument/2006/relationships/queryTable" Target="../queryTables/queryTable315.xml"/><Relationship Id="rId22" Type="http://schemas.openxmlformats.org/officeDocument/2006/relationships/queryTable" Target="../queryTables/queryTable323.xml"/></Relationships>
</file>

<file path=xl/worksheets/_rels/sheet36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334.xml"/><Relationship Id="rId13" Type="http://schemas.openxmlformats.org/officeDocument/2006/relationships/queryTable" Target="../queryTables/queryTable339.xml"/><Relationship Id="rId18" Type="http://schemas.openxmlformats.org/officeDocument/2006/relationships/queryTable" Target="../queryTables/queryTable344.xml"/><Relationship Id="rId3" Type="http://schemas.openxmlformats.org/officeDocument/2006/relationships/queryTable" Target="../queryTables/queryTable329.xml"/><Relationship Id="rId21" Type="http://schemas.openxmlformats.org/officeDocument/2006/relationships/queryTable" Target="../queryTables/queryTable347.xml"/><Relationship Id="rId7" Type="http://schemas.openxmlformats.org/officeDocument/2006/relationships/queryTable" Target="../queryTables/queryTable333.xml"/><Relationship Id="rId12" Type="http://schemas.openxmlformats.org/officeDocument/2006/relationships/queryTable" Target="../queryTables/queryTable338.xml"/><Relationship Id="rId17" Type="http://schemas.openxmlformats.org/officeDocument/2006/relationships/queryTable" Target="../queryTables/queryTable343.xml"/><Relationship Id="rId25" Type="http://schemas.openxmlformats.org/officeDocument/2006/relationships/queryTable" Target="../queryTables/queryTable351.xml"/><Relationship Id="rId2" Type="http://schemas.openxmlformats.org/officeDocument/2006/relationships/queryTable" Target="../queryTables/queryTable328.xml"/><Relationship Id="rId16" Type="http://schemas.openxmlformats.org/officeDocument/2006/relationships/queryTable" Target="../queryTables/queryTable342.xml"/><Relationship Id="rId20" Type="http://schemas.openxmlformats.org/officeDocument/2006/relationships/queryTable" Target="../queryTables/queryTable346.xml"/><Relationship Id="rId1" Type="http://schemas.openxmlformats.org/officeDocument/2006/relationships/queryTable" Target="../queryTables/queryTable327.xml"/><Relationship Id="rId6" Type="http://schemas.openxmlformats.org/officeDocument/2006/relationships/queryTable" Target="../queryTables/queryTable332.xml"/><Relationship Id="rId11" Type="http://schemas.openxmlformats.org/officeDocument/2006/relationships/queryTable" Target="../queryTables/queryTable337.xml"/><Relationship Id="rId24" Type="http://schemas.openxmlformats.org/officeDocument/2006/relationships/queryTable" Target="../queryTables/queryTable350.xml"/><Relationship Id="rId5" Type="http://schemas.openxmlformats.org/officeDocument/2006/relationships/queryTable" Target="../queryTables/queryTable331.xml"/><Relationship Id="rId15" Type="http://schemas.openxmlformats.org/officeDocument/2006/relationships/queryTable" Target="../queryTables/queryTable341.xml"/><Relationship Id="rId23" Type="http://schemas.openxmlformats.org/officeDocument/2006/relationships/queryTable" Target="../queryTables/queryTable349.xml"/><Relationship Id="rId10" Type="http://schemas.openxmlformats.org/officeDocument/2006/relationships/queryTable" Target="../queryTables/queryTable336.xml"/><Relationship Id="rId19" Type="http://schemas.openxmlformats.org/officeDocument/2006/relationships/queryTable" Target="../queryTables/queryTable345.xml"/><Relationship Id="rId4" Type="http://schemas.openxmlformats.org/officeDocument/2006/relationships/queryTable" Target="../queryTables/queryTable330.xml"/><Relationship Id="rId9" Type="http://schemas.openxmlformats.org/officeDocument/2006/relationships/queryTable" Target="../queryTables/queryTable335.xml"/><Relationship Id="rId14" Type="http://schemas.openxmlformats.org/officeDocument/2006/relationships/queryTable" Target="../queryTables/queryTable340.xml"/><Relationship Id="rId22" Type="http://schemas.openxmlformats.org/officeDocument/2006/relationships/queryTable" Target="../queryTables/queryTable348.xml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359.xml"/><Relationship Id="rId13" Type="http://schemas.openxmlformats.org/officeDocument/2006/relationships/queryTable" Target="../queryTables/queryTable364.xml"/><Relationship Id="rId18" Type="http://schemas.openxmlformats.org/officeDocument/2006/relationships/queryTable" Target="../queryTables/queryTable369.xml"/><Relationship Id="rId3" Type="http://schemas.openxmlformats.org/officeDocument/2006/relationships/queryTable" Target="../queryTables/queryTable354.xml"/><Relationship Id="rId21" Type="http://schemas.openxmlformats.org/officeDocument/2006/relationships/queryTable" Target="../queryTables/queryTable372.xml"/><Relationship Id="rId7" Type="http://schemas.openxmlformats.org/officeDocument/2006/relationships/queryTable" Target="../queryTables/queryTable358.xml"/><Relationship Id="rId12" Type="http://schemas.openxmlformats.org/officeDocument/2006/relationships/queryTable" Target="../queryTables/queryTable363.xml"/><Relationship Id="rId17" Type="http://schemas.openxmlformats.org/officeDocument/2006/relationships/queryTable" Target="../queryTables/queryTable368.xml"/><Relationship Id="rId25" Type="http://schemas.openxmlformats.org/officeDocument/2006/relationships/queryTable" Target="../queryTables/queryTable376.xml"/><Relationship Id="rId2" Type="http://schemas.openxmlformats.org/officeDocument/2006/relationships/queryTable" Target="../queryTables/queryTable353.xml"/><Relationship Id="rId16" Type="http://schemas.openxmlformats.org/officeDocument/2006/relationships/queryTable" Target="../queryTables/queryTable367.xml"/><Relationship Id="rId20" Type="http://schemas.openxmlformats.org/officeDocument/2006/relationships/queryTable" Target="../queryTables/queryTable371.xml"/><Relationship Id="rId1" Type="http://schemas.openxmlformats.org/officeDocument/2006/relationships/queryTable" Target="../queryTables/queryTable352.xml"/><Relationship Id="rId6" Type="http://schemas.openxmlformats.org/officeDocument/2006/relationships/queryTable" Target="../queryTables/queryTable357.xml"/><Relationship Id="rId11" Type="http://schemas.openxmlformats.org/officeDocument/2006/relationships/queryTable" Target="../queryTables/queryTable362.xml"/><Relationship Id="rId24" Type="http://schemas.openxmlformats.org/officeDocument/2006/relationships/queryTable" Target="../queryTables/queryTable375.xml"/><Relationship Id="rId5" Type="http://schemas.openxmlformats.org/officeDocument/2006/relationships/queryTable" Target="../queryTables/queryTable356.xml"/><Relationship Id="rId15" Type="http://schemas.openxmlformats.org/officeDocument/2006/relationships/queryTable" Target="../queryTables/queryTable366.xml"/><Relationship Id="rId23" Type="http://schemas.openxmlformats.org/officeDocument/2006/relationships/queryTable" Target="../queryTables/queryTable374.xml"/><Relationship Id="rId10" Type="http://schemas.openxmlformats.org/officeDocument/2006/relationships/queryTable" Target="../queryTables/queryTable361.xml"/><Relationship Id="rId19" Type="http://schemas.openxmlformats.org/officeDocument/2006/relationships/queryTable" Target="../queryTables/queryTable370.xml"/><Relationship Id="rId4" Type="http://schemas.openxmlformats.org/officeDocument/2006/relationships/queryTable" Target="../queryTables/queryTable355.xml"/><Relationship Id="rId9" Type="http://schemas.openxmlformats.org/officeDocument/2006/relationships/queryTable" Target="../queryTables/queryTable360.xml"/><Relationship Id="rId14" Type="http://schemas.openxmlformats.org/officeDocument/2006/relationships/queryTable" Target="../queryTables/queryTable365.xml"/><Relationship Id="rId22" Type="http://schemas.openxmlformats.org/officeDocument/2006/relationships/queryTable" Target="../queryTables/queryTable373.xml"/></Relationships>
</file>

<file path=xl/worksheets/_rels/sheet38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384.xml"/><Relationship Id="rId13" Type="http://schemas.openxmlformats.org/officeDocument/2006/relationships/queryTable" Target="../queryTables/queryTable389.xml"/><Relationship Id="rId18" Type="http://schemas.openxmlformats.org/officeDocument/2006/relationships/queryTable" Target="../queryTables/queryTable394.xml"/><Relationship Id="rId3" Type="http://schemas.openxmlformats.org/officeDocument/2006/relationships/queryTable" Target="../queryTables/queryTable379.xml"/><Relationship Id="rId21" Type="http://schemas.openxmlformats.org/officeDocument/2006/relationships/queryTable" Target="../queryTables/queryTable397.xml"/><Relationship Id="rId7" Type="http://schemas.openxmlformats.org/officeDocument/2006/relationships/queryTable" Target="../queryTables/queryTable383.xml"/><Relationship Id="rId12" Type="http://schemas.openxmlformats.org/officeDocument/2006/relationships/queryTable" Target="../queryTables/queryTable388.xml"/><Relationship Id="rId17" Type="http://schemas.openxmlformats.org/officeDocument/2006/relationships/queryTable" Target="../queryTables/queryTable393.xml"/><Relationship Id="rId25" Type="http://schemas.openxmlformats.org/officeDocument/2006/relationships/queryTable" Target="../queryTables/queryTable401.xml"/><Relationship Id="rId2" Type="http://schemas.openxmlformats.org/officeDocument/2006/relationships/queryTable" Target="../queryTables/queryTable378.xml"/><Relationship Id="rId16" Type="http://schemas.openxmlformats.org/officeDocument/2006/relationships/queryTable" Target="../queryTables/queryTable392.xml"/><Relationship Id="rId20" Type="http://schemas.openxmlformats.org/officeDocument/2006/relationships/queryTable" Target="../queryTables/queryTable396.xml"/><Relationship Id="rId1" Type="http://schemas.openxmlformats.org/officeDocument/2006/relationships/queryTable" Target="../queryTables/queryTable377.xml"/><Relationship Id="rId6" Type="http://schemas.openxmlformats.org/officeDocument/2006/relationships/queryTable" Target="../queryTables/queryTable382.xml"/><Relationship Id="rId11" Type="http://schemas.openxmlformats.org/officeDocument/2006/relationships/queryTable" Target="../queryTables/queryTable387.xml"/><Relationship Id="rId24" Type="http://schemas.openxmlformats.org/officeDocument/2006/relationships/queryTable" Target="../queryTables/queryTable400.xml"/><Relationship Id="rId5" Type="http://schemas.openxmlformats.org/officeDocument/2006/relationships/queryTable" Target="../queryTables/queryTable381.xml"/><Relationship Id="rId15" Type="http://schemas.openxmlformats.org/officeDocument/2006/relationships/queryTable" Target="../queryTables/queryTable391.xml"/><Relationship Id="rId23" Type="http://schemas.openxmlformats.org/officeDocument/2006/relationships/queryTable" Target="../queryTables/queryTable399.xml"/><Relationship Id="rId10" Type="http://schemas.openxmlformats.org/officeDocument/2006/relationships/queryTable" Target="../queryTables/queryTable386.xml"/><Relationship Id="rId19" Type="http://schemas.openxmlformats.org/officeDocument/2006/relationships/queryTable" Target="../queryTables/queryTable395.xml"/><Relationship Id="rId4" Type="http://schemas.openxmlformats.org/officeDocument/2006/relationships/queryTable" Target="../queryTables/queryTable380.xml"/><Relationship Id="rId9" Type="http://schemas.openxmlformats.org/officeDocument/2006/relationships/queryTable" Target="../queryTables/queryTable385.xml"/><Relationship Id="rId14" Type="http://schemas.openxmlformats.org/officeDocument/2006/relationships/queryTable" Target="../queryTables/queryTable390.xml"/><Relationship Id="rId22" Type="http://schemas.openxmlformats.org/officeDocument/2006/relationships/queryTable" Target="../queryTables/queryTable398.xml"/></Relationships>
</file>

<file path=xl/worksheets/_rels/sheet39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09.xml"/><Relationship Id="rId13" Type="http://schemas.openxmlformats.org/officeDocument/2006/relationships/queryTable" Target="../queryTables/queryTable414.xml"/><Relationship Id="rId18" Type="http://schemas.openxmlformats.org/officeDocument/2006/relationships/queryTable" Target="../queryTables/queryTable419.xml"/><Relationship Id="rId3" Type="http://schemas.openxmlformats.org/officeDocument/2006/relationships/queryTable" Target="../queryTables/queryTable404.xml"/><Relationship Id="rId21" Type="http://schemas.openxmlformats.org/officeDocument/2006/relationships/queryTable" Target="../queryTables/queryTable422.xml"/><Relationship Id="rId7" Type="http://schemas.openxmlformats.org/officeDocument/2006/relationships/queryTable" Target="../queryTables/queryTable408.xml"/><Relationship Id="rId12" Type="http://schemas.openxmlformats.org/officeDocument/2006/relationships/queryTable" Target="../queryTables/queryTable413.xml"/><Relationship Id="rId17" Type="http://schemas.openxmlformats.org/officeDocument/2006/relationships/queryTable" Target="../queryTables/queryTable418.xml"/><Relationship Id="rId25" Type="http://schemas.openxmlformats.org/officeDocument/2006/relationships/queryTable" Target="../queryTables/queryTable426.xml"/><Relationship Id="rId2" Type="http://schemas.openxmlformats.org/officeDocument/2006/relationships/queryTable" Target="../queryTables/queryTable403.xml"/><Relationship Id="rId16" Type="http://schemas.openxmlformats.org/officeDocument/2006/relationships/queryTable" Target="../queryTables/queryTable417.xml"/><Relationship Id="rId20" Type="http://schemas.openxmlformats.org/officeDocument/2006/relationships/queryTable" Target="../queryTables/queryTable421.xml"/><Relationship Id="rId1" Type="http://schemas.openxmlformats.org/officeDocument/2006/relationships/queryTable" Target="../queryTables/queryTable402.xml"/><Relationship Id="rId6" Type="http://schemas.openxmlformats.org/officeDocument/2006/relationships/queryTable" Target="../queryTables/queryTable407.xml"/><Relationship Id="rId11" Type="http://schemas.openxmlformats.org/officeDocument/2006/relationships/queryTable" Target="../queryTables/queryTable412.xml"/><Relationship Id="rId24" Type="http://schemas.openxmlformats.org/officeDocument/2006/relationships/queryTable" Target="../queryTables/queryTable425.xml"/><Relationship Id="rId5" Type="http://schemas.openxmlformats.org/officeDocument/2006/relationships/queryTable" Target="../queryTables/queryTable406.xml"/><Relationship Id="rId15" Type="http://schemas.openxmlformats.org/officeDocument/2006/relationships/queryTable" Target="../queryTables/queryTable416.xml"/><Relationship Id="rId23" Type="http://schemas.openxmlformats.org/officeDocument/2006/relationships/queryTable" Target="../queryTables/queryTable424.xml"/><Relationship Id="rId10" Type="http://schemas.openxmlformats.org/officeDocument/2006/relationships/queryTable" Target="../queryTables/queryTable411.xml"/><Relationship Id="rId19" Type="http://schemas.openxmlformats.org/officeDocument/2006/relationships/queryTable" Target="../queryTables/queryTable420.xml"/><Relationship Id="rId4" Type="http://schemas.openxmlformats.org/officeDocument/2006/relationships/queryTable" Target="../queryTables/queryTable405.xml"/><Relationship Id="rId9" Type="http://schemas.openxmlformats.org/officeDocument/2006/relationships/queryTable" Target="../queryTables/queryTable410.xml"/><Relationship Id="rId14" Type="http://schemas.openxmlformats.org/officeDocument/2006/relationships/queryTable" Target="../queryTables/queryTable415.xml"/><Relationship Id="rId22" Type="http://schemas.openxmlformats.org/officeDocument/2006/relationships/queryTable" Target="../queryTables/queryTable423.xml"/></Relationships>
</file>

<file path=xl/worksheets/_rels/sheet40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34.xml"/><Relationship Id="rId13" Type="http://schemas.openxmlformats.org/officeDocument/2006/relationships/queryTable" Target="../queryTables/queryTable439.xml"/><Relationship Id="rId18" Type="http://schemas.openxmlformats.org/officeDocument/2006/relationships/queryTable" Target="../queryTables/queryTable444.xml"/><Relationship Id="rId3" Type="http://schemas.openxmlformats.org/officeDocument/2006/relationships/queryTable" Target="../queryTables/queryTable429.xml"/><Relationship Id="rId21" Type="http://schemas.openxmlformats.org/officeDocument/2006/relationships/queryTable" Target="../queryTables/queryTable447.xml"/><Relationship Id="rId7" Type="http://schemas.openxmlformats.org/officeDocument/2006/relationships/queryTable" Target="../queryTables/queryTable433.xml"/><Relationship Id="rId12" Type="http://schemas.openxmlformats.org/officeDocument/2006/relationships/queryTable" Target="../queryTables/queryTable438.xml"/><Relationship Id="rId17" Type="http://schemas.openxmlformats.org/officeDocument/2006/relationships/queryTable" Target="../queryTables/queryTable443.xml"/><Relationship Id="rId25" Type="http://schemas.openxmlformats.org/officeDocument/2006/relationships/queryTable" Target="../queryTables/queryTable451.xml"/><Relationship Id="rId2" Type="http://schemas.openxmlformats.org/officeDocument/2006/relationships/queryTable" Target="../queryTables/queryTable428.xml"/><Relationship Id="rId16" Type="http://schemas.openxmlformats.org/officeDocument/2006/relationships/queryTable" Target="../queryTables/queryTable442.xml"/><Relationship Id="rId20" Type="http://schemas.openxmlformats.org/officeDocument/2006/relationships/queryTable" Target="../queryTables/queryTable446.xml"/><Relationship Id="rId1" Type="http://schemas.openxmlformats.org/officeDocument/2006/relationships/queryTable" Target="../queryTables/queryTable427.xml"/><Relationship Id="rId6" Type="http://schemas.openxmlformats.org/officeDocument/2006/relationships/queryTable" Target="../queryTables/queryTable432.xml"/><Relationship Id="rId11" Type="http://schemas.openxmlformats.org/officeDocument/2006/relationships/queryTable" Target="../queryTables/queryTable437.xml"/><Relationship Id="rId24" Type="http://schemas.openxmlformats.org/officeDocument/2006/relationships/queryTable" Target="../queryTables/queryTable450.xml"/><Relationship Id="rId5" Type="http://schemas.openxmlformats.org/officeDocument/2006/relationships/queryTable" Target="../queryTables/queryTable431.xml"/><Relationship Id="rId15" Type="http://schemas.openxmlformats.org/officeDocument/2006/relationships/queryTable" Target="../queryTables/queryTable441.xml"/><Relationship Id="rId23" Type="http://schemas.openxmlformats.org/officeDocument/2006/relationships/queryTable" Target="../queryTables/queryTable449.xml"/><Relationship Id="rId10" Type="http://schemas.openxmlformats.org/officeDocument/2006/relationships/queryTable" Target="../queryTables/queryTable436.xml"/><Relationship Id="rId19" Type="http://schemas.openxmlformats.org/officeDocument/2006/relationships/queryTable" Target="../queryTables/queryTable445.xml"/><Relationship Id="rId4" Type="http://schemas.openxmlformats.org/officeDocument/2006/relationships/queryTable" Target="../queryTables/queryTable430.xml"/><Relationship Id="rId9" Type="http://schemas.openxmlformats.org/officeDocument/2006/relationships/queryTable" Target="../queryTables/queryTable435.xml"/><Relationship Id="rId14" Type="http://schemas.openxmlformats.org/officeDocument/2006/relationships/queryTable" Target="../queryTables/queryTable440.xml"/><Relationship Id="rId22" Type="http://schemas.openxmlformats.org/officeDocument/2006/relationships/queryTable" Target="../queryTables/queryTable448.xml"/></Relationships>
</file>

<file path=xl/worksheets/_rels/sheet4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59.xml"/><Relationship Id="rId13" Type="http://schemas.openxmlformats.org/officeDocument/2006/relationships/queryTable" Target="../queryTables/queryTable464.xml"/><Relationship Id="rId18" Type="http://schemas.openxmlformats.org/officeDocument/2006/relationships/queryTable" Target="../queryTables/queryTable469.xml"/><Relationship Id="rId3" Type="http://schemas.openxmlformats.org/officeDocument/2006/relationships/queryTable" Target="../queryTables/queryTable454.xml"/><Relationship Id="rId21" Type="http://schemas.openxmlformats.org/officeDocument/2006/relationships/queryTable" Target="../queryTables/queryTable472.xml"/><Relationship Id="rId7" Type="http://schemas.openxmlformats.org/officeDocument/2006/relationships/queryTable" Target="../queryTables/queryTable458.xml"/><Relationship Id="rId12" Type="http://schemas.openxmlformats.org/officeDocument/2006/relationships/queryTable" Target="../queryTables/queryTable463.xml"/><Relationship Id="rId17" Type="http://schemas.openxmlformats.org/officeDocument/2006/relationships/queryTable" Target="../queryTables/queryTable468.xml"/><Relationship Id="rId25" Type="http://schemas.openxmlformats.org/officeDocument/2006/relationships/queryTable" Target="../queryTables/queryTable476.xml"/><Relationship Id="rId2" Type="http://schemas.openxmlformats.org/officeDocument/2006/relationships/queryTable" Target="../queryTables/queryTable453.xml"/><Relationship Id="rId16" Type="http://schemas.openxmlformats.org/officeDocument/2006/relationships/queryTable" Target="../queryTables/queryTable467.xml"/><Relationship Id="rId20" Type="http://schemas.openxmlformats.org/officeDocument/2006/relationships/queryTable" Target="../queryTables/queryTable471.xml"/><Relationship Id="rId1" Type="http://schemas.openxmlformats.org/officeDocument/2006/relationships/queryTable" Target="../queryTables/queryTable452.xml"/><Relationship Id="rId6" Type="http://schemas.openxmlformats.org/officeDocument/2006/relationships/queryTable" Target="../queryTables/queryTable457.xml"/><Relationship Id="rId11" Type="http://schemas.openxmlformats.org/officeDocument/2006/relationships/queryTable" Target="../queryTables/queryTable462.xml"/><Relationship Id="rId24" Type="http://schemas.openxmlformats.org/officeDocument/2006/relationships/queryTable" Target="../queryTables/queryTable475.xml"/><Relationship Id="rId5" Type="http://schemas.openxmlformats.org/officeDocument/2006/relationships/queryTable" Target="../queryTables/queryTable456.xml"/><Relationship Id="rId15" Type="http://schemas.openxmlformats.org/officeDocument/2006/relationships/queryTable" Target="../queryTables/queryTable466.xml"/><Relationship Id="rId23" Type="http://schemas.openxmlformats.org/officeDocument/2006/relationships/queryTable" Target="../queryTables/queryTable474.xml"/><Relationship Id="rId10" Type="http://schemas.openxmlformats.org/officeDocument/2006/relationships/queryTable" Target="../queryTables/queryTable461.xml"/><Relationship Id="rId19" Type="http://schemas.openxmlformats.org/officeDocument/2006/relationships/queryTable" Target="../queryTables/queryTable470.xml"/><Relationship Id="rId4" Type="http://schemas.openxmlformats.org/officeDocument/2006/relationships/queryTable" Target="../queryTables/queryTable455.xml"/><Relationship Id="rId9" Type="http://schemas.openxmlformats.org/officeDocument/2006/relationships/queryTable" Target="../queryTables/queryTable460.xml"/><Relationship Id="rId14" Type="http://schemas.openxmlformats.org/officeDocument/2006/relationships/queryTable" Target="../queryTables/queryTable465.xml"/><Relationship Id="rId22" Type="http://schemas.openxmlformats.org/officeDocument/2006/relationships/queryTable" Target="../queryTables/queryTable473.xml"/></Relationships>
</file>

<file path=xl/worksheets/_rels/sheet4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84.xml"/><Relationship Id="rId13" Type="http://schemas.openxmlformats.org/officeDocument/2006/relationships/queryTable" Target="../queryTables/queryTable489.xml"/><Relationship Id="rId18" Type="http://schemas.openxmlformats.org/officeDocument/2006/relationships/queryTable" Target="../queryTables/queryTable494.xml"/><Relationship Id="rId3" Type="http://schemas.openxmlformats.org/officeDocument/2006/relationships/queryTable" Target="../queryTables/queryTable479.xml"/><Relationship Id="rId21" Type="http://schemas.openxmlformats.org/officeDocument/2006/relationships/queryTable" Target="../queryTables/queryTable497.xml"/><Relationship Id="rId7" Type="http://schemas.openxmlformats.org/officeDocument/2006/relationships/queryTable" Target="../queryTables/queryTable483.xml"/><Relationship Id="rId12" Type="http://schemas.openxmlformats.org/officeDocument/2006/relationships/queryTable" Target="../queryTables/queryTable488.xml"/><Relationship Id="rId17" Type="http://schemas.openxmlformats.org/officeDocument/2006/relationships/queryTable" Target="../queryTables/queryTable493.xml"/><Relationship Id="rId25" Type="http://schemas.openxmlformats.org/officeDocument/2006/relationships/queryTable" Target="../queryTables/queryTable501.xml"/><Relationship Id="rId2" Type="http://schemas.openxmlformats.org/officeDocument/2006/relationships/queryTable" Target="../queryTables/queryTable478.xml"/><Relationship Id="rId16" Type="http://schemas.openxmlformats.org/officeDocument/2006/relationships/queryTable" Target="../queryTables/queryTable492.xml"/><Relationship Id="rId20" Type="http://schemas.openxmlformats.org/officeDocument/2006/relationships/queryTable" Target="../queryTables/queryTable496.xml"/><Relationship Id="rId1" Type="http://schemas.openxmlformats.org/officeDocument/2006/relationships/queryTable" Target="../queryTables/queryTable477.xml"/><Relationship Id="rId6" Type="http://schemas.openxmlformats.org/officeDocument/2006/relationships/queryTable" Target="../queryTables/queryTable482.xml"/><Relationship Id="rId11" Type="http://schemas.openxmlformats.org/officeDocument/2006/relationships/queryTable" Target="../queryTables/queryTable487.xml"/><Relationship Id="rId24" Type="http://schemas.openxmlformats.org/officeDocument/2006/relationships/queryTable" Target="../queryTables/queryTable500.xml"/><Relationship Id="rId5" Type="http://schemas.openxmlformats.org/officeDocument/2006/relationships/queryTable" Target="../queryTables/queryTable481.xml"/><Relationship Id="rId15" Type="http://schemas.openxmlformats.org/officeDocument/2006/relationships/queryTable" Target="../queryTables/queryTable491.xml"/><Relationship Id="rId23" Type="http://schemas.openxmlformats.org/officeDocument/2006/relationships/queryTable" Target="../queryTables/queryTable499.xml"/><Relationship Id="rId10" Type="http://schemas.openxmlformats.org/officeDocument/2006/relationships/queryTable" Target="../queryTables/queryTable486.xml"/><Relationship Id="rId19" Type="http://schemas.openxmlformats.org/officeDocument/2006/relationships/queryTable" Target="../queryTables/queryTable495.xml"/><Relationship Id="rId4" Type="http://schemas.openxmlformats.org/officeDocument/2006/relationships/queryTable" Target="../queryTables/queryTable480.xml"/><Relationship Id="rId9" Type="http://schemas.openxmlformats.org/officeDocument/2006/relationships/queryTable" Target="../queryTables/queryTable485.xml"/><Relationship Id="rId14" Type="http://schemas.openxmlformats.org/officeDocument/2006/relationships/queryTable" Target="../queryTables/queryTable490.xml"/><Relationship Id="rId22" Type="http://schemas.openxmlformats.org/officeDocument/2006/relationships/queryTable" Target="../queryTables/queryTable498.xml"/></Relationships>
</file>

<file path=xl/worksheets/_rels/sheet4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509.xml"/><Relationship Id="rId13" Type="http://schemas.openxmlformats.org/officeDocument/2006/relationships/queryTable" Target="../queryTables/queryTable514.xml"/><Relationship Id="rId18" Type="http://schemas.openxmlformats.org/officeDocument/2006/relationships/queryTable" Target="../queryTables/queryTable519.xml"/><Relationship Id="rId3" Type="http://schemas.openxmlformats.org/officeDocument/2006/relationships/queryTable" Target="../queryTables/queryTable504.xml"/><Relationship Id="rId21" Type="http://schemas.openxmlformats.org/officeDocument/2006/relationships/queryTable" Target="../queryTables/queryTable522.xml"/><Relationship Id="rId7" Type="http://schemas.openxmlformats.org/officeDocument/2006/relationships/queryTable" Target="../queryTables/queryTable508.xml"/><Relationship Id="rId12" Type="http://schemas.openxmlformats.org/officeDocument/2006/relationships/queryTable" Target="../queryTables/queryTable513.xml"/><Relationship Id="rId17" Type="http://schemas.openxmlformats.org/officeDocument/2006/relationships/queryTable" Target="../queryTables/queryTable518.xml"/><Relationship Id="rId25" Type="http://schemas.openxmlformats.org/officeDocument/2006/relationships/queryTable" Target="../queryTables/queryTable526.xml"/><Relationship Id="rId2" Type="http://schemas.openxmlformats.org/officeDocument/2006/relationships/queryTable" Target="../queryTables/queryTable503.xml"/><Relationship Id="rId16" Type="http://schemas.openxmlformats.org/officeDocument/2006/relationships/queryTable" Target="../queryTables/queryTable517.xml"/><Relationship Id="rId20" Type="http://schemas.openxmlformats.org/officeDocument/2006/relationships/queryTable" Target="../queryTables/queryTable521.xml"/><Relationship Id="rId1" Type="http://schemas.openxmlformats.org/officeDocument/2006/relationships/queryTable" Target="../queryTables/queryTable502.xml"/><Relationship Id="rId6" Type="http://schemas.openxmlformats.org/officeDocument/2006/relationships/queryTable" Target="../queryTables/queryTable507.xml"/><Relationship Id="rId11" Type="http://schemas.openxmlformats.org/officeDocument/2006/relationships/queryTable" Target="../queryTables/queryTable512.xml"/><Relationship Id="rId24" Type="http://schemas.openxmlformats.org/officeDocument/2006/relationships/queryTable" Target="../queryTables/queryTable525.xml"/><Relationship Id="rId5" Type="http://schemas.openxmlformats.org/officeDocument/2006/relationships/queryTable" Target="../queryTables/queryTable506.xml"/><Relationship Id="rId15" Type="http://schemas.openxmlformats.org/officeDocument/2006/relationships/queryTable" Target="../queryTables/queryTable516.xml"/><Relationship Id="rId23" Type="http://schemas.openxmlformats.org/officeDocument/2006/relationships/queryTable" Target="../queryTables/queryTable524.xml"/><Relationship Id="rId10" Type="http://schemas.openxmlformats.org/officeDocument/2006/relationships/queryTable" Target="../queryTables/queryTable511.xml"/><Relationship Id="rId19" Type="http://schemas.openxmlformats.org/officeDocument/2006/relationships/queryTable" Target="../queryTables/queryTable520.xml"/><Relationship Id="rId4" Type="http://schemas.openxmlformats.org/officeDocument/2006/relationships/queryTable" Target="../queryTables/queryTable505.xml"/><Relationship Id="rId9" Type="http://schemas.openxmlformats.org/officeDocument/2006/relationships/queryTable" Target="../queryTables/queryTable510.xml"/><Relationship Id="rId14" Type="http://schemas.openxmlformats.org/officeDocument/2006/relationships/queryTable" Target="../queryTables/queryTable515.xml"/><Relationship Id="rId22" Type="http://schemas.openxmlformats.org/officeDocument/2006/relationships/queryTable" Target="../queryTables/queryTable523.xml"/></Relationships>
</file>

<file path=xl/worksheets/_rels/sheet44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534.xml"/><Relationship Id="rId13" Type="http://schemas.openxmlformats.org/officeDocument/2006/relationships/queryTable" Target="../queryTables/queryTable539.xml"/><Relationship Id="rId18" Type="http://schemas.openxmlformats.org/officeDocument/2006/relationships/queryTable" Target="../queryTables/queryTable544.xml"/><Relationship Id="rId3" Type="http://schemas.openxmlformats.org/officeDocument/2006/relationships/queryTable" Target="../queryTables/queryTable529.xml"/><Relationship Id="rId21" Type="http://schemas.openxmlformats.org/officeDocument/2006/relationships/queryTable" Target="../queryTables/queryTable547.xml"/><Relationship Id="rId7" Type="http://schemas.openxmlformats.org/officeDocument/2006/relationships/queryTable" Target="../queryTables/queryTable533.xml"/><Relationship Id="rId12" Type="http://schemas.openxmlformats.org/officeDocument/2006/relationships/queryTable" Target="../queryTables/queryTable538.xml"/><Relationship Id="rId17" Type="http://schemas.openxmlformats.org/officeDocument/2006/relationships/queryTable" Target="../queryTables/queryTable543.xml"/><Relationship Id="rId25" Type="http://schemas.openxmlformats.org/officeDocument/2006/relationships/queryTable" Target="../queryTables/queryTable551.xml"/><Relationship Id="rId2" Type="http://schemas.openxmlformats.org/officeDocument/2006/relationships/queryTable" Target="../queryTables/queryTable528.xml"/><Relationship Id="rId16" Type="http://schemas.openxmlformats.org/officeDocument/2006/relationships/queryTable" Target="../queryTables/queryTable542.xml"/><Relationship Id="rId20" Type="http://schemas.openxmlformats.org/officeDocument/2006/relationships/queryTable" Target="../queryTables/queryTable546.xml"/><Relationship Id="rId1" Type="http://schemas.openxmlformats.org/officeDocument/2006/relationships/queryTable" Target="../queryTables/queryTable527.xml"/><Relationship Id="rId6" Type="http://schemas.openxmlformats.org/officeDocument/2006/relationships/queryTable" Target="../queryTables/queryTable532.xml"/><Relationship Id="rId11" Type="http://schemas.openxmlformats.org/officeDocument/2006/relationships/queryTable" Target="../queryTables/queryTable537.xml"/><Relationship Id="rId24" Type="http://schemas.openxmlformats.org/officeDocument/2006/relationships/queryTable" Target="../queryTables/queryTable550.xml"/><Relationship Id="rId5" Type="http://schemas.openxmlformats.org/officeDocument/2006/relationships/queryTable" Target="../queryTables/queryTable531.xml"/><Relationship Id="rId15" Type="http://schemas.openxmlformats.org/officeDocument/2006/relationships/queryTable" Target="../queryTables/queryTable541.xml"/><Relationship Id="rId23" Type="http://schemas.openxmlformats.org/officeDocument/2006/relationships/queryTable" Target="../queryTables/queryTable549.xml"/><Relationship Id="rId10" Type="http://schemas.openxmlformats.org/officeDocument/2006/relationships/queryTable" Target="../queryTables/queryTable536.xml"/><Relationship Id="rId19" Type="http://schemas.openxmlformats.org/officeDocument/2006/relationships/queryTable" Target="../queryTables/queryTable545.xml"/><Relationship Id="rId4" Type="http://schemas.openxmlformats.org/officeDocument/2006/relationships/queryTable" Target="../queryTables/queryTable530.xml"/><Relationship Id="rId9" Type="http://schemas.openxmlformats.org/officeDocument/2006/relationships/queryTable" Target="../queryTables/queryTable535.xml"/><Relationship Id="rId14" Type="http://schemas.openxmlformats.org/officeDocument/2006/relationships/queryTable" Target="../queryTables/queryTable540.xml"/><Relationship Id="rId22" Type="http://schemas.openxmlformats.org/officeDocument/2006/relationships/queryTable" Target="../queryTables/queryTable548.xml"/></Relationships>
</file>

<file path=xl/worksheets/_rels/sheet45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559.xml"/><Relationship Id="rId13" Type="http://schemas.openxmlformats.org/officeDocument/2006/relationships/queryTable" Target="../queryTables/queryTable564.xml"/><Relationship Id="rId18" Type="http://schemas.openxmlformats.org/officeDocument/2006/relationships/queryTable" Target="../queryTables/queryTable569.xml"/><Relationship Id="rId3" Type="http://schemas.openxmlformats.org/officeDocument/2006/relationships/queryTable" Target="../queryTables/queryTable554.xml"/><Relationship Id="rId21" Type="http://schemas.openxmlformats.org/officeDocument/2006/relationships/queryTable" Target="../queryTables/queryTable572.xml"/><Relationship Id="rId7" Type="http://schemas.openxmlformats.org/officeDocument/2006/relationships/queryTable" Target="../queryTables/queryTable558.xml"/><Relationship Id="rId12" Type="http://schemas.openxmlformats.org/officeDocument/2006/relationships/queryTable" Target="../queryTables/queryTable563.xml"/><Relationship Id="rId17" Type="http://schemas.openxmlformats.org/officeDocument/2006/relationships/queryTable" Target="../queryTables/queryTable568.xml"/><Relationship Id="rId25" Type="http://schemas.openxmlformats.org/officeDocument/2006/relationships/queryTable" Target="../queryTables/queryTable576.xml"/><Relationship Id="rId2" Type="http://schemas.openxmlformats.org/officeDocument/2006/relationships/queryTable" Target="../queryTables/queryTable553.xml"/><Relationship Id="rId16" Type="http://schemas.openxmlformats.org/officeDocument/2006/relationships/queryTable" Target="../queryTables/queryTable567.xml"/><Relationship Id="rId20" Type="http://schemas.openxmlformats.org/officeDocument/2006/relationships/queryTable" Target="../queryTables/queryTable571.xml"/><Relationship Id="rId1" Type="http://schemas.openxmlformats.org/officeDocument/2006/relationships/queryTable" Target="../queryTables/queryTable552.xml"/><Relationship Id="rId6" Type="http://schemas.openxmlformats.org/officeDocument/2006/relationships/queryTable" Target="../queryTables/queryTable557.xml"/><Relationship Id="rId11" Type="http://schemas.openxmlformats.org/officeDocument/2006/relationships/queryTable" Target="../queryTables/queryTable562.xml"/><Relationship Id="rId24" Type="http://schemas.openxmlformats.org/officeDocument/2006/relationships/queryTable" Target="../queryTables/queryTable575.xml"/><Relationship Id="rId5" Type="http://schemas.openxmlformats.org/officeDocument/2006/relationships/queryTable" Target="../queryTables/queryTable556.xml"/><Relationship Id="rId15" Type="http://schemas.openxmlformats.org/officeDocument/2006/relationships/queryTable" Target="../queryTables/queryTable566.xml"/><Relationship Id="rId23" Type="http://schemas.openxmlformats.org/officeDocument/2006/relationships/queryTable" Target="../queryTables/queryTable574.xml"/><Relationship Id="rId10" Type="http://schemas.openxmlformats.org/officeDocument/2006/relationships/queryTable" Target="../queryTables/queryTable561.xml"/><Relationship Id="rId19" Type="http://schemas.openxmlformats.org/officeDocument/2006/relationships/queryTable" Target="../queryTables/queryTable570.xml"/><Relationship Id="rId4" Type="http://schemas.openxmlformats.org/officeDocument/2006/relationships/queryTable" Target="../queryTables/queryTable555.xml"/><Relationship Id="rId9" Type="http://schemas.openxmlformats.org/officeDocument/2006/relationships/queryTable" Target="../queryTables/queryTable560.xml"/><Relationship Id="rId14" Type="http://schemas.openxmlformats.org/officeDocument/2006/relationships/queryTable" Target="../queryTables/queryTable565.xml"/><Relationship Id="rId22" Type="http://schemas.openxmlformats.org/officeDocument/2006/relationships/queryTable" Target="../queryTables/queryTable573.xml"/></Relationships>
</file>

<file path=xl/worksheets/_rels/sheet46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584.xml"/><Relationship Id="rId13" Type="http://schemas.openxmlformats.org/officeDocument/2006/relationships/queryTable" Target="../queryTables/queryTable589.xml"/><Relationship Id="rId18" Type="http://schemas.openxmlformats.org/officeDocument/2006/relationships/queryTable" Target="../queryTables/queryTable594.xml"/><Relationship Id="rId3" Type="http://schemas.openxmlformats.org/officeDocument/2006/relationships/queryTable" Target="../queryTables/queryTable579.xml"/><Relationship Id="rId21" Type="http://schemas.openxmlformats.org/officeDocument/2006/relationships/queryTable" Target="../queryTables/queryTable597.xml"/><Relationship Id="rId7" Type="http://schemas.openxmlformats.org/officeDocument/2006/relationships/queryTable" Target="../queryTables/queryTable583.xml"/><Relationship Id="rId12" Type="http://schemas.openxmlformats.org/officeDocument/2006/relationships/queryTable" Target="../queryTables/queryTable588.xml"/><Relationship Id="rId17" Type="http://schemas.openxmlformats.org/officeDocument/2006/relationships/queryTable" Target="../queryTables/queryTable593.xml"/><Relationship Id="rId25" Type="http://schemas.openxmlformats.org/officeDocument/2006/relationships/queryTable" Target="../queryTables/queryTable601.xml"/><Relationship Id="rId2" Type="http://schemas.openxmlformats.org/officeDocument/2006/relationships/queryTable" Target="../queryTables/queryTable578.xml"/><Relationship Id="rId16" Type="http://schemas.openxmlformats.org/officeDocument/2006/relationships/queryTable" Target="../queryTables/queryTable592.xml"/><Relationship Id="rId20" Type="http://schemas.openxmlformats.org/officeDocument/2006/relationships/queryTable" Target="../queryTables/queryTable596.xml"/><Relationship Id="rId1" Type="http://schemas.openxmlformats.org/officeDocument/2006/relationships/queryTable" Target="../queryTables/queryTable577.xml"/><Relationship Id="rId6" Type="http://schemas.openxmlformats.org/officeDocument/2006/relationships/queryTable" Target="../queryTables/queryTable582.xml"/><Relationship Id="rId11" Type="http://schemas.openxmlformats.org/officeDocument/2006/relationships/queryTable" Target="../queryTables/queryTable587.xml"/><Relationship Id="rId24" Type="http://schemas.openxmlformats.org/officeDocument/2006/relationships/queryTable" Target="../queryTables/queryTable600.xml"/><Relationship Id="rId5" Type="http://schemas.openxmlformats.org/officeDocument/2006/relationships/queryTable" Target="../queryTables/queryTable581.xml"/><Relationship Id="rId15" Type="http://schemas.openxmlformats.org/officeDocument/2006/relationships/queryTable" Target="../queryTables/queryTable591.xml"/><Relationship Id="rId23" Type="http://schemas.openxmlformats.org/officeDocument/2006/relationships/queryTable" Target="../queryTables/queryTable599.xml"/><Relationship Id="rId10" Type="http://schemas.openxmlformats.org/officeDocument/2006/relationships/queryTable" Target="../queryTables/queryTable586.xml"/><Relationship Id="rId19" Type="http://schemas.openxmlformats.org/officeDocument/2006/relationships/queryTable" Target="../queryTables/queryTable595.xml"/><Relationship Id="rId4" Type="http://schemas.openxmlformats.org/officeDocument/2006/relationships/queryTable" Target="../queryTables/queryTable580.xml"/><Relationship Id="rId9" Type="http://schemas.openxmlformats.org/officeDocument/2006/relationships/queryTable" Target="../queryTables/queryTable585.xml"/><Relationship Id="rId14" Type="http://schemas.openxmlformats.org/officeDocument/2006/relationships/queryTable" Target="../queryTables/queryTable590.xml"/><Relationship Id="rId22" Type="http://schemas.openxmlformats.org/officeDocument/2006/relationships/queryTable" Target="../queryTables/queryTable598.xml"/></Relationships>
</file>

<file path=xl/worksheets/_rels/sheet47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09.xml"/><Relationship Id="rId13" Type="http://schemas.openxmlformats.org/officeDocument/2006/relationships/queryTable" Target="../queryTables/queryTable614.xml"/><Relationship Id="rId18" Type="http://schemas.openxmlformats.org/officeDocument/2006/relationships/queryTable" Target="../queryTables/queryTable619.xml"/><Relationship Id="rId3" Type="http://schemas.openxmlformats.org/officeDocument/2006/relationships/queryTable" Target="../queryTables/queryTable604.xml"/><Relationship Id="rId21" Type="http://schemas.openxmlformats.org/officeDocument/2006/relationships/queryTable" Target="../queryTables/queryTable622.xml"/><Relationship Id="rId7" Type="http://schemas.openxmlformats.org/officeDocument/2006/relationships/queryTable" Target="../queryTables/queryTable608.xml"/><Relationship Id="rId12" Type="http://schemas.openxmlformats.org/officeDocument/2006/relationships/queryTable" Target="../queryTables/queryTable613.xml"/><Relationship Id="rId17" Type="http://schemas.openxmlformats.org/officeDocument/2006/relationships/queryTable" Target="../queryTables/queryTable618.xml"/><Relationship Id="rId25" Type="http://schemas.openxmlformats.org/officeDocument/2006/relationships/queryTable" Target="../queryTables/queryTable626.xml"/><Relationship Id="rId2" Type="http://schemas.openxmlformats.org/officeDocument/2006/relationships/queryTable" Target="../queryTables/queryTable603.xml"/><Relationship Id="rId16" Type="http://schemas.openxmlformats.org/officeDocument/2006/relationships/queryTable" Target="../queryTables/queryTable617.xml"/><Relationship Id="rId20" Type="http://schemas.openxmlformats.org/officeDocument/2006/relationships/queryTable" Target="../queryTables/queryTable621.xml"/><Relationship Id="rId1" Type="http://schemas.openxmlformats.org/officeDocument/2006/relationships/queryTable" Target="../queryTables/queryTable602.xml"/><Relationship Id="rId6" Type="http://schemas.openxmlformats.org/officeDocument/2006/relationships/queryTable" Target="../queryTables/queryTable607.xml"/><Relationship Id="rId11" Type="http://schemas.openxmlformats.org/officeDocument/2006/relationships/queryTable" Target="../queryTables/queryTable612.xml"/><Relationship Id="rId24" Type="http://schemas.openxmlformats.org/officeDocument/2006/relationships/queryTable" Target="../queryTables/queryTable625.xml"/><Relationship Id="rId5" Type="http://schemas.openxmlformats.org/officeDocument/2006/relationships/queryTable" Target="../queryTables/queryTable606.xml"/><Relationship Id="rId15" Type="http://schemas.openxmlformats.org/officeDocument/2006/relationships/queryTable" Target="../queryTables/queryTable616.xml"/><Relationship Id="rId23" Type="http://schemas.openxmlformats.org/officeDocument/2006/relationships/queryTable" Target="../queryTables/queryTable624.xml"/><Relationship Id="rId10" Type="http://schemas.openxmlformats.org/officeDocument/2006/relationships/queryTable" Target="../queryTables/queryTable611.xml"/><Relationship Id="rId19" Type="http://schemas.openxmlformats.org/officeDocument/2006/relationships/queryTable" Target="../queryTables/queryTable620.xml"/><Relationship Id="rId4" Type="http://schemas.openxmlformats.org/officeDocument/2006/relationships/queryTable" Target="../queryTables/queryTable605.xml"/><Relationship Id="rId9" Type="http://schemas.openxmlformats.org/officeDocument/2006/relationships/queryTable" Target="../queryTables/queryTable610.xml"/><Relationship Id="rId14" Type="http://schemas.openxmlformats.org/officeDocument/2006/relationships/queryTable" Target="../queryTables/queryTable615.xml"/><Relationship Id="rId22" Type="http://schemas.openxmlformats.org/officeDocument/2006/relationships/queryTable" Target="../queryTables/queryTable623.xml"/></Relationships>
</file>

<file path=xl/worksheets/_rels/sheet48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34.xml"/><Relationship Id="rId13" Type="http://schemas.openxmlformats.org/officeDocument/2006/relationships/queryTable" Target="../queryTables/queryTable639.xml"/><Relationship Id="rId18" Type="http://schemas.openxmlformats.org/officeDocument/2006/relationships/queryTable" Target="../queryTables/queryTable644.xml"/><Relationship Id="rId3" Type="http://schemas.openxmlformats.org/officeDocument/2006/relationships/queryTable" Target="../queryTables/queryTable629.xml"/><Relationship Id="rId21" Type="http://schemas.openxmlformats.org/officeDocument/2006/relationships/queryTable" Target="../queryTables/queryTable647.xml"/><Relationship Id="rId7" Type="http://schemas.openxmlformats.org/officeDocument/2006/relationships/queryTable" Target="../queryTables/queryTable633.xml"/><Relationship Id="rId12" Type="http://schemas.openxmlformats.org/officeDocument/2006/relationships/queryTable" Target="../queryTables/queryTable638.xml"/><Relationship Id="rId17" Type="http://schemas.openxmlformats.org/officeDocument/2006/relationships/queryTable" Target="../queryTables/queryTable643.xml"/><Relationship Id="rId25" Type="http://schemas.openxmlformats.org/officeDocument/2006/relationships/queryTable" Target="../queryTables/queryTable651.xml"/><Relationship Id="rId2" Type="http://schemas.openxmlformats.org/officeDocument/2006/relationships/queryTable" Target="../queryTables/queryTable628.xml"/><Relationship Id="rId16" Type="http://schemas.openxmlformats.org/officeDocument/2006/relationships/queryTable" Target="../queryTables/queryTable642.xml"/><Relationship Id="rId20" Type="http://schemas.openxmlformats.org/officeDocument/2006/relationships/queryTable" Target="../queryTables/queryTable646.xml"/><Relationship Id="rId1" Type="http://schemas.openxmlformats.org/officeDocument/2006/relationships/queryTable" Target="../queryTables/queryTable627.xml"/><Relationship Id="rId6" Type="http://schemas.openxmlformats.org/officeDocument/2006/relationships/queryTable" Target="../queryTables/queryTable632.xml"/><Relationship Id="rId11" Type="http://schemas.openxmlformats.org/officeDocument/2006/relationships/queryTable" Target="../queryTables/queryTable637.xml"/><Relationship Id="rId24" Type="http://schemas.openxmlformats.org/officeDocument/2006/relationships/queryTable" Target="../queryTables/queryTable650.xml"/><Relationship Id="rId5" Type="http://schemas.openxmlformats.org/officeDocument/2006/relationships/queryTable" Target="../queryTables/queryTable631.xml"/><Relationship Id="rId15" Type="http://schemas.openxmlformats.org/officeDocument/2006/relationships/queryTable" Target="../queryTables/queryTable641.xml"/><Relationship Id="rId23" Type="http://schemas.openxmlformats.org/officeDocument/2006/relationships/queryTable" Target="../queryTables/queryTable649.xml"/><Relationship Id="rId10" Type="http://schemas.openxmlformats.org/officeDocument/2006/relationships/queryTable" Target="../queryTables/queryTable636.xml"/><Relationship Id="rId19" Type="http://schemas.openxmlformats.org/officeDocument/2006/relationships/queryTable" Target="../queryTables/queryTable645.xml"/><Relationship Id="rId4" Type="http://schemas.openxmlformats.org/officeDocument/2006/relationships/queryTable" Target="../queryTables/queryTable630.xml"/><Relationship Id="rId9" Type="http://schemas.openxmlformats.org/officeDocument/2006/relationships/queryTable" Target="../queryTables/queryTable635.xml"/><Relationship Id="rId14" Type="http://schemas.openxmlformats.org/officeDocument/2006/relationships/queryTable" Target="../queryTables/queryTable640.xml"/><Relationship Id="rId22" Type="http://schemas.openxmlformats.org/officeDocument/2006/relationships/queryTable" Target="../queryTables/queryTable648.xml"/></Relationships>
</file>

<file path=xl/worksheets/_rels/sheet49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59.xml"/><Relationship Id="rId13" Type="http://schemas.openxmlformats.org/officeDocument/2006/relationships/queryTable" Target="../queryTables/queryTable664.xml"/><Relationship Id="rId18" Type="http://schemas.openxmlformats.org/officeDocument/2006/relationships/queryTable" Target="../queryTables/queryTable669.xml"/><Relationship Id="rId3" Type="http://schemas.openxmlformats.org/officeDocument/2006/relationships/queryTable" Target="../queryTables/queryTable654.xml"/><Relationship Id="rId21" Type="http://schemas.openxmlformats.org/officeDocument/2006/relationships/queryTable" Target="../queryTables/queryTable672.xml"/><Relationship Id="rId7" Type="http://schemas.openxmlformats.org/officeDocument/2006/relationships/queryTable" Target="../queryTables/queryTable658.xml"/><Relationship Id="rId12" Type="http://schemas.openxmlformats.org/officeDocument/2006/relationships/queryTable" Target="../queryTables/queryTable663.xml"/><Relationship Id="rId17" Type="http://schemas.openxmlformats.org/officeDocument/2006/relationships/queryTable" Target="../queryTables/queryTable668.xml"/><Relationship Id="rId25" Type="http://schemas.openxmlformats.org/officeDocument/2006/relationships/queryTable" Target="../queryTables/queryTable676.xml"/><Relationship Id="rId2" Type="http://schemas.openxmlformats.org/officeDocument/2006/relationships/queryTable" Target="../queryTables/queryTable653.xml"/><Relationship Id="rId16" Type="http://schemas.openxmlformats.org/officeDocument/2006/relationships/queryTable" Target="../queryTables/queryTable667.xml"/><Relationship Id="rId20" Type="http://schemas.openxmlformats.org/officeDocument/2006/relationships/queryTable" Target="../queryTables/queryTable671.xml"/><Relationship Id="rId1" Type="http://schemas.openxmlformats.org/officeDocument/2006/relationships/queryTable" Target="../queryTables/queryTable652.xml"/><Relationship Id="rId6" Type="http://schemas.openxmlformats.org/officeDocument/2006/relationships/queryTable" Target="../queryTables/queryTable657.xml"/><Relationship Id="rId11" Type="http://schemas.openxmlformats.org/officeDocument/2006/relationships/queryTable" Target="../queryTables/queryTable662.xml"/><Relationship Id="rId24" Type="http://schemas.openxmlformats.org/officeDocument/2006/relationships/queryTable" Target="../queryTables/queryTable675.xml"/><Relationship Id="rId5" Type="http://schemas.openxmlformats.org/officeDocument/2006/relationships/queryTable" Target="../queryTables/queryTable656.xml"/><Relationship Id="rId15" Type="http://schemas.openxmlformats.org/officeDocument/2006/relationships/queryTable" Target="../queryTables/queryTable666.xml"/><Relationship Id="rId23" Type="http://schemas.openxmlformats.org/officeDocument/2006/relationships/queryTable" Target="../queryTables/queryTable674.xml"/><Relationship Id="rId10" Type="http://schemas.openxmlformats.org/officeDocument/2006/relationships/queryTable" Target="../queryTables/queryTable661.xml"/><Relationship Id="rId19" Type="http://schemas.openxmlformats.org/officeDocument/2006/relationships/queryTable" Target="../queryTables/queryTable670.xml"/><Relationship Id="rId4" Type="http://schemas.openxmlformats.org/officeDocument/2006/relationships/queryTable" Target="../queryTables/queryTable655.xml"/><Relationship Id="rId9" Type="http://schemas.openxmlformats.org/officeDocument/2006/relationships/queryTable" Target="../queryTables/queryTable660.xml"/><Relationship Id="rId14" Type="http://schemas.openxmlformats.org/officeDocument/2006/relationships/queryTable" Target="../queryTables/queryTable665.xml"/><Relationship Id="rId22" Type="http://schemas.openxmlformats.org/officeDocument/2006/relationships/queryTable" Target="../queryTables/queryTable673.xml"/></Relationships>
</file>

<file path=xl/worksheets/_rels/sheet50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84.xml"/><Relationship Id="rId13" Type="http://schemas.openxmlformats.org/officeDocument/2006/relationships/queryTable" Target="../queryTables/queryTable689.xml"/><Relationship Id="rId18" Type="http://schemas.openxmlformats.org/officeDocument/2006/relationships/queryTable" Target="../queryTables/queryTable694.xml"/><Relationship Id="rId3" Type="http://schemas.openxmlformats.org/officeDocument/2006/relationships/queryTable" Target="../queryTables/queryTable679.xml"/><Relationship Id="rId21" Type="http://schemas.openxmlformats.org/officeDocument/2006/relationships/queryTable" Target="../queryTables/queryTable697.xml"/><Relationship Id="rId7" Type="http://schemas.openxmlformats.org/officeDocument/2006/relationships/queryTable" Target="../queryTables/queryTable683.xml"/><Relationship Id="rId12" Type="http://schemas.openxmlformats.org/officeDocument/2006/relationships/queryTable" Target="../queryTables/queryTable688.xml"/><Relationship Id="rId17" Type="http://schemas.openxmlformats.org/officeDocument/2006/relationships/queryTable" Target="../queryTables/queryTable693.xml"/><Relationship Id="rId25" Type="http://schemas.openxmlformats.org/officeDocument/2006/relationships/queryTable" Target="../queryTables/queryTable701.xml"/><Relationship Id="rId2" Type="http://schemas.openxmlformats.org/officeDocument/2006/relationships/queryTable" Target="../queryTables/queryTable678.xml"/><Relationship Id="rId16" Type="http://schemas.openxmlformats.org/officeDocument/2006/relationships/queryTable" Target="../queryTables/queryTable692.xml"/><Relationship Id="rId20" Type="http://schemas.openxmlformats.org/officeDocument/2006/relationships/queryTable" Target="../queryTables/queryTable696.xml"/><Relationship Id="rId1" Type="http://schemas.openxmlformats.org/officeDocument/2006/relationships/queryTable" Target="../queryTables/queryTable677.xml"/><Relationship Id="rId6" Type="http://schemas.openxmlformats.org/officeDocument/2006/relationships/queryTable" Target="../queryTables/queryTable682.xml"/><Relationship Id="rId11" Type="http://schemas.openxmlformats.org/officeDocument/2006/relationships/queryTable" Target="../queryTables/queryTable687.xml"/><Relationship Id="rId24" Type="http://schemas.openxmlformats.org/officeDocument/2006/relationships/queryTable" Target="../queryTables/queryTable700.xml"/><Relationship Id="rId5" Type="http://schemas.openxmlformats.org/officeDocument/2006/relationships/queryTable" Target="../queryTables/queryTable681.xml"/><Relationship Id="rId15" Type="http://schemas.openxmlformats.org/officeDocument/2006/relationships/queryTable" Target="../queryTables/queryTable691.xml"/><Relationship Id="rId23" Type="http://schemas.openxmlformats.org/officeDocument/2006/relationships/queryTable" Target="../queryTables/queryTable699.xml"/><Relationship Id="rId10" Type="http://schemas.openxmlformats.org/officeDocument/2006/relationships/queryTable" Target="../queryTables/queryTable686.xml"/><Relationship Id="rId19" Type="http://schemas.openxmlformats.org/officeDocument/2006/relationships/queryTable" Target="../queryTables/queryTable695.xml"/><Relationship Id="rId4" Type="http://schemas.openxmlformats.org/officeDocument/2006/relationships/queryTable" Target="../queryTables/queryTable680.xml"/><Relationship Id="rId9" Type="http://schemas.openxmlformats.org/officeDocument/2006/relationships/queryTable" Target="../queryTables/queryTable685.xml"/><Relationship Id="rId14" Type="http://schemas.openxmlformats.org/officeDocument/2006/relationships/queryTable" Target="../queryTables/queryTable690.xml"/><Relationship Id="rId22" Type="http://schemas.openxmlformats.org/officeDocument/2006/relationships/queryTable" Target="../queryTables/queryTable69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7"/>
  <sheetViews>
    <sheetView workbookViewId="0">
      <selection activeCell="B10" sqref="B10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</cols>
  <sheetData>
    <row r="1" spans="1:10" x14ac:dyDescent="0.35">
      <c r="A1" s="1"/>
      <c r="B1" s="100" t="s">
        <v>13</v>
      </c>
      <c r="C1" s="101"/>
      <c r="D1" s="101"/>
      <c r="E1" s="101"/>
      <c r="F1" s="102"/>
      <c r="G1" s="99" t="s">
        <v>14</v>
      </c>
      <c r="H1" s="99"/>
      <c r="I1" s="99"/>
      <c r="J1" s="99"/>
    </row>
    <row r="2" spans="1:10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15</v>
      </c>
      <c r="G2" s="1" t="s">
        <v>9</v>
      </c>
      <c r="H2" s="1" t="s">
        <v>15</v>
      </c>
      <c r="I2" s="1" t="s">
        <v>10</v>
      </c>
      <c r="J2" s="1" t="s">
        <v>12</v>
      </c>
    </row>
    <row r="3" spans="1:10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>
        <v>9</v>
      </c>
      <c r="G3" s="7">
        <v>60</v>
      </c>
      <c r="H3" s="7">
        <v>9</v>
      </c>
      <c r="I3" s="7">
        <v>1400</v>
      </c>
      <c r="J3" s="7">
        <v>200</v>
      </c>
    </row>
    <row r="4" spans="1:10" x14ac:dyDescent="0.35">
      <c r="A4" s="1" t="s">
        <v>1</v>
      </c>
      <c r="B4" s="5">
        <f>IFERROR(AVERAGE(B7:B10),"")</f>
        <v>999.25</v>
      </c>
      <c r="C4" s="5">
        <f t="shared" ref="C4:J4" si="0">IFERROR(AVERAGE(C7:C10),"")</f>
        <v>305.25</v>
      </c>
      <c r="D4" s="5">
        <f t="shared" si="0"/>
        <v>67</v>
      </c>
      <c r="E4" s="5">
        <f t="shared" si="0"/>
        <v>218.5</v>
      </c>
      <c r="F4" s="4">
        <f t="shared" si="0"/>
        <v>8</v>
      </c>
      <c r="G4" s="5">
        <f t="shared" si="0"/>
        <v>47</v>
      </c>
      <c r="H4" s="4">
        <f t="shared" si="0"/>
        <v>12.15</v>
      </c>
      <c r="I4" s="5">
        <f t="shared" si="0"/>
        <v>577</v>
      </c>
      <c r="J4" s="5">
        <f t="shared" si="0"/>
        <v>204.5</v>
      </c>
    </row>
    <row r="5" spans="1:10" x14ac:dyDescent="0.35">
      <c r="A5" s="1" t="s">
        <v>2</v>
      </c>
      <c r="B5" s="5">
        <f>IFERROR(AVERAGE(B10:B13),"")</f>
        <v>1049.6666666666667</v>
      </c>
      <c r="C5" s="5">
        <f t="shared" ref="C5:J5" si="1">IFERROR(AVERAGE(C10:C13),"")</f>
        <v>331.25</v>
      </c>
      <c r="D5" s="5">
        <f t="shared" si="1"/>
        <v>62</v>
      </c>
      <c r="E5" s="5">
        <f t="shared" si="1"/>
        <v>231.75</v>
      </c>
      <c r="F5" s="4">
        <f t="shared" si="1"/>
        <v>8.7750000000000004</v>
      </c>
      <c r="G5" s="5">
        <f t="shared" si="1"/>
        <v>45.75</v>
      </c>
      <c r="H5" s="4">
        <f t="shared" si="1"/>
        <v>6.25</v>
      </c>
      <c r="I5" s="5">
        <f t="shared" si="1"/>
        <v>770.75</v>
      </c>
      <c r="J5" s="5">
        <f t="shared" si="1"/>
        <v>383.25</v>
      </c>
    </row>
    <row r="7" spans="1:10" x14ac:dyDescent="0.35">
      <c r="A7" s="3">
        <v>43849</v>
      </c>
      <c r="B7" s="8">
        <v>1223</v>
      </c>
      <c r="C7" s="9">
        <v>316</v>
      </c>
      <c r="D7" s="8">
        <v>61</v>
      </c>
      <c r="E7" s="8">
        <v>202</v>
      </c>
      <c r="F7" s="8">
        <v>8.4</v>
      </c>
      <c r="G7" s="8">
        <v>41</v>
      </c>
      <c r="H7" s="8">
        <v>26</v>
      </c>
      <c r="I7" s="8">
        <v>558</v>
      </c>
      <c r="J7" s="8">
        <v>310</v>
      </c>
    </row>
    <row r="8" spans="1:10" x14ac:dyDescent="0.35">
      <c r="A8" s="3">
        <v>43850</v>
      </c>
      <c r="B8" s="8">
        <v>987</v>
      </c>
      <c r="C8" s="8">
        <v>321</v>
      </c>
      <c r="D8" s="8">
        <v>68</v>
      </c>
      <c r="E8" s="8">
        <v>217</v>
      </c>
      <c r="F8" s="8">
        <v>7.9</v>
      </c>
      <c r="G8" s="8">
        <v>43</v>
      </c>
      <c r="H8" s="8">
        <v>11.1</v>
      </c>
      <c r="I8" s="8">
        <v>454</v>
      </c>
      <c r="J8" s="8">
        <v>209</v>
      </c>
    </row>
    <row r="9" spans="1:10" x14ac:dyDescent="0.35">
      <c r="A9" s="3">
        <v>43851</v>
      </c>
      <c r="B9" s="8">
        <v>886</v>
      </c>
      <c r="C9" s="8">
        <v>308</v>
      </c>
      <c r="D9" s="8">
        <v>76</v>
      </c>
      <c r="E9" s="8">
        <v>229</v>
      </c>
      <c r="F9" s="8">
        <v>7.4</v>
      </c>
      <c r="G9" s="8">
        <v>53</v>
      </c>
      <c r="H9" s="8">
        <v>4.5</v>
      </c>
      <c r="I9" s="8">
        <v>428</v>
      </c>
      <c r="J9" s="8">
        <v>126</v>
      </c>
    </row>
    <row r="10" spans="1:10" x14ac:dyDescent="0.35">
      <c r="A10" s="3">
        <v>43852</v>
      </c>
      <c r="B10" s="11">
        <v>901</v>
      </c>
      <c r="C10" s="11">
        <v>276</v>
      </c>
      <c r="D10" s="11">
        <v>63</v>
      </c>
      <c r="E10" s="11">
        <v>226</v>
      </c>
      <c r="F10" s="11">
        <v>8.3000000000000007</v>
      </c>
      <c r="G10" s="11">
        <v>51</v>
      </c>
      <c r="H10" s="11">
        <v>7</v>
      </c>
      <c r="I10" s="11">
        <v>868</v>
      </c>
      <c r="J10" s="11">
        <v>173</v>
      </c>
    </row>
    <row r="11" spans="1:10" x14ac:dyDescent="0.35">
      <c r="A11" s="3">
        <v>43853</v>
      </c>
      <c r="B11" s="10"/>
      <c r="C11" s="10">
        <v>381</v>
      </c>
      <c r="D11" s="10">
        <v>70</v>
      </c>
      <c r="E11" s="10">
        <v>189</v>
      </c>
      <c r="F11" s="10">
        <v>6.3</v>
      </c>
      <c r="G11" s="10">
        <v>40</v>
      </c>
      <c r="H11" s="10">
        <v>7.5</v>
      </c>
      <c r="I11" s="10">
        <v>952</v>
      </c>
      <c r="J11" s="10">
        <v>192</v>
      </c>
    </row>
    <row r="12" spans="1:10" x14ac:dyDescent="0.35">
      <c r="A12" s="3">
        <v>43854</v>
      </c>
      <c r="B12" s="10">
        <v>1239</v>
      </c>
      <c r="C12" s="10">
        <v>345</v>
      </c>
      <c r="D12" s="10">
        <v>57</v>
      </c>
      <c r="E12" s="10">
        <v>259</v>
      </c>
      <c r="F12" s="10">
        <v>9.6999999999999993</v>
      </c>
      <c r="G12" s="10">
        <v>42</v>
      </c>
      <c r="H12" s="10">
        <v>5.9</v>
      </c>
      <c r="I12" s="10">
        <v>663</v>
      </c>
      <c r="J12" s="10">
        <v>150</v>
      </c>
    </row>
    <row r="13" spans="1:10" x14ac:dyDescent="0.35">
      <c r="A13" s="3">
        <v>43855</v>
      </c>
      <c r="B13" s="10">
        <v>1009</v>
      </c>
      <c r="C13" s="10">
        <v>323</v>
      </c>
      <c r="D13" s="10">
        <v>58</v>
      </c>
      <c r="E13" s="10">
        <v>253</v>
      </c>
      <c r="F13" s="10">
        <v>10.8</v>
      </c>
      <c r="G13" s="10">
        <v>50</v>
      </c>
      <c r="H13" s="10">
        <v>4.5999999999999996</v>
      </c>
      <c r="I13" s="10">
        <v>600</v>
      </c>
      <c r="J13" s="10">
        <v>1018</v>
      </c>
    </row>
    <row r="15" spans="1:10" x14ac:dyDescent="0.35">
      <c r="A15" s="1" t="s">
        <v>3</v>
      </c>
      <c r="B15" s="5">
        <v>729</v>
      </c>
      <c r="C15" s="5">
        <v>318</v>
      </c>
      <c r="D15" s="5">
        <v>64</v>
      </c>
      <c r="E15" s="5">
        <v>182</v>
      </c>
      <c r="F15" s="4">
        <v>6.7</v>
      </c>
      <c r="G15" s="5">
        <v>308</v>
      </c>
      <c r="H15" s="5">
        <v>6.4</v>
      </c>
      <c r="I15" s="5">
        <v>705</v>
      </c>
      <c r="J15" s="5">
        <v>169</v>
      </c>
    </row>
    <row r="16" spans="1:10" x14ac:dyDescent="0.35">
      <c r="A16" s="1" t="s">
        <v>4</v>
      </c>
      <c r="B16" s="5">
        <f>IFERROR(AVERAGE(B7:B13),"")</f>
        <v>1040.8333333333333</v>
      </c>
      <c r="C16" s="5">
        <f t="shared" ref="C16:J16" si="2">IFERROR(AVERAGE(C7:C13),"")</f>
        <v>324.28571428571428</v>
      </c>
      <c r="D16" s="5">
        <f t="shared" si="2"/>
        <v>64.714285714285708</v>
      </c>
      <c r="E16" s="5">
        <f t="shared" si="2"/>
        <v>225</v>
      </c>
      <c r="F16" s="4">
        <f t="shared" si="2"/>
        <v>8.4</v>
      </c>
      <c r="G16" s="5">
        <f t="shared" si="2"/>
        <v>45.714285714285715</v>
      </c>
      <c r="H16" s="5">
        <f t="shared" si="2"/>
        <v>9.5142857142857142</v>
      </c>
      <c r="I16" s="5">
        <f t="shared" si="2"/>
        <v>646.14285714285711</v>
      </c>
      <c r="J16" s="5">
        <f t="shared" si="2"/>
        <v>311.14285714285717</v>
      </c>
    </row>
    <row r="17" spans="1:10" x14ac:dyDescent="0.35">
      <c r="A17" s="1" t="s">
        <v>5</v>
      </c>
      <c r="B17" s="6">
        <f>IFERROR(-(B15-B16)/B15,"")</f>
        <v>0.42775491540923627</v>
      </c>
      <c r="C17" s="6">
        <f t="shared" ref="C17:J17" si="3">IFERROR(-(C15-C16)/C15,"")</f>
        <v>1.9766397124887664E-2</v>
      </c>
      <c r="D17" s="6">
        <f t="shared" si="3"/>
        <v>1.1160714285714191E-2</v>
      </c>
      <c r="E17" s="6">
        <f t="shared" si="3"/>
        <v>0.23626373626373626</v>
      </c>
      <c r="F17" s="6">
        <f t="shared" si="3"/>
        <v>0.2537313432835821</v>
      </c>
      <c r="G17" s="6">
        <f t="shared" si="3"/>
        <v>-0.85157699443413726</v>
      </c>
      <c r="H17" s="6">
        <f t="shared" si="3"/>
        <v>0.48660714285714279</v>
      </c>
      <c r="I17" s="6">
        <f t="shared" si="3"/>
        <v>-8.3485309017223952E-2</v>
      </c>
      <c r="J17" s="6">
        <f t="shared" si="3"/>
        <v>0.84108199492814895</v>
      </c>
    </row>
  </sheetData>
  <mergeCells count="2">
    <mergeCell ref="G1:J1"/>
    <mergeCell ref="B1:F1"/>
  </mergeCells>
  <conditionalFormatting sqref="B4:B5">
    <cfRule type="top10" dxfId="242" priority="26" bottom="1" rank="1"/>
    <cfRule type="top10" dxfId="241" priority="27" rank="1"/>
  </conditionalFormatting>
  <conditionalFormatting sqref="B17">
    <cfRule type="cellIs" dxfId="240" priority="24" operator="greaterThanOrEqual">
      <formula>0</formula>
    </cfRule>
    <cfRule type="cellIs" dxfId="239" priority="25" operator="lessThan">
      <formula>0</formula>
    </cfRule>
  </conditionalFormatting>
  <conditionalFormatting sqref="C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  <cfRule type="top10" dxfId="238" priority="23" rank="1"/>
  </conditionalFormatting>
  <conditionalFormatting sqref="C5">
    <cfRule type="top10" dxfId="237" priority="22" bottom="1" rank="1"/>
  </conditionalFormatting>
  <conditionalFormatting sqref="D4:D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E5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:F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:G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:I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7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7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17"/>
  <sheetViews>
    <sheetView workbookViewId="0">
      <selection activeCell="F7" sqref="F7:F13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</cols>
  <sheetData>
    <row r="1" spans="1:16" x14ac:dyDescent="0.35">
      <c r="A1" s="1"/>
      <c r="B1" s="100" t="s">
        <v>13</v>
      </c>
      <c r="C1" s="101"/>
      <c r="D1" s="101"/>
      <c r="E1" s="101"/>
      <c r="F1" s="102"/>
      <c r="G1" s="99" t="s">
        <v>14</v>
      </c>
      <c r="H1" s="99"/>
      <c r="I1" s="99"/>
      <c r="J1" s="99"/>
    </row>
    <row r="2" spans="1:16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15</v>
      </c>
      <c r="G2" s="1" t="s">
        <v>9</v>
      </c>
      <c r="H2" s="1" t="s">
        <v>15</v>
      </c>
      <c r="I2" s="1" t="s">
        <v>10</v>
      </c>
      <c r="J2" s="1" t="s">
        <v>12</v>
      </c>
    </row>
    <row r="3" spans="1:16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>
        <v>9</v>
      </c>
      <c r="G3" s="7">
        <v>60</v>
      </c>
      <c r="H3" s="7">
        <v>9</v>
      </c>
      <c r="I3" s="7">
        <v>1400</v>
      </c>
      <c r="J3" s="7">
        <v>200</v>
      </c>
    </row>
    <row r="4" spans="1:16" x14ac:dyDescent="0.35">
      <c r="A4" s="1" t="s">
        <v>1</v>
      </c>
      <c r="B4" s="5">
        <f>IFERROR(AVERAGE(B7:B10),"")</f>
        <v>981.5</v>
      </c>
      <c r="C4" s="5">
        <f t="shared" ref="C4:J4" si="0">IFERROR(AVERAGE(C7:C10),"")</f>
        <v>349.25</v>
      </c>
      <c r="D4" s="5">
        <f t="shared" si="0"/>
        <v>79.5</v>
      </c>
      <c r="E4" s="5">
        <f t="shared" si="0"/>
        <v>216.5</v>
      </c>
      <c r="F4" s="4">
        <f t="shared" si="0"/>
        <v>6.7750000000000004</v>
      </c>
      <c r="G4" s="5">
        <f t="shared" si="0"/>
        <v>57.333333333333336</v>
      </c>
      <c r="H4" s="4">
        <f t="shared" si="0"/>
        <v>6.9000000000000012</v>
      </c>
      <c r="I4" s="5">
        <f t="shared" si="0"/>
        <v>464.33333333333331</v>
      </c>
      <c r="J4" s="5">
        <f t="shared" si="0"/>
        <v>146.66666666666666</v>
      </c>
    </row>
    <row r="5" spans="1:16" x14ac:dyDescent="0.35">
      <c r="A5" s="1" t="s">
        <v>2</v>
      </c>
      <c r="B5" s="5">
        <f>IFERROR(AVERAGE(B10:B13),"")</f>
        <v>1093.5</v>
      </c>
      <c r="C5" s="13">
        <f t="shared" ref="C5:J5" si="1">IFERROR(AVERAGE(C10:C13),"")</f>
        <v>451.25</v>
      </c>
      <c r="D5" s="5">
        <f t="shared" si="1"/>
        <v>66.25</v>
      </c>
      <c r="E5" s="5">
        <f t="shared" si="1"/>
        <v>243</v>
      </c>
      <c r="F5" s="4">
        <f t="shared" si="1"/>
        <v>8.125</v>
      </c>
      <c r="G5" s="5">
        <f t="shared" si="1"/>
        <v>44</v>
      </c>
      <c r="H5" s="4">
        <f t="shared" si="1"/>
        <v>6.55</v>
      </c>
      <c r="I5" s="5">
        <f t="shared" si="1"/>
        <v>946.75</v>
      </c>
      <c r="J5" s="5">
        <f t="shared" si="1"/>
        <v>163.75</v>
      </c>
    </row>
    <row r="7" spans="1:16" x14ac:dyDescent="0.35">
      <c r="A7" s="3">
        <v>43856</v>
      </c>
      <c r="B7" s="8">
        <v>831</v>
      </c>
      <c r="C7" s="9">
        <v>347</v>
      </c>
      <c r="D7" s="8">
        <v>87</v>
      </c>
      <c r="E7" s="8">
        <v>181</v>
      </c>
      <c r="F7" s="8">
        <v>5.6</v>
      </c>
      <c r="G7" s="8"/>
      <c r="H7" s="8"/>
      <c r="I7" s="8"/>
      <c r="J7" s="8"/>
    </row>
    <row r="8" spans="1:16" x14ac:dyDescent="0.35">
      <c r="A8" s="3">
        <v>43857</v>
      </c>
      <c r="B8" s="8">
        <v>866</v>
      </c>
      <c r="C8" s="8">
        <v>299</v>
      </c>
      <c r="D8" s="8">
        <v>83</v>
      </c>
      <c r="E8" s="8">
        <v>171</v>
      </c>
      <c r="F8" s="8">
        <v>5.7</v>
      </c>
      <c r="G8" s="8">
        <v>60</v>
      </c>
      <c r="H8" s="8">
        <v>5.6</v>
      </c>
      <c r="I8" s="8">
        <v>296</v>
      </c>
      <c r="J8" s="8">
        <v>119</v>
      </c>
    </row>
    <row r="9" spans="1:16" x14ac:dyDescent="0.35">
      <c r="A9" s="3">
        <v>43858</v>
      </c>
      <c r="B9" s="8">
        <v>962</v>
      </c>
      <c r="C9" s="8">
        <v>368</v>
      </c>
      <c r="D9" s="8">
        <v>73</v>
      </c>
      <c r="E9" s="8">
        <v>246</v>
      </c>
      <c r="F9" s="8">
        <v>8.1999999999999993</v>
      </c>
      <c r="G9" s="8">
        <v>44</v>
      </c>
      <c r="H9" s="8">
        <v>10.5</v>
      </c>
      <c r="I9" s="8">
        <v>544</v>
      </c>
      <c r="J9" s="8">
        <v>148</v>
      </c>
    </row>
    <row r="10" spans="1:16" x14ac:dyDescent="0.35">
      <c r="A10" s="3">
        <v>43859</v>
      </c>
      <c r="B10" s="12">
        <v>1267</v>
      </c>
      <c r="C10" s="12">
        <v>383</v>
      </c>
      <c r="D10" s="12">
        <v>75</v>
      </c>
      <c r="E10" s="12">
        <v>268</v>
      </c>
      <c r="F10" s="12">
        <v>7.6</v>
      </c>
      <c r="G10" s="12">
        <v>68</v>
      </c>
      <c r="H10" s="12">
        <v>4.5999999999999996</v>
      </c>
      <c r="I10" s="12">
        <v>553</v>
      </c>
      <c r="J10" s="12">
        <v>173</v>
      </c>
    </row>
    <row r="11" spans="1:16" ht="14.5" customHeight="1" x14ac:dyDescent="0.35">
      <c r="A11" s="14">
        <v>43860</v>
      </c>
      <c r="B11" s="10">
        <v>896</v>
      </c>
      <c r="C11" s="10">
        <v>435</v>
      </c>
      <c r="D11" s="10">
        <v>69</v>
      </c>
      <c r="E11" s="10">
        <v>194</v>
      </c>
      <c r="F11" s="10">
        <v>5.9</v>
      </c>
      <c r="G11" s="10">
        <v>30</v>
      </c>
      <c r="H11" s="10">
        <v>8.9</v>
      </c>
      <c r="I11" s="10">
        <v>1251</v>
      </c>
      <c r="J11" s="10">
        <v>153</v>
      </c>
      <c r="L11" s="103" t="s">
        <v>16</v>
      </c>
      <c r="M11" s="103"/>
      <c r="N11" s="103"/>
      <c r="O11" s="103"/>
      <c r="P11" s="103"/>
    </row>
    <row r="12" spans="1:16" x14ac:dyDescent="0.35">
      <c r="A12" s="3">
        <v>43861</v>
      </c>
      <c r="B12" s="10">
        <v>1008</v>
      </c>
      <c r="C12" s="10">
        <v>476</v>
      </c>
      <c r="D12" s="10">
        <v>59</v>
      </c>
      <c r="E12" s="10">
        <v>227</v>
      </c>
      <c r="F12" s="10">
        <v>8.4</v>
      </c>
      <c r="G12" s="10">
        <v>38</v>
      </c>
      <c r="H12" s="10">
        <v>6.2</v>
      </c>
      <c r="I12" s="10">
        <v>921</v>
      </c>
      <c r="J12" s="10">
        <v>157</v>
      </c>
      <c r="L12" s="103"/>
      <c r="M12" s="103"/>
      <c r="N12" s="103"/>
      <c r="O12" s="103"/>
      <c r="P12" s="103"/>
    </row>
    <row r="13" spans="1:16" x14ac:dyDescent="0.35">
      <c r="A13" s="3">
        <v>43862</v>
      </c>
      <c r="B13" s="10">
        <v>1203</v>
      </c>
      <c r="C13" s="10">
        <v>511</v>
      </c>
      <c r="D13" s="10">
        <v>62</v>
      </c>
      <c r="E13" s="10">
        <v>283</v>
      </c>
      <c r="F13" s="10">
        <v>10.6</v>
      </c>
      <c r="G13" s="10">
        <v>40</v>
      </c>
      <c r="H13" s="10">
        <v>6.5</v>
      </c>
      <c r="I13" s="10">
        <v>1062</v>
      </c>
      <c r="J13" s="10">
        <v>172</v>
      </c>
      <c r="L13" s="103"/>
      <c r="M13" s="103"/>
      <c r="N13" s="103"/>
      <c r="O13" s="103"/>
      <c r="P13" s="103"/>
    </row>
    <row r="14" spans="1:16" ht="14.5" customHeight="1" x14ac:dyDescent="0.35">
      <c r="L14" s="103"/>
      <c r="M14" s="103"/>
      <c r="N14" s="103"/>
      <c r="O14" s="103"/>
      <c r="P14" s="103"/>
    </row>
    <row r="15" spans="1:16" x14ac:dyDescent="0.35">
      <c r="A15" s="1" t="s">
        <v>3</v>
      </c>
      <c r="B15" s="5">
        <v>1040.8333333333333</v>
      </c>
      <c r="C15" s="5">
        <v>324.28571428571428</v>
      </c>
      <c r="D15" s="5">
        <v>64.714285714285708</v>
      </c>
      <c r="E15" s="5">
        <v>225</v>
      </c>
      <c r="F15" s="4">
        <v>8.4</v>
      </c>
      <c r="G15" s="5">
        <v>45.714285714285715</v>
      </c>
      <c r="H15" s="5">
        <v>9.5142857142857142</v>
      </c>
      <c r="I15" s="5">
        <v>646.14285714285711</v>
      </c>
      <c r="J15" s="5">
        <v>311.14285714285717</v>
      </c>
      <c r="L15" s="103"/>
      <c r="M15" s="103"/>
      <c r="N15" s="103"/>
      <c r="O15" s="103"/>
      <c r="P15" s="103"/>
    </row>
    <row r="16" spans="1:16" x14ac:dyDescent="0.35">
      <c r="A16" s="1" t="s">
        <v>4</v>
      </c>
      <c r="B16" s="5">
        <f>IFERROR(AVERAGE(B7:B13),"")</f>
        <v>1004.7142857142857</v>
      </c>
      <c r="C16" s="5">
        <f t="shared" ref="C16:J16" si="2">IFERROR(AVERAGE(C7:C13),"")</f>
        <v>402.71428571428572</v>
      </c>
      <c r="D16" s="5">
        <f t="shared" si="2"/>
        <v>72.571428571428569</v>
      </c>
      <c r="E16" s="5">
        <f t="shared" si="2"/>
        <v>224.28571428571428</v>
      </c>
      <c r="F16" s="4">
        <f t="shared" si="2"/>
        <v>7.4285714285714288</v>
      </c>
      <c r="G16" s="5">
        <f t="shared" si="2"/>
        <v>46.666666666666664</v>
      </c>
      <c r="H16" s="5">
        <f t="shared" si="2"/>
        <v>7.0500000000000007</v>
      </c>
      <c r="I16" s="5">
        <f t="shared" si="2"/>
        <v>771.16666666666663</v>
      </c>
      <c r="J16" s="5">
        <f t="shared" si="2"/>
        <v>153.66666666666666</v>
      </c>
      <c r="L16" s="103"/>
      <c r="M16" s="103"/>
      <c r="N16" s="103"/>
      <c r="O16" s="103"/>
      <c r="P16" s="103"/>
    </row>
    <row r="17" spans="1:10" x14ac:dyDescent="0.35">
      <c r="A17" s="1" t="s">
        <v>5</v>
      </c>
      <c r="B17" s="6">
        <f>IFERROR(-(B15-B16)/B15,"")</f>
        <v>-3.4702047352167427E-2</v>
      </c>
      <c r="C17" s="6">
        <f t="shared" ref="C17:J17" si="3">IFERROR(-(C15-C16)/C15,"")</f>
        <v>0.24185022026431724</v>
      </c>
      <c r="D17" s="6">
        <f t="shared" si="3"/>
        <v>0.12141280353200891</v>
      </c>
      <c r="E17" s="6">
        <f t="shared" si="3"/>
        <v>-3.1746031746032106E-3</v>
      </c>
      <c r="F17" s="6">
        <f t="shared" si="3"/>
        <v>-0.11564625850340136</v>
      </c>
      <c r="G17" s="6">
        <f t="shared" si="3"/>
        <v>2.0833333333333259E-2</v>
      </c>
      <c r="H17" s="6">
        <f t="shared" si="3"/>
        <v>-0.25900900900900892</v>
      </c>
      <c r="I17" s="6">
        <f t="shared" si="3"/>
        <v>0.1934925197140541</v>
      </c>
      <c r="J17" s="6">
        <f t="shared" si="3"/>
        <v>-0.50612182430364261</v>
      </c>
    </row>
  </sheetData>
  <mergeCells count="3">
    <mergeCell ref="B1:F1"/>
    <mergeCell ref="G1:J1"/>
    <mergeCell ref="L11:P16"/>
  </mergeCells>
  <conditionalFormatting sqref="B4:B5">
    <cfRule type="top10" dxfId="236" priority="44" bottom="1" rank="1"/>
    <cfRule type="top10" dxfId="235" priority="45" rank="1"/>
  </conditionalFormatting>
  <conditionalFormatting sqref="B17">
    <cfRule type="cellIs" dxfId="234" priority="42" operator="greaterThanOrEqual">
      <formula>0</formula>
    </cfRule>
    <cfRule type="cellIs" dxfId="233" priority="43" operator="lessThan">
      <formula>0</formula>
    </cfRule>
  </conditionalFormatting>
  <conditionalFormatting sqref="C4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  <cfRule type="top10" dxfId="232" priority="41" rank="1"/>
  </conditionalFormatting>
  <conditionalFormatting sqref="C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231" priority="40" bottom="1" rank="1"/>
  </conditionalFormatting>
  <conditionalFormatting sqref="D4:D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E5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:F5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:G5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:I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230" priority="24" operator="greaterThanOrEqual">
      <formula>0</formula>
    </cfRule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7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7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7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7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7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7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7:J17">
    <cfRule type="cellIs" dxfId="229" priority="23" operator="greaterThanOrEqual">
      <formula>0</formula>
    </cfRule>
  </conditionalFormatting>
  <conditionalFormatting sqref="E4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4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17"/>
  <sheetViews>
    <sheetView workbookViewId="0">
      <selection activeCell="J21" sqref="J21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</cols>
  <sheetData>
    <row r="1" spans="1:16" x14ac:dyDescent="0.35">
      <c r="A1" s="1"/>
      <c r="B1" s="100" t="s">
        <v>13</v>
      </c>
      <c r="C1" s="101"/>
      <c r="D1" s="101"/>
      <c r="E1" s="101"/>
      <c r="F1" s="102"/>
      <c r="G1" s="99" t="s">
        <v>14</v>
      </c>
      <c r="H1" s="99"/>
      <c r="I1" s="99"/>
      <c r="J1" s="99"/>
    </row>
    <row r="2" spans="1:16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15</v>
      </c>
      <c r="G2" s="1" t="s">
        <v>9</v>
      </c>
      <c r="H2" s="1" t="s">
        <v>15</v>
      </c>
      <c r="I2" s="1" t="s">
        <v>10</v>
      </c>
      <c r="J2" s="1" t="s">
        <v>12</v>
      </c>
    </row>
    <row r="3" spans="1:16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>
        <v>9</v>
      </c>
      <c r="G3" s="7">
        <v>60</v>
      </c>
      <c r="H3" s="7">
        <v>9</v>
      </c>
      <c r="I3" s="7">
        <v>1400</v>
      </c>
      <c r="J3" s="7">
        <v>200</v>
      </c>
    </row>
    <row r="4" spans="1:16" x14ac:dyDescent="0.35">
      <c r="A4" s="1" t="s">
        <v>1</v>
      </c>
      <c r="B4" s="4">
        <f>IFERROR(AVERAGE(B7:B10),"")</f>
        <v>898.81</v>
      </c>
      <c r="C4" s="4">
        <f t="shared" ref="C4:J4" si="0">IFERROR(AVERAGE(C7:C10),"")</f>
        <v>381.07249999999999</v>
      </c>
      <c r="D4" s="4">
        <f t="shared" si="0"/>
        <v>61.850000000000009</v>
      </c>
      <c r="E4" s="4">
        <f t="shared" si="0"/>
        <v>192.78250000000003</v>
      </c>
      <c r="F4" s="4">
        <f t="shared" si="0"/>
        <v>7.3</v>
      </c>
      <c r="G4" s="4">
        <f t="shared" si="0"/>
        <v>42.787499999999994</v>
      </c>
      <c r="H4" s="4">
        <f t="shared" si="0"/>
        <v>9.6</v>
      </c>
      <c r="I4" s="4">
        <f t="shared" si="0"/>
        <v>933.14499999999998</v>
      </c>
      <c r="J4" s="4">
        <f t="shared" si="0"/>
        <v>182.32</v>
      </c>
    </row>
    <row r="5" spans="1:16" x14ac:dyDescent="0.35">
      <c r="A5" s="1" t="s">
        <v>2</v>
      </c>
      <c r="B5" s="4">
        <f>IFERROR(AVERAGE(B10:B13),"")</f>
        <v>1102.3175000000001</v>
      </c>
      <c r="C5" s="18">
        <f t="shared" ref="C5:J5" si="1">IFERROR(AVERAGE(C10:C13),"")</f>
        <v>529.20749999999998</v>
      </c>
      <c r="D5" s="4">
        <f t="shared" si="1"/>
        <v>62.032499999999999</v>
      </c>
      <c r="E5" s="4">
        <f t="shared" si="1"/>
        <v>186.82499999999999</v>
      </c>
      <c r="F5" s="4">
        <f t="shared" si="1"/>
        <v>8.0749999999999993</v>
      </c>
      <c r="G5" s="4">
        <f t="shared" si="1"/>
        <v>42.67</v>
      </c>
      <c r="H5" s="4">
        <f t="shared" si="1"/>
        <v>6.2000000000000011</v>
      </c>
      <c r="I5" s="4">
        <f t="shared" si="1"/>
        <v>686.11750000000006</v>
      </c>
      <c r="J5" s="4">
        <f t="shared" si="1"/>
        <v>172.84500000000003</v>
      </c>
    </row>
    <row r="7" spans="1:16" x14ac:dyDescent="0.35">
      <c r="A7" s="3">
        <v>43863</v>
      </c>
      <c r="B7" s="15">
        <v>1255.5999999999999</v>
      </c>
      <c r="C7" s="15">
        <v>339.1</v>
      </c>
      <c r="D7" s="15">
        <v>69.7</v>
      </c>
      <c r="E7" s="15">
        <v>303.3</v>
      </c>
      <c r="F7" s="15">
        <v>10.199999999999999</v>
      </c>
      <c r="G7" s="15">
        <v>58.1</v>
      </c>
      <c r="H7" s="15">
        <v>9.8000000000000007</v>
      </c>
      <c r="I7" s="15">
        <v>726.9</v>
      </c>
      <c r="J7" s="15">
        <v>230.1</v>
      </c>
    </row>
    <row r="8" spans="1:16" x14ac:dyDescent="0.35">
      <c r="A8" s="3">
        <v>43864</v>
      </c>
      <c r="B8" s="15">
        <v>686.04</v>
      </c>
      <c r="C8" s="15">
        <v>326.19</v>
      </c>
      <c r="D8" s="15">
        <v>61.1</v>
      </c>
      <c r="E8" s="15">
        <v>135.13</v>
      </c>
      <c r="F8" s="15">
        <v>4.8</v>
      </c>
      <c r="G8" s="15">
        <v>29.35</v>
      </c>
      <c r="H8" s="15">
        <v>11.1</v>
      </c>
      <c r="I8" s="15">
        <v>971.68</v>
      </c>
      <c r="J8" s="15">
        <v>127.58</v>
      </c>
    </row>
    <row r="9" spans="1:16" x14ac:dyDescent="0.35">
      <c r="A9" s="3">
        <v>43865</v>
      </c>
      <c r="B9" s="15">
        <v>823.1</v>
      </c>
      <c r="C9" s="15">
        <v>311.60000000000002</v>
      </c>
      <c r="D9" s="15">
        <v>59.9</v>
      </c>
      <c r="E9" s="15">
        <v>163</v>
      </c>
      <c r="F9" s="15">
        <v>5.4</v>
      </c>
      <c r="G9" s="15">
        <v>39.9</v>
      </c>
      <c r="H9" s="15">
        <v>11.1</v>
      </c>
      <c r="I9" s="15">
        <v>1310.5</v>
      </c>
      <c r="J9" s="15">
        <v>175.1</v>
      </c>
    </row>
    <row r="10" spans="1:16" x14ac:dyDescent="0.35">
      <c r="A10" s="3">
        <v>43866</v>
      </c>
      <c r="B10" s="16">
        <v>830.5</v>
      </c>
      <c r="C10" s="16">
        <v>547.4</v>
      </c>
      <c r="D10" s="16">
        <v>56.7</v>
      </c>
      <c r="E10" s="16">
        <v>169.7</v>
      </c>
      <c r="F10" s="16">
        <v>8.8000000000000007</v>
      </c>
      <c r="G10" s="16">
        <v>43.8</v>
      </c>
      <c r="H10" s="16">
        <v>6.4</v>
      </c>
      <c r="I10" s="16">
        <v>723.5</v>
      </c>
      <c r="J10" s="16">
        <v>196.5</v>
      </c>
    </row>
    <row r="11" spans="1:16" ht="14.5" customHeight="1" x14ac:dyDescent="0.35">
      <c r="A11" s="3">
        <v>43867</v>
      </c>
      <c r="B11" s="17">
        <v>1674.99</v>
      </c>
      <c r="C11" s="17">
        <v>434.46</v>
      </c>
      <c r="D11" s="17">
        <v>55.5</v>
      </c>
      <c r="E11" s="17">
        <v>159.13</v>
      </c>
      <c r="F11" s="17">
        <v>9.1999999999999993</v>
      </c>
      <c r="G11" s="17">
        <v>43.39</v>
      </c>
      <c r="H11" s="17">
        <v>5.9</v>
      </c>
      <c r="I11" s="17">
        <v>925.92</v>
      </c>
      <c r="J11" s="17">
        <v>183.74</v>
      </c>
      <c r="L11" s="103" t="s">
        <v>16</v>
      </c>
      <c r="M11" s="103"/>
      <c r="N11" s="103"/>
      <c r="O11" s="103"/>
      <c r="P11" s="103"/>
    </row>
    <row r="12" spans="1:16" x14ac:dyDescent="0.35">
      <c r="A12" s="3">
        <v>43868</v>
      </c>
      <c r="B12" s="17">
        <v>982.59</v>
      </c>
      <c r="C12" s="17">
        <v>482.03</v>
      </c>
      <c r="D12" s="17">
        <v>46.08</v>
      </c>
      <c r="E12" s="17">
        <v>207.16</v>
      </c>
      <c r="F12" s="17">
        <v>7.8</v>
      </c>
      <c r="G12" s="17">
        <v>40.1</v>
      </c>
      <c r="H12" s="17">
        <v>5.4</v>
      </c>
      <c r="I12" s="17">
        <v>595.52</v>
      </c>
      <c r="J12" s="17">
        <v>144.18</v>
      </c>
      <c r="L12" s="103"/>
      <c r="M12" s="103"/>
      <c r="N12" s="103"/>
      <c r="O12" s="103"/>
      <c r="P12" s="103"/>
    </row>
    <row r="13" spans="1:16" x14ac:dyDescent="0.35">
      <c r="A13" s="3">
        <v>43869</v>
      </c>
      <c r="B13" s="17">
        <v>921.19</v>
      </c>
      <c r="C13" s="17">
        <v>652.94000000000005</v>
      </c>
      <c r="D13" s="17">
        <v>89.85</v>
      </c>
      <c r="E13" s="17">
        <v>211.31</v>
      </c>
      <c r="F13" s="17">
        <v>6.5</v>
      </c>
      <c r="G13" s="17">
        <v>43.39</v>
      </c>
      <c r="H13" s="17">
        <v>7.1</v>
      </c>
      <c r="I13" s="17">
        <v>499.53</v>
      </c>
      <c r="J13" s="17">
        <v>166.96</v>
      </c>
      <c r="L13" s="103"/>
      <c r="M13" s="103"/>
      <c r="N13" s="103"/>
      <c r="O13" s="103"/>
      <c r="P13" s="103"/>
    </row>
    <row r="14" spans="1:16" ht="14.5" customHeight="1" x14ac:dyDescent="0.35">
      <c r="L14" s="103"/>
      <c r="M14" s="103"/>
      <c r="N14" s="103"/>
      <c r="O14" s="103"/>
      <c r="P14" s="103"/>
    </row>
    <row r="15" spans="1:16" x14ac:dyDescent="0.35">
      <c r="A15" s="1" t="s">
        <v>3</v>
      </c>
      <c r="B15" s="4">
        <v>1004.7142857142857</v>
      </c>
      <c r="C15" s="4">
        <v>402.71428571428572</v>
      </c>
      <c r="D15" s="4">
        <v>72.571428571428569</v>
      </c>
      <c r="E15" s="4">
        <v>224.28571428571428</v>
      </c>
      <c r="F15" s="4">
        <v>7.4285714285714288</v>
      </c>
      <c r="G15" s="4">
        <v>46.666666666666664</v>
      </c>
      <c r="H15" s="4">
        <v>7.0500000000000007</v>
      </c>
      <c r="I15" s="4">
        <v>771.16666666666663</v>
      </c>
      <c r="J15" s="4">
        <v>153.66666666666666</v>
      </c>
      <c r="L15" s="103"/>
      <c r="M15" s="103"/>
      <c r="N15" s="103"/>
      <c r="O15" s="103"/>
      <c r="P15" s="103"/>
    </row>
    <row r="16" spans="1:16" x14ac:dyDescent="0.35">
      <c r="A16" s="1" t="s">
        <v>4</v>
      </c>
      <c r="B16" s="4">
        <f>IFERROR(AVERAGE(B7:B13),"")</f>
        <v>1024.8585714285714</v>
      </c>
      <c r="C16" s="4">
        <f t="shared" ref="C16:J16" si="2">IFERROR(AVERAGE(C7:C13),"")</f>
        <v>441.96</v>
      </c>
      <c r="D16" s="4">
        <f t="shared" si="2"/>
        <v>62.690000000000005</v>
      </c>
      <c r="E16" s="4">
        <f t="shared" si="2"/>
        <v>192.67571428571429</v>
      </c>
      <c r="F16" s="4">
        <f t="shared" si="2"/>
        <v>7.5285714285714276</v>
      </c>
      <c r="G16" s="4">
        <f t="shared" si="2"/>
        <v>42.575714285714284</v>
      </c>
      <c r="H16" s="4">
        <f t="shared" si="2"/>
        <v>8.1142857142857139</v>
      </c>
      <c r="I16" s="4">
        <f t="shared" si="2"/>
        <v>821.93571428571431</v>
      </c>
      <c r="J16" s="4">
        <f t="shared" si="2"/>
        <v>174.88000000000002</v>
      </c>
      <c r="L16" s="103"/>
      <c r="M16" s="103"/>
      <c r="N16" s="103"/>
      <c r="O16" s="103"/>
      <c r="P16" s="103"/>
    </row>
    <row r="17" spans="1:10" x14ac:dyDescent="0.35">
      <c r="A17" s="1" t="s">
        <v>5</v>
      </c>
      <c r="B17" s="6">
        <f>IFERROR(-(B15-B16)/B15,"")</f>
        <v>2.0049765391724744E-2</v>
      </c>
      <c r="C17" s="6">
        <f t="shared" ref="C17:J17" si="3">IFERROR(-(C15-C16)/C15,"")</f>
        <v>9.7452997516849868E-2</v>
      </c>
      <c r="D17" s="6">
        <f t="shared" si="3"/>
        <v>-0.13616141732283454</v>
      </c>
      <c r="E17" s="6">
        <f t="shared" si="3"/>
        <v>-0.140936305732484</v>
      </c>
      <c r="F17" s="6">
        <f t="shared" si="3"/>
        <v>1.3461538461538294E-2</v>
      </c>
      <c r="G17" s="6">
        <f t="shared" si="3"/>
        <v>-8.7663265306122437E-2</v>
      </c>
      <c r="H17" s="6">
        <f t="shared" si="3"/>
        <v>0.15096251266464014</v>
      </c>
      <c r="I17" s="6">
        <f t="shared" si="3"/>
        <v>6.5834079471425569E-2</v>
      </c>
      <c r="J17" s="6">
        <f t="shared" si="3"/>
        <v>0.13804772234273341</v>
      </c>
    </row>
  </sheetData>
  <mergeCells count="3">
    <mergeCell ref="B1:F1"/>
    <mergeCell ref="G1:J1"/>
    <mergeCell ref="L11:P16"/>
  </mergeCells>
  <conditionalFormatting sqref="B4:B5">
    <cfRule type="top10" dxfId="228" priority="41" bottom="1" rank="1"/>
    <cfRule type="top10" dxfId="227" priority="42" rank="1"/>
  </conditionalFormatting>
  <conditionalFormatting sqref="B17">
    <cfRule type="cellIs" dxfId="226" priority="39" operator="greaterThanOrEqual">
      <formula>0</formula>
    </cfRule>
    <cfRule type="cellIs" dxfId="225" priority="40" operator="lessThan">
      <formula>0</formula>
    </cfRule>
  </conditionalFormatting>
  <conditionalFormatting sqref="C4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  <cfRule type="top10" dxfId="224" priority="38" rank="1"/>
  </conditionalFormatting>
  <conditionalFormatting sqref="C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223" priority="37" bottom="1" rank="1"/>
  </conditionalFormatting>
  <conditionalFormatting sqref="D4:D5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E5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:F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:G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:I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222" priority="5" operator="lessThan">
      <formula>0</formula>
    </cfRule>
    <cfRule type="cellIs" dxfId="221" priority="25" operator="greaterThanOrEqual">
      <formula>0</formula>
    </cfRule>
  </conditionalFormatting>
  <conditionalFormatting sqref="D17:J17">
    <cfRule type="cellIs" dxfId="220" priority="24" operator="greaterThanOrEqual">
      <formula>0</formula>
    </cfRule>
  </conditionalFormatting>
  <conditionalFormatting sqref="E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7">
    <cfRule type="cellIs" dxfId="219" priority="11" operator="lessThan">
      <formula>0</formula>
    </cfRule>
  </conditionalFormatting>
  <conditionalFormatting sqref="H17">
    <cfRule type="cellIs" dxfId="218" priority="10" operator="lessThan">
      <formula>0</formula>
    </cfRule>
  </conditionalFormatting>
  <conditionalFormatting sqref="G17">
    <cfRule type="cellIs" dxfId="217" priority="9" operator="lessThan">
      <formula>0</formula>
    </cfRule>
  </conditionalFormatting>
  <conditionalFormatting sqref="F17">
    <cfRule type="cellIs" dxfId="216" priority="8" operator="lessThan">
      <formula>0</formula>
    </cfRule>
  </conditionalFormatting>
  <conditionalFormatting sqref="E17">
    <cfRule type="cellIs" dxfId="215" priority="7" operator="lessThan">
      <formula>0</formula>
    </cfRule>
  </conditionalFormatting>
  <conditionalFormatting sqref="D17">
    <cfRule type="cellIs" dxfId="214" priority="6" operator="lessThan">
      <formula>0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17"/>
  <sheetViews>
    <sheetView workbookViewId="0">
      <selection activeCell="H3" sqref="H3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</cols>
  <sheetData>
    <row r="1" spans="1:16" x14ac:dyDescent="0.35">
      <c r="A1" s="1"/>
      <c r="B1" s="100" t="s">
        <v>13</v>
      </c>
      <c r="C1" s="101"/>
      <c r="D1" s="101"/>
      <c r="E1" s="101"/>
      <c r="F1" s="102"/>
      <c r="G1" s="99" t="s">
        <v>14</v>
      </c>
      <c r="H1" s="99"/>
      <c r="I1" s="99"/>
      <c r="J1" s="99"/>
    </row>
    <row r="2" spans="1:16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15</v>
      </c>
      <c r="G2" s="1" t="s">
        <v>9</v>
      </c>
      <c r="H2" s="1" t="s">
        <v>15</v>
      </c>
      <c r="I2" s="1" t="s">
        <v>10</v>
      </c>
      <c r="J2" s="1" t="s">
        <v>12</v>
      </c>
    </row>
    <row r="3" spans="1:16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>
        <v>9</v>
      </c>
      <c r="G3" s="7">
        <v>60</v>
      </c>
      <c r="H3" s="7">
        <v>9</v>
      </c>
      <c r="I3" s="7">
        <v>1400</v>
      </c>
      <c r="J3" s="7">
        <v>200</v>
      </c>
    </row>
    <row r="4" spans="1:16" x14ac:dyDescent="0.35">
      <c r="A4" s="1" t="s">
        <v>1</v>
      </c>
      <c r="B4" s="4">
        <f>IFERROR(AVERAGE(B7:B10),"")</f>
        <v>762.19749999999999</v>
      </c>
      <c r="C4" s="4">
        <f t="shared" ref="C4:J4" si="0">IFERROR(AVERAGE(C7:C10),"")</f>
        <v>402.69749999999999</v>
      </c>
      <c r="D4" s="4">
        <f t="shared" si="0"/>
        <v>60.585000000000008</v>
      </c>
      <c r="E4" s="4">
        <f t="shared" si="0"/>
        <v>177.22500000000002</v>
      </c>
      <c r="F4" s="4">
        <f t="shared" si="0"/>
        <v>6.1999999999999993</v>
      </c>
      <c r="G4" s="4">
        <f t="shared" si="0"/>
        <v>37.425000000000004</v>
      </c>
      <c r="H4" s="4">
        <f t="shared" si="0"/>
        <v>6.9</v>
      </c>
      <c r="I4" s="4">
        <f t="shared" si="0"/>
        <v>1007.4100000000001</v>
      </c>
      <c r="J4" s="4">
        <f t="shared" si="0"/>
        <v>156.92750000000001</v>
      </c>
    </row>
    <row r="5" spans="1:16" x14ac:dyDescent="0.35">
      <c r="A5" s="1" t="s">
        <v>2</v>
      </c>
      <c r="B5" s="4">
        <f>IFERROR(AVERAGE(B10:B13),"")</f>
        <v>862.43999999999994</v>
      </c>
      <c r="C5" s="18">
        <f t="shared" ref="C5:J5" si="1">IFERROR(AVERAGE(C10:C13),"")</f>
        <v>487.41499999999996</v>
      </c>
      <c r="D5" s="4">
        <f t="shared" si="1"/>
        <v>81.142500000000013</v>
      </c>
      <c r="E5" s="4">
        <f t="shared" si="1"/>
        <v>222.26</v>
      </c>
      <c r="F5" s="4">
        <f t="shared" si="1"/>
        <v>6.5074999999999994</v>
      </c>
      <c r="G5" s="19">
        <f t="shared" si="1"/>
        <v>37.392499999999998</v>
      </c>
      <c r="H5" s="4">
        <f t="shared" si="1"/>
        <v>8.0350000000000001</v>
      </c>
      <c r="I5" s="4">
        <f t="shared" si="1"/>
        <v>1072.865</v>
      </c>
      <c r="J5" s="4">
        <f t="shared" si="1"/>
        <v>209.31250000000003</v>
      </c>
    </row>
    <row r="7" spans="1:16" x14ac:dyDescent="0.35">
      <c r="A7" s="3">
        <v>43870</v>
      </c>
      <c r="B7" s="15">
        <v>770</v>
      </c>
      <c r="C7" s="15">
        <v>395.64</v>
      </c>
      <c r="D7" s="15">
        <v>53.94</v>
      </c>
      <c r="E7" s="15">
        <v>158.96</v>
      </c>
      <c r="F7" s="15">
        <v>6.1</v>
      </c>
      <c r="G7" s="15">
        <v>41.44</v>
      </c>
      <c r="H7" s="15">
        <v>6</v>
      </c>
      <c r="I7" s="15">
        <v>951</v>
      </c>
      <c r="J7" s="15">
        <v>123.8</v>
      </c>
    </row>
    <row r="8" spans="1:16" x14ac:dyDescent="0.35">
      <c r="A8" s="3">
        <v>43871</v>
      </c>
      <c r="B8" s="15">
        <v>964.72</v>
      </c>
      <c r="C8" s="15">
        <v>391.39</v>
      </c>
      <c r="D8" s="15">
        <v>62.65</v>
      </c>
      <c r="E8" s="15">
        <v>195.75</v>
      </c>
      <c r="F8" s="15">
        <v>6.6</v>
      </c>
      <c r="G8" s="15">
        <v>34.590000000000003</v>
      </c>
      <c r="H8" s="15">
        <v>6.4</v>
      </c>
      <c r="I8" s="15">
        <v>1043.04</v>
      </c>
      <c r="J8" s="15">
        <v>167.99</v>
      </c>
    </row>
    <row r="9" spans="1:16" x14ac:dyDescent="0.35">
      <c r="A9" s="3">
        <v>43872</v>
      </c>
      <c r="B9" s="15">
        <v>625.12</v>
      </c>
      <c r="C9" s="15">
        <v>431.18</v>
      </c>
      <c r="D9" s="15">
        <v>53.77</v>
      </c>
      <c r="E9" s="15">
        <v>156.96</v>
      </c>
      <c r="F9" s="15">
        <v>6.1</v>
      </c>
      <c r="G9" s="15">
        <v>39.770000000000003</v>
      </c>
      <c r="H9" s="15">
        <v>8.6</v>
      </c>
      <c r="I9" s="15">
        <v>1104.0899999999999</v>
      </c>
      <c r="J9" s="15">
        <v>189.61</v>
      </c>
    </row>
    <row r="10" spans="1:16" x14ac:dyDescent="0.35">
      <c r="A10" s="3">
        <v>43873</v>
      </c>
      <c r="B10" s="16">
        <v>688.95</v>
      </c>
      <c r="C10" s="16">
        <v>392.58</v>
      </c>
      <c r="D10" s="16">
        <v>71.98</v>
      </c>
      <c r="E10" s="16">
        <v>197.23</v>
      </c>
      <c r="F10" s="16">
        <v>6</v>
      </c>
      <c r="G10" s="16">
        <v>33.9</v>
      </c>
      <c r="H10" s="16">
        <v>6.6</v>
      </c>
      <c r="I10" s="16">
        <v>931.51</v>
      </c>
      <c r="J10" s="16">
        <v>146.31</v>
      </c>
    </row>
    <row r="11" spans="1:16" ht="14.5" customHeight="1" x14ac:dyDescent="0.35">
      <c r="A11" s="3">
        <v>43874</v>
      </c>
      <c r="B11" s="17">
        <v>1019.42</v>
      </c>
      <c r="C11" s="17">
        <v>466</v>
      </c>
      <c r="D11" s="17">
        <v>79.069999999999993</v>
      </c>
      <c r="E11" s="17">
        <v>252.7</v>
      </c>
      <c r="F11" s="17">
        <v>7.3</v>
      </c>
      <c r="G11" s="17">
        <v>35.29</v>
      </c>
      <c r="H11" s="17">
        <v>7.2</v>
      </c>
      <c r="I11" s="17">
        <v>1304.8800000000001</v>
      </c>
      <c r="J11" s="17">
        <v>173.28</v>
      </c>
      <c r="L11" s="103" t="s">
        <v>16</v>
      </c>
      <c r="M11" s="103"/>
      <c r="N11" s="103"/>
      <c r="O11" s="103"/>
      <c r="P11" s="103"/>
    </row>
    <row r="12" spans="1:16" x14ac:dyDescent="0.35">
      <c r="A12" s="3">
        <v>43875</v>
      </c>
      <c r="B12" s="17">
        <v>738.39</v>
      </c>
      <c r="C12" s="17">
        <v>539.80999999999995</v>
      </c>
      <c r="D12" s="17">
        <v>75.3</v>
      </c>
      <c r="E12" s="17">
        <v>194.11</v>
      </c>
      <c r="F12" s="17">
        <v>5.6</v>
      </c>
      <c r="G12" s="17">
        <v>38.19</v>
      </c>
      <c r="H12" s="17">
        <v>9.94</v>
      </c>
      <c r="I12" s="17">
        <v>1218</v>
      </c>
      <c r="J12" s="17">
        <v>261.3</v>
      </c>
      <c r="L12" s="103"/>
      <c r="M12" s="103"/>
      <c r="N12" s="103"/>
      <c r="O12" s="103"/>
      <c r="P12" s="103"/>
    </row>
    <row r="13" spans="1:16" x14ac:dyDescent="0.35">
      <c r="A13" s="3">
        <v>43876</v>
      </c>
      <c r="B13" s="17">
        <v>1003</v>
      </c>
      <c r="C13" s="17">
        <v>551.27</v>
      </c>
      <c r="D13" s="17">
        <v>98.22</v>
      </c>
      <c r="E13" s="17">
        <v>245</v>
      </c>
      <c r="F13" s="17">
        <v>7.13</v>
      </c>
      <c r="G13" s="17">
        <v>42.19</v>
      </c>
      <c r="H13" s="17">
        <v>8.4</v>
      </c>
      <c r="I13" s="17">
        <v>837.07</v>
      </c>
      <c r="J13" s="17">
        <v>256.36</v>
      </c>
      <c r="L13" s="103"/>
      <c r="M13" s="103"/>
      <c r="N13" s="103"/>
      <c r="O13" s="103"/>
      <c r="P13" s="103"/>
    </row>
    <row r="14" spans="1:16" ht="14.5" customHeight="1" x14ac:dyDescent="0.35">
      <c r="L14" s="103"/>
      <c r="M14" s="103"/>
      <c r="N14" s="103"/>
      <c r="O14" s="103"/>
      <c r="P14" s="103"/>
    </row>
    <row r="15" spans="1:16" x14ac:dyDescent="0.35">
      <c r="A15" s="1" t="s">
        <v>3</v>
      </c>
      <c r="B15" s="4">
        <v>1024.8585714285714</v>
      </c>
      <c r="C15" s="4">
        <v>441.96</v>
      </c>
      <c r="D15" s="4">
        <v>62.690000000000005</v>
      </c>
      <c r="E15" s="4">
        <v>192.67571428571429</v>
      </c>
      <c r="F15" s="4">
        <v>7.5285714285714276</v>
      </c>
      <c r="G15" s="4">
        <v>42.575714285714284</v>
      </c>
      <c r="H15" s="4">
        <v>8.1142857142857139</v>
      </c>
      <c r="I15" s="4">
        <v>821.93571428571431</v>
      </c>
      <c r="J15" s="4">
        <v>174.88000000000002</v>
      </c>
      <c r="L15" s="103"/>
      <c r="M15" s="103"/>
      <c r="N15" s="103"/>
      <c r="O15" s="103"/>
      <c r="P15" s="103"/>
    </row>
    <row r="16" spans="1:16" x14ac:dyDescent="0.35">
      <c r="A16" s="1" t="s">
        <v>4</v>
      </c>
      <c r="B16" s="4">
        <f>IFERROR(AVERAGE(B7:B13),"")</f>
        <v>829.94285714285718</v>
      </c>
      <c r="C16" s="4">
        <f t="shared" ref="C16:J16" si="2">IFERROR(AVERAGE(C7:C13),"")</f>
        <v>452.55285714285714</v>
      </c>
      <c r="D16" s="4">
        <f t="shared" si="2"/>
        <v>70.704285714285717</v>
      </c>
      <c r="E16" s="4">
        <f t="shared" si="2"/>
        <v>200.10142857142858</v>
      </c>
      <c r="F16" s="4">
        <f t="shared" si="2"/>
        <v>6.4042857142857139</v>
      </c>
      <c r="G16" s="4">
        <f t="shared" si="2"/>
        <v>37.910000000000004</v>
      </c>
      <c r="H16" s="4">
        <f t="shared" si="2"/>
        <v>7.5914285714285716</v>
      </c>
      <c r="I16" s="4">
        <f t="shared" si="2"/>
        <v>1055.6557142857143</v>
      </c>
      <c r="J16" s="4">
        <f t="shared" si="2"/>
        <v>188.37857142857143</v>
      </c>
      <c r="L16" s="103"/>
      <c r="M16" s="103"/>
      <c r="N16" s="103"/>
      <c r="O16" s="103"/>
      <c r="P16" s="103"/>
    </row>
    <row r="17" spans="1:10" x14ac:dyDescent="0.35">
      <c r="A17" s="1" t="s">
        <v>5</v>
      </c>
      <c r="B17" s="6">
        <f>IFERROR(-(B15-B16)/B15,"")</f>
        <v>-0.19018791443000491</v>
      </c>
      <c r="C17" s="6">
        <f t="shared" ref="C17:J17" si="3">IFERROR(-(C15-C16)/C15,"")</f>
        <v>2.3967909183765852E-2</v>
      </c>
      <c r="D17" s="6">
        <f t="shared" si="3"/>
        <v>0.12783993801699972</v>
      </c>
      <c r="E17" s="6">
        <f t="shared" si="3"/>
        <v>3.8539959814047321E-2</v>
      </c>
      <c r="F17" s="6">
        <f t="shared" si="3"/>
        <v>-0.14933586337760904</v>
      </c>
      <c r="G17" s="6">
        <f t="shared" si="3"/>
        <v>-0.10958628326007436</v>
      </c>
      <c r="H17" s="6">
        <f t="shared" si="3"/>
        <v>-6.4436619718309787E-2</v>
      </c>
      <c r="I17" s="6">
        <f t="shared" si="3"/>
        <v>0.28435313849710181</v>
      </c>
      <c r="J17" s="6">
        <f t="shared" si="3"/>
        <v>7.7187622533002098E-2</v>
      </c>
    </row>
  </sheetData>
  <mergeCells count="3">
    <mergeCell ref="B1:F1"/>
    <mergeCell ref="G1:J1"/>
    <mergeCell ref="L11:P16"/>
  </mergeCells>
  <conditionalFormatting sqref="B17">
    <cfRule type="cellIs" dxfId="213" priority="48" operator="greaterThanOrEqual">
      <formula>0</formula>
    </cfRule>
    <cfRule type="cellIs" dxfId="212" priority="49" operator="lessThan">
      <formula>0</formula>
    </cfRule>
  </conditionalFormatting>
  <conditionalFormatting sqref="C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211" priority="46" bottom="1" rank="1"/>
  </conditionalFormatting>
  <conditionalFormatting sqref="D4:D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E5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4:F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:G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:I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210" priority="26" operator="lessThan">
      <formula>0</formula>
    </cfRule>
    <cfRule type="cellIs" dxfId="209" priority="38" operator="greaterThanOrEqual">
      <formula>0</formula>
    </cfRule>
  </conditionalFormatting>
  <conditionalFormatting sqref="D17:I17">
    <cfRule type="cellIs" dxfId="208" priority="37" operator="greaterThanOrEqual">
      <formula>0</formula>
    </cfRule>
  </conditionalFormatting>
  <conditionalFormatting sqref="E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7">
    <cfRule type="cellIs" dxfId="207" priority="32" operator="lessThan">
      <formula>0</formula>
    </cfRule>
  </conditionalFormatting>
  <conditionalFormatting sqref="H17">
    <cfRule type="cellIs" dxfId="206" priority="31" operator="lessThan">
      <formula>0</formula>
    </cfRule>
  </conditionalFormatting>
  <conditionalFormatting sqref="G17">
    <cfRule type="cellIs" dxfId="205" priority="30" operator="lessThan">
      <formula>0</formula>
    </cfRule>
  </conditionalFormatting>
  <conditionalFormatting sqref="F17">
    <cfRule type="cellIs" dxfId="204" priority="29" operator="lessThan">
      <formula>0</formula>
    </cfRule>
  </conditionalFormatting>
  <conditionalFormatting sqref="E17">
    <cfRule type="cellIs" dxfId="203" priority="28" operator="lessThan">
      <formula>0</formula>
    </cfRule>
  </conditionalFormatting>
  <conditionalFormatting sqref="D17">
    <cfRule type="cellIs" dxfId="202" priority="27" operator="lessThan">
      <formula>0</formula>
    </cfRule>
  </conditionalFormatting>
  <conditionalFormatting sqref="B4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7">
    <cfRule type="cellIs" dxfId="201" priority="12" operator="greaterThanOrEqual">
      <formula>0</formula>
    </cfRule>
    <cfRule type="cellIs" dxfId="200" priority="13" operator="lessThan">
      <formula>0</formula>
    </cfRule>
  </conditionalFormatting>
  <conditionalFormatting sqref="C4:C5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17"/>
  <sheetViews>
    <sheetView workbookViewId="0">
      <selection activeCell="G7" sqref="G7:G13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1.81640625" bestFit="1" customWidth="1"/>
    <col min="9" max="9" width="11.1796875" bestFit="1" customWidth="1"/>
  </cols>
  <sheetData>
    <row r="1" spans="1:18" x14ac:dyDescent="0.35">
      <c r="A1" s="1"/>
      <c r="B1" s="100" t="s">
        <v>13</v>
      </c>
      <c r="C1" s="101"/>
      <c r="D1" s="101"/>
      <c r="E1" s="101"/>
      <c r="F1" s="101"/>
      <c r="G1" s="102"/>
      <c r="H1" s="99" t="s">
        <v>14</v>
      </c>
      <c r="I1" s="99"/>
      <c r="J1" s="99"/>
      <c r="K1" s="99"/>
      <c r="L1" s="99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17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>IFERROR(AVERAGE(B7:B10),"")</f>
        <v>900.53250000000003</v>
      </c>
      <c r="C4" s="4">
        <f t="shared" ref="C4:L4" si="0">IFERROR(AVERAGE(C7:C10),"")</f>
        <v>376.26</v>
      </c>
      <c r="D4" s="4">
        <f t="shared" si="0"/>
        <v>65.587500000000006</v>
      </c>
      <c r="E4" s="4">
        <f>IFERROR(AVERAGE(E7:E10),"")</f>
        <v>182.38249999999999</v>
      </c>
      <c r="F4" s="24">
        <f t="shared" si="0"/>
        <v>71464.25</v>
      </c>
      <c r="G4" s="4">
        <f t="shared" si="0"/>
        <v>6.45</v>
      </c>
      <c r="H4" s="4">
        <f t="shared" si="0"/>
        <v>30.914999999999999</v>
      </c>
      <c r="I4" s="24">
        <f>IFERROR(AVERAGE(I7:I10),"")</f>
        <v>17030</v>
      </c>
      <c r="J4" s="4">
        <f t="shared" si="0"/>
        <v>10.524999999999999</v>
      </c>
      <c r="K4" s="4">
        <f t="shared" si="0"/>
        <v>1019.6599999999999</v>
      </c>
      <c r="L4" s="4">
        <f t="shared" si="0"/>
        <v>196.25</v>
      </c>
    </row>
    <row r="5" spans="1:18" x14ac:dyDescent="0.35">
      <c r="A5" s="1" t="s">
        <v>2</v>
      </c>
      <c r="B5" s="4">
        <f>IFERROR(AVERAGE(B10:B13),"")</f>
        <v>1212.68</v>
      </c>
      <c r="C5" s="18">
        <f t="shared" ref="C5:L5" si="1">IFERROR(AVERAGE(C10:C13),"")</f>
        <v>497.66500000000002</v>
      </c>
      <c r="D5" s="4">
        <f t="shared" si="1"/>
        <v>65.02000000000001</v>
      </c>
      <c r="E5" s="4">
        <f t="shared" si="1"/>
        <v>251.41500000000002</v>
      </c>
      <c r="F5" s="24">
        <f t="shared" si="1"/>
        <v>84317</v>
      </c>
      <c r="G5" s="4">
        <f t="shared" si="1"/>
        <v>10.025</v>
      </c>
      <c r="H5" s="20">
        <f t="shared" si="1"/>
        <v>39.147499999999994</v>
      </c>
      <c r="I5" s="25">
        <f t="shared" si="1"/>
        <v>31592</v>
      </c>
      <c r="J5" s="4">
        <f t="shared" si="1"/>
        <v>7.7725</v>
      </c>
      <c r="K5" s="4">
        <f t="shared" si="1"/>
        <v>1256.5625</v>
      </c>
      <c r="L5" s="4">
        <f t="shared" si="1"/>
        <v>255.13749999999999</v>
      </c>
    </row>
    <row r="6" spans="1:18" x14ac:dyDescent="0.35">
      <c r="F6" s="22"/>
      <c r="I6" s="22"/>
    </row>
    <row r="7" spans="1:18" x14ac:dyDescent="0.35">
      <c r="A7" s="3">
        <v>43877</v>
      </c>
      <c r="B7" s="15">
        <v>984.65</v>
      </c>
      <c r="C7" s="15">
        <v>404.78</v>
      </c>
      <c r="D7" s="15">
        <v>62.42</v>
      </c>
      <c r="E7" s="15">
        <v>217.75</v>
      </c>
      <c r="F7" s="26">
        <v>78783</v>
      </c>
      <c r="G7" s="15">
        <v>7.3</v>
      </c>
      <c r="H7" s="15">
        <v>27.16</v>
      </c>
      <c r="I7" s="26">
        <v>9895</v>
      </c>
      <c r="J7" s="15">
        <v>12.6</v>
      </c>
      <c r="K7" s="15">
        <v>1102.5899999999999</v>
      </c>
      <c r="L7" s="15">
        <v>252.49</v>
      </c>
    </row>
    <row r="8" spans="1:18" x14ac:dyDescent="0.35">
      <c r="A8" s="3">
        <v>43878</v>
      </c>
      <c r="B8" s="15">
        <v>744.91</v>
      </c>
      <c r="C8" s="15">
        <v>321.02</v>
      </c>
      <c r="D8" s="15">
        <v>66.180000000000007</v>
      </c>
      <c r="E8" s="15">
        <v>147.43</v>
      </c>
      <c r="F8" s="26">
        <v>65670</v>
      </c>
      <c r="G8" s="15">
        <v>4.7</v>
      </c>
      <c r="H8" s="15">
        <v>31.44</v>
      </c>
      <c r="I8" s="26">
        <v>6122</v>
      </c>
      <c r="J8" s="15">
        <v>6.3</v>
      </c>
      <c r="K8" s="15">
        <v>455.3</v>
      </c>
      <c r="L8" s="15">
        <v>91.39</v>
      </c>
    </row>
    <row r="9" spans="1:18" x14ac:dyDescent="0.35">
      <c r="A9" s="3">
        <v>43879</v>
      </c>
      <c r="B9" s="15">
        <v>871.32</v>
      </c>
      <c r="C9" s="15">
        <v>372.12</v>
      </c>
      <c r="D9" s="15">
        <v>64.58</v>
      </c>
      <c r="E9" s="15">
        <v>139.97</v>
      </c>
      <c r="F9" s="26">
        <v>49322</v>
      </c>
      <c r="G9" s="15">
        <v>5.5</v>
      </c>
      <c r="H9" s="15">
        <v>27.93</v>
      </c>
      <c r="I9" s="26">
        <v>16702</v>
      </c>
      <c r="J9" s="15">
        <v>13</v>
      </c>
      <c r="K9" s="15">
        <v>1091.93</v>
      </c>
      <c r="L9" s="15">
        <v>192.13</v>
      </c>
    </row>
    <row r="10" spans="1:18" x14ac:dyDescent="0.35">
      <c r="A10" s="3">
        <v>43880</v>
      </c>
      <c r="B10" s="16">
        <v>1001.25</v>
      </c>
      <c r="C10" s="16">
        <v>407.12</v>
      </c>
      <c r="D10" s="16">
        <v>69.17</v>
      </c>
      <c r="E10" s="16">
        <v>224.38</v>
      </c>
      <c r="F10" s="23">
        <v>92082</v>
      </c>
      <c r="G10" s="16">
        <v>8.3000000000000007</v>
      </c>
      <c r="H10" s="16">
        <v>37.130000000000003</v>
      </c>
      <c r="I10" s="23">
        <v>35401</v>
      </c>
      <c r="J10" s="16">
        <v>10.199999999999999</v>
      </c>
      <c r="K10" s="16">
        <v>1428.82</v>
      </c>
      <c r="L10" s="16">
        <v>248.99</v>
      </c>
    </row>
    <row r="11" spans="1:18" ht="14.5" customHeight="1" x14ac:dyDescent="0.35">
      <c r="A11" s="3">
        <v>43881</v>
      </c>
      <c r="B11" s="17">
        <v>1062.4000000000001</v>
      </c>
      <c r="C11" s="17">
        <v>474.54</v>
      </c>
      <c r="D11" s="17">
        <v>55.98</v>
      </c>
      <c r="E11" s="17">
        <v>209.48</v>
      </c>
      <c r="F11" s="27">
        <v>83686</v>
      </c>
      <c r="G11" s="17">
        <v>11.5</v>
      </c>
      <c r="H11" s="17">
        <v>45.81</v>
      </c>
      <c r="I11" s="27">
        <v>30612</v>
      </c>
      <c r="J11" s="17">
        <v>7.5</v>
      </c>
      <c r="K11" s="17">
        <v>1309.33</v>
      </c>
      <c r="L11" s="17">
        <v>232.3</v>
      </c>
      <c r="N11" s="103" t="s">
        <v>16</v>
      </c>
      <c r="O11" s="103"/>
      <c r="P11" s="103"/>
      <c r="Q11" s="103"/>
      <c r="R11" s="103"/>
    </row>
    <row r="12" spans="1:18" x14ac:dyDescent="0.35">
      <c r="A12" s="3">
        <v>43882</v>
      </c>
      <c r="B12" s="17">
        <v>1307.17</v>
      </c>
      <c r="C12" s="17">
        <v>598.79999999999995</v>
      </c>
      <c r="D12" s="17">
        <v>73.87</v>
      </c>
      <c r="E12" s="17">
        <v>254.87</v>
      </c>
      <c r="F12" s="27">
        <v>72876</v>
      </c>
      <c r="G12" s="17">
        <v>8</v>
      </c>
      <c r="H12" s="17">
        <v>34.82</v>
      </c>
      <c r="I12" s="27">
        <v>33155</v>
      </c>
      <c r="J12" s="17">
        <v>8.25</v>
      </c>
      <c r="K12" s="17">
        <v>1292.48</v>
      </c>
      <c r="L12" s="17">
        <v>287.45999999999998</v>
      </c>
      <c r="N12" s="103"/>
      <c r="O12" s="103"/>
      <c r="P12" s="103"/>
      <c r="Q12" s="103"/>
      <c r="R12" s="103"/>
    </row>
    <row r="13" spans="1:18" x14ac:dyDescent="0.35">
      <c r="A13" s="3">
        <v>43883</v>
      </c>
      <c r="B13" s="17">
        <v>1479.9</v>
      </c>
      <c r="C13" s="17">
        <v>510.2</v>
      </c>
      <c r="D13" s="17">
        <v>61.06</v>
      </c>
      <c r="E13" s="17">
        <v>316.93</v>
      </c>
      <c r="F13" s="27">
        <v>88624</v>
      </c>
      <c r="G13" s="17">
        <v>12.3</v>
      </c>
      <c r="H13" s="17">
        <v>38.83</v>
      </c>
      <c r="I13" s="27">
        <v>27200</v>
      </c>
      <c r="J13" s="17">
        <v>5.14</v>
      </c>
      <c r="K13" s="17">
        <v>995.62</v>
      </c>
      <c r="L13" s="17">
        <v>251.8</v>
      </c>
      <c r="N13" s="103"/>
      <c r="O13" s="103"/>
      <c r="P13" s="103"/>
      <c r="Q13" s="103"/>
      <c r="R13" s="103"/>
    </row>
    <row r="14" spans="1:18" ht="14.5" customHeight="1" x14ac:dyDescent="0.35">
      <c r="F14" s="22"/>
      <c r="I14" s="22"/>
      <c r="N14" s="103"/>
      <c r="O14" s="103"/>
      <c r="P14" s="103"/>
      <c r="Q14" s="103"/>
      <c r="R14" s="103"/>
    </row>
    <row r="15" spans="1:18" x14ac:dyDescent="0.35">
      <c r="A15" s="1" t="s">
        <v>3</v>
      </c>
      <c r="B15" s="4">
        <v>829.94285714285718</v>
      </c>
      <c r="C15" s="4">
        <v>452.55285714285714</v>
      </c>
      <c r="D15" s="4">
        <v>70.704285714285717</v>
      </c>
      <c r="E15" s="4">
        <v>200.10142857142858</v>
      </c>
      <c r="F15" s="21">
        <v>498713</v>
      </c>
      <c r="G15" s="4">
        <v>6.4042857142857139</v>
      </c>
      <c r="H15" s="4">
        <v>37.910000000000004</v>
      </c>
      <c r="I15" s="21">
        <v>225892</v>
      </c>
      <c r="J15" s="4">
        <v>7.5914285714285716</v>
      </c>
      <c r="K15" s="4">
        <v>1055.6557142857143</v>
      </c>
      <c r="L15" s="4">
        <v>188.37857142857143</v>
      </c>
      <c r="N15" s="103"/>
      <c r="O15" s="103"/>
      <c r="P15" s="103"/>
      <c r="Q15" s="103"/>
      <c r="R15" s="103"/>
    </row>
    <row r="16" spans="1:18" x14ac:dyDescent="0.35">
      <c r="A16" s="1" t="s">
        <v>4</v>
      </c>
      <c r="B16" s="4">
        <f>IFERROR(AVERAGE(B7:B13),"")</f>
        <v>1064.5142857142857</v>
      </c>
      <c r="C16" s="4">
        <f t="shared" ref="C16:L16" si="2">IFERROR(AVERAGE(C7:C13),"")</f>
        <v>441.22571428571428</v>
      </c>
      <c r="D16" s="4">
        <f t="shared" si="2"/>
        <v>64.751428571428576</v>
      </c>
      <c r="E16" s="4">
        <f t="shared" si="2"/>
        <v>215.83</v>
      </c>
      <c r="F16" s="4">
        <f t="shared" si="2"/>
        <v>75863.28571428571</v>
      </c>
      <c r="G16" s="4">
        <f t="shared" si="2"/>
        <v>8.2285714285714278</v>
      </c>
      <c r="H16" s="4">
        <f t="shared" si="2"/>
        <v>34.731428571428573</v>
      </c>
      <c r="I16" s="4">
        <f t="shared" si="2"/>
        <v>22726.714285714286</v>
      </c>
      <c r="J16" s="4">
        <f t="shared" si="2"/>
        <v>8.9985714285714273</v>
      </c>
      <c r="K16" s="4">
        <f t="shared" si="2"/>
        <v>1096.5814285714284</v>
      </c>
      <c r="L16" s="4">
        <f t="shared" si="2"/>
        <v>222.36571428571429</v>
      </c>
      <c r="N16" s="103"/>
      <c r="O16" s="103"/>
      <c r="P16" s="103"/>
      <c r="Q16" s="103"/>
      <c r="R16" s="103"/>
    </row>
    <row r="17" spans="1:12" x14ac:dyDescent="0.35">
      <c r="A17" s="1" t="s">
        <v>5</v>
      </c>
      <c r="B17" s="6">
        <f>IFERROR(-(B15-B16)/B15,"")</f>
        <v>0.28263563756540894</v>
      </c>
      <c r="C17" s="6">
        <f t="shared" ref="C17:L17" si="3">IFERROR(-(C15-C16)/C15,"")</f>
        <v>-2.5029436182671644E-2</v>
      </c>
      <c r="D17" s="6">
        <f t="shared" si="3"/>
        <v>-8.4193724365061701E-2</v>
      </c>
      <c r="E17" s="6">
        <f t="shared" si="3"/>
        <v>7.8602994195800691E-2</v>
      </c>
      <c r="F17" s="6">
        <f t="shared" si="3"/>
        <v>-0.84788187652159519</v>
      </c>
      <c r="G17" s="6">
        <f t="shared" si="3"/>
        <v>0.28485389248271242</v>
      </c>
      <c r="H17" s="6">
        <f t="shared" si="3"/>
        <v>-8.3845197271733854E-2</v>
      </c>
      <c r="I17" s="6">
        <f t="shared" si="3"/>
        <v>-0.89939123879679539</v>
      </c>
      <c r="J17" s="6">
        <f t="shared" si="3"/>
        <v>0.18535942792623239</v>
      </c>
      <c r="K17" s="6">
        <f t="shared" si="3"/>
        <v>3.8768050730825204E-2</v>
      </c>
      <c r="L17" s="6">
        <f t="shared" si="3"/>
        <v>0.1804193682933303</v>
      </c>
    </row>
  </sheetData>
  <mergeCells count="3">
    <mergeCell ref="B1:G1"/>
    <mergeCell ref="H1:L1"/>
    <mergeCell ref="N11:R16"/>
  </mergeCells>
  <conditionalFormatting sqref="B17">
    <cfRule type="cellIs" dxfId="199" priority="45" operator="greaterThanOrEqual">
      <formula>0</formula>
    </cfRule>
    <cfRule type="cellIs" dxfId="198" priority="46" operator="lessThan">
      <formula>0</formula>
    </cfRule>
  </conditionalFormatting>
  <conditionalFormatting sqref="C5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97" priority="44" bottom="1" rank="1"/>
  </conditionalFormatting>
  <conditionalFormatting sqref="D4:D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96" priority="31" operator="lessThan">
      <formula>0</formula>
    </cfRule>
    <cfRule type="cellIs" dxfId="195" priority="42" operator="greaterThanOrEqual">
      <formula>0</formula>
    </cfRule>
  </conditionalFormatting>
  <conditionalFormatting sqref="D17:K17">
    <cfRule type="cellIs" dxfId="194" priority="41" operator="greaterThanOrEqual">
      <formula>0</formula>
    </cfRule>
  </conditionalFormatting>
  <conditionalFormatting sqref="E4:F4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93" priority="37" operator="lessThan">
      <formula>0</formula>
    </cfRule>
  </conditionalFormatting>
  <conditionalFormatting sqref="J17">
    <cfRule type="cellIs" dxfId="192" priority="36" operator="lessThan">
      <formula>0</formula>
    </cfRule>
  </conditionalFormatting>
  <conditionalFormatting sqref="H17:I17">
    <cfRule type="cellIs" dxfId="191" priority="35" operator="lessThan">
      <formula>0</formula>
    </cfRule>
  </conditionalFormatting>
  <conditionalFormatting sqref="G17">
    <cfRule type="cellIs" dxfId="190" priority="34" operator="lessThan">
      <formula>0</formula>
    </cfRule>
  </conditionalFormatting>
  <conditionalFormatting sqref="E17:F17">
    <cfRule type="cellIs" dxfId="189" priority="33" operator="lessThan">
      <formula>0</formula>
    </cfRule>
  </conditionalFormatting>
  <conditionalFormatting sqref="D17">
    <cfRule type="cellIs" dxfId="188" priority="32" operator="lessThan">
      <formula>0</formula>
    </cfRule>
  </conditionalFormatting>
  <conditionalFormatting sqref="B4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87" priority="22" operator="greaterThanOrEqual">
      <formula>0</formula>
    </cfRule>
    <cfRule type="cellIs" dxfId="186" priority="23" operator="lessThan">
      <formula>0</formula>
    </cfRule>
  </conditionalFormatting>
  <conditionalFormatting sqref="C4:C5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5">
      <colorScale>
        <cfvo type="min"/>
        <cfvo type="max"/>
        <color rgb="FFFFEF9C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7"/>
  <sheetViews>
    <sheetView workbookViewId="0">
      <selection activeCell="G7" sqref="G7:G13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1.81640625" bestFit="1" customWidth="1"/>
    <col min="9" max="9" width="11.1796875" bestFit="1" customWidth="1"/>
  </cols>
  <sheetData>
    <row r="1" spans="1:18" x14ac:dyDescent="0.35">
      <c r="A1" s="1"/>
      <c r="B1" s="100" t="s">
        <v>13</v>
      </c>
      <c r="C1" s="101"/>
      <c r="D1" s="101"/>
      <c r="E1" s="101"/>
      <c r="F1" s="101"/>
      <c r="G1" s="102"/>
      <c r="H1" s="99" t="s">
        <v>14</v>
      </c>
      <c r="I1" s="99"/>
      <c r="J1" s="99"/>
      <c r="K1" s="99"/>
      <c r="L1" s="99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17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>IFERROR(AVERAGE(B7:B10),"")</f>
        <v>1567.0325</v>
      </c>
      <c r="C4" s="4">
        <f t="shared" ref="C4:L4" si="0">IFERROR(AVERAGE(C7:C10),"")</f>
        <v>248.13749999999999</v>
      </c>
      <c r="D4" s="4">
        <f t="shared" si="0"/>
        <v>55.552499999999995</v>
      </c>
      <c r="E4" s="4">
        <f>IFERROR(AVERAGE(E7:E10),"")</f>
        <v>247.02750000000003</v>
      </c>
      <c r="F4" s="24">
        <f t="shared" si="0"/>
        <v>41759.5</v>
      </c>
      <c r="G4" s="4">
        <f t="shared" si="0"/>
        <v>12.8675</v>
      </c>
      <c r="H4" s="4">
        <f t="shared" si="0"/>
        <v>45.407499999999999</v>
      </c>
      <c r="I4" s="24">
        <f>IFERROR(AVERAGE(I7:I10),"")</f>
        <v>20581.75</v>
      </c>
      <c r="J4" s="4">
        <f t="shared" si="0"/>
        <v>5.9075000000000006</v>
      </c>
      <c r="K4" s="4">
        <f t="shared" si="0"/>
        <v>986.65249999999992</v>
      </c>
      <c r="L4" s="4">
        <f t="shared" si="0"/>
        <v>172.82499999999999</v>
      </c>
    </row>
    <row r="5" spans="1:18" x14ac:dyDescent="0.35">
      <c r="A5" s="1" t="s">
        <v>2</v>
      </c>
      <c r="B5" s="4">
        <f>IFERROR(AVERAGE(B10:B13),"")</f>
        <v>993.80250000000001</v>
      </c>
      <c r="C5" s="18">
        <f t="shared" ref="C5:L5" si="1">IFERROR(AVERAGE(C10:C13),"")</f>
        <v>280.83249999999998</v>
      </c>
      <c r="D5" s="4">
        <f t="shared" si="1"/>
        <v>56.352499999999992</v>
      </c>
      <c r="E5" s="4">
        <f t="shared" si="1"/>
        <v>223.97500000000002</v>
      </c>
      <c r="F5" s="24">
        <f t="shared" si="1"/>
        <v>42996</v>
      </c>
      <c r="G5" s="4">
        <f t="shared" si="1"/>
        <v>21.324999999999999</v>
      </c>
      <c r="H5" s="20">
        <f t="shared" si="1"/>
        <v>40.299999999999997</v>
      </c>
      <c r="I5" s="25">
        <f t="shared" si="1"/>
        <v>31336</v>
      </c>
      <c r="J5" s="4">
        <f t="shared" si="1"/>
        <v>8.9749999999999996</v>
      </c>
      <c r="K5" s="4">
        <f t="shared" si="1"/>
        <v>1248.3599999999999</v>
      </c>
      <c r="L5" s="4">
        <f t="shared" si="1"/>
        <v>243.55250000000001</v>
      </c>
    </row>
    <row r="6" spans="1:18" x14ac:dyDescent="0.35">
      <c r="F6" s="22"/>
      <c r="I6" s="22"/>
    </row>
    <row r="7" spans="1:18" x14ac:dyDescent="0.35">
      <c r="A7" s="3">
        <v>43884</v>
      </c>
      <c r="B7" s="15">
        <v>1582.13</v>
      </c>
      <c r="C7" s="15">
        <v>190.83</v>
      </c>
      <c r="D7" s="15">
        <v>46.34</v>
      </c>
      <c r="E7" s="15">
        <v>266.92</v>
      </c>
      <c r="F7" s="26">
        <v>37326</v>
      </c>
      <c r="G7" s="15">
        <v>14.3</v>
      </c>
      <c r="H7" s="15">
        <v>48.08</v>
      </c>
      <c r="I7" s="26">
        <v>21069</v>
      </c>
      <c r="J7" s="15">
        <v>4.2300000000000004</v>
      </c>
      <c r="K7" s="15">
        <v>909.83</v>
      </c>
      <c r="L7" s="15">
        <v>115.15</v>
      </c>
    </row>
    <row r="8" spans="1:18" x14ac:dyDescent="0.35">
      <c r="A8" s="3">
        <v>43885</v>
      </c>
      <c r="B8" s="15">
        <v>2438.7399999999998</v>
      </c>
      <c r="C8" s="15">
        <v>371.7</v>
      </c>
      <c r="D8" s="15">
        <v>58.69</v>
      </c>
      <c r="E8" s="15">
        <v>270.5</v>
      </c>
      <c r="F8" s="26">
        <v>38207</v>
      </c>
      <c r="G8" s="15">
        <v>11.7</v>
      </c>
      <c r="H8" s="15">
        <v>46.48</v>
      </c>
      <c r="I8" s="26">
        <v>14938</v>
      </c>
      <c r="J8" s="15">
        <v>5.3</v>
      </c>
      <c r="K8" s="15">
        <v>771.77</v>
      </c>
      <c r="L8" s="15">
        <v>167.05</v>
      </c>
    </row>
    <row r="9" spans="1:18" x14ac:dyDescent="0.35">
      <c r="A9" s="3">
        <v>43886</v>
      </c>
      <c r="B9" s="15">
        <v>1375.16</v>
      </c>
      <c r="C9" s="15">
        <v>212.32</v>
      </c>
      <c r="D9" s="15">
        <v>68.88</v>
      </c>
      <c r="E9" s="15">
        <v>287.19</v>
      </c>
      <c r="F9" s="26">
        <v>55035</v>
      </c>
      <c r="G9" s="15">
        <v>13.97</v>
      </c>
      <c r="H9" s="15">
        <v>43.47</v>
      </c>
      <c r="I9" s="26">
        <v>19585</v>
      </c>
      <c r="J9" s="15">
        <v>7.2</v>
      </c>
      <c r="K9" s="15">
        <v>1124.71</v>
      </c>
      <c r="L9" s="15">
        <v>219.9</v>
      </c>
    </row>
    <row r="10" spans="1:18" x14ac:dyDescent="0.35">
      <c r="A10" s="3">
        <v>43887</v>
      </c>
      <c r="B10" s="16">
        <v>872.1</v>
      </c>
      <c r="C10" s="16">
        <v>217.7</v>
      </c>
      <c r="D10" s="16">
        <v>48.3</v>
      </c>
      <c r="E10" s="16">
        <v>163.5</v>
      </c>
      <c r="F10" s="23">
        <v>36470</v>
      </c>
      <c r="G10" s="16">
        <v>11.5</v>
      </c>
      <c r="H10" s="16">
        <v>43.6</v>
      </c>
      <c r="I10" s="23">
        <v>26735</v>
      </c>
      <c r="J10" s="16">
        <v>6.9</v>
      </c>
      <c r="K10" s="16">
        <v>1140.3</v>
      </c>
      <c r="L10" s="16">
        <v>189.2</v>
      </c>
    </row>
    <row r="11" spans="1:18" ht="14.5" customHeight="1" x14ac:dyDescent="0.35">
      <c r="A11" s="3">
        <v>43888</v>
      </c>
      <c r="B11" s="17">
        <v>1009.4</v>
      </c>
      <c r="C11" s="17">
        <v>418</v>
      </c>
      <c r="D11" s="17">
        <v>41.7</v>
      </c>
      <c r="E11" s="17">
        <v>249.5</v>
      </c>
      <c r="F11" s="27">
        <v>51346</v>
      </c>
      <c r="G11" s="17">
        <v>27.1</v>
      </c>
      <c r="H11" s="17">
        <v>42.4</v>
      </c>
      <c r="I11" s="27">
        <v>35351</v>
      </c>
      <c r="J11" s="17">
        <v>9.6</v>
      </c>
      <c r="K11" s="17">
        <v>1133.3</v>
      </c>
      <c r="L11" s="17">
        <v>256.5</v>
      </c>
      <c r="N11" s="103" t="s">
        <v>16</v>
      </c>
      <c r="O11" s="103"/>
      <c r="P11" s="103"/>
      <c r="Q11" s="103"/>
      <c r="R11" s="103"/>
    </row>
    <row r="12" spans="1:18" x14ac:dyDescent="0.35">
      <c r="A12" s="3">
        <v>43889</v>
      </c>
      <c r="B12" s="17">
        <v>728.5</v>
      </c>
      <c r="C12" s="17">
        <v>175.5</v>
      </c>
      <c r="D12" s="17">
        <v>60.2</v>
      </c>
      <c r="E12" s="17">
        <v>192.2</v>
      </c>
      <c r="F12" s="27">
        <v>42597</v>
      </c>
      <c r="G12" s="17">
        <v>30.9</v>
      </c>
      <c r="H12" s="17">
        <v>35.299999999999997</v>
      </c>
      <c r="I12" s="27">
        <v>33627</v>
      </c>
      <c r="J12" s="17">
        <v>10.7</v>
      </c>
      <c r="K12" s="17">
        <v>1340.1</v>
      </c>
      <c r="L12" s="17">
        <v>261.7</v>
      </c>
      <c r="N12" s="103"/>
      <c r="O12" s="103"/>
      <c r="P12" s="103"/>
      <c r="Q12" s="103"/>
      <c r="R12" s="103"/>
    </row>
    <row r="13" spans="1:18" x14ac:dyDescent="0.35">
      <c r="A13" s="3">
        <v>43890</v>
      </c>
      <c r="B13" s="17">
        <v>1365.21</v>
      </c>
      <c r="C13" s="17">
        <v>312.13</v>
      </c>
      <c r="D13" s="17">
        <v>75.209999999999994</v>
      </c>
      <c r="E13" s="17">
        <v>290.7</v>
      </c>
      <c r="F13" s="27">
        <v>41571</v>
      </c>
      <c r="G13" s="17">
        <v>15.8</v>
      </c>
      <c r="H13" s="17">
        <v>39.9</v>
      </c>
      <c r="I13" s="27">
        <v>29631</v>
      </c>
      <c r="J13" s="17">
        <v>8.6999999999999993</v>
      </c>
      <c r="K13" s="17">
        <v>1379.74</v>
      </c>
      <c r="L13" s="17">
        <v>266.81</v>
      </c>
      <c r="N13" s="103"/>
      <c r="O13" s="103"/>
      <c r="P13" s="103"/>
      <c r="Q13" s="103"/>
      <c r="R13" s="103"/>
    </row>
    <row r="14" spans="1:18" ht="14.5" customHeight="1" x14ac:dyDescent="0.35">
      <c r="F14" s="22"/>
      <c r="I14" s="22"/>
      <c r="N14" s="103"/>
      <c r="O14" s="103"/>
      <c r="P14" s="103"/>
      <c r="Q14" s="103"/>
      <c r="R14" s="103"/>
    </row>
    <row r="15" spans="1:18" x14ac:dyDescent="0.35">
      <c r="A15" s="1" t="s">
        <v>3</v>
      </c>
      <c r="B15" s="4">
        <v>1064.5142857142857</v>
      </c>
      <c r="C15" s="4">
        <v>441.22571428571428</v>
      </c>
      <c r="D15" s="4">
        <v>64.751428571428576</v>
      </c>
      <c r="E15" s="4">
        <v>215.83</v>
      </c>
      <c r="F15" s="21">
        <v>75863.28571428571</v>
      </c>
      <c r="G15" s="4">
        <v>8.2285714285714278</v>
      </c>
      <c r="H15" s="4">
        <v>34.731428571428573</v>
      </c>
      <c r="I15" s="21">
        <v>22726.714285714286</v>
      </c>
      <c r="J15" s="4">
        <v>8.9985714285714273</v>
      </c>
      <c r="K15" s="4">
        <v>1096.5814285714284</v>
      </c>
      <c r="L15" s="4">
        <v>222.36571428571429</v>
      </c>
      <c r="N15" s="103"/>
      <c r="O15" s="103"/>
      <c r="P15" s="103"/>
      <c r="Q15" s="103"/>
      <c r="R15" s="103"/>
    </row>
    <row r="16" spans="1:18" x14ac:dyDescent="0.35">
      <c r="A16" s="1" t="s">
        <v>4</v>
      </c>
      <c r="B16" s="4">
        <f>IFERROR(AVERAGE(B7:B13),"")</f>
        <v>1338.7485714285715</v>
      </c>
      <c r="C16" s="4">
        <f t="shared" ref="C16:L16" si="2">IFERROR(AVERAGE(C7:C13),"")</f>
        <v>271.1685714285714</v>
      </c>
      <c r="D16" s="4">
        <f t="shared" si="2"/>
        <v>57.045714285714276</v>
      </c>
      <c r="E16" s="4">
        <f t="shared" si="2"/>
        <v>245.7871428571429</v>
      </c>
      <c r="F16" s="4">
        <f t="shared" si="2"/>
        <v>43221.714285714283</v>
      </c>
      <c r="G16" s="4">
        <f t="shared" si="2"/>
        <v>17.895714285714284</v>
      </c>
      <c r="H16" s="4">
        <f t="shared" si="2"/>
        <v>42.747142857142855</v>
      </c>
      <c r="I16" s="4">
        <f t="shared" si="2"/>
        <v>25848</v>
      </c>
      <c r="J16" s="4">
        <f t="shared" si="2"/>
        <v>7.5185714285714296</v>
      </c>
      <c r="K16" s="4">
        <f t="shared" si="2"/>
        <v>1114.25</v>
      </c>
      <c r="L16" s="4">
        <f t="shared" si="2"/>
        <v>210.90142857142857</v>
      </c>
      <c r="N16" s="103"/>
      <c r="O16" s="103"/>
      <c r="P16" s="103"/>
      <c r="Q16" s="103"/>
      <c r="R16" s="103"/>
    </row>
    <row r="17" spans="1:12" x14ac:dyDescent="0.35">
      <c r="A17" s="1" t="s">
        <v>5</v>
      </c>
      <c r="B17" s="6">
        <f>IFERROR(-(B15-B16)/B15,"")</f>
        <v>0.2576144720596919</v>
      </c>
      <c r="C17" s="6">
        <f t="shared" ref="C17:L17" si="3">IFERROR(-(C15-C16)/C15,"")</f>
        <v>-0.38541983694772358</v>
      </c>
      <c r="D17" s="6">
        <f t="shared" si="3"/>
        <v>-0.11900454485284406</v>
      </c>
      <c r="E17" s="6">
        <f t="shared" si="3"/>
        <v>0.13879971670825594</v>
      </c>
      <c r="F17" s="6">
        <f t="shared" si="3"/>
        <v>-0.43026835868281854</v>
      </c>
      <c r="G17" s="6">
        <f t="shared" si="3"/>
        <v>1.174826388888889</v>
      </c>
      <c r="H17" s="6">
        <f t="shared" si="3"/>
        <v>0.23079137874300742</v>
      </c>
      <c r="I17" s="6">
        <f t="shared" si="3"/>
        <v>0.1373399460672462</v>
      </c>
      <c r="J17" s="6">
        <f t="shared" si="3"/>
        <v>-0.164470550881092</v>
      </c>
      <c r="K17" s="6">
        <f t="shared" si="3"/>
        <v>1.6112411689836202E-2</v>
      </c>
      <c r="L17" s="6">
        <f t="shared" si="3"/>
        <v>-5.1555995271624647E-2</v>
      </c>
    </row>
  </sheetData>
  <mergeCells count="3">
    <mergeCell ref="B1:G1"/>
    <mergeCell ref="H1:L1"/>
    <mergeCell ref="N11:R16"/>
  </mergeCells>
  <conditionalFormatting sqref="B17">
    <cfRule type="cellIs" dxfId="185" priority="41" operator="greaterThanOrEqual">
      <formula>0</formula>
    </cfRule>
    <cfRule type="cellIs" dxfId="184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83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82" priority="27" operator="lessThan">
      <formula>0</formula>
    </cfRule>
    <cfRule type="cellIs" dxfId="181" priority="38" operator="greaterThanOrEqual">
      <formula>0</formula>
    </cfRule>
  </conditionalFormatting>
  <conditionalFormatting sqref="D17:K17">
    <cfRule type="cellIs" dxfId="180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79" priority="33" operator="lessThan">
      <formula>0</formula>
    </cfRule>
  </conditionalFormatting>
  <conditionalFormatting sqref="J17">
    <cfRule type="cellIs" dxfId="178" priority="32" operator="lessThan">
      <formula>0</formula>
    </cfRule>
  </conditionalFormatting>
  <conditionalFormatting sqref="H17:I17">
    <cfRule type="cellIs" dxfId="177" priority="31" operator="lessThan">
      <formula>0</formula>
    </cfRule>
  </conditionalFormatting>
  <conditionalFormatting sqref="G17">
    <cfRule type="cellIs" dxfId="176" priority="30" operator="lessThan">
      <formula>0</formula>
    </cfRule>
  </conditionalFormatting>
  <conditionalFormatting sqref="E17:F17">
    <cfRule type="cellIs" dxfId="175" priority="29" operator="lessThan">
      <formula>0</formula>
    </cfRule>
  </conditionalFormatting>
  <conditionalFormatting sqref="D17">
    <cfRule type="cellIs" dxfId="174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73" priority="18" operator="greaterThanOrEqual">
      <formula>0</formula>
    </cfRule>
    <cfRule type="cellIs" dxfId="172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R17"/>
  <sheetViews>
    <sheetView workbookViewId="0">
      <selection activeCell="B10" sqref="B10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4" bestFit="1" customWidth="1"/>
    <col min="9" max="9" width="11.1796875" bestFit="1" customWidth="1"/>
  </cols>
  <sheetData>
    <row r="1" spans="1:18" x14ac:dyDescent="0.35">
      <c r="A1" s="1"/>
      <c r="B1" s="100" t="s">
        <v>13</v>
      </c>
      <c r="C1" s="101"/>
      <c r="D1" s="101"/>
      <c r="E1" s="101"/>
      <c r="F1" s="101"/>
      <c r="G1" s="102"/>
      <c r="H1" s="99" t="s">
        <v>14</v>
      </c>
      <c r="I1" s="99"/>
      <c r="J1" s="99"/>
      <c r="K1" s="99"/>
      <c r="L1" s="99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 t="shared" ref="B4:L4" si="0">IFERROR(AVERAGE(B7:B10),"")</f>
        <v>1243.03</v>
      </c>
      <c r="C4" s="4">
        <f t="shared" si="0"/>
        <v>398.22250000000003</v>
      </c>
      <c r="D4" s="4">
        <f t="shared" si="0"/>
        <v>72.622500000000002</v>
      </c>
      <c r="E4" s="4">
        <f t="shared" si="0"/>
        <v>271.745</v>
      </c>
      <c r="F4" s="24">
        <f t="shared" si="0"/>
        <v>46258.75</v>
      </c>
      <c r="G4" s="4">
        <f t="shared" si="0"/>
        <v>21.035</v>
      </c>
      <c r="H4" s="4">
        <f t="shared" si="0"/>
        <v>48.395000000000003</v>
      </c>
      <c r="I4" s="24">
        <f t="shared" si="0"/>
        <v>18875.5</v>
      </c>
      <c r="J4" s="4">
        <f t="shared" si="0"/>
        <v>6.25</v>
      </c>
      <c r="K4" s="4">
        <f t="shared" si="0"/>
        <v>1385.5475000000001</v>
      </c>
      <c r="L4" s="4">
        <f t="shared" si="0"/>
        <v>201.92500000000001</v>
      </c>
    </row>
    <row r="5" spans="1:18" x14ac:dyDescent="0.35">
      <c r="A5" s="1" t="s">
        <v>2</v>
      </c>
      <c r="B5" s="4" t="str">
        <f>IFERROR(AVERAGE(B10:B13),"")</f>
        <v/>
      </c>
      <c r="C5" s="18">
        <f t="shared" ref="C5:L5" si="1">IFERROR(AVERAGE(C10:C13),"")</f>
        <v>384.495</v>
      </c>
      <c r="D5" s="4">
        <f t="shared" si="1"/>
        <v>81.0625</v>
      </c>
      <c r="E5" s="4">
        <f t="shared" si="1"/>
        <v>289.21000000000004</v>
      </c>
      <c r="F5" s="24">
        <f t="shared" si="1"/>
        <v>36790.5</v>
      </c>
      <c r="G5" s="4">
        <f t="shared" si="1"/>
        <v>24.4</v>
      </c>
      <c r="H5" s="20">
        <f t="shared" si="1"/>
        <v>47.274999999999999</v>
      </c>
      <c r="I5" s="25">
        <f t="shared" si="1"/>
        <v>24312.75</v>
      </c>
      <c r="J5" s="4">
        <f t="shared" si="1"/>
        <v>9</v>
      </c>
      <c r="K5" s="4">
        <f t="shared" si="1"/>
        <v>1475.675</v>
      </c>
      <c r="L5" s="4">
        <f t="shared" si="1"/>
        <v>301.505</v>
      </c>
    </row>
    <row r="6" spans="1:18" x14ac:dyDescent="0.35">
      <c r="F6" s="22"/>
      <c r="I6" s="22"/>
    </row>
    <row r="7" spans="1:18" x14ac:dyDescent="0.35">
      <c r="A7" s="3">
        <v>43891</v>
      </c>
      <c r="B7" s="15">
        <v>1304.67</v>
      </c>
      <c r="C7" s="15">
        <v>300.77999999999997</v>
      </c>
      <c r="D7" s="15">
        <v>60.24</v>
      </c>
      <c r="E7" s="15">
        <v>313.67</v>
      </c>
      <c r="F7" s="26">
        <v>58626</v>
      </c>
      <c r="G7" s="15">
        <v>35.200000000000003</v>
      </c>
      <c r="H7" s="15">
        <v>48.52</v>
      </c>
      <c r="I7" s="26">
        <v>16734</v>
      </c>
      <c r="J7" s="15">
        <v>5</v>
      </c>
      <c r="K7" s="15">
        <v>1074.4000000000001</v>
      </c>
      <c r="L7" s="15">
        <v>157.06</v>
      </c>
    </row>
    <row r="8" spans="1:18" x14ac:dyDescent="0.35">
      <c r="A8" s="3">
        <v>43892</v>
      </c>
      <c r="B8" s="15">
        <v>1410.17</v>
      </c>
      <c r="C8" s="15">
        <v>355.91</v>
      </c>
      <c r="D8" s="15">
        <v>73.19</v>
      </c>
      <c r="E8" s="15">
        <v>268.37</v>
      </c>
      <c r="F8" s="26">
        <v>57227</v>
      </c>
      <c r="G8" s="15">
        <v>16.5</v>
      </c>
      <c r="H8" s="15">
        <v>51.96</v>
      </c>
      <c r="I8" s="26">
        <v>16215</v>
      </c>
      <c r="J8" s="15">
        <v>5.8</v>
      </c>
      <c r="K8" s="15">
        <v>1158.96</v>
      </c>
      <c r="L8" s="15">
        <v>186.53</v>
      </c>
    </row>
    <row r="9" spans="1:18" x14ac:dyDescent="0.35">
      <c r="A9" s="3">
        <v>43893</v>
      </c>
      <c r="B9" s="15">
        <v>1014.25</v>
      </c>
      <c r="C9" s="15">
        <v>572.04</v>
      </c>
      <c r="D9" s="15">
        <v>63.2</v>
      </c>
      <c r="E9" s="15">
        <v>225.37</v>
      </c>
      <c r="F9" s="26">
        <v>39560</v>
      </c>
      <c r="G9" s="15">
        <v>19.14</v>
      </c>
      <c r="H9" s="15">
        <v>44.26</v>
      </c>
      <c r="I9" s="26">
        <v>20819</v>
      </c>
      <c r="J9" s="15">
        <v>6.6</v>
      </c>
      <c r="K9" s="15">
        <v>1875.89</v>
      </c>
      <c r="L9" s="15">
        <v>178.8</v>
      </c>
    </row>
    <row r="10" spans="1:18" x14ac:dyDescent="0.35">
      <c r="A10" s="3">
        <v>43894</v>
      </c>
      <c r="B10" s="16"/>
      <c r="C10" s="16">
        <v>364.16</v>
      </c>
      <c r="D10" s="16">
        <v>93.86</v>
      </c>
      <c r="E10" s="16">
        <v>279.57</v>
      </c>
      <c r="F10" s="23">
        <v>29622</v>
      </c>
      <c r="G10" s="16">
        <v>13.3</v>
      </c>
      <c r="H10" s="16">
        <v>48.84</v>
      </c>
      <c r="I10" s="23">
        <v>21734</v>
      </c>
      <c r="J10" s="16">
        <v>7.6</v>
      </c>
      <c r="K10" s="16">
        <v>1432.94</v>
      </c>
      <c r="L10" s="16">
        <v>285.31</v>
      </c>
    </row>
    <row r="11" spans="1:18" ht="14.5" customHeight="1" x14ac:dyDescent="0.35">
      <c r="A11" s="3">
        <v>43895</v>
      </c>
      <c r="B11" s="17"/>
      <c r="C11" s="17">
        <v>564.29999999999995</v>
      </c>
      <c r="D11" s="17">
        <v>111.4</v>
      </c>
      <c r="E11" s="17">
        <v>275.89999999999998</v>
      </c>
      <c r="F11" s="27">
        <v>30035</v>
      </c>
      <c r="G11" s="17">
        <v>14.7</v>
      </c>
      <c r="H11" s="17">
        <v>46</v>
      </c>
      <c r="I11" s="27">
        <v>30184</v>
      </c>
      <c r="J11" s="17">
        <v>8.6</v>
      </c>
      <c r="K11" s="17">
        <v>1444.7</v>
      </c>
      <c r="L11" s="17">
        <v>264.60000000000002</v>
      </c>
      <c r="N11" s="103" t="s">
        <v>16</v>
      </c>
      <c r="O11" s="103"/>
      <c r="P11" s="103"/>
      <c r="Q11" s="103"/>
      <c r="R11" s="103"/>
    </row>
    <row r="12" spans="1:18" x14ac:dyDescent="0.35">
      <c r="A12" s="3">
        <v>43896</v>
      </c>
      <c r="B12" s="17"/>
      <c r="C12" s="17">
        <v>286.10000000000002</v>
      </c>
      <c r="D12" s="17">
        <v>68.7</v>
      </c>
      <c r="E12" s="17">
        <v>256.89999999999998</v>
      </c>
      <c r="F12" s="27">
        <v>40512</v>
      </c>
      <c r="G12" s="17">
        <v>26.7</v>
      </c>
      <c r="H12" s="17">
        <v>40.6</v>
      </c>
      <c r="I12" s="27">
        <v>19349</v>
      </c>
      <c r="J12" s="17">
        <v>11.6</v>
      </c>
      <c r="K12" s="17">
        <v>1219.2</v>
      </c>
      <c r="L12" s="17">
        <v>307</v>
      </c>
      <c r="N12" s="103"/>
      <c r="O12" s="103"/>
      <c r="P12" s="103"/>
      <c r="Q12" s="103"/>
      <c r="R12" s="103"/>
    </row>
    <row r="13" spans="1:18" x14ac:dyDescent="0.35">
      <c r="A13" s="3">
        <v>43897</v>
      </c>
      <c r="B13" s="17"/>
      <c r="C13" s="17">
        <v>323.42</v>
      </c>
      <c r="D13" s="17">
        <v>50.29</v>
      </c>
      <c r="E13" s="17">
        <v>344.47</v>
      </c>
      <c r="F13" s="27">
        <v>46993</v>
      </c>
      <c r="G13" s="17">
        <v>42.9</v>
      </c>
      <c r="H13" s="17">
        <v>53.66</v>
      </c>
      <c r="I13" s="27">
        <v>25984</v>
      </c>
      <c r="J13" s="17">
        <v>8.1999999999999993</v>
      </c>
      <c r="K13" s="17">
        <v>1805.86</v>
      </c>
      <c r="L13" s="17">
        <v>349.11</v>
      </c>
      <c r="N13" s="103"/>
      <c r="O13" s="103"/>
      <c r="P13" s="103"/>
      <c r="Q13" s="103"/>
      <c r="R13" s="103"/>
    </row>
    <row r="14" spans="1:18" ht="14.5" customHeight="1" x14ac:dyDescent="0.35">
      <c r="F14" s="22"/>
      <c r="I14" s="22"/>
      <c r="N14" s="103"/>
      <c r="O14" s="103"/>
      <c r="P14" s="103"/>
      <c r="Q14" s="103"/>
      <c r="R14" s="103"/>
    </row>
    <row r="15" spans="1:18" x14ac:dyDescent="0.35">
      <c r="A15" s="1" t="s">
        <v>3</v>
      </c>
      <c r="B15" s="4">
        <v>1338.7485714285715</v>
      </c>
      <c r="C15" s="4">
        <v>271.1685714285714</v>
      </c>
      <c r="D15" s="4">
        <v>57.045714285714276</v>
      </c>
      <c r="E15" s="4">
        <v>245.7871428571429</v>
      </c>
      <c r="F15" s="4">
        <v>43221.714285714283</v>
      </c>
      <c r="G15" s="4">
        <v>17.895714285714284</v>
      </c>
      <c r="H15" s="4">
        <v>42.747142857142855</v>
      </c>
      <c r="I15" s="4">
        <v>25848</v>
      </c>
      <c r="J15" s="4">
        <v>7.5185714285714296</v>
      </c>
      <c r="K15" s="4">
        <v>1114.25</v>
      </c>
      <c r="L15" s="4">
        <v>210.90142857142857</v>
      </c>
      <c r="N15" s="103"/>
      <c r="O15" s="103"/>
      <c r="P15" s="103"/>
      <c r="Q15" s="103"/>
      <c r="R15" s="103"/>
    </row>
    <row r="16" spans="1:18" x14ac:dyDescent="0.35">
      <c r="A16" s="1" t="s">
        <v>4</v>
      </c>
      <c r="B16" s="4">
        <f t="shared" ref="B16:L16" si="2">IFERROR(AVERAGE(B7:B13),"")</f>
        <v>1243.03</v>
      </c>
      <c r="C16" s="4">
        <f t="shared" si="2"/>
        <v>395.2442857142857</v>
      </c>
      <c r="D16" s="4">
        <f t="shared" si="2"/>
        <v>74.411428571428573</v>
      </c>
      <c r="E16" s="4">
        <f t="shared" si="2"/>
        <v>280.60714285714289</v>
      </c>
      <c r="F16" s="4">
        <f t="shared" si="2"/>
        <v>43225</v>
      </c>
      <c r="G16" s="4">
        <f t="shared" si="2"/>
        <v>24.062857142857144</v>
      </c>
      <c r="H16" s="4">
        <f t="shared" si="2"/>
        <v>47.691428571428574</v>
      </c>
      <c r="I16" s="4">
        <f t="shared" si="2"/>
        <v>21574.142857142859</v>
      </c>
      <c r="J16" s="4">
        <f t="shared" si="2"/>
        <v>7.628571428571429</v>
      </c>
      <c r="K16" s="4">
        <f t="shared" si="2"/>
        <v>1430.2785714285715</v>
      </c>
      <c r="L16" s="4">
        <f t="shared" si="2"/>
        <v>246.91571428571433</v>
      </c>
      <c r="N16" s="103"/>
      <c r="O16" s="103"/>
      <c r="P16" s="103"/>
      <c r="Q16" s="103"/>
      <c r="R16" s="103"/>
    </row>
    <row r="17" spans="1:12" x14ac:dyDescent="0.35">
      <c r="A17" s="1" t="s">
        <v>5</v>
      </c>
      <c r="B17" s="6">
        <f>IFERROR(-(B15-B16)/B15,"")</f>
        <v>-7.1498542348718053E-2</v>
      </c>
      <c r="C17" s="6">
        <f t="shared" ref="C17:L17" si="3">IFERROR(-(C15-C16)/C15,"")</f>
        <v>0.45755934632121303</v>
      </c>
      <c r="D17" s="6">
        <f t="shared" si="3"/>
        <v>0.30441750976660348</v>
      </c>
      <c r="E17" s="6">
        <f t="shared" si="3"/>
        <v>0.14166729632492686</v>
      </c>
      <c r="F17" s="6">
        <f t="shared" si="3"/>
        <v>7.6019989952212603E-5</v>
      </c>
      <c r="G17" s="6">
        <f t="shared" si="3"/>
        <v>0.34461563023868463</v>
      </c>
      <c r="H17" s="6">
        <f t="shared" si="3"/>
        <v>0.11566353641011944</v>
      </c>
      <c r="I17" s="6">
        <f t="shared" si="3"/>
        <v>-0.16534575761595255</v>
      </c>
      <c r="J17" s="6">
        <f t="shared" si="3"/>
        <v>1.4630438913167317E-2</v>
      </c>
      <c r="K17" s="6">
        <f t="shared" si="3"/>
        <v>0.28362447514343414</v>
      </c>
      <c r="L17" s="6">
        <f t="shared" si="3"/>
        <v>0.17076359301230795</v>
      </c>
    </row>
  </sheetData>
  <mergeCells count="3">
    <mergeCell ref="B1:G1"/>
    <mergeCell ref="H1:L1"/>
    <mergeCell ref="N11:R16"/>
  </mergeCells>
  <conditionalFormatting sqref="B17">
    <cfRule type="cellIs" dxfId="171" priority="41" operator="greaterThanOrEqual">
      <formula>0</formula>
    </cfRule>
    <cfRule type="cellIs" dxfId="170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69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68" priority="27" operator="lessThan">
      <formula>0</formula>
    </cfRule>
    <cfRule type="cellIs" dxfId="167" priority="38" operator="greaterThanOrEqual">
      <formula>0</formula>
    </cfRule>
  </conditionalFormatting>
  <conditionalFormatting sqref="D17:K17">
    <cfRule type="cellIs" dxfId="166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65" priority="33" operator="lessThan">
      <formula>0</formula>
    </cfRule>
  </conditionalFormatting>
  <conditionalFormatting sqref="J17">
    <cfRule type="cellIs" dxfId="164" priority="32" operator="lessThan">
      <formula>0</formula>
    </cfRule>
  </conditionalFormatting>
  <conditionalFormatting sqref="H17:I17">
    <cfRule type="cellIs" dxfId="163" priority="31" operator="lessThan">
      <formula>0</formula>
    </cfRule>
  </conditionalFormatting>
  <conditionalFormatting sqref="G17">
    <cfRule type="cellIs" dxfId="162" priority="30" operator="lessThan">
      <formula>0</formula>
    </cfRule>
  </conditionalFormatting>
  <conditionalFormatting sqref="E17:F17">
    <cfRule type="cellIs" dxfId="161" priority="29" operator="lessThan">
      <formula>0</formula>
    </cfRule>
  </conditionalFormatting>
  <conditionalFormatting sqref="D17">
    <cfRule type="cellIs" dxfId="160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59" priority="18" operator="greaterThanOrEqual">
      <formula>0</formula>
    </cfRule>
    <cfRule type="cellIs" dxfId="158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R21"/>
  <sheetViews>
    <sheetView workbookViewId="0">
      <selection activeCell="B10" sqref="B10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4" bestFit="1" customWidth="1"/>
    <col min="9" max="9" width="11.1796875" bestFit="1" customWidth="1"/>
  </cols>
  <sheetData>
    <row r="1" spans="1:18" x14ac:dyDescent="0.35">
      <c r="A1" s="1"/>
      <c r="B1" s="100" t="s">
        <v>13</v>
      </c>
      <c r="C1" s="101"/>
      <c r="D1" s="101"/>
      <c r="E1" s="101"/>
      <c r="F1" s="101"/>
      <c r="G1" s="102"/>
      <c r="H1" s="99" t="s">
        <v>14</v>
      </c>
      <c r="I1" s="99"/>
      <c r="J1" s="99"/>
      <c r="K1" s="99"/>
      <c r="L1" s="99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 t="shared" ref="B4:L4" si="0">IFERROR(AVERAGE(B7:B10),"")</f>
        <v>2780.74</v>
      </c>
      <c r="C4" s="4">
        <f t="shared" si="0"/>
        <v>376.68</v>
      </c>
      <c r="D4" s="4">
        <f t="shared" si="0"/>
        <v>66.64</v>
      </c>
      <c r="E4" s="4">
        <f t="shared" si="0"/>
        <v>249.255</v>
      </c>
      <c r="F4" s="24">
        <f t="shared" si="0"/>
        <v>21146.5</v>
      </c>
      <c r="G4" s="4">
        <f t="shared" si="0"/>
        <v>37.700000000000003</v>
      </c>
      <c r="H4" s="4">
        <f t="shared" si="0"/>
        <v>48.555000000000007</v>
      </c>
      <c r="I4" s="24">
        <f t="shared" si="0"/>
        <v>32515.75</v>
      </c>
      <c r="J4" s="4">
        <f t="shared" si="0"/>
        <v>8.99</v>
      </c>
      <c r="K4" s="4">
        <f t="shared" si="0"/>
        <v>1606.0775000000001</v>
      </c>
      <c r="L4" s="4">
        <f t="shared" si="0"/>
        <v>256.71749999999997</v>
      </c>
    </row>
    <row r="5" spans="1:18" x14ac:dyDescent="0.35">
      <c r="A5" s="1" t="s">
        <v>2</v>
      </c>
      <c r="B5" s="4" t="str">
        <f>IFERROR(AVERAGE(B10:B13),"")</f>
        <v/>
      </c>
      <c r="C5" s="18" t="str">
        <f t="shared" ref="C5:L5" si="1">IFERROR(AVERAGE(C10:C13),"")</f>
        <v/>
      </c>
      <c r="D5" s="4" t="str">
        <f t="shared" si="1"/>
        <v/>
      </c>
      <c r="E5" s="4" t="str">
        <f t="shared" si="1"/>
        <v/>
      </c>
      <c r="F5" s="24" t="str">
        <f t="shared" si="1"/>
        <v/>
      </c>
      <c r="G5" s="4" t="str">
        <f t="shared" si="1"/>
        <v/>
      </c>
      <c r="H5" s="20">
        <f t="shared" si="1"/>
        <v>33.799999999999997</v>
      </c>
      <c r="I5" s="25">
        <f t="shared" si="1"/>
        <v>45277</v>
      </c>
      <c r="J5" s="4">
        <f t="shared" si="1"/>
        <v>12.16</v>
      </c>
      <c r="K5" s="4">
        <f t="shared" si="1"/>
        <v>1486.88</v>
      </c>
      <c r="L5" s="4">
        <f t="shared" si="1"/>
        <v>270.08999999999997</v>
      </c>
    </row>
    <row r="6" spans="1:18" x14ac:dyDescent="0.35">
      <c r="F6" s="22"/>
      <c r="I6" s="22"/>
    </row>
    <row r="7" spans="1:18" x14ac:dyDescent="0.35">
      <c r="A7" s="3">
        <v>43898</v>
      </c>
      <c r="B7" s="15">
        <v>2780.74</v>
      </c>
      <c r="C7" s="15">
        <v>376.68</v>
      </c>
      <c r="D7" s="15">
        <v>66.19</v>
      </c>
      <c r="E7" s="15">
        <v>459.63</v>
      </c>
      <c r="F7" s="26">
        <v>40228</v>
      </c>
      <c r="G7" s="15">
        <v>37.700000000000003</v>
      </c>
      <c r="H7" s="15">
        <v>66.42</v>
      </c>
      <c r="I7" s="26">
        <v>25984</v>
      </c>
      <c r="J7" s="15">
        <v>7.6</v>
      </c>
      <c r="K7" s="15">
        <v>1451.55</v>
      </c>
      <c r="L7" s="15">
        <v>235.98</v>
      </c>
    </row>
    <row r="8" spans="1:18" x14ac:dyDescent="0.35">
      <c r="A8" s="3">
        <v>43899</v>
      </c>
      <c r="B8" s="15"/>
      <c r="C8" s="15"/>
      <c r="D8" s="15">
        <v>67.09</v>
      </c>
      <c r="E8" s="15">
        <v>38.880000000000003</v>
      </c>
      <c r="F8" s="26">
        <v>2065</v>
      </c>
      <c r="G8" s="15"/>
      <c r="H8" s="15">
        <v>55.33</v>
      </c>
      <c r="I8" s="26">
        <v>20586</v>
      </c>
      <c r="J8" s="15">
        <v>7.2</v>
      </c>
      <c r="K8" s="15">
        <v>1999</v>
      </c>
      <c r="L8" s="15">
        <v>299.38</v>
      </c>
    </row>
    <row r="9" spans="1:18" x14ac:dyDescent="0.35">
      <c r="A9" s="3">
        <v>43900</v>
      </c>
      <c r="B9" s="15"/>
      <c r="C9" s="15"/>
      <c r="D9" s="15"/>
      <c r="E9" s="15"/>
      <c r="F9" s="26"/>
      <c r="G9" s="15"/>
      <c r="H9" s="15">
        <v>38.67</v>
      </c>
      <c r="I9" s="26">
        <v>38216</v>
      </c>
      <c r="J9" s="15">
        <v>9</v>
      </c>
      <c r="K9" s="15">
        <v>1486.88</v>
      </c>
      <c r="L9" s="15">
        <v>221.42</v>
      </c>
    </row>
    <row r="10" spans="1:18" x14ac:dyDescent="0.35">
      <c r="A10" s="3">
        <v>43901</v>
      </c>
      <c r="B10" s="16"/>
      <c r="C10" s="16"/>
      <c r="D10" s="16"/>
      <c r="E10" s="16"/>
      <c r="F10" s="23"/>
      <c r="G10" s="16"/>
      <c r="H10" s="16">
        <v>33.799999999999997</v>
      </c>
      <c r="I10" s="23">
        <v>45277</v>
      </c>
      <c r="J10" s="16">
        <v>12.16</v>
      </c>
      <c r="K10" s="16">
        <v>1486.88</v>
      </c>
      <c r="L10" s="16">
        <v>270.08999999999997</v>
      </c>
    </row>
    <row r="11" spans="1:18" ht="14.5" customHeight="1" x14ac:dyDescent="0.35">
      <c r="A11" s="3">
        <v>43902</v>
      </c>
      <c r="B11" s="17"/>
      <c r="C11" s="17"/>
      <c r="D11" s="17"/>
      <c r="E11" s="17"/>
      <c r="F11" s="27"/>
      <c r="G11" s="17"/>
      <c r="H11" s="17"/>
      <c r="I11" s="27"/>
      <c r="J11" s="17"/>
      <c r="K11" s="17"/>
      <c r="L11" s="17"/>
      <c r="N11" s="103" t="s">
        <v>16</v>
      </c>
      <c r="O11" s="103"/>
      <c r="P11" s="103"/>
      <c r="Q11" s="103"/>
      <c r="R11" s="103"/>
    </row>
    <row r="12" spans="1:18" x14ac:dyDescent="0.35">
      <c r="A12" s="3">
        <v>43903</v>
      </c>
      <c r="B12" s="17"/>
      <c r="C12" s="17"/>
      <c r="D12" s="17"/>
      <c r="E12" s="17"/>
      <c r="F12" s="27"/>
      <c r="G12" s="17"/>
      <c r="H12" s="17"/>
      <c r="I12" s="27"/>
      <c r="J12" s="17"/>
      <c r="K12" s="17"/>
      <c r="L12" s="17"/>
      <c r="N12" s="103"/>
      <c r="O12" s="103"/>
      <c r="P12" s="103"/>
      <c r="Q12" s="103"/>
      <c r="R12" s="103"/>
    </row>
    <row r="13" spans="1:18" x14ac:dyDescent="0.35">
      <c r="A13" s="3">
        <v>43904</v>
      </c>
      <c r="B13" s="17"/>
      <c r="C13" s="17"/>
      <c r="D13" s="17"/>
      <c r="E13" s="17"/>
      <c r="F13" s="27"/>
      <c r="G13" s="17"/>
      <c r="H13" s="17"/>
      <c r="I13" s="27"/>
      <c r="J13" s="17"/>
      <c r="K13" s="17"/>
      <c r="L13" s="17"/>
      <c r="N13" s="103"/>
      <c r="O13" s="103"/>
      <c r="P13" s="103"/>
      <c r="Q13" s="103"/>
      <c r="R13" s="103"/>
    </row>
    <row r="14" spans="1:18" ht="14.5" customHeight="1" x14ac:dyDescent="0.35">
      <c r="F14" s="22"/>
      <c r="I14" s="22"/>
      <c r="N14" s="103"/>
      <c r="O14" s="103"/>
      <c r="P14" s="103"/>
      <c r="Q14" s="103"/>
      <c r="R14" s="103"/>
    </row>
    <row r="15" spans="1:18" x14ac:dyDescent="0.35">
      <c r="A15" s="1" t="s">
        <v>3</v>
      </c>
      <c r="B15" s="4">
        <v>1338.7485714285715</v>
      </c>
      <c r="C15" s="4">
        <v>271.1685714285714</v>
      </c>
      <c r="D15" s="4">
        <v>57.045714285714276</v>
      </c>
      <c r="E15" s="4">
        <v>245.7871428571429</v>
      </c>
      <c r="F15" s="4">
        <v>43221.714285714283</v>
      </c>
      <c r="G15" s="4">
        <v>17.895714285714284</v>
      </c>
      <c r="H15" s="4">
        <v>42.747142857142855</v>
      </c>
      <c r="I15" s="4">
        <v>25848</v>
      </c>
      <c r="J15" s="4">
        <v>7.5185714285714296</v>
      </c>
      <c r="K15" s="4">
        <v>1114.25</v>
      </c>
      <c r="L15" s="4">
        <v>210.90142857142857</v>
      </c>
      <c r="N15" s="103"/>
      <c r="O15" s="103"/>
      <c r="P15" s="103"/>
      <c r="Q15" s="103"/>
      <c r="R15" s="103"/>
    </row>
    <row r="16" spans="1:18" x14ac:dyDescent="0.35">
      <c r="A16" s="1" t="s">
        <v>4</v>
      </c>
      <c r="B16" s="4">
        <f t="shared" ref="B16:L16" si="2">IFERROR(AVERAGE(B7:B13),"")</f>
        <v>2780.74</v>
      </c>
      <c r="C16" s="4">
        <f t="shared" si="2"/>
        <v>376.68</v>
      </c>
      <c r="D16" s="4">
        <f t="shared" si="2"/>
        <v>66.64</v>
      </c>
      <c r="E16" s="4">
        <f t="shared" si="2"/>
        <v>249.255</v>
      </c>
      <c r="F16" s="4">
        <f t="shared" si="2"/>
        <v>21146.5</v>
      </c>
      <c r="G16" s="4">
        <f t="shared" si="2"/>
        <v>37.700000000000003</v>
      </c>
      <c r="H16" s="4">
        <f t="shared" si="2"/>
        <v>48.555000000000007</v>
      </c>
      <c r="I16" s="4">
        <f t="shared" si="2"/>
        <v>32515.75</v>
      </c>
      <c r="J16" s="4">
        <f t="shared" si="2"/>
        <v>8.99</v>
      </c>
      <c r="K16" s="4">
        <f t="shared" si="2"/>
        <v>1606.0775000000001</v>
      </c>
      <c r="L16" s="4">
        <f t="shared" si="2"/>
        <v>256.71749999999997</v>
      </c>
      <c r="N16" s="103"/>
      <c r="O16" s="103"/>
      <c r="P16" s="103"/>
      <c r="Q16" s="103"/>
      <c r="R16" s="103"/>
    </row>
    <row r="17" spans="1:14" x14ac:dyDescent="0.35">
      <c r="A17" s="1" t="s">
        <v>5</v>
      </c>
      <c r="B17" s="6">
        <f>IFERROR(-(B15-B16)/B15,"")</f>
        <v>1.0771189298321244</v>
      </c>
      <c r="C17" s="6">
        <f t="shared" ref="C17:L17" si="3">IFERROR(-(C15-C16)/C15,"")</f>
        <v>0.38909903170405352</v>
      </c>
      <c r="D17" s="6">
        <f t="shared" si="3"/>
        <v>0.16818591605729763</v>
      </c>
      <c r="E17" s="6">
        <f t="shared" si="3"/>
        <v>1.4109188554556317E-2</v>
      </c>
      <c r="F17" s="6">
        <f t="shared" si="3"/>
        <v>-0.51074360771041005</v>
      </c>
      <c r="G17" s="6">
        <f t="shared" si="3"/>
        <v>1.1066496367845458</v>
      </c>
      <c r="H17" s="6">
        <f t="shared" si="3"/>
        <v>0.1358653878287607</v>
      </c>
      <c r="I17" s="6">
        <f t="shared" si="3"/>
        <v>0.257959996904983</v>
      </c>
      <c r="J17" s="6">
        <f t="shared" si="3"/>
        <v>0.19570587117613517</v>
      </c>
      <c r="K17" s="6">
        <f t="shared" si="3"/>
        <v>0.4413978012115774</v>
      </c>
      <c r="L17" s="6">
        <f t="shared" si="3"/>
        <v>0.21723926546592506</v>
      </c>
    </row>
    <row r="21" spans="1:14" x14ac:dyDescent="0.35">
      <c r="N21">
        <v>0</v>
      </c>
    </row>
  </sheetData>
  <mergeCells count="3">
    <mergeCell ref="B1:G1"/>
    <mergeCell ref="H1:L1"/>
    <mergeCell ref="N11:R16"/>
  </mergeCells>
  <conditionalFormatting sqref="B17">
    <cfRule type="cellIs" dxfId="157" priority="41" operator="greaterThanOrEqual">
      <formula>0</formula>
    </cfRule>
    <cfRule type="cellIs" dxfId="156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55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54" priority="27" operator="lessThan">
      <formula>0</formula>
    </cfRule>
    <cfRule type="cellIs" dxfId="153" priority="38" operator="greaterThanOrEqual">
      <formula>0</formula>
    </cfRule>
  </conditionalFormatting>
  <conditionalFormatting sqref="D17:K17">
    <cfRule type="cellIs" dxfId="152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51" priority="33" operator="lessThan">
      <formula>0</formula>
    </cfRule>
  </conditionalFormatting>
  <conditionalFormatting sqref="J17">
    <cfRule type="cellIs" dxfId="150" priority="32" operator="lessThan">
      <formula>0</formula>
    </cfRule>
  </conditionalFormatting>
  <conditionalFormatting sqref="H17:I17">
    <cfRule type="cellIs" dxfId="149" priority="31" operator="lessThan">
      <formula>0</formula>
    </cfRule>
  </conditionalFormatting>
  <conditionalFormatting sqref="G17">
    <cfRule type="cellIs" dxfId="148" priority="30" operator="lessThan">
      <formula>0</formula>
    </cfRule>
  </conditionalFormatting>
  <conditionalFormatting sqref="E17:F17">
    <cfRule type="cellIs" dxfId="147" priority="29" operator="lessThan">
      <formula>0</formula>
    </cfRule>
  </conditionalFormatting>
  <conditionalFormatting sqref="D17">
    <cfRule type="cellIs" dxfId="146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45" priority="18" operator="greaterThanOrEqual">
      <formula>0</formula>
    </cfRule>
    <cfRule type="cellIs" dxfId="144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R21"/>
  <sheetViews>
    <sheetView workbookViewId="0">
      <selection activeCell="B15" sqref="B15:L15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4" bestFit="1" customWidth="1"/>
    <col min="9" max="9" width="11.1796875" bestFit="1" customWidth="1"/>
  </cols>
  <sheetData>
    <row r="1" spans="1:18" x14ac:dyDescent="0.35">
      <c r="A1" s="1"/>
      <c r="B1" s="100" t="s">
        <v>13</v>
      </c>
      <c r="C1" s="101"/>
      <c r="D1" s="101"/>
      <c r="E1" s="101"/>
      <c r="F1" s="101"/>
      <c r="G1" s="102"/>
      <c r="H1" s="99" t="s">
        <v>14</v>
      </c>
      <c r="I1" s="99"/>
      <c r="J1" s="99"/>
      <c r="K1" s="99"/>
      <c r="L1" s="99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 t="shared" ref="B4:L4" si="0">IFERROR(AVERAGE(B7:B10),"")</f>
        <v>1973.23</v>
      </c>
      <c r="C4" s="4">
        <f t="shared" si="0"/>
        <v>565.83500000000004</v>
      </c>
      <c r="D4" s="4">
        <f t="shared" si="0"/>
        <v>94.75500000000001</v>
      </c>
      <c r="E4" s="4">
        <f t="shared" si="0"/>
        <v>357.82</v>
      </c>
      <c r="F4" s="24">
        <f t="shared" si="0"/>
        <v>54500.75</v>
      </c>
      <c r="G4" s="4">
        <f t="shared" si="0"/>
        <v>11.515000000000001</v>
      </c>
      <c r="H4" s="4">
        <f t="shared" si="0"/>
        <v>44.182500000000005</v>
      </c>
      <c r="I4" s="24">
        <f t="shared" si="0"/>
        <v>46839.25</v>
      </c>
      <c r="J4" s="4">
        <f t="shared" si="0"/>
        <v>8.7225000000000001</v>
      </c>
      <c r="K4" s="4">
        <f t="shared" si="0"/>
        <v>1306.6975</v>
      </c>
      <c r="L4" s="4">
        <f t="shared" si="0"/>
        <v>248.29499999999999</v>
      </c>
    </row>
    <row r="5" spans="1:18" x14ac:dyDescent="0.35">
      <c r="A5" s="1" t="s">
        <v>2</v>
      </c>
      <c r="B5" s="4">
        <f>IFERROR(AVERAGE(B10:B13),"")</f>
        <v>2216.7125000000001</v>
      </c>
      <c r="C5" s="18">
        <f t="shared" ref="C5:L5" si="1">IFERROR(AVERAGE(C10:C13),"")</f>
        <v>657.82</v>
      </c>
      <c r="D5" s="4">
        <f t="shared" si="1"/>
        <v>96.67</v>
      </c>
      <c r="E5" s="4">
        <f t="shared" si="1"/>
        <v>281.59500000000003</v>
      </c>
      <c r="F5" s="24">
        <f t="shared" si="1"/>
        <v>52432.75</v>
      </c>
      <c r="G5" s="4">
        <f t="shared" si="1"/>
        <v>8.7424999999999997</v>
      </c>
      <c r="H5" s="20">
        <f t="shared" si="1"/>
        <v>40.575000000000003</v>
      </c>
      <c r="I5" s="25">
        <f t="shared" si="1"/>
        <v>87100.5</v>
      </c>
      <c r="J5" s="4">
        <f t="shared" si="1"/>
        <v>16.61</v>
      </c>
      <c r="K5" s="4">
        <f t="shared" si="1"/>
        <v>2921.7425000000003</v>
      </c>
      <c r="L5" s="4">
        <f t="shared" si="1"/>
        <v>405.40750000000003</v>
      </c>
    </row>
    <row r="6" spans="1:18" x14ac:dyDescent="0.35">
      <c r="F6" s="22"/>
      <c r="I6" s="22"/>
    </row>
    <row r="7" spans="1:18" x14ac:dyDescent="0.35">
      <c r="A7" s="3">
        <v>43947</v>
      </c>
      <c r="B7" s="15">
        <v>1304.73</v>
      </c>
      <c r="C7" s="15">
        <v>544.99</v>
      </c>
      <c r="D7" s="15">
        <v>76.36</v>
      </c>
      <c r="E7" s="15">
        <v>349.02</v>
      </c>
      <c r="F7" s="26">
        <v>50584</v>
      </c>
      <c r="G7" s="15">
        <v>16.8</v>
      </c>
      <c r="H7" s="15">
        <v>52.02</v>
      </c>
      <c r="I7" s="26">
        <v>31381</v>
      </c>
      <c r="J7" s="15">
        <v>5.4</v>
      </c>
      <c r="K7" s="15">
        <v>704.45</v>
      </c>
      <c r="L7" s="15">
        <v>148.94999999999999</v>
      </c>
    </row>
    <row r="8" spans="1:18" x14ac:dyDescent="0.35">
      <c r="A8" s="3">
        <v>43948</v>
      </c>
      <c r="B8" s="15">
        <v>2891.03</v>
      </c>
      <c r="C8" s="15">
        <v>552.13</v>
      </c>
      <c r="D8" s="15">
        <v>76.680000000000007</v>
      </c>
      <c r="E8" s="15">
        <v>396.24</v>
      </c>
      <c r="F8" s="26">
        <v>55438</v>
      </c>
      <c r="G8" s="15">
        <v>9.33</v>
      </c>
      <c r="H8" s="15">
        <v>40.270000000000003</v>
      </c>
      <c r="I8" s="26">
        <v>74433</v>
      </c>
      <c r="J8" s="15">
        <v>16.03</v>
      </c>
      <c r="K8" s="15">
        <v>2661.19</v>
      </c>
      <c r="L8" s="15">
        <v>473.13</v>
      </c>
    </row>
    <row r="9" spans="1:18" x14ac:dyDescent="0.35">
      <c r="A9" s="3">
        <v>43949</v>
      </c>
      <c r="B9" s="15">
        <v>2245</v>
      </c>
      <c r="C9" s="15">
        <v>525.61</v>
      </c>
      <c r="D9" s="15">
        <v>104.49</v>
      </c>
      <c r="E9" s="15">
        <v>426.55</v>
      </c>
      <c r="F9" s="26">
        <v>78501</v>
      </c>
      <c r="G9" s="15">
        <v>11.5</v>
      </c>
      <c r="H9" s="15">
        <v>36.42</v>
      </c>
      <c r="I9" s="26">
        <v>49063</v>
      </c>
      <c r="J9" s="15">
        <v>8.9</v>
      </c>
      <c r="K9" s="15">
        <v>973.45</v>
      </c>
      <c r="L9" s="15">
        <v>207.43</v>
      </c>
    </row>
    <row r="10" spans="1:18" x14ac:dyDescent="0.35">
      <c r="A10" s="3">
        <v>43950</v>
      </c>
      <c r="B10" s="16">
        <v>1452.16</v>
      </c>
      <c r="C10" s="16">
        <v>640.61</v>
      </c>
      <c r="D10" s="16">
        <v>121.49</v>
      </c>
      <c r="E10" s="16">
        <v>259.47000000000003</v>
      </c>
      <c r="F10" s="23">
        <v>33480</v>
      </c>
      <c r="G10" s="16">
        <v>8.43</v>
      </c>
      <c r="H10" s="16">
        <v>48.02</v>
      </c>
      <c r="I10" s="23">
        <v>32480</v>
      </c>
      <c r="J10" s="16">
        <v>4.5599999999999996</v>
      </c>
      <c r="K10" s="16">
        <v>887.7</v>
      </c>
      <c r="L10" s="16">
        <v>163.66999999999999</v>
      </c>
    </row>
    <row r="11" spans="1:18" ht="14.5" customHeight="1" x14ac:dyDescent="0.35">
      <c r="A11" s="3">
        <v>43951</v>
      </c>
      <c r="B11" s="17">
        <v>2003.74</v>
      </c>
      <c r="C11" s="17">
        <v>853.79</v>
      </c>
      <c r="D11" s="17">
        <v>89.19</v>
      </c>
      <c r="E11" s="17">
        <v>281.02999999999997</v>
      </c>
      <c r="F11" s="27">
        <v>50919</v>
      </c>
      <c r="G11" s="17">
        <v>8.7200000000000006</v>
      </c>
      <c r="H11" s="17">
        <v>39</v>
      </c>
      <c r="I11" s="27">
        <v>61108</v>
      </c>
      <c r="J11" s="17">
        <v>8.8800000000000008</v>
      </c>
      <c r="K11" s="17">
        <v>1543.31</v>
      </c>
      <c r="L11" s="17">
        <v>239.08</v>
      </c>
      <c r="N11" s="103" t="s">
        <v>16</v>
      </c>
      <c r="O11" s="103"/>
      <c r="P11" s="103"/>
      <c r="Q11" s="103"/>
      <c r="R11" s="103"/>
    </row>
    <row r="12" spans="1:18" x14ac:dyDescent="0.35">
      <c r="A12" s="3">
        <v>43952</v>
      </c>
      <c r="B12" s="17">
        <v>1932.79</v>
      </c>
      <c r="C12" s="17">
        <v>534.21</v>
      </c>
      <c r="D12" s="17">
        <v>92.29</v>
      </c>
      <c r="E12" s="17">
        <v>289.91000000000003</v>
      </c>
      <c r="F12" s="27">
        <v>71605</v>
      </c>
      <c r="G12" s="17">
        <v>8.9</v>
      </c>
      <c r="H12" s="17">
        <v>29.45</v>
      </c>
      <c r="I12" s="27">
        <v>173012</v>
      </c>
      <c r="J12" s="17">
        <v>41.05</v>
      </c>
      <c r="K12" s="17">
        <v>6276.6</v>
      </c>
      <c r="L12" s="17">
        <v>776.36</v>
      </c>
      <c r="N12" s="103"/>
      <c r="O12" s="103"/>
      <c r="P12" s="103"/>
      <c r="Q12" s="103"/>
      <c r="R12" s="103"/>
    </row>
    <row r="13" spans="1:18" x14ac:dyDescent="0.35">
      <c r="A13" s="3">
        <v>43953</v>
      </c>
      <c r="B13" s="17">
        <v>3478.16</v>
      </c>
      <c r="C13" s="17">
        <v>602.66999999999996</v>
      </c>
      <c r="D13" s="17">
        <v>83.71</v>
      </c>
      <c r="E13" s="17">
        <v>295.97000000000003</v>
      </c>
      <c r="F13" s="27">
        <v>53727</v>
      </c>
      <c r="G13" s="17">
        <v>8.92</v>
      </c>
      <c r="H13" s="17">
        <v>45.83</v>
      </c>
      <c r="I13" s="27">
        <v>81802</v>
      </c>
      <c r="J13" s="17">
        <v>11.95</v>
      </c>
      <c r="K13" s="17">
        <v>2979.36</v>
      </c>
      <c r="L13" s="17">
        <v>442.52</v>
      </c>
      <c r="N13" s="103"/>
      <c r="O13" s="103"/>
      <c r="P13" s="103"/>
      <c r="Q13" s="103"/>
      <c r="R13" s="103"/>
    </row>
    <row r="14" spans="1:18" ht="14.5" customHeight="1" x14ac:dyDescent="0.35">
      <c r="F14" s="22"/>
      <c r="I14" s="22"/>
      <c r="N14" s="103"/>
      <c r="O14" s="103"/>
      <c r="P14" s="103"/>
      <c r="Q14" s="103"/>
      <c r="R14" s="103"/>
    </row>
    <row r="15" spans="1:18" x14ac:dyDescent="0.35">
      <c r="A15" s="1" t="s">
        <v>3</v>
      </c>
      <c r="B15" s="4">
        <v>2780.74</v>
      </c>
      <c r="C15" s="4">
        <v>376.68</v>
      </c>
      <c r="D15" s="4">
        <v>66.64</v>
      </c>
      <c r="E15" s="4">
        <v>249.255</v>
      </c>
      <c r="F15" s="4">
        <v>21146.5</v>
      </c>
      <c r="G15" s="4">
        <v>37.700000000000003</v>
      </c>
      <c r="H15" s="4">
        <v>48.555000000000007</v>
      </c>
      <c r="I15" s="4">
        <v>32515.75</v>
      </c>
      <c r="J15" s="4">
        <v>8.99</v>
      </c>
      <c r="K15" s="4">
        <v>1606.0775000000001</v>
      </c>
      <c r="L15" s="4">
        <v>256.71749999999997</v>
      </c>
      <c r="N15" s="103"/>
      <c r="O15" s="103"/>
      <c r="P15" s="103"/>
      <c r="Q15" s="103"/>
      <c r="R15" s="103"/>
    </row>
    <row r="16" spans="1:18" x14ac:dyDescent="0.35">
      <c r="A16" s="1" t="s">
        <v>4</v>
      </c>
      <c r="B16" s="4">
        <f t="shared" ref="B16:L16" si="2">IFERROR(AVERAGE(B7:B13),"")</f>
        <v>2186.8014285714285</v>
      </c>
      <c r="C16" s="4">
        <f t="shared" si="2"/>
        <v>607.71571428571428</v>
      </c>
      <c r="D16" s="4">
        <f t="shared" si="2"/>
        <v>92.03</v>
      </c>
      <c r="E16" s="4">
        <f t="shared" si="2"/>
        <v>328.31285714285713</v>
      </c>
      <c r="F16" s="4">
        <f t="shared" si="2"/>
        <v>56322</v>
      </c>
      <c r="G16" s="4">
        <f t="shared" si="2"/>
        <v>10.37142857142857</v>
      </c>
      <c r="H16" s="4">
        <f t="shared" si="2"/>
        <v>41.572857142857139</v>
      </c>
      <c r="I16" s="4">
        <f t="shared" si="2"/>
        <v>71897</v>
      </c>
      <c r="J16" s="4">
        <f t="shared" si="2"/>
        <v>13.824285714285713</v>
      </c>
      <c r="K16" s="4">
        <f t="shared" si="2"/>
        <v>2289.437142857143</v>
      </c>
      <c r="L16" s="4">
        <f t="shared" si="2"/>
        <v>350.16285714285715</v>
      </c>
      <c r="N16" s="103"/>
      <c r="O16" s="103"/>
      <c r="P16" s="103"/>
      <c r="Q16" s="103"/>
      <c r="R16" s="103"/>
    </row>
    <row r="17" spans="1:14" x14ac:dyDescent="0.35">
      <c r="A17" s="1" t="s">
        <v>5</v>
      </c>
      <c r="B17" s="6">
        <f>IFERROR(-(B15-B16)/B15,"")</f>
        <v>-0.2135901132175505</v>
      </c>
      <c r="C17" s="6">
        <f t="shared" ref="C17:L17" si="3">IFERROR(-(C15-C16)/C15,"")</f>
        <v>0.61334744155706244</v>
      </c>
      <c r="D17" s="6">
        <f t="shared" si="3"/>
        <v>0.38100240096038418</v>
      </c>
      <c r="E17" s="6">
        <f t="shared" si="3"/>
        <v>0.31717661488378218</v>
      </c>
      <c r="F17" s="6">
        <f t="shared" si="3"/>
        <v>1.6634194784006811</v>
      </c>
      <c r="G17" s="6">
        <f t="shared" si="3"/>
        <v>-0.7248957938613112</v>
      </c>
      <c r="H17" s="6">
        <f t="shared" si="3"/>
        <v>-0.1437986377745416</v>
      </c>
      <c r="I17" s="6">
        <f t="shared" si="3"/>
        <v>1.211143830297625</v>
      </c>
      <c r="J17" s="6">
        <f t="shared" si="3"/>
        <v>0.53774034641665325</v>
      </c>
      <c r="K17" s="6">
        <f t="shared" si="3"/>
        <v>0.42548360390899126</v>
      </c>
      <c r="L17" s="6">
        <f t="shared" si="3"/>
        <v>0.36400072898363839</v>
      </c>
    </row>
    <row r="21" spans="1:14" x14ac:dyDescent="0.35">
      <c r="N21">
        <v>0</v>
      </c>
    </row>
  </sheetData>
  <mergeCells count="3">
    <mergeCell ref="B1:G1"/>
    <mergeCell ref="H1:L1"/>
    <mergeCell ref="N11:R16"/>
  </mergeCells>
  <conditionalFormatting sqref="B17">
    <cfRule type="cellIs" dxfId="143" priority="41" operator="greaterThanOrEqual">
      <formula>0</formula>
    </cfRule>
    <cfRule type="cellIs" dxfId="142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41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40" priority="27" operator="lessThan">
      <formula>0</formula>
    </cfRule>
    <cfRule type="cellIs" dxfId="139" priority="38" operator="greaterThanOrEqual">
      <formula>0</formula>
    </cfRule>
  </conditionalFormatting>
  <conditionalFormatting sqref="D17:K17">
    <cfRule type="cellIs" dxfId="138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37" priority="33" operator="lessThan">
      <formula>0</formula>
    </cfRule>
  </conditionalFormatting>
  <conditionalFormatting sqref="J17">
    <cfRule type="cellIs" dxfId="136" priority="32" operator="lessThan">
      <formula>0</formula>
    </cfRule>
  </conditionalFormatting>
  <conditionalFormatting sqref="H17:I17">
    <cfRule type="cellIs" dxfId="135" priority="31" operator="lessThan">
      <formula>0</formula>
    </cfRule>
  </conditionalFormatting>
  <conditionalFormatting sqref="G17">
    <cfRule type="cellIs" dxfId="134" priority="30" operator="lessThan">
      <formula>0</formula>
    </cfRule>
  </conditionalFormatting>
  <conditionalFormatting sqref="E17:F17">
    <cfRule type="cellIs" dxfId="133" priority="29" operator="lessThan">
      <formula>0</formula>
    </cfRule>
  </conditionalFormatting>
  <conditionalFormatting sqref="D17">
    <cfRule type="cellIs" dxfId="132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31" priority="18" operator="greaterThanOrEqual">
      <formula>0</formula>
    </cfRule>
    <cfRule type="cellIs" dxfId="130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R21"/>
  <sheetViews>
    <sheetView workbookViewId="0">
      <selection activeCell="H7" sqref="H7:H10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4" bestFit="1" customWidth="1"/>
    <col min="9" max="9" width="11.1796875" bestFit="1" customWidth="1"/>
  </cols>
  <sheetData>
    <row r="1" spans="1:18" x14ac:dyDescent="0.35">
      <c r="A1" s="1"/>
      <c r="B1" s="100" t="s">
        <v>13</v>
      </c>
      <c r="C1" s="101"/>
      <c r="D1" s="101"/>
      <c r="E1" s="101"/>
      <c r="F1" s="101"/>
      <c r="G1" s="102"/>
      <c r="H1" s="99" t="s">
        <v>14</v>
      </c>
      <c r="I1" s="99"/>
      <c r="J1" s="99"/>
      <c r="K1" s="99"/>
      <c r="L1" s="99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>IFERROR(AVERAGE(B7:B10),"")</f>
        <v>1606.2350000000001</v>
      </c>
      <c r="C4" s="4">
        <f t="shared" ref="C4:L4" si="0">IFERROR(AVERAGE(C7:C10),"")</f>
        <v>1145.9425000000001</v>
      </c>
      <c r="D4" s="4">
        <f t="shared" si="0"/>
        <v>74.497500000000002</v>
      </c>
      <c r="E4" s="4">
        <f t="shared" si="0"/>
        <v>381.67999999999995</v>
      </c>
      <c r="F4" s="24">
        <f t="shared" si="0"/>
        <v>122767</v>
      </c>
      <c r="G4" s="4">
        <f t="shared" si="0"/>
        <v>12.397500000000001</v>
      </c>
      <c r="H4" s="4">
        <f t="shared" si="0"/>
        <v>41.202500000000001</v>
      </c>
      <c r="I4" s="24">
        <f t="shared" si="0"/>
        <v>86525</v>
      </c>
      <c r="J4" s="4">
        <f t="shared" si="0"/>
        <v>13.004999999999999</v>
      </c>
      <c r="K4" s="4">
        <f t="shared" si="0"/>
        <v>3569.09</v>
      </c>
      <c r="L4" s="4">
        <f t="shared" si="0"/>
        <v>311.26749999999998</v>
      </c>
    </row>
    <row r="5" spans="1:18" x14ac:dyDescent="0.35">
      <c r="A5" s="1" t="s">
        <v>2</v>
      </c>
      <c r="B5" s="4">
        <f>IFERROR(AVERAGE(B10:B13),"")</f>
        <v>1357.3150000000001</v>
      </c>
      <c r="C5" s="18">
        <f t="shared" ref="C5:L5" si="1">IFERROR(AVERAGE(C10:C13),"")</f>
        <v>1451.9999999999998</v>
      </c>
      <c r="D5" s="4">
        <f t="shared" si="1"/>
        <v>91.317499999999995</v>
      </c>
      <c r="E5" s="4">
        <f t="shared" si="1"/>
        <v>299.16750000000002</v>
      </c>
      <c r="F5" s="24">
        <f t="shared" si="1"/>
        <v>107486</v>
      </c>
      <c r="G5" s="4">
        <f t="shared" si="1"/>
        <v>7.5150000000000006</v>
      </c>
      <c r="H5" s="20">
        <f t="shared" si="1"/>
        <v>41.1875</v>
      </c>
      <c r="I5" s="25">
        <f t="shared" si="1"/>
        <v>67821.25</v>
      </c>
      <c r="J5" s="4">
        <f t="shared" si="1"/>
        <v>11.19</v>
      </c>
      <c r="K5" s="4">
        <f t="shared" si="1"/>
        <v>3848.7750000000001</v>
      </c>
      <c r="L5" s="4">
        <f t="shared" si="1"/>
        <v>526.39750000000004</v>
      </c>
    </row>
    <row r="6" spans="1:18" x14ac:dyDescent="0.35">
      <c r="F6" s="22"/>
      <c r="I6" s="22"/>
    </row>
    <row r="7" spans="1:18" x14ac:dyDescent="0.35">
      <c r="A7" s="3">
        <v>43954</v>
      </c>
      <c r="B7" s="15">
        <v>1576.53</v>
      </c>
      <c r="C7" s="15">
        <v>507.92</v>
      </c>
      <c r="D7" s="15">
        <v>66.28</v>
      </c>
      <c r="E7" s="15">
        <v>371.9</v>
      </c>
      <c r="F7" s="26">
        <v>101914</v>
      </c>
      <c r="G7" s="15">
        <v>14.19</v>
      </c>
      <c r="H7" s="15">
        <v>42.36</v>
      </c>
      <c r="I7" s="26">
        <v>89418</v>
      </c>
      <c r="J7" s="15">
        <v>13.8</v>
      </c>
      <c r="K7" s="15">
        <v>2523.5300000000002</v>
      </c>
      <c r="L7" s="15">
        <v>278.87</v>
      </c>
    </row>
    <row r="8" spans="1:18" x14ac:dyDescent="0.35">
      <c r="A8" s="3">
        <v>43955</v>
      </c>
      <c r="B8" s="15">
        <v>1565.77</v>
      </c>
      <c r="C8" s="15">
        <v>2009.6</v>
      </c>
      <c r="D8" s="15">
        <v>75.66</v>
      </c>
      <c r="E8" s="15">
        <v>370.4</v>
      </c>
      <c r="F8" s="26">
        <v>101647</v>
      </c>
      <c r="G8" s="15">
        <v>12.7</v>
      </c>
      <c r="H8" s="15">
        <v>42.89</v>
      </c>
      <c r="I8" s="26">
        <v>92590</v>
      </c>
      <c r="J8" s="15">
        <v>12.6</v>
      </c>
      <c r="K8" s="15">
        <v>2171.73</v>
      </c>
      <c r="L8" s="15">
        <v>376.47</v>
      </c>
    </row>
    <row r="9" spans="1:18" x14ac:dyDescent="0.35">
      <c r="A9" s="3">
        <v>43956</v>
      </c>
      <c r="B9" s="15">
        <v>1326.97</v>
      </c>
      <c r="C9" s="15">
        <v>817.28</v>
      </c>
      <c r="D9" s="15">
        <v>79.510000000000005</v>
      </c>
      <c r="E9" s="15">
        <v>404.65</v>
      </c>
      <c r="F9" s="26">
        <v>178104</v>
      </c>
      <c r="G9" s="15">
        <v>12.4</v>
      </c>
      <c r="H9" s="15">
        <v>35.89</v>
      </c>
      <c r="I9" s="26">
        <v>83401</v>
      </c>
      <c r="J9" s="15">
        <v>13.53</v>
      </c>
      <c r="K9" s="15">
        <v>2327.38</v>
      </c>
      <c r="L9" s="15">
        <v>226.15</v>
      </c>
    </row>
    <row r="10" spans="1:18" x14ac:dyDescent="0.35">
      <c r="A10" s="3">
        <v>43957</v>
      </c>
      <c r="B10" s="16">
        <v>1955.67</v>
      </c>
      <c r="C10" s="16">
        <v>1248.97</v>
      </c>
      <c r="D10" s="16">
        <v>76.540000000000006</v>
      </c>
      <c r="E10" s="16">
        <v>379.77</v>
      </c>
      <c r="F10" s="23">
        <v>109403</v>
      </c>
      <c r="G10" s="16">
        <v>10.3</v>
      </c>
      <c r="H10" s="16">
        <v>43.67</v>
      </c>
      <c r="I10" s="23">
        <v>80691</v>
      </c>
      <c r="J10" s="16">
        <v>12.09</v>
      </c>
      <c r="K10" s="16">
        <v>7253.72</v>
      </c>
      <c r="L10" s="16">
        <v>363.58</v>
      </c>
    </row>
    <row r="11" spans="1:18" ht="14.5" customHeight="1" x14ac:dyDescent="0.35">
      <c r="A11" s="3">
        <v>43958</v>
      </c>
      <c r="B11" s="17">
        <v>1108.19</v>
      </c>
      <c r="C11" s="17">
        <v>927.13</v>
      </c>
      <c r="D11" s="17">
        <v>88.23</v>
      </c>
      <c r="E11" s="17">
        <v>262.89999999999998</v>
      </c>
      <c r="F11" s="27">
        <v>106195</v>
      </c>
      <c r="G11" s="17">
        <v>7.76</v>
      </c>
      <c r="H11" s="17">
        <v>47.18</v>
      </c>
      <c r="I11" s="27">
        <v>63293</v>
      </c>
      <c r="J11" s="17">
        <v>7.77</v>
      </c>
      <c r="K11" s="17">
        <v>2624.38</v>
      </c>
      <c r="L11" s="17">
        <v>244.31</v>
      </c>
      <c r="N11" s="103" t="s">
        <v>16</v>
      </c>
      <c r="O11" s="103"/>
      <c r="P11" s="103"/>
      <c r="Q11" s="103"/>
      <c r="R11" s="103"/>
    </row>
    <row r="12" spans="1:18" x14ac:dyDescent="0.35">
      <c r="A12" s="3">
        <v>43959</v>
      </c>
      <c r="B12" s="17">
        <v>1235.7</v>
      </c>
      <c r="C12" s="17">
        <v>2082.1999999999998</v>
      </c>
      <c r="D12" s="17">
        <v>85.5</v>
      </c>
      <c r="E12" s="17">
        <v>315</v>
      </c>
      <c r="F12" s="27">
        <v>123331</v>
      </c>
      <c r="G12" s="17">
        <v>7.4</v>
      </c>
      <c r="H12" s="17">
        <v>32.1</v>
      </c>
      <c r="I12" s="27">
        <v>85627</v>
      </c>
      <c r="J12" s="17">
        <v>18.600000000000001</v>
      </c>
      <c r="K12" s="17">
        <v>4059</v>
      </c>
      <c r="L12" s="17">
        <v>414.2</v>
      </c>
      <c r="N12" s="103"/>
      <c r="O12" s="103"/>
      <c r="P12" s="103"/>
      <c r="Q12" s="103"/>
      <c r="R12" s="103"/>
    </row>
    <row r="13" spans="1:18" x14ac:dyDescent="0.35">
      <c r="A13" s="3">
        <v>43960</v>
      </c>
      <c r="B13" s="17">
        <v>1129.7</v>
      </c>
      <c r="C13" s="17">
        <v>1549.7</v>
      </c>
      <c r="D13" s="17">
        <v>115</v>
      </c>
      <c r="E13" s="17">
        <v>239</v>
      </c>
      <c r="F13" s="27">
        <v>91015</v>
      </c>
      <c r="G13" s="17">
        <v>4.5999999999999996</v>
      </c>
      <c r="H13" s="17">
        <v>41.8</v>
      </c>
      <c r="I13" s="27">
        <v>41674</v>
      </c>
      <c r="J13" s="17">
        <v>6.3</v>
      </c>
      <c r="K13" s="17">
        <v>1458</v>
      </c>
      <c r="L13" s="17">
        <v>1083.5</v>
      </c>
      <c r="N13" s="103"/>
      <c r="O13" s="103"/>
      <c r="P13" s="103"/>
      <c r="Q13" s="103"/>
      <c r="R13" s="103"/>
    </row>
    <row r="14" spans="1:18" ht="14.5" customHeight="1" x14ac:dyDescent="0.35">
      <c r="F14" s="22"/>
      <c r="I14" s="22"/>
      <c r="N14" s="103"/>
      <c r="O14" s="103"/>
      <c r="P14" s="103"/>
      <c r="Q14" s="103"/>
      <c r="R14" s="103"/>
    </row>
    <row r="15" spans="1:18" x14ac:dyDescent="0.35">
      <c r="A15" s="1" t="s">
        <v>3</v>
      </c>
      <c r="B15" s="4">
        <v>2780.74</v>
      </c>
      <c r="C15" s="4">
        <v>376.68</v>
      </c>
      <c r="D15" s="4">
        <v>66.64</v>
      </c>
      <c r="E15" s="4">
        <v>249.255</v>
      </c>
      <c r="F15" s="4">
        <v>21146.5</v>
      </c>
      <c r="G15" s="4">
        <v>37.700000000000003</v>
      </c>
      <c r="H15" s="4">
        <v>48.555000000000007</v>
      </c>
      <c r="I15" s="4">
        <v>32515.75</v>
      </c>
      <c r="J15" s="4">
        <v>8.99</v>
      </c>
      <c r="K15" s="4">
        <v>1606.0775000000001</v>
      </c>
      <c r="L15" s="4">
        <v>256.71749999999997</v>
      </c>
      <c r="N15" s="103"/>
      <c r="O15" s="103"/>
      <c r="P15" s="103"/>
      <c r="Q15" s="103"/>
      <c r="R15" s="103"/>
    </row>
    <row r="16" spans="1:18" x14ac:dyDescent="0.35">
      <c r="A16" s="1" t="s">
        <v>4</v>
      </c>
      <c r="B16" s="4">
        <f t="shared" ref="B16:L16" si="2">IFERROR(AVERAGE(B7:B13),"")</f>
        <v>1414.0757142857146</v>
      </c>
      <c r="C16" s="4">
        <f t="shared" si="2"/>
        <v>1306.1142857142859</v>
      </c>
      <c r="D16" s="4">
        <f t="shared" si="2"/>
        <v>83.817142857142855</v>
      </c>
      <c r="E16" s="4">
        <f t="shared" si="2"/>
        <v>334.80285714285714</v>
      </c>
      <c r="F16" s="4">
        <f t="shared" si="2"/>
        <v>115944.14285714286</v>
      </c>
      <c r="G16" s="4">
        <f t="shared" si="2"/>
        <v>9.9071428571428566</v>
      </c>
      <c r="H16" s="4">
        <f t="shared" si="2"/>
        <v>40.841428571428573</v>
      </c>
      <c r="I16" s="4">
        <f t="shared" si="2"/>
        <v>76670.571428571435</v>
      </c>
      <c r="J16" s="4">
        <f t="shared" si="2"/>
        <v>12.098571428571427</v>
      </c>
      <c r="K16" s="4">
        <f t="shared" si="2"/>
        <v>3202.5342857142859</v>
      </c>
      <c r="L16" s="4">
        <f t="shared" si="2"/>
        <v>426.72571428571428</v>
      </c>
      <c r="N16" s="103"/>
      <c r="O16" s="103"/>
      <c r="P16" s="103"/>
      <c r="Q16" s="103"/>
      <c r="R16" s="103"/>
    </row>
    <row r="17" spans="1:14" x14ac:dyDescent="0.35">
      <c r="A17" s="1" t="s">
        <v>5</v>
      </c>
      <c r="B17" s="6">
        <f>IFERROR(-(B15-B16)/B15,"")</f>
        <v>-0.49147503388101199</v>
      </c>
      <c r="C17" s="6">
        <f t="shared" ref="C17:L17" si="3">IFERROR(-(C15-C16)/C15,"")</f>
        <v>2.467437309425204</v>
      </c>
      <c r="D17" s="6">
        <f t="shared" si="3"/>
        <v>0.2577602469559252</v>
      </c>
      <c r="E17" s="6">
        <f t="shared" si="3"/>
        <v>0.34321420690801446</v>
      </c>
      <c r="F17" s="6">
        <f t="shared" si="3"/>
        <v>4.4828999057594805</v>
      </c>
      <c r="G17" s="6">
        <f t="shared" si="3"/>
        <v>-0.73721106479727172</v>
      </c>
      <c r="H17" s="6">
        <f t="shared" si="3"/>
        <v>-0.158862556452918</v>
      </c>
      <c r="I17" s="6">
        <f t="shared" si="3"/>
        <v>1.3579518057732463</v>
      </c>
      <c r="J17" s="6">
        <f t="shared" si="3"/>
        <v>0.34578102653742232</v>
      </c>
      <c r="K17" s="6">
        <f t="shared" si="3"/>
        <v>0.99400980694535956</v>
      </c>
      <c r="L17" s="6">
        <f t="shared" si="3"/>
        <v>0.66223850842156973</v>
      </c>
    </row>
    <row r="21" spans="1:14" x14ac:dyDescent="0.35">
      <c r="N21">
        <v>0</v>
      </c>
    </row>
  </sheetData>
  <mergeCells count="3">
    <mergeCell ref="B1:G1"/>
    <mergeCell ref="H1:L1"/>
    <mergeCell ref="N11:R16"/>
  </mergeCells>
  <conditionalFormatting sqref="B17">
    <cfRule type="cellIs" dxfId="129" priority="41" operator="greaterThanOrEqual">
      <formula>0</formula>
    </cfRule>
    <cfRule type="cellIs" dxfId="128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27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26" priority="27" operator="lessThan">
      <formula>0</formula>
    </cfRule>
    <cfRule type="cellIs" dxfId="125" priority="38" operator="greaterThanOrEqual">
      <formula>0</formula>
    </cfRule>
  </conditionalFormatting>
  <conditionalFormatting sqref="D17:K17">
    <cfRule type="cellIs" dxfId="124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23" priority="33" operator="lessThan">
      <formula>0</formula>
    </cfRule>
  </conditionalFormatting>
  <conditionalFormatting sqref="J17">
    <cfRule type="cellIs" dxfId="122" priority="32" operator="lessThan">
      <formula>0</formula>
    </cfRule>
  </conditionalFormatting>
  <conditionalFormatting sqref="H17:I17">
    <cfRule type="cellIs" dxfId="121" priority="31" operator="lessThan">
      <formula>0</formula>
    </cfRule>
  </conditionalFormatting>
  <conditionalFormatting sqref="G17">
    <cfRule type="cellIs" dxfId="120" priority="30" operator="lessThan">
      <formula>0</formula>
    </cfRule>
  </conditionalFormatting>
  <conditionalFormatting sqref="E17:F17">
    <cfRule type="cellIs" dxfId="119" priority="29" operator="lessThan">
      <formula>0</formula>
    </cfRule>
  </conditionalFormatting>
  <conditionalFormatting sqref="D17">
    <cfRule type="cellIs" dxfId="118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17" priority="18" operator="greaterThanOrEqual">
      <formula>0</formula>
    </cfRule>
    <cfRule type="cellIs" dxfId="116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R21"/>
  <sheetViews>
    <sheetView workbookViewId="0">
      <selection activeCell="G10" sqref="G10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4" bestFit="1" customWidth="1"/>
    <col min="9" max="9" width="11.1796875" bestFit="1" customWidth="1"/>
  </cols>
  <sheetData>
    <row r="1" spans="1:18" x14ac:dyDescent="0.35">
      <c r="A1" s="1"/>
      <c r="B1" s="100" t="s">
        <v>13</v>
      </c>
      <c r="C1" s="101"/>
      <c r="D1" s="101"/>
      <c r="E1" s="101"/>
      <c r="F1" s="101"/>
      <c r="G1" s="102"/>
      <c r="H1" s="99" t="s">
        <v>14</v>
      </c>
      <c r="I1" s="99"/>
      <c r="J1" s="99"/>
      <c r="K1" s="99"/>
      <c r="L1" s="99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>IFERROR(AVERAGE(B7:B9),"")</f>
        <v>1011.73</v>
      </c>
      <c r="C4" s="4">
        <f>IFERROR(AVERAGE(C7:C9),"")</f>
        <v>952.30000000000007</v>
      </c>
      <c r="D4" s="4">
        <f>IFERROR(AVERAGE(D7:D9),"")</f>
        <v>92.59999999999998</v>
      </c>
      <c r="E4" s="4">
        <f>IFERROR(AVERAGE(E7:E10),"")</f>
        <v>269.83749999999998</v>
      </c>
      <c r="F4" s="24">
        <f t="shared" ref="F4:L4" si="0">IFERROR(AVERAGE(F7:F9),"")</f>
        <v>100853</v>
      </c>
      <c r="G4" s="4">
        <f t="shared" si="0"/>
        <v>7.1133333333333333</v>
      </c>
      <c r="H4" s="4">
        <f t="shared" si="0"/>
        <v>41.673333333333332</v>
      </c>
      <c r="I4" s="24">
        <f t="shared" si="0"/>
        <v>65291</v>
      </c>
      <c r="J4" s="4">
        <f t="shared" si="0"/>
        <v>9.4366666666666656</v>
      </c>
      <c r="K4" s="4">
        <f t="shared" si="0"/>
        <v>1500.11</v>
      </c>
      <c r="L4" s="4">
        <f t="shared" si="0"/>
        <v>271.28000000000003</v>
      </c>
    </row>
    <row r="5" spans="1:18" x14ac:dyDescent="0.35">
      <c r="A5" s="1" t="s">
        <v>2</v>
      </c>
      <c r="B5" s="4">
        <f t="shared" ref="B5:L5" si="1">IFERROR(AVERAGE(B10:B13),"")</f>
        <v>1156.5374999999999</v>
      </c>
      <c r="C5" s="18">
        <f t="shared" si="1"/>
        <v>1600.26</v>
      </c>
      <c r="D5" s="4">
        <f t="shared" si="1"/>
        <v>94.702500000000001</v>
      </c>
      <c r="E5" s="4">
        <f t="shared" si="1"/>
        <v>255.78750000000002</v>
      </c>
      <c r="F5" s="24">
        <f t="shared" si="1"/>
        <v>96977</v>
      </c>
      <c r="G5" s="4">
        <f t="shared" si="1"/>
        <v>6.4597499999999988</v>
      </c>
      <c r="H5" s="20">
        <f t="shared" si="1"/>
        <v>48.114999999999995</v>
      </c>
      <c r="I5" s="25">
        <f t="shared" si="1"/>
        <v>81242.75</v>
      </c>
      <c r="J5" s="4">
        <f t="shared" si="1"/>
        <v>11.49475</v>
      </c>
      <c r="K5" s="4">
        <f t="shared" si="1"/>
        <v>1920.7674999999999</v>
      </c>
      <c r="L5" s="4">
        <f t="shared" si="1"/>
        <v>314.45249999999999</v>
      </c>
    </row>
    <row r="6" spans="1:18" x14ac:dyDescent="0.35">
      <c r="F6" s="22"/>
      <c r="I6" s="22"/>
    </row>
    <row r="7" spans="1:18" x14ac:dyDescent="0.35">
      <c r="A7" s="3">
        <v>43961</v>
      </c>
      <c r="B7" s="15">
        <v>984.46</v>
      </c>
      <c r="C7" s="15">
        <v>899.35</v>
      </c>
      <c r="D7" s="15">
        <v>91.84</v>
      </c>
      <c r="E7" s="15">
        <v>272.70999999999998</v>
      </c>
      <c r="F7" s="26">
        <v>103784</v>
      </c>
      <c r="G7" s="15">
        <v>7.73</v>
      </c>
      <c r="H7" s="15">
        <v>38.97</v>
      </c>
      <c r="I7" s="26">
        <v>82423</v>
      </c>
      <c r="J7" s="15">
        <v>13.34</v>
      </c>
      <c r="K7" s="15">
        <v>1856.24</v>
      </c>
      <c r="L7" s="15">
        <v>374.51</v>
      </c>
    </row>
    <row r="8" spans="1:18" x14ac:dyDescent="0.35">
      <c r="A8" s="3">
        <v>43962</v>
      </c>
      <c r="B8" s="15">
        <v>996.15</v>
      </c>
      <c r="C8" s="15">
        <v>1129.1099999999999</v>
      </c>
      <c r="D8" s="15">
        <v>86.74</v>
      </c>
      <c r="E8" s="15">
        <v>230.55</v>
      </c>
      <c r="F8" s="26">
        <v>83513</v>
      </c>
      <c r="G8" s="15">
        <v>6.41</v>
      </c>
      <c r="H8" s="15">
        <v>40.89</v>
      </c>
      <c r="I8" s="26">
        <v>59842</v>
      </c>
      <c r="J8" s="15">
        <v>8.66</v>
      </c>
      <c r="K8" s="15">
        <v>1596.68</v>
      </c>
      <c r="L8" s="15">
        <v>241.86</v>
      </c>
    </row>
    <row r="9" spans="1:18" x14ac:dyDescent="0.35">
      <c r="A9" s="3">
        <v>43963</v>
      </c>
      <c r="B9" s="15">
        <v>1054.58</v>
      </c>
      <c r="C9" s="15">
        <v>828.44</v>
      </c>
      <c r="D9" s="15">
        <v>99.22</v>
      </c>
      <c r="E9" s="15">
        <v>281.19</v>
      </c>
      <c r="F9" s="26">
        <v>115262</v>
      </c>
      <c r="G9" s="15">
        <v>7.2</v>
      </c>
      <c r="H9" s="15">
        <v>45.16</v>
      </c>
      <c r="I9" s="26">
        <v>53608</v>
      </c>
      <c r="J9" s="15">
        <v>6.31</v>
      </c>
      <c r="K9" s="15">
        <v>1047.4100000000001</v>
      </c>
      <c r="L9" s="15">
        <v>197.47</v>
      </c>
    </row>
    <row r="10" spans="1:18" x14ac:dyDescent="0.35">
      <c r="A10" s="3">
        <v>43964</v>
      </c>
      <c r="B10" s="16">
        <v>1392.43</v>
      </c>
      <c r="C10" s="16">
        <v>1731.27</v>
      </c>
      <c r="D10" s="16">
        <v>85.29</v>
      </c>
      <c r="E10" s="16">
        <v>294.89999999999998</v>
      </c>
      <c r="F10" s="23">
        <v>99926</v>
      </c>
      <c r="G10" s="16">
        <v>8.3689999999999998</v>
      </c>
      <c r="H10" s="16">
        <v>60.37</v>
      </c>
      <c r="I10" s="23">
        <v>23929</v>
      </c>
      <c r="J10" s="16">
        <v>2.48</v>
      </c>
      <c r="K10" s="16">
        <v>552.66</v>
      </c>
      <c r="L10" s="16">
        <v>91.82</v>
      </c>
    </row>
    <row r="11" spans="1:18" ht="14.5" customHeight="1" x14ac:dyDescent="0.35">
      <c r="A11" s="3">
        <v>43965</v>
      </c>
      <c r="B11" s="17">
        <v>1425.16</v>
      </c>
      <c r="C11" s="17">
        <v>2087.4699999999998</v>
      </c>
      <c r="D11" s="17">
        <v>89.84</v>
      </c>
      <c r="E11" s="17">
        <v>352.1</v>
      </c>
      <c r="F11" s="27">
        <v>143077</v>
      </c>
      <c r="G11" s="17">
        <v>9.3699999999999992</v>
      </c>
      <c r="H11" s="17">
        <v>48.12</v>
      </c>
      <c r="I11" s="27">
        <v>57896</v>
      </c>
      <c r="J11" s="17">
        <v>6.92</v>
      </c>
      <c r="K11" s="17">
        <v>1399.51</v>
      </c>
      <c r="L11" s="17">
        <v>211.72</v>
      </c>
      <c r="N11" s="103" t="s">
        <v>16</v>
      </c>
      <c r="O11" s="103"/>
      <c r="P11" s="103"/>
      <c r="Q11" s="103"/>
      <c r="R11" s="103"/>
    </row>
    <row r="12" spans="1:18" x14ac:dyDescent="0.35">
      <c r="A12" s="3">
        <v>43966</v>
      </c>
      <c r="B12" s="17">
        <v>577.39</v>
      </c>
      <c r="C12" s="17">
        <v>992.02</v>
      </c>
      <c r="D12" s="17">
        <v>106.14</v>
      </c>
      <c r="E12" s="17">
        <v>111.22</v>
      </c>
      <c r="F12" s="27">
        <v>43781</v>
      </c>
      <c r="G12" s="17">
        <v>2.33</v>
      </c>
      <c r="H12" s="17">
        <v>44.93</v>
      </c>
      <c r="I12" s="27">
        <v>112521</v>
      </c>
      <c r="J12" s="17">
        <v>13.96</v>
      </c>
      <c r="K12" s="17">
        <v>2498.37</v>
      </c>
      <c r="L12" s="17">
        <v>408.12</v>
      </c>
      <c r="N12" s="103"/>
      <c r="O12" s="103"/>
      <c r="P12" s="103"/>
      <c r="Q12" s="103"/>
      <c r="R12" s="103"/>
    </row>
    <row r="13" spans="1:18" x14ac:dyDescent="0.35">
      <c r="A13" s="3">
        <v>43967</v>
      </c>
      <c r="B13" s="17">
        <v>1231.17</v>
      </c>
      <c r="C13" s="17">
        <v>1590.28</v>
      </c>
      <c r="D13" s="17">
        <v>97.54</v>
      </c>
      <c r="E13" s="17">
        <v>264.93</v>
      </c>
      <c r="F13" s="27">
        <v>101124</v>
      </c>
      <c r="G13" s="17">
        <v>5.77</v>
      </c>
      <c r="H13" s="17">
        <v>39.04</v>
      </c>
      <c r="I13" s="27">
        <v>130625</v>
      </c>
      <c r="J13" s="17">
        <v>22.619</v>
      </c>
      <c r="K13" s="17">
        <v>3232.53</v>
      </c>
      <c r="L13" s="17">
        <v>546.15</v>
      </c>
      <c r="N13" s="103"/>
      <c r="O13" s="103"/>
      <c r="P13" s="103"/>
      <c r="Q13" s="103"/>
      <c r="R13" s="103"/>
    </row>
    <row r="14" spans="1:18" ht="14.5" customHeight="1" x14ac:dyDescent="0.35">
      <c r="F14" s="22"/>
      <c r="I14" s="22"/>
      <c r="N14" s="103"/>
      <c r="O14" s="103"/>
      <c r="P14" s="103"/>
      <c r="Q14" s="103"/>
      <c r="R14" s="103"/>
    </row>
    <row r="15" spans="1:18" x14ac:dyDescent="0.35">
      <c r="A15" s="1" t="s">
        <v>3</v>
      </c>
      <c r="B15" s="4">
        <v>1414.1</v>
      </c>
      <c r="C15" s="4">
        <v>1306.0999999999999</v>
      </c>
      <c r="D15" s="4">
        <v>83.8</v>
      </c>
      <c r="E15" s="4">
        <v>334.8</v>
      </c>
      <c r="F15" s="4">
        <v>115944.1</v>
      </c>
      <c r="G15" s="4">
        <v>9.9</v>
      </c>
      <c r="H15" s="4">
        <v>40.799999999999997</v>
      </c>
      <c r="I15" s="4">
        <v>76670.600000000006</v>
      </c>
      <c r="J15" s="4">
        <v>12.1</v>
      </c>
      <c r="K15" s="4">
        <v>3202.5</v>
      </c>
      <c r="L15" s="4">
        <v>426.7</v>
      </c>
      <c r="N15" s="103"/>
      <c r="O15" s="103"/>
      <c r="P15" s="103"/>
      <c r="Q15" s="103"/>
      <c r="R15" s="103"/>
    </row>
    <row r="16" spans="1:18" x14ac:dyDescent="0.35">
      <c r="A16" s="1" t="s">
        <v>4</v>
      </c>
      <c r="B16" s="4">
        <f t="shared" ref="B16:L16" si="2">IFERROR(AVERAGE(B7:B13),"")</f>
        <v>1094.4771428571428</v>
      </c>
      <c r="C16" s="4">
        <f t="shared" si="2"/>
        <v>1322.5628571428572</v>
      </c>
      <c r="D16" s="4">
        <f t="shared" si="2"/>
        <v>93.801428571428559</v>
      </c>
      <c r="E16" s="4">
        <f t="shared" si="2"/>
        <v>258.2285714285714</v>
      </c>
      <c r="F16" s="4">
        <f t="shared" si="2"/>
        <v>98638.142857142855</v>
      </c>
      <c r="G16" s="4">
        <f t="shared" si="2"/>
        <v>6.7398571428571428</v>
      </c>
      <c r="H16" s="4">
        <f t="shared" si="2"/>
        <v>45.354285714285716</v>
      </c>
      <c r="I16" s="4">
        <f t="shared" si="2"/>
        <v>74406.28571428571</v>
      </c>
      <c r="J16" s="4">
        <f t="shared" si="2"/>
        <v>10.612714285714286</v>
      </c>
      <c r="K16" s="4">
        <f t="shared" si="2"/>
        <v>1740.4857142857143</v>
      </c>
      <c r="L16" s="4">
        <f t="shared" si="2"/>
        <v>295.95</v>
      </c>
      <c r="N16" s="103"/>
      <c r="O16" s="103"/>
      <c r="P16" s="103"/>
      <c r="Q16" s="103"/>
      <c r="R16" s="103"/>
    </row>
    <row r="17" spans="1:14" x14ac:dyDescent="0.35">
      <c r="A17" s="1" t="s">
        <v>5</v>
      </c>
      <c r="B17" s="6">
        <f>IFERROR(-(B15-B16)/B15,"")</f>
        <v>-0.22602563973046966</v>
      </c>
      <c r="C17" s="6">
        <f t="shared" ref="C17:L17" si="3">IFERROR(-(C15-C16)/C15,"")</f>
        <v>1.2604591641418939E-2</v>
      </c>
      <c r="D17" s="6">
        <f t="shared" si="3"/>
        <v>0.11934878963518571</v>
      </c>
      <c r="E17" s="6">
        <f t="shared" si="3"/>
        <v>-0.22870797064345463</v>
      </c>
      <c r="F17" s="6">
        <f t="shared" si="3"/>
        <v>-0.14926121417870464</v>
      </c>
      <c r="G17" s="6">
        <f t="shared" si="3"/>
        <v>-0.31920634920634922</v>
      </c>
      <c r="H17" s="6">
        <f t="shared" si="3"/>
        <v>0.11162464985994409</v>
      </c>
      <c r="I17" s="6">
        <f t="shared" si="3"/>
        <v>-2.9533018989212234E-2</v>
      </c>
      <c r="J17" s="6">
        <f t="shared" si="3"/>
        <v>-0.12291617473435647</v>
      </c>
      <c r="K17" s="6">
        <f t="shared" si="3"/>
        <v>-0.45652280584364896</v>
      </c>
      <c r="L17" s="6">
        <f t="shared" si="3"/>
        <v>-0.30642137333020858</v>
      </c>
    </row>
    <row r="21" spans="1:14" x14ac:dyDescent="0.35">
      <c r="N21">
        <v>0</v>
      </c>
    </row>
  </sheetData>
  <mergeCells count="3">
    <mergeCell ref="B1:G1"/>
    <mergeCell ref="H1:L1"/>
    <mergeCell ref="N11:R16"/>
  </mergeCells>
  <conditionalFormatting sqref="B17">
    <cfRule type="cellIs" dxfId="115" priority="41" operator="greaterThanOrEqual">
      <formula>0</formula>
    </cfRule>
    <cfRule type="cellIs" dxfId="114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13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12" priority="27" operator="lessThan">
      <formula>0</formula>
    </cfRule>
    <cfRule type="cellIs" dxfId="111" priority="38" operator="greaterThanOrEqual">
      <formula>0</formula>
    </cfRule>
  </conditionalFormatting>
  <conditionalFormatting sqref="D17:K17">
    <cfRule type="cellIs" dxfId="110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09" priority="33" operator="lessThan">
      <formula>0</formula>
    </cfRule>
  </conditionalFormatting>
  <conditionalFormatting sqref="J17">
    <cfRule type="cellIs" dxfId="108" priority="32" operator="lessThan">
      <formula>0</formula>
    </cfRule>
  </conditionalFormatting>
  <conditionalFormatting sqref="H17:I17">
    <cfRule type="cellIs" dxfId="107" priority="31" operator="lessThan">
      <formula>0</formula>
    </cfRule>
  </conditionalFormatting>
  <conditionalFormatting sqref="G17">
    <cfRule type="cellIs" dxfId="106" priority="30" operator="lessThan">
      <formula>0</formula>
    </cfRule>
  </conditionalFormatting>
  <conditionalFormatting sqref="E17:F17">
    <cfRule type="cellIs" dxfId="105" priority="29" operator="lessThan">
      <formula>0</formula>
    </cfRule>
  </conditionalFormatting>
  <conditionalFormatting sqref="D17">
    <cfRule type="cellIs" dxfId="104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03" priority="18" operator="greaterThanOrEqual">
      <formula>0</formula>
    </cfRule>
    <cfRule type="cellIs" dxfId="102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R21"/>
  <sheetViews>
    <sheetView workbookViewId="0">
      <selection activeCell="H7" sqref="H7:H10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4" bestFit="1" customWidth="1"/>
    <col min="9" max="9" width="11.1796875" bestFit="1" customWidth="1"/>
  </cols>
  <sheetData>
    <row r="1" spans="1:18" x14ac:dyDescent="0.35">
      <c r="A1" s="1"/>
      <c r="B1" s="100" t="s">
        <v>13</v>
      </c>
      <c r="C1" s="101"/>
      <c r="D1" s="101"/>
      <c r="E1" s="101"/>
      <c r="F1" s="101"/>
      <c r="G1" s="102"/>
      <c r="H1" s="104" t="s">
        <v>14</v>
      </c>
      <c r="I1" s="105"/>
      <c r="J1" s="105"/>
      <c r="K1" s="105"/>
      <c r="L1" s="106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>IFERROR(AVERAGE(B7:B10),"")</f>
        <v>1207.6824999999999</v>
      </c>
      <c r="C4" s="4">
        <f>IFERROR(AVERAGE(C7:C9),"")</f>
        <v>2767.3133333333335</v>
      </c>
      <c r="D4" s="4">
        <f>IFERROR(AVERAGE(D7:D10),"")</f>
        <v>103.52500000000001</v>
      </c>
      <c r="E4" s="4">
        <f>IFERROR(AVERAGE(E7:E10),"")</f>
        <v>339.53</v>
      </c>
      <c r="F4" s="24">
        <f t="shared" ref="F4:L4" si="0">IFERROR(AVERAGE(F7:F9),"")</f>
        <v>124581.33333333333</v>
      </c>
      <c r="G4" s="4">
        <f t="shared" si="0"/>
        <v>8.5633333333333344</v>
      </c>
      <c r="H4" s="4">
        <f t="shared" si="0"/>
        <v>54.443333333333328</v>
      </c>
      <c r="I4" s="24">
        <f t="shared" si="0"/>
        <v>37877.666666666664</v>
      </c>
      <c r="J4" s="4">
        <f t="shared" si="0"/>
        <v>4.0166666666666666</v>
      </c>
      <c r="K4" s="4">
        <f t="shared" si="0"/>
        <v>565.52666666666676</v>
      </c>
      <c r="L4" s="4">
        <f t="shared" si="0"/>
        <v>133.73666666666665</v>
      </c>
    </row>
    <row r="5" spans="1:18" x14ac:dyDescent="0.35">
      <c r="A5" s="1" t="s">
        <v>2</v>
      </c>
      <c r="B5" s="4">
        <f t="shared" ref="B5:L5" si="1">IFERROR(AVERAGE(B11:B13),"")</f>
        <v>1075.1666666666667</v>
      </c>
      <c r="C5" s="18">
        <f t="shared" si="1"/>
        <v>1909.26</v>
      </c>
      <c r="D5" s="4">
        <f t="shared" si="1"/>
        <v>96.206666666666663</v>
      </c>
      <c r="E5" s="4">
        <f t="shared" si="1"/>
        <v>216.51666666666668</v>
      </c>
      <c r="F5" s="24">
        <f t="shared" si="1"/>
        <v>94607.666666666672</v>
      </c>
      <c r="G5" s="4">
        <f t="shared" si="1"/>
        <v>4.8066666666666675</v>
      </c>
      <c r="H5" s="20">
        <f t="shared" si="1"/>
        <v>48.916666666666664</v>
      </c>
      <c r="I5" s="25">
        <f t="shared" si="1"/>
        <v>99345</v>
      </c>
      <c r="J5" s="4">
        <f t="shared" si="1"/>
        <v>16.889666666666667</v>
      </c>
      <c r="K5" s="4">
        <f t="shared" si="1"/>
        <v>3861.6933333333332</v>
      </c>
      <c r="L5" s="4">
        <f t="shared" si="1"/>
        <v>486.62000000000006</v>
      </c>
    </row>
    <row r="6" spans="1:18" x14ac:dyDescent="0.35">
      <c r="F6" s="22"/>
      <c r="I6" s="22"/>
    </row>
    <row r="7" spans="1:18" x14ac:dyDescent="0.35">
      <c r="A7" s="3">
        <v>43968</v>
      </c>
      <c r="B7" s="15">
        <v>1068.96</v>
      </c>
      <c r="C7" s="15">
        <v>5942.09</v>
      </c>
      <c r="D7" s="15">
        <v>142.25</v>
      </c>
      <c r="E7" s="15">
        <v>318.89999999999998</v>
      </c>
      <c r="F7" s="26">
        <v>103705</v>
      </c>
      <c r="G7" s="15">
        <v>8.4600000000000009</v>
      </c>
      <c r="H7" s="15">
        <v>57.16</v>
      </c>
      <c r="I7" s="26">
        <v>37749</v>
      </c>
      <c r="J7" s="15">
        <v>3.33</v>
      </c>
      <c r="K7" s="15">
        <v>613.69000000000005</v>
      </c>
      <c r="L7" s="15">
        <v>121.77</v>
      </c>
    </row>
    <row r="8" spans="1:18" x14ac:dyDescent="0.35">
      <c r="A8" s="3">
        <v>43969</v>
      </c>
      <c r="B8" s="15">
        <v>1071.97</v>
      </c>
      <c r="C8" s="15">
        <v>1055.53</v>
      </c>
      <c r="D8" s="15">
        <v>104.14</v>
      </c>
      <c r="E8" s="15">
        <v>317.95</v>
      </c>
      <c r="F8" s="26">
        <v>100229</v>
      </c>
      <c r="G8" s="15">
        <v>6.58</v>
      </c>
      <c r="H8" s="15">
        <v>60.63</v>
      </c>
      <c r="I8" s="26">
        <v>42984</v>
      </c>
      <c r="J8" s="15">
        <v>4.0599999999999996</v>
      </c>
      <c r="K8" s="15">
        <v>634.63</v>
      </c>
      <c r="L8" s="15">
        <v>156.75</v>
      </c>
    </row>
    <row r="9" spans="1:18" x14ac:dyDescent="0.35">
      <c r="A9" s="3">
        <v>43970</v>
      </c>
      <c r="B9" s="15">
        <v>1620.61</v>
      </c>
      <c r="C9" s="15">
        <v>1304.32</v>
      </c>
      <c r="D9" s="15">
        <v>88.06</v>
      </c>
      <c r="E9" s="15">
        <v>407.78</v>
      </c>
      <c r="F9" s="26">
        <v>169810</v>
      </c>
      <c r="G9" s="15">
        <v>10.65</v>
      </c>
      <c r="H9" s="15">
        <v>45.54</v>
      </c>
      <c r="I9" s="26">
        <v>32900</v>
      </c>
      <c r="J9" s="15">
        <v>4.66</v>
      </c>
      <c r="K9" s="15">
        <v>448.26</v>
      </c>
      <c r="L9" s="15">
        <v>122.69</v>
      </c>
    </row>
    <row r="10" spans="1:18" x14ac:dyDescent="0.35">
      <c r="A10" s="3">
        <v>43971</v>
      </c>
      <c r="B10" s="16">
        <v>1069.19</v>
      </c>
      <c r="C10" s="16">
        <v>1266.78</v>
      </c>
      <c r="D10" s="16">
        <v>79.650000000000006</v>
      </c>
      <c r="E10" s="16">
        <v>313.49</v>
      </c>
      <c r="F10" s="23">
        <v>106494</v>
      </c>
      <c r="G10" s="16">
        <v>8</v>
      </c>
      <c r="H10" s="16">
        <v>47.01</v>
      </c>
      <c r="I10" s="23">
        <v>25888</v>
      </c>
      <c r="J10" s="16">
        <v>3.84</v>
      </c>
      <c r="K10" s="16">
        <v>647.37</v>
      </c>
      <c r="L10" s="16">
        <v>135.44</v>
      </c>
    </row>
    <row r="11" spans="1:18" ht="14.5" customHeight="1" x14ac:dyDescent="0.35">
      <c r="A11" s="3">
        <v>43972</v>
      </c>
      <c r="B11" s="17">
        <v>1452.52</v>
      </c>
      <c r="C11" s="17">
        <v>2004</v>
      </c>
      <c r="D11" s="17">
        <v>94.05</v>
      </c>
      <c r="E11" s="17">
        <v>276.10000000000002</v>
      </c>
      <c r="F11" s="27">
        <v>118792</v>
      </c>
      <c r="G11" s="17">
        <v>6.24</v>
      </c>
      <c r="H11" s="17">
        <v>55.67</v>
      </c>
      <c r="I11" s="27">
        <v>35961</v>
      </c>
      <c r="J11" s="17">
        <v>3.22</v>
      </c>
      <c r="K11" s="17">
        <v>825.66</v>
      </c>
      <c r="L11" s="17">
        <v>125.96</v>
      </c>
      <c r="N11" s="103" t="s">
        <v>16</v>
      </c>
      <c r="O11" s="103"/>
      <c r="P11" s="103"/>
      <c r="Q11" s="103"/>
      <c r="R11" s="103"/>
    </row>
    <row r="12" spans="1:18" x14ac:dyDescent="0.35">
      <c r="A12" s="3">
        <v>43973</v>
      </c>
      <c r="B12" s="17">
        <v>1237.9100000000001</v>
      </c>
      <c r="C12" s="17">
        <v>1687.56</v>
      </c>
      <c r="D12" s="17">
        <v>100.59</v>
      </c>
      <c r="E12" s="17">
        <v>246.21</v>
      </c>
      <c r="F12" s="27">
        <v>113550</v>
      </c>
      <c r="G12" s="17">
        <v>5.48</v>
      </c>
      <c r="H12" s="17">
        <v>47.39</v>
      </c>
      <c r="I12" s="27">
        <v>124646</v>
      </c>
      <c r="J12" s="17">
        <v>19.02</v>
      </c>
      <c r="K12" s="17">
        <v>4281.1400000000003</v>
      </c>
      <c r="L12" s="17">
        <v>573.48</v>
      </c>
      <c r="N12" s="103"/>
      <c r="O12" s="103"/>
      <c r="P12" s="103"/>
      <c r="Q12" s="103"/>
      <c r="R12" s="103"/>
    </row>
    <row r="13" spans="1:18" x14ac:dyDescent="0.35">
      <c r="A13" s="3">
        <v>43974</v>
      </c>
      <c r="B13" s="17">
        <v>535.07000000000005</v>
      </c>
      <c r="C13" s="17">
        <v>2036.22</v>
      </c>
      <c r="D13" s="17">
        <v>93.98</v>
      </c>
      <c r="E13" s="17">
        <v>127.24</v>
      </c>
      <c r="F13" s="27">
        <v>51481</v>
      </c>
      <c r="G13" s="17">
        <v>2.7</v>
      </c>
      <c r="H13" s="17">
        <v>43.69</v>
      </c>
      <c r="I13" s="27">
        <v>137428</v>
      </c>
      <c r="J13" s="17">
        <v>28.428999999999998</v>
      </c>
      <c r="K13" s="17">
        <v>6478.28</v>
      </c>
      <c r="L13" s="17">
        <v>760.42</v>
      </c>
      <c r="N13" s="103"/>
      <c r="O13" s="103"/>
      <c r="P13" s="103"/>
      <c r="Q13" s="103"/>
      <c r="R13" s="103"/>
    </row>
    <row r="14" spans="1:18" ht="14.5" customHeight="1" x14ac:dyDescent="0.35">
      <c r="F14" s="22"/>
      <c r="I14" s="22"/>
      <c r="N14" s="103"/>
      <c r="O14" s="103"/>
      <c r="P14" s="103"/>
      <c r="Q14" s="103"/>
      <c r="R14" s="103"/>
    </row>
    <row r="15" spans="1:18" x14ac:dyDescent="0.35">
      <c r="A15" s="1" t="s">
        <v>3</v>
      </c>
      <c r="B15" s="4">
        <v>1094.5</v>
      </c>
      <c r="C15" s="4">
        <v>1322.6</v>
      </c>
      <c r="D15" s="4">
        <v>93.8</v>
      </c>
      <c r="E15" s="4">
        <v>258.2</v>
      </c>
      <c r="F15" s="4">
        <v>98638.1</v>
      </c>
      <c r="G15" s="4">
        <v>6.7</v>
      </c>
      <c r="H15" s="4">
        <v>45.4</v>
      </c>
      <c r="I15" s="4">
        <v>74406.3</v>
      </c>
      <c r="J15" s="4">
        <v>10.6</v>
      </c>
      <c r="K15" s="4">
        <v>1740.5</v>
      </c>
      <c r="L15" s="4">
        <v>296</v>
      </c>
      <c r="N15" s="103"/>
      <c r="O15" s="103"/>
      <c r="P15" s="103"/>
      <c r="Q15" s="103"/>
      <c r="R15" s="103"/>
    </row>
    <row r="16" spans="1:18" x14ac:dyDescent="0.35">
      <c r="A16" s="1" t="s">
        <v>4</v>
      </c>
      <c r="B16" s="4">
        <f>IFERROR(AVERAGE(B7:B13),"")</f>
        <v>1150.8899999999999</v>
      </c>
      <c r="C16" s="4">
        <f t="shared" ref="C16:L16" si="2">IFERROR(AVERAGE(C7:C13),"")</f>
        <v>2185.2142857142858</v>
      </c>
      <c r="D16" s="4">
        <f t="shared" si="2"/>
        <v>100.38857142857144</v>
      </c>
      <c r="E16" s="4">
        <f t="shared" si="2"/>
        <v>286.81</v>
      </c>
      <c r="F16" s="4">
        <f t="shared" si="2"/>
        <v>109151.57142857143</v>
      </c>
      <c r="G16" s="4">
        <f t="shared" si="2"/>
        <v>6.8728571428571428</v>
      </c>
      <c r="H16" s="4">
        <f t="shared" si="2"/>
        <v>51.012857142857136</v>
      </c>
      <c r="I16" s="4">
        <f t="shared" si="2"/>
        <v>62508</v>
      </c>
      <c r="J16" s="4">
        <f t="shared" si="2"/>
        <v>9.5084285714285706</v>
      </c>
      <c r="K16" s="4">
        <f t="shared" si="2"/>
        <v>1989.8614285714284</v>
      </c>
      <c r="L16" s="4">
        <f t="shared" si="2"/>
        <v>285.21571428571434</v>
      </c>
      <c r="N16" s="103"/>
      <c r="O16" s="103"/>
      <c r="P16" s="103"/>
      <c r="Q16" s="103"/>
      <c r="R16" s="103"/>
    </row>
    <row r="17" spans="1:14" x14ac:dyDescent="0.35">
      <c r="A17" s="1" t="s">
        <v>5</v>
      </c>
      <c r="B17" s="6">
        <f>IFERROR(-(B15-B16)/B15,"")</f>
        <v>5.1521242576518841E-2</v>
      </c>
      <c r="C17" s="6">
        <f t="shared" ref="C17:L17" si="3">IFERROR(-(C15-C16)/C15,"")</f>
        <v>0.65221101293988049</v>
      </c>
      <c r="D17" s="6">
        <f t="shared" si="3"/>
        <v>7.0240633566859723E-2</v>
      </c>
      <c r="E17" s="6">
        <f t="shared" si="3"/>
        <v>0.11080557707203724</v>
      </c>
      <c r="F17" s="6">
        <f t="shared" si="3"/>
        <v>0.10658631328636124</v>
      </c>
      <c r="G17" s="6">
        <f t="shared" si="3"/>
        <v>2.579957356076755E-2</v>
      </c>
      <c r="H17" s="6">
        <f t="shared" si="3"/>
        <v>0.12363121460037749</v>
      </c>
      <c r="I17" s="6">
        <f t="shared" si="3"/>
        <v>-0.1599098463436564</v>
      </c>
      <c r="J17" s="6">
        <f t="shared" si="3"/>
        <v>-0.102978436657682</v>
      </c>
      <c r="K17" s="6">
        <f t="shared" si="3"/>
        <v>0.14326999630647999</v>
      </c>
      <c r="L17" s="6">
        <f t="shared" si="3"/>
        <v>-3.6433397683397498E-2</v>
      </c>
    </row>
    <row r="21" spans="1:14" x14ac:dyDescent="0.35">
      <c r="N21">
        <v>0</v>
      </c>
    </row>
  </sheetData>
  <mergeCells count="3">
    <mergeCell ref="B1:G1"/>
    <mergeCell ref="H1:L1"/>
    <mergeCell ref="N11:R16"/>
  </mergeCells>
  <conditionalFormatting sqref="B17">
    <cfRule type="cellIs" dxfId="101" priority="41" operator="greaterThanOrEqual">
      <formula>0</formula>
    </cfRule>
    <cfRule type="cellIs" dxfId="100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99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98" priority="27" operator="lessThan">
      <formula>0</formula>
    </cfRule>
    <cfRule type="cellIs" dxfId="97" priority="38" operator="greaterThanOrEqual">
      <formula>0</formula>
    </cfRule>
  </conditionalFormatting>
  <conditionalFormatting sqref="D17:K17">
    <cfRule type="cellIs" dxfId="96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95" priority="33" operator="lessThan">
      <formula>0</formula>
    </cfRule>
  </conditionalFormatting>
  <conditionalFormatting sqref="J17">
    <cfRule type="cellIs" dxfId="94" priority="32" operator="lessThan">
      <formula>0</formula>
    </cfRule>
  </conditionalFormatting>
  <conditionalFormatting sqref="H17:I17">
    <cfRule type="cellIs" dxfId="93" priority="31" operator="lessThan">
      <formula>0</formula>
    </cfRule>
  </conditionalFormatting>
  <conditionalFormatting sqref="G17">
    <cfRule type="cellIs" dxfId="92" priority="30" operator="lessThan">
      <formula>0</formula>
    </cfRule>
  </conditionalFormatting>
  <conditionalFormatting sqref="E17:F17">
    <cfRule type="cellIs" dxfId="91" priority="29" operator="lessThan">
      <formula>0</formula>
    </cfRule>
  </conditionalFormatting>
  <conditionalFormatting sqref="D17">
    <cfRule type="cellIs" dxfId="90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89" priority="18" operator="greaterThanOrEqual">
      <formula>0</formula>
    </cfRule>
    <cfRule type="cellIs" dxfId="88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R17"/>
  <sheetViews>
    <sheetView workbookViewId="0">
      <selection activeCell="H7" sqref="H7:H10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4" bestFit="1" customWidth="1"/>
    <col min="9" max="9" width="11.1796875" bestFit="1" customWidth="1"/>
  </cols>
  <sheetData>
    <row r="1" spans="1:18" x14ac:dyDescent="0.35">
      <c r="A1" s="1"/>
      <c r="B1" s="100" t="s">
        <v>13</v>
      </c>
      <c r="C1" s="101"/>
      <c r="D1" s="101"/>
      <c r="E1" s="101"/>
      <c r="F1" s="101"/>
      <c r="G1" s="102"/>
      <c r="H1" s="99" t="s">
        <v>14</v>
      </c>
      <c r="I1" s="99"/>
      <c r="J1" s="99"/>
      <c r="K1" s="99"/>
      <c r="L1" s="99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>IFERROR(AVERAGE(B7:B9),"")</f>
        <v>1053.9066666666665</v>
      </c>
      <c r="C4" s="4">
        <f>IFERROR(AVERAGE(C7:C9),"")</f>
        <v>1534.3733333333332</v>
      </c>
      <c r="D4" s="4">
        <f>IFERROR(AVERAGE(D7:D9),"")</f>
        <v>87.566666666666663</v>
      </c>
      <c r="E4" s="4">
        <f>IFERROR(AVERAGE(E7:E10),"")</f>
        <v>314.51499999999999</v>
      </c>
      <c r="F4" s="24">
        <f t="shared" ref="F4:L4" si="0">IFERROR(AVERAGE(F7:F9),"")</f>
        <v>93826.333333333328</v>
      </c>
      <c r="G4" s="4">
        <f t="shared" si="0"/>
        <v>6.3639999999999999</v>
      </c>
      <c r="H4" s="4">
        <f t="shared" si="0"/>
        <v>62.446666666666658</v>
      </c>
      <c r="I4" s="24">
        <f t="shared" si="0"/>
        <v>32231.333333333332</v>
      </c>
      <c r="J4" s="4">
        <f t="shared" si="0"/>
        <v>3.2086666666666672</v>
      </c>
      <c r="K4" s="4">
        <f t="shared" si="0"/>
        <v>548.85</v>
      </c>
      <c r="L4" s="4">
        <f t="shared" si="0"/>
        <v>133.43333333333334</v>
      </c>
    </row>
    <row r="5" spans="1:18" x14ac:dyDescent="0.35">
      <c r="A5" s="1" t="s">
        <v>2</v>
      </c>
      <c r="B5" s="4">
        <f t="shared" ref="B5:H5" si="1">IFERROR(AVERAGE(B10:B13),"")</f>
        <v>1850.6975</v>
      </c>
      <c r="C5" s="18">
        <f t="shared" si="1"/>
        <v>1644.7024999999999</v>
      </c>
      <c r="D5" s="4">
        <f t="shared" si="1"/>
        <v>91.125</v>
      </c>
      <c r="E5" s="4">
        <f t="shared" si="1"/>
        <v>348.73750000000001</v>
      </c>
      <c r="F5" s="24">
        <f t="shared" si="1"/>
        <v>133172.75</v>
      </c>
      <c r="G5" s="4">
        <f t="shared" si="1"/>
        <v>8.8525000000000009</v>
      </c>
      <c r="H5" s="20">
        <f t="shared" si="1"/>
        <v>43.870000000000005</v>
      </c>
      <c r="I5" s="25">
        <f>IFERROR(AVERAGE(I10:I13),"")</f>
        <v>87549.25</v>
      </c>
      <c r="J5" s="4">
        <f>IFERROR(AVERAGE(J10:J13),"")</f>
        <v>16.600000000000001</v>
      </c>
      <c r="K5" s="4">
        <f>IFERROR(AVERAGE(K10:K13),"")</f>
        <v>4004.2024999999999</v>
      </c>
      <c r="L5" s="4">
        <f>IFERROR(AVERAGE(L10:L13),"")</f>
        <v>439.52500000000003</v>
      </c>
    </row>
    <row r="6" spans="1:18" x14ac:dyDescent="0.35">
      <c r="F6" s="22"/>
      <c r="I6" s="22"/>
    </row>
    <row r="7" spans="1:18" x14ac:dyDescent="0.35">
      <c r="A7" s="3">
        <v>43975</v>
      </c>
      <c r="B7" s="15">
        <v>643.38</v>
      </c>
      <c r="C7" s="15">
        <v>1222.78</v>
      </c>
      <c r="D7" s="15">
        <v>87.64</v>
      </c>
      <c r="E7" s="15">
        <v>157.82</v>
      </c>
      <c r="F7" s="26">
        <v>44533</v>
      </c>
      <c r="G7" s="15">
        <v>3.9689999999999999</v>
      </c>
      <c r="H7" s="15">
        <v>67.92</v>
      </c>
      <c r="I7" s="26">
        <v>22922</v>
      </c>
      <c r="J7" s="15">
        <v>2.6960000000000002</v>
      </c>
      <c r="K7" s="15">
        <v>469.42</v>
      </c>
      <c r="L7" s="15">
        <v>114.94</v>
      </c>
    </row>
    <row r="8" spans="1:18" x14ac:dyDescent="0.35">
      <c r="A8" s="3">
        <v>43976</v>
      </c>
      <c r="B8" s="15">
        <v>1225.53</v>
      </c>
      <c r="C8" s="15">
        <v>1757.67</v>
      </c>
      <c r="D8" s="15">
        <v>94.77</v>
      </c>
      <c r="E8" s="15">
        <v>277.97000000000003</v>
      </c>
      <c r="F8" s="26">
        <v>109887</v>
      </c>
      <c r="G8" s="15">
        <v>6.32</v>
      </c>
      <c r="H8" s="15">
        <v>58.87</v>
      </c>
      <c r="I8" s="26">
        <v>32856</v>
      </c>
      <c r="J8" s="15">
        <v>3.2</v>
      </c>
      <c r="K8" s="15">
        <v>617.33000000000004</v>
      </c>
      <c r="L8" s="15">
        <v>135.93</v>
      </c>
    </row>
    <row r="9" spans="1:18" x14ac:dyDescent="0.35">
      <c r="A9" s="3">
        <v>43977</v>
      </c>
      <c r="B9" s="15">
        <v>1292.81</v>
      </c>
      <c r="C9" s="15">
        <v>1622.67</v>
      </c>
      <c r="D9" s="15">
        <v>80.290000000000006</v>
      </c>
      <c r="E9" s="15">
        <v>338.19</v>
      </c>
      <c r="F9" s="26">
        <v>127059</v>
      </c>
      <c r="G9" s="15">
        <v>8.8030000000000008</v>
      </c>
      <c r="H9" s="15">
        <v>60.55</v>
      </c>
      <c r="I9" s="26">
        <v>40916</v>
      </c>
      <c r="J9" s="15">
        <v>3.73</v>
      </c>
      <c r="K9" s="15">
        <v>559.79999999999995</v>
      </c>
      <c r="L9" s="15">
        <v>149.43</v>
      </c>
    </row>
    <row r="10" spans="1:18" x14ac:dyDescent="0.35">
      <c r="A10" s="3">
        <v>43978</v>
      </c>
      <c r="B10" s="16">
        <v>2155.27</v>
      </c>
      <c r="C10" s="16">
        <v>1056.33</v>
      </c>
      <c r="D10" s="16">
        <v>87.36</v>
      </c>
      <c r="E10" s="16">
        <v>484.08</v>
      </c>
      <c r="F10" s="23">
        <v>123953</v>
      </c>
      <c r="G10" s="16">
        <v>13.14</v>
      </c>
      <c r="H10" s="16">
        <v>49.92</v>
      </c>
      <c r="I10" s="23">
        <v>33349</v>
      </c>
      <c r="J10" s="16">
        <v>4.04</v>
      </c>
      <c r="K10" s="16">
        <v>882.28</v>
      </c>
      <c r="L10" s="16">
        <v>144.06</v>
      </c>
    </row>
    <row r="11" spans="1:18" ht="14.5" customHeight="1" x14ac:dyDescent="0.35">
      <c r="A11" s="3">
        <v>43979</v>
      </c>
      <c r="B11" s="17">
        <v>1639.6</v>
      </c>
      <c r="C11" s="17">
        <v>1807.78</v>
      </c>
      <c r="D11" s="17">
        <v>78.099999999999994</v>
      </c>
      <c r="E11" s="17">
        <v>320.85000000000002</v>
      </c>
      <c r="F11" s="27">
        <v>145217</v>
      </c>
      <c r="G11" s="17">
        <v>8.73</v>
      </c>
      <c r="H11" s="17">
        <v>51.86</v>
      </c>
      <c r="I11" s="27">
        <v>72143</v>
      </c>
      <c r="J11" s="17">
        <v>7.54</v>
      </c>
      <c r="K11" s="17">
        <v>3088.8</v>
      </c>
      <c r="L11" s="17">
        <v>300.63</v>
      </c>
      <c r="N11" s="103" t="s">
        <v>16</v>
      </c>
      <c r="O11" s="103"/>
      <c r="P11" s="103"/>
      <c r="Q11" s="103"/>
      <c r="R11" s="103"/>
    </row>
    <row r="12" spans="1:18" x14ac:dyDescent="0.35">
      <c r="A12" s="3">
        <v>43980</v>
      </c>
      <c r="B12" s="17">
        <v>2384.5</v>
      </c>
      <c r="C12" s="17">
        <v>1603.7</v>
      </c>
      <c r="D12" s="17">
        <v>102.55</v>
      </c>
      <c r="E12" s="17">
        <v>401.28</v>
      </c>
      <c r="F12" s="27">
        <v>184422</v>
      </c>
      <c r="G12" s="17">
        <v>9.07</v>
      </c>
      <c r="H12" s="17">
        <v>36.33</v>
      </c>
      <c r="I12" s="27">
        <v>144197</v>
      </c>
      <c r="J12" s="17">
        <v>31.5</v>
      </c>
      <c r="K12" s="17">
        <v>5529.4</v>
      </c>
      <c r="L12" s="17">
        <v>722.46</v>
      </c>
      <c r="N12" s="103"/>
      <c r="O12" s="103"/>
      <c r="P12" s="103"/>
      <c r="Q12" s="103"/>
      <c r="R12" s="103"/>
    </row>
    <row r="13" spans="1:18" x14ac:dyDescent="0.35">
      <c r="A13" s="3">
        <v>43981</v>
      </c>
      <c r="B13" s="17">
        <v>1223.42</v>
      </c>
      <c r="C13" s="17">
        <v>2111</v>
      </c>
      <c r="D13" s="17">
        <v>96.49</v>
      </c>
      <c r="E13" s="17">
        <v>188.74</v>
      </c>
      <c r="F13" s="27">
        <v>79099</v>
      </c>
      <c r="G13" s="17">
        <v>4.47</v>
      </c>
      <c r="H13" s="17">
        <v>37.369999999999997</v>
      </c>
      <c r="I13" s="27">
        <v>100508</v>
      </c>
      <c r="J13" s="17">
        <v>23.32</v>
      </c>
      <c r="K13" s="17">
        <v>6516.33</v>
      </c>
      <c r="L13" s="17">
        <v>590.95000000000005</v>
      </c>
      <c r="N13" s="103"/>
      <c r="O13" s="103"/>
      <c r="P13" s="103"/>
      <c r="Q13" s="103"/>
      <c r="R13" s="103"/>
    </row>
    <row r="14" spans="1:18" ht="14.5" customHeight="1" x14ac:dyDescent="0.35">
      <c r="F14" s="22"/>
      <c r="I14" s="22"/>
      <c r="N14" s="103"/>
      <c r="O14" s="103"/>
      <c r="P14" s="103"/>
      <c r="Q14" s="103"/>
      <c r="R14" s="103"/>
    </row>
    <row r="15" spans="1:18" x14ac:dyDescent="0.35">
      <c r="A15" s="1" t="s">
        <v>3</v>
      </c>
      <c r="B15" s="4">
        <v>1150.9000000000001</v>
      </c>
      <c r="C15" s="4">
        <v>2185.1999999999998</v>
      </c>
      <c r="D15" s="4">
        <v>100.4</v>
      </c>
      <c r="E15" s="4">
        <v>286.8</v>
      </c>
      <c r="F15" s="4">
        <v>109151.6</v>
      </c>
      <c r="G15" s="4">
        <v>6.9</v>
      </c>
      <c r="H15" s="4">
        <v>51</v>
      </c>
      <c r="I15" s="4">
        <v>62508</v>
      </c>
      <c r="J15" s="4">
        <v>9.5</v>
      </c>
      <c r="K15" s="4">
        <v>1989.9</v>
      </c>
      <c r="L15" s="4">
        <v>285.2</v>
      </c>
      <c r="N15" s="103"/>
      <c r="O15" s="103"/>
      <c r="P15" s="103"/>
      <c r="Q15" s="103"/>
      <c r="R15" s="103"/>
    </row>
    <row r="16" spans="1:18" x14ac:dyDescent="0.35">
      <c r="A16" s="1" t="s">
        <v>4</v>
      </c>
      <c r="B16" s="4">
        <f t="shared" ref="B16:L16" si="2">IFERROR(AVERAGE(B7:B13),"")</f>
        <v>1509.2157142857143</v>
      </c>
      <c r="C16" s="4">
        <f t="shared" si="2"/>
        <v>1597.4185714285716</v>
      </c>
      <c r="D16" s="4">
        <f t="shared" si="2"/>
        <v>89.6</v>
      </c>
      <c r="E16" s="4">
        <f t="shared" si="2"/>
        <v>309.84714285714284</v>
      </c>
      <c r="F16" s="4">
        <f t="shared" si="2"/>
        <v>116310</v>
      </c>
      <c r="G16" s="4">
        <f t="shared" si="2"/>
        <v>7.7860000000000005</v>
      </c>
      <c r="H16" s="4">
        <f t="shared" si="2"/>
        <v>51.831428571428567</v>
      </c>
      <c r="I16" s="4">
        <f t="shared" si="2"/>
        <v>63841.571428571428</v>
      </c>
      <c r="J16" s="4">
        <f t="shared" si="2"/>
        <v>10.860857142857144</v>
      </c>
      <c r="K16" s="4">
        <f t="shared" si="2"/>
        <v>2523.3371428571431</v>
      </c>
      <c r="L16" s="4">
        <f t="shared" si="2"/>
        <v>308.34285714285716</v>
      </c>
      <c r="N16" s="103"/>
      <c r="O16" s="103"/>
      <c r="P16" s="103"/>
      <c r="Q16" s="103"/>
      <c r="R16" s="103"/>
    </row>
    <row r="17" spans="1:12" x14ac:dyDescent="0.35">
      <c r="A17" s="1" t="s">
        <v>5</v>
      </c>
      <c r="B17" s="6">
        <f t="shared" ref="B17:L17" si="3">IFERROR(-(B15-B16)/B15,"")</f>
        <v>0.31133522833062316</v>
      </c>
      <c r="C17" s="6">
        <f t="shared" si="3"/>
        <v>-0.26898289793676933</v>
      </c>
      <c r="D17" s="6">
        <f t="shared" si="3"/>
        <v>-0.10756972111553796</v>
      </c>
      <c r="E17" s="6">
        <f t="shared" si="3"/>
        <v>8.0359633393106103E-2</v>
      </c>
      <c r="F17" s="6">
        <f t="shared" si="3"/>
        <v>6.5582181113240615E-2</v>
      </c>
      <c r="G17" s="6">
        <f t="shared" si="3"/>
        <v>0.12840579710144928</v>
      </c>
      <c r="H17" s="6">
        <f t="shared" si="3"/>
        <v>1.6302521008403282E-2</v>
      </c>
      <c r="I17" s="6">
        <f t="shared" si="3"/>
        <v>2.1334412052400133E-2</v>
      </c>
      <c r="J17" s="6">
        <f t="shared" si="3"/>
        <v>0.14324812030075201</v>
      </c>
      <c r="K17" s="6">
        <f t="shared" si="3"/>
        <v>0.26807233672905323</v>
      </c>
      <c r="L17" s="6">
        <f t="shared" si="3"/>
        <v>8.114606291324393E-2</v>
      </c>
    </row>
  </sheetData>
  <mergeCells count="3">
    <mergeCell ref="B1:G1"/>
    <mergeCell ref="H1:L1"/>
    <mergeCell ref="N11:R16"/>
  </mergeCells>
  <conditionalFormatting sqref="B17">
    <cfRule type="cellIs" dxfId="87" priority="41" operator="greaterThanOrEqual">
      <formula>0</formula>
    </cfRule>
    <cfRule type="cellIs" dxfId="86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85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84" priority="27" operator="lessThan">
      <formula>0</formula>
    </cfRule>
    <cfRule type="cellIs" dxfId="83" priority="38" operator="greaterThanOrEqual">
      <formula>0</formula>
    </cfRule>
  </conditionalFormatting>
  <conditionalFormatting sqref="D17:K17">
    <cfRule type="cellIs" dxfId="82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81" priority="33" operator="lessThan">
      <formula>0</formula>
    </cfRule>
  </conditionalFormatting>
  <conditionalFormatting sqref="J17">
    <cfRule type="cellIs" dxfId="80" priority="32" operator="lessThan">
      <formula>0</formula>
    </cfRule>
  </conditionalFormatting>
  <conditionalFormatting sqref="H17:I17">
    <cfRule type="cellIs" dxfId="79" priority="31" operator="lessThan">
      <formula>0</formula>
    </cfRule>
  </conditionalFormatting>
  <conditionalFormatting sqref="G17">
    <cfRule type="cellIs" dxfId="78" priority="30" operator="lessThan">
      <formula>0</formula>
    </cfRule>
  </conditionalFormatting>
  <conditionalFormatting sqref="E17:F17">
    <cfRule type="cellIs" dxfId="77" priority="29" operator="lessThan">
      <formula>0</formula>
    </cfRule>
  </conditionalFormatting>
  <conditionalFormatting sqref="D17">
    <cfRule type="cellIs" dxfId="76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75" priority="18" operator="greaterThanOrEqual">
      <formula>0</formula>
    </cfRule>
    <cfRule type="cellIs" dxfId="74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R21"/>
  <sheetViews>
    <sheetView workbookViewId="0">
      <selection activeCell="G10" sqref="G10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4" bestFit="1" customWidth="1"/>
    <col min="9" max="9" width="11.1796875" bestFit="1" customWidth="1"/>
  </cols>
  <sheetData>
    <row r="1" spans="1:18" x14ac:dyDescent="0.35">
      <c r="A1" s="1"/>
      <c r="B1" s="100" t="s">
        <v>13</v>
      </c>
      <c r="C1" s="101"/>
      <c r="D1" s="101"/>
      <c r="E1" s="101"/>
      <c r="F1" s="101"/>
      <c r="G1" s="102"/>
      <c r="H1" s="104" t="s">
        <v>14</v>
      </c>
      <c r="I1" s="105"/>
      <c r="J1" s="105"/>
      <c r="K1" s="105"/>
      <c r="L1" s="106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>IFERROR(AVERAGE(B7:B10),"")</f>
        <v>1087.5074999999999</v>
      </c>
      <c r="C4" s="4">
        <f t="shared" ref="C4:L4" si="0">IFERROR(AVERAGE(C7:C10),"")</f>
        <v>1475.1224999999999</v>
      </c>
      <c r="D4" s="4">
        <f t="shared" si="0"/>
        <v>97.987499999999997</v>
      </c>
      <c r="E4" s="4">
        <f>IFERROR(AVERAGE(E7:E10),"")</f>
        <v>256.44499999999999</v>
      </c>
      <c r="F4" s="24">
        <f t="shared" si="0"/>
        <v>79125</v>
      </c>
      <c r="G4" s="4">
        <f t="shared" si="0"/>
        <v>5.9350000000000005</v>
      </c>
      <c r="H4" s="4">
        <f t="shared" si="0"/>
        <v>57.965000000000003</v>
      </c>
      <c r="I4" s="24">
        <f t="shared" si="0"/>
        <v>33437.75</v>
      </c>
      <c r="J4" s="4">
        <f t="shared" si="0"/>
        <v>3.3287499999999999</v>
      </c>
      <c r="K4" s="4">
        <f t="shared" si="0"/>
        <v>779.80749999999989</v>
      </c>
      <c r="L4" s="4">
        <f t="shared" si="0"/>
        <v>138.745</v>
      </c>
    </row>
    <row r="5" spans="1:18" x14ac:dyDescent="0.35">
      <c r="A5" s="1" t="s">
        <v>2</v>
      </c>
      <c r="B5" s="4">
        <f>IFERROR(AVERAGE(B11:B13),"")</f>
        <v>2410.5766666666664</v>
      </c>
      <c r="C5" s="18">
        <f t="shared" ref="C5:L5" si="1">IFERROR(AVERAGE(C11:C13),"")</f>
        <v>1224.3333333333333</v>
      </c>
      <c r="D5" s="4">
        <f t="shared" si="1"/>
        <v>88.58</v>
      </c>
      <c r="E5" s="4">
        <f>IFERROR(AVERAGE(E11:E13),"")</f>
        <v>282.24333333333334</v>
      </c>
      <c r="F5" s="24">
        <f t="shared" si="1"/>
        <v>77525.666666666672</v>
      </c>
      <c r="G5" s="4">
        <f t="shared" si="1"/>
        <v>7.112333333333333</v>
      </c>
      <c r="H5" s="20">
        <f t="shared" si="1"/>
        <v>44.793333333333329</v>
      </c>
      <c r="I5" s="25">
        <f t="shared" si="1"/>
        <v>90259</v>
      </c>
      <c r="J5" s="4">
        <f t="shared" si="1"/>
        <v>12.792666666666667</v>
      </c>
      <c r="K5" s="4">
        <f t="shared" si="1"/>
        <v>3007.6066666666666</v>
      </c>
      <c r="L5" s="4">
        <f t="shared" si="1"/>
        <v>393.31666666666666</v>
      </c>
    </row>
    <row r="6" spans="1:18" x14ac:dyDescent="0.35">
      <c r="F6" s="22"/>
      <c r="I6" s="22"/>
    </row>
    <row r="7" spans="1:18" x14ac:dyDescent="0.35">
      <c r="A7" s="3">
        <v>43982</v>
      </c>
      <c r="B7" s="15">
        <v>624.57000000000005</v>
      </c>
      <c r="C7" s="15">
        <v>1620.33</v>
      </c>
      <c r="D7" s="15">
        <v>114.34</v>
      </c>
      <c r="E7" s="15">
        <v>182.7</v>
      </c>
      <c r="F7" s="26">
        <v>58385</v>
      </c>
      <c r="G7" s="15">
        <v>3.77</v>
      </c>
      <c r="H7" s="15">
        <v>65.069999999999993</v>
      </c>
      <c r="I7" s="26">
        <v>32999</v>
      </c>
      <c r="J7" s="15">
        <v>3.0449999999999999</v>
      </c>
      <c r="K7" s="15">
        <v>694.56</v>
      </c>
      <c r="L7" s="15">
        <v>135.61000000000001</v>
      </c>
    </row>
    <row r="8" spans="1:18" x14ac:dyDescent="0.35">
      <c r="A8" s="3">
        <v>43983</v>
      </c>
      <c r="B8" s="15">
        <v>1039.74</v>
      </c>
      <c r="C8" s="15">
        <v>1450.6</v>
      </c>
      <c r="D8" s="15">
        <v>92.3</v>
      </c>
      <c r="E8" s="15">
        <v>234.04</v>
      </c>
      <c r="F8" s="26">
        <v>70598</v>
      </c>
      <c r="G8" s="15">
        <v>5.37</v>
      </c>
      <c r="H8" s="15">
        <v>59.18</v>
      </c>
      <c r="I8" s="26">
        <v>31462</v>
      </c>
      <c r="J8" s="15">
        <v>3.63</v>
      </c>
      <c r="K8" s="15">
        <v>802.89</v>
      </c>
      <c r="L8" s="15">
        <v>144.12</v>
      </c>
    </row>
    <row r="9" spans="1:18" x14ac:dyDescent="0.35">
      <c r="A9" s="3">
        <v>43984</v>
      </c>
      <c r="B9" s="15">
        <v>1063.69</v>
      </c>
      <c r="C9" s="15">
        <v>1411.78</v>
      </c>
      <c r="D9" s="15">
        <v>93.43</v>
      </c>
      <c r="E9" s="15">
        <v>310.83</v>
      </c>
      <c r="F9" s="26">
        <v>101203</v>
      </c>
      <c r="G9" s="15">
        <v>7.73</v>
      </c>
      <c r="H9" s="15">
        <v>52.84</v>
      </c>
      <c r="I9" s="26">
        <v>41098</v>
      </c>
      <c r="J9" s="15">
        <v>3.31</v>
      </c>
      <c r="K9" s="15">
        <v>850.43</v>
      </c>
      <c r="L9" s="15">
        <v>128.33000000000001</v>
      </c>
    </row>
    <row r="10" spans="1:18" x14ac:dyDescent="0.35">
      <c r="A10" s="3">
        <v>43985</v>
      </c>
      <c r="B10" s="16">
        <v>1622.03</v>
      </c>
      <c r="C10" s="16">
        <v>1417.78</v>
      </c>
      <c r="D10" s="16">
        <v>91.88</v>
      </c>
      <c r="E10" s="16">
        <v>298.20999999999998</v>
      </c>
      <c r="F10" s="23">
        <v>86314</v>
      </c>
      <c r="G10" s="16">
        <v>6.87</v>
      </c>
      <c r="H10" s="16">
        <v>54.77</v>
      </c>
      <c r="I10" s="23">
        <v>28192</v>
      </c>
      <c r="J10" s="16">
        <v>3.33</v>
      </c>
      <c r="K10" s="16">
        <v>771.35</v>
      </c>
      <c r="L10" s="16">
        <v>146.91999999999999</v>
      </c>
    </row>
    <row r="11" spans="1:18" ht="14.5" customHeight="1" x14ac:dyDescent="0.35">
      <c r="A11" s="3">
        <v>43986</v>
      </c>
      <c r="B11" s="17">
        <v>2687.51</v>
      </c>
      <c r="C11" s="17">
        <v>756.33</v>
      </c>
      <c r="D11" s="17">
        <v>90.68</v>
      </c>
      <c r="E11" s="17">
        <v>196.17</v>
      </c>
      <c r="F11" s="27">
        <v>30136</v>
      </c>
      <c r="G11" s="17">
        <v>5.9470000000000001</v>
      </c>
      <c r="H11" s="17">
        <v>51</v>
      </c>
      <c r="I11" s="27">
        <v>54157</v>
      </c>
      <c r="J11" s="17">
        <v>3.7589999999999999</v>
      </c>
      <c r="K11" s="17">
        <v>1276.8499999999999</v>
      </c>
      <c r="L11" s="17">
        <v>150.66</v>
      </c>
      <c r="N11" s="103" t="s">
        <v>16</v>
      </c>
      <c r="O11" s="103"/>
      <c r="P11" s="103"/>
      <c r="Q11" s="103"/>
      <c r="R11" s="103"/>
    </row>
    <row r="12" spans="1:18" x14ac:dyDescent="0.35">
      <c r="A12" s="3">
        <v>43987</v>
      </c>
      <c r="B12" s="17">
        <v>2184.9499999999998</v>
      </c>
      <c r="C12" s="17">
        <v>1432.89</v>
      </c>
      <c r="D12" s="17">
        <v>91.96</v>
      </c>
      <c r="E12" s="17">
        <v>273.54000000000002</v>
      </c>
      <c r="F12" s="27">
        <v>85653</v>
      </c>
      <c r="G12" s="17">
        <v>6.39</v>
      </c>
      <c r="H12" s="17">
        <v>37.03</v>
      </c>
      <c r="I12" s="27">
        <v>144359</v>
      </c>
      <c r="J12" s="17">
        <v>22.239000000000001</v>
      </c>
      <c r="K12" s="17">
        <v>5773.15</v>
      </c>
      <c r="L12" s="17">
        <v>625.69000000000005</v>
      </c>
      <c r="N12" s="103"/>
      <c r="O12" s="103"/>
      <c r="P12" s="103"/>
      <c r="Q12" s="103"/>
      <c r="R12" s="103"/>
    </row>
    <row r="13" spans="1:18" x14ac:dyDescent="0.35">
      <c r="A13" s="3">
        <v>43988</v>
      </c>
      <c r="B13" s="17">
        <v>2359.27</v>
      </c>
      <c r="C13" s="17">
        <v>1483.78</v>
      </c>
      <c r="D13" s="17">
        <v>83.1</v>
      </c>
      <c r="E13" s="17">
        <v>377.02</v>
      </c>
      <c r="F13" s="27">
        <v>116788</v>
      </c>
      <c r="G13" s="17">
        <v>9</v>
      </c>
      <c r="H13" s="17">
        <v>46.35</v>
      </c>
      <c r="I13" s="27">
        <v>72261</v>
      </c>
      <c r="J13" s="17">
        <v>12.38</v>
      </c>
      <c r="K13" s="17">
        <v>1972.82</v>
      </c>
      <c r="L13" s="17">
        <v>403.6</v>
      </c>
      <c r="N13" s="103"/>
      <c r="O13" s="103"/>
      <c r="P13" s="103"/>
      <c r="Q13" s="103"/>
      <c r="R13" s="103"/>
    </row>
    <row r="14" spans="1:18" ht="14.5" customHeight="1" x14ac:dyDescent="0.35">
      <c r="F14" s="22"/>
      <c r="I14" s="22"/>
      <c r="N14" s="103"/>
      <c r="O14" s="103"/>
      <c r="P14" s="103"/>
      <c r="Q14" s="103"/>
      <c r="R14" s="103"/>
    </row>
    <row r="15" spans="1:18" x14ac:dyDescent="0.35">
      <c r="A15" s="1" t="s">
        <v>3</v>
      </c>
      <c r="B15" s="4">
        <v>1509.2</v>
      </c>
      <c r="C15" s="4">
        <v>1597.4</v>
      </c>
      <c r="D15" s="4">
        <v>89.6</v>
      </c>
      <c r="E15" s="4">
        <v>309.8</v>
      </c>
      <c r="F15" s="4">
        <v>116310</v>
      </c>
      <c r="G15" s="4">
        <v>7.8</v>
      </c>
      <c r="H15" s="4">
        <v>51.8</v>
      </c>
      <c r="I15" s="4">
        <v>63841.599999999999</v>
      </c>
      <c r="J15" s="4">
        <v>10.9</v>
      </c>
      <c r="K15" s="4">
        <v>2523.3000000000002</v>
      </c>
      <c r="L15" s="4">
        <v>308.3</v>
      </c>
      <c r="N15" s="103"/>
      <c r="O15" s="103"/>
      <c r="P15" s="103"/>
      <c r="Q15" s="103"/>
      <c r="R15" s="103"/>
    </row>
    <row r="16" spans="1:18" x14ac:dyDescent="0.35">
      <c r="A16" s="1" t="s">
        <v>4</v>
      </c>
      <c r="B16" s="4">
        <f t="shared" ref="B16:L16" si="2">IFERROR(AVERAGE(B7:B13),"")</f>
        <v>1654.537142857143</v>
      </c>
      <c r="C16" s="4">
        <f t="shared" si="2"/>
        <v>1367.6414285714286</v>
      </c>
      <c r="D16" s="4">
        <f t="shared" si="2"/>
        <v>93.955714285714294</v>
      </c>
      <c r="E16" s="4">
        <f t="shared" si="2"/>
        <v>267.50142857142856</v>
      </c>
      <c r="F16" s="4">
        <f t="shared" si="2"/>
        <v>78439.571428571435</v>
      </c>
      <c r="G16" s="4">
        <f t="shared" si="2"/>
        <v>6.4395714285714281</v>
      </c>
      <c r="H16" s="4">
        <f t="shared" si="2"/>
        <v>52.32</v>
      </c>
      <c r="I16" s="4">
        <f t="shared" si="2"/>
        <v>57789.714285714283</v>
      </c>
      <c r="J16" s="4">
        <f t="shared" si="2"/>
        <v>7.3847142857142867</v>
      </c>
      <c r="K16" s="4">
        <f t="shared" si="2"/>
        <v>1734.5785714285714</v>
      </c>
      <c r="L16" s="4">
        <f t="shared" si="2"/>
        <v>247.84714285714284</v>
      </c>
      <c r="N16" s="103"/>
      <c r="O16" s="103"/>
      <c r="P16" s="103"/>
      <c r="Q16" s="103"/>
      <c r="R16" s="103"/>
    </row>
    <row r="17" spans="1:14" x14ac:dyDescent="0.35">
      <c r="A17" s="1" t="s">
        <v>5</v>
      </c>
      <c r="B17" s="6">
        <f t="shared" ref="B17:L17" si="3">IFERROR(-(B15-B16)/B15,"")</f>
        <v>9.6300783764340647E-2</v>
      </c>
      <c r="C17" s="6">
        <f t="shared" si="3"/>
        <v>-0.14383283550054557</v>
      </c>
      <c r="D17" s="6">
        <f t="shared" si="3"/>
        <v>4.8612882653061379E-2</v>
      </c>
      <c r="E17" s="6">
        <f t="shared" si="3"/>
        <v>-0.13653509176427195</v>
      </c>
      <c r="F17" s="6">
        <f t="shared" si="3"/>
        <v>-0.32559907635997393</v>
      </c>
      <c r="G17" s="6">
        <f t="shared" si="3"/>
        <v>-0.17441391941391945</v>
      </c>
      <c r="H17" s="6">
        <f t="shared" si="3"/>
        <v>1.0038610038610099E-2</v>
      </c>
      <c r="I17" s="6">
        <f t="shared" si="3"/>
        <v>-9.4795332734231533E-2</v>
      </c>
      <c r="J17" s="6">
        <f t="shared" si="3"/>
        <v>-0.32250327653997374</v>
      </c>
      <c r="K17" s="6">
        <f t="shared" si="3"/>
        <v>-0.31257536898958854</v>
      </c>
      <c r="L17" s="6">
        <f t="shared" si="3"/>
        <v>-0.19608451878967617</v>
      </c>
    </row>
    <row r="21" spans="1:14" x14ac:dyDescent="0.35">
      <c r="N21">
        <v>0</v>
      </c>
    </row>
  </sheetData>
  <mergeCells count="3">
    <mergeCell ref="B1:G1"/>
    <mergeCell ref="H1:L1"/>
    <mergeCell ref="N11:R16"/>
  </mergeCells>
  <conditionalFormatting sqref="B17">
    <cfRule type="cellIs" dxfId="73" priority="41" operator="greaterThanOrEqual">
      <formula>0</formula>
    </cfRule>
    <cfRule type="cellIs" dxfId="72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71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70" priority="27" operator="lessThan">
      <formula>0</formula>
    </cfRule>
    <cfRule type="cellIs" dxfId="69" priority="38" operator="greaterThanOrEqual">
      <formula>0</formula>
    </cfRule>
  </conditionalFormatting>
  <conditionalFormatting sqref="D17:K17">
    <cfRule type="cellIs" dxfId="68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67" priority="33" operator="lessThan">
      <formula>0</formula>
    </cfRule>
  </conditionalFormatting>
  <conditionalFormatting sqref="J17">
    <cfRule type="cellIs" dxfId="66" priority="32" operator="lessThan">
      <formula>0</formula>
    </cfRule>
  </conditionalFormatting>
  <conditionalFormatting sqref="H17:I17">
    <cfRule type="cellIs" dxfId="65" priority="31" operator="lessThan">
      <formula>0</formula>
    </cfRule>
  </conditionalFormatting>
  <conditionalFormatting sqref="G17">
    <cfRule type="cellIs" dxfId="64" priority="30" operator="lessThan">
      <formula>0</formula>
    </cfRule>
  </conditionalFormatting>
  <conditionalFormatting sqref="E17:F17">
    <cfRule type="cellIs" dxfId="63" priority="29" operator="lessThan">
      <formula>0</formula>
    </cfRule>
  </conditionalFormatting>
  <conditionalFormatting sqref="D17">
    <cfRule type="cellIs" dxfId="62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61" priority="18" operator="greaterThanOrEqual">
      <formula>0</formula>
    </cfRule>
    <cfRule type="cellIs" dxfId="60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R17"/>
  <sheetViews>
    <sheetView workbookViewId="0">
      <selection sqref="A1:XFD1048576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4" bestFit="1" customWidth="1"/>
    <col min="9" max="9" width="11.1796875" bestFit="1" customWidth="1"/>
  </cols>
  <sheetData>
    <row r="1" spans="1:18" x14ac:dyDescent="0.35">
      <c r="A1" s="1"/>
      <c r="B1" s="100" t="s">
        <v>13</v>
      </c>
      <c r="C1" s="101"/>
      <c r="D1" s="101"/>
      <c r="E1" s="101"/>
      <c r="F1" s="101"/>
      <c r="G1" s="102"/>
      <c r="H1" s="99" t="s">
        <v>14</v>
      </c>
      <c r="I1" s="99"/>
      <c r="J1" s="99"/>
      <c r="K1" s="99"/>
      <c r="L1" s="99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>IFERROR(AVERAGE(B7:B9),"")</f>
        <v>1429.3266666666666</v>
      </c>
      <c r="C4" s="4">
        <f>IFERROR(AVERAGE(C7:C9),"")</f>
        <v>1455.4433333333334</v>
      </c>
      <c r="D4" s="4">
        <f>IFERROR(AVERAGE(D7:D9),"")</f>
        <v>95.806666666666672</v>
      </c>
      <c r="E4" s="4">
        <f>IFERROR(AVERAGE(E7:E10),"")</f>
        <v>271.67500000000001</v>
      </c>
      <c r="F4" s="24">
        <f t="shared" ref="F4:L4" si="0">IFERROR(AVERAGE(F7:F9),"")</f>
        <v>81408</v>
      </c>
      <c r="G4" s="4">
        <f t="shared" si="0"/>
        <v>6.3793333333333324</v>
      </c>
      <c r="H4" s="4">
        <f t="shared" si="0"/>
        <v>49.94</v>
      </c>
      <c r="I4" s="24">
        <f t="shared" si="0"/>
        <v>37229.333333333336</v>
      </c>
      <c r="J4" s="4">
        <f t="shared" si="0"/>
        <v>4.3809999999999993</v>
      </c>
      <c r="K4" s="4">
        <f t="shared" si="0"/>
        <v>998.20666666666659</v>
      </c>
      <c r="L4" s="4">
        <f t="shared" si="0"/>
        <v>163.04666666666665</v>
      </c>
    </row>
    <row r="5" spans="1:18" x14ac:dyDescent="0.35">
      <c r="A5" s="1" t="s">
        <v>2</v>
      </c>
      <c r="B5" s="4">
        <f t="shared" ref="B5:I5" si="1">IFERROR(AVERAGE(B10:B13),"")</f>
        <v>1776.4449999999999</v>
      </c>
      <c r="C5" s="18">
        <f t="shared" si="1"/>
        <v>736.87749999999994</v>
      </c>
      <c r="D5" s="4">
        <f t="shared" si="1"/>
        <v>100.67999999999999</v>
      </c>
      <c r="E5" s="4">
        <f t="shared" si="1"/>
        <v>264.875</v>
      </c>
      <c r="F5" s="24">
        <f t="shared" si="1"/>
        <v>39539</v>
      </c>
      <c r="G5" s="4">
        <f t="shared" si="1"/>
        <v>7.4625000000000004</v>
      </c>
      <c r="H5" s="20">
        <f t="shared" si="1"/>
        <v>44.414999999999999</v>
      </c>
      <c r="I5" s="25">
        <f t="shared" si="1"/>
        <v>113365.75</v>
      </c>
      <c r="J5" s="4">
        <f>IFERROR(AVERAGE(J10:J13),"")</f>
        <v>10.327249999999999</v>
      </c>
      <c r="K5" s="4">
        <f>IFERROR(AVERAGE(K10:K13),"")</f>
        <v>2714.8975</v>
      </c>
      <c r="L5" s="4">
        <f>IFERROR(AVERAGE(L10:L13),"")</f>
        <v>331.47749999999996</v>
      </c>
    </row>
    <row r="6" spans="1:18" x14ac:dyDescent="0.35">
      <c r="F6" s="22"/>
      <c r="I6" s="22"/>
    </row>
    <row r="7" spans="1:18" x14ac:dyDescent="0.35">
      <c r="A7" s="3">
        <v>43989</v>
      </c>
      <c r="B7" s="15">
        <v>1144.8499999999999</v>
      </c>
      <c r="C7" s="15">
        <v>1055.33</v>
      </c>
      <c r="D7" s="15">
        <v>79.260000000000005</v>
      </c>
      <c r="E7" s="15">
        <v>213.07</v>
      </c>
      <c r="F7" s="26">
        <v>58122</v>
      </c>
      <c r="G7" s="15">
        <v>5.95</v>
      </c>
      <c r="H7" s="15">
        <v>58.26</v>
      </c>
      <c r="I7" s="26">
        <v>33753</v>
      </c>
      <c r="J7" s="15">
        <v>3.74</v>
      </c>
      <c r="K7" s="15">
        <v>866.52</v>
      </c>
      <c r="L7" s="15">
        <v>146.31</v>
      </c>
    </row>
    <row r="8" spans="1:18" x14ac:dyDescent="0.35">
      <c r="A8" s="3">
        <v>43990</v>
      </c>
      <c r="B8" s="15">
        <v>2214.89</v>
      </c>
      <c r="C8" s="15">
        <v>1471.33</v>
      </c>
      <c r="D8" s="15">
        <v>101.58</v>
      </c>
      <c r="E8" s="15">
        <v>500.79</v>
      </c>
      <c r="F8" s="26">
        <v>121381</v>
      </c>
      <c r="G8" s="15">
        <v>9.4179999999999993</v>
      </c>
      <c r="H8" s="15">
        <v>49.57</v>
      </c>
      <c r="I8" s="26">
        <v>38680</v>
      </c>
      <c r="J8" s="15">
        <v>4.6139999999999999</v>
      </c>
      <c r="K8" s="15">
        <v>915.04</v>
      </c>
      <c r="L8" s="15">
        <v>169.68</v>
      </c>
    </row>
    <row r="9" spans="1:18" x14ac:dyDescent="0.35">
      <c r="A9" s="3">
        <v>43991</v>
      </c>
      <c r="B9" s="15">
        <v>928.24</v>
      </c>
      <c r="C9" s="15">
        <v>1839.67</v>
      </c>
      <c r="D9" s="15">
        <v>106.58</v>
      </c>
      <c r="E9" s="15">
        <v>178.03</v>
      </c>
      <c r="F9" s="26">
        <v>64721</v>
      </c>
      <c r="G9" s="15">
        <v>3.77</v>
      </c>
      <c r="H9" s="15">
        <v>41.99</v>
      </c>
      <c r="I9" s="26">
        <v>39255</v>
      </c>
      <c r="J9" s="15">
        <v>4.7889999999999997</v>
      </c>
      <c r="K9" s="15">
        <v>1213.06</v>
      </c>
      <c r="L9" s="15">
        <v>173.15</v>
      </c>
    </row>
    <row r="10" spans="1:18" x14ac:dyDescent="0.35">
      <c r="A10" s="3">
        <v>43992</v>
      </c>
      <c r="B10" s="16">
        <v>1564.35</v>
      </c>
      <c r="C10" s="16">
        <v>1254.1099999999999</v>
      </c>
      <c r="D10" s="16">
        <v>97.82</v>
      </c>
      <c r="E10" s="16">
        <v>194.81</v>
      </c>
      <c r="F10" s="23">
        <v>54554</v>
      </c>
      <c r="G10" s="16">
        <v>5.9</v>
      </c>
      <c r="H10" s="16">
        <v>51.69</v>
      </c>
      <c r="I10" s="23">
        <v>64554</v>
      </c>
      <c r="J10" s="16">
        <v>6.8890000000000002</v>
      </c>
      <c r="K10" s="16">
        <v>1892.09</v>
      </c>
      <c r="L10" s="16">
        <v>248.94</v>
      </c>
    </row>
    <row r="11" spans="1:18" ht="14.5" customHeight="1" x14ac:dyDescent="0.35">
      <c r="A11" s="3">
        <v>43993</v>
      </c>
      <c r="B11" s="17">
        <v>759.87</v>
      </c>
      <c r="C11" s="17">
        <v>454.44</v>
      </c>
      <c r="D11" s="17">
        <v>107.21</v>
      </c>
      <c r="E11" s="17">
        <v>177.82</v>
      </c>
      <c r="F11" s="27">
        <v>26281</v>
      </c>
      <c r="G11" s="17">
        <v>6.55</v>
      </c>
      <c r="H11" s="17">
        <v>45.22</v>
      </c>
      <c r="I11" s="27">
        <v>96955</v>
      </c>
      <c r="J11" s="17">
        <v>7.31</v>
      </c>
      <c r="K11" s="17">
        <v>2337.7800000000002</v>
      </c>
      <c r="L11" s="17">
        <v>258.33</v>
      </c>
      <c r="N11" s="103" t="s">
        <v>16</v>
      </c>
      <c r="O11" s="103"/>
      <c r="P11" s="103"/>
      <c r="Q11" s="103"/>
      <c r="R11" s="103"/>
    </row>
    <row r="12" spans="1:18" x14ac:dyDescent="0.35">
      <c r="A12" s="3">
        <v>43994</v>
      </c>
      <c r="B12" s="17">
        <v>1675.22</v>
      </c>
      <c r="C12" s="17">
        <v>558.13</v>
      </c>
      <c r="D12" s="17">
        <v>108.2</v>
      </c>
      <c r="E12" s="17">
        <v>189.82</v>
      </c>
      <c r="F12" s="27">
        <v>26132</v>
      </c>
      <c r="G12" s="17">
        <v>5.05</v>
      </c>
      <c r="H12" s="17">
        <v>38.99</v>
      </c>
      <c r="I12" s="27">
        <v>164439</v>
      </c>
      <c r="J12" s="17">
        <v>15.51</v>
      </c>
      <c r="K12" s="17">
        <v>3619.24</v>
      </c>
      <c r="L12" s="17">
        <v>462.37</v>
      </c>
      <c r="N12" s="103"/>
      <c r="O12" s="103"/>
      <c r="P12" s="103"/>
      <c r="Q12" s="103"/>
      <c r="R12" s="103"/>
    </row>
    <row r="13" spans="1:18" x14ac:dyDescent="0.35">
      <c r="A13" s="3">
        <v>43995</v>
      </c>
      <c r="B13" s="17">
        <v>3106.34</v>
      </c>
      <c r="C13" s="17">
        <v>680.83</v>
      </c>
      <c r="D13" s="17">
        <v>89.49</v>
      </c>
      <c r="E13" s="17">
        <v>497.05</v>
      </c>
      <c r="F13" s="27">
        <v>51189</v>
      </c>
      <c r="G13" s="17">
        <v>12.35</v>
      </c>
      <c r="H13" s="17">
        <v>41.76</v>
      </c>
      <c r="I13" s="27">
        <v>127515</v>
      </c>
      <c r="J13" s="17">
        <v>11.6</v>
      </c>
      <c r="K13" s="17">
        <v>3010.48</v>
      </c>
      <c r="L13" s="17">
        <v>356.27</v>
      </c>
      <c r="N13" s="103"/>
      <c r="O13" s="103"/>
      <c r="P13" s="103"/>
      <c r="Q13" s="103"/>
      <c r="R13" s="103"/>
    </row>
    <row r="14" spans="1:18" ht="14.5" customHeight="1" x14ac:dyDescent="0.35">
      <c r="F14" s="22"/>
      <c r="I14" s="22"/>
      <c r="N14" s="103"/>
      <c r="O14" s="103"/>
      <c r="P14" s="103"/>
      <c r="Q14" s="103"/>
      <c r="R14" s="103"/>
    </row>
    <row r="15" spans="1:18" x14ac:dyDescent="0.35">
      <c r="A15" s="1" t="s">
        <v>3</v>
      </c>
      <c r="B15" s="4">
        <v>1654.5</v>
      </c>
      <c r="C15" s="4">
        <v>1367.6</v>
      </c>
      <c r="D15" s="4">
        <v>94</v>
      </c>
      <c r="E15" s="4">
        <v>267.5</v>
      </c>
      <c r="F15" s="4">
        <v>78439.600000000006</v>
      </c>
      <c r="G15" s="4">
        <v>6.4</v>
      </c>
      <c r="H15" s="4">
        <v>52.3</v>
      </c>
      <c r="I15" s="4">
        <v>57789.7</v>
      </c>
      <c r="J15" s="4">
        <v>7.4</v>
      </c>
      <c r="K15" s="4">
        <v>1734.6</v>
      </c>
      <c r="L15" s="4">
        <v>247.8</v>
      </c>
      <c r="N15" s="103"/>
      <c r="O15" s="103"/>
      <c r="P15" s="103"/>
      <c r="Q15" s="103"/>
      <c r="R15" s="103"/>
    </row>
    <row r="16" spans="1:18" x14ac:dyDescent="0.35">
      <c r="A16" s="1" t="s">
        <v>4</v>
      </c>
      <c r="B16" s="4">
        <f t="shared" ref="B16:K16" si="2">IFERROR(AVERAGE(B7:B13),"")</f>
        <v>1627.68</v>
      </c>
      <c r="C16" s="4">
        <f>IFERROR(AVERAGE(C7:C13),"")</f>
        <v>1044.8342857142857</v>
      </c>
      <c r="D16" s="4">
        <f>IFERROR(AVERAGE(D7:D13),"")</f>
        <v>98.591428571428565</v>
      </c>
      <c r="E16" s="4">
        <f>IFERROR(AVERAGE(E7:E13),"")</f>
        <v>278.77</v>
      </c>
      <c r="F16" s="4">
        <f t="shared" si="2"/>
        <v>57482.857142857145</v>
      </c>
      <c r="G16" s="4">
        <f t="shared" si="2"/>
        <v>6.9982857142857142</v>
      </c>
      <c r="H16" s="4">
        <f t="shared" si="2"/>
        <v>46.782857142857139</v>
      </c>
      <c r="I16" s="4">
        <f>IFERROR(AVERAGE(I7:I13),"")</f>
        <v>80735.857142857145</v>
      </c>
      <c r="J16" s="4">
        <f>IFERROR(AVERAGE(J7:J13),"")</f>
        <v>7.7788571428571425</v>
      </c>
      <c r="K16" s="4">
        <f t="shared" si="2"/>
        <v>1979.1728571428571</v>
      </c>
      <c r="L16" s="4">
        <f>IFERROR(AVERAGE(L7:L13),"")</f>
        <v>259.29285714285709</v>
      </c>
      <c r="N16" s="103"/>
      <c r="O16" s="103"/>
      <c r="P16" s="103"/>
      <c r="Q16" s="103"/>
      <c r="R16" s="103"/>
    </row>
    <row r="17" spans="1:12" x14ac:dyDescent="0.35">
      <c r="A17" s="1" t="s">
        <v>5</v>
      </c>
      <c r="B17" s="6">
        <f>IFERROR(-(B15-B16)/B15,"")</f>
        <v>-1.6210335448776026E-2</v>
      </c>
      <c r="C17" s="6">
        <f>IFERROR(-(C15-C16)/C15,"")</f>
        <v>-0.23600885806208999</v>
      </c>
      <c r="D17" s="6">
        <f t="shared" ref="D17:K17" si="3">IFERROR(-(D15-D16)/D15,"")</f>
        <v>4.8844984802431546E-2</v>
      </c>
      <c r="E17" s="6">
        <f t="shared" si="3"/>
        <v>4.2130841121495261E-2</v>
      </c>
      <c r="F17" s="6">
        <f>IFERROR(-(F15-F16)/F15,"")</f>
        <v>-0.26717044524886485</v>
      </c>
      <c r="G17" s="6">
        <f>IFERROR(-(G15-G16)/G15,"")</f>
        <v>9.3482142857142791E-2</v>
      </c>
      <c r="H17" s="6">
        <f t="shared" si="3"/>
        <v>-0.10549030319584815</v>
      </c>
      <c r="I17" s="6">
        <f t="shared" si="3"/>
        <v>0.3970630950300339</v>
      </c>
      <c r="J17" s="6">
        <f>IFERROR(-(J15-J16)/J15,"")</f>
        <v>5.1196911196911096E-2</v>
      </c>
      <c r="K17" s="6">
        <f t="shared" si="3"/>
        <v>0.14099668923259379</v>
      </c>
      <c r="L17" s="6">
        <f>IFERROR(-(L15-L16)/L15,"")</f>
        <v>4.6379568776662938E-2</v>
      </c>
    </row>
  </sheetData>
  <mergeCells count="3">
    <mergeCell ref="B1:G1"/>
    <mergeCell ref="H1:L1"/>
    <mergeCell ref="N11:R16"/>
  </mergeCells>
  <conditionalFormatting sqref="B17">
    <cfRule type="cellIs" dxfId="59" priority="41" operator="greaterThanOrEqual">
      <formula>0</formula>
    </cfRule>
    <cfRule type="cellIs" dxfId="58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57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56" priority="27" operator="lessThan">
      <formula>0</formula>
    </cfRule>
    <cfRule type="cellIs" dxfId="55" priority="38" operator="greaterThanOrEqual">
      <formula>0</formula>
    </cfRule>
  </conditionalFormatting>
  <conditionalFormatting sqref="D17:K17">
    <cfRule type="cellIs" dxfId="54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53" priority="33" operator="lessThan">
      <formula>0</formula>
    </cfRule>
  </conditionalFormatting>
  <conditionalFormatting sqref="J17">
    <cfRule type="cellIs" dxfId="52" priority="32" operator="lessThan">
      <formula>0</formula>
    </cfRule>
  </conditionalFormatting>
  <conditionalFormatting sqref="H17:I17">
    <cfRule type="cellIs" dxfId="51" priority="31" operator="lessThan">
      <formula>0</formula>
    </cfRule>
  </conditionalFormatting>
  <conditionalFormatting sqref="G17">
    <cfRule type="cellIs" dxfId="50" priority="30" operator="lessThan">
      <formula>0</formula>
    </cfRule>
  </conditionalFormatting>
  <conditionalFormatting sqref="E17:F17">
    <cfRule type="cellIs" dxfId="49" priority="29" operator="lessThan">
      <formula>0</formula>
    </cfRule>
  </conditionalFormatting>
  <conditionalFormatting sqref="D17">
    <cfRule type="cellIs" dxfId="48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47" priority="18" operator="greaterThanOrEqual">
      <formula>0</formula>
    </cfRule>
    <cfRule type="cellIs" dxfId="46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4:L20"/>
  <sheetViews>
    <sheetView topLeftCell="A4" workbookViewId="0">
      <selection activeCell="G13" sqref="G13"/>
    </sheetView>
  </sheetViews>
  <sheetFormatPr defaultRowHeight="14.5" x14ac:dyDescent="0.35"/>
  <cols>
    <col min="1" max="1" width="23.54296875" customWidth="1"/>
    <col min="6" max="6" width="10.1796875" bestFit="1" customWidth="1"/>
    <col min="9" max="9" width="10.1796875" bestFit="1" customWidth="1"/>
  </cols>
  <sheetData>
    <row r="4" spans="1:12" x14ac:dyDescent="0.35">
      <c r="A4" s="1"/>
      <c r="B4" s="100" t="s">
        <v>13</v>
      </c>
      <c r="C4" s="101"/>
      <c r="D4" s="101"/>
      <c r="E4" s="101"/>
      <c r="F4" s="101"/>
      <c r="G4" s="102"/>
      <c r="H4" s="104" t="s">
        <v>14</v>
      </c>
      <c r="I4" s="105"/>
      <c r="J4" s="105"/>
      <c r="K4" s="105"/>
      <c r="L4" s="106"/>
    </row>
    <row r="5" spans="1:12" x14ac:dyDescent="0.35">
      <c r="A5" s="1"/>
      <c r="B5" s="1" t="s">
        <v>6</v>
      </c>
      <c r="C5" s="1" t="s">
        <v>7</v>
      </c>
      <c r="D5" s="1" t="s">
        <v>8</v>
      </c>
      <c r="E5" s="1" t="s">
        <v>11</v>
      </c>
      <c r="F5" s="1" t="s">
        <v>19</v>
      </c>
      <c r="G5" s="1" t="s">
        <v>15</v>
      </c>
      <c r="H5" s="1" t="s">
        <v>20</v>
      </c>
      <c r="I5" s="1" t="s">
        <v>18</v>
      </c>
      <c r="J5" s="1" t="s">
        <v>15</v>
      </c>
      <c r="K5" s="1" t="s">
        <v>10</v>
      </c>
      <c r="L5" s="1" t="s">
        <v>12</v>
      </c>
    </row>
    <row r="6" spans="1:12" x14ac:dyDescent="0.35">
      <c r="A6" s="2" t="s">
        <v>0</v>
      </c>
      <c r="B6" s="7">
        <v>995</v>
      </c>
      <c r="C6" s="7">
        <v>475</v>
      </c>
      <c r="D6" s="7">
        <v>85</v>
      </c>
      <c r="E6" s="7">
        <v>250</v>
      </c>
      <c r="F6" s="7"/>
      <c r="G6" s="7">
        <v>9</v>
      </c>
      <c r="H6" s="7">
        <v>0</v>
      </c>
      <c r="I6" s="7"/>
      <c r="J6" s="7">
        <v>9</v>
      </c>
      <c r="K6" s="7">
        <v>1400</v>
      </c>
      <c r="L6" s="7">
        <v>200</v>
      </c>
    </row>
    <row r="7" spans="1:12" x14ac:dyDescent="0.35">
      <c r="A7" s="1" t="s">
        <v>1</v>
      </c>
      <c r="B7" s="4">
        <f>IFERROR(AVERAGE(B10:B13),"")</f>
        <v>1905.5974999999999</v>
      </c>
      <c r="C7" s="4">
        <f t="shared" ref="C7:L7" si="0">IFERROR(AVERAGE(C10:C13),"")</f>
        <v>1167.6175000000001</v>
      </c>
      <c r="D7" s="4">
        <f t="shared" si="0"/>
        <v>81.754999999999995</v>
      </c>
      <c r="E7" s="4">
        <f>IFERROR(AVERAGE(E10:E13),"")</f>
        <v>377.27750000000003</v>
      </c>
      <c r="F7" s="24">
        <f t="shared" si="0"/>
        <v>107286.25</v>
      </c>
      <c r="G7" s="4">
        <f t="shared" si="0"/>
        <v>11.012500000000001</v>
      </c>
      <c r="H7" s="4">
        <f t="shared" si="0"/>
        <v>29.68</v>
      </c>
      <c r="I7" s="24">
        <f t="shared" si="0"/>
        <v>77586.5</v>
      </c>
      <c r="J7" s="4">
        <f t="shared" si="0"/>
        <v>10.994999999999999</v>
      </c>
      <c r="K7" s="4">
        <f t="shared" si="0"/>
        <v>2725.7799999999997</v>
      </c>
      <c r="L7" s="4">
        <f t="shared" si="0"/>
        <v>321.76249999999999</v>
      </c>
    </row>
    <row r="8" spans="1:12" x14ac:dyDescent="0.35">
      <c r="A8" s="1" t="s">
        <v>2</v>
      </c>
      <c r="B8" s="4">
        <f>IFERROR(AVERAGE(B14:B16),"")</f>
        <v>2390.4133333333334</v>
      </c>
      <c r="C8" s="18">
        <f t="shared" ref="C8:L8" si="1">IFERROR(AVERAGE(C14:C16),"")</f>
        <v>1064.2633333333335</v>
      </c>
      <c r="D8" s="4">
        <f t="shared" si="1"/>
        <v>52.75</v>
      </c>
      <c r="E8" s="4">
        <f>IFERROR(AVERAGE(E14:E16),"")</f>
        <v>270.10000000000002</v>
      </c>
      <c r="F8" s="24">
        <f t="shared" si="1"/>
        <v>113840.66666666667</v>
      </c>
      <c r="G8" s="4">
        <f t="shared" si="1"/>
        <v>12.503333333333332</v>
      </c>
      <c r="H8" s="20">
        <f t="shared" si="1"/>
        <v>26.02</v>
      </c>
      <c r="I8" s="25">
        <f t="shared" si="1"/>
        <v>69659.666666666672</v>
      </c>
      <c r="J8" s="4">
        <f t="shared" si="1"/>
        <v>12.806666666666667</v>
      </c>
      <c r="K8" s="4">
        <f t="shared" si="1"/>
        <v>2138.3266666666664</v>
      </c>
      <c r="L8" s="4">
        <f t="shared" si="1"/>
        <v>305.65333333333336</v>
      </c>
    </row>
    <row r="9" spans="1:12" x14ac:dyDescent="0.35">
      <c r="F9" s="22"/>
      <c r="I9" s="22"/>
    </row>
    <row r="10" spans="1:12" x14ac:dyDescent="0.35">
      <c r="A10" s="3">
        <v>44031</v>
      </c>
      <c r="B10" s="15">
        <v>1473.85</v>
      </c>
      <c r="C10" s="15">
        <v>1272.67</v>
      </c>
      <c r="D10" s="15">
        <v>76.239999999999995</v>
      </c>
      <c r="E10" s="15">
        <v>323.91000000000003</v>
      </c>
      <c r="F10" s="26">
        <v>92493</v>
      </c>
      <c r="G10" s="15">
        <v>8.27</v>
      </c>
      <c r="H10" s="15">
        <v>23.87</v>
      </c>
      <c r="I10" s="26">
        <v>90196</v>
      </c>
      <c r="J10" s="15">
        <v>12.24</v>
      </c>
      <c r="K10" s="15">
        <v>1721.9</v>
      </c>
      <c r="L10" s="15">
        <v>303.7</v>
      </c>
    </row>
    <row r="11" spans="1:12" x14ac:dyDescent="0.35">
      <c r="A11" s="3">
        <v>44032</v>
      </c>
      <c r="B11" s="15">
        <v>1511.68</v>
      </c>
      <c r="C11" s="15">
        <v>719.33</v>
      </c>
      <c r="D11" s="15">
        <v>118.23</v>
      </c>
      <c r="E11" s="15">
        <v>485.58</v>
      </c>
      <c r="F11" s="26">
        <v>82126</v>
      </c>
      <c r="G11" s="15">
        <v>12.75</v>
      </c>
      <c r="H11" s="15">
        <v>31.58</v>
      </c>
      <c r="I11" s="26">
        <v>84709</v>
      </c>
      <c r="J11" s="15">
        <v>7.84</v>
      </c>
      <c r="K11" s="15">
        <v>2624.25</v>
      </c>
      <c r="L11" s="15">
        <v>263.77999999999997</v>
      </c>
    </row>
    <row r="12" spans="1:12" x14ac:dyDescent="0.35">
      <c r="A12" s="3">
        <v>44033</v>
      </c>
      <c r="B12" s="15">
        <v>1703.7</v>
      </c>
      <c r="C12" s="15">
        <v>1415.8</v>
      </c>
      <c r="D12" s="15">
        <v>65.900000000000006</v>
      </c>
      <c r="E12" s="15">
        <v>338.7</v>
      </c>
      <c r="F12" s="26">
        <v>129255</v>
      </c>
      <c r="G12" s="15">
        <v>11.43</v>
      </c>
      <c r="H12" s="15">
        <v>27.74</v>
      </c>
      <c r="I12" s="26">
        <v>49563</v>
      </c>
      <c r="J12" s="15">
        <v>9.11</v>
      </c>
      <c r="K12" s="15">
        <v>1755.07</v>
      </c>
      <c r="L12" s="15">
        <v>269.07</v>
      </c>
    </row>
    <row r="13" spans="1:12" x14ac:dyDescent="0.35">
      <c r="A13" s="3">
        <v>44034</v>
      </c>
      <c r="B13" s="16">
        <v>2933.16</v>
      </c>
      <c r="C13" s="16">
        <v>1262.67</v>
      </c>
      <c r="D13" s="16">
        <v>66.650000000000006</v>
      </c>
      <c r="E13" s="16">
        <v>360.92</v>
      </c>
      <c r="F13" s="23">
        <v>125271</v>
      </c>
      <c r="G13" s="16">
        <v>11.6</v>
      </c>
      <c r="H13" s="16">
        <v>35.53</v>
      </c>
      <c r="I13" s="23">
        <v>85878</v>
      </c>
      <c r="J13" s="16">
        <v>14.79</v>
      </c>
      <c r="K13" s="16">
        <v>4801.8999999999996</v>
      </c>
      <c r="L13" s="16">
        <v>450.5</v>
      </c>
    </row>
    <row r="14" spans="1:12" x14ac:dyDescent="0.35">
      <c r="A14" s="3">
        <v>44035</v>
      </c>
      <c r="B14" s="17">
        <v>2982.9</v>
      </c>
      <c r="C14" s="17">
        <v>1117.67</v>
      </c>
      <c r="D14" s="17">
        <v>56.67</v>
      </c>
      <c r="E14" s="17">
        <v>365.74</v>
      </c>
      <c r="F14" s="27">
        <v>153764</v>
      </c>
      <c r="G14" s="17">
        <v>15.82</v>
      </c>
      <c r="H14" s="17">
        <v>27.5</v>
      </c>
      <c r="I14" s="27">
        <v>76675</v>
      </c>
      <c r="J14" s="17">
        <v>12.8</v>
      </c>
      <c r="K14" s="17">
        <v>1965.56</v>
      </c>
      <c r="L14" s="17">
        <v>336.98</v>
      </c>
    </row>
    <row r="15" spans="1:12" x14ac:dyDescent="0.35">
      <c r="A15" s="3">
        <v>44036</v>
      </c>
      <c r="B15" s="17">
        <v>1818.44</v>
      </c>
      <c r="C15" s="17">
        <v>983.22</v>
      </c>
      <c r="D15" s="17">
        <v>43.98</v>
      </c>
      <c r="E15" s="17">
        <v>244.96</v>
      </c>
      <c r="F15" s="27">
        <v>102600</v>
      </c>
      <c r="G15" s="17">
        <v>12.29</v>
      </c>
      <c r="H15" s="17">
        <v>24.26</v>
      </c>
      <c r="I15" s="27">
        <v>68481</v>
      </c>
      <c r="J15" s="17">
        <v>13.02</v>
      </c>
      <c r="K15" s="17">
        <v>2384.02</v>
      </c>
      <c r="L15" s="17">
        <v>316.98</v>
      </c>
    </row>
    <row r="16" spans="1:12" x14ac:dyDescent="0.35">
      <c r="A16" s="3">
        <v>44037</v>
      </c>
      <c r="B16" s="17">
        <v>2369.9</v>
      </c>
      <c r="C16" s="17">
        <v>1091.9000000000001</v>
      </c>
      <c r="D16" s="17">
        <v>57.6</v>
      </c>
      <c r="E16" s="17">
        <v>199.6</v>
      </c>
      <c r="F16" s="27">
        <v>85158</v>
      </c>
      <c r="G16" s="17">
        <v>9.4</v>
      </c>
      <c r="H16" s="17">
        <v>26.3</v>
      </c>
      <c r="I16" s="27">
        <v>63823</v>
      </c>
      <c r="J16" s="17">
        <v>12.6</v>
      </c>
      <c r="K16" s="17">
        <v>2065.4</v>
      </c>
      <c r="L16" s="17">
        <v>263</v>
      </c>
    </row>
    <row r="17" spans="1:12" x14ac:dyDescent="0.35">
      <c r="F17" s="22"/>
      <c r="I17" s="22"/>
    </row>
    <row r="18" spans="1:12" x14ac:dyDescent="0.35">
      <c r="A18" s="1" t="s">
        <v>3</v>
      </c>
      <c r="B18" s="4">
        <v>2504.5</v>
      </c>
      <c r="C18" s="4">
        <v>811.5</v>
      </c>
      <c r="D18" s="4">
        <v>85.5</v>
      </c>
      <c r="E18" s="4">
        <v>416.6</v>
      </c>
      <c r="F18" s="4">
        <v>85053.3</v>
      </c>
      <c r="G18" s="4">
        <v>17.399999999999999</v>
      </c>
      <c r="H18" s="4">
        <v>33.5</v>
      </c>
      <c r="I18" s="4">
        <v>106092.9</v>
      </c>
      <c r="J18" s="4">
        <v>15.4</v>
      </c>
      <c r="K18" s="4">
        <v>17640.900000000001</v>
      </c>
      <c r="L18" s="4">
        <v>405.6</v>
      </c>
    </row>
    <row r="19" spans="1:12" x14ac:dyDescent="0.35">
      <c r="A19" s="1" t="s">
        <v>4</v>
      </c>
      <c r="B19" s="4">
        <f t="shared" ref="B19:L19" si="2">IFERROR(AVERAGE(B10:B16),"")</f>
        <v>2113.3757142857144</v>
      </c>
      <c r="C19" s="4">
        <f t="shared" si="2"/>
        <v>1123.3228571428572</v>
      </c>
      <c r="D19" s="4">
        <f t="shared" si="2"/>
        <v>69.324285714285722</v>
      </c>
      <c r="E19" s="4">
        <f t="shared" si="2"/>
        <v>331.34428571428572</v>
      </c>
      <c r="F19" s="4">
        <f t="shared" si="2"/>
        <v>110095.28571428571</v>
      </c>
      <c r="G19" s="4">
        <f t="shared" si="2"/>
        <v>11.651428571428571</v>
      </c>
      <c r="H19" s="4">
        <f t="shared" si="2"/>
        <v>28.111428571428572</v>
      </c>
      <c r="I19" s="4">
        <f t="shared" si="2"/>
        <v>74189.28571428571</v>
      </c>
      <c r="J19" s="4">
        <f t="shared" si="2"/>
        <v>11.77142857142857</v>
      </c>
      <c r="K19" s="4">
        <f t="shared" si="2"/>
        <v>2474.0142857142855</v>
      </c>
      <c r="L19" s="4">
        <f t="shared" si="2"/>
        <v>314.85857142857145</v>
      </c>
    </row>
    <row r="20" spans="1:12" x14ac:dyDescent="0.35">
      <c r="A20" s="1" t="s">
        <v>5</v>
      </c>
      <c r="B20" s="6">
        <f t="shared" ref="B20:L20" si="3">IFERROR(-(B18-B19)/B18,"")</f>
        <v>-0.15616861078629893</v>
      </c>
      <c r="C20" s="6">
        <f t="shared" si="3"/>
        <v>0.38425490713845617</v>
      </c>
      <c r="D20" s="6">
        <f t="shared" si="3"/>
        <v>-0.18918964076858805</v>
      </c>
      <c r="E20" s="6">
        <f t="shared" si="3"/>
        <v>-0.20464645771894935</v>
      </c>
      <c r="F20" s="6">
        <f t="shared" si="3"/>
        <v>0.29442697360697007</v>
      </c>
      <c r="G20" s="6">
        <f t="shared" si="3"/>
        <v>-0.33037766830870274</v>
      </c>
      <c r="H20" s="6">
        <f t="shared" si="3"/>
        <v>-0.16085287846481874</v>
      </c>
      <c r="I20" s="6">
        <f t="shared" si="3"/>
        <v>-0.30071394302271204</v>
      </c>
      <c r="J20" s="6">
        <f t="shared" si="3"/>
        <v>-0.23562152133580713</v>
      </c>
      <c r="K20" s="6">
        <f t="shared" si="3"/>
        <v>-0.85975691230525175</v>
      </c>
      <c r="L20" s="6">
        <f t="shared" si="3"/>
        <v>-0.22372147083685545</v>
      </c>
    </row>
  </sheetData>
  <mergeCells count="2">
    <mergeCell ref="B4:G4"/>
    <mergeCell ref="H4:L4"/>
  </mergeCells>
  <conditionalFormatting sqref="B20">
    <cfRule type="cellIs" dxfId="45" priority="41" operator="greaterThanOrEqual">
      <formula>0</formula>
    </cfRule>
    <cfRule type="cellIs" dxfId="44" priority="42" operator="lessThan">
      <formula>0</formula>
    </cfRule>
  </conditionalFormatting>
  <conditionalFormatting sqref="C8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43" priority="40" bottom="1" rank="1"/>
  </conditionalFormatting>
  <conditionalFormatting sqref="D7:D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F8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7:G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I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8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">
    <cfRule type="cellIs" dxfId="42" priority="27" operator="lessThan">
      <formula>0</formula>
    </cfRule>
    <cfRule type="cellIs" dxfId="41" priority="38" operator="greaterThanOrEqual">
      <formula>0</formula>
    </cfRule>
  </conditionalFormatting>
  <conditionalFormatting sqref="D20:K20">
    <cfRule type="cellIs" dxfId="40" priority="37" operator="greaterThanOrEqual">
      <formula>0</formula>
    </cfRule>
  </conditionalFormatting>
  <conditionalFormatting sqref="E7:F7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8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8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20">
    <cfRule type="cellIs" dxfId="39" priority="33" operator="lessThan">
      <formula>0</formula>
    </cfRule>
  </conditionalFormatting>
  <conditionalFormatting sqref="J20">
    <cfRule type="cellIs" dxfId="38" priority="32" operator="lessThan">
      <formula>0</formula>
    </cfRule>
  </conditionalFormatting>
  <conditionalFormatting sqref="H20:I20">
    <cfRule type="cellIs" dxfId="37" priority="31" operator="lessThan">
      <formula>0</formula>
    </cfRule>
  </conditionalFormatting>
  <conditionalFormatting sqref="G20">
    <cfRule type="cellIs" dxfId="36" priority="30" operator="lessThan">
      <formula>0</formula>
    </cfRule>
  </conditionalFormatting>
  <conditionalFormatting sqref="E20:F20">
    <cfRule type="cellIs" dxfId="35" priority="29" operator="lessThan">
      <formula>0</formula>
    </cfRule>
  </conditionalFormatting>
  <conditionalFormatting sqref="D20">
    <cfRule type="cellIs" dxfId="34" priority="28" operator="lessThan">
      <formula>0</formula>
    </cfRule>
  </conditionalFormatting>
  <conditionalFormatting sqref="B7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8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0">
    <cfRule type="cellIs" dxfId="33" priority="18" operator="greaterThanOrEqual">
      <formula>0</formula>
    </cfRule>
    <cfRule type="cellIs" dxfId="32" priority="19" operator="lessThan">
      <formula>0</formula>
    </cfRule>
  </conditionalFormatting>
  <conditionalFormatting sqref="C7:C8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7:B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:I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7:I8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7:F8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7:E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R21"/>
  <sheetViews>
    <sheetView workbookViewId="0">
      <selection activeCell="I5" sqref="I5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4" bestFit="1" customWidth="1"/>
    <col min="9" max="9" width="11.1796875" bestFit="1" customWidth="1"/>
  </cols>
  <sheetData>
    <row r="1" spans="1:18" x14ac:dyDescent="0.35">
      <c r="A1" s="1"/>
      <c r="B1" s="100" t="s">
        <v>13</v>
      </c>
      <c r="C1" s="101"/>
      <c r="D1" s="101"/>
      <c r="E1" s="101"/>
      <c r="F1" s="101"/>
      <c r="G1" s="102"/>
      <c r="H1" s="104" t="s">
        <v>14</v>
      </c>
      <c r="I1" s="105"/>
      <c r="J1" s="105"/>
      <c r="K1" s="105"/>
      <c r="L1" s="106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21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/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>IFERROR(AVERAGE(B7:B10),"")</f>
        <v>1120.5250000000001</v>
      </c>
      <c r="C4" s="4">
        <f t="shared" ref="C4:L4" si="0">IFERROR(AVERAGE(C7:C10),"")</f>
        <v>1236.075</v>
      </c>
      <c r="D4" s="4">
        <f t="shared" si="0"/>
        <v>62.875</v>
      </c>
      <c r="E4" s="4">
        <f>IFERROR(AVERAGE(E7:E10),"")</f>
        <v>205.95</v>
      </c>
      <c r="F4" s="24">
        <f t="shared" si="0"/>
        <v>68658</v>
      </c>
      <c r="G4" s="4">
        <f t="shared" si="0"/>
        <v>6.8500000000000005</v>
      </c>
      <c r="H4" s="4">
        <f t="shared" si="0"/>
        <v>24.049999999999997</v>
      </c>
      <c r="I4" s="24">
        <f t="shared" si="0"/>
        <v>53560.25</v>
      </c>
      <c r="J4" s="4">
        <f t="shared" si="0"/>
        <v>6.85</v>
      </c>
      <c r="K4" s="4">
        <f t="shared" si="0"/>
        <v>1627.25</v>
      </c>
      <c r="L4" s="4">
        <f t="shared" si="0"/>
        <v>213.15</v>
      </c>
    </row>
    <row r="5" spans="1:18" x14ac:dyDescent="0.35">
      <c r="A5" s="1" t="s">
        <v>2</v>
      </c>
      <c r="B5" s="4">
        <f>IFERROR(AVERAGE(B11:B13),"")</f>
        <v>1413.0199999999998</v>
      </c>
      <c r="C5" s="18">
        <f t="shared" ref="C5:L5" si="1">IFERROR(AVERAGE(C11:C13),"")</f>
        <v>1144.6299999999999</v>
      </c>
      <c r="D5" s="4">
        <f t="shared" si="1"/>
        <v>65.213333333333324</v>
      </c>
      <c r="E5" s="4">
        <f>IFERROR(AVERAGE(E11:E13),"")</f>
        <v>242.31333333333336</v>
      </c>
      <c r="F5" s="24">
        <f t="shared" si="1"/>
        <v>87605</v>
      </c>
      <c r="G5" s="4">
        <f t="shared" si="1"/>
        <v>9.2299999999999986</v>
      </c>
      <c r="H5" s="20">
        <f t="shared" si="1"/>
        <v>25.466666666666665</v>
      </c>
      <c r="I5" s="25">
        <f t="shared" si="1"/>
        <v>52193.666666666664</v>
      </c>
      <c r="J5" s="4">
        <f t="shared" si="1"/>
        <v>6.1933333333333325</v>
      </c>
      <c r="K5" s="4">
        <f t="shared" si="1"/>
        <v>1857.4833333333333</v>
      </c>
      <c r="L5" s="4">
        <f t="shared" si="1"/>
        <v>190.10666666666665</v>
      </c>
    </row>
    <row r="6" spans="1:18" x14ac:dyDescent="0.35">
      <c r="F6" s="22"/>
      <c r="I6" s="22"/>
    </row>
    <row r="7" spans="1:18" x14ac:dyDescent="0.35">
      <c r="A7" s="3">
        <v>44038</v>
      </c>
      <c r="B7" s="15">
        <v>2050.5</v>
      </c>
      <c r="C7" s="15">
        <v>1105.7</v>
      </c>
      <c r="D7" s="15">
        <v>53.7</v>
      </c>
      <c r="E7" s="15">
        <v>341.1</v>
      </c>
      <c r="F7" s="26">
        <v>118759</v>
      </c>
      <c r="G7" s="15">
        <v>12.5</v>
      </c>
      <c r="H7" s="15">
        <v>26</v>
      </c>
      <c r="I7" s="26">
        <v>65696</v>
      </c>
      <c r="J7" s="15">
        <v>9</v>
      </c>
      <c r="K7" s="15">
        <v>1690.1</v>
      </c>
      <c r="L7" s="15">
        <v>258.7</v>
      </c>
    </row>
    <row r="8" spans="1:18" x14ac:dyDescent="0.35">
      <c r="A8" s="3">
        <v>44039</v>
      </c>
      <c r="B8" s="15">
        <v>798.1</v>
      </c>
      <c r="C8" s="15">
        <v>924.9</v>
      </c>
      <c r="D8" s="15">
        <v>52.3</v>
      </c>
      <c r="E8" s="15">
        <v>177.7</v>
      </c>
      <c r="F8" s="26">
        <v>53861</v>
      </c>
      <c r="G8" s="15">
        <v>6.6</v>
      </c>
      <c r="H8" s="15">
        <v>29.4</v>
      </c>
      <c r="I8" s="26">
        <v>52970</v>
      </c>
      <c r="J8" s="15">
        <v>6.2</v>
      </c>
      <c r="K8" s="15">
        <v>1802.4</v>
      </c>
      <c r="L8" s="15">
        <v>210.3</v>
      </c>
    </row>
    <row r="9" spans="1:18" x14ac:dyDescent="0.35">
      <c r="A9" s="3">
        <v>44040</v>
      </c>
      <c r="B9" s="15">
        <v>1064.4000000000001</v>
      </c>
      <c r="C9" s="15">
        <v>1622</v>
      </c>
      <c r="D9" s="15">
        <v>82.7</v>
      </c>
      <c r="E9" s="15">
        <v>149.69999999999999</v>
      </c>
      <c r="F9" s="26">
        <v>43287</v>
      </c>
      <c r="G9" s="15">
        <v>3.1</v>
      </c>
      <c r="H9" s="15">
        <v>14.4</v>
      </c>
      <c r="I9" s="26">
        <v>44898</v>
      </c>
      <c r="J9" s="15">
        <v>5.2</v>
      </c>
      <c r="K9" s="15">
        <v>1585.5</v>
      </c>
      <c r="L9" s="15">
        <v>187.5</v>
      </c>
    </row>
    <row r="10" spans="1:18" x14ac:dyDescent="0.35">
      <c r="A10" s="3">
        <v>44041</v>
      </c>
      <c r="B10" s="16">
        <v>569.1</v>
      </c>
      <c r="C10" s="16">
        <v>1291.7</v>
      </c>
      <c r="D10" s="16">
        <v>62.8</v>
      </c>
      <c r="E10" s="16">
        <v>155.30000000000001</v>
      </c>
      <c r="F10" s="23">
        <v>58725</v>
      </c>
      <c r="G10" s="16">
        <v>5.2</v>
      </c>
      <c r="H10" s="16">
        <v>26.4</v>
      </c>
      <c r="I10" s="23">
        <v>50677</v>
      </c>
      <c r="J10" s="16">
        <v>7</v>
      </c>
      <c r="K10" s="16">
        <v>1431</v>
      </c>
      <c r="L10" s="16">
        <v>196.1</v>
      </c>
    </row>
    <row r="11" spans="1:18" ht="14.5" customHeight="1" x14ac:dyDescent="0.35">
      <c r="A11" s="3">
        <v>44042</v>
      </c>
      <c r="B11" s="17">
        <v>1744.67</v>
      </c>
      <c r="C11" s="17">
        <v>1031.56</v>
      </c>
      <c r="D11" s="17">
        <v>58.45</v>
      </c>
      <c r="E11" s="17">
        <v>349.02</v>
      </c>
      <c r="F11" s="27">
        <v>110619</v>
      </c>
      <c r="G11" s="17">
        <v>13.08</v>
      </c>
      <c r="H11" s="17">
        <v>23.81</v>
      </c>
      <c r="I11" s="27">
        <v>40086</v>
      </c>
      <c r="J11" s="17">
        <v>4.9400000000000004</v>
      </c>
      <c r="K11" s="17">
        <v>923.43</v>
      </c>
      <c r="L11" s="17">
        <v>147.41</v>
      </c>
      <c r="N11" s="103" t="s">
        <v>16</v>
      </c>
      <c r="O11" s="103"/>
      <c r="P11" s="103"/>
      <c r="Q11" s="103"/>
      <c r="R11" s="103"/>
    </row>
    <row r="12" spans="1:18" x14ac:dyDescent="0.35">
      <c r="A12" s="3">
        <v>44043</v>
      </c>
      <c r="B12" s="17">
        <v>892.54</v>
      </c>
      <c r="C12" s="17">
        <v>1079.22</v>
      </c>
      <c r="D12" s="17">
        <v>59.95</v>
      </c>
      <c r="E12" s="17">
        <v>147.96</v>
      </c>
      <c r="F12" s="27">
        <v>49950</v>
      </c>
      <c r="G12" s="17">
        <v>5.43</v>
      </c>
      <c r="H12" s="17">
        <v>25.57</v>
      </c>
      <c r="I12" s="27">
        <v>59512</v>
      </c>
      <c r="J12" s="17">
        <v>6.38</v>
      </c>
      <c r="K12" s="17">
        <v>1813.79</v>
      </c>
      <c r="L12" s="17">
        <v>201.02</v>
      </c>
      <c r="N12" s="103"/>
      <c r="O12" s="103"/>
      <c r="P12" s="103"/>
      <c r="Q12" s="103"/>
      <c r="R12" s="103"/>
    </row>
    <row r="13" spans="1:18" x14ac:dyDescent="0.35">
      <c r="A13" s="3">
        <v>44044</v>
      </c>
      <c r="B13" s="17">
        <v>1601.85</v>
      </c>
      <c r="C13" s="17">
        <v>1323.11</v>
      </c>
      <c r="D13" s="17">
        <v>77.239999999999995</v>
      </c>
      <c r="E13" s="17">
        <v>229.96</v>
      </c>
      <c r="F13" s="27">
        <v>102246</v>
      </c>
      <c r="G13" s="17">
        <v>9.18</v>
      </c>
      <c r="H13" s="17">
        <v>27.02</v>
      </c>
      <c r="I13" s="27">
        <v>56983</v>
      </c>
      <c r="J13" s="17">
        <v>7.26</v>
      </c>
      <c r="K13" s="17">
        <v>2835.23</v>
      </c>
      <c r="L13" s="17">
        <v>221.89</v>
      </c>
      <c r="N13" s="103"/>
      <c r="O13" s="103"/>
      <c r="P13" s="103"/>
      <c r="Q13" s="103"/>
      <c r="R13" s="103"/>
    </row>
    <row r="14" spans="1:18" ht="14.5" customHeight="1" x14ac:dyDescent="0.35">
      <c r="F14" s="22"/>
      <c r="I14" s="22"/>
      <c r="N14" s="103"/>
      <c r="O14" s="103"/>
      <c r="P14" s="103"/>
      <c r="Q14" s="103"/>
      <c r="R14" s="103"/>
    </row>
    <row r="15" spans="1:18" x14ac:dyDescent="0.35">
      <c r="A15" s="1" t="s">
        <v>3</v>
      </c>
      <c r="B15" s="4">
        <v>2113.4</v>
      </c>
      <c r="C15" s="4">
        <v>1123.3</v>
      </c>
      <c r="D15" s="4">
        <v>69.3</v>
      </c>
      <c r="E15" s="4">
        <v>331.3</v>
      </c>
      <c r="F15" s="4">
        <v>110095.3</v>
      </c>
      <c r="G15" s="4">
        <v>11.6</v>
      </c>
      <c r="H15" s="4">
        <v>24.6</v>
      </c>
      <c r="I15" s="4">
        <v>74189.3</v>
      </c>
      <c r="J15" s="4">
        <v>11.8</v>
      </c>
      <c r="K15" s="4">
        <v>2474</v>
      </c>
      <c r="L15" s="4">
        <v>314.89999999999998</v>
      </c>
      <c r="N15" s="103"/>
      <c r="O15" s="103"/>
      <c r="P15" s="103"/>
      <c r="Q15" s="103"/>
      <c r="R15" s="103"/>
    </row>
    <row r="16" spans="1:18" x14ac:dyDescent="0.35">
      <c r="A16" s="1" t="s">
        <v>4</v>
      </c>
      <c r="B16" s="4">
        <f t="shared" ref="B16:L16" si="2">IFERROR(AVERAGE(B7:B13),"")</f>
        <v>1245.8799999999999</v>
      </c>
      <c r="C16" s="4">
        <f t="shared" si="2"/>
        <v>1196.8842857142859</v>
      </c>
      <c r="D16" s="4">
        <f t="shared" si="2"/>
        <v>63.877142857142857</v>
      </c>
      <c r="E16" s="4">
        <f t="shared" si="2"/>
        <v>221.53428571428572</v>
      </c>
      <c r="F16" s="4">
        <f t="shared" si="2"/>
        <v>76778.142857142855</v>
      </c>
      <c r="G16" s="4">
        <f t="shared" si="2"/>
        <v>7.87</v>
      </c>
      <c r="H16" s="4">
        <f t="shared" si="2"/>
        <v>24.657142857142855</v>
      </c>
      <c r="I16" s="4">
        <f t="shared" si="2"/>
        <v>52974.571428571428</v>
      </c>
      <c r="J16" s="4">
        <f t="shared" si="2"/>
        <v>6.5685714285714285</v>
      </c>
      <c r="K16" s="4">
        <f t="shared" si="2"/>
        <v>1725.9214285714286</v>
      </c>
      <c r="L16" s="4">
        <f t="shared" si="2"/>
        <v>203.27428571428572</v>
      </c>
      <c r="N16" s="103"/>
      <c r="O16" s="103"/>
      <c r="P16" s="103"/>
      <c r="Q16" s="103"/>
      <c r="R16" s="103"/>
    </row>
    <row r="17" spans="1:14" x14ac:dyDescent="0.35">
      <c r="A17" s="1" t="s">
        <v>5</v>
      </c>
      <c r="B17" s="6">
        <f t="shared" ref="B17:L17" si="3">IFERROR(-(B15-B16)/B15,"")</f>
        <v>-0.41048547364436461</v>
      </c>
      <c r="C17" s="6">
        <f t="shared" si="3"/>
        <v>6.5507242690542061E-2</v>
      </c>
      <c r="D17" s="6">
        <f t="shared" si="3"/>
        <v>-7.8251906823335354E-2</v>
      </c>
      <c r="E17" s="6">
        <f t="shared" si="3"/>
        <v>-0.33131818377818983</v>
      </c>
      <c r="F17" s="6">
        <f t="shared" si="3"/>
        <v>-0.30262106686531709</v>
      </c>
      <c r="G17" s="6">
        <f t="shared" si="3"/>
        <v>-0.32155172413793098</v>
      </c>
      <c r="H17" s="6">
        <f t="shared" si="3"/>
        <v>2.3228803716607068E-3</v>
      </c>
      <c r="I17" s="6">
        <f t="shared" si="3"/>
        <v>-0.28595401993857034</v>
      </c>
      <c r="J17" s="6">
        <f t="shared" si="3"/>
        <v>-0.44334140435835356</v>
      </c>
      <c r="K17" s="6">
        <f t="shared" si="3"/>
        <v>-0.30237614043192051</v>
      </c>
      <c r="L17" s="6">
        <f t="shared" si="3"/>
        <v>-0.35447988023408783</v>
      </c>
    </row>
    <row r="21" spans="1:14" x14ac:dyDescent="0.35">
      <c r="N21">
        <v>0</v>
      </c>
    </row>
  </sheetData>
  <mergeCells count="3">
    <mergeCell ref="B1:G1"/>
    <mergeCell ref="H1:L1"/>
    <mergeCell ref="N11:R16"/>
  </mergeCells>
  <conditionalFormatting sqref="B17">
    <cfRule type="cellIs" dxfId="31" priority="41" operator="greaterThanOrEqual">
      <formula>0</formula>
    </cfRule>
    <cfRule type="cellIs" dxfId="30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29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28" priority="27" operator="lessThan">
      <formula>0</formula>
    </cfRule>
    <cfRule type="cellIs" dxfId="27" priority="38" operator="greaterThanOrEqual">
      <formula>0</formula>
    </cfRule>
  </conditionalFormatting>
  <conditionalFormatting sqref="D17:K17">
    <cfRule type="cellIs" dxfId="26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25" priority="33" operator="lessThan">
      <formula>0</formula>
    </cfRule>
  </conditionalFormatting>
  <conditionalFormatting sqref="J17">
    <cfRule type="cellIs" dxfId="24" priority="32" operator="lessThan">
      <formula>0</formula>
    </cfRule>
  </conditionalFormatting>
  <conditionalFormatting sqref="H17:I17">
    <cfRule type="cellIs" dxfId="23" priority="31" operator="lessThan">
      <formula>0</formula>
    </cfRule>
  </conditionalFormatting>
  <conditionalFormatting sqref="G17">
    <cfRule type="cellIs" dxfId="22" priority="30" operator="lessThan">
      <formula>0</formula>
    </cfRule>
  </conditionalFormatting>
  <conditionalFormatting sqref="E17:F17">
    <cfRule type="cellIs" dxfId="21" priority="29" operator="lessThan">
      <formula>0</formula>
    </cfRule>
  </conditionalFormatting>
  <conditionalFormatting sqref="D17">
    <cfRule type="cellIs" dxfId="20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9" priority="18" operator="greaterThanOrEqual">
      <formula>0</formula>
    </cfRule>
    <cfRule type="cellIs" dxfId="18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4:P20"/>
  <sheetViews>
    <sheetView zoomScale="90" zoomScaleNormal="90" workbookViewId="0">
      <selection activeCell="B19" sqref="B19:P19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4" max="4" width="7.54296875" customWidth="1"/>
    <col min="5" max="5" width="7.1796875" bestFit="1" customWidth="1"/>
    <col min="6" max="6" width="14" bestFit="1" customWidth="1"/>
    <col min="7" max="7" width="7.81640625" customWidth="1"/>
    <col min="9" max="9" width="7.26953125" customWidth="1"/>
    <col min="10" max="10" width="8.1796875" bestFit="1" customWidth="1"/>
    <col min="11" max="11" width="11.26953125" bestFit="1" customWidth="1"/>
    <col min="12" max="12" width="7.81640625" bestFit="1" customWidth="1"/>
  </cols>
  <sheetData>
    <row r="4" spans="1:16" x14ac:dyDescent="0.35">
      <c r="A4" s="1"/>
      <c r="B4" s="100" t="s">
        <v>13</v>
      </c>
      <c r="C4" s="101"/>
      <c r="D4" s="101"/>
      <c r="E4" s="101"/>
      <c r="F4" s="101"/>
      <c r="G4" s="101"/>
      <c r="H4" s="102"/>
      <c r="I4" s="28"/>
      <c r="J4" s="104" t="s">
        <v>14</v>
      </c>
      <c r="K4" s="105"/>
      <c r="L4" s="105"/>
      <c r="M4" s="105"/>
      <c r="N4" s="105"/>
      <c r="O4" s="105"/>
      <c r="P4" s="106"/>
    </row>
    <row r="5" spans="1:16" x14ac:dyDescent="0.35">
      <c r="A5" s="1"/>
      <c r="B5" s="29" t="s">
        <v>6</v>
      </c>
      <c r="C5" s="29" t="s">
        <v>7</v>
      </c>
      <c r="D5" s="29" t="s">
        <v>8</v>
      </c>
      <c r="E5" s="29" t="s">
        <v>11</v>
      </c>
      <c r="F5" s="29" t="s">
        <v>19</v>
      </c>
      <c r="G5" s="29" t="s">
        <v>25</v>
      </c>
      <c r="H5" s="29" t="s">
        <v>15</v>
      </c>
      <c r="I5" s="29" t="s">
        <v>22</v>
      </c>
      <c r="J5" s="29" t="s">
        <v>24</v>
      </c>
      <c r="K5" s="29" t="s">
        <v>18</v>
      </c>
      <c r="L5" s="29" t="s">
        <v>26</v>
      </c>
      <c r="M5" s="29" t="s">
        <v>15</v>
      </c>
      <c r="N5" s="29" t="s">
        <v>10</v>
      </c>
      <c r="O5" s="29" t="s">
        <v>23</v>
      </c>
      <c r="P5" s="29" t="s">
        <v>22</v>
      </c>
    </row>
    <row r="6" spans="1:16" x14ac:dyDescent="0.35">
      <c r="A6" s="2" t="s">
        <v>0</v>
      </c>
      <c r="B6" s="30">
        <v>995</v>
      </c>
      <c r="C6" s="30">
        <v>475</v>
      </c>
      <c r="D6" s="30">
        <v>85</v>
      </c>
      <c r="E6" s="30">
        <v>250</v>
      </c>
      <c r="F6" s="30"/>
      <c r="G6" s="30">
        <v>40</v>
      </c>
      <c r="H6" s="30">
        <v>9</v>
      </c>
      <c r="I6" s="31">
        <v>0.1</v>
      </c>
      <c r="J6" s="30">
        <v>0</v>
      </c>
      <c r="K6" s="30"/>
      <c r="L6" s="30">
        <v>30</v>
      </c>
      <c r="M6" s="30">
        <v>9</v>
      </c>
      <c r="N6" s="30">
        <v>1400</v>
      </c>
      <c r="O6" s="30">
        <v>200</v>
      </c>
      <c r="P6" s="31">
        <v>0.1</v>
      </c>
    </row>
    <row r="7" spans="1:16" x14ac:dyDescent="0.35">
      <c r="A7" s="1" t="s">
        <v>1</v>
      </c>
      <c r="B7" s="4">
        <f>IFERROR(AVERAGE(B10:B13),"")</f>
        <v>3017.0450000000001</v>
      </c>
      <c r="C7" s="4">
        <f t="shared" ref="C7:P7" si="0">IFERROR(AVERAGE(C10:C13),"")</f>
        <v>723.0675</v>
      </c>
      <c r="D7" s="4">
        <f t="shared" si="0"/>
        <v>69.314999999999998</v>
      </c>
      <c r="E7" s="4">
        <f>IFERROR(AVERAGE(E10:E13),"")</f>
        <v>445.07</v>
      </c>
      <c r="F7" s="24">
        <f t="shared" si="0"/>
        <v>127153.75</v>
      </c>
      <c r="G7" s="24">
        <f t="shared" si="0"/>
        <v>30</v>
      </c>
      <c r="H7" s="4">
        <f t="shared" si="0"/>
        <v>15.765000000000001</v>
      </c>
      <c r="I7" s="4">
        <f t="shared" si="0"/>
        <v>25.622499999999999</v>
      </c>
      <c r="J7" s="4">
        <f t="shared" si="0"/>
        <v>21.835000000000001</v>
      </c>
      <c r="K7" s="24">
        <f t="shared" si="0"/>
        <v>108044.75</v>
      </c>
      <c r="L7" s="24">
        <f t="shared" si="0"/>
        <v>30</v>
      </c>
      <c r="M7" s="4">
        <f t="shared" si="0"/>
        <v>10.0825</v>
      </c>
      <c r="N7" s="4">
        <f t="shared" si="0"/>
        <v>2127.1</v>
      </c>
      <c r="O7" s="4">
        <f t="shared" si="0"/>
        <v>329.65750000000003</v>
      </c>
      <c r="P7" s="4">
        <f t="shared" si="0"/>
        <v>27.657499999999999</v>
      </c>
    </row>
    <row r="8" spans="1:16" x14ac:dyDescent="0.35">
      <c r="A8" s="1" t="s">
        <v>2</v>
      </c>
      <c r="B8" s="4">
        <f>IFERROR(AVERAGE(B14:B16),"")</f>
        <v>4031.0833333333335</v>
      </c>
      <c r="C8" s="18">
        <f t="shared" ref="C8:P8" si="1">IFERROR(AVERAGE(C14:C16),"")</f>
        <v>1056.9099999999999</v>
      </c>
      <c r="D8" s="4">
        <f t="shared" si="1"/>
        <v>67.886666666666656</v>
      </c>
      <c r="E8" s="4">
        <f>IFERROR(AVERAGE(E14:E16),"")</f>
        <v>421.87666666666672</v>
      </c>
      <c r="F8" s="24">
        <f t="shared" si="1"/>
        <v>163210</v>
      </c>
      <c r="G8" s="24">
        <f t="shared" si="1"/>
        <v>34</v>
      </c>
      <c r="H8" s="4">
        <f t="shared" si="1"/>
        <v>14.566666666666668</v>
      </c>
      <c r="I8" s="20">
        <f t="shared" si="1"/>
        <v>31.223333333333333</v>
      </c>
      <c r="J8" s="20">
        <f t="shared" si="1"/>
        <v>39.343333333333334</v>
      </c>
      <c r="K8" s="25">
        <f t="shared" si="1"/>
        <v>87496.666666666672</v>
      </c>
      <c r="L8" s="25">
        <f t="shared" si="1"/>
        <v>34</v>
      </c>
      <c r="M8" s="4">
        <f t="shared" si="1"/>
        <v>10.226666666666667</v>
      </c>
      <c r="N8" s="4">
        <f t="shared" si="1"/>
        <v>2539.6033333333335</v>
      </c>
      <c r="O8" s="4">
        <f t="shared" si="1"/>
        <v>285.48666666666668</v>
      </c>
      <c r="P8" s="4">
        <f t="shared" si="1"/>
        <v>34.700000000000003</v>
      </c>
    </row>
    <row r="9" spans="1:16" x14ac:dyDescent="0.35">
      <c r="F9" s="22"/>
      <c r="G9" s="22"/>
      <c r="K9" s="22"/>
      <c r="L9" s="22"/>
    </row>
    <row r="10" spans="1:16" x14ac:dyDescent="0.35">
      <c r="A10" s="3">
        <v>44073</v>
      </c>
      <c r="B10" s="15">
        <v>3007.11</v>
      </c>
      <c r="C10" s="15">
        <v>883</v>
      </c>
      <c r="D10" s="15">
        <v>76.94</v>
      </c>
      <c r="E10" s="15">
        <v>467.7</v>
      </c>
      <c r="F10" s="26">
        <v>155147</v>
      </c>
      <c r="G10" s="26">
        <v>32</v>
      </c>
      <c r="H10" s="15">
        <v>16</v>
      </c>
      <c r="I10" s="15">
        <v>21</v>
      </c>
      <c r="J10" s="15">
        <v>28.23</v>
      </c>
      <c r="K10" s="26">
        <v>99627</v>
      </c>
      <c r="L10" s="26">
        <v>32</v>
      </c>
      <c r="M10" s="15">
        <v>11.23</v>
      </c>
      <c r="N10" s="15">
        <v>2258.46</v>
      </c>
      <c r="O10" s="15">
        <v>380.95</v>
      </c>
      <c r="P10" s="15">
        <v>25</v>
      </c>
    </row>
    <row r="11" spans="1:16" x14ac:dyDescent="0.35">
      <c r="A11" s="3">
        <v>44074</v>
      </c>
      <c r="B11" s="15">
        <v>3544.19</v>
      </c>
      <c r="C11" s="15">
        <v>734.73</v>
      </c>
      <c r="D11" s="15">
        <v>60.02</v>
      </c>
      <c r="E11" s="15">
        <v>479.84</v>
      </c>
      <c r="F11" s="26">
        <v>152913</v>
      </c>
      <c r="G11" s="26">
        <v>44</v>
      </c>
      <c r="H11" s="15">
        <v>18.97</v>
      </c>
      <c r="I11" s="15">
        <v>25</v>
      </c>
      <c r="J11" s="15">
        <v>21.85</v>
      </c>
      <c r="K11" s="26">
        <v>96812</v>
      </c>
      <c r="L11" s="26">
        <v>44</v>
      </c>
      <c r="M11" s="15">
        <v>9.19</v>
      </c>
      <c r="N11" s="15">
        <v>2097.4499999999998</v>
      </c>
      <c r="O11" s="15">
        <v>327.74</v>
      </c>
      <c r="P11" s="15">
        <v>28</v>
      </c>
    </row>
    <row r="12" spans="1:16" x14ac:dyDescent="0.35">
      <c r="A12" s="3">
        <v>44075</v>
      </c>
      <c r="B12" s="15">
        <v>1987.27</v>
      </c>
      <c r="C12" s="15">
        <v>515.27</v>
      </c>
      <c r="D12" s="15">
        <v>62.85</v>
      </c>
      <c r="E12" s="15">
        <v>307.19</v>
      </c>
      <c r="F12" s="26">
        <v>66327</v>
      </c>
      <c r="G12" s="26">
        <v>11</v>
      </c>
      <c r="H12" s="15">
        <v>11.67</v>
      </c>
      <c r="I12" s="15">
        <v>31.8</v>
      </c>
      <c r="J12" s="15">
        <v>19.510000000000002</v>
      </c>
      <c r="K12" s="26">
        <v>122506</v>
      </c>
      <c r="L12" s="26">
        <v>11</v>
      </c>
      <c r="M12" s="15">
        <v>10.01</v>
      </c>
      <c r="N12" s="15">
        <v>2148.4</v>
      </c>
      <c r="O12" s="15">
        <v>290.83</v>
      </c>
      <c r="P12" s="15">
        <v>30</v>
      </c>
    </row>
    <row r="13" spans="1:16" x14ac:dyDescent="0.35">
      <c r="A13" s="3">
        <v>44076</v>
      </c>
      <c r="B13" s="16">
        <v>3529.61</v>
      </c>
      <c r="C13" s="16">
        <v>759.27</v>
      </c>
      <c r="D13" s="16">
        <v>77.45</v>
      </c>
      <c r="E13" s="16">
        <v>525.54999999999995</v>
      </c>
      <c r="F13" s="23">
        <v>134228</v>
      </c>
      <c r="G13" s="23">
        <v>33</v>
      </c>
      <c r="H13" s="16">
        <v>16.420000000000002</v>
      </c>
      <c r="I13" s="16">
        <v>24.69</v>
      </c>
      <c r="J13" s="23">
        <v>17.75</v>
      </c>
      <c r="K13" s="16">
        <v>113234</v>
      </c>
      <c r="L13" s="23">
        <v>33</v>
      </c>
      <c r="M13" s="16">
        <v>9.9</v>
      </c>
      <c r="N13" s="16">
        <v>2004.09</v>
      </c>
      <c r="O13" s="16">
        <v>319.11</v>
      </c>
      <c r="P13" s="16">
        <v>27.63</v>
      </c>
    </row>
    <row r="14" spans="1:16" x14ac:dyDescent="0.35">
      <c r="A14" s="3">
        <v>44077</v>
      </c>
      <c r="B14" s="17">
        <v>4316.93</v>
      </c>
      <c r="C14" s="17">
        <v>998.55</v>
      </c>
      <c r="D14" s="17">
        <v>56.48</v>
      </c>
      <c r="E14" s="17">
        <v>387.23</v>
      </c>
      <c r="F14" s="27">
        <v>160628</v>
      </c>
      <c r="G14" s="27">
        <v>32</v>
      </c>
      <c r="H14" s="17">
        <v>15.05</v>
      </c>
      <c r="I14" s="17">
        <v>30.87</v>
      </c>
      <c r="J14" s="17">
        <v>43.06</v>
      </c>
      <c r="K14" s="27">
        <v>80153</v>
      </c>
      <c r="L14" s="27">
        <v>32</v>
      </c>
      <c r="M14" s="17">
        <v>9.8000000000000007</v>
      </c>
      <c r="N14" s="17">
        <v>1741.26</v>
      </c>
      <c r="O14" s="17">
        <v>267.13</v>
      </c>
      <c r="P14" s="17">
        <v>37.4</v>
      </c>
    </row>
    <row r="15" spans="1:16" x14ac:dyDescent="0.35">
      <c r="A15" s="3">
        <v>44078</v>
      </c>
      <c r="B15" s="17">
        <v>2614.98</v>
      </c>
      <c r="C15" s="17">
        <v>1138.0899999999999</v>
      </c>
      <c r="D15" s="17">
        <v>72.319999999999993</v>
      </c>
      <c r="E15" s="17">
        <v>302.64</v>
      </c>
      <c r="F15" s="27">
        <v>122580</v>
      </c>
      <c r="G15" s="27">
        <v>44</v>
      </c>
      <c r="H15" s="17">
        <v>9.93</v>
      </c>
      <c r="I15" s="17">
        <v>31.8</v>
      </c>
      <c r="J15" s="17">
        <v>38.380000000000003</v>
      </c>
      <c r="K15" s="27">
        <v>93962</v>
      </c>
      <c r="L15" s="27">
        <v>44</v>
      </c>
      <c r="M15" s="17">
        <v>9.75</v>
      </c>
      <c r="N15" s="17">
        <v>3368.26</v>
      </c>
      <c r="O15" s="17">
        <v>317.83999999999997</v>
      </c>
      <c r="P15" s="17">
        <v>32</v>
      </c>
    </row>
    <row r="16" spans="1:16" x14ac:dyDescent="0.35">
      <c r="A16" s="3">
        <v>44079</v>
      </c>
      <c r="B16" s="17">
        <v>5161.34</v>
      </c>
      <c r="C16" s="17">
        <v>1034.0899999999999</v>
      </c>
      <c r="D16" s="17">
        <v>74.86</v>
      </c>
      <c r="E16" s="17">
        <v>575.76</v>
      </c>
      <c r="F16" s="27">
        <v>206422</v>
      </c>
      <c r="G16" s="27">
        <v>26</v>
      </c>
      <c r="H16" s="17">
        <v>18.72</v>
      </c>
      <c r="I16" s="17">
        <v>31</v>
      </c>
      <c r="J16" s="17">
        <v>36.590000000000003</v>
      </c>
      <c r="K16" s="27">
        <v>88375</v>
      </c>
      <c r="L16" s="27">
        <v>26</v>
      </c>
      <c r="M16" s="17">
        <v>11.13</v>
      </c>
      <c r="N16" s="17">
        <v>2509.29</v>
      </c>
      <c r="O16" s="17">
        <v>271.49</v>
      </c>
      <c r="P16" s="17">
        <v>34.700000000000003</v>
      </c>
    </row>
    <row r="17" spans="1:16" x14ac:dyDescent="0.35">
      <c r="F17" s="22"/>
      <c r="G17" s="22"/>
      <c r="K17" s="22"/>
      <c r="L17" s="22"/>
    </row>
    <row r="18" spans="1:16" x14ac:dyDescent="0.35">
      <c r="A18" s="1" t="s">
        <v>3</v>
      </c>
      <c r="B18" s="4">
        <v>2756.9</v>
      </c>
      <c r="C18" s="4">
        <v>847.7</v>
      </c>
      <c r="D18" s="4">
        <v>84.4</v>
      </c>
      <c r="E18" s="4">
        <v>398.4</v>
      </c>
      <c r="F18" s="4">
        <v>116993.1</v>
      </c>
      <c r="G18" s="4">
        <v>29.2</v>
      </c>
      <c r="H18" s="4">
        <v>12.7</v>
      </c>
      <c r="I18" s="4">
        <v>23</v>
      </c>
      <c r="J18" s="4">
        <v>27</v>
      </c>
      <c r="K18" s="4">
        <v>84332.6</v>
      </c>
      <c r="L18" s="4">
        <v>29.7</v>
      </c>
      <c r="M18" s="4">
        <v>9.1</v>
      </c>
      <c r="N18" s="4">
        <v>2014.7</v>
      </c>
      <c r="O18" s="4">
        <v>306.7</v>
      </c>
      <c r="P18" s="4">
        <v>26.6</v>
      </c>
    </row>
    <row r="19" spans="1:16" x14ac:dyDescent="0.35">
      <c r="A19" s="1" t="s">
        <v>4</v>
      </c>
      <c r="B19" s="4">
        <v>3451.6328571428571</v>
      </c>
      <c r="C19" s="4">
        <v>866.14285714285711</v>
      </c>
      <c r="D19" s="4">
        <v>68.702857142857141</v>
      </c>
      <c r="E19" s="4">
        <v>435.13</v>
      </c>
      <c r="F19" s="4">
        <v>142606.42857142858</v>
      </c>
      <c r="G19" s="4">
        <v>31.714285714285715</v>
      </c>
      <c r="H19" s="4">
        <v>15.251428571428571</v>
      </c>
      <c r="I19" s="4">
        <v>28.022857142857141</v>
      </c>
      <c r="J19" s="4">
        <v>29.338571428571431</v>
      </c>
      <c r="K19" s="4">
        <v>99238.428571428565</v>
      </c>
      <c r="L19" s="4">
        <v>31.714285714285715</v>
      </c>
      <c r="M19" s="4">
        <v>10.144285714285713</v>
      </c>
      <c r="N19" s="4">
        <v>2303.8871428571429</v>
      </c>
      <c r="O19" s="4">
        <v>310.72714285714289</v>
      </c>
      <c r="P19" s="4">
        <v>30.675714285714289</v>
      </c>
    </row>
    <row r="20" spans="1:16" x14ac:dyDescent="0.35">
      <c r="A20" s="1" t="s">
        <v>5</v>
      </c>
      <c r="B20" s="6">
        <f t="shared" ref="B20:G20" si="2">IFERROR(-(B18-B19)/B18,"")</f>
        <v>0.25199784436971129</v>
      </c>
      <c r="C20" s="6">
        <f t="shared" si="2"/>
        <v>2.1756349112725094E-2</v>
      </c>
      <c r="D20" s="6">
        <f t="shared" si="2"/>
        <v>-0.18598510494245099</v>
      </c>
      <c r="E20" s="6">
        <f t="shared" si="2"/>
        <v>9.2193775100401651E-2</v>
      </c>
      <c r="F20" s="6">
        <f t="shared" si="2"/>
        <v>0.2189302494884619</v>
      </c>
      <c r="G20" s="6">
        <f t="shared" si="2"/>
        <v>8.6105675146771102E-2</v>
      </c>
      <c r="H20" s="6">
        <f t="shared" ref="H20:O20" si="3">IFERROR(-(H18-H19)/H18,"")</f>
        <v>0.20089988751406077</v>
      </c>
      <c r="I20" s="6">
        <f>IFERROR((I18-I19)/I18,"")</f>
        <v>-0.2183850931677018</v>
      </c>
      <c r="J20" s="6">
        <f>IFERROR(-(J18-J19)/J18,"")</f>
        <v>8.6613756613756698E-2</v>
      </c>
      <c r="K20" s="6">
        <f>IFERROR(-(K18-K19)/K18,"")</f>
        <v>0.17675049235323656</v>
      </c>
      <c r="L20" s="6">
        <f>IFERROR(-(L18-L19)/L18,"")</f>
        <v>6.7821067821067879E-2</v>
      </c>
      <c r="M20" s="6">
        <f t="shared" si="3"/>
        <v>0.11475667189952897</v>
      </c>
      <c r="N20" s="6">
        <f t="shared" si="3"/>
        <v>0.14353856299059056</v>
      </c>
      <c r="O20" s="6">
        <f t="shared" si="3"/>
        <v>1.3130560342820037E-2</v>
      </c>
      <c r="P20" s="6">
        <f>IFERROR((P18-P19)/P18,"")</f>
        <v>-0.15322234156820627</v>
      </c>
    </row>
  </sheetData>
  <mergeCells count="2">
    <mergeCell ref="B4:H4"/>
    <mergeCell ref="J4:P4"/>
  </mergeCells>
  <conditionalFormatting sqref="B20">
    <cfRule type="cellIs" dxfId="17" priority="53" operator="greaterThanOrEqual">
      <formula>0</formula>
    </cfRule>
    <cfRule type="cellIs" dxfId="16" priority="54" operator="lessThan">
      <formula>0</formula>
    </cfRule>
  </conditionalFormatting>
  <conditionalFormatting sqref="C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5" priority="52" bottom="1" rank="1"/>
  </conditionalFormatting>
  <conditionalFormatting sqref="D7:D8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G8">
    <cfRule type="colorScale" priority="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7:H8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L8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8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">
    <cfRule type="cellIs" dxfId="14" priority="39" operator="lessThan">
      <formula>0</formula>
    </cfRule>
    <cfRule type="cellIs" dxfId="13" priority="50" operator="greaterThanOrEqual">
      <formula>0</formula>
    </cfRule>
  </conditionalFormatting>
  <conditionalFormatting sqref="D20:H20 J20:N20">
    <cfRule type="cellIs" dxfId="12" priority="49" operator="greaterThanOrEqual">
      <formula>0</formula>
    </cfRule>
  </conditionalFormatting>
  <conditionalFormatting sqref="E7:G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8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0">
    <cfRule type="cellIs" dxfId="11" priority="45" operator="lessThan">
      <formula>0</formula>
    </cfRule>
  </conditionalFormatting>
  <conditionalFormatting sqref="M20">
    <cfRule type="cellIs" dxfId="10" priority="44" operator="lessThan">
      <formula>0</formula>
    </cfRule>
  </conditionalFormatting>
  <conditionalFormatting sqref="J20:L20">
    <cfRule type="cellIs" dxfId="9" priority="43" operator="lessThan">
      <formula>0</formula>
    </cfRule>
  </conditionalFormatting>
  <conditionalFormatting sqref="H20">
    <cfRule type="cellIs" dxfId="8" priority="42" operator="lessThan">
      <formula>0</formula>
    </cfRule>
  </conditionalFormatting>
  <conditionalFormatting sqref="E20:G20">
    <cfRule type="cellIs" dxfId="7" priority="41" operator="lessThan">
      <formula>0</formula>
    </cfRule>
  </conditionalFormatting>
  <conditionalFormatting sqref="D20">
    <cfRule type="cellIs" dxfId="6" priority="40" operator="lessThan">
      <formula>0</formula>
    </cfRule>
  </conditionalFormatting>
  <conditionalFormatting sqref="B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8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:C8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7:B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8:L8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7:L8">
    <cfRule type="colorScale" priority="19">
      <colorScale>
        <cfvo type="min"/>
        <cfvo type="max"/>
        <color rgb="FFFFEF9C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7:G8">
    <cfRule type="colorScale" priority="20">
      <colorScale>
        <cfvo type="min"/>
        <cfvo type="max"/>
        <color rgb="FFFFEF9C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7:E8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8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">
    <cfRule type="cellIs" dxfId="5" priority="16" operator="greaterThanOrEqual">
      <formula>0</formula>
    </cfRule>
  </conditionalFormatting>
  <conditionalFormatting sqref="I20">
    <cfRule type="cellIs" dxfId="4" priority="15" operator="lessThan">
      <formula>0</formula>
    </cfRule>
  </conditionalFormatting>
  <conditionalFormatting sqref="I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7:I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">
    <cfRule type="cellIs" dxfId="3" priority="10" operator="greaterThanOrEqual">
      <formula>0</formula>
    </cfRule>
  </conditionalFormatting>
  <conditionalFormatting sqref="O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">
    <cfRule type="cellIs" dxfId="2" priority="9" operator="lessThan">
      <formula>0</formula>
    </cfRule>
  </conditionalFormatting>
  <conditionalFormatting sqref="P7:P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">
    <cfRule type="cellIs" dxfId="1" priority="6" operator="greaterThanOrEqual">
      <formula>0</formula>
    </cfRule>
  </conditionalFormatting>
  <conditionalFormatting sqref="P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">
    <cfRule type="cellIs" dxfId="0" priority="5" operator="lessThan">
      <formula>0</formula>
    </cfRule>
  </conditionalFormatting>
  <conditionalFormatting sqref="G7:G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rgb="FF00B050"/>
  </sheetPr>
  <dimension ref="A1:W45"/>
  <sheetViews>
    <sheetView zoomScale="80" zoomScaleNormal="80" workbookViewId="0">
      <selection activeCell="R29" sqref="R29"/>
    </sheetView>
  </sheetViews>
  <sheetFormatPr defaultColWidth="9.1796875" defaultRowHeight="14.5" x14ac:dyDescent="0.35"/>
  <cols>
    <col min="1" max="1" width="25.453125" style="34" bestFit="1" customWidth="1"/>
    <col min="2" max="2" width="14.81640625" style="33" bestFit="1" customWidth="1"/>
    <col min="3" max="3" width="12.1796875" style="33" bestFit="1" customWidth="1"/>
    <col min="4" max="4" width="8.81640625" style="33" customWidth="1"/>
    <col min="5" max="5" width="10.26953125" style="33" customWidth="1"/>
    <col min="6" max="6" width="19.453125" style="33" customWidth="1"/>
    <col min="7" max="7" width="9.7265625" style="33" customWidth="1"/>
    <col min="8" max="8" width="7.453125" style="33" customWidth="1"/>
    <col min="9" max="9" width="8.453125" style="33" customWidth="1"/>
    <col min="10" max="10" width="11" style="33" customWidth="1"/>
    <col min="11" max="11" width="14.26953125" style="33" customWidth="1"/>
    <col min="12" max="12" width="10" style="33" customWidth="1"/>
    <col min="13" max="13" width="7.26953125" style="33" customWidth="1"/>
    <col min="14" max="14" width="10.1796875" style="33" customWidth="1"/>
    <col min="15" max="15" width="11.453125" style="33" customWidth="1"/>
    <col min="16" max="16" width="8.26953125" style="33" customWidth="1"/>
    <col min="17" max="17" width="9.1796875" style="33"/>
    <col min="18" max="18" width="12" style="33" bestFit="1" customWidth="1"/>
    <col min="19" max="20" width="9.1796875" style="33"/>
    <col min="21" max="21" width="9.7265625" style="33" bestFit="1" customWidth="1"/>
    <col min="22" max="16384" width="9.1796875" style="33"/>
  </cols>
  <sheetData>
    <row r="1" spans="1:23" x14ac:dyDescent="0.35">
      <c r="S1" s="113"/>
      <c r="T1" s="113"/>
      <c r="U1" s="113"/>
      <c r="V1" s="113"/>
    </row>
    <row r="3" spans="1:23" ht="16" x14ac:dyDescent="0.4">
      <c r="Q3" s="74"/>
    </row>
    <row r="5" spans="1:23" x14ac:dyDescent="0.35">
      <c r="B5" s="114"/>
      <c r="C5" s="114"/>
      <c r="D5" s="114"/>
    </row>
    <row r="7" spans="1:23" x14ac:dyDescent="0.35">
      <c r="A7" s="32"/>
      <c r="B7" s="107" t="s">
        <v>13</v>
      </c>
      <c r="C7" s="108"/>
      <c r="D7" s="108"/>
      <c r="E7" s="108"/>
      <c r="F7" s="108"/>
      <c r="G7" s="108"/>
      <c r="H7" s="108"/>
      <c r="I7" s="108"/>
      <c r="J7" s="110" t="s">
        <v>14</v>
      </c>
      <c r="K7" s="111"/>
      <c r="L7" s="111"/>
      <c r="M7" s="111"/>
      <c r="N7" s="111"/>
      <c r="O7" s="111"/>
      <c r="P7" s="112"/>
      <c r="R7" s="34"/>
    </row>
    <row r="8" spans="1:23" x14ac:dyDescent="0.35">
      <c r="A8" s="32"/>
      <c r="B8" s="39" t="s">
        <v>6</v>
      </c>
      <c r="C8" s="39" t="s">
        <v>7</v>
      </c>
      <c r="D8" s="39" t="s">
        <v>8</v>
      </c>
      <c r="E8" s="39" t="s">
        <v>11</v>
      </c>
      <c r="F8" s="39" t="s">
        <v>19</v>
      </c>
      <c r="G8" s="39" t="s">
        <v>25</v>
      </c>
      <c r="H8" s="39" t="s">
        <v>15</v>
      </c>
      <c r="I8" s="52" t="s">
        <v>22</v>
      </c>
      <c r="J8" s="54" t="s">
        <v>24</v>
      </c>
      <c r="K8" s="39" t="s">
        <v>18</v>
      </c>
      <c r="L8" s="39" t="s">
        <v>26</v>
      </c>
      <c r="M8" s="39" t="s">
        <v>15</v>
      </c>
      <c r="N8" s="39" t="s">
        <v>10</v>
      </c>
      <c r="O8" s="39" t="s">
        <v>12</v>
      </c>
      <c r="P8" s="39" t="s">
        <v>22</v>
      </c>
      <c r="Q8" s="34"/>
      <c r="R8" s="36"/>
    </row>
    <row r="9" spans="1:23" x14ac:dyDescent="0.35">
      <c r="A9" s="35" t="s">
        <v>0</v>
      </c>
      <c r="B9" s="49">
        <v>995</v>
      </c>
      <c r="C9" s="49">
        <v>475</v>
      </c>
      <c r="D9" s="49">
        <v>85</v>
      </c>
      <c r="E9" s="49">
        <v>250</v>
      </c>
      <c r="F9" s="49"/>
      <c r="G9" s="49">
        <v>40</v>
      </c>
      <c r="H9" s="49">
        <v>9</v>
      </c>
      <c r="I9" s="66">
        <v>0.1</v>
      </c>
      <c r="J9" s="67">
        <v>0</v>
      </c>
      <c r="K9" s="49"/>
      <c r="L9" s="49">
        <v>30</v>
      </c>
      <c r="M9" s="49">
        <v>9</v>
      </c>
      <c r="N9" s="49">
        <v>1400</v>
      </c>
      <c r="O9" s="49">
        <v>200</v>
      </c>
      <c r="P9" s="50">
        <v>0.1</v>
      </c>
      <c r="Q9" s="34"/>
      <c r="R9" s="34"/>
      <c r="S9" s="113"/>
      <c r="T9" s="113"/>
      <c r="U9" s="113"/>
      <c r="V9" s="113"/>
      <c r="W9" s="113"/>
    </row>
    <row r="10" spans="1:23" x14ac:dyDescent="0.35">
      <c r="A10" s="35" t="s">
        <v>1</v>
      </c>
      <c r="B10" s="40">
        <f>IFERROR(AVERAGE(B$14:B$17),"")</f>
        <v>1548.3749999999998</v>
      </c>
      <c r="C10" s="40">
        <f t="shared" ref="C10:P10" si="0">IFERROR(AVERAGE(C$14:C$17),"")</f>
        <v>796</v>
      </c>
      <c r="D10" s="40">
        <f t="shared" si="0"/>
        <v>56.050000000000004</v>
      </c>
      <c r="E10" s="40">
        <f t="shared" si="0"/>
        <v>230.52499999999998</v>
      </c>
      <c r="F10" s="40">
        <f t="shared" si="0"/>
        <v>88794</v>
      </c>
      <c r="G10" s="40">
        <f t="shared" si="0"/>
        <v>23.349999999999998</v>
      </c>
      <c r="H10" s="40">
        <f t="shared" si="0"/>
        <v>10.375</v>
      </c>
      <c r="I10" s="53">
        <f t="shared" si="0"/>
        <v>29.125</v>
      </c>
      <c r="J10" s="55">
        <f t="shared" si="0"/>
        <v>39.174999999999997</v>
      </c>
      <c r="K10" s="40">
        <f t="shared" si="0"/>
        <v>91542</v>
      </c>
      <c r="L10" s="40">
        <f t="shared" si="0"/>
        <v>29.075000000000003</v>
      </c>
      <c r="M10" s="40">
        <f t="shared" si="0"/>
        <v>8.1750000000000007</v>
      </c>
      <c r="N10" s="40">
        <f t="shared" si="0"/>
        <v>1705.8249999999998</v>
      </c>
      <c r="O10" s="40">
        <f t="shared" si="0"/>
        <v>242.05</v>
      </c>
      <c r="P10" s="40">
        <f t="shared" si="0"/>
        <v>35.174999999999997</v>
      </c>
      <c r="Q10" s="34"/>
      <c r="R10" s="34"/>
    </row>
    <row r="11" spans="1:23" x14ac:dyDescent="0.35">
      <c r="A11" s="35" t="s">
        <v>2</v>
      </c>
      <c r="B11" s="40">
        <f t="shared" ref="B11:P11" si="1">IFERROR(AVERAGE(B$18:B$20),"")</f>
        <v>2851.9333333333329</v>
      </c>
      <c r="C11" s="40">
        <f t="shared" si="1"/>
        <v>821.4666666666667</v>
      </c>
      <c r="D11" s="40">
        <f t="shared" si="1"/>
        <v>75.133333333333326</v>
      </c>
      <c r="E11" s="40">
        <f t="shared" si="1"/>
        <v>350.66666666666669</v>
      </c>
      <c r="F11" s="40">
        <f t="shared" si="1"/>
        <v>118610.33333333333</v>
      </c>
      <c r="G11" s="40">
        <f t="shared" si="1"/>
        <v>26</v>
      </c>
      <c r="H11" s="40">
        <f t="shared" si="1"/>
        <v>14.4</v>
      </c>
      <c r="I11" s="53">
        <f t="shared" si="1"/>
        <v>26.966666666666669</v>
      </c>
      <c r="J11" s="55">
        <f t="shared" si="1"/>
        <v>34.4</v>
      </c>
      <c r="K11" s="40">
        <f t="shared" si="1"/>
        <v>96051.333333333328</v>
      </c>
      <c r="L11" s="40">
        <f t="shared" si="1"/>
        <v>23.666666666666668</v>
      </c>
      <c r="M11" s="40">
        <f t="shared" si="1"/>
        <v>8.7000000000000011</v>
      </c>
      <c r="N11" s="40">
        <f t="shared" si="1"/>
        <v>1822.1666666666667</v>
      </c>
      <c r="O11" s="40">
        <f t="shared" si="1"/>
        <v>208.5333333333333</v>
      </c>
      <c r="P11" s="40">
        <f t="shared" si="1"/>
        <v>42.233333333333334</v>
      </c>
      <c r="Q11" s="34"/>
      <c r="R11" s="36"/>
      <c r="S11" s="70"/>
    </row>
    <row r="12" spans="1:23" x14ac:dyDescent="0.35">
      <c r="A12" s="35" t="s">
        <v>27</v>
      </c>
      <c r="B12" s="48">
        <f t="shared" ref="B12:P12" si="2">IFERROR(ABS(B$10-B$11), "")</f>
        <v>1303.5583333333332</v>
      </c>
      <c r="C12" s="48">
        <f t="shared" si="2"/>
        <v>25.466666666666697</v>
      </c>
      <c r="D12" s="48">
        <f t="shared" si="2"/>
        <v>19.083333333333321</v>
      </c>
      <c r="E12" s="48">
        <f t="shared" si="2"/>
        <v>120.14166666666671</v>
      </c>
      <c r="F12" s="48">
        <f t="shared" si="2"/>
        <v>29816.333333333328</v>
      </c>
      <c r="G12" s="48">
        <f t="shared" si="2"/>
        <v>2.6500000000000021</v>
      </c>
      <c r="H12" s="48">
        <f t="shared" si="2"/>
        <v>4.0250000000000004</v>
      </c>
      <c r="I12" s="62">
        <f t="shared" si="2"/>
        <v>2.1583333333333314</v>
      </c>
      <c r="J12" s="64">
        <f t="shared" si="2"/>
        <v>4.7749999999999986</v>
      </c>
      <c r="K12" s="48">
        <f t="shared" si="2"/>
        <v>4509.3333333333285</v>
      </c>
      <c r="L12" s="48">
        <f t="shared" si="2"/>
        <v>5.408333333333335</v>
      </c>
      <c r="M12" s="48">
        <f t="shared" si="2"/>
        <v>0.52500000000000036</v>
      </c>
      <c r="N12" s="48">
        <f t="shared" si="2"/>
        <v>116.34166666666692</v>
      </c>
      <c r="O12" s="48">
        <f t="shared" si="2"/>
        <v>33.516666666666708</v>
      </c>
      <c r="P12" s="48">
        <f t="shared" si="2"/>
        <v>7.0583333333333371</v>
      </c>
      <c r="Q12" s="76"/>
      <c r="R12" s="34"/>
    </row>
    <row r="13" spans="1:23" x14ac:dyDescent="0.35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34"/>
    </row>
    <row r="14" spans="1:23" x14ac:dyDescent="0.35">
      <c r="A14" s="51">
        <v>44087</v>
      </c>
      <c r="B14" s="42">
        <v>1434.8</v>
      </c>
      <c r="C14" s="42">
        <v>857.3</v>
      </c>
      <c r="D14" s="42">
        <v>58.5</v>
      </c>
      <c r="E14" s="42">
        <v>212.6</v>
      </c>
      <c r="F14" s="43">
        <v>78144</v>
      </c>
      <c r="G14" s="42">
        <v>26.8</v>
      </c>
      <c r="H14" s="42">
        <v>8.5</v>
      </c>
      <c r="I14" s="56">
        <v>29</v>
      </c>
      <c r="J14" s="59">
        <v>43</v>
      </c>
      <c r="K14" s="43">
        <v>110809</v>
      </c>
      <c r="L14" s="42">
        <v>29.4</v>
      </c>
      <c r="M14" s="42">
        <v>9.1</v>
      </c>
      <c r="N14" s="42">
        <v>1427.1</v>
      </c>
      <c r="O14" s="42">
        <v>262.8</v>
      </c>
      <c r="P14" s="42">
        <v>29</v>
      </c>
      <c r="Q14" s="34"/>
      <c r="U14" s="38"/>
    </row>
    <row r="15" spans="1:23" x14ac:dyDescent="0.35">
      <c r="A15" s="51">
        <v>44088</v>
      </c>
      <c r="B15" s="42">
        <v>1239.9000000000001</v>
      </c>
      <c r="C15" s="42">
        <v>807.6</v>
      </c>
      <c r="D15" s="42">
        <v>56.9</v>
      </c>
      <c r="E15" s="42">
        <v>238.2</v>
      </c>
      <c r="F15" s="43">
        <v>94609</v>
      </c>
      <c r="G15" s="42">
        <v>23</v>
      </c>
      <c r="H15" s="42">
        <v>10.9</v>
      </c>
      <c r="I15" s="56">
        <v>31.6</v>
      </c>
      <c r="J15" s="59">
        <v>41.3</v>
      </c>
      <c r="K15" s="43">
        <v>103110</v>
      </c>
      <c r="L15" s="42">
        <v>32.6</v>
      </c>
      <c r="M15" s="42">
        <v>8.5</v>
      </c>
      <c r="N15" s="42">
        <v>1894.8</v>
      </c>
      <c r="O15" s="42">
        <v>277.2</v>
      </c>
      <c r="P15" s="42">
        <v>34.799999999999997</v>
      </c>
      <c r="Q15" s="34"/>
      <c r="R15" s="38"/>
      <c r="U15" s="38"/>
    </row>
    <row r="16" spans="1:23" x14ac:dyDescent="0.35">
      <c r="A16" s="51">
        <v>44089</v>
      </c>
      <c r="B16" s="42">
        <v>1636.1</v>
      </c>
      <c r="C16" s="42">
        <v>739.5</v>
      </c>
      <c r="D16" s="42">
        <v>48.2</v>
      </c>
      <c r="E16" s="42">
        <v>262.8</v>
      </c>
      <c r="F16" s="43">
        <v>103607</v>
      </c>
      <c r="G16" s="42">
        <v>20.399999999999999</v>
      </c>
      <c r="H16" s="42">
        <v>12.8</v>
      </c>
      <c r="I16" s="56">
        <v>33.299999999999997</v>
      </c>
      <c r="J16" s="59">
        <v>34.6</v>
      </c>
      <c r="K16" s="43">
        <v>84920</v>
      </c>
      <c r="L16" s="42">
        <v>27.2</v>
      </c>
      <c r="M16" s="42">
        <v>8.4</v>
      </c>
      <c r="N16" s="42">
        <v>2103.9</v>
      </c>
      <c r="O16" s="42">
        <v>248.5</v>
      </c>
      <c r="P16" s="42">
        <v>42</v>
      </c>
      <c r="Q16" s="34"/>
      <c r="R16" s="38"/>
      <c r="U16" s="38"/>
    </row>
    <row r="17" spans="1:21" ht="15.75" customHeight="1" x14ac:dyDescent="0.35">
      <c r="A17" s="51">
        <v>44090</v>
      </c>
      <c r="B17" s="46">
        <v>1882.7</v>
      </c>
      <c r="C17" s="46">
        <v>779.6</v>
      </c>
      <c r="D17" s="46">
        <v>60.6</v>
      </c>
      <c r="E17" s="46">
        <v>208.5</v>
      </c>
      <c r="F17" s="47">
        <v>78816</v>
      </c>
      <c r="G17" s="46">
        <v>23.2</v>
      </c>
      <c r="H17" s="46">
        <v>9.3000000000000007</v>
      </c>
      <c r="I17" s="57">
        <v>22.6</v>
      </c>
      <c r="J17" s="60">
        <v>37.799999999999997</v>
      </c>
      <c r="K17" s="47">
        <v>67329</v>
      </c>
      <c r="L17" s="46">
        <v>27.1</v>
      </c>
      <c r="M17" s="46">
        <v>6.7</v>
      </c>
      <c r="N17" s="46">
        <v>1397.5</v>
      </c>
      <c r="O17" s="46">
        <v>179.7</v>
      </c>
      <c r="P17" s="46">
        <v>34.9</v>
      </c>
      <c r="Q17" s="34"/>
      <c r="R17" s="38"/>
      <c r="U17" s="38"/>
    </row>
    <row r="18" spans="1:21" ht="15" customHeight="1" x14ac:dyDescent="0.35">
      <c r="A18" s="51">
        <v>44091</v>
      </c>
      <c r="B18" s="44">
        <v>2985.3</v>
      </c>
      <c r="C18" s="44">
        <v>1072.5</v>
      </c>
      <c r="D18" s="44">
        <v>70.2</v>
      </c>
      <c r="E18" s="44">
        <v>308.7</v>
      </c>
      <c r="F18" s="45">
        <v>120357</v>
      </c>
      <c r="G18" s="44">
        <v>28.6</v>
      </c>
      <c r="H18" s="44">
        <v>10.7</v>
      </c>
      <c r="I18" s="58">
        <v>25.4</v>
      </c>
      <c r="J18" s="61">
        <v>40.700000000000003</v>
      </c>
      <c r="K18" s="45">
        <v>78837</v>
      </c>
      <c r="L18" s="44">
        <v>27.2</v>
      </c>
      <c r="M18" s="44">
        <v>6.7</v>
      </c>
      <c r="N18" s="44">
        <v>1139.8</v>
      </c>
      <c r="O18" s="44">
        <v>184.2</v>
      </c>
      <c r="P18" s="44">
        <v>38.5</v>
      </c>
      <c r="Q18" s="34"/>
      <c r="R18" s="38"/>
      <c r="U18" s="38"/>
    </row>
    <row r="19" spans="1:21" x14ac:dyDescent="0.35">
      <c r="A19" s="51">
        <v>44092</v>
      </c>
      <c r="B19" s="44">
        <v>2824.7</v>
      </c>
      <c r="C19" s="44">
        <v>678.4</v>
      </c>
      <c r="D19" s="44">
        <v>97</v>
      </c>
      <c r="E19" s="44">
        <v>411</v>
      </c>
      <c r="F19" s="45">
        <v>116456</v>
      </c>
      <c r="G19" s="44">
        <v>27.3</v>
      </c>
      <c r="H19" s="44">
        <v>16.7</v>
      </c>
      <c r="I19" s="58">
        <v>22.1</v>
      </c>
      <c r="J19" s="61">
        <v>33.799999999999997</v>
      </c>
      <c r="K19" s="45">
        <v>95447</v>
      </c>
      <c r="L19" s="44">
        <v>24.8</v>
      </c>
      <c r="M19" s="44">
        <v>7.8</v>
      </c>
      <c r="N19" s="44">
        <v>1675.3</v>
      </c>
      <c r="O19" s="44">
        <v>199.1</v>
      </c>
      <c r="P19" s="44">
        <v>44.7</v>
      </c>
      <c r="Q19" s="34"/>
      <c r="R19" s="38"/>
      <c r="U19" s="38"/>
    </row>
    <row r="20" spans="1:21" x14ac:dyDescent="0.35">
      <c r="A20" s="51">
        <v>44093</v>
      </c>
      <c r="B20" s="44">
        <v>2745.8</v>
      </c>
      <c r="C20" s="44">
        <v>713.5</v>
      </c>
      <c r="D20" s="44">
        <v>58.2</v>
      </c>
      <c r="E20" s="44">
        <v>332.3</v>
      </c>
      <c r="F20" s="45">
        <v>119018</v>
      </c>
      <c r="G20" s="44">
        <v>22.1</v>
      </c>
      <c r="H20" s="44">
        <v>15.8</v>
      </c>
      <c r="I20" s="58">
        <v>33.4</v>
      </c>
      <c r="J20" s="61">
        <v>28.7</v>
      </c>
      <c r="K20" s="45">
        <v>113870</v>
      </c>
      <c r="L20" s="44">
        <v>19</v>
      </c>
      <c r="M20" s="44">
        <v>11.6</v>
      </c>
      <c r="N20" s="44">
        <v>2651.4</v>
      </c>
      <c r="O20" s="44">
        <v>242.3</v>
      </c>
      <c r="P20" s="44">
        <v>43.5</v>
      </c>
      <c r="Q20" s="34"/>
      <c r="R20" s="38"/>
      <c r="U20" s="38"/>
    </row>
    <row r="21" spans="1:21" x14ac:dyDescent="0.35">
      <c r="A21" s="35"/>
      <c r="B21" s="76"/>
      <c r="C21" s="76"/>
      <c r="D21" s="76"/>
      <c r="E21" s="76"/>
      <c r="F21" s="37"/>
      <c r="G21" s="76"/>
      <c r="H21" s="76"/>
      <c r="I21" s="76"/>
      <c r="J21" s="76"/>
      <c r="K21" s="37"/>
      <c r="L21" s="76"/>
      <c r="M21" s="76"/>
      <c r="N21" s="76"/>
      <c r="O21" s="76"/>
      <c r="P21" s="76"/>
      <c r="Q21" s="34"/>
      <c r="R21" s="38"/>
    </row>
    <row r="22" spans="1:21" x14ac:dyDescent="0.35">
      <c r="A22" s="35" t="s">
        <v>3</v>
      </c>
      <c r="B22" s="48">
        <v>3451.6328571428571</v>
      </c>
      <c r="C22" s="48">
        <v>866.14285714285711</v>
      </c>
      <c r="D22" s="48">
        <v>68.702857142857141</v>
      </c>
      <c r="E22" s="48">
        <v>435.13</v>
      </c>
      <c r="F22" s="48">
        <v>142606.42857142858</v>
      </c>
      <c r="G22" s="48">
        <v>31.714285714285715</v>
      </c>
      <c r="H22" s="48">
        <v>15.251428571428571</v>
      </c>
      <c r="I22" s="62">
        <v>28.022857142857141</v>
      </c>
      <c r="J22" s="64">
        <v>29.338571428571431</v>
      </c>
      <c r="K22" s="48">
        <v>99238.428571428565</v>
      </c>
      <c r="L22" s="48">
        <v>31.714285714285715</v>
      </c>
      <c r="M22" s="48">
        <v>10.144285714285713</v>
      </c>
      <c r="N22" s="48">
        <v>2303.8871428571429</v>
      </c>
      <c r="O22" s="48">
        <v>310.72714285714289</v>
      </c>
      <c r="P22" s="48">
        <v>30.675714285714289</v>
      </c>
      <c r="Q22" s="34"/>
    </row>
    <row r="23" spans="1:21" x14ac:dyDescent="0.35">
      <c r="A23" s="35" t="s">
        <v>4</v>
      </c>
      <c r="B23" s="48">
        <f t="shared" ref="B23:N23" si="3">IFERROR(AVERAGE(B14:B20),"")</f>
        <v>2107.042857142857</v>
      </c>
      <c r="C23" s="48">
        <f>IFERROR(AVERAGE(C14:C20),"")</f>
        <v>806.91428571428571</v>
      </c>
      <c r="D23" s="48">
        <f>IFERROR(AVERAGE(D14:D20),"")</f>
        <v>64.228571428571428</v>
      </c>
      <c r="E23" s="48">
        <f>IFERROR(AVERAGE(E14:E20),"")</f>
        <v>282.01428571428568</v>
      </c>
      <c r="F23" s="48">
        <f t="shared" si="3"/>
        <v>101572.42857142857</v>
      </c>
      <c r="G23" s="48">
        <f t="shared" si="3"/>
        <v>24.485714285714288</v>
      </c>
      <c r="H23" s="48">
        <f t="shared" si="3"/>
        <v>12.1</v>
      </c>
      <c r="I23" s="62">
        <f t="shared" si="3"/>
        <v>28.2</v>
      </c>
      <c r="J23" s="64">
        <f>IFERROR(AVERAGE(J14:J20),"")</f>
        <v>37.128571428571426</v>
      </c>
      <c r="K23" s="48">
        <f>IFERROR(AVERAGE(K14:K20),"")</f>
        <v>93474.571428571435</v>
      </c>
      <c r="L23" s="48">
        <f>IFERROR(AVERAGE(L14:L20),"")</f>
        <v>26.75714285714286</v>
      </c>
      <c r="M23" s="48">
        <f>IFERROR(AVERAGE(M14:M20),"")</f>
        <v>8.4</v>
      </c>
      <c r="N23" s="48">
        <f t="shared" si="3"/>
        <v>1755.6857142857141</v>
      </c>
      <c r="O23" s="48">
        <f>IFERROR(AVERAGE(O14:O20),"")</f>
        <v>227.68571428571428</v>
      </c>
      <c r="P23" s="48">
        <f>IFERROR(AVERAGE(P14:P20),"")</f>
        <v>38.199999999999996</v>
      </c>
      <c r="Q23" s="34"/>
    </row>
    <row r="24" spans="1:21" x14ac:dyDescent="0.35">
      <c r="A24" s="35" t="s">
        <v>5</v>
      </c>
      <c r="B24" s="41">
        <f t="shared" ref="B24:P24" si="4">IFERROR(-(B22-B23)/B22,"")</f>
        <v>-0.38955186013410636</v>
      </c>
      <c r="C24" s="41">
        <f t="shared" si="4"/>
        <v>-6.8381989114299824E-2</v>
      </c>
      <c r="D24" s="41">
        <f t="shared" si="4"/>
        <v>-6.5125176744572896E-2</v>
      </c>
      <c r="E24" s="41">
        <f t="shared" si="4"/>
        <v>-0.3518849867527275</v>
      </c>
      <c r="F24" s="41">
        <f t="shared" si="4"/>
        <v>-0.28774298894559963</v>
      </c>
      <c r="G24" s="41">
        <f t="shared" si="4"/>
        <v>-0.2279279279279279</v>
      </c>
      <c r="H24" s="41">
        <f t="shared" si="4"/>
        <v>-0.20663169726489322</v>
      </c>
      <c r="I24" s="63">
        <f t="shared" si="4"/>
        <v>6.3213703099510889E-3</v>
      </c>
      <c r="J24" s="65">
        <f t="shared" si="4"/>
        <v>0.26552076739543246</v>
      </c>
      <c r="K24" s="41">
        <f t="shared" si="4"/>
        <v>-5.8080898960512009E-2</v>
      </c>
      <c r="L24" s="41">
        <f t="shared" si="4"/>
        <v>-0.15630630630630624</v>
      </c>
      <c r="M24" s="41">
        <f t="shared" si="4"/>
        <v>-0.17194761301225167</v>
      </c>
      <c r="N24" s="41">
        <f t="shared" si="4"/>
        <v>-0.23794630317333262</v>
      </c>
      <c r="O24" s="41">
        <f t="shared" si="4"/>
        <v>-0.26724871154756824</v>
      </c>
      <c r="P24" s="41">
        <f t="shared" si="4"/>
        <v>0.24528477623061493</v>
      </c>
    </row>
    <row r="25" spans="1:21" x14ac:dyDescent="0.35">
      <c r="B25" s="73" t="s">
        <v>28</v>
      </c>
      <c r="C25" s="75"/>
      <c r="D25" s="75"/>
      <c r="E25" s="75"/>
      <c r="F25" s="75"/>
      <c r="G25" s="75"/>
      <c r="H25" s="75"/>
      <c r="I25" s="75"/>
      <c r="J25" s="75"/>
      <c r="K25" s="75"/>
      <c r="L25" s="75"/>
      <c r="M25" s="75"/>
      <c r="N25" s="75"/>
      <c r="O25" s="75"/>
      <c r="P25" s="75"/>
    </row>
    <row r="26" spans="1:21" x14ac:dyDescent="0.35">
      <c r="B26" s="75"/>
      <c r="C26" s="75"/>
      <c r="D26" s="75"/>
      <c r="E26" s="75"/>
      <c r="F26" s="75"/>
      <c r="G26" s="75"/>
      <c r="H26" s="75"/>
      <c r="I26" s="75"/>
      <c r="J26" s="75"/>
      <c r="K26" s="75"/>
      <c r="L26" s="75"/>
      <c r="M26" s="75"/>
      <c r="N26" s="75"/>
      <c r="O26" s="75"/>
      <c r="P26" s="75"/>
    </row>
    <row r="27" spans="1:21" x14ac:dyDescent="0.35">
      <c r="A27" s="32"/>
      <c r="B27" s="107" t="s">
        <v>13</v>
      </c>
      <c r="C27" s="108"/>
      <c r="D27" s="108"/>
      <c r="E27" s="108"/>
      <c r="F27" s="108"/>
      <c r="G27" s="108"/>
      <c r="H27" s="108"/>
      <c r="I27" s="109"/>
      <c r="J27" s="110" t="s">
        <v>14</v>
      </c>
      <c r="K27" s="111"/>
      <c r="L27" s="111"/>
      <c r="M27" s="111"/>
      <c r="N27" s="111"/>
      <c r="O27" s="111"/>
      <c r="P27" s="112"/>
    </row>
    <row r="28" spans="1:21" x14ac:dyDescent="0.35">
      <c r="A28" s="32"/>
      <c r="B28" s="39" t="s">
        <v>6</v>
      </c>
      <c r="C28" s="39" t="s">
        <v>7</v>
      </c>
      <c r="D28" s="39" t="s">
        <v>8</v>
      </c>
      <c r="E28" s="39" t="s">
        <v>11</v>
      </c>
      <c r="F28" s="39" t="s">
        <v>19</v>
      </c>
      <c r="G28" s="39" t="s">
        <v>25</v>
      </c>
      <c r="H28" s="39" t="s">
        <v>15</v>
      </c>
      <c r="I28" s="52" t="s">
        <v>22</v>
      </c>
      <c r="J28" s="54" t="s">
        <v>24</v>
      </c>
      <c r="K28" s="39" t="s">
        <v>18</v>
      </c>
      <c r="L28" s="39" t="s">
        <v>26</v>
      </c>
      <c r="M28" s="39" t="s">
        <v>15</v>
      </c>
      <c r="N28" s="39" t="s">
        <v>10</v>
      </c>
      <c r="O28" s="39" t="s">
        <v>12</v>
      </c>
      <c r="P28" s="39" t="s">
        <v>22</v>
      </c>
      <c r="Q28" s="34"/>
    </row>
    <row r="29" spans="1:21" x14ac:dyDescent="0.35">
      <c r="A29" s="35" t="s">
        <v>0</v>
      </c>
      <c r="B29" s="49">
        <v>995</v>
      </c>
      <c r="C29" s="49">
        <v>475</v>
      </c>
      <c r="D29" s="49">
        <v>85</v>
      </c>
      <c r="E29" s="49">
        <v>250</v>
      </c>
      <c r="F29" s="49"/>
      <c r="G29" s="49">
        <v>40</v>
      </c>
      <c r="H29" s="49">
        <v>9</v>
      </c>
      <c r="I29" s="66">
        <v>0.1</v>
      </c>
      <c r="J29" s="67">
        <v>0</v>
      </c>
      <c r="K29" s="49"/>
      <c r="L29" s="49">
        <v>30</v>
      </c>
      <c r="M29" s="49">
        <v>9</v>
      </c>
      <c r="N29" s="49">
        <v>1400</v>
      </c>
      <c r="O29" s="49">
        <v>200</v>
      </c>
      <c r="P29" s="50">
        <v>0.1</v>
      </c>
      <c r="Q29" s="34"/>
    </row>
    <row r="30" spans="1:21" x14ac:dyDescent="0.35">
      <c r="A30" s="35" t="s">
        <v>1</v>
      </c>
      <c r="B30" s="40">
        <f t="shared" ref="B30:P30" si="5">IFERROR(AVERAGE(B$34:B$36),"")</f>
        <v>1436.9333333333332</v>
      </c>
      <c r="C30" s="40">
        <f t="shared" si="5"/>
        <v>801.4666666666667</v>
      </c>
      <c r="D30" s="40">
        <f t="shared" si="5"/>
        <v>54.533333333333339</v>
      </c>
      <c r="E30" s="40">
        <f t="shared" si="5"/>
        <v>237.86666666666665</v>
      </c>
      <c r="F30" s="40">
        <f t="shared" si="5"/>
        <v>92120</v>
      </c>
      <c r="G30" s="40">
        <f t="shared" si="5"/>
        <v>23.399999999999995</v>
      </c>
      <c r="H30" s="40">
        <f t="shared" si="5"/>
        <v>10.733333333333334</v>
      </c>
      <c r="I30" s="53">
        <f t="shared" si="5"/>
        <v>31.3</v>
      </c>
      <c r="J30" s="55">
        <f t="shared" si="5"/>
        <v>39.633333333333333</v>
      </c>
      <c r="K30" s="40">
        <f t="shared" si="5"/>
        <v>99613</v>
      </c>
      <c r="L30" s="40">
        <f t="shared" si="5"/>
        <v>29.733333333333334</v>
      </c>
      <c r="M30" s="40">
        <f t="shared" si="5"/>
        <v>8.6666666666666661</v>
      </c>
      <c r="N30" s="40">
        <f t="shared" si="5"/>
        <v>1808.5999999999997</v>
      </c>
      <c r="O30" s="40">
        <f t="shared" si="5"/>
        <v>262.83333333333331</v>
      </c>
      <c r="P30" s="40">
        <f t="shared" si="5"/>
        <v>35.266666666666666</v>
      </c>
      <c r="Q30" s="34"/>
    </row>
    <row r="31" spans="1:21" x14ac:dyDescent="0.35">
      <c r="A31" s="35" t="s">
        <v>2</v>
      </c>
      <c r="B31" s="40">
        <f>IFERROR(AVERAGE(B$37:B$40),"")</f>
        <v>2609.625</v>
      </c>
      <c r="C31" s="40">
        <f t="shared" ref="C31:P31" si="6">IFERROR(AVERAGE(C$37:C$40),"")</f>
        <v>811</v>
      </c>
      <c r="D31" s="40">
        <f t="shared" si="6"/>
        <v>71.5</v>
      </c>
      <c r="E31" s="40">
        <f t="shared" si="6"/>
        <v>315.125</v>
      </c>
      <c r="F31" s="40">
        <f t="shared" si="6"/>
        <v>108661.75</v>
      </c>
      <c r="G31" s="40">
        <f t="shared" si="6"/>
        <v>25.299999999999997</v>
      </c>
      <c r="H31" s="40">
        <f t="shared" si="6"/>
        <v>13.125</v>
      </c>
      <c r="I31" s="53">
        <f t="shared" si="6"/>
        <v>25.875</v>
      </c>
      <c r="J31" s="55">
        <f t="shared" si="6"/>
        <v>35.25</v>
      </c>
      <c r="K31" s="40">
        <f t="shared" si="6"/>
        <v>88870.75</v>
      </c>
      <c r="L31" s="40">
        <f t="shared" si="6"/>
        <v>24.524999999999999</v>
      </c>
      <c r="M31" s="40">
        <f t="shared" si="6"/>
        <v>8.1999999999999993</v>
      </c>
      <c r="N31" s="40">
        <f t="shared" si="6"/>
        <v>1716</v>
      </c>
      <c r="O31" s="40">
        <f t="shared" si="6"/>
        <v>201.32499999999999</v>
      </c>
      <c r="P31" s="40">
        <f t="shared" si="6"/>
        <v>40.400000000000006</v>
      </c>
      <c r="Q31" s="34"/>
    </row>
    <row r="32" spans="1:21" x14ac:dyDescent="0.35">
      <c r="A32" s="35" t="s">
        <v>27</v>
      </c>
      <c r="B32" s="48">
        <f t="shared" ref="B32:P32" si="7">IFERROR(ABS(B$31-B$30), "")</f>
        <v>1172.6916666666668</v>
      </c>
      <c r="C32" s="48">
        <f t="shared" si="7"/>
        <v>9.533333333333303</v>
      </c>
      <c r="D32" s="48">
        <f t="shared" si="7"/>
        <v>16.966666666666661</v>
      </c>
      <c r="E32" s="48">
        <f t="shared" si="7"/>
        <v>77.258333333333354</v>
      </c>
      <c r="F32" s="48">
        <f t="shared" si="7"/>
        <v>16541.75</v>
      </c>
      <c r="G32" s="48">
        <f t="shared" si="7"/>
        <v>1.9000000000000021</v>
      </c>
      <c r="H32" s="48">
        <f t="shared" si="7"/>
        <v>2.3916666666666657</v>
      </c>
      <c r="I32" s="62">
        <f t="shared" si="7"/>
        <v>5.4250000000000007</v>
      </c>
      <c r="J32" s="64">
        <f t="shared" si="7"/>
        <v>4.3833333333333329</v>
      </c>
      <c r="K32" s="48">
        <f t="shared" si="7"/>
        <v>10742.25</v>
      </c>
      <c r="L32" s="48">
        <f t="shared" si="7"/>
        <v>5.2083333333333357</v>
      </c>
      <c r="M32" s="48">
        <f t="shared" si="7"/>
        <v>0.46666666666666679</v>
      </c>
      <c r="N32" s="48">
        <f t="shared" si="7"/>
        <v>92.599999999999682</v>
      </c>
      <c r="O32" s="48">
        <f t="shared" si="7"/>
        <v>61.508333333333326</v>
      </c>
      <c r="P32" s="48">
        <f t="shared" si="7"/>
        <v>5.13333333333334</v>
      </c>
      <c r="Q32" s="72"/>
    </row>
    <row r="33" spans="1:18" x14ac:dyDescent="0.3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</row>
    <row r="34" spans="1:18" x14ac:dyDescent="0.35">
      <c r="A34" s="51">
        <v>44087</v>
      </c>
      <c r="B34" s="42">
        <v>1434.8</v>
      </c>
      <c r="C34" s="42">
        <v>857.3</v>
      </c>
      <c r="D34" s="42">
        <v>58.5</v>
      </c>
      <c r="E34" s="42">
        <v>212.6</v>
      </c>
      <c r="F34" s="43">
        <v>78144</v>
      </c>
      <c r="G34" s="42">
        <v>26.8</v>
      </c>
      <c r="H34" s="42">
        <v>8.5</v>
      </c>
      <c r="I34" s="56">
        <v>29</v>
      </c>
      <c r="J34" s="59">
        <v>43</v>
      </c>
      <c r="K34" s="43">
        <v>110809</v>
      </c>
      <c r="L34" s="42">
        <v>29.4</v>
      </c>
      <c r="M34" s="42">
        <v>9.1</v>
      </c>
      <c r="N34" s="42">
        <v>1427.1</v>
      </c>
      <c r="O34" s="42">
        <v>262.8</v>
      </c>
      <c r="P34" s="42">
        <v>29</v>
      </c>
      <c r="Q34" s="34"/>
    </row>
    <row r="35" spans="1:18" x14ac:dyDescent="0.35">
      <c r="A35" s="51">
        <v>44088</v>
      </c>
      <c r="B35" s="42">
        <v>1239.9000000000001</v>
      </c>
      <c r="C35" s="42">
        <v>807.6</v>
      </c>
      <c r="D35" s="42">
        <v>56.9</v>
      </c>
      <c r="E35" s="42">
        <v>238.2</v>
      </c>
      <c r="F35" s="43">
        <v>94609</v>
      </c>
      <c r="G35" s="42">
        <v>23</v>
      </c>
      <c r="H35" s="42">
        <v>10.9</v>
      </c>
      <c r="I35" s="56">
        <v>31.6</v>
      </c>
      <c r="J35" s="59">
        <v>41.3</v>
      </c>
      <c r="K35" s="43">
        <v>103110</v>
      </c>
      <c r="L35" s="42">
        <v>32.6</v>
      </c>
      <c r="M35" s="42">
        <v>8.5</v>
      </c>
      <c r="N35" s="42">
        <v>1894.8</v>
      </c>
      <c r="O35" s="42">
        <v>277.2</v>
      </c>
      <c r="P35" s="42">
        <v>34.799999999999997</v>
      </c>
      <c r="Q35" s="34"/>
    </row>
    <row r="36" spans="1:18" x14ac:dyDescent="0.35">
      <c r="A36" s="51">
        <v>44089</v>
      </c>
      <c r="B36" s="42">
        <v>1636.1</v>
      </c>
      <c r="C36" s="42">
        <v>739.5</v>
      </c>
      <c r="D36" s="42">
        <v>48.2</v>
      </c>
      <c r="E36" s="42">
        <v>262.8</v>
      </c>
      <c r="F36" s="43">
        <v>103607</v>
      </c>
      <c r="G36" s="42">
        <v>20.399999999999999</v>
      </c>
      <c r="H36" s="42">
        <v>12.8</v>
      </c>
      <c r="I36" s="56">
        <v>33.299999999999997</v>
      </c>
      <c r="J36" s="59">
        <v>34.6</v>
      </c>
      <c r="K36" s="43">
        <v>84920</v>
      </c>
      <c r="L36" s="42">
        <v>27.2</v>
      </c>
      <c r="M36" s="42">
        <v>8.4</v>
      </c>
      <c r="N36" s="42">
        <v>2103.9</v>
      </c>
      <c r="O36" s="42">
        <v>248.5</v>
      </c>
      <c r="P36" s="42">
        <v>42</v>
      </c>
      <c r="Q36" s="34"/>
    </row>
    <row r="37" spans="1:18" x14ac:dyDescent="0.35">
      <c r="A37" s="51">
        <v>44090</v>
      </c>
      <c r="B37" s="46">
        <v>1882.7</v>
      </c>
      <c r="C37" s="46">
        <v>779.6</v>
      </c>
      <c r="D37" s="46">
        <v>60.6</v>
      </c>
      <c r="E37" s="46">
        <v>208.5</v>
      </c>
      <c r="F37" s="47">
        <v>78816</v>
      </c>
      <c r="G37" s="46">
        <v>23.2</v>
      </c>
      <c r="H37" s="46">
        <v>9.3000000000000007</v>
      </c>
      <c r="I37" s="57">
        <v>22.6</v>
      </c>
      <c r="J37" s="60">
        <v>37.799999999999997</v>
      </c>
      <c r="K37" s="47">
        <v>67329</v>
      </c>
      <c r="L37" s="46">
        <v>27.1</v>
      </c>
      <c r="M37" s="46">
        <v>6.7</v>
      </c>
      <c r="N37" s="46">
        <v>1397.5</v>
      </c>
      <c r="O37" s="46">
        <v>179.7</v>
      </c>
      <c r="P37" s="46">
        <v>34.9</v>
      </c>
      <c r="Q37" s="34"/>
    </row>
    <row r="38" spans="1:18" x14ac:dyDescent="0.35">
      <c r="A38" s="51">
        <v>44091</v>
      </c>
      <c r="B38" s="44">
        <v>2985.3</v>
      </c>
      <c r="C38" s="44">
        <v>1072.5</v>
      </c>
      <c r="D38" s="44">
        <v>70.2</v>
      </c>
      <c r="E38" s="44">
        <v>308.7</v>
      </c>
      <c r="F38" s="45">
        <v>120357</v>
      </c>
      <c r="G38" s="44">
        <v>28.6</v>
      </c>
      <c r="H38" s="44">
        <v>10.7</v>
      </c>
      <c r="I38" s="58">
        <v>25.4</v>
      </c>
      <c r="J38" s="61">
        <v>40.700000000000003</v>
      </c>
      <c r="K38" s="45">
        <v>78837</v>
      </c>
      <c r="L38" s="44">
        <v>27.2</v>
      </c>
      <c r="M38" s="44">
        <v>6.7</v>
      </c>
      <c r="N38" s="44">
        <v>1139.8</v>
      </c>
      <c r="O38" s="44">
        <v>184.2</v>
      </c>
      <c r="P38" s="44">
        <v>38.5</v>
      </c>
      <c r="Q38" s="34"/>
    </row>
    <row r="39" spans="1:18" x14ac:dyDescent="0.35">
      <c r="A39" s="51">
        <v>44092</v>
      </c>
      <c r="B39" s="44">
        <v>2824.7</v>
      </c>
      <c r="C39" s="44">
        <v>678.4</v>
      </c>
      <c r="D39" s="44">
        <v>97</v>
      </c>
      <c r="E39" s="44">
        <v>411</v>
      </c>
      <c r="F39" s="45">
        <v>116456</v>
      </c>
      <c r="G39" s="44">
        <v>27.3</v>
      </c>
      <c r="H39" s="44">
        <v>16.7</v>
      </c>
      <c r="I39" s="58">
        <v>22.1</v>
      </c>
      <c r="J39" s="61">
        <v>33.799999999999997</v>
      </c>
      <c r="K39" s="45">
        <v>95447</v>
      </c>
      <c r="L39" s="44">
        <v>24.8</v>
      </c>
      <c r="M39" s="44">
        <v>7.8</v>
      </c>
      <c r="N39" s="44">
        <v>1675.3</v>
      </c>
      <c r="O39" s="44">
        <v>199.1</v>
      </c>
      <c r="P39" s="44">
        <v>44.7</v>
      </c>
      <c r="Q39" s="34"/>
    </row>
    <row r="40" spans="1:18" x14ac:dyDescent="0.35">
      <c r="A40" s="51">
        <v>44093</v>
      </c>
      <c r="B40" s="44">
        <v>2745.8</v>
      </c>
      <c r="C40" s="44">
        <v>713.5</v>
      </c>
      <c r="D40" s="44">
        <v>58.2</v>
      </c>
      <c r="E40" s="44">
        <v>332.3</v>
      </c>
      <c r="F40" s="45">
        <v>119018</v>
      </c>
      <c r="G40" s="44">
        <v>22.1</v>
      </c>
      <c r="H40" s="44">
        <v>15.8</v>
      </c>
      <c r="I40" s="58">
        <v>33.4</v>
      </c>
      <c r="J40" s="61">
        <v>28.7</v>
      </c>
      <c r="K40" s="45">
        <v>113870</v>
      </c>
      <c r="L40" s="44">
        <v>19</v>
      </c>
      <c r="M40" s="44">
        <v>11.6</v>
      </c>
      <c r="N40" s="44">
        <v>2651.4</v>
      </c>
      <c r="O40" s="44">
        <v>242.3</v>
      </c>
      <c r="P40" s="44">
        <v>43.5</v>
      </c>
      <c r="Q40" s="34"/>
    </row>
    <row r="41" spans="1:18" x14ac:dyDescent="0.35">
      <c r="A41" s="35"/>
      <c r="B41" s="76"/>
      <c r="C41" s="76"/>
      <c r="D41" s="76"/>
      <c r="E41" s="76"/>
      <c r="F41" s="37"/>
      <c r="G41" s="76"/>
      <c r="H41" s="76"/>
      <c r="I41" s="76"/>
      <c r="J41" s="76"/>
      <c r="K41" s="37"/>
      <c r="L41" s="76"/>
      <c r="M41" s="76"/>
      <c r="N41" s="76"/>
      <c r="O41" s="76"/>
      <c r="P41" s="76"/>
      <c r="Q41" s="34"/>
    </row>
    <row r="42" spans="1:18" x14ac:dyDescent="0.35">
      <c r="A42" s="35" t="s">
        <v>3</v>
      </c>
      <c r="B42" s="48">
        <v>3451.6328571428571</v>
      </c>
      <c r="C42" s="48">
        <v>866.14285714285711</v>
      </c>
      <c r="D42" s="48">
        <v>68.702857142857141</v>
      </c>
      <c r="E42" s="48">
        <v>435.13</v>
      </c>
      <c r="F42" s="48">
        <v>142606.42857142858</v>
      </c>
      <c r="G42" s="48">
        <v>31.714285714285715</v>
      </c>
      <c r="H42" s="48">
        <v>15.251428571428571</v>
      </c>
      <c r="I42" s="62">
        <v>28.022857142857141</v>
      </c>
      <c r="J42" s="64">
        <v>29.338571428571431</v>
      </c>
      <c r="K42" s="48">
        <v>99238.428571428565</v>
      </c>
      <c r="L42" s="48">
        <v>31.714285714285715</v>
      </c>
      <c r="M42" s="48">
        <v>10.144285714285713</v>
      </c>
      <c r="N42" s="48">
        <v>2303.8871428571429</v>
      </c>
      <c r="O42" s="48">
        <v>310.72714285714289</v>
      </c>
      <c r="P42" s="48">
        <v>30.675714285714289</v>
      </c>
      <c r="Q42" s="34"/>
    </row>
    <row r="43" spans="1:18" x14ac:dyDescent="0.35">
      <c r="A43" s="35" t="s">
        <v>4</v>
      </c>
      <c r="B43" s="48">
        <f>IFERROR(AVERAGE(B34:B40),"")</f>
        <v>2107.042857142857</v>
      </c>
      <c r="C43" s="48">
        <f>IFERROR(AVERAGE(C34:C40),"")</f>
        <v>806.91428571428571</v>
      </c>
      <c r="D43" s="48">
        <f>IFERROR(AVERAGE(D34:D40),"")</f>
        <v>64.228571428571428</v>
      </c>
      <c r="E43" s="48">
        <f>IFERROR(AVERAGE(E34:E40),"")</f>
        <v>282.01428571428568</v>
      </c>
      <c r="F43" s="48">
        <f t="shared" ref="F43:N43" si="8">IFERROR(AVERAGE(F34:F40),"")</f>
        <v>101572.42857142857</v>
      </c>
      <c r="G43" s="48">
        <f t="shared" si="8"/>
        <v>24.485714285714288</v>
      </c>
      <c r="H43" s="48">
        <f t="shared" si="8"/>
        <v>12.1</v>
      </c>
      <c r="I43" s="62">
        <f t="shared" si="8"/>
        <v>28.2</v>
      </c>
      <c r="J43" s="64">
        <f>IFERROR(AVERAGE(J34:J40),"")</f>
        <v>37.128571428571426</v>
      </c>
      <c r="K43" s="48">
        <f>IFERROR(AVERAGE(K34:K40),"")</f>
        <v>93474.571428571435</v>
      </c>
      <c r="L43" s="48">
        <f>IFERROR(AVERAGE(L34:L40),"")</f>
        <v>26.75714285714286</v>
      </c>
      <c r="M43" s="48">
        <f>IFERROR(AVERAGE(M34:M40),"")</f>
        <v>8.4</v>
      </c>
      <c r="N43" s="48">
        <f t="shared" si="8"/>
        <v>1755.6857142857141</v>
      </c>
      <c r="O43" s="48">
        <f>IFERROR(AVERAGE(O34:O40),"")</f>
        <v>227.68571428571428</v>
      </c>
      <c r="P43" s="48">
        <f>IFERROR(AVERAGE(P34:P40),"")</f>
        <v>38.199999999999996</v>
      </c>
      <c r="Q43" s="34"/>
    </row>
    <row r="44" spans="1:18" x14ac:dyDescent="0.35">
      <c r="A44" s="35" t="s">
        <v>5</v>
      </c>
      <c r="B44" s="41">
        <f>IFERROR((B43-B42)/B42,"")</f>
        <v>-0.38955186013410636</v>
      </c>
      <c r="C44" s="41">
        <f t="shared" ref="C44:P44" si="9">IFERROR(-(C42-C43)/C42,"")</f>
        <v>-6.8381989114299824E-2</v>
      </c>
      <c r="D44" s="41">
        <f t="shared" si="9"/>
        <v>-6.5125176744572896E-2</v>
      </c>
      <c r="E44" s="41">
        <f t="shared" si="9"/>
        <v>-0.3518849867527275</v>
      </c>
      <c r="F44" s="41">
        <f t="shared" si="9"/>
        <v>-0.28774298894559963</v>
      </c>
      <c r="G44" s="41">
        <f t="shared" si="9"/>
        <v>-0.2279279279279279</v>
      </c>
      <c r="H44" s="41">
        <f t="shared" si="9"/>
        <v>-0.20663169726489322</v>
      </c>
      <c r="I44" s="63">
        <f t="shared" si="9"/>
        <v>6.3213703099510889E-3</v>
      </c>
      <c r="J44" s="65">
        <f t="shared" si="9"/>
        <v>0.26552076739543246</v>
      </c>
      <c r="K44" s="41">
        <f t="shared" si="9"/>
        <v>-5.8080898960512009E-2</v>
      </c>
      <c r="L44" s="41">
        <f t="shared" si="9"/>
        <v>-0.15630630630630624</v>
      </c>
      <c r="M44" s="41">
        <f t="shared" si="9"/>
        <v>-0.17194761301225167</v>
      </c>
      <c r="N44" s="41">
        <f t="shared" si="9"/>
        <v>-0.23794630317333262</v>
      </c>
      <c r="O44" s="41">
        <f t="shared" si="9"/>
        <v>-0.26724871154756824</v>
      </c>
      <c r="P44" s="41">
        <f t="shared" si="9"/>
        <v>0.24528477623061493</v>
      </c>
    </row>
    <row r="45" spans="1:18" x14ac:dyDescent="0.35">
      <c r="B45" s="33" t="s">
        <v>29</v>
      </c>
    </row>
  </sheetData>
  <mergeCells count="7">
    <mergeCell ref="B27:I27"/>
    <mergeCell ref="J27:P27"/>
    <mergeCell ref="S1:V1"/>
    <mergeCell ref="B5:D5"/>
    <mergeCell ref="B7:I7"/>
    <mergeCell ref="J7:P7"/>
    <mergeCell ref="S9:W9"/>
  </mergeCells>
  <conditionalFormatting sqref="B10:P11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24:P24">
    <cfRule type="colorScale" priority="34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P31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4:P44">
    <cfRule type="colorScale" priority="32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B31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30:C31">
    <cfRule type="colorScale" priority="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0:D31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30:E31">
    <cfRule type="colorScale" priority="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30:F31">
    <cfRule type="colorScale" priority="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30:G31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0:H31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0:I31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0:J31">
    <cfRule type="colorScale" priority="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30:K31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0:L31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0:M31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0:N3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0:O31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0:P31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0:B11">
    <cfRule type="colorScale" priority="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0:C11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0:D11">
    <cfRule type="colorScale" priority="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0:E11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0:F11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10:G11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10:H11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10:I11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10:J11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10:K11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10:L11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0:M11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0:N11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10:O11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10:P11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paperSize="256" orientation="portrait" horizontalDpi="300" verticalDpi="3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rgb="FF00B050"/>
  </sheetPr>
  <dimension ref="A1:W45"/>
  <sheetViews>
    <sheetView zoomScale="80" zoomScaleNormal="80" workbookViewId="0">
      <selection activeCell="B43" sqref="B43:P43"/>
    </sheetView>
  </sheetViews>
  <sheetFormatPr defaultColWidth="9.1796875" defaultRowHeight="14.5" x14ac:dyDescent="0.35"/>
  <cols>
    <col min="1" max="1" width="25.453125" style="34" bestFit="1" customWidth="1"/>
    <col min="2" max="2" width="14.81640625" style="33" bestFit="1" customWidth="1"/>
    <col min="3" max="3" width="12.1796875" style="33" bestFit="1" customWidth="1"/>
    <col min="4" max="4" width="8.81640625" style="33" customWidth="1"/>
    <col min="5" max="5" width="10.26953125" style="33" customWidth="1"/>
    <col min="6" max="6" width="19.453125" style="33" customWidth="1"/>
    <col min="7" max="7" width="9.7265625" style="33" customWidth="1"/>
    <col min="8" max="8" width="7.453125" style="33" customWidth="1"/>
    <col min="9" max="9" width="8.453125" style="33" customWidth="1"/>
    <col min="10" max="10" width="11" style="33" customWidth="1"/>
    <col min="11" max="11" width="14.26953125" style="33" customWidth="1"/>
    <col min="12" max="12" width="10" style="33" customWidth="1"/>
    <col min="13" max="13" width="7.26953125" style="33" customWidth="1"/>
    <col min="14" max="14" width="10.1796875" style="33" customWidth="1"/>
    <col min="15" max="15" width="11.453125" style="33" customWidth="1"/>
    <col min="16" max="16" width="8.26953125" style="33" customWidth="1"/>
    <col min="17" max="17" width="9.1796875" style="33"/>
    <col min="18" max="18" width="12" style="33" bestFit="1" customWidth="1"/>
    <col min="19" max="20" width="9.1796875" style="33"/>
    <col min="21" max="21" width="9.7265625" style="33" bestFit="1" customWidth="1"/>
    <col min="22" max="16384" width="9.1796875" style="33"/>
  </cols>
  <sheetData>
    <row r="1" spans="1:23" x14ac:dyDescent="0.35">
      <c r="S1" s="113"/>
      <c r="T1" s="113"/>
      <c r="U1" s="113"/>
      <c r="V1" s="113"/>
    </row>
    <row r="3" spans="1:23" ht="16" x14ac:dyDescent="0.4">
      <c r="Q3" s="74"/>
    </row>
    <row r="5" spans="1:23" x14ac:dyDescent="0.35">
      <c r="B5" s="114"/>
      <c r="C5" s="114"/>
      <c r="D5" s="114"/>
    </row>
    <row r="7" spans="1:23" x14ac:dyDescent="0.35">
      <c r="A7" s="32"/>
      <c r="B7" s="107" t="s">
        <v>13</v>
      </c>
      <c r="C7" s="108"/>
      <c r="D7" s="108"/>
      <c r="E7" s="108"/>
      <c r="F7" s="108"/>
      <c r="G7" s="108"/>
      <c r="H7" s="108"/>
      <c r="I7" s="108"/>
      <c r="J7" s="110" t="s">
        <v>14</v>
      </c>
      <c r="K7" s="111"/>
      <c r="L7" s="111"/>
      <c r="M7" s="111"/>
      <c r="N7" s="111"/>
      <c r="O7" s="111"/>
      <c r="P7" s="112"/>
      <c r="R7" s="34"/>
    </row>
    <row r="8" spans="1:23" x14ac:dyDescent="0.35">
      <c r="A8" s="32"/>
      <c r="B8" s="39" t="s">
        <v>6</v>
      </c>
      <c r="C8" s="39" t="s">
        <v>7</v>
      </c>
      <c r="D8" s="39" t="s">
        <v>8</v>
      </c>
      <c r="E8" s="39" t="s">
        <v>11</v>
      </c>
      <c r="F8" s="39" t="s">
        <v>19</v>
      </c>
      <c r="G8" s="39" t="s">
        <v>25</v>
      </c>
      <c r="H8" s="39" t="s">
        <v>15</v>
      </c>
      <c r="I8" s="52" t="s">
        <v>22</v>
      </c>
      <c r="J8" s="54" t="s">
        <v>24</v>
      </c>
      <c r="K8" s="39" t="s">
        <v>18</v>
      </c>
      <c r="L8" s="39" t="s">
        <v>26</v>
      </c>
      <c r="M8" s="39" t="s">
        <v>15</v>
      </c>
      <c r="N8" s="39" t="s">
        <v>10</v>
      </c>
      <c r="O8" s="39" t="s">
        <v>12</v>
      </c>
      <c r="P8" s="39" t="s">
        <v>22</v>
      </c>
      <c r="Q8" s="34"/>
      <c r="R8" s="36"/>
    </row>
    <row r="9" spans="1:23" x14ac:dyDescent="0.35">
      <c r="A9" s="35" t="s">
        <v>0</v>
      </c>
      <c r="B9" s="49">
        <v>995</v>
      </c>
      <c r="C9" s="49">
        <v>475</v>
      </c>
      <c r="D9" s="49">
        <v>85</v>
      </c>
      <c r="E9" s="49">
        <v>250</v>
      </c>
      <c r="F9" s="49"/>
      <c r="G9" s="49">
        <v>40</v>
      </c>
      <c r="H9" s="49">
        <v>9</v>
      </c>
      <c r="I9" s="66">
        <v>0.1</v>
      </c>
      <c r="J9" s="67">
        <v>0</v>
      </c>
      <c r="K9" s="49"/>
      <c r="L9" s="49">
        <v>30</v>
      </c>
      <c r="M9" s="49">
        <v>9</v>
      </c>
      <c r="N9" s="49">
        <v>1400</v>
      </c>
      <c r="O9" s="49">
        <v>200</v>
      </c>
      <c r="P9" s="50">
        <v>0.1</v>
      </c>
      <c r="Q9" s="34"/>
      <c r="R9" s="34"/>
      <c r="S9" s="113"/>
      <c r="T9" s="113"/>
      <c r="U9" s="113"/>
      <c r="V9" s="113"/>
      <c r="W9" s="113"/>
    </row>
    <row r="10" spans="1:23" x14ac:dyDescent="0.35">
      <c r="A10" s="35" t="s">
        <v>1</v>
      </c>
      <c r="B10" s="40">
        <f>IFERROR(AVERAGE(B$14:B$17),"")</f>
        <v>1518.9</v>
      </c>
      <c r="C10" s="40">
        <f t="shared" ref="C10:P10" si="0">IFERROR(AVERAGE(C$14:C$17),"")</f>
        <v>996.5</v>
      </c>
      <c r="D10" s="40">
        <f t="shared" si="0"/>
        <v>69.675000000000011</v>
      </c>
      <c r="E10" s="40">
        <f t="shared" si="0"/>
        <v>269.92499999999995</v>
      </c>
      <c r="F10" s="40">
        <f t="shared" si="0"/>
        <v>104357.75</v>
      </c>
      <c r="G10" s="40">
        <f t="shared" si="0"/>
        <v>27.499999999999996</v>
      </c>
      <c r="H10" s="40">
        <f t="shared" si="0"/>
        <v>10.875</v>
      </c>
      <c r="I10" s="53">
        <f t="shared" si="0"/>
        <v>27.475000000000001</v>
      </c>
      <c r="J10" s="55">
        <f t="shared" si="0"/>
        <v>43.524999999999999</v>
      </c>
      <c r="K10" s="40">
        <f t="shared" si="0"/>
        <v>102906.5</v>
      </c>
      <c r="L10" s="40">
        <f t="shared" si="0"/>
        <v>32.1</v>
      </c>
      <c r="M10" s="40">
        <f t="shared" si="0"/>
        <v>7.5250000000000004</v>
      </c>
      <c r="N10" s="40">
        <f t="shared" si="0"/>
        <v>1752.0500000000002</v>
      </c>
      <c r="O10" s="40">
        <f t="shared" si="0"/>
        <v>241.9</v>
      </c>
      <c r="P10" s="40">
        <f t="shared" si="0"/>
        <v>34.675000000000004</v>
      </c>
      <c r="Q10" s="34"/>
      <c r="R10" s="34"/>
    </row>
    <row r="11" spans="1:23" x14ac:dyDescent="0.35">
      <c r="A11" s="35" t="s">
        <v>2</v>
      </c>
      <c r="B11" s="40">
        <f t="shared" ref="B11:P11" si="1">IFERROR(AVERAGE(B$18:B$20),"")</f>
        <v>1803.9666666666665</v>
      </c>
      <c r="C11" s="40">
        <f t="shared" si="1"/>
        <v>605.20000000000005</v>
      </c>
      <c r="D11" s="40">
        <f t="shared" si="1"/>
        <v>60.266666666666673</v>
      </c>
      <c r="E11" s="40">
        <f t="shared" si="1"/>
        <v>166.86666666666667</v>
      </c>
      <c r="F11" s="40">
        <f t="shared" si="1"/>
        <v>49754.666666666664</v>
      </c>
      <c r="G11" s="40">
        <f t="shared" si="1"/>
        <v>21.733333333333334</v>
      </c>
      <c r="H11" s="40">
        <f t="shared" si="1"/>
        <v>8.9333333333333336</v>
      </c>
      <c r="I11" s="53">
        <f t="shared" si="1"/>
        <v>32.199999999999996</v>
      </c>
      <c r="J11" s="55">
        <f t="shared" si="1"/>
        <v>36.06666666666667</v>
      </c>
      <c r="K11" s="40">
        <f t="shared" si="1"/>
        <v>99702.666666666672</v>
      </c>
      <c r="L11" s="40">
        <f t="shared" si="1"/>
        <v>26.3</v>
      </c>
      <c r="M11" s="40">
        <f t="shared" si="1"/>
        <v>7.7</v>
      </c>
      <c r="N11" s="40">
        <f t="shared" si="1"/>
        <v>1604.1333333333334</v>
      </c>
      <c r="O11" s="40">
        <f t="shared" si="1"/>
        <v>200.20000000000002</v>
      </c>
      <c r="P11" s="40">
        <f t="shared" si="1"/>
        <v>38.833333333333336</v>
      </c>
      <c r="Q11" s="34"/>
      <c r="R11" s="36"/>
      <c r="S11" s="70"/>
    </row>
    <row r="12" spans="1:23" x14ac:dyDescent="0.35">
      <c r="A12" s="35" t="s">
        <v>27</v>
      </c>
      <c r="B12" s="48">
        <f t="shared" ref="B12:P12" si="2">IFERROR(ABS(B$10-B$11), "")</f>
        <v>285.06666666666638</v>
      </c>
      <c r="C12" s="48">
        <f t="shared" si="2"/>
        <v>391.29999999999995</v>
      </c>
      <c r="D12" s="48">
        <f t="shared" si="2"/>
        <v>9.4083333333333385</v>
      </c>
      <c r="E12" s="48">
        <f t="shared" si="2"/>
        <v>103.05833333333328</v>
      </c>
      <c r="F12" s="48">
        <f t="shared" si="2"/>
        <v>54603.083333333336</v>
      </c>
      <c r="G12" s="48">
        <f t="shared" si="2"/>
        <v>5.7666666666666622</v>
      </c>
      <c r="H12" s="48">
        <f t="shared" si="2"/>
        <v>1.9416666666666664</v>
      </c>
      <c r="I12" s="62">
        <f t="shared" si="2"/>
        <v>4.7249999999999943</v>
      </c>
      <c r="J12" s="64">
        <f t="shared" si="2"/>
        <v>7.4583333333333286</v>
      </c>
      <c r="K12" s="48">
        <f t="shared" si="2"/>
        <v>3203.8333333333285</v>
      </c>
      <c r="L12" s="48">
        <f t="shared" si="2"/>
        <v>5.8000000000000007</v>
      </c>
      <c r="M12" s="48">
        <f t="shared" si="2"/>
        <v>0.17499999999999982</v>
      </c>
      <c r="N12" s="48">
        <f t="shared" si="2"/>
        <v>147.91666666666674</v>
      </c>
      <c r="O12" s="48">
        <f t="shared" si="2"/>
        <v>41.699999999999989</v>
      </c>
      <c r="P12" s="48">
        <f t="shared" si="2"/>
        <v>4.1583333333333314</v>
      </c>
      <c r="Q12" s="76"/>
      <c r="R12" s="34"/>
    </row>
    <row r="13" spans="1:23" x14ac:dyDescent="0.35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34"/>
    </row>
    <row r="14" spans="1:23" x14ac:dyDescent="0.35">
      <c r="A14" s="51">
        <v>44094</v>
      </c>
      <c r="B14" s="42">
        <v>1614.6</v>
      </c>
      <c r="C14" s="42">
        <v>666.4</v>
      </c>
      <c r="D14" s="42">
        <v>62.7</v>
      </c>
      <c r="E14" s="42">
        <v>313.89999999999998</v>
      </c>
      <c r="F14" s="43">
        <v>109106</v>
      </c>
      <c r="G14" s="42">
        <v>22.3</v>
      </c>
      <c r="H14" s="42">
        <v>15.2</v>
      </c>
      <c r="I14" s="56">
        <v>26.1</v>
      </c>
      <c r="J14" s="59">
        <v>37.9</v>
      </c>
      <c r="K14" s="43">
        <v>106027</v>
      </c>
      <c r="L14" s="42">
        <v>28.6</v>
      </c>
      <c r="M14" s="42">
        <v>8</v>
      </c>
      <c r="N14" s="42">
        <v>1720.6</v>
      </c>
      <c r="O14" s="42">
        <v>228.3</v>
      </c>
      <c r="P14" s="42">
        <v>35</v>
      </c>
      <c r="Q14" s="34"/>
      <c r="U14" s="38"/>
    </row>
    <row r="15" spans="1:23" x14ac:dyDescent="0.35">
      <c r="A15" s="51">
        <v>44095</v>
      </c>
      <c r="B15" s="42">
        <v>1468.5</v>
      </c>
      <c r="C15" s="42">
        <v>706.8</v>
      </c>
      <c r="D15" s="42">
        <v>50</v>
      </c>
      <c r="E15" s="42">
        <v>279.39999999999998</v>
      </c>
      <c r="F15" s="43">
        <v>100155</v>
      </c>
      <c r="G15" s="42">
        <v>21.5</v>
      </c>
      <c r="H15" s="42">
        <v>13.3</v>
      </c>
      <c r="I15" s="56">
        <v>31.4</v>
      </c>
      <c r="J15" s="59">
        <v>43.9</v>
      </c>
      <c r="K15" s="43">
        <v>106117</v>
      </c>
      <c r="L15" s="42">
        <v>31.6</v>
      </c>
      <c r="M15" s="42">
        <v>7.4</v>
      </c>
      <c r="N15" s="42">
        <v>1638.5</v>
      </c>
      <c r="O15" s="42">
        <v>232.4</v>
      </c>
      <c r="P15" s="42">
        <v>34.4</v>
      </c>
      <c r="Q15" s="34"/>
      <c r="R15" s="38"/>
      <c r="U15" s="38"/>
    </row>
    <row r="16" spans="1:23" x14ac:dyDescent="0.35">
      <c r="A16" s="51">
        <v>44096</v>
      </c>
      <c r="B16" s="42">
        <v>1273.4000000000001</v>
      </c>
      <c r="C16" s="42">
        <v>1207.5999999999999</v>
      </c>
      <c r="D16" s="42">
        <v>75.900000000000006</v>
      </c>
      <c r="E16" s="42">
        <v>226.9</v>
      </c>
      <c r="F16" s="43">
        <v>98718</v>
      </c>
      <c r="G16" s="42">
        <v>28.4</v>
      </c>
      <c r="H16" s="42">
        <v>7.7</v>
      </c>
      <c r="I16" s="56">
        <v>26</v>
      </c>
      <c r="J16" s="59">
        <v>50.4</v>
      </c>
      <c r="K16" s="43">
        <v>99764</v>
      </c>
      <c r="L16" s="42">
        <v>36.6</v>
      </c>
      <c r="M16" s="42">
        <v>7.3</v>
      </c>
      <c r="N16" s="42">
        <v>2109.5</v>
      </c>
      <c r="O16" s="42">
        <v>279</v>
      </c>
      <c r="P16" s="42">
        <v>28.9</v>
      </c>
      <c r="Q16" s="34"/>
      <c r="R16" s="38"/>
      <c r="U16" s="38"/>
    </row>
    <row r="17" spans="1:21" ht="15.75" customHeight="1" x14ac:dyDescent="0.35">
      <c r="A17" s="51">
        <v>44097</v>
      </c>
      <c r="B17" s="46">
        <v>1719.1</v>
      </c>
      <c r="C17" s="46">
        <v>1405.2</v>
      </c>
      <c r="D17" s="46">
        <v>90.1</v>
      </c>
      <c r="E17" s="46">
        <v>259.5</v>
      </c>
      <c r="F17" s="47">
        <v>109452</v>
      </c>
      <c r="G17" s="46">
        <v>37.799999999999997</v>
      </c>
      <c r="H17" s="46">
        <v>7.3</v>
      </c>
      <c r="I17" s="57">
        <v>26.4</v>
      </c>
      <c r="J17" s="60">
        <v>41.9</v>
      </c>
      <c r="K17" s="47">
        <v>99718</v>
      </c>
      <c r="L17" s="46">
        <v>31.6</v>
      </c>
      <c r="M17" s="46">
        <v>7.4</v>
      </c>
      <c r="N17" s="46">
        <v>1539.6</v>
      </c>
      <c r="O17" s="46">
        <v>227.9</v>
      </c>
      <c r="P17" s="46">
        <v>40.4</v>
      </c>
      <c r="Q17" s="34"/>
      <c r="R17" s="38"/>
      <c r="U17" s="38"/>
    </row>
    <row r="18" spans="1:21" ht="15" customHeight="1" x14ac:dyDescent="0.35">
      <c r="A18" s="51">
        <v>44098</v>
      </c>
      <c r="B18" s="44">
        <v>1062.5999999999999</v>
      </c>
      <c r="C18" s="44">
        <v>832.5</v>
      </c>
      <c r="D18" s="44">
        <v>81.8</v>
      </c>
      <c r="E18" s="44">
        <v>153.5</v>
      </c>
      <c r="F18" s="45">
        <v>49321</v>
      </c>
      <c r="G18" s="44">
        <v>28.9</v>
      </c>
      <c r="H18" s="44">
        <v>5.5</v>
      </c>
      <c r="I18" s="58">
        <v>27.7</v>
      </c>
      <c r="J18" s="61">
        <v>34.4</v>
      </c>
      <c r="K18" s="45">
        <v>100026</v>
      </c>
      <c r="L18" s="44">
        <v>26.3</v>
      </c>
      <c r="M18" s="44">
        <v>8.3000000000000007</v>
      </c>
      <c r="N18" s="44">
        <v>1737.2</v>
      </c>
      <c r="O18" s="44">
        <v>213.7</v>
      </c>
      <c r="P18" s="44">
        <v>41.9</v>
      </c>
      <c r="Q18" s="34"/>
      <c r="R18" s="38"/>
      <c r="U18" s="38"/>
    </row>
    <row r="19" spans="1:21" x14ac:dyDescent="0.35">
      <c r="A19" s="51">
        <v>44099</v>
      </c>
      <c r="B19" s="44">
        <v>956.3</v>
      </c>
      <c r="C19" s="44">
        <v>422.9</v>
      </c>
      <c r="D19" s="44">
        <v>45.7</v>
      </c>
      <c r="E19" s="44">
        <v>94.7</v>
      </c>
      <c r="F19" s="45">
        <v>19754</v>
      </c>
      <c r="G19" s="44">
        <v>17</v>
      </c>
      <c r="H19" s="44">
        <v>7.8</v>
      </c>
      <c r="I19" s="58">
        <v>39.6</v>
      </c>
      <c r="J19" s="61">
        <v>36</v>
      </c>
      <c r="K19" s="45">
        <v>108529</v>
      </c>
      <c r="L19" s="44">
        <v>25.9</v>
      </c>
      <c r="M19" s="44">
        <v>7.7</v>
      </c>
      <c r="N19" s="44">
        <v>1420.4</v>
      </c>
      <c r="O19" s="44">
        <v>197.5</v>
      </c>
      <c r="P19" s="44">
        <v>40.6</v>
      </c>
      <c r="Q19" s="34"/>
      <c r="R19" s="38"/>
      <c r="U19" s="38"/>
    </row>
    <row r="20" spans="1:21" x14ac:dyDescent="0.35">
      <c r="A20" s="51">
        <v>44100</v>
      </c>
      <c r="B20" s="44">
        <v>3393</v>
      </c>
      <c r="C20" s="44">
        <v>560.20000000000005</v>
      </c>
      <c r="D20" s="44">
        <v>53.3</v>
      </c>
      <c r="E20" s="44">
        <v>252.4</v>
      </c>
      <c r="F20" s="45">
        <v>80189</v>
      </c>
      <c r="G20" s="44">
        <v>19.3</v>
      </c>
      <c r="H20" s="44">
        <v>13.5</v>
      </c>
      <c r="I20" s="58">
        <v>29.3</v>
      </c>
      <c r="J20" s="61">
        <v>37.799999999999997</v>
      </c>
      <c r="K20" s="45">
        <v>90553</v>
      </c>
      <c r="L20" s="44">
        <v>26.7</v>
      </c>
      <c r="M20" s="44">
        <v>7.1</v>
      </c>
      <c r="N20" s="44">
        <v>1654.8</v>
      </c>
      <c r="O20" s="44">
        <v>189.4</v>
      </c>
      <c r="P20" s="44">
        <v>34</v>
      </c>
      <c r="Q20" s="34"/>
      <c r="R20" s="38"/>
      <c r="U20" s="38"/>
    </row>
    <row r="21" spans="1:21" x14ac:dyDescent="0.35">
      <c r="A21" s="35"/>
      <c r="B21" s="76"/>
      <c r="C21" s="76"/>
      <c r="D21" s="76"/>
      <c r="E21" s="76"/>
      <c r="F21" s="37"/>
      <c r="G21" s="76"/>
      <c r="H21" s="76"/>
      <c r="I21" s="76"/>
      <c r="J21" s="76"/>
      <c r="K21" s="37"/>
      <c r="L21" s="76"/>
      <c r="M21" s="76"/>
      <c r="N21" s="76"/>
      <c r="O21" s="76"/>
      <c r="P21" s="76"/>
      <c r="Q21" s="34"/>
      <c r="R21" s="38"/>
    </row>
    <row r="22" spans="1:21" x14ac:dyDescent="0.35">
      <c r="A22" s="35" t="s">
        <v>3</v>
      </c>
      <c r="B22" s="48">
        <v>2107.042857142857</v>
      </c>
      <c r="C22" s="48">
        <v>806.91428571428571</v>
      </c>
      <c r="D22" s="48">
        <v>64.228571428571428</v>
      </c>
      <c r="E22" s="48">
        <v>282.01428571428568</v>
      </c>
      <c r="F22" s="48">
        <v>101572.42857142857</v>
      </c>
      <c r="G22" s="48">
        <v>24.485714285714288</v>
      </c>
      <c r="H22" s="48">
        <v>12.1</v>
      </c>
      <c r="I22" s="62">
        <v>28.2</v>
      </c>
      <c r="J22" s="64">
        <v>37.128571428571426</v>
      </c>
      <c r="K22" s="48">
        <v>93474.571428571435</v>
      </c>
      <c r="L22" s="48">
        <v>26.75714285714286</v>
      </c>
      <c r="M22" s="48">
        <v>8.4</v>
      </c>
      <c r="N22" s="48">
        <v>1755.6857142857141</v>
      </c>
      <c r="O22" s="48">
        <v>227.68571428571428</v>
      </c>
      <c r="P22" s="48">
        <v>38.199999999999996</v>
      </c>
      <c r="Q22" s="34"/>
    </row>
    <row r="23" spans="1:21" x14ac:dyDescent="0.35">
      <c r="A23" s="35" t="s">
        <v>4</v>
      </c>
      <c r="B23" s="48">
        <f t="shared" ref="B23:N23" si="3">IFERROR(AVERAGE(B14:B20),"")</f>
        <v>1641.0714285714287</v>
      </c>
      <c r="C23" s="48">
        <f>IFERROR(AVERAGE(C14:C20),"")</f>
        <v>828.8</v>
      </c>
      <c r="D23" s="48">
        <f>IFERROR(AVERAGE(D14:D20),"")</f>
        <v>65.642857142857153</v>
      </c>
      <c r="E23" s="48">
        <f>IFERROR(AVERAGE(E14:E20),"")</f>
        <v>225.75714285714284</v>
      </c>
      <c r="F23" s="48">
        <f t="shared" si="3"/>
        <v>80956.428571428565</v>
      </c>
      <c r="G23" s="48">
        <f t="shared" si="3"/>
        <v>25.028571428571428</v>
      </c>
      <c r="H23" s="48">
        <f t="shared" si="3"/>
        <v>10.042857142857143</v>
      </c>
      <c r="I23" s="62">
        <f t="shared" si="3"/>
        <v>29.5</v>
      </c>
      <c r="J23" s="64">
        <f>IFERROR(AVERAGE(J14:J20),"")</f>
        <v>40.328571428571429</v>
      </c>
      <c r="K23" s="48">
        <f>IFERROR(AVERAGE(K14:K20),"")</f>
        <v>101533.42857142857</v>
      </c>
      <c r="L23" s="48">
        <f>IFERROR(AVERAGE(L14:L20),"")</f>
        <v>29.614285714285717</v>
      </c>
      <c r="M23" s="48">
        <f>IFERROR(AVERAGE(M14:M20),"")</f>
        <v>7.6000000000000014</v>
      </c>
      <c r="N23" s="48">
        <f t="shared" si="3"/>
        <v>1688.6571428571428</v>
      </c>
      <c r="O23" s="48">
        <f>IFERROR(AVERAGE(O14:O20),"")</f>
        <v>224.02857142857144</v>
      </c>
      <c r="P23" s="48">
        <f>IFERROR(AVERAGE(P14:P20),"")</f>
        <v>36.457142857142863</v>
      </c>
      <c r="Q23" s="34"/>
    </row>
    <row r="24" spans="1:21" x14ac:dyDescent="0.35">
      <c r="A24" s="35" t="s">
        <v>5</v>
      </c>
      <c r="B24" s="41">
        <f t="shared" ref="B24:P24" si="4">IFERROR(-(B22-B23)/B22,"")</f>
        <v>-0.22114947828032505</v>
      </c>
      <c r="C24" s="41">
        <f t="shared" si="4"/>
        <v>2.7122725019474488E-2</v>
      </c>
      <c r="D24" s="41">
        <f t="shared" si="4"/>
        <v>2.2019572953736827E-2</v>
      </c>
      <c r="E24" s="41">
        <f t="shared" si="4"/>
        <v>-0.1994833088496023</v>
      </c>
      <c r="F24" s="41">
        <f t="shared" si="4"/>
        <v>-0.20296846585195366</v>
      </c>
      <c r="G24" s="41">
        <f t="shared" si="4"/>
        <v>2.2170361726954413E-2</v>
      </c>
      <c r="H24" s="41">
        <f t="shared" si="4"/>
        <v>-0.17001180637544272</v>
      </c>
      <c r="I24" s="63">
        <f t="shared" si="4"/>
        <v>4.6099290780141869E-2</v>
      </c>
      <c r="J24" s="65">
        <f t="shared" si="4"/>
        <v>8.6186994998076263E-2</v>
      </c>
      <c r="K24" s="41">
        <f t="shared" si="4"/>
        <v>8.6214432649368219E-2</v>
      </c>
      <c r="L24" s="41">
        <f t="shared" si="4"/>
        <v>0.10678056593699947</v>
      </c>
      <c r="M24" s="41">
        <f t="shared" si="4"/>
        <v>-9.5238095238095108E-2</v>
      </c>
      <c r="N24" s="41">
        <f t="shared" si="4"/>
        <v>-3.8178001269345209E-2</v>
      </c>
      <c r="O24" s="41">
        <f t="shared" si="4"/>
        <v>-1.606224118459023E-2</v>
      </c>
      <c r="P24" s="41">
        <f t="shared" si="4"/>
        <v>-4.5624532535527049E-2</v>
      </c>
    </row>
    <row r="25" spans="1:21" x14ac:dyDescent="0.35">
      <c r="B25" s="73" t="s">
        <v>28</v>
      </c>
      <c r="C25" s="75"/>
      <c r="D25" s="75"/>
      <c r="E25" s="75"/>
      <c r="F25" s="75"/>
      <c r="G25" s="75"/>
      <c r="H25" s="75"/>
      <c r="I25" s="75"/>
      <c r="J25" s="75"/>
      <c r="K25" s="75"/>
      <c r="L25" s="75"/>
      <c r="M25" s="75"/>
      <c r="N25" s="75"/>
      <c r="O25" s="75"/>
      <c r="P25" s="75"/>
    </row>
    <row r="26" spans="1:21" x14ac:dyDescent="0.35">
      <c r="B26" s="75"/>
      <c r="C26" s="75"/>
      <c r="D26" s="75"/>
      <c r="E26" s="75"/>
      <c r="F26" s="75"/>
      <c r="G26" s="75"/>
      <c r="H26" s="75"/>
      <c r="I26" s="75"/>
      <c r="J26" s="75"/>
      <c r="K26" s="75"/>
      <c r="L26" s="75"/>
      <c r="M26" s="75"/>
      <c r="N26" s="75"/>
      <c r="O26" s="75"/>
      <c r="P26" s="75"/>
    </row>
    <row r="27" spans="1:21" x14ac:dyDescent="0.35">
      <c r="A27" s="32"/>
      <c r="B27" s="107" t="s">
        <v>13</v>
      </c>
      <c r="C27" s="108"/>
      <c r="D27" s="108"/>
      <c r="E27" s="108"/>
      <c r="F27" s="108"/>
      <c r="G27" s="108"/>
      <c r="H27" s="108"/>
      <c r="I27" s="109"/>
      <c r="J27" s="110" t="s">
        <v>14</v>
      </c>
      <c r="K27" s="111"/>
      <c r="L27" s="111"/>
      <c r="M27" s="111"/>
      <c r="N27" s="111"/>
      <c r="O27" s="111"/>
      <c r="P27" s="112"/>
    </row>
    <row r="28" spans="1:21" x14ac:dyDescent="0.35">
      <c r="A28" s="32"/>
      <c r="B28" s="39" t="s">
        <v>6</v>
      </c>
      <c r="C28" s="39" t="s">
        <v>7</v>
      </c>
      <c r="D28" s="39" t="s">
        <v>8</v>
      </c>
      <c r="E28" s="39" t="s">
        <v>11</v>
      </c>
      <c r="F28" s="39" t="s">
        <v>19</v>
      </c>
      <c r="G28" s="39" t="s">
        <v>25</v>
      </c>
      <c r="H28" s="39" t="s">
        <v>15</v>
      </c>
      <c r="I28" s="52" t="s">
        <v>22</v>
      </c>
      <c r="J28" s="54" t="s">
        <v>24</v>
      </c>
      <c r="K28" s="39" t="s">
        <v>18</v>
      </c>
      <c r="L28" s="39" t="s">
        <v>26</v>
      </c>
      <c r="M28" s="39" t="s">
        <v>15</v>
      </c>
      <c r="N28" s="39" t="s">
        <v>10</v>
      </c>
      <c r="O28" s="39" t="s">
        <v>12</v>
      </c>
      <c r="P28" s="39" t="s">
        <v>22</v>
      </c>
      <c r="Q28" s="34"/>
    </row>
    <row r="29" spans="1:21" x14ac:dyDescent="0.35">
      <c r="A29" s="35" t="s">
        <v>0</v>
      </c>
      <c r="B29" s="49">
        <v>995</v>
      </c>
      <c r="C29" s="49">
        <v>475</v>
      </c>
      <c r="D29" s="49">
        <v>85</v>
      </c>
      <c r="E29" s="49">
        <v>250</v>
      </c>
      <c r="F29" s="49"/>
      <c r="G29" s="49">
        <v>40</v>
      </c>
      <c r="H29" s="49">
        <v>9</v>
      </c>
      <c r="I29" s="66">
        <v>0.1</v>
      </c>
      <c r="J29" s="67">
        <v>0</v>
      </c>
      <c r="K29" s="49"/>
      <c r="L29" s="49">
        <v>30</v>
      </c>
      <c r="M29" s="49">
        <v>9</v>
      </c>
      <c r="N29" s="49">
        <v>1400</v>
      </c>
      <c r="O29" s="49">
        <v>200</v>
      </c>
      <c r="P29" s="50">
        <v>0.1</v>
      </c>
      <c r="Q29" s="34"/>
    </row>
    <row r="30" spans="1:21" x14ac:dyDescent="0.35">
      <c r="A30" s="35" t="s">
        <v>1</v>
      </c>
      <c r="B30" s="40">
        <f t="shared" ref="B30:P30" si="5">IFERROR(AVERAGE(B$34:B$36),"")</f>
        <v>1452.1666666666667</v>
      </c>
      <c r="C30" s="40">
        <f t="shared" si="5"/>
        <v>860.26666666666654</v>
      </c>
      <c r="D30" s="40">
        <f t="shared" si="5"/>
        <v>62.866666666666674</v>
      </c>
      <c r="E30" s="40">
        <f t="shared" si="5"/>
        <v>273.39999999999998</v>
      </c>
      <c r="F30" s="40">
        <f t="shared" si="5"/>
        <v>102659.66666666667</v>
      </c>
      <c r="G30" s="40">
        <f t="shared" si="5"/>
        <v>24.066666666666663</v>
      </c>
      <c r="H30" s="40">
        <f t="shared" si="5"/>
        <v>12.066666666666668</v>
      </c>
      <c r="I30" s="53">
        <f t="shared" si="5"/>
        <v>27.833333333333332</v>
      </c>
      <c r="J30" s="55">
        <f t="shared" si="5"/>
        <v>44.066666666666663</v>
      </c>
      <c r="K30" s="40">
        <f t="shared" si="5"/>
        <v>103969.33333333333</v>
      </c>
      <c r="L30" s="40">
        <f t="shared" si="5"/>
        <v>32.266666666666673</v>
      </c>
      <c r="M30" s="40">
        <f t="shared" si="5"/>
        <v>7.5666666666666664</v>
      </c>
      <c r="N30" s="40">
        <f t="shared" si="5"/>
        <v>1822.8666666666668</v>
      </c>
      <c r="O30" s="40">
        <f t="shared" si="5"/>
        <v>246.56666666666669</v>
      </c>
      <c r="P30" s="40">
        <f t="shared" si="5"/>
        <v>32.766666666666673</v>
      </c>
      <c r="Q30" s="34"/>
    </row>
    <row r="31" spans="1:21" x14ac:dyDescent="0.35">
      <c r="A31" s="35" t="s">
        <v>2</v>
      </c>
      <c r="B31" s="40">
        <f>IFERROR(AVERAGE(B$37:B$40),"")</f>
        <v>1782.75</v>
      </c>
      <c r="C31" s="40">
        <f t="shared" ref="C31:P31" si="6">IFERROR(AVERAGE(C$37:C$40),"")</f>
        <v>805.2</v>
      </c>
      <c r="D31" s="40">
        <f t="shared" si="6"/>
        <v>67.724999999999994</v>
      </c>
      <c r="E31" s="40">
        <f t="shared" si="6"/>
        <v>190.02500000000001</v>
      </c>
      <c r="F31" s="40">
        <f t="shared" si="6"/>
        <v>64679</v>
      </c>
      <c r="G31" s="40">
        <f t="shared" si="6"/>
        <v>25.749999999999996</v>
      </c>
      <c r="H31" s="40">
        <f t="shared" si="6"/>
        <v>8.5250000000000004</v>
      </c>
      <c r="I31" s="53">
        <f t="shared" si="6"/>
        <v>30.749999999999996</v>
      </c>
      <c r="J31" s="55">
        <f t="shared" si="6"/>
        <v>37.524999999999999</v>
      </c>
      <c r="K31" s="40">
        <f t="shared" si="6"/>
        <v>99706.5</v>
      </c>
      <c r="L31" s="40">
        <f t="shared" si="6"/>
        <v>27.625000000000004</v>
      </c>
      <c r="M31" s="40">
        <f t="shared" si="6"/>
        <v>7.625</v>
      </c>
      <c r="N31" s="40">
        <f t="shared" si="6"/>
        <v>1588.0000000000002</v>
      </c>
      <c r="O31" s="40">
        <f t="shared" si="6"/>
        <v>207.125</v>
      </c>
      <c r="P31" s="40">
        <f t="shared" si="6"/>
        <v>39.225000000000001</v>
      </c>
      <c r="Q31" s="34"/>
    </row>
    <row r="32" spans="1:21" x14ac:dyDescent="0.35">
      <c r="A32" s="35" t="s">
        <v>27</v>
      </c>
      <c r="B32" s="48">
        <f t="shared" ref="B32:P32" si="7">IFERROR(ABS(B$31-B$30), "")</f>
        <v>330.58333333333326</v>
      </c>
      <c r="C32" s="48">
        <f t="shared" si="7"/>
        <v>55.066666666666492</v>
      </c>
      <c r="D32" s="48">
        <f t="shared" si="7"/>
        <v>4.8583333333333201</v>
      </c>
      <c r="E32" s="48">
        <f t="shared" si="7"/>
        <v>83.374999999999972</v>
      </c>
      <c r="F32" s="48">
        <f t="shared" si="7"/>
        <v>37980.666666666672</v>
      </c>
      <c r="G32" s="48">
        <f t="shared" si="7"/>
        <v>1.6833333333333336</v>
      </c>
      <c r="H32" s="48">
        <f t="shared" si="7"/>
        <v>3.5416666666666679</v>
      </c>
      <c r="I32" s="62">
        <f t="shared" si="7"/>
        <v>2.9166666666666643</v>
      </c>
      <c r="J32" s="64">
        <f t="shared" si="7"/>
        <v>6.5416666666666643</v>
      </c>
      <c r="K32" s="48">
        <f t="shared" si="7"/>
        <v>4262.8333333333285</v>
      </c>
      <c r="L32" s="48">
        <f t="shared" si="7"/>
        <v>4.6416666666666693</v>
      </c>
      <c r="M32" s="48">
        <f t="shared" si="7"/>
        <v>5.833333333333357E-2</v>
      </c>
      <c r="N32" s="48">
        <f t="shared" si="7"/>
        <v>234.86666666666656</v>
      </c>
      <c r="O32" s="48">
        <f t="shared" si="7"/>
        <v>39.441666666666691</v>
      </c>
      <c r="P32" s="48">
        <f t="shared" si="7"/>
        <v>6.4583333333333286</v>
      </c>
      <c r="Q32" s="72"/>
    </row>
    <row r="33" spans="1:18" x14ac:dyDescent="0.3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</row>
    <row r="34" spans="1:18" x14ac:dyDescent="0.35">
      <c r="A34" s="51">
        <v>44094</v>
      </c>
      <c r="B34" s="42">
        <v>1614.6</v>
      </c>
      <c r="C34" s="42">
        <v>666.4</v>
      </c>
      <c r="D34" s="42">
        <v>62.7</v>
      </c>
      <c r="E34" s="42">
        <v>313.89999999999998</v>
      </c>
      <c r="F34" s="43">
        <v>109106</v>
      </c>
      <c r="G34" s="42">
        <v>22.3</v>
      </c>
      <c r="H34" s="42">
        <v>15.2</v>
      </c>
      <c r="I34" s="56">
        <v>26.1</v>
      </c>
      <c r="J34" s="59">
        <v>37.9</v>
      </c>
      <c r="K34" s="43">
        <v>106027</v>
      </c>
      <c r="L34" s="42">
        <v>28.6</v>
      </c>
      <c r="M34" s="42">
        <v>8</v>
      </c>
      <c r="N34" s="42">
        <v>1720.6</v>
      </c>
      <c r="O34" s="42">
        <v>228.3</v>
      </c>
      <c r="P34" s="42">
        <v>35</v>
      </c>
      <c r="Q34" s="34"/>
    </row>
    <row r="35" spans="1:18" x14ac:dyDescent="0.35">
      <c r="A35" s="51">
        <v>44095</v>
      </c>
      <c r="B35" s="42">
        <v>1468.5</v>
      </c>
      <c r="C35" s="42">
        <v>706.8</v>
      </c>
      <c r="D35" s="42">
        <v>50</v>
      </c>
      <c r="E35" s="42">
        <v>279.39999999999998</v>
      </c>
      <c r="F35" s="43">
        <v>100155</v>
      </c>
      <c r="G35" s="42">
        <v>21.5</v>
      </c>
      <c r="H35" s="42">
        <v>13.3</v>
      </c>
      <c r="I35" s="56">
        <v>31.4</v>
      </c>
      <c r="J35" s="59">
        <v>43.9</v>
      </c>
      <c r="K35" s="43">
        <v>106117</v>
      </c>
      <c r="L35" s="42">
        <v>31.6</v>
      </c>
      <c r="M35" s="42">
        <v>7.4</v>
      </c>
      <c r="N35" s="42">
        <v>1638.5</v>
      </c>
      <c r="O35" s="42">
        <v>232.4</v>
      </c>
      <c r="P35" s="42">
        <v>34.4</v>
      </c>
      <c r="Q35" s="34"/>
    </row>
    <row r="36" spans="1:18" x14ac:dyDescent="0.35">
      <c r="A36" s="51">
        <v>44096</v>
      </c>
      <c r="B36" s="42">
        <v>1273.4000000000001</v>
      </c>
      <c r="C36" s="42">
        <v>1207.5999999999999</v>
      </c>
      <c r="D36" s="42">
        <v>75.900000000000006</v>
      </c>
      <c r="E36" s="42">
        <v>226.9</v>
      </c>
      <c r="F36" s="43">
        <v>98718</v>
      </c>
      <c r="G36" s="42">
        <v>28.4</v>
      </c>
      <c r="H36" s="42">
        <v>7.7</v>
      </c>
      <c r="I36" s="56">
        <v>26</v>
      </c>
      <c r="J36" s="59">
        <v>50.4</v>
      </c>
      <c r="K36" s="43">
        <v>99764</v>
      </c>
      <c r="L36" s="42">
        <v>36.6</v>
      </c>
      <c r="M36" s="42">
        <v>7.3</v>
      </c>
      <c r="N36" s="42">
        <v>2109.5</v>
      </c>
      <c r="O36" s="42">
        <v>279</v>
      </c>
      <c r="P36" s="42">
        <v>28.9</v>
      </c>
      <c r="Q36" s="34"/>
    </row>
    <row r="37" spans="1:18" x14ac:dyDescent="0.35">
      <c r="A37" s="51">
        <v>44097</v>
      </c>
      <c r="B37" s="46">
        <v>1719.1</v>
      </c>
      <c r="C37" s="46">
        <v>1405.2</v>
      </c>
      <c r="D37" s="46">
        <v>90.1</v>
      </c>
      <c r="E37" s="46">
        <v>259.5</v>
      </c>
      <c r="F37" s="47">
        <v>109452</v>
      </c>
      <c r="G37" s="46">
        <v>37.799999999999997</v>
      </c>
      <c r="H37" s="46">
        <v>7.3</v>
      </c>
      <c r="I37" s="57">
        <v>26.4</v>
      </c>
      <c r="J37" s="60">
        <v>41.9</v>
      </c>
      <c r="K37" s="47">
        <v>99718</v>
      </c>
      <c r="L37" s="46">
        <v>31.6</v>
      </c>
      <c r="M37" s="46">
        <v>7.4</v>
      </c>
      <c r="N37" s="46">
        <v>1539.6</v>
      </c>
      <c r="O37" s="46">
        <v>227.9</v>
      </c>
      <c r="P37" s="46">
        <v>40.4</v>
      </c>
      <c r="Q37" s="34"/>
    </row>
    <row r="38" spans="1:18" x14ac:dyDescent="0.35">
      <c r="A38" s="51">
        <v>44098</v>
      </c>
      <c r="B38" s="44">
        <v>1062.5999999999999</v>
      </c>
      <c r="C38" s="44">
        <v>832.5</v>
      </c>
      <c r="D38" s="44">
        <v>81.8</v>
      </c>
      <c r="E38" s="44">
        <v>153.5</v>
      </c>
      <c r="F38" s="45">
        <v>49321</v>
      </c>
      <c r="G38" s="44">
        <v>28.9</v>
      </c>
      <c r="H38" s="44">
        <v>5.5</v>
      </c>
      <c r="I38" s="58">
        <v>27.7</v>
      </c>
      <c r="J38" s="61">
        <v>34.4</v>
      </c>
      <c r="K38" s="45">
        <v>100026</v>
      </c>
      <c r="L38" s="44">
        <v>26.3</v>
      </c>
      <c r="M38" s="44">
        <v>8.3000000000000007</v>
      </c>
      <c r="N38" s="44">
        <v>1737.2</v>
      </c>
      <c r="O38" s="44">
        <v>213.7</v>
      </c>
      <c r="P38" s="44">
        <v>41.9</v>
      </c>
      <c r="Q38" s="34"/>
    </row>
    <row r="39" spans="1:18" x14ac:dyDescent="0.35">
      <c r="A39" s="51">
        <v>44099</v>
      </c>
      <c r="B39" s="44">
        <v>956.3</v>
      </c>
      <c r="C39" s="44">
        <v>422.9</v>
      </c>
      <c r="D39" s="44">
        <v>45.7</v>
      </c>
      <c r="E39" s="44">
        <v>94.7</v>
      </c>
      <c r="F39" s="45">
        <v>19754</v>
      </c>
      <c r="G39" s="44">
        <v>17</v>
      </c>
      <c r="H39" s="44">
        <v>7.8</v>
      </c>
      <c r="I39" s="58">
        <v>39.6</v>
      </c>
      <c r="J39" s="61">
        <v>36</v>
      </c>
      <c r="K39" s="45">
        <v>108529</v>
      </c>
      <c r="L39" s="44">
        <v>25.9</v>
      </c>
      <c r="M39" s="44">
        <v>7.7</v>
      </c>
      <c r="N39" s="44">
        <v>1420.4</v>
      </c>
      <c r="O39" s="44">
        <v>197.5</v>
      </c>
      <c r="P39" s="44">
        <v>40.6</v>
      </c>
      <c r="Q39" s="34"/>
    </row>
    <row r="40" spans="1:18" x14ac:dyDescent="0.35">
      <c r="A40" s="51">
        <v>44100</v>
      </c>
      <c r="B40" s="44">
        <v>3393</v>
      </c>
      <c r="C40" s="44">
        <v>560.20000000000005</v>
      </c>
      <c r="D40" s="44">
        <v>53.3</v>
      </c>
      <c r="E40" s="44">
        <v>252.4</v>
      </c>
      <c r="F40" s="45">
        <v>80189</v>
      </c>
      <c r="G40" s="44">
        <v>19.3</v>
      </c>
      <c r="H40" s="44">
        <v>13.5</v>
      </c>
      <c r="I40" s="58">
        <v>29.3</v>
      </c>
      <c r="J40" s="61">
        <v>37.799999999999997</v>
      </c>
      <c r="K40" s="45">
        <v>90553</v>
      </c>
      <c r="L40" s="44">
        <v>26.7</v>
      </c>
      <c r="M40" s="44">
        <v>7.1</v>
      </c>
      <c r="N40" s="44">
        <v>1654.8</v>
      </c>
      <c r="O40" s="44">
        <v>189.4</v>
      </c>
      <c r="P40" s="44">
        <v>34</v>
      </c>
      <c r="Q40" s="34"/>
    </row>
    <row r="41" spans="1:18" x14ac:dyDescent="0.35">
      <c r="A41" s="35"/>
      <c r="B41" s="76"/>
      <c r="C41" s="76"/>
      <c r="D41" s="76"/>
      <c r="E41" s="76"/>
      <c r="F41" s="37"/>
      <c r="G41" s="76"/>
      <c r="H41" s="76"/>
      <c r="I41" s="76"/>
      <c r="J41" s="76"/>
      <c r="K41" s="37"/>
      <c r="L41" s="76"/>
      <c r="M41" s="76"/>
      <c r="N41" s="76"/>
      <c r="O41" s="76"/>
      <c r="P41" s="76"/>
      <c r="Q41" s="34"/>
    </row>
    <row r="42" spans="1:18" x14ac:dyDescent="0.35">
      <c r="A42" s="35" t="s">
        <v>3</v>
      </c>
      <c r="B42" s="48">
        <v>2107.042857142857</v>
      </c>
      <c r="C42" s="48">
        <v>806.91428571428571</v>
      </c>
      <c r="D42" s="48">
        <v>64.228571428571428</v>
      </c>
      <c r="E42" s="48">
        <v>282.01428571428568</v>
      </c>
      <c r="F42" s="48">
        <v>101572.42857142857</v>
      </c>
      <c r="G42" s="48">
        <v>24.485714285714288</v>
      </c>
      <c r="H42" s="48">
        <v>12.1</v>
      </c>
      <c r="I42" s="62">
        <v>28.2</v>
      </c>
      <c r="J42" s="64">
        <v>37.128571428571426</v>
      </c>
      <c r="K42" s="48">
        <v>93474.571428571435</v>
      </c>
      <c r="L42" s="48">
        <v>26.75714285714286</v>
      </c>
      <c r="M42" s="48">
        <v>8.4</v>
      </c>
      <c r="N42" s="48">
        <v>1755.6857142857141</v>
      </c>
      <c r="O42" s="48">
        <v>227.68571428571428</v>
      </c>
      <c r="P42" s="48">
        <v>38.199999999999996</v>
      </c>
      <c r="Q42" s="34"/>
    </row>
    <row r="43" spans="1:18" x14ac:dyDescent="0.35">
      <c r="A43" s="35" t="s">
        <v>4</v>
      </c>
      <c r="B43" s="48">
        <f>IFERROR(AVERAGE(B34:B40),"")</f>
        <v>1641.0714285714287</v>
      </c>
      <c r="C43" s="48">
        <f>IFERROR(AVERAGE(C34:C40),"")</f>
        <v>828.8</v>
      </c>
      <c r="D43" s="48">
        <f>IFERROR(AVERAGE(D34:D40),"")</f>
        <v>65.642857142857153</v>
      </c>
      <c r="E43" s="48">
        <f>IFERROR(AVERAGE(E34:E40),"")</f>
        <v>225.75714285714284</v>
      </c>
      <c r="F43" s="48">
        <f t="shared" ref="F43:N43" si="8">IFERROR(AVERAGE(F34:F40),"")</f>
        <v>80956.428571428565</v>
      </c>
      <c r="G43" s="48">
        <f t="shared" si="8"/>
        <v>25.028571428571428</v>
      </c>
      <c r="H43" s="48">
        <f t="shared" si="8"/>
        <v>10.042857142857143</v>
      </c>
      <c r="I43" s="62">
        <f t="shared" si="8"/>
        <v>29.5</v>
      </c>
      <c r="J43" s="64">
        <f>IFERROR(AVERAGE(J34:J40),"")</f>
        <v>40.328571428571429</v>
      </c>
      <c r="K43" s="48">
        <f>IFERROR(AVERAGE(K34:K40),"")</f>
        <v>101533.42857142857</v>
      </c>
      <c r="L43" s="48">
        <f>IFERROR(AVERAGE(L34:L40),"")</f>
        <v>29.614285714285717</v>
      </c>
      <c r="M43" s="48">
        <f>IFERROR(AVERAGE(M34:M40),"")</f>
        <v>7.6000000000000014</v>
      </c>
      <c r="N43" s="48">
        <f t="shared" si="8"/>
        <v>1688.6571428571428</v>
      </c>
      <c r="O43" s="48">
        <f>IFERROR(AVERAGE(O34:O40),"")</f>
        <v>224.02857142857144</v>
      </c>
      <c r="P43" s="48">
        <f>IFERROR(AVERAGE(P34:P40),"")</f>
        <v>36.457142857142863</v>
      </c>
      <c r="Q43" s="34"/>
    </row>
    <row r="44" spans="1:18" x14ac:dyDescent="0.35">
      <c r="A44" s="35" t="s">
        <v>5</v>
      </c>
      <c r="B44" s="41">
        <f>IFERROR((B43-B42)/B42,"")</f>
        <v>-0.22114947828032505</v>
      </c>
      <c r="C44" s="41">
        <f t="shared" ref="C44:P44" si="9">IFERROR(-(C42-C43)/C42,"")</f>
        <v>2.7122725019474488E-2</v>
      </c>
      <c r="D44" s="41">
        <f t="shared" si="9"/>
        <v>2.2019572953736827E-2</v>
      </c>
      <c r="E44" s="41">
        <f t="shared" si="9"/>
        <v>-0.1994833088496023</v>
      </c>
      <c r="F44" s="41">
        <f t="shared" si="9"/>
        <v>-0.20296846585195366</v>
      </c>
      <c r="G44" s="41">
        <f t="shared" si="9"/>
        <v>2.2170361726954413E-2</v>
      </c>
      <c r="H44" s="41">
        <f t="shared" si="9"/>
        <v>-0.17001180637544272</v>
      </c>
      <c r="I44" s="63">
        <f t="shared" si="9"/>
        <v>4.6099290780141869E-2</v>
      </c>
      <c r="J44" s="65">
        <f t="shared" si="9"/>
        <v>8.6186994998076263E-2</v>
      </c>
      <c r="K44" s="41">
        <f t="shared" si="9"/>
        <v>8.6214432649368219E-2</v>
      </c>
      <c r="L44" s="41">
        <f t="shared" si="9"/>
        <v>0.10678056593699947</v>
      </c>
      <c r="M44" s="41">
        <f t="shared" si="9"/>
        <v>-9.5238095238095108E-2</v>
      </c>
      <c r="N44" s="41">
        <f t="shared" si="9"/>
        <v>-3.8178001269345209E-2</v>
      </c>
      <c r="O44" s="41">
        <f t="shared" si="9"/>
        <v>-1.606224118459023E-2</v>
      </c>
      <c r="P44" s="41">
        <f t="shared" si="9"/>
        <v>-4.5624532535527049E-2</v>
      </c>
    </row>
    <row r="45" spans="1:18" x14ac:dyDescent="0.35">
      <c r="B45" s="33" t="s">
        <v>29</v>
      </c>
    </row>
  </sheetData>
  <mergeCells count="7">
    <mergeCell ref="B27:I27"/>
    <mergeCell ref="J27:P27"/>
    <mergeCell ref="S1:V1"/>
    <mergeCell ref="B5:D5"/>
    <mergeCell ref="B7:I7"/>
    <mergeCell ref="J7:P7"/>
    <mergeCell ref="S9:W9"/>
  </mergeCells>
  <conditionalFormatting sqref="B10:P11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24:P24">
    <cfRule type="colorScale" priority="34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P31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4:P44">
    <cfRule type="colorScale" priority="32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B31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30:C31">
    <cfRule type="colorScale" priority="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0:D31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30:E31">
    <cfRule type="colorScale" priority="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30:F31">
    <cfRule type="colorScale" priority="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30:G31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0:H31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0:I31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0:J31">
    <cfRule type="colorScale" priority="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30:K31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0:L31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0:M31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0:N3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0:O31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0:P31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0:B11">
    <cfRule type="colorScale" priority="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0:C11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0:D11">
    <cfRule type="colorScale" priority="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0:E11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0:F11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10:G11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10:H11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10:I11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10:J11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10:K11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10:L11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0:M11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0:N11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10:O11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10:P11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paperSize="256" orientation="portrait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00B050"/>
  </sheetPr>
  <dimension ref="A1:W45"/>
  <sheetViews>
    <sheetView zoomScale="80" zoomScaleNormal="80" workbookViewId="0">
      <selection activeCell="M17" sqref="M17"/>
    </sheetView>
  </sheetViews>
  <sheetFormatPr defaultColWidth="9.1796875" defaultRowHeight="14.5" x14ac:dyDescent="0.35"/>
  <cols>
    <col min="1" max="1" width="25.453125" style="34" bestFit="1" customWidth="1"/>
    <col min="2" max="2" width="14.81640625" style="33" bestFit="1" customWidth="1"/>
    <col min="3" max="3" width="12.1796875" style="33" bestFit="1" customWidth="1"/>
    <col min="4" max="4" width="8.81640625" style="33" customWidth="1"/>
    <col min="5" max="5" width="10.26953125" style="33" customWidth="1"/>
    <col min="6" max="6" width="19.453125" style="33" customWidth="1"/>
    <col min="7" max="7" width="9.7265625" style="33" customWidth="1"/>
    <col min="8" max="8" width="7.453125" style="33" customWidth="1"/>
    <col min="9" max="9" width="8.453125" style="33" customWidth="1"/>
    <col min="10" max="10" width="11" style="33" customWidth="1"/>
    <col min="11" max="11" width="14.26953125" style="33" customWidth="1"/>
    <col min="12" max="12" width="10" style="33" customWidth="1"/>
    <col min="13" max="13" width="7.26953125" style="33" customWidth="1"/>
    <col min="14" max="14" width="10.1796875" style="33" customWidth="1"/>
    <col min="15" max="15" width="11.453125" style="33" customWidth="1"/>
    <col min="16" max="16" width="8.26953125" style="33" customWidth="1"/>
    <col min="17" max="17" width="9.1796875" style="33"/>
    <col min="18" max="18" width="12" style="33" bestFit="1" customWidth="1"/>
    <col min="19" max="20" width="9.1796875" style="33"/>
    <col min="21" max="21" width="9.7265625" style="33" bestFit="1" customWidth="1"/>
    <col min="22" max="16384" width="9.1796875" style="33"/>
  </cols>
  <sheetData>
    <row r="1" spans="1:23" x14ac:dyDescent="0.35">
      <c r="S1" s="113"/>
      <c r="T1" s="113"/>
      <c r="U1" s="113"/>
      <c r="V1" s="113"/>
    </row>
    <row r="3" spans="1:23" ht="16" x14ac:dyDescent="0.4">
      <c r="Q3" s="74"/>
    </row>
    <row r="5" spans="1:23" x14ac:dyDescent="0.35">
      <c r="B5" s="114"/>
      <c r="C5" s="114"/>
      <c r="D5" s="114"/>
    </row>
    <row r="7" spans="1:23" x14ac:dyDescent="0.35">
      <c r="A7" s="32"/>
      <c r="B7" s="107" t="s">
        <v>13</v>
      </c>
      <c r="C7" s="108"/>
      <c r="D7" s="108"/>
      <c r="E7" s="108"/>
      <c r="F7" s="108"/>
      <c r="G7" s="108"/>
      <c r="H7" s="108"/>
      <c r="I7" s="108"/>
      <c r="J7" s="110" t="s">
        <v>14</v>
      </c>
      <c r="K7" s="111"/>
      <c r="L7" s="111"/>
      <c r="M7" s="111"/>
      <c r="N7" s="111"/>
      <c r="O7" s="111"/>
      <c r="P7" s="112"/>
      <c r="R7" s="34"/>
    </row>
    <row r="8" spans="1:23" x14ac:dyDescent="0.35">
      <c r="A8" s="32"/>
      <c r="B8" s="39" t="s">
        <v>6</v>
      </c>
      <c r="C8" s="39" t="s">
        <v>7</v>
      </c>
      <c r="D8" s="39" t="s">
        <v>8</v>
      </c>
      <c r="E8" s="39" t="s">
        <v>11</v>
      </c>
      <c r="F8" s="39" t="s">
        <v>19</v>
      </c>
      <c r="G8" s="39" t="s">
        <v>25</v>
      </c>
      <c r="H8" s="39" t="s">
        <v>15</v>
      </c>
      <c r="I8" s="52" t="s">
        <v>22</v>
      </c>
      <c r="J8" s="54" t="s">
        <v>24</v>
      </c>
      <c r="K8" s="39" t="s">
        <v>18</v>
      </c>
      <c r="L8" s="39" t="s">
        <v>26</v>
      </c>
      <c r="M8" s="39" t="s">
        <v>15</v>
      </c>
      <c r="N8" s="39" t="s">
        <v>10</v>
      </c>
      <c r="O8" s="39" t="s">
        <v>12</v>
      </c>
      <c r="P8" s="39" t="s">
        <v>22</v>
      </c>
      <c r="Q8" s="34"/>
      <c r="R8" s="36"/>
    </row>
    <row r="9" spans="1:23" x14ac:dyDescent="0.35">
      <c r="A9" s="35" t="s">
        <v>0</v>
      </c>
      <c r="B9" s="49">
        <v>995</v>
      </c>
      <c r="C9" s="49">
        <v>475</v>
      </c>
      <c r="D9" s="49">
        <v>85</v>
      </c>
      <c r="E9" s="49">
        <v>250</v>
      </c>
      <c r="F9" s="49"/>
      <c r="G9" s="49">
        <v>40</v>
      </c>
      <c r="H9" s="49">
        <v>9</v>
      </c>
      <c r="I9" s="66">
        <v>0.1</v>
      </c>
      <c r="J9" s="67">
        <v>0</v>
      </c>
      <c r="K9" s="49"/>
      <c r="L9" s="49">
        <v>30</v>
      </c>
      <c r="M9" s="49">
        <v>9</v>
      </c>
      <c r="N9" s="49">
        <v>1400</v>
      </c>
      <c r="O9" s="49">
        <v>200</v>
      </c>
      <c r="P9" s="50">
        <v>0.1</v>
      </c>
      <c r="Q9" s="34"/>
      <c r="R9" s="34"/>
      <c r="S9" s="113"/>
      <c r="T9" s="113"/>
      <c r="U9" s="113"/>
      <c r="V9" s="113"/>
      <c r="W9" s="113"/>
    </row>
    <row r="10" spans="1:23" x14ac:dyDescent="0.35">
      <c r="A10" s="35" t="s">
        <v>1</v>
      </c>
      <c r="B10" s="40">
        <f>IFERROR(AVERAGE(B$14:B$17),"")</f>
        <v>1788.35</v>
      </c>
      <c r="C10" s="40">
        <f t="shared" ref="C10:P10" si="0">IFERROR(AVERAGE(C$14:C$17),"")</f>
        <v>569.875</v>
      </c>
      <c r="D10" s="40">
        <f t="shared" si="0"/>
        <v>63.875</v>
      </c>
      <c r="E10" s="40">
        <f t="shared" si="0"/>
        <v>261.35000000000002</v>
      </c>
      <c r="F10" s="40">
        <f t="shared" si="0"/>
        <v>65903</v>
      </c>
      <c r="G10" s="40">
        <f t="shared" si="0"/>
        <v>24.5</v>
      </c>
      <c r="H10" s="40">
        <f t="shared" si="0"/>
        <v>11.975</v>
      </c>
      <c r="I10" s="53">
        <f t="shared" si="0"/>
        <v>27.375000000000004</v>
      </c>
      <c r="J10" s="55">
        <f t="shared" si="0"/>
        <v>42.325000000000003</v>
      </c>
      <c r="K10" s="40">
        <f t="shared" si="0"/>
        <v>80334.5</v>
      </c>
      <c r="L10" s="40">
        <f t="shared" si="0"/>
        <v>31.25</v>
      </c>
      <c r="M10" s="40">
        <f t="shared" si="0"/>
        <v>5.75</v>
      </c>
      <c r="N10" s="40">
        <f t="shared" si="0"/>
        <v>1202.9749999999999</v>
      </c>
      <c r="O10" s="40">
        <f t="shared" si="0"/>
        <v>179.75</v>
      </c>
      <c r="P10" s="40">
        <f t="shared" si="0"/>
        <v>33.200000000000003</v>
      </c>
      <c r="Q10" s="34"/>
      <c r="R10" s="34"/>
    </row>
    <row r="11" spans="1:23" x14ac:dyDescent="0.35">
      <c r="A11" s="35" t="s">
        <v>2</v>
      </c>
      <c r="B11" s="40">
        <f t="shared" ref="B11:P11" si="1">IFERROR(AVERAGE(B$18:B$20),"")</f>
        <v>3170.2999999999997</v>
      </c>
      <c r="C11" s="40">
        <f t="shared" si="1"/>
        <v>560.9</v>
      </c>
      <c r="D11" s="40">
        <f t="shared" si="1"/>
        <v>63.199999999999996</v>
      </c>
      <c r="E11" s="40">
        <f t="shared" si="1"/>
        <v>294.40000000000003</v>
      </c>
      <c r="F11" s="40">
        <f t="shared" si="1"/>
        <v>89432.666666666672</v>
      </c>
      <c r="G11" s="40">
        <f t="shared" si="1"/>
        <v>19.833333333333332</v>
      </c>
      <c r="H11" s="40">
        <f t="shared" si="1"/>
        <v>16.466666666666665</v>
      </c>
      <c r="I11" s="53">
        <f t="shared" si="1"/>
        <v>27.099999999999998</v>
      </c>
      <c r="J11" s="55">
        <f t="shared" si="1"/>
        <v>45.9</v>
      </c>
      <c r="K11" s="40">
        <f t="shared" si="1"/>
        <v>73236</v>
      </c>
      <c r="L11" s="40">
        <f t="shared" si="1"/>
        <v>32.166666666666664</v>
      </c>
      <c r="M11" s="40">
        <f t="shared" si="1"/>
        <v>4.6333333333333337</v>
      </c>
      <c r="N11" s="40">
        <f t="shared" si="1"/>
        <v>1064.5333333333335</v>
      </c>
      <c r="O11" s="40">
        <f t="shared" si="1"/>
        <v>150.20000000000002</v>
      </c>
      <c r="P11" s="40">
        <f t="shared" si="1"/>
        <v>35.06666666666667</v>
      </c>
      <c r="Q11" s="34"/>
      <c r="R11" s="36"/>
      <c r="S11" s="70"/>
    </row>
    <row r="12" spans="1:23" x14ac:dyDescent="0.35">
      <c r="A12" s="35" t="s">
        <v>27</v>
      </c>
      <c r="B12" s="48">
        <f t="shared" ref="B12:P12" si="2">IFERROR(ABS(B$10-B$11), "")</f>
        <v>1381.9499999999998</v>
      </c>
      <c r="C12" s="48">
        <f t="shared" si="2"/>
        <v>8.9750000000000227</v>
      </c>
      <c r="D12" s="48">
        <f t="shared" si="2"/>
        <v>0.67500000000000426</v>
      </c>
      <c r="E12" s="48">
        <f t="shared" si="2"/>
        <v>33.050000000000011</v>
      </c>
      <c r="F12" s="48">
        <f t="shared" si="2"/>
        <v>23529.666666666672</v>
      </c>
      <c r="G12" s="48">
        <f t="shared" si="2"/>
        <v>4.6666666666666679</v>
      </c>
      <c r="H12" s="48">
        <f t="shared" si="2"/>
        <v>4.4916666666666654</v>
      </c>
      <c r="I12" s="62">
        <f t="shared" si="2"/>
        <v>0.27500000000000568</v>
      </c>
      <c r="J12" s="64">
        <f t="shared" si="2"/>
        <v>3.5749999999999957</v>
      </c>
      <c r="K12" s="48">
        <f t="shared" si="2"/>
        <v>7098.5</v>
      </c>
      <c r="L12" s="48">
        <f t="shared" si="2"/>
        <v>0.9166666666666643</v>
      </c>
      <c r="M12" s="48">
        <f t="shared" si="2"/>
        <v>1.1166666666666663</v>
      </c>
      <c r="N12" s="48">
        <f t="shared" si="2"/>
        <v>138.44166666666638</v>
      </c>
      <c r="O12" s="48">
        <f t="shared" si="2"/>
        <v>29.549999999999983</v>
      </c>
      <c r="P12" s="48">
        <f t="shared" si="2"/>
        <v>1.8666666666666671</v>
      </c>
      <c r="Q12" s="78"/>
      <c r="R12" s="34"/>
    </row>
    <row r="13" spans="1:23" x14ac:dyDescent="0.35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34"/>
    </row>
    <row r="14" spans="1:23" x14ac:dyDescent="0.35">
      <c r="A14" s="51">
        <v>44101</v>
      </c>
      <c r="B14" s="42">
        <v>1650.1</v>
      </c>
      <c r="C14" s="42">
        <v>528.29999999999995</v>
      </c>
      <c r="D14" s="42">
        <v>55.1</v>
      </c>
      <c r="E14" s="42">
        <v>264.10000000000002</v>
      </c>
      <c r="F14" s="43">
        <v>58660</v>
      </c>
      <c r="G14" s="42">
        <v>24.4</v>
      </c>
      <c r="H14" s="42">
        <v>11</v>
      </c>
      <c r="I14" s="56">
        <v>25.8</v>
      </c>
      <c r="J14" s="59">
        <v>38.200000000000003</v>
      </c>
      <c r="K14" s="43">
        <v>85405</v>
      </c>
      <c r="L14" s="42">
        <v>28</v>
      </c>
      <c r="M14" s="42">
        <v>6.6</v>
      </c>
      <c r="N14" s="42">
        <v>1079.7</v>
      </c>
      <c r="O14" s="42">
        <v>181.4</v>
      </c>
      <c r="P14" s="42">
        <v>36.299999999999997</v>
      </c>
      <c r="Q14" s="34"/>
      <c r="U14" s="38"/>
    </row>
    <row r="15" spans="1:23" x14ac:dyDescent="0.35">
      <c r="A15" s="51">
        <v>44102</v>
      </c>
      <c r="B15" s="42">
        <v>1749</v>
      </c>
      <c r="C15" s="42">
        <v>497.7</v>
      </c>
      <c r="D15" s="42">
        <v>74.599999999999994</v>
      </c>
      <c r="E15" s="42">
        <v>228.6</v>
      </c>
      <c r="F15" s="43">
        <v>52761</v>
      </c>
      <c r="G15" s="42">
        <v>24.8</v>
      </c>
      <c r="H15" s="42">
        <v>10.3</v>
      </c>
      <c r="I15" s="56">
        <v>23.6</v>
      </c>
      <c r="J15" s="59">
        <v>37.700000000000003</v>
      </c>
      <c r="K15" s="43">
        <v>78257</v>
      </c>
      <c r="L15" s="42">
        <v>29.1</v>
      </c>
      <c r="M15" s="42">
        <v>6</v>
      </c>
      <c r="N15" s="42">
        <v>1074.5999999999999</v>
      </c>
      <c r="O15" s="42">
        <v>176.1</v>
      </c>
      <c r="P15" s="42">
        <v>34</v>
      </c>
      <c r="Q15" s="34"/>
      <c r="R15" s="38"/>
      <c r="U15" s="38"/>
    </row>
    <row r="16" spans="1:23" x14ac:dyDescent="0.35">
      <c r="A16" s="51">
        <v>44103</v>
      </c>
      <c r="B16" s="42">
        <v>1387.3</v>
      </c>
      <c r="C16" s="42">
        <v>859.5</v>
      </c>
      <c r="D16" s="42">
        <v>66.3</v>
      </c>
      <c r="E16" s="42">
        <v>298.5</v>
      </c>
      <c r="F16" s="43">
        <v>88113</v>
      </c>
      <c r="G16" s="42">
        <v>30.8</v>
      </c>
      <c r="H16" s="42">
        <v>10.7</v>
      </c>
      <c r="I16" s="56">
        <v>28.9</v>
      </c>
      <c r="J16" s="59">
        <v>47.4</v>
      </c>
      <c r="K16" s="43">
        <v>78728</v>
      </c>
      <c r="L16" s="42">
        <v>33.5</v>
      </c>
      <c r="M16" s="42">
        <v>5.6</v>
      </c>
      <c r="N16" s="42">
        <v>1110.7</v>
      </c>
      <c r="O16" s="42">
        <v>188.9</v>
      </c>
      <c r="P16" s="42">
        <v>29.1</v>
      </c>
      <c r="Q16" s="34"/>
      <c r="R16" s="38"/>
      <c r="U16" s="38"/>
    </row>
    <row r="17" spans="1:21" ht="15.75" customHeight="1" x14ac:dyDescent="0.35">
      <c r="A17" s="51">
        <v>44104</v>
      </c>
      <c r="B17" s="46">
        <v>2367</v>
      </c>
      <c r="C17" s="46">
        <v>394</v>
      </c>
      <c r="D17" s="46">
        <v>59.5</v>
      </c>
      <c r="E17" s="46">
        <v>254.2</v>
      </c>
      <c r="F17" s="47">
        <v>64078</v>
      </c>
      <c r="G17" s="46">
        <v>18</v>
      </c>
      <c r="H17" s="46">
        <v>15.9</v>
      </c>
      <c r="I17" s="57">
        <v>31.2</v>
      </c>
      <c r="J17" s="60">
        <v>46</v>
      </c>
      <c r="K17" s="47">
        <v>78948</v>
      </c>
      <c r="L17" s="46">
        <v>34.4</v>
      </c>
      <c r="M17" s="46">
        <v>4.8</v>
      </c>
      <c r="N17" s="46">
        <v>1546.9</v>
      </c>
      <c r="O17" s="46">
        <v>172.6</v>
      </c>
      <c r="P17" s="46">
        <v>33.4</v>
      </c>
      <c r="Q17" s="34"/>
      <c r="R17" s="38"/>
      <c r="U17" s="38"/>
    </row>
    <row r="18" spans="1:21" ht="15" customHeight="1" x14ac:dyDescent="0.35">
      <c r="A18" s="51">
        <v>44105</v>
      </c>
      <c r="B18" s="44">
        <v>4767.2</v>
      </c>
      <c r="C18" s="44">
        <v>615.6</v>
      </c>
      <c r="D18" s="44">
        <v>71.599999999999994</v>
      </c>
      <c r="E18" s="44">
        <v>464</v>
      </c>
      <c r="F18" s="45">
        <v>147069</v>
      </c>
      <c r="G18" s="44">
        <v>20.6</v>
      </c>
      <c r="H18" s="44">
        <v>25.3</v>
      </c>
      <c r="I18" s="58">
        <v>27.2</v>
      </c>
      <c r="J18" s="61">
        <v>43</v>
      </c>
      <c r="K18" s="45">
        <v>76481</v>
      </c>
      <c r="L18" s="44">
        <v>29.9</v>
      </c>
      <c r="M18" s="44">
        <v>5.2</v>
      </c>
      <c r="N18" s="44">
        <v>1284</v>
      </c>
      <c r="O18" s="44">
        <v>156.6</v>
      </c>
      <c r="P18" s="44">
        <v>35.6</v>
      </c>
      <c r="Q18" s="34"/>
      <c r="R18" s="38"/>
      <c r="U18" s="38"/>
    </row>
    <row r="19" spans="1:21" x14ac:dyDescent="0.35">
      <c r="A19" s="51">
        <v>44106</v>
      </c>
      <c r="B19" s="44">
        <v>3193.9</v>
      </c>
      <c r="C19" s="44">
        <v>402.6</v>
      </c>
      <c r="D19" s="44">
        <v>46.9</v>
      </c>
      <c r="E19" s="44">
        <v>225.4</v>
      </c>
      <c r="F19" s="45">
        <v>61165</v>
      </c>
      <c r="G19" s="44">
        <v>15.2</v>
      </c>
      <c r="H19" s="44">
        <v>15.7</v>
      </c>
      <c r="I19" s="58">
        <v>27.8</v>
      </c>
      <c r="J19" s="61">
        <v>49.4</v>
      </c>
      <c r="K19" s="45">
        <v>73257</v>
      </c>
      <c r="L19" s="44">
        <v>33.799999999999997</v>
      </c>
      <c r="M19" s="44">
        <v>4.3</v>
      </c>
      <c r="N19" s="44">
        <v>921.4</v>
      </c>
      <c r="O19" s="44">
        <v>147.6</v>
      </c>
      <c r="P19" s="44">
        <v>34.299999999999997</v>
      </c>
      <c r="Q19" s="34"/>
      <c r="R19" s="38"/>
      <c r="U19" s="38"/>
    </row>
    <row r="20" spans="1:21" x14ac:dyDescent="0.35">
      <c r="A20" s="51">
        <v>44107</v>
      </c>
      <c r="B20" s="44">
        <v>1549.8</v>
      </c>
      <c r="C20" s="44">
        <v>664.5</v>
      </c>
      <c r="D20" s="44">
        <v>71.099999999999994</v>
      </c>
      <c r="E20" s="44">
        <v>193.8</v>
      </c>
      <c r="F20" s="45">
        <v>60064</v>
      </c>
      <c r="G20" s="44">
        <v>23.7</v>
      </c>
      <c r="H20" s="44">
        <v>8.4</v>
      </c>
      <c r="I20" s="58">
        <v>26.3</v>
      </c>
      <c r="J20" s="61">
        <v>45.3</v>
      </c>
      <c r="K20" s="45">
        <v>69970</v>
      </c>
      <c r="L20" s="44">
        <v>32.799999999999997</v>
      </c>
      <c r="M20" s="44">
        <v>4.4000000000000004</v>
      </c>
      <c r="N20" s="44">
        <v>988.2</v>
      </c>
      <c r="O20" s="44">
        <v>146.4</v>
      </c>
      <c r="P20" s="44">
        <v>35.299999999999997</v>
      </c>
      <c r="Q20" s="34"/>
      <c r="R20" s="38"/>
      <c r="U20" s="38"/>
    </row>
    <row r="21" spans="1:21" x14ac:dyDescent="0.35">
      <c r="A21" s="35"/>
      <c r="B21" s="78"/>
      <c r="C21" s="78"/>
      <c r="D21" s="78"/>
      <c r="E21" s="78"/>
      <c r="F21" s="37"/>
      <c r="G21" s="78"/>
      <c r="H21" s="78"/>
      <c r="I21" s="78"/>
      <c r="J21" s="78"/>
      <c r="K21" s="37"/>
      <c r="L21" s="78"/>
      <c r="M21" s="78"/>
      <c r="N21" s="78"/>
      <c r="O21" s="78"/>
      <c r="P21" s="78"/>
      <c r="Q21" s="34"/>
      <c r="R21" s="38"/>
    </row>
    <row r="22" spans="1:21" x14ac:dyDescent="0.35">
      <c r="A22" s="35" t="s">
        <v>3</v>
      </c>
      <c r="B22" s="48">
        <v>1641.0714285714287</v>
      </c>
      <c r="C22" s="48">
        <v>828.8</v>
      </c>
      <c r="D22" s="48">
        <v>65.642857142857153</v>
      </c>
      <c r="E22" s="48">
        <v>225.75714285714284</v>
      </c>
      <c r="F22" s="48">
        <v>80956.428571428565</v>
      </c>
      <c r="G22" s="48">
        <v>25.028571428571428</v>
      </c>
      <c r="H22" s="48">
        <v>10.042857142857143</v>
      </c>
      <c r="I22" s="62">
        <v>29.5</v>
      </c>
      <c r="J22" s="64">
        <v>40.328571428571429</v>
      </c>
      <c r="K22" s="48">
        <v>101533.42857142857</v>
      </c>
      <c r="L22" s="48">
        <v>29.614285714285717</v>
      </c>
      <c r="M22" s="48">
        <v>7.6000000000000014</v>
      </c>
      <c r="N22" s="48">
        <v>1688.6571428571428</v>
      </c>
      <c r="O22" s="48">
        <v>224.02857142857144</v>
      </c>
      <c r="P22" s="48">
        <v>36.457142857142863</v>
      </c>
      <c r="Q22" s="34"/>
    </row>
    <row r="23" spans="1:21" x14ac:dyDescent="0.35">
      <c r="A23" s="35" t="s">
        <v>4</v>
      </c>
      <c r="B23" s="48">
        <f t="shared" ref="B23:N23" si="3">IFERROR(AVERAGE(B14:B20),"")</f>
        <v>2380.6142857142854</v>
      </c>
      <c r="C23" s="48">
        <f>IFERROR(AVERAGE(C14:C20),"")</f>
        <v>566.02857142857135</v>
      </c>
      <c r="D23" s="48">
        <f>IFERROR(AVERAGE(D14:D20),"")</f>
        <v>63.585714285714289</v>
      </c>
      <c r="E23" s="48">
        <f>IFERROR(AVERAGE(E14:E20),"")</f>
        <v>275.51428571428573</v>
      </c>
      <c r="F23" s="48">
        <f t="shared" si="3"/>
        <v>75987.142857142855</v>
      </c>
      <c r="G23" s="48">
        <f t="shared" si="3"/>
        <v>22.499999999999996</v>
      </c>
      <c r="H23" s="48">
        <f t="shared" si="3"/>
        <v>13.900000000000002</v>
      </c>
      <c r="I23" s="62">
        <f t="shared" si="3"/>
        <v>27.257142857142863</v>
      </c>
      <c r="J23" s="64">
        <f>IFERROR(AVERAGE(J14:J20),"")</f>
        <v>43.857142857142854</v>
      </c>
      <c r="K23" s="48">
        <f>IFERROR(AVERAGE(K14:K20),"")</f>
        <v>77292.28571428571</v>
      </c>
      <c r="L23" s="48">
        <f>IFERROR(AVERAGE(L14:L20),"")</f>
        <v>31.642857142857142</v>
      </c>
      <c r="M23" s="48">
        <f>IFERROR(AVERAGE(M14:M20),"")</f>
        <v>5.2714285714285714</v>
      </c>
      <c r="N23" s="48">
        <f t="shared" si="3"/>
        <v>1143.6428571428571</v>
      </c>
      <c r="O23" s="48">
        <f>IFERROR(AVERAGE(O14:O20),"")</f>
        <v>167.08571428571432</v>
      </c>
      <c r="P23" s="48">
        <f>IFERROR(AVERAGE(P14:P20),"")</f>
        <v>34</v>
      </c>
      <c r="Q23" s="34"/>
    </row>
    <row r="24" spans="1:21" x14ac:dyDescent="0.35">
      <c r="A24" s="35" t="s">
        <v>5</v>
      </c>
      <c r="B24" s="41">
        <f t="shared" ref="B24:P24" si="4">IFERROR(-(B22-B23)/B22,"")</f>
        <v>0.45064635473340559</v>
      </c>
      <c r="C24" s="41">
        <f t="shared" si="4"/>
        <v>-0.31705046883618315</v>
      </c>
      <c r="D24" s="41">
        <f t="shared" si="4"/>
        <v>-3.1338411316648634E-2</v>
      </c>
      <c r="E24" s="41">
        <f t="shared" si="4"/>
        <v>0.22040118964753547</v>
      </c>
      <c r="F24" s="41">
        <f t="shared" si="4"/>
        <v>-6.1382225006396694E-2</v>
      </c>
      <c r="G24" s="41">
        <f t="shared" si="4"/>
        <v>-0.10102739726027411</v>
      </c>
      <c r="H24" s="41">
        <f t="shared" si="4"/>
        <v>0.38406827880512112</v>
      </c>
      <c r="I24" s="63">
        <f t="shared" si="4"/>
        <v>-7.6029055690072428E-2</v>
      </c>
      <c r="J24" s="65">
        <f t="shared" si="4"/>
        <v>8.7495572086432785E-2</v>
      </c>
      <c r="K24" s="41">
        <f t="shared" si="4"/>
        <v>-0.23875036230150801</v>
      </c>
      <c r="L24" s="41">
        <f t="shared" si="4"/>
        <v>6.8499758803666058E-2</v>
      </c>
      <c r="M24" s="41">
        <f t="shared" si="4"/>
        <v>-0.30639097744360916</v>
      </c>
      <c r="N24" s="41">
        <f t="shared" si="4"/>
        <v>-0.32275011420740063</v>
      </c>
      <c r="O24" s="41">
        <f t="shared" si="4"/>
        <v>-0.25417676316796317</v>
      </c>
      <c r="P24" s="41">
        <f t="shared" si="4"/>
        <v>-6.7398119122257197E-2</v>
      </c>
    </row>
    <row r="25" spans="1:21" x14ac:dyDescent="0.35">
      <c r="B25" s="73" t="s">
        <v>28</v>
      </c>
      <c r="C25" s="77"/>
      <c r="D25" s="77"/>
      <c r="E25" s="77"/>
      <c r="F25" s="77"/>
      <c r="G25" s="77"/>
      <c r="H25" s="77"/>
      <c r="I25" s="77"/>
      <c r="J25" s="77"/>
      <c r="K25" s="77"/>
      <c r="L25" s="77"/>
      <c r="M25" s="77"/>
      <c r="N25" s="77"/>
      <c r="O25" s="77"/>
      <c r="P25" s="77"/>
    </row>
    <row r="26" spans="1:21" x14ac:dyDescent="0.35">
      <c r="B26" s="77"/>
      <c r="C26" s="77"/>
      <c r="D26" s="77"/>
      <c r="E26" s="77"/>
      <c r="F26" s="77"/>
      <c r="G26" s="77"/>
      <c r="H26" s="77"/>
      <c r="I26" s="77"/>
      <c r="J26" s="77"/>
      <c r="K26" s="77"/>
      <c r="L26" s="77"/>
      <c r="M26" s="77"/>
      <c r="N26" s="77"/>
      <c r="O26" s="77"/>
      <c r="P26" s="77"/>
    </row>
    <row r="27" spans="1:21" x14ac:dyDescent="0.35">
      <c r="A27" s="32"/>
      <c r="B27" s="107" t="s">
        <v>13</v>
      </c>
      <c r="C27" s="108"/>
      <c r="D27" s="108"/>
      <c r="E27" s="108"/>
      <c r="F27" s="108"/>
      <c r="G27" s="108"/>
      <c r="H27" s="108"/>
      <c r="I27" s="109"/>
      <c r="J27" s="110" t="s">
        <v>14</v>
      </c>
      <c r="K27" s="111"/>
      <c r="L27" s="111"/>
      <c r="M27" s="111"/>
      <c r="N27" s="111"/>
      <c r="O27" s="111"/>
      <c r="P27" s="112"/>
    </row>
    <row r="28" spans="1:21" x14ac:dyDescent="0.35">
      <c r="A28" s="32"/>
      <c r="B28" s="39" t="s">
        <v>6</v>
      </c>
      <c r="C28" s="39" t="s">
        <v>7</v>
      </c>
      <c r="D28" s="39" t="s">
        <v>8</v>
      </c>
      <c r="E28" s="39" t="s">
        <v>11</v>
      </c>
      <c r="F28" s="39" t="s">
        <v>19</v>
      </c>
      <c r="G28" s="39" t="s">
        <v>25</v>
      </c>
      <c r="H28" s="39" t="s">
        <v>15</v>
      </c>
      <c r="I28" s="52" t="s">
        <v>22</v>
      </c>
      <c r="J28" s="54" t="s">
        <v>24</v>
      </c>
      <c r="K28" s="39" t="s">
        <v>18</v>
      </c>
      <c r="L28" s="39" t="s">
        <v>26</v>
      </c>
      <c r="M28" s="39" t="s">
        <v>15</v>
      </c>
      <c r="N28" s="39" t="s">
        <v>10</v>
      </c>
      <c r="O28" s="39" t="s">
        <v>12</v>
      </c>
      <c r="P28" s="39" t="s">
        <v>22</v>
      </c>
      <c r="Q28" s="34"/>
    </row>
    <row r="29" spans="1:21" x14ac:dyDescent="0.35">
      <c r="A29" s="35" t="s">
        <v>0</v>
      </c>
      <c r="B29" s="49">
        <v>995</v>
      </c>
      <c r="C29" s="49">
        <v>475</v>
      </c>
      <c r="D29" s="49">
        <v>85</v>
      </c>
      <c r="E29" s="49">
        <v>250</v>
      </c>
      <c r="F29" s="49"/>
      <c r="G29" s="49">
        <v>40</v>
      </c>
      <c r="H29" s="49">
        <v>9</v>
      </c>
      <c r="I29" s="66">
        <v>0.1</v>
      </c>
      <c r="J29" s="67">
        <v>0</v>
      </c>
      <c r="K29" s="49"/>
      <c r="L29" s="49">
        <v>30</v>
      </c>
      <c r="M29" s="49">
        <v>9</v>
      </c>
      <c r="N29" s="49">
        <v>1400</v>
      </c>
      <c r="O29" s="49">
        <v>200</v>
      </c>
      <c r="P29" s="50">
        <v>0.1</v>
      </c>
      <c r="Q29" s="34"/>
    </row>
    <row r="30" spans="1:21" x14ac:dyDescent="0.35">
      <c r="A30" s="35" t="s">
        <v>1</v>
      </c>
      <c r="B30" s="40">
        <f t="shared" ref="B30:P30" si="5">IFERROR(AVERAGE(B$34:B$36),"")</f>
        <v>1595.4666666666665</v>
      </c>
      <c r="C30" s="40">
        <f t="shared" si="5"/>
        <v>628.5</v>
      </c>
      <c r="D30" s="40">
        <f t="shared" si="5"/>
        <v>65.333333333333329</v>
      </c>
      <c r="E30" s="40">
        <f t="shared" si="5"/>
        <v>263.73333333333335</v>
      </c>
      <c r="F30" s="40">
        <f t="shared" si="5"/>
        <v>66511.333333333328</v>
      </c>
      <c r="G30" s="40">
        <f t="shared" si="5"/>
        <v>26.666666666666668</v>
      </c>
      <c r="H30" s="40">
        <f t="shared" si="5"/>
        <v>10.666666666666666</v>
      </c>
      <c r="I30" s="53">
        <f t="shared" si="5"/>
        <v>26.100000000000005</v>
      </c>
      <c r="J30" s="55">
        <f t="shared" si="5"/>
        <v>41.1</v>
      </c>
      <c r="K30" s="40">
        <f t="shared" si="5"/>
        <v>80796.666666666672</v>
      </c>
      <c r="L30" s="40">
        <f t="shared" si="5"/>
        <v>30.2</v>
      </c>
      <c r="M30" s="40">
        <f t="shared" si="5"/>
        <v>6.0666666666666664</v>
      </c>
      <c r="N30" s="40">
        <f t="shared" si="5"/>
        <v>1088.3333333333333</v>
      </c>
      <c r="O30" s="40">
        <f t="shared" si="5"/>
        <v>182.13333333333333</v>
      </c>
      <c r="P30" s="40">
        <f t="shared" si="5"/>
        <v>33.133333333333333</v>
      </c>
      <c r="Q30" s="34"/>
    </row>
    <row r="31" spans="1:21" x14ac:dyDescent="0.35">
      <c r="A31" s="35" t="s">
        <v>2</v>
      </c>
      <c r="B31" s="40">
        <f>IFERROR(AVERAGE(B$37:B$40),"")</f>
        <v>2969.4749999999999</v>
      </c>
      <c r="C31" s="40">
        <f t="shared" ref="C31:P31" si="6">IFERROR(AVERAGE(C$37:C$40),"")</f>
        <v>519.17499999999995</v>
      </c>
      <c r="D31" s="40">
        <f t="shared" si="6"/>
        <v>62.274999999999999</v>
      </c>
      <c r="E31" s="40">
        <f t="shared" si="6"/>
        <v>284.35000000000002</v>
      </c>
      <c r="F31" s="40">
        <f t="shared" si="6"/>
        <v>83094</v>
      </c>
      <c r="G31" s="40">
        <f t="shared" si="6"/>
        <v>19.375</v>
      </c>
      <c r="H31" s="40">
        <f t="shared" si="6"/>
        <v>16.325000000000003</v>
      </c>
      <c r="I31" s="53">
        <f t="shared" si="6"/>
        <v>28.125</v>
      </c>
      <c r="J31" s="55">
        <f t="shared" si="6"/>
        <v>45.924999999999997</v>
      </c>
      <c r="K31" s="40">
        <f t="shared" si="6"/>
        <v>74664</v>
      </c>
      <c r="L31" s="40">
        <f t="shared" si="6"/>
        <v>32.724999999999994</v>
      </c>
      <c r="M31" s="40">
        <f t="shared" si="6"/>
        <v>4.6750000000000007</v>
      </c>
      <c r="N31" s="40">
        <f t="shared" si="6"/>
        <v>1185.125</v>
      </c>
      <c r="O31" s="40">
        <f t="shared" si="6"/>
        <v>155.79999999999998</v>
      </c>
      <c r="P31" s="40">
        <f t="shared" si="6"/>
        <v>34.65</v>
      </c>
      <c r="Q31" s="34"/>
    </row>
    <row r="32" spans="1:21" x14ac:dyDescent="0.35">
      <c r="A32" s="35" t="s">
        <v>27</v>
      </c>
      <c r="B32" s="48">
        <f t="shared" ref="B32:P32" si="7">IFERROR(ABS(B$31-B$30), "")</f>
        <v>1374.0083333333334</v>
      </c>
      <c r="C32" s="48">
        <f t="shared" si="7"/>
        <v>109.32500000000005</v>
      </c>
      <c r="D32" s="48">
        <f t="shared" si="7"/>
        <v>3.05833333333333</v>
      </c>
      <c r="E32" s="48">
        <f t="shared" si="7"/>
        <v>20.616666666666674</v>
      </c>
      <c r="F32" s="48">
        <f t="shared" si="7"/>
        <v>16582.666666666672</v>
      </c>
      <c r="G32" s="48">
        <f t="shared" si="7"/>
        <v>7.2916666666666679</v>
      </c>
      <c r="H32" s="48">
        <f t="shared" si="7"/>
        <v>5.6583333333333368</v>
      </c>
      <c r="I32" s="62">
        <f t="shared" si="7"/>
        <v>2.024999999999995</v>
      </c>
      <c r="J32" s="64">
        <f t="shared" si="7"/>
        <v>4.8249999999999957</v>
      </c>
      <c r="K32" s="48">
        <f t="shared" si="7"/>
        <v>6132.6666666666715</v>
      </c>
      <c r="L32" s="48">
        <f t="shared" si="7"/>
        <v>2.524999999999995</v>
      </c>
      <c r="M32" s="48">
        <f t="shared" si="7"/>
        <v>1.3916666666666657</v>
      </c>
      <c r="N32" s="48">
        <f t="shared" si="7"/>
        <v>96.791666666666742</v>
      </c>
      <c r="O32" s="48">
        <f t="shared" si="7"/>
        <v>26.333333333333343</v>
      </c>
      <c r="P32" s="48">
        <f t="shared" si="7"/>
        <v>1.5166666666666657</v>
      </c>
      <c r="Q32" s="72"/>
    </row>
    <row r="33" spans="1:18" x14ac:dyDescent="0.3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</row>
    <row r="34" spans="1:18" x14ac:dyDescent="0.35">
      <c r="A34" s="51">
        <v>44101</v>
      </c>
      <c r="B34" s="42">
        <v>1650.1</v>
      </c>
      <c r="C34" s="42">
        <v>528.29999999999995</v>
      </c>
      <c r="D34" s="42">
        <v>55.1</v>
      </c>
      <c r="E34" s="42">
        <v>264.10000000000002</v>
      </c>
      <c r="F34" s="43">
        <v>58660</v>
      </c>
      <c r="G34" s="42">
        <v>24.4</v>
      </c>
      <c r="H34" s="42">
        <v>11</v>
      </c>
      <c r="I34" s="56">
        <v>25.8</v>
      </c>
      <c r="J34" s="59">
        <v>38.200000000000003</v>
      </c>
      <c r="K34" s="43">
        <v>85405</v>
      </c>
      <c r="L34" s="42">
        <v>28</v>
      </c>
      <c r="M34" s="42">
        <v>6.6</v>
      </c>
      <c r="N34" s="42">
        <v>1079.7</v>
      </c>
      <c r="O34" s="42">
        <v>181.4</v>
      </c>
      <c r="P34" s="42">
        <v>36.299999999999997</v>
      </c>
      <c r="Q34" s="34"/>
    </row>
    <row r="35" spans="1:18" x14ac:dyDescent="0.35">
      <c r="A35" s="51">
        <v>44102</v>
      </c>
      <c r="B35" s="42">
        <v>1749</v>
      </c>
      <c r="C35" s="42">
        <v>497.7</v>
      </c>
      <c r="D35" s="42">
        <v>74.599999999999994</v>
      </c>
      <c r="E35" s="42">
        <v>228.6</v>
      </c>
      <c r="F35" s="43">
        <v>52761</v>
      </c>
      <c r="G35" s="42">
        <v>24.8</v>
      </c>
      <c r="H35" s="42">
        <v>10.3</v>
      </c>
      <c r="I35" s="56">
        <v>23.6</v>
      </c>
      <c r="J35" s="59">
        <v>37.700000000000003</v>
      </c>
      <c r="K35" s="43">
        <v>78257</v>
      </c>
      <c r="L35" s="42">
        <v>29.1</v>
      </c>
      <c r="M35" s="42">
        <v>6</v>
      </c>
      <c r="N35" s="42">
        <v>1074.5999999999999</v>
      </c>
      <c r="O35" s="42">
        <v>176.1</v>
      </c>
      <c r="P35" s="42">
        <v>34</v>
      </c>
      <c r="Q35" s="34"/>
    </row>
    <row r="36" spans="1:18" x14ac:dyDescent="0.35">
      <c r="A36" s="51">
        <v>44103</v>
      </c>
      <c r="B36" s="42">
        <v>1387.3</v>
      </c>
      <c r="C36" s="42">
        <v>859.5</v>
      </c>
      <c r="D36" s="42">
        <v>66.3</v>
      </c>
      <c r="E36" s="42">
        <v>298.5</v>
      </c>
      <c r="F36" s="43">
        <v>88113</v>
      </c>
      <c r="G36" s="42">
        <v>30.8</v>
      </c>
      <c r="H36" s="42">
        <v>10.7</v>
      </c>
      <c r="I36" s="56">
        <v>28.9</v>
      </c>
      <c r="J36" s="59">
        <v>47.4</v>
      </c>
      <c r="K36" s="43">
        <v>78728</v>
      </c>
      <c r="L36" s="42">
        <v>33.5</v>
      </c>
      <c r="M36" s="42">
        <v>5.6</v>
      </c>
      <c r="N36" s="42">
        <v>1110.7</v>
      </c>
      <c r="O36" s="42">
        <v>188.9</v>
      </c>
      <c r="P36" s="42">
        <v>29.1</v>
      </c>
      <c r="Q36" s="34"/>
    </row>
    <row r="37" spans="1:18" x14ac:dyDescent="0.35">
      <c r="A37" s="51">
        <v>44104</v>
      </c>
      <c r="B37" s="46">
        <v>2367</v>
      </c>
      <c r="C37" s="46">
        <v>394</v>
      </c>
      <c r="D37" s="46">
        <v>59.5</v>
      </c>
      <c r="E37" s="46">
        <v>254.2</v>
      </c>
      <c r="F37" s="47">
        <v>64078</v>
      </c>
      <c r="G37" s="46">
        <v>18</v>
      </c>
      <c r="H37" s="46">
        <v>15.9</v>
      </c>
      <c r="I37" s="57">
        <v>31.2</v>
      </c>
      <c r="J37" s="60">
        <v>46</v>
      </c>
      <c r="K37" s="47">
        <v>78948</v>
      </c>
      <c r="L37" s="46">
        <v>34.4</v>
      </c>
      <c r="M37" s="46">
        <v>4.8</v>
      </c>
      <c r="N37" s="46">
        <v>1546.9</v>
      </c>
      <c r="O37" s="46">
        <v>172.6</v>
      </c>
      <c r="P37" s="46">
        <v>33.4</v>
      </c>
      <c r="Q37" s="34"/>
    </row>
    <row r="38" spans="1:18" x14ac:dyDescent="0.35">
      <c r="A38" s="51">
        <v>44105</v>
      </c>
      <c r="B38" s="44">
        <v>4767.2</v>
      </c>
      <c r="C38" s="44">
        <v>615.6</v>
      </c>
      <c r="D38" s="44">
        <v>71.599999999999994</v>
      </c>
      <c r="E38" s="44">
        <v>464</v>
      </c>
      <c r="F38" s="45">
        <v>147069</v>
      </c>
      <c r="G38" s="44">
        <v>20.6</v>
      </c>
      <c r="H38" s="44">
        <v>25.3</v>
      </c>
      <c r="I38" s="58">
        <v>27.2</v>
      </c>
      <c r="J38" s="61">
        <v>43</v>
      </c>
      <c r="K38" s="45">
        <v>76481</v>
      </c>
      <c r="L38" s="44">
        <v>29.9</v>
      </c>
      <c r="M38" s="44">
        <v>5.2</v>
      </c>
      <c r="N38" s="44">
        <v>1284</v>
      </c>
      <c r="O38" s="44">
        <v>156.6</v>
      </c>
      <c r="P38" s="44">
        <v>35.6</v>
      </c>
      <c r="Q38" s="34"/>
    </row>
    <row r="39" spans="1:18" x14ac:dyDescent="0.35">
      <c r="A39" s="51">
        <v>44106</v>
      </c>
      <c r="B39" s="44">
        <v>3193.9</v>
      </c>
      <c r="C39" s="44">
        <v>402.6</v>
      </c>
      <c r="D39" s="44">
        <v>46.9</v>
      </c>
      <c r="E39" s="44">
        <v>225.4</v>
      </c>
      <c r="F39" s="45">
        <v>61165</v>
      </c>
      <c r="G39" s="44">
        <v>15.2</v>
      </c>
      <c r="H39" s="44">
        <v>15.7</v>
      </c>
      <c r="I39" s="58">
        <v>27.8</v>
      </c>
      <c r="J39" s="61">
        <v>49.4</v>
      </c>
      <c r="K39" s="45">
        <v>73257</v>
      </c>
      <c r="L39" s="44">
        <v>33.799999999999997</v>
      </c>
      <c r="M39" s="44">
        <v>4.3</v>
      </c>
      <c r="N39" s="44">
        <v>921.4</v>
      </c>
      <c r="O39" s="44">
        <v>147.6</v>
      </c>
      <c r="P39" s="44">
        <v>34.299999999999997</v>
      </c>
      <c r="Q39" s="34"/>
    </row>
    <row r="40" spans="1:18" x14ac:dyDescent="0.35">
      <c r="A40" s="51">
        <v>44107</v>
      </c>
      <c r="B40" s="44">
        <v>1549.8</v>
      </c>
      <c r="C40" s="44">
        <v>664.5</v>
      </c>
      <c r="D40" s="44">
        <v>71.099999999999994</v>
      </c>
      <c r="E40" s="44">
        <v>193.8</v>
      </c>
      <c r="F40" s="45">
        <v>60064</v>
      </c>
      <c r="G40" s="44">
        <v>23.7</v>
      </c>
      <c r="H40" s="44">
        <v>8.4</v>
      </c>
      <c r="I40" s="58">
        <v>26.3</v>
      </c>
      <c r="J40" s="61">
        <v>45.3</v>
      </c>
      <c r="K40" s="45">
        <v>69970</v>
      </c>
      <c r="L40" s="44">
        <v>32.799999999999997</v>
      </c>
      <c r="M40" s="44">
        <v>4.4000000000000004</v>
      </c>
      <c r="N40" s="44">
        <v>988.2</v>
      </c>
      <c r="O40" s="44">
        <v>146.4</v>
      </c>
      <c r="P40" s="44">
        <v>35.299999999999997</v>
      </c>
      <c r="Q40" s="34"/>
    </row>
    <row r="41" spans="1:18" x14ac:dyDescent="0.35">
      <c r="A41" s="35"/>
      <c r="B41" s="78"/>
      <c r="C41" s="78"/>
      <c r="D41" s="78"/>
      <c r="E41" s="78"/>
      <c r="F41" s="37"/>
      <c r="G41" s="78"/>
      <c r="H41" s="78"/>
      <c r="I41" s="78"/>
      <c r="J41" s="78"/>
      <c r="K41" s="37"/>
      <c r="L41" s="78"/>
      <c r="M41" s="78"/>
      <c r="N41" s="78"/>
      <c r="O41" s="78"/>
      <c r="P41" s="78"/>
      <c r="Q41" s="34"/>
    </row>
    <row r="42" spans="1:18" x14ac:dyDescent="0.35">
      <c r="A42" s="35" t="s">
        <v>3</v>
      </c>
      <c r="B42" s="48">
        <v>1641.0714285714287</v>
      </c>
      <c r="C42" s="48">
        <v>828.8</v>
      </c>
      <c r="D42" s="48">
        <v>65.642857142857153</v>
      </c>
      <c r="E42" s="48">
        <v>225.75714285714284</v>
      </c>
      <c r="F42" s="48">
        <v>80956.428571428565</v>
      </c>
      <c r="G42" s="48">
        <v>25.028571428571428</v>
      </c>
      <c r="H42" s="48">
        <v>10.042857142857143</v>
      </c>
      <c r="I42" s="62">
        <v>29.5</v>
      </c>
      <c r="J42" s="64">
        <v>40.328571428571429</v>
      </c>
      <c r="K42" s="48">
        <v>101533.42857142857</v>
      </c>
      <c r="L42" s="48">
        <v>29.614285714285717</v>
      </c>
      <c r="M42" s="48">
        <v>7.6000000000000014</v>
      </c>
      <c r="N42" s="48">
        <v>1688.6571428571428</v>
      </c>
      <c r="O42" s="48">
        <v>224.02857142857144</v>
      </c>
      <c r="P42" s="48">
        <v>36.457142857142863</v>
      </c>
      <c r="Q42" s="34"/>
    </row>
    <row r="43" spans="1:18" x14ac:dyDescent="0.35">
      <c r="A43" s="35" t="s">
        <v>4</v>
      </c>
      <c r="B43" s="48">
        <f>IFERROR(AVERAGE(B34:B40),"")</f>
        <v>2380.6142857142854</v>
      </c>
      <c r="C43" s="48">
        <f>IFERROR(AVERAGE(C34:C40),"")</f>
        <v>566.02857142857135</v>
      </c>
      <c r="D43" s="48">
        <f>IFERROR(AVERAGE(D34:D40),"")</f>
        <v>63.585714285714289</v>
      </c>
      <c r="E43" s="48">
        <f>IFERROR(AVERAGE(E34:E40),"")</f>
        <v>275.51428571428573</v>
      </c>
      <c r="F43" s="48">
        <f t="shared" ref="F43:N43" si="8">IFERROR(AVERAGE(F34:F40),"")</f>
        <v>75987.142857142855</v>
      </c>
      <c r="G43" s="48">
        <f t="shared" si="8"/>
        <v>22.499999999999996</v>
      </c>
      <c r="H43" s="48">
        <f t="shared" si="8"/>
        <v>13.900000000000002</v>
      </c>
      <c r="I43" s="62">
        <f t="shared" si="8"/>
        <v>27.257142857142863</v>
      </c>
      <c r="J43" s="64">
        <f>IFERROR(AVERAGE(J34:J40),"")</f>
        <v>43.857142857142854</v>
      </c>
      <c r="K43" s="48">
        <f>IFERROR(AVERAGE(K34:K40),"")</f>
        <v>77292.28571428571</v>
      </c>
      <c r="L43" s="48">
        <f>IFERROR(AVERAGE(L34:L40),"")</f>
        <v>31.642857142857142</v>
      </c>
      <c r="M43" s="48">
        <f>IFERROR(AVERAGE(M34:M40),"")</f>
        <v>5.2714285714285714</v>
      </c>
      <c r="N43" s="48">
        <f t="shared" si="8"/>
        <v>1143.6428571428571</v>
      </c>
      <c r="O43" s="48">
        <f>IFERROR(AVERAGE(O34:O40),"")</f>
        <v>167.08571428571432</v>
      </c>
      <c r="P43" s="48">
        <f>IFERROR(AVERAGE(P34:P40),"")</f>
        <v>34</v>
      </c>
      <c r="Q43" s="34"/>
    </row>
    <row r="44" spans="1:18" x14ac:dyDescent="0.35">
      <c r="A44" s="35" t="s">
        <v>5</v>
      </c>
      <c r="B44" s="41">
        <f>IFERROR((B43-B42)/B42,"")</f>
        <v>0.45064635473340559</v>
      </c>
      <c r="C44" s="41">
        <f t="shared" ref="C44:P44" si="9">IFERROR(-(C42-C43)/C42,"")</f>
        <v>-0.31705046883618315</v>
      </c>
      <c r="D44" s="41">
        <f t="shared" si="9"/>
        <v>-3.1338411316648634E-2</v>
      </c>
      <c r="E44" s="41">
        <f t="shared" si="9"/>
        <v>0.22040118964753547</v>
      </c>
      <c r="F44" s="41">
        <f t="shared" si="9"/>
        <v>-6.1382225006396694E-2</v>
      </c>
      <c r="G44" s="41">
        <f t="shared" si="9"/>
        <v>-0.10102739726027411</v>
      </c>
      <c r="H44" s="41">
        <f t="shared" si="9"/>
        <v>0.38406827880512112</v>
      </c>
      <c r="I44" s="63">
        <f t="shared" si="9"/>
        <v>-7.6029055690072428E-2</v>
      </c>
      <c r="J44" s="65">
        <f t="shared" si="9"/>
        <v>8.7495572086432785E-2</v>
      </c>
      <c r="K44" s="41">
        <f t="shared" si="9"/>
        <v>-0.23875036230150801</v>
      </c>
      <c r="L44" s="41">
        <f t="shared" si="9"/>
        <v>6.8499758803666058E-2</v>
      </c>
      <c r="M44" s="41">
        <f t="shared" si="9"/>
        <v>-0.30639097744360916</v>
      </c>
      <c r="N44" s="41">
        <f t="shared" si="9"/>
        <v>-0.32275011420740063</v>
      </c>
      <c r="O44" s="41">
        <f t="shared" si="9"/>
        <v>-0.25417676316796317</v>
      </c>
      <c r="P44" s="41">
        <f t="shared" si="9"/>
        <v>-6.7398119122257197E-2</v>
      </c>
    </row>
    <row r="45" spans="1:18" x14ac:dyDescent="0.35">
      <c r="B45" s="33" t="s">
        <v>29</v>
      </c>
    </row>
  </sheetData>
  <mergeCells count="7">
    <mergeCell ref="B27:I27"/>
    <mergeCell ref="J27:P27"/>
    <mergeCell ref="S1:V1"/>
    <mergeCell ref="B5:D5"/>
    <mergeCell ref="B7:I7"/>
    <mergeCell ref="J7:P7"/>
    <mergeCell ref="S9:W9"/>
  </mergeCells>
  <conditionalFormatting sqref="B10:P11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24:P24">
    <cfRule type="colorScale" priority="34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P31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4:P44">
    <cfRule type="colorScale" priority="32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B31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30:C31">
    <cfRule type="colorScale" priority="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0:D31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30:E31">
    <cfRule type="colorScale" priority="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30:F31">
    <cfRule type="colorScale" priority="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30:G31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0:H31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0:I31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0:J31">
    <cfRule type="colorScale" priority="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30:K31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0:L31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0:M31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0:N3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0:O31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0:P31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0:B11">
    <cfRule type="colorScale" priority="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0:C11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0:D11">
    <cfRule type="colorScale" priority="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0:E11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0:F11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10:G11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10:H11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10:I11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10:J11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10:K11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10:L11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0:M11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0:N11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10:O11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10:P11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paperSize="256" orientation="portrait" horizontalDpi="300" verticalDpi="3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tabColor rgb="FF00B050"/>
  </sheetPr>
  <dimension ref="A1:W45"/>
  <sheetViews>
    <sheetView tabSelected="1" zoomScale="80" zoomScaleNormal="80" workbookViewId="0">
      <selection activeCell="D2" sqref="D2"/>
    </sheetView>
  </sheetViews>
  <sheetFormatPr defaultColWidth="9.1796875" defaultRowHeight="14.5" x14ac:dyDescent="0.35"/>
  <cols>
    <col min="1" max="1" width="25.453125" style="34" bestFit="1" customWidth="1"/>
    <col min="2" max="2" width="14.81640625" style="33" bestFit="1" customWidth="1"/>
    <col min="3" max="3" width="12.1796875" style="33" bestFit="1" customWidth="1"/>
    <col min="4" max="4" width="8.81640625" style="33" customWidth="1"/>
    <col min="5" max="5" width="10.26953125" style="33" customWidth="1"/>
    <col min="6" max="6" width="16.36328125" style="33" customWidth="1"/>
    <col min="7" max="7" width="9.7265625" style="33" customWidth="1"/>
    <col min="8" max="8" width="7.453125" style="33" customWidth="1"/>
    <col min="9" max="9" width="8.453125" style="33" customWidth="1"/>
    <col min="10" max="10" width="11" style="33" customWidth="1"/>
    <col min="11" max="11" width="14.26953125" style="33" customWidth="1"/>
    <col min="12" max="12" width="10" style="33" customWidth="1"/>
    <col min="13" max="13" width="7.26953125" style="33" customWidth="1"/>
    <col min="14" max="14" width="10.1796875" style="33" customWidth="1"/>
    <col min="15" max="15" width="11.453125" style="33" customWidth="1"/>
    <col min="16" max="16" width="8.26953125" style="33" customWidth="1"/>
    <col min="17" max="17" width="9.1796875" style="33"/>
    <col min="18" max="18" width="12" style="33" bestFit="1" customWidth="1"/>
    <col min="19" max="20" width="9.1796875" style="33"/>
    <col min="21" max="21" width="9.7265625" style="33" bestFit="1" customWidth="1"/>
    <col min="22" max="16384" width="9.1796875" style="33"/>
  </cols>
  <sheetData>
    <row r="1" spans="1:23" x14ac:dyDescent="0.35">
      <c r="B1" s="83" t="s">
        <v>32</v>
      </c>
      <c r="S1" s="113"/>
      <c r="T1" s="113"/>
      <c r="U1" s="113"/>
      <c r="V1" s="113"/>
    </row>
    <row r="2" spans="1:23" x14ac:dyDescent="0.35">
      <c r="A2" s="81" t="s">
        <v>473</v>
      </c>
      <c r="B2" s="85">
        <v>44114</v>
      </c>
    </row>
    <row r="3" spans="1:23" ht="16" x14ac:dyDescent="0.4">
      <c r="A3" s="82" t="s">
        <v>31</v>
      </c>
      <c r="B3" s="79" t="s">
        <v>30</v>
      </c>
      <c r="Q3" s="74"/>
    </row>
    <row r="5" spans="1:23" x14ac:dyDescent="0.35">
      <c r="B5" s="114"/>
      <c r="C5" s="114"/>
      <c r="D5" s="114"/>
      <c r="F5" s="33" t="s">
        <v>556</v>
      </c>
    </row>
    <row r="7" spans="1:23" x14ac:dyDescent="0.35">
      <c r="A7" s="32"/>
      <c r="B7" s="107" t="s">
        <v>13</v>
      </c>
      <c r="C7" s="108"/>
      <c r="D7" s="108"/>
      <c r="E7" s="108"/>
      <c r="F7" s="108"/>
      <c r="G7" s="108"/>
      <c r="H7" s="108"/>
      <c r="I7" s="108"/>
      <c r="J7" s="110" t="s">
        <v>14</v>
      </c>
      <c r="K7" s="111"/>
      <c r="L7" s="111"/>
      <c r="M7" s="111"/>
      <c r="N7" s="111"/>
      <c r="O7" s="111"/>
      <c r="P7" s="112"/>
      <c r="R7" s="34"/>
    </row>
    <row r="8" spans="1:23" x14ac:dyDescent="0.35">
      <c r="A8" s="32"/>
      <c r="B8" s="39" t="s">
        <v>6</v>
      </c>
      <c r="C8" s="39" t="s">
        <v>7</v>
      </c>
      <c r="D8" s="39" t="s">
        <v>8</v>
      </c>
      <c r="E8" s="39" t="s">
        <v>11</v>
      </c>
      <c r="F8" s="39" t="s">
        <v>19</v>
      </c>
      <c r="G8" s="39" t="s">
        <v>25</v>
      </c>
      <c r="H8" s="39" t="s">
        <v>15</v>
      </c>
      <c r="I8" s="52" t="s">
        <v>22</v>
      </c>
      <c r="J8" s="54" t="s">
        <v>24</v>
      </c>
      <c r="K8" s="39" t="s">
        <v>18</v>
      </c>
      <c r="L8" s="39" t="s">
        <v>26</v>
      </c>
      <c r="M8" s="39" t="s">
        <v>15</v>
      </c>
      <c r="N8" s="39" t="s">
        <v>10</v>
      </c>
      <c r="O8" s="39" t="s">
        <v>12</v>
      </c>
      <c r="P8" s="39" t="s">
        <v>22</v>
      </c>
      <c r="Q8" s="34"/>
      <c r="R8" s="36"/>
    </row>
    <row r="9" spans="1:23" x14ac:dyDescent="0.35">
      <c r="A9" s="35" t="s">
        <v>555</v>
      </c>
      <c r="B9" s="92">
        <v>995</v>
      </c>
      <c r="C9" s="92">
        <v>475</v>
      </c>
      <c r="D9" s="92">
        <v>85</v>
      </c>
      <c r="E9" s="92">
        <v>250</v>
      </c>
      <c r="F9" s="92"/>
      <c r="G9" s="92">
        <v>40</v>
      </c>
      <c r="H9" s="92">
        <v>9</v>
      </c>
      <c r="I9" s="93">
        <v>0.1</v>
      </c>
      <c r="J9" s="94"/>
      <c r="K9" s="92"/>
      <c r="L9" s="92">
        <v>30</v>
      </c>
      <c r="M9" s="92">
        <v>9</v>
      </c>
      <c r="N9" s="92">
        <v>1400</v>
      </c>
      <c r="O9" s="92">
        <v>200</v>
      </c>
      <c r="P9" s="95">
        <v>0.1</v>
      </c>
      <c r="Q9" s="34"/>
      <c r="R9" s="34"/>
      <c r="S9" s="113"/>
      <c r="T9" s="113"/>
      <c r="U9" s="113"/>
      <c r="V9" s="113"/>
      <c r="W9" s="113"/>
    </row>
    <row r="10" spans="1:23" x14ac:dyDescent="0.35">
      <c r="A10" s="35" t="s">
        <v>1</v>
      </c>
      <c r="B10" s="86" t="str">
        <f>IFERROR(AVERAGE(B$14:B$17),"")</f>
        <v/>
      </c>
      <c r="C10" s="86" t="str">
        <f t="shared" ref="C10:I10" si="0">IFERROR(AVERAGE(C$14:C$17),"")</f>
        <v/>
      </c>
      <c r="D10" s="86" t="str">
        <f t="shared" si="0"/>
        <v/>
      </c>
      <c r="E10" s="86" t="str">
        <f t="shared" si="0"/>
        <v/>
      </c>
      <c r="F10" s="86" t="str">
        <f t="shared" si="0"/>
        <v/>
      </c>
      <c r="G10" s="86" t="str">
        <f t="shared" si="0"/>
        <v/>
      </c>
      <c r="H10" s="86" t="str">
        <f t="shared" ref="H10:P10" si="1">IFERROR(AVERAGE(H$14:H$17),"")</f>
        <v/>
      </c>
      <c r="I10" s="86" t="str">
        <f t="shared" si="0"/>
        <v/>
      </c>
      <c r="J10" s="88" t="str">
        <f t="shared" si="1"/>
        <v/>
      </c>
      <c r="K10" s="86" t="str">
        <f t="shared" si="1"/>
        <v/>
      </c>
      <c r="L10" s="86" t="str">
        <f t="shared" si="1"/>
        <v/>
      </c>
      <c r="M10" s="86" t="str">
        <f t="shared" si="1"/>
        <v/>
      </c>
      <c r="N10" s="86" t="str">
        <f t="shared" si="1"/>
        <v/>
      </c>
      <c r="O10" s="86" t="str">
        <f t="shared" si="1"/>
        <v/>
      </c>
      <c r="P10" s="86" t="str">
        <f t="shared" si="1"/>
        <v/>
      </c>
      <c r="Q10" s="34"/>
      <c r="R10" s="34"/>
    </row>
    <row r="11" spans="1:23" x14ac:dyDescent="0.35">
      <c r="A11" s="35" t="s">
        <v>2</v>
      </c>
      <c r="B11" s="86" t="str">
        <f t="shared" ref="B11:D11" si="2">IFERROR(AVERAGE(B$18:B$20),"")</f>
        <v/>
      </c>
      <c r="C11" s="86" t="str">
        <f t="shared" si="2"/>
        <v/>
      </c>
      <c r="D11" s="86" t="str">
        <f t="shared" si="2"/>
        <v/>
      </c>
      <c r="E11" s="86" t="str">
        <f t="shared" ref="E11:P11" si="3">IFERROR(AVERAGE(E$18:E$20),"")</f>
        <v/>
      </c>
      <c r="F11" s="86" t="str">
        <f t="shared" si="3"/>
        <v/>
      </c>
      <c r="G11" s="86" t="str">
        <f t="shared" si="3"/>
        <v/>
      </c>
      <c r="H11" s="86" t="str">
        <f t="shared" si="3"/>
        <v/>
      </c>
      <c r="I11" s="86" t="str">
        <f t="shared" si="3"/>
        <v/>
      </c>
      <c r="J11" s="88" t="str">
        <f t="shared" si="3"/>
        <v/>
      </c>
      <c r="K11" s="86" t="str">
        <f t="shared" si="3"/>
        <v/>
      </c>
      <c r="L11" s="86" t="str">
        <f t="shared" si="3"/>
        <v/>
      </c>
      <c r="M11" s="86" t="str">
        <f t="shared" si="3"/>
        <v/>
      </c>
      <c r="N11" s="86" t="str">
        <f t="shared" si="3"/>
        <v/>
      </c>
      <c r="O11" s="86" t="str">
        <f t="shared" si="3"/>
        <v/>
      </c>
      <c r="P11" s="86" t="str">
        <f t="shared" si="3"/>
        <v/>
      </c>
      <c r="Q11" s="34"/>
      <c r="R11" s="36"/>
      <c r="S11" s="70"/>
    </row>
    <row r="12" spans="1:23" x14ac:dyDescent="0.35">
      <c r="A12" s="35" t="s">
        <v>27</v>
      </c>
      <c r="B12" s="89" t="str">
        <f t="shared" ref="B12:D12" si="4">IFERROR(ABS(B$10-B$11), "")</f>
        <v/>
      </c>
      <c r="C12" s="89" t="str">
        <f t="shared" si="4"/>
        <v/>
      </c>
      <c r="D12" s="89" t="str">
        <f t="shared" si="4"/>
        <v/>
      </c>
      <c r="E12" s="89" t="str">
        <f t="shared" ref="E12:P12" si="5">IFERROR(ABS(E$10-E$11), "")</f>
        <v/>
      </c>
      <c r="F12" s="89" t="str">
        <f t="shared" si="5"/>
        <v/>
      </c>
      <c r="G12" s="89" t="str">
        <f t="shared" si="5"/>
        <v/>
      </c>
      <c r="H12" s="89" t="str">
        <f t="shared" si="5"/>
        <v/>
      </c>
      <c r="I12" s="90" t="str">
        <f t="shared" si="5"/>
        <v/>
      </c>
      <c r="J12" s="91" t="str">
        <f t="shared" si="5"/>
        <v/>
      </c>
      <c r="K12" s="89" t="str">
        <f t="shared" si="5"/>
        <v/>
      </c>
      <c r="L12" s="89" t="str">
        <f t="shared" si="5"/>
        <v/>
      </c>
      <c r="M12" s="89" t="str">
        <f t="shared" si="5"/>
        <v/>
      </c>
      <c r="N12" s="89" t="str">
        <f t="shared" si="5"/>
        <v/>
      </c>
      <c r="O12" s="89" t="str">
        <f t="shared" si="5"/>
        <v/>
      </c>
      <c r="P12" s="89" t="str">
        <f t="shared" si="5"/>
        <v/>
      </c>
      <c r="Q12" s="69"/>
      <c r="R12" s="34"/>
    </row>
    <row r="13" spans="1:23" x14ac:dyDescent="0.35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34"/>
    </row>
    <row r="14" spans="1:23" x14ac:dyDescent="0.35">
      <c r="A14" s="51">
        <f>B2</f>
        <v>44114</v>
      </c>
      <c r="B14" s="42"/>
      <c r="C14" s="42"/>
      <c r="D14" s="42"/>
      <c r="E14" s="42"/>
      <c r="F14" s="43"/>
      <c r="G14" s="42"/>
      <c r="H14" s="42"/>
      <c r="I14" s="56"/>
      <c r="J14" s="59"/>
      <c r="K14" s="43"/>
      <c r="L14" s="42"/>
      <c r="M14" s="42"/>
      <c r="N14" s="42"/>
      <c r="O14" s="42"/>
      <c r="P14" s="42"/>
      <c r="Q14" s="34"/>
      <c r="U14" s="38"/>
    </row>
    <row r="15" spans="1:23" x14ac:dyDescent="0.35">
      <c r="A15" s="51">
        <f t="shared" ref="A15:A20" si="6">A14+1</f>
        <v>44115</v>
      </c>
      <c r="B15" s="42"/>
      <c r="C15" s="42"/>
      <c r="D15" s="42"/>
      <c r="E15" s="42"/>
      <c r="F15" s="43"/>
      <c r="G15" s="42"/>
      <c r="H15" s="42"/>
      <c r="I15" s="56"/>
      <c r="J15" s="59"/>
      <c r="K15" s="43"/>
      <c r="L15" s="42"/>
      <c r="M15" s="42"/>
      <c r="N15" s="42"/>
      <c r="O15" s="42"/>
      <c r="P15" s="42"/>
      <c r="Q15" s="34"/>
      <c r="R15" s="38"/>
      <c r="U15" s="38"/>
    </row>
    <row r="16" spans="1:23" x14ac:dyDescent="0.35">
      <c r="A16" s="51">
        <f t="shared" si="6"/>
        <v>44116</v>
      </c>
      <c r="B16" s="42"/>
      <c r="C16" s="42"/>
      <c r="D16" s="42"/>
      <c r="E16" s="42"/>
      <c r="F16" s="43"/>
      <c r="G16" s="42"/>
      <c r="H16" s="42"/>
      <c r="I16" s="56"/>
      <c r="J16" s="59"/>
      <c r="K16" s="43"/>
      <c r="L16" s="42"/>
      <c r="M16" s="42"/>
      <c r="N16" s="42"/>
      <c r="O16" s="42"/>
      <c r="P16" s="42"/>
      <c r="Q16" s="34"/>
      <c r="R16" s="38"/>
      <c r="U16" s="38"/>
    </row>
    <row r="17" spans="1:21" ht="15.75" customHeight="1" x14ac:dyDescent="0.35">
      <c r="A17" s="51">
        <f t="shared" si="6"/>
        <v>44117</v>
      </c>
      <c r="B17" s="46"/>
      <c r="C17" s="46"/>
      <c r="D17" s="46"/>
      <c r="E17" s="46"/>
      <c r="F17" s="47"/>
      <c r="G17" s="46"/>
      <c r="H17" s="46"/>
      <c r="I17" s="57"/>
      <c r="J17" s="60"/>
      <c r="K17" s="47"/>
      <c r="L17" s="46"/>
      <c r="M17" s="46"/>
      <c r="N17" s="46"/>
      <c r="O17" s="46"/>
      <c r="P17" s="46"/>
      <c r="Q17" s="34"/>
      <c r="R17" s="38"/>
      <c r="U17" s="38"/>
    </row>
    <row r="18" spans="1:21" ht="15" customHeight="1" x14ac:dyDescent="0.35">
      <c r="A18" s="51">
        <f t="shared" si="6"/>
        <v>44118</v>
      </c>
      <c r="B18" s="44"/>
      <c r="C18" s="44"/>
      <c r="D18" s="44"/>
      <c r="E18" s="44"/>
      <c r="F18" s="45"/>
      <c r="G18" s="44"/>
      <c r="H18" s="44"/>
      <c r="I18" s="58"/>
      <c r="J18" s="61"/>
      <c r="K18" s="45"/>
      <c r="L18" s="44"/>
      <c r="M18" s="44"/>
      <c r="N18" s="44"/>
      <c r="O18" s="44"/>
      <c r="P18" s="44"/>
      <c r="Q18" s="34"/>
      <c r="R18" s="38"/>
      <c r="U18" s="38"/>
    </row>
    <row r="19" spans="1:21" x14ac:dyDescent="0.35">
      <c r="A19" s="51">
        <f t="shared" si="6"/>
        <v>44119</v>
      </c>
      <c r="B19" s="44"/>
      <c r="C19" s="44"/>
      <c r="D19" s="44"/>
      <c r="E19" s="44"/>
      <c r="F19" s="45"/>
      <c r="G19" s="44"/>
      <c r="H19" s="44"/>
      <c r="I19" s="58"/>
      <c r="J19" s="61"/>
      <c r="K19" s="45"/>
      <c r="L19" s="44"/>
      <c r="M19" s="44"/>
      <c r="N19" s="44"/>
      <c r="O19" s="44"/>
      <c r="P19" s="44"/>
      <c r="Q19" s="34"/>
      <c r="R19" s="38"/>
      <c r="U19" s="38"/>
    </row>
    <row r="20" spans="1:21" x14ac:dyDescent="0.35">
      <c r="A20" s="51">
        <f t="shared" si="6"/>
        <v>44120</v>
      </c>
      <c r="B20" s="44"/>
      <c r="C20" s="44"/>
      <c r="D20" s="44"/>
      <c r="E20" s="44"/>
      <c r="F20" s="45"/>
      <c r="G20" s="44"/>
      <c r="H20" s="44"/>
      <c r="I20" s="58"/>
      <c r="J20" s="61"/>
      <c r="K20" s="45"/>
      <c r="L20" s="44"/>
      <c r="M20" s="44"/>
      <c r="N20" s="44"/>
      <c r="O20" s="44"/>
      <c r="P20" s="44"/>
      <c r="Q20" s="34"/>
      <c r="R20" s="38"/>
      <c r="U20" s="38"/>
    </row>
    <row r="21" spans="1:21" x14ac:dyDescent="0.35">
      <c r="A21" s="35"/>
      <c r="B21" s="69"/>
      <c r="C21" s="69"/>
      <c r="D21" s="69"/>
      <c r="E21" s="69"/>
      <c r="F21" s="37"/>
      <c r="G21" s="69"/>
      <c r="H21" s="69"/>
      <c r="I21" s="69"/>
      <c r="J21" s="69"/>
      <c r="K21" s="37"/>
      <c r="L21" s="69"/>
      <c r="M21" s="69"/>
      <c r="N21" s="69"/>
      <c r="O21" s="69"/>
      <c r="P21" s="69"/>
      <c r="Q21" s="34"/>
      <c r="R21" s="38"/>
    </row>
    <row r="22" spans="1:21" x14ac:dyDescent="0.35">
      <c r="A22" s="35" t="s">
        <v>3</v>
      </c>
      <c r="B22" s="48"/>
      <c r="C22" s="48"/>
      <c r="D22" s="48"/>
      <c r="E22" s="48"/>
      <c r="F22" s="48"/>
      <c r="G22" s="48"/>
      <c r="H22" s="48"/>
      <c r="I22" s="62"/>
      <c r="J22" s="64"/>
      <c r="K22" s="48"/>
      <c r="L22" s="48"/>
      <c r="M22" s="48"/>
      <c r="N22" s="48"/>
      <c r="O22" s="48"/>
      <c r="P22" s="48"/>
      <c r="Q22" s="34"/>
    </row>
    <row r="23" spans="1:21" x14ac:dyDescent="0.35">
      <c r="A23" s="35" t="s">
        <v>4</v>
      </c>
      <c r="B23" s="48" t="str">
        <f t="shared" ref="B23:N23" si="7">IFERROR(AVERAGE(B14:B20),"")</f>
        <v/>
      </c>
      <c r="C23" s="48" t="str">
        <f>IFERROR(AVERAGE(C14:C20),"")</f>
        <v/>
      </c>
      <c r="D23" s="48" t="str">
        <f>IFERROR(AVERAGE(D14:D20),"")</f>
        <v/>
      </c>
      <c r="E23" s="48" t="str">
        <f>IFERROR(AVERAGE(E14:E20),"")</f>
        <v/>
      </c>
      <c r="F23" s="48" t="str">
        <f t="shared" si="7"/>
        <v/>
      </c>
      <c r="G23" s="48" t="str">
        <f t="shared" si="7"/>
        <v/>
      </c>
      <c r="H23" s="48" t="str">
        <f t="shared" si="7"/>
        <v/>
      </c>
      <c r="I23" s="62" t="str">
        <f t="shared" si="7"/>
        <v/>
      </c>
      <c r="J23" s="64" t="str">
        <f>IFERROR(AVERAGE(J14:J20),"")</f>
        <v/>
      </c>
      <c r="K23" s="48" t="str">
        <f>IFERROR(AVERAGE(K14:K20),"")</f>
        <v/>
      </c>
      <c r="L23" s="48" t="str">
        <f>IFERROR(AVERAGE(L14:L20),"")</f>
        <v/>
      </c>
      <c r="M23" s="48" t="str">
        <f>IFERROR(AVERAGE(M14:M20),"")</f>
        <v/>
      </c>
      <c r="N23" s="48" t="str">
        <f t="shared" si="7"/>
        <v/>
      </c>
      <c r="O23" s="48" t="str">
        <f>IFERROR(AVERAGE(O14:O20),"")</f>
        <v/>
      </c>
      <c r="P23" s="48" t="str">
        <f>IFERROR(AVERAGE(P14:P20),"")</f>
        <v/>
      </c>
      <c r="Q23" s="34"/>
    </row>
    <row r="24" spans="1:21" x14ac:dyDescent="0.35">
      <c r="A24" s="35" t="s">
        <v>5</v>
      </c>
      <c r="B24" s="96" t="str">
        <f t="shared" ref="B24:P24" si="8">IFERROR(-(B22-B23)/B22,"")</f>
        <v/>
      </c>
      <c r="C24" s="96" t="str">
        <f t="shared" si="8"/>
        <v/>
      </c>
      <c r="D24" s="96" t="str">
        <f t="shared" si="8"/>
        <v/>
      </c>
      <c r="E24" s="96" t="str">
        <f t="shared" si="8"/>
        <v/>
      </c>
      <c r="F24" s="96" t="str">
        <f t="shared" si="8"/>
        <v/>
      </c>
      <c r="G24" s="96" t="str">
        <f t="shared" si="8"/>
        <v/>
      </c>
      <c r="H24" s="96" t="str">
        <f t="shared" si="8"/>
        <v/>
      </c>
      <c r="I24" s="97" t="str">
        <f t="shared" si="8"/>
        <v/>
      </c>
      <c r="J24" s="98" t="str">
        <f t="shared" si="8"/>
        <v/>
      </c>
      <c r="K24" s="96" t="str">
        <f t="shared" si="8"/>
        <v/>
      </c>
      <c r="L24" s="96" t="str">
        <f t="shared" si="8"/>
        <v/>
      </c>
      <c r="M24" s="96" t="str">
        <f t="shared" si="8"/>
        <v/>
      </c>
      <c r="N24" s="96" t="str">
        <f t="shared" si="8"/>
        <v/>
      </c>
      <c r="O24" s="96" t="str">
        <f t="shared" si="8"/>
        <v/>
      </c>
      <c r="P24" s="96" t="str">
        <f t="shared" si="8"/>
        <v/>
      </c>
    </row>
    <row r="25" spans="1:21" x14ac:dyDescent="0.35">
      <c r="B25" s="73" t="s">
        <v>474</v>
      </c>
      <c r="C25" s="68"/>
      <c r="D25" s="68"/>
      <c r="E25" s="68"/>
      <c r="F25" s="68"/>
      <c r="G25" s="68"/>
      <c r="H25" s="68"/>
      <c r="I25" s="68"/>
      <c r="J25" s="68"/>
      <c r="K25" s="68"/>
      <c r="L25" s="68"/>
      <c r="M25" s="68"/>
      <c r="N25" s="68"/>
      <c r="O25" s="68"/>
      <c r="P25" s="68"/>
    </row>
    <row r="26" spans="1:21" x14ac:dyDescent="0.35">
      <c r="B26" s="68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68"/>
      <c r="P26" s="68"/>
    </row>
    <row r="27" spans="1:21" x14ac:dyDescent="0.35">
      <c r="A27" s="32"/>
      <c r="B27" s="107" t="s">
        <v>13</v>
      </c>
      <c r="C27" s="108"/>
      <c r="D27" s="108"/>
      <c r="E27" s="108"/>
      <c r="F27" s="108"/>
      <c r="G27" s="108"/>
      <c r="H27" s="108"/>
      <c r="I27" s="109"/>
      <c r="J27" s="110" t="s">
        <v>14</v>
      </c>
      <c r="K27" s="111"/>
      <c r="L27" s="111"/>
      <c r="M27" s="111"/>
      <c r="N27" s="111"/>
      <c r="O27" s="111"/>
      <c r="P27" s="112"/>
    </row>
    <row r="28" spans="1:21" x14ac:dyDescent="0.35">
      <c r="A28" s="32"/>
      <c r="B28" s="39" t="s">
        <v>6</v>
      </c>
      <c r="C28" s="39" t="s">
        <v>7</v>
      </c>
      <c r="D28" s="39" t="s">
        <v>8</v>
      </c>
      <c r="E28" s="39" t="s">
        <v>11</v>
      </c>
      <c r="F28" s="39" t="s">
        <v>19</v>
      </c>
      <c r="G28" s="39" t="s">
        <v>25</v>
      </c>
      <c r="H28" s="39" t="s">
        <v>15</v>
      </c>
      <c r="I28" s="52" t="s">
        <v>22</v>
      </c>
      <c r="J28" s="54" t="s">
        <v>24</v>
      </c>
      <c r="K28" s="39" t="s">
        <v>18</v>
      </c>
      <c r="L28" s="39" t="s">
        <v>26</v>
      </c>
      <c r="M28" s="39" t="s">
        <v>15</v>
      </c>
      <c r="N28" s="39" t="s">
        <v>10</v>
      </c>
      <c r="O28" s="39" t="s">
        <v>12</v>
      </c>
      <c r="P28" s="39" t="s">
        <v>22</v>
      </c>
      <c r="Q28" s="34"/>
    </row>
    <row r="29" spans="1:21" x14ac:dyDescent="0.35">
      <c r="A29" s="35" t="s">
        <v>0</v>
      </c>
      <c r="B29" s="49">
        <v>995</v>
      </c>
      <c r="C29" s="49">
        <v>475</v>
      </c>
      <c r="D29" s="49">
        <v>85</v>
      </c>
      <c r="E29" s="49">
        <v>250</v>
      </c>
      <c r="F29" s="49"/>
      <c r="G29" s="49">
        <v>40</v>
      </c>
      <c r="H29" s="49">
        <v>9</v>
      </c>
      <c r="I29" s="66">
        <v>0.1</v>
      </c>
      <c r="J29" s="67">
        <v>0</v>
      </c>
      <c r="K29" s="49"/>
      <c r="L29" s="49">
        <v>30</v>
      </c>
      <c r="M29" s="49">
        <v>9</v>
      </c>
      <c r="N29" s="49">
        <v>1400</v>
      </c>
      <c r="O29" s="49">
        <v>200</v>
      </c>
      <c r="P29" s="50">
        <v>0.1</v>
      </c>
      <c r="Q29" s="34"/>
    </row>
    <row r="30" spans="1:21" x14ac:dyDescent="0.35">
      <c r="A30" s="35" t="s">
        <v>1</v>
      </c>
      <c r="B30" s="86" t="str">
        <f t="shared" ref="B30:P30" si="9">IFERROR(AVERAGE(B$34:B$36),"")</f>
        <v/>
      </c>
      <c r="C30" s="86" t="str">
        <f t="shared" si="9"/>
        <v/>
      </c>
      <c r="D30" s="86" t="str">
        <f t="shared" si="9"/>
        <v/>
      </c>
      <c r="E30" s="86" t="str">
        <f t="shared" si="9"/>
        <v/>
      </c>
      <c r="F30" s="86" t="str">
        <f t="shared" si="9"/>
        <v/>
      </c>
      <c r="G30" s="86" t="str">
        <f t="shared" si="9"/>
        <v/>
      </c>
      <c r="H30" s="86" t="str">
        <f t="shared" si="9"/>
        <v/>
      </c>
      <c r="I30" s="87" t="str">
        <f t="shared" si="9"/>
        <v/>
      </c>
      <c r="J30" s="88" t="str">
        <f t="shared" si="9"/>
        <v/>
      </c>
      <c r="K30" s="86" t="str">
        <f t="shared" si="9"/>
        <v/>
      </c>
      <c r="L30" s="86" t="str">
        <f t="shared" si="9"/>
        <v/>
      </c>
      <c r="M30" s="86" t="str">
        <f t="shared" si="9"/>
        <v/>
      </c>
      <c r="N30" s="86" t="str">
        <f t="shared" si="9"/>
        <v/>
      </c>
      <c r="O30" s="86" t="str">
        <f t="shared" si="9"/>
        <v/>
      </c>
      <c r="P30" s="86" t="str">
        <f t="shared" si="9"/>
        <v/>
      </c>
      <c r="Q30" s="34"/>
    </row>
    <row r="31" spans="1:21" x14ac:dyDescent="0.35">
      <c r="A31" s="35" t="s">
        <v>2</v>
      </c>
      <c r="B31" s="86" t="str">
        <f>IFERROR(AVERAGE(B$37:B$40),"")</f>
        <v/>
      </c>
      <c r="C31" s="86" t="str">
        <f t="shared" ref="C31:P31" si="10">IFERROR(AVERAGE(C$37:C$40),"")</f>
        <v/>
      </c>
      <c r="D31" s="86" t="str">
        <f t="shared" si="10"/>
        <v/>
      </c>
      <c r="E31" s="86" t="str">
        <f t="shared" si="10"/>
        <v/>
      </c>
      <c r="F31" s="86" t="str">
        <f t="shared" si="10"/>
        <v/>
      </c>
      <c r="G31" s="86" t="str">
        <f t="shared" si="10"/>
        <v/>
      </c>
      <c r="H31" s="86" t="str">
        <f t="shared" si="10"/>
        <v/>
      </c>
      <c r="I31" s="87" t="str">
        <f t="shared" si="10"/>
        <v/>
      </c>
      <c r="J31" s="88" t="str">
        <f t="shared" si="10"/>
        <v/>
      </c>
      <c r="K31" s="86" t="str">
        <f t="shared" si="10"/>
        <v/>
      </c>
      <c r="L31" s="86" t="str">
        <f t="shared" si="10"/>
        <v/>
      </c>
      <c r="M31" s="86" t="str">
        <f t="shared" si="10"/>
        <v/>
      </c>
      <c r="N31" s="86" t="str">
        <f t="shared" si="10"/>
        <v/>
      </c>
      <c r="O31" s="86" t="str">
        <f t="shared" si="10"/>
        <v/>
      </c>
      <c r="P31" s="86" t="str">
        <f t="shared" si="10"/>
        <v/>
      </c>
      <c r="Q31" s="34"/>
    </row>
    <row r="32" spans="1:21" x14ac:dyDescent="0.35">
      <c r="A32" s="35" t="s">
        <v>27</v>
      </c>
      <c r="B32" s="89" t="str">
        <f t="shared" ref="B32:P32" si="11">IFERROR(ABS(B$31-B$30), "")</f>
        <v/>
      </c>
      <c r="C32" s="89" t="str">
        <f t="shared" si="11"/>
        <v/>
      </c>
      <c r="D32" s="89" t="str">
        <f t="shared" si="11"/>
        <v/>
      </c>
      <c r="E32" s="89" t="str">
        <f t="shared" si="11"/>
        <v/>
      </c>
      <c r="F32" s="89" t="str">
        <f t="shared" si="11"/>
        <v/>
      </c>
      <c r="G32" s="89" t="str">
        <f t="shared" si="11"/>
        <v/>
      </c>
      <c r="H32" s="89" t="str">
        <f t="shared" si="11"/>
        <v/>
      </c>
      <c r="I32" s="90" t="str">
        <f t="shared" si="11"/>
        <v/>
      </c>
      <c r="J32" s="91" t="str">
        <f t="shared" si="11"/>
        <v/>
      </c>
      <c r="K32" s="89" t="str">
        <f t="shared" si="11"/>
        <v/>
      </c>
      <c r="L32" s="89" t="str">
        <f t="shared" si="11"/>
        <v/>
      </c>
      <c r="M32" s="89" t="str">
        <f t="shared" si="11"/>
        <v/>
      </c>
      <c r="N32" s="89" t="str">
        <f t="shared" si="11"/>
        <v/>
      </c>
      <c r="O32" s="89" t="str">
        <f t="shared" si="11"/>
        <v/>
      </c>
      <c r="P32" s="89" t="str">
        <f t="shared" si="11"/>
        <v/>
      </c>
      <c r="Q32" s="72"/>
    </row>
    <row r="33" spans="1:18" x14ac:dyDescent="0.3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</row>
    <row r="34" spans="1:18" x14ac:dyDescent="0.35">
      <c r="A34" s="51">
        <f t="shared" ref="A34:A40" si="12">A14</f>
        <v>44114</v>
      </c>
      <c r="B34" s="42" t="str">
        <f>IF(B14=0, "", B14)</f>
        <v/>
      </c>
      <c r="C34" s="42" t="str">
        <f>IF(C14=0, "", C14)</f>
        <v/>
      </c>
      <c r="D34" s="42" t="str">
        <f t="shared" ref="D34:P34" si="13">IF(D14=0, "", D14)</f>
        <v/>
      </c>
      <c r="E34" s="42" t="str">
        <f t="shared" si="13"/>
        <v/>
      </c>
      <c r="F34" s="42" t="str">
        <f t="shared" si="13"/>
        <v/>
      </c>
      <c r="G34" s="42" t="str">
        <f t="shared" si="13"/>
        <v/>
      </c>
      <c r="H34" s="42" t="str">
        <f t="shared" si="13"/>
        <v/>
      </c>
      <c r="I34" s="42" t="str">
        <f t="shared" si="13"/>
        <v/>
      </c>
      <c r="J34" s="42" t="str">
        <f t="shared" si="13"/>
        <v/>
      </c>
      <c r="K34" s="42" t="str">
        <f t="shared" si="13"/>
        <v/>
      </c>
      <c r="L34" s="42" t="str">
        <f t="shared" si="13"/>
        <v/>
      </c>
      <c r="M34" s="42" t="str">
        <f t="shared" si="13"/>
        <v/>
      </c>
      <c r="N34" s="42" t="str">
        <f t="shared" si="13"/>
        <v/>
      </c>
      <c r="O34" s="42" t="str">
        <f t="shared" si="13"/>
        <v/>
      </c>
      <c r="P34" s="42" t="str">
        <f t="shared" si="13"/>
        <v/>
      </c>
      <c r="Q34" s="34"/>
    </row>
    <row r="35" spans="1:18" x14ac:dyDescent="0.35">
      <c r="A35" s="51">
        <f t="shared" si="12"/>
        <v>44115</v>
      </c>
      <c r="B35" s="42" t="str">
        <f>IF(B15=0, "", B15)</f>
        <v/>
      </c>
      <c r="C35" s="42" t="str">
        <f t="shared" ref="C35:P35" si="14">IF(C15=0, "", C15)</f>
        <v/>
      </c>
      <c r="D35" s="42" t="str">
        <f t="shared" si="14"/>
        <v/>
      </c>
      <c r="E35" s="42" t="str">
        <f t="shared" si="14"/>
        <v/>
      </c>
      <c r="F35" s="42" t="str">
        <f t="shared" si="14"/>
        <v/>
      </c>
      <c r="G35" s="42" t="str">
        <f t="shared" si="14"/>
        <v/>
      </c>
      <c r="H35" s="42" t="str">
        <f t="shared" si="14"/>
        <v/>
      </c>
      <c r="I35" s="42" t="str">
        <f t="shared" si="14"/>
        <v/>
      </c>
      <c r="J35" s="42" t="str">
        <f t="shared" si="14"/>
        <v/>
      </c>
      <c r="K35" s="42" t="str">
        <f t="shared" si="14"/>
        <v/>
      </c>
      <c r="L35" s="42" t="str">
        <f t="shared" si="14"/>
        <v/>
      </c>
      <c r="M35" s="42" t="str">
        <f t="shared" si="14"/>
        <v/>
      </c>
      <c r="N35" s="42" t="str">
        <f t="shared" si="14"/>
        <v/>
      </c>
      <c r="O35" s="42" t="str">
        <f t="shared" si="14"/>
        <v/>
      </c>
      <c r="P35" s="42" t="str">
        <f t="shared" si="14"/>
        <v/>
      </c>
      <c r="Q35" s="34"/>
    </row>
    <row r="36" spans="1:18" x14ac:dyDescent="0.35">
      <c r="A36" s="51">
        <f t="shared" si="12"/>
        <v>44116</v>
      </c>
      <c r="B36" s="42" t="str">
        <f t="shared" ref="B36:P40" si="15">IF(B16=0, "", B16)</f>
        <v/>
      </c>
      <c r="C36" s="42" t="str">
        <f t="shared" si="15"/>
        <v/>
      </c>
      <c r="D36" s="42" t="str">
        <f t="shared" si="15"/>
        <v/>
      </c>
      <c r="E36" s="42" t="str">
        <f t="shared" si="15"/>
        <v/>
      </c>
      <c r="F36" s="42" t="str">
        <f t="shared" si="15"/>
        <v/>
      </c>
      <c r="G36" s="42" t="str">
        <f t="shared" si="15"/>
        <v/>
      </c>
      <c r="H36" s="42" t="str">
        <f t="shared" si="15"/>
        <v/>
      </c>
      <c r="I36" s="42" t="str">
        <f t="shared" si="15"/>
        <v/>
      </c>
      <c r="J36" s="42" t="str">
        <f t="shared" si="15"/>
        <v/>
      </c>
      <c r="K36" s="42" t="str">
        <f t="shared" si="15"/>
        <v/>
      </c>
      <c r="L36" s="42" t="str">
        <f t="shared" si="15"/>
        <v/>
      </c>
      <c r="M36" s="42" t="str">
        <f t="shared" si="15"/>
        <v/>
      </c>
      <c r="N36" s="42" t="str">
        <f t="shared" si="15"/>
        <v/>
      </c>
      <c r="O36" s="42" t="str">
        <f t="shared" si="15"/>
        <v/>
      </c>
      <c r="P36" s="42" t="str">
        <f t="shared" si="15"/>
        <v/>
      </c>
      <c r="Q36" s="34"/>
    </row>
    <row r="37" spans="1:18" x14ac:dyDescent="0.35">
      <c r="A37" s="51">
        <f t="shared" si="12"/>
        <v>44117</v>
      </c>
      <c r="B37" s="80" t="str">
        <f t="shared" si="15"/>
        <v/>
      </c>
      <c r="C37" s="80" t="str">
        <f t="shared" si="15"/>
        <v/>
      </c>
      <c r="D37" s="80" t="str">
        <f t="shared" si="15"/>
        <v/>
      </c>
      <c r="E37" s="80" t="str">
        <f t="shared" si="15"/>
        <v/>
      </c>
      <c r="F37" s="80" t="str">
        <f t="shared" si="15"/>
        <v/>
      </c>
      <c r="G37" s="80" t="str">
        <f t="shared" si="15"/>
        <v/>
      </c>
      <c r="H37" s="80" t="str">
        <f t="shared" si="15"/>
        <v/>
      </c>
      <c r="I37" s="80" t="str">
        <f t="shared" si="15"/>
        <v/>
      </c>
      <c r="J37" s="80" t="str">
        <f t="shared" si="15"/>
        <v/>
      </c>
      <c r="K37" s="80" t="str">
        <f t="shared" si="15"/>
        <v/>
      </c>
      <c r="L37" s="80" t="str">
        <f t="shared" si="15"/>
        <v/>
      </c>
      <c r="M37" s="80" t="str">
        <f t="shared" si="15"/>
        <v/>
      </c>
      <c r="N37" s="80" t="str">
        <f t="shared" si="15"/>
        <v/>
      </c>
      <c r="O37" s="80" t="str">
        <f t="shared" si="15"/>
        <v/>
      </c>
      <c r="P37" s="80" t="str">
        <f t="shared" si="15"/>
        <v/>
      </c>
      <c r="Q37" s="34"/>
    </row>
    <row r="38" spans="1:18" x14ac:dyDescent="0.35">
      <c r="A38" s="51">
        <f t="shared" si="12"/>
        <v>44118</v>
      </c>
      <c r="B38" s="44" t="str">
        <f t="shared" si="15"/>
        <v/>
      </c>
      <c r="C38" s="44" t="str">
        <f t="shared" si="15"/>
        <v/>
      </c>
      <c r="D38" s="44" t="str">
        <f t="shared" si="15"/>
        <v/>
      </c>
      <c r="E38" s="44" t="str">
        <f t="shared" si="15"/>
        <v/>
      </c>
      <c r="F38" s="44" t="str">
        <f t="shared" si="15"/>
        <v/>
      </c>
      <c r="G38" s="44" t="str">
        <f t="shared" si="15"/>
        <v/>
      </c>
      <c r="H38" s="44" t="str">
        <f t="shared" si="15"/>
        <v/>
      </c>
      <c r="I38" s="44" t="str">
        <f t="shared" si="15"/>
        <v/>
      </c>
      <c r="J38" s="44" t="str">
        <f t="shared" si="15"/>
        <v/>
      </c>
      <c r="K38" s="44" t="str">
        <f t="shared" si="15"/>
        <v/>
      </c>
      <c r="L38" s="44" t="str">
        <f t="shared" si="15"/>
        <v/>
      </c>
      <c r="M38" s="44" t="str">
        <f t="shared" si="15"/>
        <v/>
      </c>
      <c r="N38" s="44" t="str">
        <f t="shared" si="15"/>
        <v/>
      </c>
      <c r="O38" s="44" t="str">
        <f t="shared" si="15"/>
        <v/>
      </c>
      <c r="P38" s="44" t="str">
        <f t="shared" si="15"/>
        <v/>
      </c>
      <c r="Q38" s="34"/>
    </row>
    <row r="39" spans="1:18" x14ac:dyDescent="0.35">
      <c r="A39" s="51">
        <f t="shared" si="12"/>
        <v>44119</v>
      </c>
      <c r="B39" s="44" t="str">
        <f t="shared" si="15"/>
        <v/>
      </c>
      <c r="C39" s="44" t="str">
        <f t="shared" si="15"/>
        <v/>
      </c>
      <c r="D39" s="44" t="str">
        <f t="shared" si="15"/>
        <v/>
      </c>
      <c r="E39" s="44" t="str">
        <f t="shared" si="15"/>
        <v/>
      </c>
      <c r="F39" s="44" t="str">
        <f t="shared" si="15"/>
        <v/>
      </c>
      <c r="G39" s="44" t="str">
        <f t="shared" si="15"/>
        <v/>
      </c>
      <c r="H39" s="44" t="str">
        <f t="shared" si="15"/>
        <v/>
      </c>
      <c r="I39" s="44" t="str">
        <f t="shared" si="15"/>
        <v/>
      </c>
      <c r="J39" s="44" t="str">
        <f t="shared" si="15"/>
        <v/>
      </c>
      <c r="K39" s="44" t="str">
        <f t="shared" si="15"/>
        <v/>
      </c>
      <c r="L39" s="44" t="str">
        <f t="shared" si="15"/>
        <v/>
      </c>
      <c r="M39" s="44" t="str">
        <f t="shared" si="15"/>
        <v/>
      </c>
      <c r="N39" s="44" t="str">
        <f t="shared" si="15"/>
        <v/>
      </c>
      <c r="O39" s="44" t="str">
        <f t="shared" si="15"/>
        <v/>
      </c>
      <c r="P39" s="44" t="str">
        <f t="shared" si="15"/>
        <v/>
      </c>
      <c r="Q39" s="34"/>
    </row>
    <row r="40" spans="1:18" x14ac:dyDescent="0.35">
      <c r="A40" s="51">
        <f t="shared" si="12"/>
        <v>44120</v>
      </c>
      <c r="B40" s="44" t="str">
        <f t="shared" si="15"/>
        <v/>
      </c>
      <c r="C40" s="44" t="str">
        <f t="shared" si="15"/>
        <v/>
      </c>
      <c r="D40" s="44" t="str">
        <f t="shared" si="15"/>
        <v/>
      </c>
      <c r="E40" s="44" t="str">
        <f t="shared" si="15"/>
        <v/>
      </c>
      <c r="F40" s="44" t="str">
        <f t="shared" si="15"/>
        <v/>
      </c>
      <c r="G40" s="44" t="str">
        <f t="shared" si="15"/>
        <v/>
      </c>
      <c r="H40" s="44" t="str">
        <f t="shared" si="15"/>
        <v/>
      </c>
      <c r="I40" s="44" t="str">
        <f t="shared" si="15"/>
        <v/>
      </c>
      <c r="J40" s="44" t="str">
        <f t="shared" si="15"/>
        <v/>
      </c>
      <c r="K40" s="44" t="str">
        <f t="shared" si="15"/>
        <v/>
      </c>
      <c r="L40" s="44" t="str">
        <f t="shared" si="15"/>
        <v/>
      </c>
      <c r="M40" s="44" t="str">
        <f t="shared" si="15"/>
        <v/>
      </c>
      <c r="N40" s="44" t="str">
        <f t="shared" si="15"/>
        <v/>
      </c>
      <c r="O40" s="44" t="str">
        <f t="shared" si="15"/>
        <v/>
      </c>
      <c r="P40" s="44" t="str">
        <f t="shared" si="15"/>
        <v/>
      </c>
      <c r="Q40" s="34"/>
    </row>
    <row r="41" spans="1:18" x14ac:dyDescent="0.35">
      <c r="A41" s="35"/>
      <c r="B41" s="69"/>
      <c r="C41" s="69"/>
      <c r="D41" s="69"/>
      <c r="E41" s="69"/>
      <c r="F41" s="37"/>
      <c r="G41" s="69"/>
      <c r="H41" s="69"/>
      <c r="I41" s="69"/>
      <c r="J41" s="69"/>
      <c r="K41" s="37"/>
      <c r="L41" s="69"/>
      <c r="M41" s="69"/>
      <c r="N41" s="69"/>
      <c r="O41" s="69"/>
      <c r="P41" s="69"/>
      <c r="Q41" s="34"/>
    </row>
    <row r="42" spans="1:18" x14ac:dyDescent="0.35">
      <c r="A42" s="35" t="s">
        <v>3</v>
      </c>
      <c r="B42" s="48"/>
      <c r="C42" s="48"/>
      <c r="D42" s="48"/>
      <c r="E42" s="48"/>
      <c r="F42" s="48"/>
      <c r="G42" s="48"/>
      <c r="H42" s="48"/>
      <c r="I42" s="62"/>
      <c r="J42" s="64"/>
      <c r="K42" s="48"/>
      <c r="L42" s="48"/>
      <c r="M42" s="48"/>
      <c r="N42" s="48"/>
      <c r="O42" s="48"/>
      <c r="P42" s="48"/>
      <c r="Q42" s="34"/>
    </row>
    <row r="43" spans="1:18" x14ac:dyDescent="0.35">
      <c r="A43" s="35" t="s">
        <v>4</v>
      </c>
      <c r="B43" s="48" t="str">
        <f>IFERROR(AVERAGE(B34:B40),"")</f>
        <v/>
      </c>
      <c r="C43" s="48" t="str">
        <f>IFERROR(AVERAGE(C34:C40),"")</f>
        <v/>
      </c>
      <c r="D43" s="48" t="str">
        <f>IFERROR(AVERAGE(D34:D40),"")</f>
        <v/>
      </c>
      <c r="E43" s="48" t="str">
        <f>IFERROR(AVERAGE(E34:E40),"")</f>
        <v/>
      </c>
      <c r="F43" s="48" t="str">
        <f t="shared" ref="F43:N43" si="16">IFERROR(AVERAGE(F34:F40),"")</f>
        <v/>
      </c>
      <c r="G43" s="48" t="str">
        <f t="shared" si="16"/>
        <v/>
      </c>
      <c r="H43" s="48" t="str">
        <f t="shared" si="16"/>
        <v/>
      </c>
      <c r="I43" s="62" t="str">
        <f t="shared" si="16"/>
        <v/>
      </c>
      <c r="J43" s="64" t="str">
        <f>IFERROR(AVERAGE(J34:J40),"")</f>
        <v/>
      </c>
      <c r="K43" s="48" t="str">
        <f>IFERROR(AVERAGE(K34:K40),"")</f>
        <v/>
      </c>
      <c r="L43" s="48" t="str">
        <f>IFERROR(AVERAGE(L34:L40),"")</f>
        <v/>
      </c>
      <c r="M43" s="48" t="str">
        <f>IFERROR(AVERAGE(M34:M40),"")</f>
        <v/>
      </c>
      <c r="N43" s="48" t="str">
        <f t="shared" si="16"/>
        <v/>
      </c>
      <c r="O43" s="48" t="str">
        <f>IFERROR(AVERAGE(O34:O40),"")</f>
        <v/>
      </c>
      <c r="P43" s="48" t="str">
        <f>IFERROR(AVERAGE(P34:P40),"")</f>
        <v/>
      </c>
      <c r="Q43" s="34"/>
    </row>
    <row r="44" spans="1:18" x14ac:dyDescent="0.35">
      <c r="A44" s="35" t="s">
        <v>5</v>
      </c>
      <c r="B44" s="96" t="str">
        <f>IFERROR((B43-B42)/B42,"")</f>
        <v/>
      </c>
      <c r="C44" s="96" t="str">
        <f t="shared" ref="C44:P44" si="17">IFERROR(-(C42-C43)/C42,"")</f>
        <v/>
      </c>
      <c r="D44" s="96" t="str">
        <f t="shared" si="17"/>
        <v/>
      </c>
      <c r="E44" s="96" t="str">
        <f t="shared" si="17"/>
        <v/>
      </c>
      <c r="F44" s="96" t="str">
        <f t="shared" si="17"/>
        <v/>
      </c>
      <c r="G44" s="96" t="str">
        <f t="shared" si="17"/>
        <v/>
      </c>
      <c r="H44" s="96" t="str">
        <f t="shared" si="17"/>
        <v/>
      </c>
      <c r="I44" s="97" t="str">
        <f t="shared" si="17"/>
        <v/>
      </c>
      <c r="J44" s="98" t="str">
        <f t="shared" si="17"/>
        <v/>
      </c>
      <c r="K44" s="96" t="str">
        <f t="shared" si="17"/>
        <v/>
      </c>
      <c r="L44" s="96" t="str">
        <f t="shared" si="17"/>
        <v/>
      </c>
      <c r="M44" s="96" t="str">
        <f t="shared" si="17"/>
        <v/>
      </c>
      <c r="N44" s="96" t="str">
        <f t="shared" si="17"/>
        <v/>
      </c>
      <c r="O44" s="96" t="str">
        <f t="shared" si="17"/>
        <v/>
      </c>
      <c r="P44" s="96" t="str">
        <f t="shared" si="17"/>
        <v/>
      </c>
    </row>
    <row r="45" spans="1:18" x14ac:dyDescent="0.35">
      <c r="B45" s="33" t="s">
        <v>33</v>
      </c>
    </row>
  </sheetData>
  <mergeCells count="7">
    <mergeCell ref="S1:V1"/>
    <mergeCell ref="S9:W9"/>
    <mergeCell ref="B27:I27"/>
    <mergeCell ref="J27:P27"/>
    <mergeCell ref="B5:D5"/>
    <mergeCell ref="B7:I7"/>
    <mergeCell ref="J7:P7"/>
  </mergeCells>
  <conditionalFormatting sqref="B10:P11">
    <cfRule type="colorScale" priority="9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24:P24">
    <cfRule type="colorScale" priority="91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P31">
    <cfRule type="colorScale" priority="6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4:P44">
    <cfRule type="colorScale" priority="65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B31">
    <cfRule type="colorScale" priority="6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30:C31">
    <cfRule type="colorScale" priority="6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0:D31">
    <cfRule type="colorScale" priority="5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30:E31">
    <cfRule type="colorScale" priority="5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30:F31">
    <cfRule type="colorScale" priority="5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30:G31">
    <cfRule type="colorScale" priority="5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0:H31">
    <cfRule type="colorScale" priority="5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0:I31">
    <cfRule type="colorScale" priority="5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0:J31">
    <cfRule type="colorScale" priority="5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30:K31">
    <cfRule type="colorScale" priority="5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0:L31">
    <cfRule type="colorScale" priority="5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0:M31">
    <cfRule type="colorScale" priority="5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0:N31">
    <cfRule type="colorScale" priority="4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0:O31">
    <cfRule type="colorScale" priority="4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0:P31">
    <cfRule type="colorScale" priority="4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0:F11">
    <cfRule type="colorScale" priority="4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0:C11">
    <cfRule type="colorScale" priority="4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0:D11">
    <cfRule type="colorScale" priority="4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0:E11">
    <cfRule type="colorScale" priority="4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0:F11">
    <cfRule type="colorScale" priority="4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10:G11">
    <cfRule type="colorScale" priority="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10:H11">
    <cfRule type="colorScale" priority="4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10:I11">
    <cfRule type="colorScale" priority="3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10:J11">
    <cfRule type="colorScale" priority="3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10:K11">
    <cfRule type="colorScale" priority="3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10:L11">
    <cfRule type="colorScale" priority="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0:M11">
    <cfRule type="colorScale" priority="3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0:N11">
    <cfRule type="colorScale" priority="3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10:O11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10:P11">
    <cfRule type="colorScale" priority="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0:B11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0:C11">
    <cfRule type="colorScale" priority="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0:D11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0:D11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0:E11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0:E11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0:F11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0:F11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0:B11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0:C11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0:D11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0:E11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0:F11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10:I11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paperSize="256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.main">
                <anchor moveWithCells="1" sizeWithCells="1">
                  <from>
                    <xdr:col>2</xdr:col>
                    <xdr:colOff>228600</xdr:colOff>
                    <xdr:row>0</xdr:row>
                    <xdr:rowOff>95250</xdr:rowOff>
                  </from>
                  <to>
                    <xdr:col>5</xdr:col>
                    <xdr:colOff>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_xludf.sort">
                <anchor moveWithCells="1" sizeWithCells="1">
                  <from>
                    <xdr:col>2</xdr:col>
                    <xdr:colOff>215900</xdr:colOff>
                    <xdr:row>2</xdr:row>
                    <xdr:rowOff>203200</xdr:rowOff>
                  </from>
                  <to>
                    <xdr:col>5</xdr:col>
                    <xdr:colOff>12700</xdr:colOff>
                    <xdr:row>4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py_report.copy_report">
                <anchor moveWithCells="1" sizeWithCells="1">
                  <from>
                    <xdr:col>11</xdr:col>
                    <xdr:colOff>565150</xdr:colOff>
                    <xdr:row>0</xdr:row>
                    <xdr:rowOff>88900</xdr:rowOff>
                  </from>
                  <to>
                    <xdr:col>15</xdr:col>
                    <xdr:colOff>412750</xdr:colOff>
                    <xdr:row>2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reset_report">
                <anchor moveWithCells="1" sizeWithCells="1">
                  <from>
                    <xdr:col>11</xdr:col>
                    <xdr:colOff>558800</xdr:colOff>
                    <xdr:row>2</xdr:row>
                    <xdr:rowOff>177800</xdr:rowOff>
                  </from>
                  <to>
                    <xdr:col>15</xdr:col>
                    <xdr:colOff>406400</xdr:colOff>
                    <xdr:row>4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S186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>
    <row r="1" spans="1:19" x14ac:dyDescent="0.35">
      <c r="A1" t="s">
        <v>35</v>
      </c>
      <c r="B1" t="s">
        <v>36</v>
      </c>
      <c r="C1" t="s">
        <v>37</v>
      </c>
      <c r="D1" t="s">
        <v>38</v>
      </c>
      <c r="E1" t="s">
        <v>39</v>
      </c>
      <c r="F1" t="s">
        <v>40</v>
      </c>
      <c r="G1" t="s">
        <v>41</v>
      </c>
      <c r="H1" t="s">
        <v>42</v>
      </c>
      <c r="I1" t="s">
        <v>43</v>
      </c>
      <c r="J1" t="s">
        <v>44</v>
      </c>
      <c r="K1" t="s">
        <v>45</v>
      </c>
      <c r="L1" t="s">
        <v>46</v>
      </c>
      <c r="M1" t="s">
        <v>47</v>
      </c>
      <c r="N1" t="s">
        <v>48</v>
      </c>
      <c r="O1" t="s">
        <v>49</v>
      </c>
      <c r="P1" t="s">
        <v>50</v>
      </c>
      <c r="Q1" t="s">
        <v>51</v>
      </c>
      <c r="R1" t="s">
        <v>52</v>
      </c>
      <c r="S1" t="s">
        <v>53</v>
      </c>
    </row>
    <row r="2" spans="1:19" x14ac:dyDescent="0.35">
      <c r="A2" t="s">
        <v>54</v>
      </c>
      <c r="B2">
        <v>1</v>
      </c>
      <c r="C2" t="s">
        <v>55</v>
      </c>
      <c r="D2" t="s">
        <v>6</v>
      </c>
      <c r="E2" t="s">
        <v>13</v>
      </c>
      <c r="F2" t="s">
        <v>56</v>
      </c>
      <c r="G2" t="s">
        <v>57</v>
      </c>
      <c r="H2">
        <v>98505</v>
      </c>
      <c r="I2">
        <v>42.0283333333333</v>
      </c>
      <c r="J2">
        <v>2343.7760241107098</v>
      </c>
      <c r="K2">
        <v>995.00000399999999</v>
      </c>
      <c r="L2">
        <v>98.999999602010007</v>
      </c>
      <c r="M2">
        <v>56.971666268676699</v>
      </c>
      <c r="N2">
        <v>2.3555537836065299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35">
      <c r="A3" t="s">
        <v>54</v>
      </c>
      <c r="B3">
        <v>2</v>
      </c>
      <c r="C3" t="s">
        <v>58</v>
      </c>
      <c r="D3" t="s">
        <v>59</v>
      </c>
      <c r="E3" t="s">
        <v>13</v>
      </c>
      <c r="F3" t="s">
        <v>56</v>
      </c>
      <c r="G3" t="s">
        <v>60</v>
      </c>
      <c r="H3">
        <v>386</v>
      </c>
      <c r="I3">
        <v>0.99972222222222196</v>
      </c>
      <c r="J3">
        <v>386.10725201444802</v>
      </c>
      <c r="K3">
        <v>275.00000399999999</v>
      </c>
      <c r="L3">
        <v>1.40363634321983</v>
      </c>
      <c r="M3">
        <v>0.40391412099761198</v>
      </c>
      <c r="N3">
        <v>1.4040263505394199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35">
      <c r="A4" t="s">
        <v>54</v>
      </c>
      <c r="B4">
        <v>3</v>
      </c>
      <c r="C4" t="s">
        <v>61</v>
      </c>
      <c r="D4" t="s">
        <v>62</v>
      </c>
      <c r="E4" t="s">
        <v>13</v>
      </c>
      <c r="F4" t="s">
        <v>56</v>
      </c>
      <c r="G4" t="s">
        <v>60</v>
      </c>
      <c r="H4">
        <v>839</v>
      </c>
      <c r="I4">
        <v>5.36388888888888</v>
      </c>
      <c r="J4">
        <v>156.416364577938</v>
      </c>
      <c r="K4">
        <v>101.999988</v>
      </c>
      <c r="L4">
        <v>8.2254911637832695</v>
      </c>
      <c r="M4">
        <v>2.8616022748943801</v>
      </c>
      <c r="N4">
        <v>1.5334939507830001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35">
      <c r="A5" t="s">
        <v>54</v>
      </c>
      <c r="B5">
        <v>4</v>
      </c>
      <c r="C5" t="s">
        <v>63</v>
      </c>
      <c r="D5" t="s">
        <v>64</v>
      </c>
      <c r="E5" t="s">
        <v>13</v>
      </c>
      <c r="F5" t="s">
        <v>56</v>
      </c>
      <c r="G5" t="s">
        <v>60</v>
      </c>
      <c r="H5">
        <v>22</v>
      </c>
      <c r="I5">
        <v>1.32805555555555</v>
      </c>
      <c r="J5">
        <v>16.565572056055199</v>
      </c>
      <c r="K5">
        <v>52.999991999999999</v>
      </c>
      <c r="L5">
        <v>0.4150944022784</v>
      </c>
      <c r="M5">
        <v>-0.91296115327715499</v>
      </c>
      <c r="N5">
        <v>0.31255801050036403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35">
      <c r="A6" t="s">
        <v>54</v>
      </c>
      <c r="B6">
        <v>5</v>
      </c>
      <c r="C6" t="s">
        <v>65</v>
      </c>
      <c r="D6" t="s">
        <v>66</v>
      </c>
      <c r="E6" t="s">
        <v>13</v>
      </c>
      <c r="F6" t="s">
        <v>56</v>
      </c>
      <c r="G6" t="s">
        <v>60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35">
      <c r="A7" t="s">
        <v>54</v>
      </c>
      <c r="B7">
        <v>6</v>
      </c>
      <c r="C7" t="s">
        <v>67</v>
      </c>
      <c r="D7" t="s">
        <v>68</v>
      </c>
      <c r="E7" t="s">
        <v>13</v>
      </c>
      <c r="F7" t="s">
        <v>56</v>
      </c>
      <c r="G7" t="s">
        <v>60</v>
      </c>
      <c r="H7">
        <v>1247</v>
      </c>
      <c r="I7">
        <v>7.6916666666666602</v>
      </c>
      <c r="J7">
        <v>162.123510292524</v>
      </c>
      <c r="K7">
        <v>124.15098065960601</v>
      </c>
      <c r="L7">
        <v>10.0442219092815</v>
      </c>
      <c r="M7">
        <v>2.3525552426148399</v>
      </c>
      <c r="N7">
        <v>1.30585766967906</v>
      </c>
      <c r="P7">
        <v>0</v>
      </c>
      <c r="Q7">
        <v>0</v>
      </c>
      <c r="R7">
        <v>0</v>
      </c>
      <c r="S7">
        <v>0</v>
      </c>
    </row>
    <row r="8" spans="1:19" x14ac:dyDescent="0.35">
      <c r="A8" t="s">
        <v>54</v>
      </c>
      <c r="B8">
        <v>7</v>
      </c>
      <c r="C8" t="s">
        <v>69</v>
      </c>
      <c r="D8" t="s">
        <v>70</v>
      </c>
      <c r="E8" t="s">
        <v>13</v>
      </c>
      <c r="F8" t="s">
        <v>56</v>
      </c>
      <c r="G8" t="s">
        <v>60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35">
      <c r="A9" t="s">
        <v>54</v>
      </c>
      <c r="B9">
        <v>8</v>
      </c>
      <c r="C9" t="s">
        <v>71</v>
      </c>
      <c r="D9" t="s">
        <v>72</v>
      </c>
      <c r="E9" t="s">
        <v>13</v>
      </c>
      <c r="F9" t="s">
        <v>56</v>
      </c>
      <c r="G9" t="s">
        <v>60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35">
      <c r="A10" t="s">
        <v>54</v>
      </c>
      <c r="B10">
        <v>9</v>
      </c>
      <c r="C10" t="s">
        <v>73</v>
      </c>
      <c r="D10" t="s">
        <v>74</v>
      </c>
      <c r="E10" t="s">
        <v>13</v>
      </c>
      <c r="F10" t="s">
        <v>56</v>
      </c>
      <c r="G10" t="s">
        <v>60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35">
      <c r="A11" t="s">
        <v>54</v>
      </c>
      <c r="B11">
        <v>10</v>
      </c>
      <c r="C11" t="s">
        <v>75</v>
      </c>
      <c r="D11" t="s">
        <v>76</v>
      </c>
      <c r="E11" t="s">
        <v>13</v>
      </c>
      <c r="F11" t="s">
        <v>56</v>
      </c>
      <c r="G11" t="s">
        <v>60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35">
      <c r="A12" t="s">
        <v>54</v>
      </c>
      <c r="B12">
        <v>11</v>
      </c>
      <c r="C12" t="s">
        <v>77</v>
      </c>
      <c r="D12" t="s">
        <v>78</v>
      </c>
      <c r="E12" t="s">
        <v>13</v>
      </c>
      <c r="F12" t="s">
        <v>56</v>
      </c>
      <c r="G12" t="s">
        <v>60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0</v>
      </c>
      <c r="Q12">
        <v>0</v>
      </c>
      <c r="R12">
        <v>0</v>
      </c>
      <c r="S12">
        <v>0</v>
      </c>
    </row>
    <row r="13" spans="1:19" x14ac:dyDescent="0.35">
      <c r="A13" t="s">
        <v>54</v>
      </c>
      <c r="B13">
        <v>12</v>
      </c>
      <c r="C13" t="s">
        <v>79</v>
      </c>
      <c r="D13" t="s">
        <v>80</v>
      </c>
      <c r="E13" t="s">
        <v>13</v>
      </c>
      <c r="F13" t="s">
        <v>56</v>
      </c>
      <c r="G13" t="s">
        <v>81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35">
      <c r="A14" t="s">
        <v>54</v>
      </c>
      <c r="B14">
        <v>13</v>
      </c>
      <c r="C14" t="s">
        <v>82</v>
      </c>
      <c r="D14" t="s">
        <v>7</v>
      </c>
      <c r="E14" t="s">
        <v>13</v>
      </c>
      <c r="F14" t="s">
        <v>56</v>
      </c>
      <c r="G14" t="s">
        <v>81</v>
      </c>
      <c r="H14">
        <v>8278</v>
      </c>
      <c r="I14">
        <v>12.726666666666601</v>
      </c>
      <c r="J14">
        <v>650.44525929806105</v>
      </c>
      <c r="K14">
        <v>524.99998800000003</v>
      </c>
      <c r="L14">
        <v>15.7676194080217</v>
      </c>
      <c r="M14">
        <v>3.0409527413550999</v>
      </c>
      <c r="N14">
        <v>1.2389433793626301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35">
      <c r="A15" t="s">
        <v>54</v>
      </c>
      <c r="B15">
        <v>14</v>
      </c>
      <c r="C15" t="s">
        <v>83</v>
      </c>
      <c r="D15" t="s">
        <v>84</v>
      </c>
      <c r="E15" t="s">
        <v>13</v>
      </c>
      <c r="F15" t="s">
        <v>56</v>
      </c>
      <c r="G15" t="s">
        <v>85</v>
      </c>
      <c r="H15">
        <v>63</v>
      </c>
      <c r="I15">
        <v>3.5175000000000001</v>
      </c>
      <c r="J15">
        <v>17.910447761194</v>
      </c>
      <c r="K15">
        <v>11.999988</v>
      </c>
      <c r="L15">
        <v>5.2500052500052501</v>
      </c>
      <c r="M15">
        <v>1.73250525000525</v>
      </c>
      <c r="N15">
        <v>1.49253880597164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35">
      <c r="A16" t="s">
        <v>54</v>
      </c>
      <c r="B16">
        <v>15</v>
      </c>
      <c r="C16" t="s">
        <v>86</v>
      </c>
      <c r="D16" t="s">
        <v>87</v>
      </c>
      <c r="E16" t="s">
        <v>13</v>
      </c>
      <c r="F16" t="s">
        <v>56</v>
      </c>
      <c r="G16" t="s">
        <v>57</v>
      </c>
      <c r="H16">
        <v>98505</v>
      </c>
      <c r="I16">
        <v>56.965555555555497</v>
      </c>
      <c r="J16">
        <v>1729.2028321207699</v>
      </c>
      <c r="K16">
        <v>2000.00001599999</v>
      </c>
      <c r="L16">
        <v>49.252499605979999</v>
      </c>
      <c r="M16">
        <v>-7.7130559495755397</v>
      </c>
      <c r="N16">
        <v>0.86460140914357597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35">
      <c r="A17" t="s">
        <v>54</v>
      </c>
      <c r="B17">
        <v>16</v>
      </c>
      <c r="C17" t="s">
        <v>88</v>
      </c>
      <c r="D17" t="s">
        <v>89</v>
      </c>
      <c r="E17" t="s">
        <v>13</v>
      </c>
      <c r="F17" t="s">
        <v>56</v>
      </c>
      <c r="G17" t="s">
        <v>60</v>
      </c>
      <c r="H17">
        <v>98505</v>
      </c>
      <c r="I17">
        <v>122.929722222222</v>
      </c>
      <c r="J17">
        <v>801.31149911760701</v>
      </c>
      <c r="K17">
        <v>549.34255022427499</v>
      </c>
      <c r="L17">
        <v>179.31434577529799</v>
      </c>
      <c r="M17">
        <v>56.384623553076302</v>
      </c>
      <c r="N17">
        <v>1.4586736432312799</v>
      </c>
      <c r="P17">
        <v>0</v>
      </c>
      <c r="Q17">
        <v>0</v>
      </c>
      <c r="R17">
        <v>0</v>
      </c>
      <c r="S17">
        <v>0</v>
      </c>
    </row>
    <row r="18" spans="1:19" x14ac:dyDescent="0.35">
      <c r="A18" t="s">
        <v>54</v>
      </c>
      <c r="B18">
        <v>17</v>
      </c>
      <c r="C18" t="s">
        <v>90</v>
      </c>
      <c r="D18" t="s">
        <v>91</v>
      </c>
      <c r="E18" t="s">
        <v>13</v>
      </c>
      <c r="F18" t="s">
        <v>92</v>
      </c>
      <c r="G18" t="s">
        <v>81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35">
      <c r="A19" t="s">
        <v>54</v>
      </c>
      <c r="B19">
        <v>18</v>
      </c>
      <c r="C19" t="s">
        <v>93</v>
      </c>
      <c r="D19" t="s">
        <v>94</v>
      </c>
      <c r="E19" t="s">
        <v>13</v>
      </c>
      <c r="F19" t="s">
        <v>92</v>
      </c>
      <c r="G19" t="s">
        <v>60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35">
      <c r="A20" t="s">
        <v>54</v>
      </c>
      <c r="B20">
        <v>19</v>
      </c>
      <c r="C20" t="s">
        <v>95</v>
      </c>
      <c r="D20" t="s">
        <v>96</v>
      </c>
      <c r="E20" t="s">
        <v>13</v>
      </c>
      <c r="F20" t="s">
        <v>92</v>
      </c>
      <c r="G20" t="s">
        <v>60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35">
      <c r="A21" t="s">
        <v>54</v>
      </c>
      <c r="B21">
        <v>20</v>
      </c>
      <c r="C21" t="s">
        <v>97</v>
      </c>
      <c r="D21" t="s">
        <v>98</v>
      </c>
      <c r="E21" t="s">
        <v>13</v>
      </c>
      <c r="F21" t="s">
        <v>92</v>
      </c>
      <c r="G21" t="s">
        <v>60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35">
      <c r="A22" t="s">
        <v>54</v>
      </c>
      <c r="B22">
        <v>21</v>
      </c>
      <c r="C22" t="s">
        <v>99</v>
      </c>
      <c r="D22" t="s">
        <v>100</v>
      </c>
      <c r="E22" t="s">
        <v>13</v>
      </c>
      <c r="F22" t="s">
        <v>92</v>
      </c>
      <c r="G22" t="s">
        <v>60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 x14ac:dyDescent="0.35">
      <c r="A23" t="s">
        <v>54</v>
      </c>
      <c r="B23">
        <v>22</v>
      </c>
      <c r="C23" t="s">
        <v>101</v>
      </c>
      <c r="D23" t="s">
        <v>102</v>
      </c>
      <c r="E23" t="s">
        <v>13</v>
      </c>
      <c r="F23" t="s">
        <v>92</v>
      </c>
      <c r="G23" t="s">
        <v>60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P23">
        <v>0</v>
      </c>
      <c r="Q23">
        <v>0</v>
      </c>
      <c r="R23">
        <v>0</v>
      </c>
      <c r="S23">
        <v>0</v>
      </c>
    </row>
    <row r="24" spans="1:19" x14ac:dyDescent="0.35">
      <c r="A24" t="s">
        <v>54</v>
      </c>
      <c r="B24">
        <v>23</v>
      </c>
      <c r="C24" t="s">
        <v>103</v>
      </c>
      <c r="D24" t="s">
        <v>104</v>
      </c>
      <c r="E24" t="s">
        <v>13</v>
      </c>
      <c r="F24" t="s">
        <v>92</v>
      </c>
      <c r="G24" t="s">
        <v>81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35">
      <c r="A25" t="s">
        <v>54</v>
      </c>
      <c r="B25">
        <v>24</v>
      </c>
      <c r="C25" t="s">
        <v>105</v>
      </c>
      <c r="D25" t="s">
        <v>106</v>
      </c>
      <c r="E25" t="s">
        <v>13</v>
      </c>
      <c r="F25" t="s">
        <v>92</v>
      </c>
      <c r="G25" t="s">
        <v>85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35">
      <c r="A26" t="s">
        <v>54</v>
      </c>
      <c r="B26">
        <v>25</v>
      </c>
      <c r="C26" t="s">
        <v>107</v>
      </c>
      <c r="D26" t="s">
        <v>108</v>
      </c>
      <c r="E26" t="s">
        <v>13</v>
      </c>
      <c r="F26" t="s">
        <v>92</v>
      </c>
      <c r="G26" t="s">
        <v>57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35">
      <c r="A27" t="s">
        <v>54</v>
      </c>
      <c r="B27">
        <v>26</v>
      </c>
      <c r="C27" t="s">
        <v>109</v>
      </c>
      <c r="D27" t="s">
        <v>110</v>
      </c>
      <c r="E27" t="s">
        <v>13</v>
      </c>
      <c r="F27" t="s">
        <v>92</v>
      </c>
      <c r="G27" t="s">
        <v>60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P27">
        <v>0</v>
      </c>
      <c r="Q27">
        <v>0</v>
      </c>
      <c r="R27">
        <v>0</v>
      </c>
      <c r="S27">
        <v>0</v>
      </c>
    </row>
    <row r="28" spans="1:19" x14ac:dyDescent="0.35">
      <c r="A28" t="s">
        <v>54</v>
      </c>
      <c r="B28">
        <v>27</v>
      </c>
      <c r="C28" t="s">
        <v>111</v>
      </c>
      <c r="D28" t="s">
        <v>112</v>
      </c>
      <c r="E28" t="s">
        <v>13</v>
      </c>
      <c r="F28" t="s">
        <v>113</v>
      </c>
      <c r="G28" t="s">
        <v>60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 x14ac:dyDescent="0.35">
      <c r="A29" t="s">
        <v>54</v>
      </c>
      <c r="B29">
        <v>28</v>
      </c>
      <c r="C29" t="s">
        <v>114</v>
      </c>
      <c r="D29" t="s">
        <v>115</v>
      </c>
      <c r="E29" t="s">
        <v>13</v>
      </c>
      <c r="F29" t="s">
        <v>113</v>
      </c>
      <c r="G29" t="s">
        <v>60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35">
      <c r="A30" t="s">
        <v>54</v>
      </c>
      <c r="B30">
        <v>29</v>
      </c>
      <c r="C30" t="s">
        <v>116</v>
      </c>
      <c r="D30" t="s">
        <v>117</v>
      </c>
      <c r="E30" t="s">
        <v>13</v>
      </c>
      <c r="F30" t="s">
        <v>113</v>
      </c>
      <c r="G30" t="s">
        <v>60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35">
      <c r="A31" t="s">
        <v>54</v>
      </c>
      <c r="B31">
        <v>30</v>
      </c>
      <c r="C31" t="s">
        <v>118</v>
      </c>
      <c r="D31" t="s">
        <v>119</v>
      </c>
      <c r="E31" t="s">
        <v>13</v>
      </c>
      <c r="F31" t="s">
        <v>113</v>
      </c>
      <c r="G31" t="s">
        <v>60</v>
      </c>
      <c r="H31">
        <v>228</v>
      </c>
      <c r="I31">
        <v>0.38861111111111102</v>
      </c>
      <c r="J31">
        <v>586.70478913509601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35">
      <c r="A32" t="s">
        <v>54</v>
      </c>
      <c r="B32">
        <v>31</v>
      </c>
      <c r="C32" t="s">
        <v>120</v>
      </c>
      <c r="D32" t="s">
        <v>121</v>
      </c>
      <c r="E32" t="s">
        <v>13</v>
      </c>
      <c r="F32" t="s">
        <v>113</v>
      </c>
      <c r="G32" t="s">
        <v>60</v>
      </c>
      <c r="H32">
        <v>1</v>
      </c>
      <c r="I32">
        <v>1.7500000000000002E-2</v>
      </c>
      <c r="J32">
        <v>57.142857142857103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35">
      <c r="A33" t="s">
        <v>54</v>
      </c>
      <c r="B33">
        <v>32</v>
      </c>
      <c r="C33" t="s">
        <v>122</v>
      </c>
      <c r="D33" t="s">
        <v>123</v>
      </c>
      <c r="E33" t="s">
        <v>13</v>
      </c>
      <c r="F33" t="s">
        <v>113</v>
      </c>
      <c r="G33" t="s">
        <v>60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35">
      <c r="A34" t="s">
        <v>54</v>
      </c>
      <c r="B34">
        <v>33</v>
      </c>
      <c r="C34" t="s">
        <v>124</v>
      </c>
      <c r="D34" t="s">
        <v>125</v>
      </c>
      <c r="E34" t="s">
        <v>13</v>
      </c>
      <c r="F34" t="s">
        <v>113</v>
      </c>
      <c r="G34" t="s">
        <v>60</v>
      </c>
      <c r="H34">
        <v>229</v>
      </c>
      <c r="I34">
        <v>0.40611111111111098</v>
      </c>
      <c r="J34">
        <v>563.88508891928802</v>
      </c>
      <c r="K34">
        <v>0</v>
      </c>
      <c r="L34">
        <v>0</v>
      </c>
      <c r="M34">
        <v>-0.40611111111111098</v>
      </c>
      <c r="N34">
        <v>0</v>
      </c>
      <c r="P34">
        <v>0</v>
      </c>
      <c r="Q34">
        <v>0</v>
      </c>
      <c r="R34">
        <v>0</v>
      </c>
      <c r="S34">
        <v>0</v>
      </c>
    </row>
    <row r="35" spans="1:19" x14ac:dyDescent="0.35">
      <c r="A35" t="s">
        <v>54</v>
      </c>
      <c r="B35">
        <v>34</v>
      </c>
      <c r="C35" t="s">
        <v>126</v>
      </c>
      <c r="D35" t="s">
        <v>127</v>
      </c>
      <c r="E35" t="s">
        <v>13</v>
      </c>
      <c r="F35" t="s">
        <v>113</v>
      </c>
      <c r="G35" t="s">
        <v>57</v>
      </c>
      <c r="H35">
        <v>229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35">
      <c r="A36" t="s">
        <v>54</v>
      </c>
      <c r="B36">
        <v>35</v>
      </c>
      <c r="C36" t="s">
        <v>128</v>
      </c>
      <c r="D36" t="s">
        <v>129</v>
      </c>
      <c r="E36" t="s">
        <v>13</v>
      </c>
      <c r="F36" t="s">
        <v>113</v>
      </c>
      <c r="G36" t="s">
        <v>57</v>
      </c>
      <c r="H36">
        <v>229</v>
      </c>
      <c r="I36">
        <v>0.40611111111111098</v>
      </c>
      <c r="J36">
        <v>563.88508891928802</v>
      </c>
      <c r="K36">
        <v>0</v>
      </c>
      <c r="L36">
        <v>0</v>
      </c>
      <c r="M36">
        <v>-0.40611111111111098</v>
      </c>
      <c r="N36">
        <v>0</v>
      </c>
      <c r="P36">
        <v>0</v>
      </c>
      <c r="Q36">
        <v>0</v>
      </c>
      <c r="R36">
        <v>0</v>
      </c>
      <c r="S36">
        <v>0</v>
      </c>
    </row>
    <row r="37" spans="1:19" x14ac:dyDescent="0.35">
      <c r="A37" t="s">
        <v>54</v>
      </c>
      <c r="B37">
        <v>36</v>
      </c>
      <c r="C37" t="s">
        <v>130</v>
      </c>
      <c r="D37" t="s">
        <v>131</v>
      </c>
      <c r="E37" t="s">
        <v>13</v>
      </c>
      <c r="F37" t="s">
        <v>132</v>
      </c>
      <c r="G37" t="s">
        <v>60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 x14ac:dyDescent="0.35">
      <c r="A38" t="s">
        <v>54</v>
      </c>
      <c r="B38">
        <v>37</v>
      </c>
      <c r="C38" t="s">
        <v>133</v>
      </c>
      <c r="D38" t="s">
        <v>134</v>
      </c>
      <c r="E38" t="s">
        <v>13</v>
      </c>
      <c r="F38" t="s">
        <v>132</v>
      </c>
      <c r="G38" t="s">
        <v>60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1:19" x14ac:dyDescent="0.35">
      <c r="A39" t="s">
        <v>54</v>
      </c>
      <c r="B39">
        <v>38</v>
      </c>
      <c r="C39" t="s">
        <v>135</v>
      </c>
      <c r="D39" t="s">
        <v>136</v>
      </c>
      <c r="E39" t="s">
        <v>13</v>
      </c>
      <c r="F39" t="s">
        <v>132</v>
      </c>
      <c r="G39" t="s">
        <v>60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 x14ac:dyDescent="0.35">
      <c r="A40" t="s">
        <v>54</v>
      </c>
      <c r="B40">
        <v>39</v>
      </c>
      <c r="C40" t="s">
        <v>137</v>
      </c>
      <c r="D40" t="s">
        <v>138</v>
      </c>
      <c r="E40" t="s">
        <v>13</v>
      </c>
      <c r="F40" t="s">
        <v>132</v>
      </c>
      <c r="G40" t="s">
        <v>60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35">
      <c r="A41" t="s">
        <v>54</v>
      </c>
      <c r="B41">
        <v>40</v>
      </c>
      <c r="C41" t="s">
        <v>139</v>
      </c>
      <c r="D41" t="s">
        <v>140</v>
      </c>
      <c r="E41" t="s">
        <v>13</v>
      </c>
      <c r="F41" t="s">
        <v>132</v>
      </c>
      <c r="G41" t="s">
        <v>60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P41">
        <v>0</v>
      </c>
      <c r="Q41">
        <v>0</v>
      </c>
      <c r="R41">
        <v>0</v>
      </c>
      <c r="S41">
        <v>0</v>
      </c>
    </row>
    <row r="42" spans="1:19" x14ac:dyDescent="0.35">
      <c r="A42" t="s">
        <v>54</v>
      </c>
      <c r="B42">
        <v>41</v>
      </c>
      <c r="C42" t="s">
        <v>141</v>
      </c>
      <c r="D42" t="s">
        <v>142</v>
      </c>
      <c r="E42" t="s">
        <v>13</v>
      </c>
      <c r="F42" t="s">
        <v>132</v>
      </c>
      <c r="G42" t="s">
        <v>81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1:19" x14ac:dyDescent="0.35">
      <c r="A43" t="s">
        <v>54</v>
      </c>
      <c r="B43">
        <v>42</v>
      </c>
      <c r="C43" t="s">
        <v>143</v>
      </c>
      <c r="D43" t="s">
        <v>144</v>
      </c>
      <c r="E43" t="s">
        <v>13</v>
      </c>
      <c r="F43" t="s">
        <v>132</v>
      </c>
      <c r="G43" t="s">
        <v>85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19" x14ac:dyDescent="0.35">
      <c r="A44" t="s">
        <v>54</v>
      </c>
      <c r="B44">
        <v>43</v>
      </c>
      <c r="C44" t="s">
        <v>145</v>
      </c>
      <c r="D44" t="s">
        <v>146</v>
      </c>
      <c r="E44" t="s">
        <v>13</v>
      </c>
      <c r="F44" t="s">
        <v>132</v>
      </c>
      <c r="G44" t="s">
        <v>60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 x14ac:dyDescent="0.35">
      <c r="A45" t="s">
        <v>54</v>
      </c>
      <c r="B45">
        <v>44</v>
      </c>
      <c r="C45" t="s">
        <v>147</v>
      </c>
      <c r="D45" t="s">
        <v>148</v>
      </c>
      <c r="E45" t="s">
        <v>13</v>
      </c>
      <c r="F45" t="s">
        <v>132</v>
      </c>
      <c r="G45" t="s">
        <v>60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P45">
        <v>0</v>
      </c>
      <c r="Q45">
        <v>0</v>
      </c>
      <c r="R45">
        <v>0</v>
      </c>
      <c r="S45">
        <v>0</v>
      </c>
    </row>
    <row r="46" spans="1:19" x14ac:dyDescent="0.35">
      <c r="A46" t="s">
        <v>54</v>
      </c>
      <c r="B46">
        <v>45</v>
      </c>
      <c r="C46" t="s">
        <v>149</v>
      </c>
      <c r="D46" t="s">
        <v>150</v>
      </c>
      <c r="E46" t="s">
        <v>13</v>
      </c>
      <c r="F46" t="s">
        <v>151</v>
      </c>
      <c r="G46" t="s">
        <v>81</v>
      </c>
      <c r="H46">
        <v>8917</v>
      </c>
      <c r="I46">
        <v>110.673055555555</v>
      </c>
      <c r="J46">
        <v>80.570649786784401</v>
      </c>
      <c r="K46">
        <v>86.000004000000004</v>
      </c>
      <c r="L46">
        <v>103.686041689021</v>
      </c>
      <c r="M46">
        <v>-6.9870138665342303</v>
      </c>
      <c r="N46">
        <v>0.93686797720130799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 x14ac:dyDescent="0.35">
      <c r="A47" t="s">
        <v>54</v>
      </c>
      <c r="B47">
        <v>46</v>
      </c>
      <c r="C47" t="s">
        <v>152</v>
      </c>
      <c r="D47" t="s">
        <v>153</v>
      </c>
      <c r="E47" t="s">
        <v>13</v>
      </c>
      <c r="F47" t="s">
        <v>151</v>
      </c>
      <c r="G47" t="s">
        <v>154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 x14ac:dyDescent="0.35">
      <c r="A48" t="s">
        <v>54</v>
      </c>
      <c r="B48">
        <v>47</v>
      </c>
      <c r="C48" t="s">
        <v>155</v>
      </c>
      <c r="D48" t="s">
        <v>156</v>
      </c>
      <c r="E48" t="s">
        <v>13</v>
      </c>
      <c r="F48" t="s">
        <v>151</v>
      </c>
      <c r="G48" t="s">
        <v>85</v>
      </c>
      <c r="H48">
        <v>61</v>
      </c>
      <c r="I48">
        <v>13.3191666666666</v>
      </c>
      <c r="J48">
        <v>4.5798661077394698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35">
      <c r="A49" t="s">
        <v>54</v>
      </c>
      <c r="B49">
        <v>48</v>
      </c>
      <c r="C49" t="s">
        <v>157</v>
      </c>
      <c r="D49" t="s">
        <v>158</v>
      </c>
      <c r="E49" t="s">
        <v>13</v>
      </c>
      <c r="F49" t="s">
        <v>151</v>
      </c>
      <c r="G49" t="s">
        <v>159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35">
      <c r="A50" t="s">
        <v>54</v>
      </c>
      <c r="B50">
        <v>49</v>
      </c>
      <c r="C50" t="s">
        <v>160</v>
      </c>
      <c r="D50" t="s">
        <v>161</v>
      </c>
      <c r="E50" t="s">
        <v>13</v>
      </c>
      <c r="F50" t="s">
        <v>151</v>
      </c>
      <c r="G50" t="s">
        <v>57</v>
      </c>
      <c r="H50">
        <v>173601</v>
      </c>
      <c r="I50">
        <v>45.03</v>
      </c>
      <c r="J50">
        <v>3855.2298467688202</v>
      </c>
      <c r="K50">
        <v>15000.0000119999</v>
      </c>
      <c r="L50">
        <v>11.5733999907412</v>
      </c>
      <c r="M50">
        <v>-33.4566000092587</v>
      </c>
      <c r="N50">
        <v>0.257015322912309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1:19" x14ac:dyDescent="0.35">
      <c r="A51" t="s">
        <v>54</v>
      </c>
      <c r="B51">
        <v>50</v>
      </c>
      <c r="C51" t="s">
        <v>162</v>
      </c>
      <c r="D51" t="s">
        <v>163</v>
      </c>
      <c r="E51" t="s">
        <v>13</v>
      </c>
      <c r="F51" t="s">
        <v>151</v>
      </c>
      <c r="G51" t="s">
        <v>57</v>
      </c>
      <c r="H51">
        <v>173601</v>
      </c>
      <c r="I51">
        <v>169.02222222222201</v>
      </c>
      <c r="J51">
        <v>1027.0897975282601</v>
      </c>
      <c r="K51">
        <v>1506.17595808188</v>
      </c>
      <c r="L51">
        <v>115.25944167976201</v>
      </c>
      <c r="M51">
        <v>-53.762780542459602</v>
      </c>
      <c r="N51">
        <v>0.68191886347479802</v>
      </c>
      <c r="P51">
        <v>0</v>
      </c>
      <c r="Q51">
        <v>0</v>
      </c>
      <c r="R51">
        <v>0</v>
      </c>
      <c r="S51">
        <v>0</v>
      </c>
    </row>
    <row r="52" spans="1:19" x14ac:dyDescent="0.35">
      <c r="A52" t="s">
        <v>54</v>
      </c>
      <c r="B52">
        <v>51</v>
      </c>
      <c r="C52" t="s">
        <v>164</v>
      </c>
      <c r="D52" t="s">
        <v>165</v>
      </c>
      <c r="E52" t="s">
        <v>13</v>
      </c>
      <c r="F52" t="s">
        <v>165</v>
      </c>
      <c r="G52" t="s">
        <v>57</v>
      </c>
      <c r="H52">
        <v>98505</v>
      </c>
      <c r="I52">
        <v>21.2</v>
      </c>
      <c r="J52">
        <v>4646.4622641509404</v>
      </c>
      <c r="K52">
        <v>4500</v>
      </c>
      <c r="L52">
        <v>21.89</v>
      </c>
      <c r="M52">
        <v>0.69</v>
      </c>
      <c r="N52">
        <v>1.03254716981132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x14ac:dyDescent="0.35">
      <c r="A53" t="s">
        <v>54</v>
      </c>
      <c r="B53">
        <v>52</v>
      </c>
      <c r="C53" t="s">
        <v>166</v>
      </c>
      <c r="D53" t="s">
        <v>167</v>
      </c>
      <c r="E53" t="s">
        <v>13</v>
      </c>
      <c r="F53" t="s">
        <v>168</v>
      </c>
      <c r="G53" t="s">
        <v>57</v>
      </c>
      <c r="H53">
        <v>98505</v>
      </c>
      <c r="I53">
        <v>26.1933333333333</v>
      </c>
      <c r="J53">
        <v>3760.6897429371302</v>
      </c>
      <c r="K53">
        <v>1850.000004</v>
      </c>
      <c r="L53">
        <v>53.245945830819501</v>
      </c>
      <c r="M53">
        <v>27.052612497486201</v>
      </c>
      <c r="N53">
        <v>2.0328052620572499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35">
      <c r="A54" t="s">
        <v>54</v>
      </c>
      <c r="B54">
        <v>53</v>
      </c>
      <c r="C54" t="s">
        <v>169</v>
      </c>
      <c r="D54" t="s">
        <v>11</v>
      </c>
      <c r="E54" t="s">
        <v>13</v>
      </c>
      <c r="F54" t="s">
        <v>170</v>
      </c>
      <c r="G54" t="s">
        <v>60</v>
      </c>
      <c r="H54">
        <v>98505</v>
      </c>
      <c r="I54">
        <v>339.75138888888802</v>
      </c>
      <c r="J54">
        <v>289.93258959778598</v>
      </c>
      <c r="K54">
        <v>266.438752165148</v>
      </c>
      <c r="L54">
        <v>369.70973328588002</v>
      </c>
      <c r="M54">
        <v>29.958344396991802</v>
      </c>
      <c r="N54">
        <v>1.0881772536529299</v>
      </c>
      <c r="P54">
        <v>0</v>
      </c>
      <c r="Q54">
        <v>0</v>
      </c>
      <c r="R54">
        <v>0</v>
      </c>
      <c r="S54">
        <v>0</v>
      </c>
    </row>
    <row r="55" spans="1:19" x14ac:dyDescent="0.35">
      <c r="A55" t="s">
        <v>54</v>
      </c>
      <c r="B55">
        <v>54</v>
      </c>
      <c r="C55" t="s">
        <v>171</v>
      </c>
      <c r="D55" t="s">
        <v>172</v>
      </c>
      <c r="E55" t="s">
        <v>173</v>
      </c>
      <c r="F55" t="s">
        <v>174</v>
      </c>
      <c r="G55" t="s">
        <v>81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35">
      <c r="A56" t="s">
        <v>54</v>
      </c>
      <c r="B56">
        <v>55</v>
      </c>
      <c r="C56" t="s">
        <v>175</v>
      </c>
      <c r="D56" t="s">
        <v>176</v>
      </c>
      <c r="E56" t="s">
        <v>173</v>
      </c>
      <c r="F56" t="s">
        <v>174</v>
      </c>
      <c r="G56" t="s">
        <v>85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35">
      <c r="A57" t="s">
        <v>54</v>
      </c>
      <c r="B57">
        <v>56</v>
      </c>
      <c r="C57" t="s">
        <v>177</v>
      </c>
      <c r="D57" t="s">
        <v>178</v>
      </c>
      <c r="E57" t="s">
        <v>173</v>
      </c>
      <c r="F57" t="s">
        <v>179</v>
      </c>
      <c r="G57" t="s">
        <v>81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 x14ac:dyDescent="0.35">
      <c r="A58" t="s">
        <v>54</v>
      </c>
      <c r="B58">
        <v>57</v>
      </c>
      <c r="C58" t="s">
        <v>180</v>
      </c>
      <c r="D58" t="s">
        <v>181</v>
      </c>
      <c r="E58" t="s">
        <v>173</v>
      </c>
      <c r="F58" t="s">
        <v>179</v>
      </c>
      <c r="G58" t="s">
        <v>81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 x14ac:dyDescent="0.35">
      <c r="A59" t="s">
        <v>54</v>
      </c>
      <c r="B59">
        <v>58</v>
      </c>
      <c r="C59" t="s">
        <v>182</v>
      </c>
      <c r="D59" t="s">
        <v>183</v>
      </c>
      <c r="E59" t="s">
        <v>173</v>
      </c>
      <c r="F59" t="s">
        <v>184</v>
      </c>
      <c r="G59" t="s">
        <v>81</v>
      </c>
      <c r="H59">
        <v>294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 x14ac:dyDescent="0.35">
      <c r="A60" t="s">
        <v>54</v>
      </c>
      <c r="B60">
        <v>59</v>
      </c>
      <c r="C60" t="s">
        <v>185</v>
      </c>
      <c r="D60" t="s">
        <v>186</v>
      </c>
      <c r="E60" t="s">
        <v>173</v>
      </c>
      <c r="F60" t="s">
        <v>184</v>
      </c>
      <c r="G60" t="s">
        <v>60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 x14ac:dyDescent="0.35">
      <c r="A61" t="s">
        <v>54</v>
      </c>
      <c r="B61">
        <v>60</v>
      </c>
      <c r="C61" t="s">
        <v>187</v>
      </c>
      <c r="D61" t="s">
        <v>188</v>
      </c>
      <c r="E61" t="s">
        <v>173</v>
      </c>
      <c r="F61" t="s">
        <v>184</v>
      </c>
      <c r="G61" t="s">
        <v>60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35">
      <c r="A62" t="s">
        <v>54</v>
      </c>
      <c r="B62">
        <v>61</v>
      </c>
      <c r="C62" t="s">
        <v>189</v>
      </c>
      <c r="D62" t="s">
        <v>190</v>
      </c>
      <c r="E62" t="s">
        <v>173</v>
      </c>
      <c r="F62" t="s">
        <v>184</v>
      </c>
      <c r="G62" t="s">
        <v>60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19" x14ac:dyDescent="0.35">
      <c r="A63" t="s">
        <v>54</v>
      </c>
      <c r="B63">
        <v>62</v>
      </c>
      <c r="C63" t="s">
        <v>191</v>
      </c>
      <c r="D63" t="s">
        <v>192</v>
      </c>
      <c r="E63" t="s">
        <v>173</v>
      </c>
      <c r="F63" t="s">
        <v>184</v>
      </c>
      <c r="G63" t="s">
        <v>60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35">
      <c r="A64" t="s">
        <v>54</v>
      </c>
      <c r="B64">
        <v>63</v>
      </c>
      <c r="C64" t="s">
        <v>193</v>
      </c>
      <c r="D64" t="s">
        <v>194</v>
      </c>
      <c r="E64" t="s">
        <v>173</v>
      </c>
      <c r="F64" t="s">
        <v>184</v>
      </c>
      <c r="G64" t="s">
        <v>57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P64">
        <v>0</v>
      </c>
      <c r="Q64">
        <v>0</v>
      </c>
      <c r="R64">
        <v>0</v>
      </c>
      <c r="S64">
        <v>0</v>
      </c>
    </row>
    <row r="65" spans="1:19" x14ac:dyDescent="0.35">
      <c r="A65" t="s">
        <v>54</v>
      </c>
      <c r="B65">
        <v>64</v>
      </c>
      <c r="C65" t="s">
        <v>195</v>
      </c>
      <c r="D65" t="s">
        <v>196</v>
      </c>
      <c r="E65" t="s">
        <v>173</v>
      </c>
      <c r="F65" t="s">
        <v>197</v>
      </c>
      <c r="G65" t="s">
        <v>60</v>
      </c>
      <c r="H65">
        <v>15583</v>
      </c>
      <c r="I65">
        <v>10.720277777777699</v>
      </c>
      <c r="J65">
        <v>1453.6003938537999</v>
      </c>
      <c r="K65">
        <v>1244.000016</v>
      </c>
      <c r="L65">
        <v>12.5265271700768</v>
      </c>
      <c r="M65">
        <v>1.8062493922990399</v>
      </c>
      <c r="N65">
        <v>1.1684890475546399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35">
      <c r="A66" t="s">
        <v>54</v>
      </c>
      <c r="B66">
        <v>65</v>
      </c>
      <c r="C66" t="s">
        <v>198</v>
      </c>
      <c r="D66" t="s">
        <v>199</v>
      </c>
      <c r="E66" t="s">
        <v>173</v>
      </c>
      <c r="F66" t="s">
        <v>197</v>
      </c>
      <c r="G66" t="s">
        <v>60</v>
      </c>
      <c r="H66">
        <v>53344</v>
      </c>
      <c r="I66">
        <v>211.80944444444401</v>
      </c>
      <c r="J66">
        <v>251.84901523119501</v>
      </c>
      <c r="K66">
        <v>288</v>
      </c>
      <c r="L66">
        <v>185.222222222222</v>
      </c>
      <c r="M66">
        <v>-26.587222222222199</v>
      </c>
      <c r="N66">
        <v>0.87447574733054001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35">
      <c r="A67" t="s">
        <v>54</v>
      </c>
      <c r="B67">
        <v>66</v>
      </c>
      <c r="C67" t="s">
        <v>200</v>
      </c>
      <c r="D67" t="s">
        <v>201</v>
      </c>
      <c r="E67" t="s">
        <v>173</v>
      </c>
      <c r="F67" t="s">
        <v>197</v>
      </c>
      <c r="G67" t="s">
        <v>60</v>
      </c>
      <c r="H67">
        <v>31</v>
      </c>
      <c r="I67">
        <v>0.15833333333333299</v>
      </c>
      <c r="J67">
        <v>195.78947368421001</v>
      </c>
      <c r="K67">
        <v>117</v>
      </c>
      <c r="L67">
        <v>0.26495726495726402</v>
      </c>
      <c r="M67">
        <v>0.106623931623931</v>
      </c>
      <c r="N67">
        <v>1.6734143049932499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35">
      <c r="A68" t="s">
        <v>54</v>
      </c>
      <c r="B68">
        <v>67</v>
      </c>
      <c r="C68" t="s">
        <v>202</v>
      </c>
      <c r="D68" t="s">
        <v>203</v>
      </c>
      <c r="E68" t="s">
        <v>173</v>
      </c>
      <c r="F68" t="s">
        <v>197</v>
      </c>
      <c r="G68" t="s">
        <v>60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35">
      <c r="A69" t="s">
        <v>54</v>
      </c>
      <c r="B69">
        <v>68</v>
      </c>
      <c r="C69" t="s">
        <v>204</v>
      </c>
      <c r="D69" t="s">
        <v>205</v>
      </c>
      <c r="E69" t="s">
        <v>173</v>
      </c>
      <c r="F69" t="s">
        <v>197</v>
      </c>
      <c r="G69" t="s">
        <v>60</v>
      </c>
      <c r="H69">
        <v>68958</v>
      </c>
      <c r="I69">
        <v>222.688055555555</v>
      </c>
      <c r="J69">
        <v>309.66187130228201</v>
      </c>
      <c r="K69">
        <v>348.24861957339101</v>
      </c>
      <c r="L69">
        <v>198.01370665725599</v>
      </c>
      <c r="M69">
        <v>-24.674348898299201</v>
      </c>
      <c r="N69">
        <v>0.88919769928053605</v>
      </c>
      <c r="P69">
        <v>0</v>
      </c>
      <c r="Q69">
        <v>0</v>
      </c>
      <c r="R69">
        <v>0</v>
      </c>
      <c r="S69">
        <v>0</v>
      </c>
    </row>
    <row r="70" spans="1:19" x14ac:dyDescent="0.35">
      <c r="A70" t="s">
        <v>54</v>
      </c>
      <c r="B70">
        <v>69</v>
      </c>
      <c r="C70" t="s">
        <v>206</v>
      </c>
      <c r="D70" t="s">
        <v>207</v>
      </c>
      <c r="E70" t="s">
        <v>173</v>
      </c>
      <c r="F70" t="s">
        <v>207</v>
      </c>
      <c r="G70" t="s">
        <v>60</v>
      </c>
      <c r="H70">
        <v>75096</v>
      </c>
      <c r="I70">
        <v>14.369166666666599</v>
      </c>
      <c r="J70">
        <v>5226.1903381082102</v>
      </c>
      <c r="K70">
        <v>3465</v>
      </c>
      <c r="L70">
        <v>21.672727272727201</v>
      </c>
      <c r="M70">
        <v>7.3035606060606</v>
      </c>
      <c r="N70">
        <v>1.50828003985807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35">
      <c r="A71" t="s">
        <v>54</v>
      </c>
      <c r="B71">
        <v>70</v>
      </c>
      <c r="C71" t="s">
        <v>208</v>
      </c>
      <c r="D71" t="s">
        <v>209</v>
      </c>
      <c r="E71" t="s">
        <v>173</v>
      </c>
      <c r="F71" t="s">
        <v>209</v>
      </c>
      <c r="G71" t="s">
        <v>57</v>
      </c>
      <c r="H71">
        <v>75096</v>
      </c>
      <c r="I71">
        <v>35.343333333333298</v>
      </c>
      <c r="J71">
        <v>2124.75714420447</v>
      </c>
      <c r="K71">
        <v>1524.999996</v>
      </c>
      <c r="L71">
        <v>49.243278817687198</v>
      </c>
      <c r="M71">
        <v>13.8999454843539</v>
      </c>
      <c r="N71">
        <v>1.3932833769033399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35">
      <c r="A72" t="s">
        <v>54</v>
      </c>
      <c r="B72">
        <v>71</v>
      </c>
      <c r="C72" t="s">
        <v>210</v>
      </c>
      <c r="D72" t="s">
        <v>211</v>
      </c>
      <c r="E72" t="s">
        <v>173</v>
      </c>
      <c r="F72" t="s">
        <v>211</v>
      </c>
      <c r="G72" t="s">
        <v>57</v>
      </c>
      <c r="H72">
        <v>75096</v>
      </c>
      <c r="I72">
        <v>20.914166666666599</v>
      </c>
      <c r="J72">
        <v>3590.6761764354301</v>
      </c>
      <c r="K72">
        <v>3499.999992</v>
      </c>
      <c r="L72">
        <v>21.456000049042199</v>
      </c>
      <c r="M72">
        <v>0.54183338237561696</v>
      </c>
      <c r="N72">
        <v>1.0259074813264799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35">
      <c r="A73" t="s">
        <v>54</v>
      </c>
      <c r="B73">
        <v>72</v>
      </c>
      <c r="C73" t="s">
        <v>212</v>
      </c>
      <c r="D73" t="s">
        <v>213</v>
      </c>
      <c r="E73" t="s">
        <v>173</v>
      </c>
      <c r="F73" t="s">
        <v>214</v>
      </c>
      <c r="G73" t="s">
        <v>57</v>
      </c>
      <c r="H73">
        <v>75096</v>
      </c>
      <c r="I73">
        <v>39.384722222222202</v>
      </c>
      <c r="J73">
        <v>1906.729202666</v>
      </c>
      <c r="K73">
        <v>5000.0000040000004</v>
      </c>
      <c r="L73">
        <v>15.019199987984599</v>
      </c>
      <c r="M73">
        <v>-24.365522234237499</v>
      </c>
      <c r="N73">
        <v>0.38134584022812501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35">
      <c r="A74" t="s">
        <v>54</v>
      </c>
      <c r="B74">
        <v>73</v>
      </c>
      <c r="C74" t="s">
        <v>215</v>
      </c>
      <c r="D74" t="s">
        <v>216</v>
      </c>
      <c r="E74" t="s">
        <v>173</v>
      </c>
      <c r="F74" t="s">
        <v>170</v>
      </c>
      <c r="G74" t="s">
        <v>57</v>
      </c>
      <c r="H74">
        <v>75096</v>
      </c>
      <c r="I74">
        <v>332.699444444444</v>
      </c>
      <c r="J74">
        <v>225.717238949402</v>
      </c>
      <c r="K74">
        <v>245.88995414406</v>
      </c>
      <c r="L74">
        <v>305.40491278469699</v>
      </c>
      <c r="M74">
        <v>-27.2945316597466</v>
      </c>
      <c r="N74">
        <v>0.917960393034848</v>
      </c>
      <c r="P74">
        <v>0</v>
      </c>
      <c r="Q74">
        <v>0</v>
      </c>
      <c r="R74">
        <v>0</v>
      </c>
      <c r="S74">
        <v>0</v>
      </c>
    </row>
    <row r="75" spans="1:19" x14ac:dyDescent="0.35">
      <c r="A75" t="s">
        <v>54</v>
      </c>
      <c r="B75">
        <v>74</v>
      </c>
      <c r="C75" t="s">
        <v>217</v>
      </c>
      <c r="D75" t="s">
        <v>218</v>
      </c>
      <c r="E75" t="s">
        <v>219</v>
      </c>
      <c r="F75" t="s">
        <v>9</v>
      </c>
      <c r="G75" t="s">
        <v>60</v>
      </c>
      <c r="H75">
        <v>56</v>
      </c>
      <c r="I75">
        <v>4.8611111111111098E-2</v>
      </c>
      <c r="J75">
        <v>1152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 x14ac:dyDescent="0.35">
      <c r="A76" t="s">
        <v>54</v>
      </c>
      <c r="B76">
        <v>75</v>
      </c>
      <c r="C76" t="s">
        <v>220</v>
      </c>
      <c r="D76" t="s">
        <v>221</v>
      </c>
      <c r="E76" t="s">
        <v>219</v>
      </c>
      <c r="F76" t="s">
        <v>9</v>
      </c>
      <c r="G76" t="s">
        <v>60</v>
      </c>
      <c r="H76">
        <v>196</v>
      </c>
      <c r="I76">
        <v>2.45138888888888</v>
      </c>
      <c r="J76">
        <v>79.954674220963099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 x14ac:dyDescent="0.35">
      <c r="A77" t="s">
        <v>54</v>
      </c>
      <c r="B77">
        <v>76</v>
      </c>
      <c r="C77" t="s">
        <v>222</v>
      </c>
      <c r="D77" t="s">
        <v>223</v>
      </c>
      <c r="E77" t="s">
        <v>219</v>
      </c>
      <c r="F77" t="s">
        <v>9</v>
      </c>
      <c r="G77" t="s">
        <v>60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35">
      <c r="A78" t="s">
        <v>54</v>
      </c>
      <c r="B78">
        <v>77</v>
      </c>
      <c r="C78" t="s">
        <v>224</v>
      </c>
      <c r="D78" t="s">
        <v>225</v>
      </c>
      <c r="E78" t="s">
        <v>219</v>
      </c>
      <c r="F78" t="s">
        <v>9</v>
      </c>
      <c r="G78" t="s">
        <v>60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35">
      <c r="A79" t="s">
        <v>54</v>
      </c>
      <c r="B79">
        <v>78</v>
      </c>
      <c r="C79" t="s">
        <v>226</v>
      </c>
      <c r="D79" t="s">
        <v>227</v>
      </c>
      <c r="E79" t="s">
        <v>219</v>
      </c>
      <c r="F79" t="s">
        <v>9</v>
      </c>
      <c r="G79" t="s">
        <v>60</v>
      </c>
      <c r="H79">
        <v>252</v>
      </c>
      <c r="I79">
        <v>2.5</v>
      </c>
      <c r="J79">
        <v>100.8</v>
      </c>
      <c r="K79">
        <v>0</v>
      </c>
      <c r="L79">
        <v>0</v>
      </c>
      <c r="M79">
        <v>-2.5</v>
      </c>
      <c r="N79">
        <v>0</v>
      </c>
      <c r="P79">
        <v>0</v>
      </c>
      <c r="Q79">
        <v>0</v>
      </c>
      <c r="R79">
        <v>0</v>
      </c>
      <c r="S79">
        <v>0</v>
      </c>
    </row>
    <row r="80" spans="1:19" x14ac:dyDescent="0.35">
      <c r="A80" t="s">
        <v>54</v>
      </c>
      <c r="B80">
        <v>79</v>
      </c>
      <c r="C80" t="s">
        <v>228</v>
      </c>
      <c r="D80" t="s">
        <v>229</v>
      </c>
      <c r="E80" t="s">
        <v>219</v>
      </c>
      <c r="F80" t="s">
        <v>9</v>
      </c>
      <c r="G80" t="s">
        <v>57</v>
      </c>
      <c r="H80">
        <v>69210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35">
      <c r="A81" t="s">
        <v>54</v>
      </c>
      <c r="B81">
        <v>80</v>
      </c>
      <c r="C81" t="s">
        <v>230</v>
      </c>
      <c r="D81" t="s">
        <v>231</v>
      </c>
      <c r="E81" t="s">
        <v>219</v>
      </c>
      <c r="F81" t="s">
        <v>9</v>
      </c>
      <c r="G81" t="s">
        <v>57</v>
      </c>
      <c r="H81">
        <v>252</v>
      </c>
      <c r="I81">
        <v>2.5</v>
      </c>
      <c r="J81">
        <v>100.8</v>
      </c>
      <c r="K81">
        <v>0</v>
      </c>
      <c r="L81">
        <v>0</v>
      </c>
      <c r="M81">
        <v>-2.5</v>
      </c>
      <c r="N81">
        <v>0</v>
      </c>
      <c r="P81">
        <v>0</v>
      </c>
      <c r="Q81">
        <v>0</v>
      </c>
      <c r="R81">
        <v>0</v>
      </c>
      <c r="S81">
        <v>0</v>
      </c>
    </row>
    <row r="82" spans="1:19" x14ac:dyDescent="0.35">
      <c r="A82" t="s">
        <v>54</v>
      </c>
      <c r="B82">
        <v>81</v>
      </c>
      <c r="C82" t="s">
        <v>232</v>
      </c>
      <c r="D82" t="s">
        <v>233</v>
      </c>
      <c r="E82" t="s">
        <v>219</v>
      </c>
      <c r="F82" t="s">
        <v>234</v>
      </c>
      <c r="G82" t="s">
        <v>60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35">
      <c r="A83" t="s">
        <v>54</v>
      </c>
      <c r="B83">
        <v>82</v>
      </c>
      <c r="C83" t="s">
        <v>235</v>
      </c>
      <c r="D83" t="s">
        <v>236</v>
      </c>
      <c r="E83" t="s">
        <v>219</v>
      </c>
      <c r="F83" t="s">
        <v>234</v>
      </c>
      <c r="G83" t="s">
        <v>60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35">
      <c r="A84" t="s">
        <v>54</v>
      </c>
      <c r="B84">
        <v>83</v>
      </c>
      <c r="C84" t="s">
        <v>237</v>
      </c>
      <c r="D84" t="s">
        <v>238</v>
      </c>
      <c r="E84" t="s">
        <v>219</v>
      </c>
      <c r="F84" t="s">
        <v>234</v>
      </c>
      <c r="G84" t="s">
        <v>60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x14ac:dyDescent="0.35">
      <c r="A85" t="s">
        <v>54</v>
      </c>
      <c r="B85">
        <v>84</v>
      </c>
      <c r="C85" t="s">
        <v>239</v>
      </c>
      <c r="D85" t="s">
        <v>240</v>
      </c>
      <c r="E85" t="s">
        <v>219</v>
      </c>
      <c r="F85" t="s">
        <v>234</v>
      </c>
      <c r="G85" t="s">
        <v>60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1:19" x14ac:dyDescent="0.35">
      <c r="A86" t="s">
        <v>54</v>
      </c>
      <c r="B86">
        <v>85</v>
      </c>
      <c r="C86" t="s">
        <v>241</v>
      </c>
      <c r="D86" t="s">
        <v>242</v>
      </c>
      <c r="E86" t="s">
        <v>219</v>
      </c>
      <c r="F86" t="s">
        <v>234</v>
      </c>
      <c r="G86" t="s">
        <v>60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P86">
        <v>0</v>
      </c>
      <c r="Q86">
        <v>0</v>
      </c>
      <c r="R86">
        <v>0</v>
      </c>
      <c r="S86">
        <v>0</v>
      </c>
    </row>
    <row r="87" spans="1:19" x14ac:dyDescent="0.35">
      <c r="A87" t="s">
        <v>54</v>
      </c>
      <c r="B87">
        <v>86</v>
      </c>
      <c r="C87" t="s">
        <v>243</v>
      </c>
      <c r="D87" t="s">
        <v>244</v>
      </c>
      <c r="E87" t="s">
        <v>219</v>
      </c>
      <c r="F87" t="s">
        <v>234</v>
      </c>
      <c r="G87" t="s">
        <v>60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1:19" x14ac:dyDescent="0.35">
      <c r="A88" t="s">
        <v>54</v>
      </c>
      <c r="B88">
        <v>87</v>
      </c>
      <c r="C88" t="s">
        <v>245</v>
      </c>
      <c r="D88" t="s">
        <v>246</v>
      </c>
      <c r="E88" t="s">
        <v>219</v>
      </c>
      <c r="F88" t="s">
        <v>234</v>
      </c>
      <c r="G88" t="s">
        <v>60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1:19" x14ac:dyDescent="0.35">
      <c r="A89" t="s">
        <v>54</v>
      </c>
      <c r="B89">
        <v>88</v>
      </c>
      <c r="C89" t="s">
        <v>247</v>
      </c>
      <c r="D89" t="s">
        <v>248</v>
      </c>
      <c r="E89" t="s">
        <v>219</v>
      </c>
      <c r="F89" t="s">
        <v>234</v>
      </c>
      <c r="G89" t="s">
        <v>60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1:19" x14ac:dyDescent="0.35">
      <c r="A90" t="s">
        <v>54</v>
      </c>
      <c r="B90">
        <v>89</v>
      </c>
      <c r="C90" t="s">
        <v>249</v>
      </c>
      <c r="D90" t="s">
        <v>250</v>
      </c>
      <c r="E90" t="s">
        <v>219</v>
      </c>
      <c r="F90" t="s">
        <v>234</v>
      </c>
      <c r="G90" t="s">
        <v>60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1:19" x14ac:dyDescent="0.35">
      <c r="A91" t="s">
        <v>54</v>
      </c>
      <c r="B91">
        <v>90</v>
      </c>
      <c r="C91" t="s">
        <v>251</v>
      </c>
      <c r="D91" t="s">
        <v>252</v>
      </c>
      <c r="E91" t="s">
        <v>219</v>
      </c>
      <c r="F91" t="s">
        <v>234</v>
      </c>
      <c r="G91" t="s">
        <v>60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P91">
        <v>0</v>
      </c>
      <c r="Q91">
        <v>0</v>
      </c>
      <c r="R91">
        <v>0</v>
      </c>
      <c r="S91">
        <v>0</v>
      </c>
    </row>
    <row r="92" spans="1:19" x14ac:dyDescent="0.35">
      <c r="A92" t="s">
        <v>54</v>
      </c>
      <c r="B92">
        <v>91</v>
      </c>
      <c r="C92" t="s">
        <v>253</v>
      </c>
      <c r="D92" t="s">
        <v>254</v>
      </c>
      <c r="E92" t="s">
        <v>219</v>
      </c>
      <c r="F92" t="s">
        <v>234</v>
      </c>
      <c r="G92" t="s">
        <v>57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1:19" x14ac:dyDescent="0.35">
      <c r="A93" t="s">
        <v>54</v>
      </c>
      <c r="B93">
        <v>92</v>
      </c>
      <c r="C93" t="s">
        <v>255</v>
      </c>
      <c r="D93" t="s">
        <v>256</v>
      </c>
      <c r="E93" t="s">
        <v>219</v>
      </c>
      <c r="F93" t="s">
        <v>234</v>
      </c>
      <c r="G93" t="s">
        <v>60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P93">
        <v>0</v>
      </c>
      <c r="Q93">
        <v>0</v>
      </c>
      <c r="R93">
        <v>0</v>
      </c>
      <c r="S93">
        <v>0</v>
      </c>
    </row>
    <row r="94" spans="1:19" x14ac:dyDescent="0.35">
      <c r="A94" t="s">
        <v>54</v>
      </c>
      <c r="B94">
        <v>93</v>
      </c>
      <c r="C94" t="s">
        <v>257</v>
      </c>
      <c r="D94" t="s">
        <v>258</v>
      </c>
      <c r="E94" t="s">
        <v>219</v>
      </c>
      <c r="F94" t="s">
        <v>259</v>
      </c>
      <c r="G94" t="s">
        <v>60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1:19" x14ac:dyDescent="0.35">
      <c r="A95" t="s">
        <v>54</v>
      </c>
      <c r="B95">
        <v>94</v>
      </c>
      <c r="C95" t="s">
        <v>260</v>
      </c>
      <c r="D95" t="s">
        <v>261</v>
      </c>
      <c r="E95" t="s">
        <v>219</v>
      </c>
      <c r="F95" t="s">
        <v>259</v>
      </c>
      <c r="G95" t="s">
        <v>60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1:19" x14ac:dyDescent="0.35">
      <c r="A96" t="s">
        <v>54</v>
      </c>
      <c r="B96">
        <v>95</v>
      </c>
      <c r="C96" t="s">
        <v>262</v>
      </c>
      <c r="D96" t="s">
        <v>263</v>
      </c>
      <c r="E96" t="s">
        <v>219</v>
      </c>
      <c r="F96" t="s">
        <v>259</v>
      </c>
      <c r="G96" t="s">
        <v>60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 x14ac:dyDescent="0.35">
      <c r="A97" t="s">
        <v>54</v>
      </c>
      <c r="B97">
        <v>96</v>
      </c>
      <c r="C97" t="s">
        <v>264</v>
      </c>
      <c r="D97" t="s">
        <v>265</v>
      </c>
      <c r="E97" t="s">
        <v>219</v>
      </c>
      <c r="F97" t="s">
        <v>259</v>
      </c>
      <c r="G97" t="s">
        <v>60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1:19" x14ac:dyDescent="0.35">
      <c r="A98" t="s">
        <v>54</v>
      </c>
      <c r="B98">
        <v>97</v>
      </c>
      <c r="C98" t="s">
        <v>266</v>
      </c>
      <c r="D98" t="s">
        <v>267</v>
      </c>
      <c r="E98" t="s">
        <v>219</v>
      </c>
      <c r="F98" t="s">
        <v>259</v>
      </c>
      <c r="G98" t="s">
        <v>60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P98">
        <v>0</v>
      </c>
      <c r="Q98">
        <v>0</v>
      </c>
      <c r="R98">
        <v>0</v>
      </c>
      <c r="S98">
        <v>0</v>
      </c>
    </row>
    <row r="99" spans="1:19" x14ac:dyDescent="0.35">
      <c r="A99" t="s">
        <v>54</v>
      </c>
      <c r="B99">
        <v>98</v>
      </c>
      <c r="C99" t="s">
        <v>268</v>
      </c>
      <c r="D99" t="s">
        <v>269</v>
      </c>
      <c r="E99" t="s">
        <v>219</v>
      </c>
      <c r="F99" t="s">
        <v>259</v>
      </c>
      <c r="G99" t="s">
        <v>270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 x14ac:dyDescent="0.35">
      <c r="A100" t="s">
        <v>54</v>
      </c>
      <c r="B100">
        <v>99</v>
      </c>
      <c r="C100" t="s">
        <v>271</v>
      </c>
      <c r="D100" t="s">
        <v>272</v>
      </c>
      <c r="E100" t="s">
        <v>219</v>
      </c>
      <c r="F100" t="s">
        <v>259</v>
      </c>
      <c r="G100" t="s">
        <v>60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1:19" x14ac:dyDescent="0.35">
      <c r="A101" t="s">
        <v>54</v>
      </c>
      <c r="B101">
        <v>100</v>
      </c>
      <c r="C101" t="s">
        <v>273</v>
      </c>
      <c r="D101" t="s">
        <v>274</v>
      </c>
      <c r="E101" t="s">
        <v>219</v>
      </c>
      <c r="F101" t="s">
        <v>259</v>
      </c>
      <c r="G101" t="s">
        <v>60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1:19" x14ac:dyDescent="0.35">
      <c r="A102" t="s">
        <v>54</v>
      </c>
      <c r="B102">
        <v>101</v>
      </c>
      <c r="C102" t="s">
        <v>275</v>
      </c>
      <c r="D102" t="s">
        <v>276</v>
      </c>
      <c r="E102" t="s">
        <v>219</v>
      </c>
      <c r="F102" t="s">
        <v>259</v>
      </c>
      <c r="G102" t="s">
        <v>60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1:19" x14ac:dyDescent="0.35">
      <c r="A103" t="s">
        <v>54</v>
      </c>
      <c r="B103">
        <v>102</v>
      </c>
      <c r="C103" t="s">
        <v>277</v>
      </c>
      <c r="D103" t="s">
        <v>278</v>
      </c>
      <c r="E103" t="s">
        <v>219</v>
      </c>
      <c r="F103" t="s">
        <v>259</v>
      </c>
      <c r="G103" t="s">
        <v>60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1:19" x14ac:dyDescent="0.35">
      <c r="A104" t="s">
        <v>54</v>
      </c>
      <c r="B104">
        <v>103</v>
      </c>
      <c r="C104" t="s">
        <v>279</v>
      </c>
      <c r="D104" t="s">
        <v>280</v>
      </c>
      <c r="E104" t="s">
        <v>219</v>
      </c>
      <c r="F104" t="s">
        <v>259</v>
      </c>
      <c r="G104" t="s">
        <v>60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1:19" x14ac:dyDescent="0.35">
      <c r="A105" t="s">
        <v>54</v>
      </c>
      <c r="B105">
        <v>104</v>
      </c>
      <c r="C105" t="s">
        <v>281</v>
      </c>
      <c r="D105" t="s">
        <v>282</v>
      </c>
      <c r="E105" t="s">
        <v>219</v>
      </c>
      <c r="F105" t="s">
        <v>259</v>
      </c>
      <c r="G105" t="s">
        <v>60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1:19" x14ac:dyDescent="0.35">
      <c r="A106" t="s">
        <v>54</v>
      </c>
      <c r="B106">
        <v>105</v>
      </c>
      <c r="C106" t="s">
        <v>283</v>
      </c>
      <c r="D106" t="s">
        <v>284</v>
      </c>
      <c r="E106" t="s">
        <v>219</v>
      </c>
      <c r="F106" t="s">
        <v>259</v>
      </c>
      <c r="G106" t="s">
        <v>60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P106">
        <v>0</v>
      </c>
      <c r="Q106">
        <v>0</v>
      </c>
      <c r="R106">
        <v>0</v>
      </c>
      <c r="S106">
        <v>0</v>
      </c>
    </row>
    <row r="107" spans="1:19" x14ac:dyDescent="0.35">
      <c r="A107" t="s">
        <v>54</v>
      </c>
      <c r="B107">
        <v>106</v>
      </c>
      <c r="C107" t="s">
        <v>285</v>
      </c>
      <c r="D107" t="s">
        <v>286</v>
      </c>
      <c r="E107" t="s">
        <v>219</v>
      </c>
      <c r="F107" t="s">
        <v>259</v>
      </c>
      <c r="G107" t="s">
        <v>60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1:19" x14ac:dyDescent="0.35">
      <c r="A108" t="s">
        <v>54</v>
      </c>
      <c r="B108">
        <v>107</v>
      </c>
      <c r="C108" t="s">
        <v>287</v>
      </c>
      <c r="D108" t="s">
        <v>288</v>
      </c>
      <c r="E108" t="s">
        <v>219</v>
      </c>
      <c r="F108" t="s">
        <v>259</v>
      </c>
      <c r="G108" t="s">
        <v>60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1:19" x14ac:dyDescent="0.35">
      <c r="A109" t="s">
        <v>54</v>
      </c>
      <c r="B109">
        <v>108</v>
      </c>
      <c r="C109" t="s">
        <v>289</v>
      </c>
      <c r="D109" t="s">
        <v>290</v>
      </c>
      <c r="E109" t="s">
        <v>219</v>
      </c>
      <c r="F109" t="s">
        <v>259</v>
      </c>
      <c r="G109" t="s">
        <v>60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1:19" x14ac:dyDescent="0.35">
      <c r="A110" t="s">
        <v>54</v>
      </c>
      <c r="B110">
        <v>109</v>
      </c>
      <c r="C110" t="s">
        <v>291</v>
      </c>
      <c r="D110" t="s">
        <v>292</v>
      </c>
      <c r="E110" t="s">
        <v>219</v>
      </c>
      <c r="F110" t="s">
        <v>259</v>
      </c>
      <c r="G110" t="s">
        <v>60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1:19" x14ac:dyDescent="0.35">
      <c r="A111" t="s">
        <v>54</v>
      </c>
      <c r="B111">
        <v>110</v>
      </c>
      <c r="C111" t="s">
        <v>293</v>
      </c>
      <c r="D111" t="s">
        <v>294</v>
      </c>
      <c r="E111" t="s">
        <v>219</v>
      </c>
      <c r="F111" t="s">
        <v>259</v>
      </c>
      <c r="G111" t="s">
        <v>60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P111">
        <v>0</v>
      </c>
      <c r="Q111">
        <v>0</v>
      </c>
      <c r="R111">
        <v>0</v>
      </c>
      <c r="S111">
        <v>0</v>
      </c>
    </row>
    <row r="112" spans="1:19" x14ac:dyDescent="0.35">
      <c r="A112" t="s">
        <v>54</v>
      </c>
      <c r="B112">
        <v>111</v>
      </c>
      <c r="C112" t="s">
        <v>295</v>
      </c>
      <c r="D112" t="s">
        <v>296</v>
      </c>
      <c r="E112" t="s">
        <v>219</v>
      </c>
      <c r="F112" t="s">
        <v>259</v>
      </c>
      <c r="G112" t="s">
        <v>57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1:19" x14ac:dyDescent="0.35">
      <c r="A113" t="s">
        <v>54</v>
      </c>
      <c r="B113">
        <v>112</v>
      </c>
      <c r="C113" t="s">
        <v>297</v>
      </c>
      <c r="D113" t="s">
        <v>298</v>
      </c>
      <c r="E113" t="s">
        <v>219</v>
      </c>
      <c r="F113" t="s">
        <v>299</v>
      </c>
      <c r="G113" t="s">
        <v>60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1:19" x14ac:dyDescent="0.35">
      <c r="A114" t="s">
        <v>54</v>
      </c>
      <c r="B114">
        <v>113</v>
      </c>
      <c r="C114" t="s">
        <v>300</v>
      </c>
      <c r="D114" t="s">
        <v>301</v>
      </c>
      <c r="E114" t="s">
        <v>219</v>
      </c>
      <c r="F114" t="s">
        <v>299</v>
      </c>
      <c r="G114" t="s">
        <v>60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1:19" x14ac:dyDescent="0.35">
      <c r="A115" t="s">
        <v>54</v>
      </c>
      <c r="B115">
        <v>114</v>
      </c>
      <c r="C115" t="s">
        <v>302</v>
      </c>
      <c r="D115" t="s">
        <v>303</v>
      </c>
      <c r="E115" t="s">
        <v>219</v>
      </c>
      <c r="F115" t="s">
        <v>299</v>
      </c>
      <c r="G115" t="s">
        <v>60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1:19" x14ac:dyDescent="0.35">
      <c r="A116" t="s">
        <v>54</v>
      </c>
      <c r="B116">
        <v>115</v>
      </c>
      <c r="C116" t="s">
        <v>304</v>
      </c>
      <c r="D116" t="s">
        <v>305</v>
      </c>
      <c r="E116" t="s">
        <v>219</v>
      </c>
      <c r="F116" t="s">
        <v>299</v>
      </c>
      <c r="G116" t="s">
        <v>60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1:19" x14ac:dyDescent="0.35">
      <c r="A117" t="s">
        <v>54</v>
      </c>
      <c r="B117">
        <v>116</v>
      </c>
      <c r="C117" t="s">
        <v>306</v>
      </c>
      <c r="D117" t="s">
        <v>307</v>
      </c>
      <c r="E117" t="s">
        <v>219</v>
      </c>
      <c r="F117" t="s">
        <v>299</v>
      </c>
      <c r="G117" t="s">
        <v>60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P117">
        <v>0</v>
      </c>
      <c r="Q117">
        <v>0</v>
      </c>
      <c r="R117">
        <v>0</v>
      </c>
      <c r="S117">
        <v>0</v>
      </c>
    </row>
    <row r="118" spans="1:19" x14ac:dyDescent="0.35">
      <c r="A118" t="s">
        <v>54</v>
      </c>
      <c r="B118">
        <v>117</v>
      </c>
      <c r="C118" t="s">
        <v>308</v>
      </c>
      <c r="D118" t="s">
        <v>309</v>
      </c>
      <c r="E118" t="s">
        <v>219</v>
      </c>
      <c r="F118" t="s">
        <v>309</v>
      </c>
      <c r="G118" t="s">
        <v>60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1:19" x14ac:dyDescent="0.35">
      <c r="A119" t="s">
        <v>54</v>
      </c>
      <c r="B119">
        <v>118</v>
      </c>
      <c r="C119" t="s">
        <v>310</v>
      </c>
      <c r="D119" t="s">
        <v>311</v>
      </c>
      <c r="E119" t="s">
        <v>219</v>
      </c>
      <c r="F119" t="s">
        <v>312</v>
      </c>
      <c r="G119" t="s">
        <v>60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1:19" x14ac:dyDescent="0.35">
      <c r="A120" t="s">
        <v>54</v>
      </c>
      <c r="B120">
        <v>119</v>
      </c>
      <c r="C120" t="s">
        <v>313</v>
      </c>
      <c r="D120" t="s">
        <v>314</v>
      </c>
      <c r="E120" t="s">
        <v>219</v>
      </c>
      <c r="F120" t="s">
        <v>315</v>
      </c>
      <c r="G120" t="s">
        <v>60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</row>
    <row r="121" spans="1:19" x14ac:dyDescent="0.35">
      <c r="A121" t="s">
        <v>54</v>
      </c>
      <c r="B121">
        <v>120</v>
      </c>
      <c r="C121" t="s">
        <v>316</v>
      </c>
      <c r="D121" t="s">
        <v>317</v>
      </c>
      <c r="E121" t="s">
        <v>219</v>
      </c>
      <c r="F121" t="s">
        <v>170</v>
      </c>
      <c r="G121" t="s">
        <v>60</v>
      </c>
      <c r="H121">
        <v>0</v>
      </c>
      <c r="I121">
        <v>2.5</v>
      </c>
      <c r="J121">
        <v>0</v>
      </c>
      <c r="K121">
        <v>0</v>
      </c>
      <c r="L121">
        <v>0</v>
      </c>
      <c r="M121">
        <v>-2.5</v>
      </c>
      <c r="N121">
        <v>0</v>
      </c>
      <c r="P121">
        <v>0</v>
      </c>
      <c r="Q121">
        <v>0</v>
      </c>
      <c r="R121">
        <v>0</v>
      </c>
      <c r="S121">
        <v>0</v>
      </c>
    </row>
    <row r="122" spans="1:19" x14ac:dyDescent="0.35">
      <c r="A122" t="s">
        <v>54</v>
      </c>
      <c r="B122">
        <v>121</v>
      </c>
      <c r="C122" t="s">
        <v>318</v>
      </c>
      <c r="D122" t="s">
        <v>319</v>
      </c>
      <c r="E122" t="s">
        <v>320</v>
      </c>
      <c r="F122" t="s">
        <v>321</v>
      </c>
      <c r="G122" t="s">
        <v>60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1:19" x14ac:dyDescent="0.35">
      <c r="A123" t="s">
        <v>54</v>
      </c>
      <c r="B123">
        <v>122</v>
      </c>
      <c r="C123" t="s">
        <v>322</v>
      </c>
      <c r="D123" t="s">
        <v>323</v>
      </c>
      <c r="E123" t="s">
        <v>320</v>
      </c>
      <c r="F123" t="s">
        <v>321</v>
      </c>
      <c r="G123" t="s">
        <v>60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1:19" x14ac:dyDescent="0.35">
      <c r="A124" t="s">
        <v>54</v>
      </c>
      <c r="B124">
        <v>123</v>
      </c>
      <c r="C124" t="s">
        <v>324</v>
      </c>
      <c r="D124" t="s">
        <v>325</v>
      </c>
      <c r="E124" t="s">
        <v>320</v>
      </c>
      <c r="F124" t="s">
        <v>321</v>
      </c>
      <c r="G124" t="s">
        <v>60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1:19" x14ac:dyDescent="0.35">
      <c r="A125" t="s">
        <v>54</v>
      </c>
      <c r="B125">
        <v>124</v>
      </c>
      <c r="C125" t="s">
        <v>326</v>
      </c>
      <c r="D125" t="s">
        <v>327</v>
      </c>
      <c r="E125" t="s">
        <v>320</v>
      </c>
      <c r="F125" t="s">
        <v>321</v>
      </c>
      <c r="G125" t="s">
        <v>60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1:19" x14ac:dyDescent="0.35">
      <c r="A126" t="s">
        <v>54</v>
      </c>
      <c r="B126">
        <v>125</v>
      </c>
      <c r="C126" t="s">
        <v>328</v>
      </c>
      <c r="D126" t="s">
        <v>329</v>
      </c>
      <c r="E126" t="s">
        <v>320</v>
      </c>
      <c r="F126" t="s">
        <v>321</v>
      </c>
      <c r="G126" t="s">
        <v>57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P126">
        <v>0</v>
      </c>
      <c r="Q126">
        <v>0</v>
      </c>
      <c r="R126">
        <v>0</v>
      </c>
      <c r="S126">
        <v>0</v>
      </c>
    </row>
    <row r="127" spans="1:19" x14ac:dyDescent="0.35">
      <c r="A127" t="s">
        <v>54</v>
      </c>
      <c r="B127">
        <v>126</v>
      </c>
      <c r="C127" t="s">
        <v>330</v>
      </c>
      <c r="D127" t="s">
        <v>331</v>
      </c>
      <c r="E127" t="s">
        <v>320</v>
      </c>
      <c r="F127" t="s">
        <v>321</v>
      </c>
      <c r="G127" t="s">
        <v>60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</row>
    <row r="128" spans="1:19" x14ac:dyDescent="0.35">
      <c r="A128" t="s">
        <v>54</v>
      </c>
      <c r="B128">
        <v>127</v>
      </c>
      <c r="C128" t="s">
        <v>332</v>
      </c>
      <c r="D128" t="s">
        <v>333</v>
      </c>
      <c r="E128" t="s">
        <v>320</v>
      </c>
      <c r="F128" t="s">
        <v>321</v>
      </c>
      <c r="G128" t="s">
        <v>60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1:19" x14ac:dyDescent="0.35">
      <c r="A129" t="s">
        <v>54</v>
      </c>
      <c r="B129">
        <v>128</v>
      </c>
      <c r="C129" t="s">
        <v>334</v>
      </c>
      <c r="D129" t="s">
        <v>335</v>
      </c>
      <c r="E129" t="s">
        <v>320</v>
      </c>
      <c r="F129" t="s">
        <v>321</v>
      </c>
      <c r="G129" t="s">
        <v>60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1:19" x14ac:dyDescent="0.35">
      <c r="A130" t="s">
        <v>54</v>
      </c>
      <c r="B130">
        <v>129</v>
      </c>
      <c r="C130" t="s">
        <v>336</v>
      </c>
      <c r="D130" t="s">
        <v>337</v>
      </c>
      <c r="E130" t="s">
        <v>320</v>
      </c>
      <c r="F130" t="s">
        <v>321</v>
      </c>
      <c r="G130" t="s">
        <v>60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1:19" x14ac:dyDescent="0.35">
      <c r="A131" t="s">
        <v>54</v>
      </c>
      <c r="B131">
        <v>130</v>
      </c>
      <c r="C131" t="s">
        <v>338</v>
      </c>
      <c r="D131" t="s">
        <v>339</v>
      </c>
      <c r="E131" t="s">
        <v>320</v>
      </c>
      <c r="F131" t="s">
        <v>321</v>
      </c>
      <c r="G131" t="s">
        <v>57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P131">
        <v>0</v>
      </c>
      <c r="Q131">
        <v>0</v>
      </c>
      <c r="R131">
        <v>0</v>
      </c>
      <c r="S131">
        <v>0</v>
      </c>
    </row>
    <row r="132" spans="1:19" x14ac:dyDescent="0.35">
      <c r="A132" t="s">
        <v>54</v>
      </c>
      <c r="B132">
        <v>131</v>
      </c>
      <c r="C132" t="s">
        <v>340</v>
      </c>
      <c r="D132" t="s">
        <v>341</v>
      </c>
      <c r="E132" t="s">
        <v>320</v>
      </c>
      <c r="F132" t="s">
        <v>321</v>
      </c>
      <c r="G132" t="s">
        <v>57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1:19" x14ac:dyDescent="0.35">
      <c r="A133" t="s">
        <v>54</v>
      </c>
      <c r="B133">
        <v>132</v>
      </c>
      <c r="C133" t="s">
        <v>342</v>
      </c>
      <c r="D133" t="s">
        <v>343</v>
      </c>
      <c r="E133" t="s">
        <v>320</v>
      </c>
      <c r="F133" t="s">
        <v>321</v>
      </c>
      <c r="G133" t="s">
        <v>57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P133">
        <v>0</v>
      </c>
      <c r="Q133">
        <v>0</v>
      </c>
      <c r="R133">
        <v>0</v>
      </c>
      <c r="S133">
        <v>0</v>
      </c>
    </row>
    <row r="134" spans="1:19" x14ac:dyDescent="0.35">
      <c r="A134" t="s">
        <v>54</v>
      </c>
      <c r="B134">
        <v>133</v>
      </c>
      <c r="C134" t="s">
        <v>344</v>
      </c>
      <c r="D134" t="s">
        <v>345</v>
      </c>
      <c r="E134" t="s">
        <v>320</v>
      </c>
      <c r="F134" t="s">
        <v>346</v>
      </c>
      <c r="G134" t="s">
        <v>60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</row>
    <row r="135" spans="1:19" x14ac:dyDescent="0.35">
      <c r="A135" t="s">
        <v>54</v>
      </c>
      <c r="B135">
        <v>134</v>
      </c>
      <c r="C135" t="s">
        <v>347</v>
      </c>
      <c r="D135" t="s">
        <v>348</v>
      </c>
      <c r="E135" t="s">
        <v>320</v>
      </c>
      <c r="F135" t="s">
        <v>346</v>
      </c>
      <c r="G135" t="s">
        <v>60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1:19" x14ac:dyDescent="0.35">
      <c r="A136" t="s">
        <v>54</v>
      </c>
      <c r="B136">
        <v>135</v>
      </c>
      <c r="C136" t="s">
        <v>349</v>
      </c>
      <c r="D136" t="s">
        <v>350</v>
      </c>
      <c r="E136" t="s">
        <v>320</v>
      </c>
      <c r="F136" t="s">
        <v>346</v>
      </c>
      <c r="G136" t="s">
        <v>60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1:19" x14ac:dyDescent="0.35">
      <c r="A137" t="s">
        <v>54</v>
      </c>
      <c r="B137">
        <v>136</v>
      </c>
      <c r="C137" t="s">
        <v>351</v>
      </c>
      <c r="D137" t="s">
        <v>352</v>
      </c>
      <c r="E137" t="s">
        <v>320</v>
      </c>
      <c r="F137" t="s">
        <v>346</v>
      </c>
      <c r="G137" t="s">
        <v>60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1:19" x14ac:dyDescent="0.35">
      <c r="A138" t="s">
        <v>54</v>
      </c>
      <c r="B138">
        <v>137</v>
      </c>
      <c r="C138" t="s">
        <v>353</v>
      </c>
      <c r="D138" t="s">
        <v>354</v>
      </c>
      <c r="E138" t="s">
        <v>320</v>
      </c>
      <c r="F138" t="s">
        <v>346</v>
      </c>
      <c r="G138" t="s">
        <v>60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P138">
        <v>0</v>
      </c>
      <c r="Q138">
        <v>0</v>
      </c>
      <c r="R138">
        <v>0</v>
      </c>
      <c r="S138">
        <v>0</v>
      </c>
    </row>
    <row r="139" spans="1:19" x14ac:dyDescent="0.35">
      <c r="A139" t="s">
        <v>54</v>
      </c>
      <c r="B139">
        <v>138</v>
      </c>
      <c r="C139" t="s">
        <v>355</v>
      </c>
      <c r="D139" t="s">
        <v>356</v>
      </c>
      <c r="E139" t="s">
        <v>320</v>
      </c>
      <c r="F139" t="s">
        <v>346</v>
      </c>
      <c r="G139" t="s">
        <v>60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1:19" x14ac:dyDescent="0.35">
      <c r="A140" t="s">
        <v>54</v>
      </c>
      <c r="B140">
        <v>139</v>
      </c>
      <c r="C140" t="s">
        <v>357</v>
      </c>
      <c r="D140" t="s">
        <v>358</v>
      </c>
      <c r="E140" t="s">
        <v>320</v>
      </c>
      <c r="F140" t="s">
        <v>346</v>
      </c>
      <c r="G140" t="s">
        <v>60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1:19" x14ac:dyDescent="0.35">
      <c r="A141" t="s">
        <v>54</v>
      </c>
      <c r="B141">
        <v>140</v>
      </c>
      <c r="C141" t="s">
        <v>359</v>
      </c>
      <c r="D141" t="s">
        <v>360</v>
      </c>
      <c r="E141" t="s">
        <v>320</v>
      </c>
      <c r="F141" t="s">
        <v>346</v>
      </c>
      <c r="G141" t="s">
        <v>60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1:19" x14ac:dyDescent="0.35">
      <c r="A142" t="s">
        <v>54</v>
      </c>
      <c r="B142">
        <v>141</v>
      </c>
      <c r="C142" t="s">
        <v>361</v>
      </c>
      <c r="D142" t="s">
        <v>362</v>
      </c>
      <c r="E142" t="s">
        <v>320</v>
      </c>
      <c r="F142" t="s">
        <v>346</v>
      </c>
      <c r="G142" t="s">
        <v>60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</row>
    <row r="143" spans="1:19" x14ac:dyDescent="0.35">
      <c r="A143" t="s">
        <v>54</v>
      </c>
      <c r="B143">
        <v>142</v>
      </c>
      <c r="C143" t="s">
        <v>363</v>
      </c>
      <c r="D143" t="s">
        <v>364</v>
      </c>
      <c r="E143" t="s">
        <v>320</v>
      </c>
      <c r="F143" t="s">
        <v>346</v>
      </c>
      <c r="G143" t="s">
        <v>60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P143">
        <v>0</v>
      </c>
      <c r="Q143">
        <v>0</v>
      </c>
      <c r="R143">
        <v>0</v>
      </c>
      <c r="S143">
        <v>0</v>
      </c>
    </row>
    <row r="144" spans="1:19" x14ac:dyDescent="0.35">
      <c r="A144" t="s">
        <v>54</v>
      </c>
      <c r="B144">
        <v>143</v>
      </c>
      <c r="C144" t="s">
        <v>365</v>
      </c>
      <c r="D144" t="s">
        <v>366</v>
      </c>
      <c r="E144" t="s">
        <v>320</v>
      </c>
      <c r="F144" t="s">
        <v>346</v>
      </c>
      <c r="G144" t="s">
        <v>57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1:19" x14ac:dyDescent="0.35">
      <c r="A145" t="s">
        <v>54</v>
      </c>
      <c r="B145">
        <v>144</v>
      </c>
      <c r="C145" t="s">
        <v>367</v>
      </c>
      <c r="D145" t="s">
        <v>368</v>
      </c>
      <c r="E145" t="s">
        <v>320</v>
      </c>
      <c r="F145" t="s">
        <v>346</v>
      </c>
      <c r="G145" t="s">
        <v>60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P145">
        <v>0</v>
      </c>
      <c r="Q145">
        <v>0</v>
      </c>
      <c r="R145">
        <v>0</v>
      </c>
      <c r="S145">
        <v>0</v>
      </c>
    </row>
    <row r="146" spans="1:19" x14ac:dyDescent="0.35">
      <c r="A146" t="s">
        <v>54</v>
      </c>
      <c r="B146">
        <v>145</v>
      </c>
      <c r="C146" t="s">
        <v>369</v>
      </c>
      <c r="D146" t="s">
        <v>370</v>
      </c>
      <c r="E146" t="s">
        <v>320</v>
      </c>
      <c r="F146" t="s">
        <v>371</v>
      </c>
      <c r="G146" t="s">
        <v>60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1:19" x14ac:dyDescent="0.35">
      <c r="A147" t="s">
        <v>54</v>
      </c>
      <c r="B147">
        <v>146</v>
      </c>
      <c r="C147" t="s">
        <v>372</v>
      </c>
      <c r="D147" t="s">
        <v>373</v>
      </c>
      <c r="E147" t="s">
        <v>320</v>
      </c>
      <c r="F147" t="s">
        <v>371</v>
      </c>
      <c r="G147" t="s">
        <v>60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1:19" x14ac:dyDescent="0.35">
      <c r="A148" t="s">
        <v>54</v>
      </c>
      <c r="B148">
        <v>147</v>
      </c>
      <c r="C148" t="s">
        <v>374</v>
      </c>
      <c r="D148" t="s">
        <v>375</v>
      </c>
      <c r="E148" t="s">
        <v>320</v>
      </c>
      <c r="F148" t="s">
        <v>371</v>
      </c>
      <c r="G148" t="s">
        <v>57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1:19" x14ac:dyDescent="0.35">
      <c r="A149" t="s">
        <v>54</v>
      </c>
      <c r="B149">
        <v>148</v>
      </c>
      <c r="C149" t="s">
        <v>376</v>
      </c>
      <c r="D149" t="s">
        <v>377</v>
      </c>
      <c r="E149" t="s">
        <v>320</v>
      </c>
      <c r="F149" t="s">
        <v>371</v>
      </c>
      <c r="G149" t="s">
        <v>57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P149">
        <v>0</v>
      </c>
      <c r="Q149">
        <v>0</v>
      </c>
      <c r="R149">
        <v>0</v>
      </c>
      <c r="S149">
        <v>0</v>
      </c>
    </row>
    <row r="150" spans="1:19" x14ac:dyDescent="0.35">
      <c r="A150" t="s">
        <v>54</v>
      </c>
      <c r="B150">
        <v>149</v>
      </c>
      <c r="C150" t="s">
        <v>378</v>
      </c>
      <c r="D150" t="s">
        <v>379</v>
      </c>
      <c r="E150" t="s">
        <v>320</v>
      </c>
      <c r="F150" t="s">
        <v>380</v>
      </c>
      <c r="G150" t="s">
        <v>60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</row>
    <row r="151" spans="1:19" x14ac:dyDescent="0.35">
      <c r="A151" t="s">
        <v>54</v>
      </c>
      <c r="B151">
        <v>150</v>
      </c>
      <c r="C151" t="s">
        <v>381</v>
      </c>
      <c r="D151" t="s">
        <v>382</v>
      </c>
      <c r="E151" t="s">
        <v>320</v>
      </c>
      <c r="F151" t="s">
        <v>380</v>
      </c>
      <c r="G151" t="s">
        <v>57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</row>
    <row r="152" spans="1:19" x14ac:dyDescent="0.35">
      <c r="A152" t="s">
        <v>54</v>
      </c>
      <c r="B152">
        <v>151</v>
      </c>
      <c r="C152" t="s">
        <v>383</v>
      </c>
      <c r="D152" t="s">
        <v>384</v>
      </c>
      <c r="E152" t="s">
        <v>320</v>
      </c>
      <c r="F152" t="s">
        <v>380</v>
      </c>
      <c r="G152" t="s">
        <v>57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P152">
        <v>0</v>
      </c>
      <c r="Q152">
        <v>0</v>
      </c>
      <c r="R152">
        <v>0</v>
      </c>
      <c r="S152">
        <v>0</v>
      </c>
    </row>
    <row r="153" spans="1:19" x14ac:dyDescent="0.35">
      <c r="A153" t="s">
        <v>54</v>
      </c>
      <c r="B153">
        <v>152</v>
      </c>
      <c r="C153" t="s">
        <v>385</v>
      </c>
      <c r="D153" t="s">
        <v>386</v>
      </c>
      <c r="E153" t="s">
        <v>320</v>
      </c>
      <c r="F153" t="s">
        <v>387</v>
      </c>
      <c r="G153" t="s">
        <v>60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</row>
    <row r="154" spans="1:19" x14ac:dyDescent="0.35">
      <c r="A154" t="s">
        <v>54</v>
      </c>
      <c r="B154">
        <v>153</v>
      </c>
      <c r="C154" t="s">
        <v>388</v>
      </c>
      <c r="D154" t="s">
        <v>389</v>
      </c>
      <c r="E154" t="s">
        <v>320</v>
      </c>
      <c r="F154" t="s">
        <v>387</v>
      </c>
      <c r="G154" t="s">
        <v>57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1:19" x14ac:dyDescent="0.35">
      <c r="A155" t="s">
        <v>54</v>
      </c>
      <c r="B155">
        <v>154</v>
      </c>
      <c r="C155" t="s">
        <v>390</v>
      </c>
      <c r="D155" t="s">
        <v>391</v>
      </c>
      <c r="E155" t="s">
        <v>320</v>
      </c>
      <c r="F155" t="s">
        <v>387</v>
      </c>
      <c r="G155" t="s">
        <v>57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P155">
        <v>0</v>
      </c>
      <c r="Q155">
        <v>0</v>
      </c>
      <c r="R155">
        <v>0</v>
      </c>
      <c r="S155">
        <v>0</v>
      </c>
    </row>
    <row r="156" spans="1:19" x14ac:dyDescent="0.35">
      <c r="A156" t="s">
        <v>54</v>
      </c>
      <c r="B156">
        <v>155</v>
      </c>
      <c r="C156" t="s">
        <v>392</v>
      </c>
      <c r="D156" t="s">
        <v>393</v>
      </c>
      <c r="E156" t="s">
        <v>320</v>
      </c>
      <c r="F156" t="s">
        <v>393</v>
      </c>
      <c r="G156" t="s">
        <v>60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1:19" x14ac:dyDescent="0.35">
      <c r="A157" t="s">
        <v>54</v>
      </c>
      <c r="B157">
        <v>156</v>
      </c>
      <c r="C157" t="s">
        <v>394</v>
      </c>
      <c r="D157" t="s">
        <v>395</v>
      </c>
      <c r="E157" t="s">
        <v>320</v>
      </c>
      <c r="F157" t="s">
        <v>170</v>
      </c>
      <c r="G157" t="s">
        <v>57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P157">
        <v>0</v>
      </c>
      <c r="Q157">
        <v>0</v>
      </c>
      <c r="R157">
        <v>0</v>
      </c>
      <c r="S157">
        <v>0</v>
      </c>
    </row>
    <row r="158" spans="1:19" x14ac:dyDescent="0.35">
      <c r="A158" t="s">
        <v>54</v>
      </c>
      <c r="B158">
        <v>157</v>
      </c>
      <c r="C158" t="s">
        <v>396</v>
      </c>
      <c r="D158" t="s">
        <v>397</v>
      </c>
      <c r="E158" t="s">
        <v>398</v>
      </c>
      <c r="F158" t="s">
        <v>399</v>
      </c>
      <c r="G158" t="s">
        <v>60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</row>
    <row r="159" spans="1:19" x14ac:dyDescent="0.35">
      <c r="A159" t="s">
        <v>54</v>
      </c>
      <c r="B159">
        <v>158</v>
      </c>
      <c r="C159" t="s">
        <v>400</v>
      </c>
      <c r="D159" t="s">
        <v>401</v>
      </c>
      <c r="E159" t="s">
        <v>398</v>
      </c>
      <c r="F159" t="s">
        <v>399</v>
      </c>
      <c r="G159" t="s">
        <v>60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1:19" x14ac:dyDescent="0.35">
      <c r="A160" t="s">
        <v>54</v>
      </c>
      <c r="B160">
        <v>159</v>
      </c>
      <c r="C160" t="s">
        <v>402</v>
      </c>
      <c r="D160" t="s">
        <v>403</v>
      </c>
      <c r="E160" t="s">
        <v>398</v>
      </c>
      <c r="F160" t="s">
        <v>399</v>
      </c>
      <c r="G160" t="s">
        <v>60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1:19" x14ac:dyDescent="0.35">
      <c r="A161" t="s">
        <v>54</v>
      </c>
      <c r="B161">
        <v>160</v>
      </c>
      <c r="C161" t="s">
        <v>404</v>
      </c>
      <c r="D161" t="s">
        <v>405</v>
      </c>
      <c r="E161" t="s">
        <v>406</v>
      </c>
      <c r="F161" t="s">
        <v>406</v>
      </c>
      <c r="G161" t="s">
        <v>57</v>
      </c>
      <c r="H161">
        <v>75096</v>
      </c>
      <c r="I161">
        <v>109.465277777777</v>
      </c>
      <c r="J161">
        <v>686.02575651842903</v>
      </c>
      <c r="K161">
        <v>996.62906436628998</v>
      </c>
      <c r="L161">
        <v>75.349999999999994</v>
      </c>
      <c r="M161">
        <v>-34.115277777777699</v>
      </c>
      <c r="N161">
        <v>0.68834612700627995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1:19" x14ac:dyDescent="0.35">
      <c r="A162" t="s">
        <v>54</v>
      </c>
      <c r="B162">
        <v>161</v>
      </c>
      <c r="C162" t="s">
        <v>407</v>
      </c>
      <c r="D162" t="s">
        <v>408</v>
      </c>
      <c r="E162" t="s">
        <v>406</v>
      </c>
      <c r="F162" t="s">
        <v>406</v>
      </c>
      <c r="G162" t="s">
        <v>57</v>
      </c>
      <c r="H162">
        <v>75096</v>
      </c>
      <c r="I162">
        <v>17.02</v>
      </c>
      <c r="J162">
        <v>4412.22091656874</v>
      </c>
      <c r="K162">
        <v>11092.4667651403</v>
      </c>
      <c r="L162">
        <v>6.77</v>
      </c>
      <c r="M162">
        <v>-10.25</v>
      </c>
      <c r="N162">
        <v>0.39776733254994101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1:19" x14ac:dyDescent="0.35">
      <c r="A163" t="s">
        <v>54</v>
      </c>
      <c r="B163">
        <v>162</v>
      </c>
      <c r="C163" t="s">
        <v>409</v>
      </c>
      <c r="D163" t="s">
        <v>410</v>
      </c>
      <c r="E163" t="s">
        <v>406</v>
      </c>
      <c r="F163" t="s">
        <v>406</v>
      </c>
      <c r="G163" t="s">
        <v>57</v>
      </c>
      <c r="H163">
        <v>75096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1:19" x14ac:dyDescent="0.35">
      <c r="A164" t="s">
        <v>54</v>
      </c>
      <c r="B164">
        <v>163</v>
      </c>
      <c r="C164" t="s">
        <v>411</v>
      </c>
      <c r="D164" t="s">
        <v>412</v>
      </c>
      <c r="E164" t="s">
        <v>406</v>
      </c>
      <c r="F164" t="s">
        <v>406</v>
      </c>
      <c r="G164" t="s">
        <v>57</v>
      </c>
      <c r="H164">
        <v>75096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1:19" x14ac:dyDescent="0.35">
      <c r="A165" t="s">
        <v>54</v>
      </c>
      <c r="B165">
        <v>164</v>
      </c>
      <c r="C165" t="s">
        <v>413</v>
      </c>
      <c r="D165" t="s">
        <v>414</v>
      </c>
      <c r="E165" t="s">
        <v>406</v>
      </c>
      <c r="F165" t="s">
        <v>406</v>
      </c>
      <c r="G165" t="s">
        <v>57</v>
      </c>
      <c r="H165">
        <v>173601</v>
      </c>
      <c r="I165">
        <v>47.383333333333297</v>
      </c>
      <c r="J165">
        <v>3663.7565951459701</v>
      </c>
      <c r="K165">
        <v>2499.999984</v>
      </c>
      <c r="L165">
        <v>69.440400444418501</v>
      </c>
      <c r="M165">
        <v>22.0570671110852</v>
      </c>
      <c r="N165">
        <v>1.4655026474376001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1:19" x14ac:dyDescent="0.35">
      <c r="A166" t="s">
        <v>54</v>
      </c>
      <c r="B166">
        <v>165</v>
      </c>
      <c r="C166" t="s">
        <v>415</v>
      </c>
      <c r="D166" t="s">
        <v>416</v>
      </c>
      <c r="E166" t="s">
        <v>406</v>
      </c>
      <c r="F166" t="s">
        <v>406</v>
      </c>
      <c r="G166" t="s">
        <v>57</v>
      </c>
      <c r="H166">
        <v>75096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1:19" x14ac:dyDescent="0.35">
      <c r="A167" t="s">
        <v>54</v>
      </c>
      <c r="B167">
        <v>166</v>
      </c>
      <c r="C167" t="s">
        <v>417</v>
      </c>
      <c r="D167" t="s">
        <v>418</v>
      </c>
      <c r="E167" t="s">
        <v>419</v>
      </c>
      <c r="F167" t="s">
        <v>420</v>
      </c>
      <c r="G167" t="s">
        <v>270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</row>
    <row r="168" spans="1:19" x14ac:dyDescent="0.35">
      <c r="A168" t="s">
        <v>54</v>
      </c>
      <c r="B168">
        <v>167</v>
      </c>
      <c r="C168" t="s">
        <v>421</v>
      </c>
      <c r="D168" t="s">
        <v>422</v>
      </c>
      <c r="E168" t="s">
        <v>419</v>
      </c>
      <c r="F168" t="s">
        <v>420</v>
      </c>
      <c r="G168" t="s">
        <v>270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1:19" x14ac:dyDescent="0.35">
      <c r="A169" t="s">
        <v>54</v>
      </c>
      <c r="B169">
        <v>168</v>
      </c>
      <c r="C169" t="s">
        <v>423</v>
      </c>
      <c r="D169" t="s">
        <v>424</v>
      </c>
      <c r="E169" t="s">
        <v>419</v>
      </c>
      <c r="F169" t="s">
        <v>420</v>
      </c>
      <c r="G169" t="s">
        <v>270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1:19" x14ac:dyDescent="0.35">
      <c r="A170" t="s">
        <v>425</v>
      </c>
      <c r="B170">
        <v>1</v>
      </c>
      <c r="C170" t="s">
        <v>426</v>
      </c>
      <c r="D170" t="s">
        <v>427</v>
      </c>
      <c r="E170" t="s">
        <v>428</v>
      </c>
      <c r="F170" t="s">
        <v>428</v>
      </c>
      <c r="G170" t="s">
        <v>60</v>
      </c>
      <c r="H170">
        <v>98505</v>
      </c>
      <c r="I170">
        <v>339.75138888888802</v>
      </c>
      <c r="J170">
        <v>289.93258959778598</v>
      </c>
      <c r="K170">
        <v>266.438752165148</v>
      </c>
      <c r="L170">
        <v>369.70973328588002</v>
      </c>
      <c r="M170">
        <v>29.958344396991802</v>
      </c>
      <c r="N170">
        <v>1.0881772536529299</v>
      </c>
      <c r="P170">
        <v>0</v>
      </c>
      <c r="Q170">
        <v>0</v>
      </c>
      <c r="R170">
        <v>0</v>
      </c>
      <c r="S170">
        <v>0</v>
      </c>
    </row>
    <row r="171" spans="1:19" x14ac:dyDescent="0.35">
      <c r="A171" t="s">
        <v>425</v>
      </c>
      <c r="B171">
        <v>2</v>
      </c>
      <c r="C171" t="s">
        <v>429</v>
      </c>
      <c r="D171" t="s">
        <v>430</v>
      </c>
      <c r="E171" t="s">
        <v>428</v>
      </c>
      <c r="F171" t="s">
        <v>428</v>
      </c>
      <c r="G171" t="s">
        <v>60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P171">
        <v>0</v>
      </c>
      <c r="Q171">
        <v>0</v>
      </c>
      <c r="R171">
        <v>0</v>
      </c>
      <c r="S171">
        <v>0</v>
      </c>
    </row>
    <row r="172" spans="1:19" x14ac:dyDescent="0.35">
      <c r="A172" t="s">
        <v>425</v>
      </c>
      <c r="B172">
        <v>3</v>
      </c>
      <c r="C172" t="s">
        <v>431</v>
      </c>
      <c r="D172" t="s">
        <v>432</v>
      </c>
      <c r="E172" t="s">
        <v>428</v>
      </c>
      <c r="F172" t="s">
        <v>428</v>
      </c>
      <c r="G172" t="s">
        <v>60</v>
      </c>
      <c r="H172">
        <v>98505</v>
      </c>
      <c r="I172">
        <v>339.75138888888802</v>
      </c>
      <c r="J172">
        <v>289.93258959778598</v>
      </c>
      <c r="K172">
        <v>266.438752165148</v>
      </c>
      <c r="L172">
        <v>369.70973328588002</v>
      </c>
      <c r="M172">
        <v>29.958344396991802</v>
      </c>
      <c r="N172">
        <v>1.0881772536529299</v>
      </c>
      <c r="P172">
        <v>0</v>
      </c>
      <c r="Q172">
        <v>0</v>
      </c>
      <c r="R172">
        <v>0</v>
      </c>
      <c r="S172">
        <v>0</v>
      </c>
    </row>
    <row r="173" spans="1:19" x14ac:dyDescent="0.35">
      <c r="A173" t="s">
        <v>425</v>
      </c>
      <c r="B173">
        <v>4</v>
      </c>
      <c r="C173" t="s">
        <v>433</v>
      </c>
      <c r="D173" t="s">
        <v>219</v>
      </c>
      <c r="E173" t="s">
        <v>428</v>
      </c>
      <c r="F173" t="s">
        <v>428</v>
      </c>
      <c r="G173" t="s">
        <v>60</v>
      </c>
      <c r="H173">
        <v>0</v>
      </c>
      <c r="I173">
        <v>2.5</v>
      </c>
      <c r="J173">
        <v>0</v>
      </c>
      <c r="K173">
        <v>0</v>
      </c>
      <c r="L173">
        <v>0</v>
      </c>
      <c r="M173">
        <v>-2.5</v>
      </c>
      <c r="N173">
        <v>0</v>
      </c>
      <c r="P173">
        <v>0</v>
      </c>
      <c r="Q173">
        <v>0</v>
      </c>
      <c r="R173">
        <v>0</v>
      </c>
      <c r="S173">
        <v>0</v>
      </c>
    </row>
    <row r="174" spans="1:19" x14ac:dyDescent="0.35">
      <c r="A174" t="s">
        <v>425</v>
      </c>
      <c r="B174">
        <v>5</v>
      </c>
      <c r="C174" t="s">
        <v>434</v>
      </c>
      <c r="D174" t="s">
        <v>435</v>
      </c>
      <c r="E174" t="s">
        <v>428</v>
      </c>
      <c r="F174" t="s">
        <v>428</v>
      </c>
      <c r="G174" t="s">
        <v>60</v>
      </c>
      <c r="H174">
        <v>75096</v>
      </c>
      <c r="I174">
        <v>332.699444444444</v>
      </c>
      <c r="J174">
        <v>225.717238949402</v>
      </c>
      <c r="K174">
        <v>245.88995414406</v>
      </c>
      <c r="L174">
        <v>305.40491278469699</v>
      </c>
      <c r="M174">
        <v>-27.2945316597466</v>
      </c>
      <c r="N174">
        <v>0.917960393034848</v>
      </c>
      <c r="P174">
        <v>0</v>
      </c>
      <c r="Q174">
        <v>0</v>
      </c>
      <c r="R174">
        <v>0</v>
      </c>
      <c r="S174">
        <v>0</v>
      </c>
    </row>
    <row r="175" spans="1:19" x14ac:dyDescent="0.35">
      <c r="A175" t="s">
        <v>425</v>
      </c>
      <c r="B175">
        <v>6</v>
      </c>
      <c r="C175" t="s">
        <v>436</v>
      </c>
      <c r="D175" t="s">
        <v>320</v>
      </c>
      <c r="E175" t="s">
        <v>428</v>
      </c>
      <c r="F175" t="s">
        <v>428</v>
      </c>
      <c r="G175" t="s">
        <v>60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P175">
        <v>0</v>
      </c>
      <c r="Q175">
        <v>0</v>
      </c>
      <c r="R175">
        <v>0</v>
      </c>
      <c r="S175">
        <v>0</v>
      </c>
    </row>
    <row r="176" spans="1:19" x14ac:dyDescent="0.35">
      <c r="A176" t="s">
        <v>425</v>
      </c>
      <c r="B176">
        <v>7</v>
      </c>
      <c r="C176" t="s">
        <v>437</v>
      </c>
      <c r="D176" t="s">
        <v>399</v>
      </c>
      <c r="E176" t="s">
        <v>428</v>
      </c>
      <c r="F176" t="s">
        <v>428</v>
      </c>
      <c r="G176" t="s">
        <v>60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P176">
        <v>0</v>
      </c>
      <c r="Q176">
        <v>0</v>
      </c>
      <c r="R176">
        <v>0</v>
      </c>
      <c r="S176">
        <v>0</v>
      </c>
    </row>
    <row r="177" spans="1:19" x14ac:dyDescent="0.35">
      <c r="A177" t="s">
        <v>425</v>
      </c>
      <c r="B177">
        <v>8</v>
      </c>
      <c r="C177" t="s">
        <v>438</v>
      </c>
      <c r="D177" t="s">
        <v>406</v>
      </c>
      <c r="E177" t="s">
        <v>428</v>
      </c>
      <c r="F177" t="s">
        <v>428</v>
      </c>
      <c r="G177" t="s">
        <v>60</v>
      </c>
      <c r="H177">
        <v>75096</v>
      </c>
      <c r="I177">
        <v>173.86861111111099</v>
      </c>
      <c r="J177">
        <v>431.91234760602998</v>
      </c>
      <c r="K177">
        <v>495.48562671909599</v>
      </c>
      <c r="L177">
        <v>151.56040044441801</v>
      </c>
      <c r="M177">
        <v>-22.308210666692499</v>
      </c>
      <c r="N177">
        <v>0.87169500852320903</v>
      </c>
      <c r="P177">
        <v>0</v>
      </c>
      <c r="Q177">
        <v>0</v>
      </c>
      <c r="R177">
        <v>0</v>
      </c>
      <c r="S177">
        <v>0</v>
      </c>
    </row>
    <row r="178" spans="1:19" x14ac:dyDescent="0.35">
      <c r="A178" t="s">
        <v>425</v>
      </c>
      <c r="B178">
        <v>9</v>
      </c>
      <c r="C178" t="s">
        <v>439</v>
      </c>
      <c r="D178" t="s">
        <v>419</v>
      </c>
      <c r="E178" t="s">
        <v>428</v>
      </c>
      <c r="F178" t="s">
        <v>428</v>
      </c>
      <c r="G178" t="s">
        <v>270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P178">
        <v>0</v>
      </c>
      <c r="Q178">
        <v>0</v>
      </c>
      <c r="R178">
        <v>0</v>
      </c>
      <c r="S178">
        <v>0</v>
      </c>
    </row>
    <row r="179" spans="1:19" x14ac:dyDescent="0.35">
      <c r="A179" t="s">
        <v>425</v>
      </c>
      <c r="B179">
        <v>10</v>
      </c>
      <c r="C179" t="s">
        <v>440</v>
      </c>
      <c r="D179" t="s">
        <v>441</v>
      </c>
      <c r="E179" t="s">
        <v>428</v>
      </c>
      <c r="F179" t="s">
        <v>428</v>
      </c>
      <c r="G179" t="s">
        <v>60</v>
      </c>
      <c r="H179">
        <v>173601</v>
      </c>
      <c r="I179">
        <v>848.819444444444</v>
      </c>
      <c r="J179">
        <v>204.52052687556201</v>
      </c>
      <c r="K179">
        <v>209.99908093494199</v>
      </c>
      <c r="L179">
        <v>826.67504651499701</v>
      </c>
      <c r="M179">
        <v>-22.144397929447202</v>
      </c>
      <c r="N179">
        <v>0.97391153316010404</v>
      </c>
      <c r="P179">
        <v>0</v>
      </c>
      <c r="Q179">
        <v>0</v>
      </c>
      <c r="R179">
        <v>0</v>
      </c>
      <c r="S179">
        <v>0</v>
      </c>
    </row>
    <row r="180" spans="1:19" x14ac:dyDescent="0.35">
      <c r="A180" t="s">
        <v>442</v>
      </c>
      <c r="B180">
        <v>1</v>
      </c>
      <c r="C180" t="s">
        <v>443</v>
      </c>
      <c r="D180" t="s">
        <v>13</v>
      </c>
      <c r="E180" t="s">
        <v>444</v>
      </c>
      <c r="F180" t="s">
        <v>444</v>
      </c>
      <c r="G180" t="s">
        <v>60</v>
      </c>
      <c r="H180">
        <v>98505</v>
      </c>
      <c r="I180">
        <v>339.75138888888802</v>
      </c>
      <c r="J180">
        <v>289.93258959778598</v>
      </c>
      <c r="K180">
        <v>266.438752165148</v>
      </c>
      <c r="L180">
        <v>369.70973328588002</v>
      </c>
      <c r="M180">
        <v>29.958344396991802</v>
      </c>
      <c r="N180">
        <v>1.0881772536529299</v>
      </c>
      <c r="P180">
        <v>0</v>
      </c>
      <c r="Q180">
        <v>0</v>
      </c>
      <c r="R180">
        <v>0</v>
      </c>
      <c r="S180">
        <v>0</v>
      </c>
    </row>
    <row r="181" spans="1:19" x14ac:dyDescent="0.35">
      <c r="A181" t="s">
        <v>442</v>
      </c>
      <c r="B181">
        <v>2</v>
      </c>
      <c r="C181" t="s">
        <v>445</v>
      </c>
      <c r="D181" t="s">
        <v>446</v>
      </c>
      <c r="E181" t="s">
        <v>444</v>
      </c>
      <c r="F181" t="s">
        <v>444</v>
      </c>
      <c r="G181" t="s">
        <v>60</v>
      </c>
      <c r="H181">
        <v>75096</v>
      </c>
      <c r="I181">
        <v>332.699444444444</v>
      </c>
      <c r="J181">
        <v>225.717238949402</v>
      </c>
      <c r="K181">
        <v>245.88995414406</v>
      </c>
      <c r="L181">
        <v>305.40491278469699</v>
      </c>
      <c r="M181">
        <v>-27.2945316597466</v>
      </c>
      <c r="N181">
        <v>0.917960393034848</v>
      </c>
      <c r="P181">
        <v>0</v>
      </c>
      <c r="Q181">
        <v>0</v>
      </c>
      <c r="R181">
        <v>0</v>
      </c>
      <c r="S181">
        <v>0</v>
      </c>
    </row>
    <row r="182" spans="1:19" x14ac:dyDescent="0.35">
      <c r="A182" t="s">
        <v>442</v>
      </c>
      <c r="B182">
        <v>3</v>
      </c>
      <c r="C182" t="s">
        <v>447</v>
      </c>
      <c r="D182" t="s">
        <v>320</v>
      </c>
      <c r="E182" t="s">
        <v>444</v>
      </c>
      <c r="F182" t="s">
        <v>444</v>
      </c>
      <c r="G182" t="s">
        <v>60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P182">
        <v>0</v>
      </c>
      <c r="Q182">
        <v>0</v>
      </c>
      <c r="R182">
        <v>0</v>
      </c>
      <c r="S182">
        <v>0</v>
      </c>
    </row>
    <row r="183" spans="1:19" x14ac:dyDescent="0.35">
      <c r="A183" t="s">
        <v>442</v>
      </c>
      <c r="B183">
        <v>4</v>
      </c>
      <c r="C183" t="s">
        <v>448</v>
      </c>
      <c r="D183" t="s">
        <v>406</v>
      </c>
      <c r="E183" t="s">
        <v>444</v>
      </c>
      <c r="F183" t="s">
        <v>444</v>
      </c>
      <c r="G183" t="s">
        <v>60</v>
      </c>
      <c r="H183">
        <v>75096</v>
      </c>
      <c r="I183">
        <v>173.86861111111099</v>
      </c>
      <c r="J183">
        <v>431.91234760602998</v>
      </c>
      <c r="K183">
        <v>495.48562671909599</v>
      </c>
      <c r="L183">
        <v>151.56040044441801</v>
      </c>
      <c r="M183">
        <v>-22.308210666692499</v>
      </c>
      <c r="N183">
        <v>0.87169500852320903</v>
      </c>
      <c r="P183">
        <v>0</v>
      </c>
      <c r="Q183">
        <v>0</v>
      </c>
      <c r="R183">
        <v>0</v>
      </c>
      <c r="S183">
        <v>0</v>
      </c>
    </row>
    <row r="184" spans="1:19" x14ac:dyDescent="0.35">
      <c r="A184" t="s">
        <v>442</v>
      </c>
      <c r="B184">
        <v>5</v>
      </c>
      <c r="C184" t="s">
        <v>449</v>
      </c>
      <c r="D184" t="s">
        <v>419</v>
      </c>
      <c r="E184" t="s">
        <v>444</v>
      </c>
      <c r="F184" t="s">
        <v>444</v>
      </c>
      <c r="G184" t="s">
        <v>270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P184">
        <v>0</v>
      </c>
      <c r="Q184">
        <v>0</v>
      </c>
      <c r="R184">
        <v>0</v>
      </c>
      <c r="S184">
        <v>0</v>
      </c>
    </row>
    <row r="185" spans="1:19" x14ac:dyDescent="0.35">
      <c r="A185" t="s">
        <v>442</v>
      </c>
      <c r="B185">
        <v>6</v>
      </c>
      <c r="C185" t="s">
        <v>450</v>
      </c>
      <c r="D185" t="s">
        <v>441</v>
      </c>
      <c r="E185" t="s">
        <v>444</v>
      </c>
      <c r="F185" t="s">
        <v>444</v>
      </c>
      <c r="G185" t="s">
        <v>60</v>
      </c>
      <c r="H185">
        <v>173601</v>
      </c>
      <c r="I185">
        <v>846.319444444444</v>
      </c>
      <c r="J185">
        <v>205.124673832772</v>
      </c>
      <c r="K185">
        <v>209.99908093494199</v>
      </c>
      <c r="L185">
        <v>826.67504651499701</v>
      </c>
      <c r="M185">
        <v>-19.644397929447202</v>
      </c>
      <c r="N185">
        <v>0.97678843602330001</v>
      </c>
      <c r="P185">
        <v>0</v>
      </c>
      <c r="Q185">
        <v>0</v>
      </c>
      <c r="R185">
        <v>0</v>
      </c>
      <c r="S185">
        <v>0</v>
      </c>
    </row>
    <row r="186" spans="1:19" x14ac:dyDescent="0.35">
      <c r="A186" t="s">
        <v>34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B18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  <col min="3" max="3" width="35.90625" bestFit="1" customWidth="1"/>
  </cols>
  <sheetData>
    <row r="1" spans="1:2" x14ac:dyDescent="0.35">
      <c r="A1" t="s">
        <v>475</v>
      </c>
      <c r="B1" t="s">
        <v>476</v>
      </c>
    </row>
    <row r="2" spans="1:2" x14ac:dyDescent="0.35">
      <c r="A2" t="s">
        <v>477</v>
      </c>
      <c r="B2" t="s">
        <v>562</v>
      </c>
    </row>
    <row r="3" spans="1:2" x14ac:dyDescent="0.35">
      <c r="A3" t="s">
        <v>478</v>
      </c>
      <c r="B3" t="s">
        <v>479</v>
      </c>
    </row>
    <row r="4" spans="1:2" x14ac:dyDescent="0.35">
      <c r="A4" t="s">
        <v>480</v>
      </c>
      <c r="B4">
        <v>286</v>
      </c>
    </row>
    <row r="5" spans="1:2" x14ac:dyDescent="0.35">
      <c r="A5" t="s">
        <v>481</v>
      </c>
      <c r="B5">
        <v>774.45454545454504</v>
      </c>
    </row>
    <row r="6" spans="1:2" x14ac:dyDescent="0.35">
      <c r="A6" t="s">
        <v>482</v>
      </c>
      <c r="B6">
        <v>1216</v>
      </c>
    </row>
    <row r="7" spans="1:2" x14ac:dyDescent="0.35">
      <c r="A7" t="s">
        <v>563</v>
      </c>
      <c r="B7">
        <v>1153</v>
      </c>
    </row>
    <row r="8" spans="1:2" x14ac:dyDescent="0.35">
      <c r="A8" t="s">
        <v>564</v>
      </c>
      <c r="B8">
        <v>1216</v>
      </c>
    </row>
    <row r="9" spans="1:2" x14ac:dyDescent="0.35">
      <c r="A9" t="s">
        <v>565</v>
      </c>
      <c r="B9">
        <v>743</v>
      </c>
    </row>
    <row r="10" spans="1:2" x14ac:dyDescent="0.35">
      <c r="A10" t="s">
        <v>566</v>
      </c>
      <c r="B10">
        <v>858</v>
      </c>
    </row>
    <row r="11" spans="1:2" x14ac:dyDescent="0.35">
      <c r="A11" t="s">
        <v>567</v>
      </c>
      <c r="B11">
        <v>286</v>
      </c>
    </row>
    <row r="12" spans="1:2" x14ac:dyDescent="0.35">
      <c r="A12" t="s">
        <v>568</v>
      </c>
      <c r="B12">
        <v>997</v>
      </c>
    </row>
    <row r="13" spans="1:2" x14ac:dyDescent="0.35">
      <c r="A13" t="s">
        <v>569</v>
      </c>
      <c r="B13">
        <v>968</v>
      </c>
    </row>
    <row r="14" spans="1:2" x14ac:dyDescent="0.35">
      <c r="A14" t="s">
        <v>570</v>
      </c>
      <c r="B14">
        <v>424</v>
      </c>
    </row>
    <row r="15" spans="1:2" x14ac:dyDescent="0.35">
      <c r="A15" t="s">
        <v>571</v>
      </c>
      <c r="B15">
        <v>823</v>
      </c>
    </row>
    <row r="16" spans="1:2" x14ac:dyDescent="0.35">
      <c r="A16" t="s">
        <v>572</v>
      </c>
      <c r="B16">
        <v>697</v>
      </c>
    </row>
    <row r="17" spans="1:2" x14ac:dyDescent="0.35">
      <c r="A17" t="s">
        <v>573</v>
      </c>
      <c r="B17">
        <v>354</v>
      </c>
    </row>
    <row r="18" spans="1:2" x14ac:dyDescent="0.35">
      <c r="A18" t="s">
        <v>34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R218"/>
  <sheetViews>
    <sheetView workbookViewId="0">
      <selection sqref="A1:A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4.81640625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6.81640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>
    <row r="1" spans="1:18" x14ac:dyDescent="0.35">
      <c r="A1" t="s">
        <v>451</v>
      </c>
      <c r="B1" t="s">
        <v>452</v>
      </c>
      <c r="C1" t="s">
        <v>453</v>
      </c>
      <c r="D1" t="s">
        <v>454</v>
      </c>
      <c r="E1" t="s">
        <v>455</v>
      </c>
      <c r="F1" t="s">
        <v>456</v>
      </c>
      <c r="G1" t="s">
        <v>457</v>
      </c>
      <c r="H1" t="s">
        <v>458</v>
      </c>
      <c r="I1" t="s">
        <v>459</v>
      </c>
      <c r="J1" t="s">
        <v>460</v>
      </c>
      <c r="K1" t="s">
        <v>461</v>
      </c>
      <c r="L1" t="s">
        <v>462</v>
      </c>
      <c r="M1" t="s">
        <v>463</v>
      </c>
      <c r="N1" t="s">
        <v>464</v>
      </c>
      <c r="O1" t="s">
        <v>41</v>
      </c>
      <c r="P1" t="s">
        <v>465</v>
      </c>
      <c r="Q1" t="s">
        <v>466</v>
      </c>
      <c r="R1" t="s">
        <v>467</v>
      </c>
    </row>
    <row r="2" spans="1:18" x14ac:dyDescent="0.35">
      <c r="A2" t="s">
        <v>197</v>
      </c>
      <c r="B2" t="s">
        <v>483</v>
      </c>
      <c r="C2" t="s">
        <v>493</v>
      </c>
      <c r="D2">
        <v>100633196</v>
      </c>
      <c r="E2" t="s">
        <v>530</v>
      </c>
      <c r="F2" t="s">
        <v>497</v>
      </c>
      <c r="G2">
        <v>7.0000000000000007E-2</v>
      </c>
      <c r="H2">
        <v>3.36</v>
      </c>
      <c r="I2">
        <v>0</v>
      </c>
      <c r="J2">
        <v>0</v>
      </c>
      <c r="K2">
        <v>3.43</v>
      </c>
      <c r="L2" t="s">
        <v>487</v>
      </c>
      <c r="M2">
        <v>87</v>
      </c>
      <c r="N2">
        <v>25.34</v>
      </c>
      <c r="O2" t="s">
        <v>60</v>
      </c>
      <c r="P2" t="s">
        <v>488</v>
      </c>
      <c r="Q2">
        <v>93</v>
      </c>
      <c r="R2">
        <v>1244.6099999999999</v>
      </c>
    </row>
    <row r="3" spans="1:18" x14ac:dyDescent="0.35">
      <c r="A3" t="s">
        <v>197</v>
      </c>
      <c r="B3" t="s">
        <v>483</v>
      </c>
      <c r="C3" t="s">
        <v>493</v>
      </c>
      <c r="D3">
        <v>100633196</v>
      </c>
      <c r="E3" t="s">
        <v>530</v>
      </c>
      <c r="F3" t="s">
        <v>497</v>
      </c>
      <c r="G3">
        <v>7.0000000000000007E-2</v>
      </c>
      <c r="H3">
        <v>3.36</v>
      </c>
      <c r="I3">
        <v>0</v>
      </c>
      <c r="J3">
        <v>0</v>
      </c>
      <c r="K3">
        <v>3.43</v>
      </c>
      <c r="L3" t="s">
        <v>487</v>
      </c>
      <c r="M3">
        <v>87</v>
      </c>
      <c r="N3">
        <v>25.34</v>
      </c>
      <c r="O3" t="s">
        <v>60</v>
      </c>
      <c r="P3" t="s">
        <v>489</v>
      </c>
      <c r="Q3">
        <v>724</v>
      </c>
      <c r="R3">
        <v>215.58</v>
      </c>
    </row>
    <row r="4" spans="1:18" x14ac:dyDescent="0.35">
      <c r="A4" t="s">
        <v>197</v>
      </c>
      <c r="B4" t="s">
        <v>483</v>
      </c>
      <c r="C4" t="s">
        <v>493</v>
      </c>
      <c r="D4">
        <v>100633196</v>
      </c>
      <c r="E4" t="s">
        <v>530</v>
      </c>
      <c r="F4" t="s">
        <v>497</v>
      </c>
      <c r="G4">
        <v>7.0000000000000007E-2</v>
      </c>
      <c r="H4">
        <v>3.36</v>
      </c>
      <c r="I4">
        <v>0</v>
      </c>
      <c r="J4">
        <v>0</v>
      </c>
      <c r="K4">
        <v>3.43</v>
      </c>
      <c r="L4" t="s">
        <v>487</v>
      </c>
      <c r="M4">
        <v>87</v>
      </c>
      <c r="N4">
        <v>25.34</v>
      </c>
      <c r="O4" t="s">
        <v>60</v>
      </c>
      <c r="P4" t="s">
        <v>490</v>
      </c>
      <c r="Q4">
        <v>0</v>
      </c>
      <c r="R4">
        <v>0</v>
      </c>
    </row>
    <row r="5" spans="1:18" x14ac:dyDescent="0.35">
      <c r="A5" t="s">
        <v>197</v>
      </c>
      <c r="B5" t="s">
        <v>483</v>
      </c>
      <c r="C5" t="s">
        <v>493</v>
      </c>
      <c r="D5">
        <v>100633196</v>
      </c>
      <c r="E5" t="s">
        <v>530</v>
      </c>
      <c r="F5" t="s">
        <v>497</v>
      </c>
      <c r="G5">
        <v>7.0000000000000007E-2</v>
      </c>
      <c r="H5">
        <v>3.36</v>
      </c>
      <c r="I5">
        <v>0</v>
      </c>
      <c r="J5">
        <v>0</v>
      </c>
      <c r="K5">
        <v>3.43</v>
      </c>
      <c r="L5" t="s">
        <v>487</v>
      </c>
      <c r="M5">
        <v>87</v>
      </c>
      <c r="N5">
        <v>25.34</v>
      </c>
      <c r="O5" t="s">
        <v>60</v>
      </c>
      <c r="P5" t="s">
        <v>491</v>
      </c>
      <c r="Q5">
        <v>0</v>
      </c>
      <c r="R5">
        <v>0</v>
      </c>
    </row>
    <row r="6" spans="1:18" x14ac:dyDescent="0.35">
      <c r="A6" t="s">
        <v>197</v>
      </c>
      <c r="B6" t="s">
        <v>483</v>
      </c>
      <c r="C6" t="s">
        <v>493</v>
      </c>
      <c r="D6">
        <v>100633196</v>
      </c>
      <c r="E6" t="s">
        <v>530</v>
      </c>
      <c r="F6" t="s">
        <v>497</v>
      </c>
      <c r="G6">
        <v>7.0000000000000007E-2</v>
      </c>
      <c r="H6">
        <v>3.36</v>
      </c>
      <c r="I6">
        <v>0</v>
      </c>
      <c r="J6">
        <v>0</v>
      </c>
      <c r="K6">
        <v>3.43</v>
      </c>
      <c r="L6" t="s">
        <v>487</v>
      </c>
      <c r="M6">
        <v>87</v>
      </c>
      <c r="N6">
        <v>25.34</v>
      </c>
      <c r="O6" t="s">
        <v>60</v>
      </c>
      <c r="P6" t="s">
        <v>492</v>
      </c>
      <c r="Q6">
        <v>817</v>
      </c>
      <c r="R6">
        <v>237.96</v>
      </c>
    </row>
    <row r="7" spans="1:18" x14ac:dyDescent="0.35">
      <c r="A7" t="s">
        <v>197</v>
      </c>
      <c r="B7" t="s">
        <v>483</v>
      </c>
      <c r="C7" t="s">
        <v>493</v>
      </c>
      <c r="D7">
        <v>100633196</v>
      </c>
      <c r="E7" t="s">
        <v>530</v>
      </c>
      <c r="F7" t="s">
        <v>497</v>
      </c>
      <c r="G7">
        <v>7.0000000000000007E-2</v>
      </c>
      <c r="H7">
        <v>3.36</v>
      </c>
      <c r="I7">
        <v>0</v>
      </c>
      <c r="J7">
        <v>0</v>
      </c>
      <c r="K7">
        <v>3.43</v>
      </c>
      <c r="L7" t="s">
        <v>487</v>
      </c>
      <c r="M7">
        <v>87</v>
      </c>
      <c r="N7">
        <v>25.34</v>
      </c>
      <c r="O7" t="s">
        <v>81</v>
      </c>
      <c r="P7" t="s">
        <v>492</v>
      </c>
      <c r="Q7">
        <v>87</v>
      </c>
      <c r="R7">
        <v>25.34</v>
      </c>
    </row>
    <row r="8" spans="1:18" x14ac:dyDescent="0.35">
      <c r="A8" t="s">
        <v>197</v>
      </c>
      <c r="B8" t="s">
        <v>483</v>
      </c>
      <c r="C8" t="s">
        <v>493</v>
      </c>
      <c r="D8">
        <v>101446428</v>
      </c>
      <c r="E8" t="s">
        <v>531</v>
      </c>
      <c r="F8" t="s">
        <v>497</v>
      </c>
      <c r="G8">
        <v>0.1</v>
      </c>
      <c r="H8">
        <v>3.36</v>
      </c>
      <c r="I8">
        <v>0</v>
      </c>
      <c r="J8">
        <v>0</v>
      </c>
      <c r="K8">
        <v>3.47</v>
      </c>
      <c r="L8" t="s">
        <v>487</v>
      </c>
      <c r="M8">
        <v>99</v>
      </c>
      <c r="N8">
        <v>28.56</v>
      </c>
      <c r="O8" t="s">
        <v>60</v>
      </c>
      <c r="P8" t="s">
        <v>488</v>
      </c>
      <c r="Q8">
        <v>202</v>
      </c>
      <c r="R8">
        <v>1965.41</v>
      </c>
    </row>
    <row r="9" spans="1:18" x14ac:dyDescent="0.35">
      <c r="A9" t="s">
        <v>197</v>
      </c>
      <c r="B9" t="s">
        <v>483</v>
      </c>
      <c r="C9" t="s">
        <v>493</v>
      </c>
      <c r="D9">
        <v>101446428</v>
      </c>
      <c r="E9" t="s">
        <v>531</v>
      </c>
      <c r="F9" t="s">
        <v>497</v>
      </c>
      <c r="G9">
        <v>0.1</v>
      </c>
      <c r="H9">
        <v>3.36</v>
      </c>
      <c r="I9">
        <v>0</v>
      </c>
      <c r="J9">
        <v>0</v>
      </c>
      <c r="K9">
        <v>3.47</v>
      </c>
      <c r="L9" t="s">
        <v>487</v>
      </c>
      <c r="M9">
        <v>99</v>
      </c>
      <c r="N9">
        <v>28.56</v>
      </c>
      <c r="O9" t="s">
        <v>60</v>
      </c>
      <c r="P9" t="s">
        <v>489</v>
      </c>
      <c r="Q9">
        <v>1143</v>
      </c>
      <c r="R9">
        <v>339.81</v>
      </c>
    </row>
    <row r="10" spans="1:18" x14ac:dyDescent="0.35">
      <c r="A10" t="s">
        <v>197</v>
      </c>
      <c r="B10" t="s">
        <v>483</v>
      </c>
      <c r="C10" t="s">
        <v>493</v>
      </c>
      <c r="D10">
        <v>101446428</v>
      </c>
      <c r="E10" t="s">
        <v>531</v>
      </c>
      <c r="F10" t="s">
        <v>497</v>
      </c>
      <c r="G10">
        <v>0.1</v>
      </c>
      <c r="H10">
        <v>3.36</v>
      </c>
      <c r="I10">
        <v>0</v>
      </c>
      <c r="J10">
        <v>0</v>
      </c>
      <c r="K10">
        <v>3.47</v>
      </c>
      <c r="L10" t="s">
        <v>487</v>
      </c>
      <c r="M10">
        <v>99</v>
      </c>
      <c r="N10">
        <v>28.56</v>
      </c>
      <c r="O10" t="s">
        <v>60</v>
      </c>
      <c r="P10" t="s">
        <v>490</v>
      </c>
      <c r="Q10">
        <v>0</v>
      </c>
      <c r="R10">
        <v>0</v>
      </c>
    </row>
    <row r="11" spans="1:18" x14ac:dyDescent="0.35">
      <c r="A11" t="s">
        <v>197</v>
      </c>
      <c r="B11" t="s">
        <v>483</v>
      </c>
      <c r="C11" t="s">
        <v>493</v>
      </c>
      <c r="D11">
        <v>101446428</v>
      </c>
      <c r="E11" t="s">
        <v>531</v>
      </c>
      <c r="F11" t="s">
        <v>497</v>
      </c>
      <c r="G11">
        <v>0.1</v>
      </c>
      <c r="H11">
        <v>3.36</v>
      </c>
      <c r="I11">
        <v>0</v>
      </c>
      <c r="J11">
        <v>0</v>
      </c>
      <c r="K11">
        <v>3.47</v>
      </c>
      <c r="L11" t="s">
        <v>487</v>
      </c>
      <c r="M11">
        <v>99</v>
      </c>
      <c r="N11">
        <v>28.56</v>
      </c>
      <c r="O11" t="s">
        <v>60</v>
      </c>
      <c r="P11" t="s">
        <v>491</v>
      </c>
      <c r="Q11">
        <v>0</v>
      </c>
      <c r="R11">
        <v>0</v>
      </c>
    </row>
    <row r="12" spans="1:18" x14ac:dyDescent="0.35">
      <c r="A12" t="s">
        <v>197</v>
      </c>
      <c r="B12" t="s">
        <v>483</v>
      </c>
      <c r="C12" t="s">
        <v>493</v>
      </c>
      <c r="D12">
        <v>101446428</v>
      </c>
      <c r="E12" t="s">
        <v>531</v>
      </c>
      <c r="F12" t="s">
        <v>497</v>
      </c>
      <c r="G12">
        <v>0.1</v>
      </c>
      <c r="H12">
        <v>3.36</v>
      </c>
      <c r="I12">
        <v>0</v>
      </c>
      <c r="J12">
        <v>0</v>
      </c>
      <c r="K12">
        <v>3.47</v>
      </c>
      <c r="L12" t="s">
        <v>487</v>
      </c>
      <c r="M12">
        <v>99</v>
      </c>
      <c r="N12">
        <v>28.56</v>
      </c>
      <c r="O12" t="s">
        <v>60</v>
      </c>
      <c r="P12" t="s">
        <v>492</v>
      </c>
      <c r="Q12">
        <v>1345</v>
      </c>
      <c r="R12">
        <v>387.98</v>
      </c>
    </row>
    <row r="13" spans="1:18" x14ac:dyDescent="0.35">
      <c r="A13" t="s">
        <v>197</v>
      </c>
      <c r="B13" t="s">
        <v>483</v>
      </c>
      <c r="C13" t="s">
        <v>493</v>
      </c>
      <c r="D13">
        <v>101446428</v>
      </c>
      <c r="E13" t="s">
        <v>531</v>
      </c>
      <c r="F13" t="s">
        <v>497</v>
      </c>
      <c r="G13">
        <v>0.1</v>
      </c>
      <c r="H13">
        <v>3.36</v>
      </c>
      <c r="I13">
        <v>0</v>
      </c>
      <c r="J13">
        <v>0</v>
      </c>
      <c r="K13">
        <v>3.47</v>
      </c>
      <c r="L13" t="s">
        <v>487</v>
      </c>
      <c r="M13">
        <v>99</v>
      </c>
      <c r="N13">
        <v>28.56</v>
      </c>
      <c r="O13" t="s">
        <v>81</v>
      </c>
      <c r="P13" t="s">
        <v>492</v>
      </c>
      <c r="Q13">
        <v>99</v>
      </c>
      <c r="R13">
        <v>28.56</v>
      </c>
    </row>
    <row r="14" spans="1:18" x14ac:dyDescent="0.35">
      <c r="A14" t="s">
        <v>197</v>
      </c>
      <c r="B14" t="s">
        <v>483</v>
      </c>
      <c r="C14" t="s">
        <v>484</v>
      </c>
      <c r="D14">
        <v>103162419</v>
      </c>
      <c r="E14" t="s">
        <v>494</v>
      </c>
      <c r="F14" t="s">
        <v>486</v>
      </c>
      <c r="G14">
        <v>0.12</v>
      </c>
      <c r="H14">
        <v>4.83</v>
      </c>
      <c r="I14">
        <v>0</v>
      </c>
      <c r="J14">
        <v>0</v>
      </c>
      <c r="K14">
        <v>4.95</v>
      </c>
      <c r="L14" t="s">
        <v>487</v>
      </c>
      <c r="M14">
        <v>114</v>
      </c>
      <c r="N14">
        <v>23.03</v>
      </c>
      <c r="O14" t="s">
        <v>60</v>
      </c>
      <c r="P14" t="s">
        <v>488</v>
      </c>
      <c r="Q14">
        <v>92</v>
      </c>
      <c r="R14">
        <v>770.23</v>
      </c>
    </row>
    <row r="15" spans="1:18" x14ac:dyDescent="0.35">
      <c r="A15" t="s">
        <v>197</v>
      </c>
      <c r="B15" t="s">
        <v>483</v>
      </c>
      <c r="C15" t="s">
        <v>484</v>
      </c>
      <c r="D15">
        <v>103162419</v>
      </c>
      <c r="E15" t="s">
        <v>494</v>
      </c>
      <c r="F15" t="s">
        <v>486</v>
      </c>
      <c r="G15">
        <v>0.12</v>
      </c>
      <c r="H15">
        <v>4.83</v>
      </c>
      <c r="I15">
        <v>0</v>
      </c>
      <c r="J15">
        <v>0</v>
      </c>
      <c r="K15">
        <v>4.95</v>
      </c>
      <c r="L15" t="s">
        <v>487</v>
      </c>
      <c r="M15">
        <v>114</v>
      </c>
      <c r="N15">
        <v>23.03</v>
      </c>
      <c r="O15" t="s">
        <v>60</v>
      </c>
      <c r="P15" t="s">
        <v>489</v>
      </c>
      <c r="Q15">
        <v>644</v>
      </c>
      <c r="R15">
        <v>133.33000000000001</v>
      </c>
    </row>
    <row r="16" spans="1:18" x14ac:dyDescent="0.35">
      <c r="A16" t="s">
        <v>197</v>
      </c>
      <c r="B16" t="s">
        <v>483</v>
      </c>
      <c r="C16" t="s">
        <v>484</v>
      </c>
      <c r="D16">
        <v>103162419</v>
      </c>
      <c r="E16" t="s">
        <v>494</v>
      </c>
      <c r="F16" t="s">
        <v>486</v>
      </c>
      <c r="G16">
        <v>0.12</v>
      </c>
      <c r="H16">
        <v>4.83</v>
      </c>
      <c r="I16">
        <v>0</v>
      </c>
      <c r="J16">
        <v>0</v>
      </c>
      <c r="K16">
        <v>4.95</v>
      </c>
      <c r="L16" t="s">
        <v>487</v>
      </c>
      <c r="M16">
        <v>114</v>
      </c>
      <c r="N16">
        <v>23.03</v>
      </c>
      <c r="O16" t="s">
        <v>60</v>
      </c>
      <c r="P16" t="s">
        <v>490</v>
      </c>
      <c r="Q16">
        <v>0</v>
      </c>
      <c r="R16">
        <v>0</v>
      </c>
    </row>
    <row r="17" spans="1:18" x14ac:dyDescent="0.35">
      <c r="A17" t="s">
        <v>197</v>
      </c>
      <c r="B17" t="s">
        <v>483</v>
      </c>
      <c r="C17" t="s">
        <v>484</v>
      </c>
      <c r="D17">
        <v>103162419</v>
      </c>
      <c r="E17" t="s">
        <v>494</v>
      </c>
      <c r="F17" t="s">
        <v>486</v>
      </c>
      <c r="G17">
        <v>0.12</v>
      </c>
      <c r="H17">
        <v>4.83</v>
      </c>
      <c r="I17">
        <v>0</v>
      </c>
      <c r="J17">
        <v>0</v>
      </c>
      <c r="K17">
        <v>4.95</v>
      </c>
      <c r="L17" t="s">
        <v>487</v>
      </c>
      <c r="M17">
        <v>114</v>
      </c>
      <c r="N17">
        <v>23.03</v>
      </c>
      <c r="O17" t="s">
        <v>60</v>
      </c>
      <c r="P17" t="s">
        <v>491</v>
      </c>
      <c r="Q17">
        <v>0</v>
      </c>
      <c r="R17">
        <v>0</v>
      </c>
    </row>
    <row r="18" spans="1:18" x14ac:dyDescent="0.35">
      <c r="A18" t="s">
        <v>197</v>
      </c>
      <c r="B18" t="s">
        <v>483</v>
      </c>
      <c r="C18" t="s">
        <v>484</v>
      </c>
      <c r="D18">
        <v>103162419</v>
      </c>
      <c r="E18" t="s">
        <v>494</v>
      </c>
      <c r="F18" t="s">
        <v>486</v>
      </c>
      <c r="G18">
        <v>0.12</v>
      </c>
      <c r="H18">
        <v>4.83</v>
      </c>
      <c r="I18">
        <v>0</v>
      </c>
      <c r="J18">
        <v>0</v>
      </c>
      <c r="K18">
        <v>4.95</v>
      </c>
      <c r="L18" t="s">
        <v>487</v>
      </c>
      <c r="M18">
        <v>114</v>
      </c>
      <c r="N18">
        <v>23.03</v>
      </c>
      <c r="O18" t="s">
        <v>60</v>
      </c>
      <c r="P18" t="s">
        <v>492</v>
      </c>
      <c r="Q18">
        <v>736</v>
      </c>
      <c r="R18">
        <v>148.69</v>
      </c>
    </row>
    <row r="19" spans="1:18" x14ac:dyDescent="0.35">
      <c r="A19" t="s">
        <v>197</v>
      </c>
      <c r="B19" t="s">
        <v>483</v>
      </c>
      <c r="C19" t="s">
        <v>484</v>
      </c>
      <c r="D19">
        <v>103162419</v>
      </c>
      <c r="E19" t="s">
        <v>494</v>
      </c>
      <c r="F19" t="s">
        <v>486</v>
      </c>
      <c r="G19">
        <v>0.12</v>
      </c>
      <c r="H19">
        <v>4.83</v>
      </c>
      <c r="I19">
        <v>0</v>
      </c>
      <c r="J19">
        <v>0</v>
      </c>
      <c r="K19">
        <v>4.95</v>
      </c>
      <c r="L19" t="s">
        <v>487</v>
      </c>
      <c r="M19">
        <v>114</v>
      </c>
      <c r="N19">
        <v>23.03</v>
      </c>
      <c r="O19" t="s">
        <v>81</v>
      </c>
      <c r="P19" t="s">
        <v>492</v>
      </c>
      <c r="Q19">
        <v>114</v>
      </c>
      <c r="R19">
        <v>23.03</v>
      </c>
    </row>
    <row r="20" spans="1:18" x14ac:dyDescent="0.35">
      <c r="A20" t="s">
        <v>197</v>
      </c>
      <c r="B20" t="s">
        <v>483</v>
      </c>
      <c r="C20" t="s">
        <v>484</v>
      </c>
      <c r="D20">
        <v>104378003</v>
      </c>
      <c r="E20" t="s">
        <v>495</v>
      </c>
      <c r="F20" t="s">
        <v>486</v>
      </c>
      <c r="G20">
        <v>0.34</v>
      </c>
      <c r="H20">
        <v>9.26</v>
      </c>
      <c r="I20">
        <v>0</v>
      </c>
      <c r="J20">
        <v>0</v>
      </c>
      <c r="K20">
        <v>9.6</v>
      </c>
      <c r="L20" t="s">
        <v>487</v>
      </c>
      <c r="M20">
        <v>230</v>
      </c>
      <c r="N20">
        <v>23.97</v>
      </c>
      <c r="O20" t="s">
        <v>60</v>
      </c>
      <c r="P20" t="s">
        <v>488</v>
      </c>
      <c r="Q20">
        <v>436</v>
      </c>
      <c r="R20">
        <v>1292.92</v>
      </c>
    </row>
    <row r="21" spans="1:18" x14ac:dyDescent="0.35">
      <c r="A21" t="s">
        <v>197</v>
      </c>
      <c r="B21" t="s">
        <v>483</v>
      </c>
      <c r="C21" t="s">
        <v>484</v>
      </c>
      <c r="D21">
        <v>104378003</v>
      </c>
      <c r="E21" t="s">
        <v>495</v>
      </c>
      <c r="F21" t="s">
        <v>486</v>
      </c>
      <c r="G21">
        <v>0.34</v>
      </c>
      <c r="H21">
        <v>9.26</v>
      </c>
      <c r="I21">
        <v>0</v>
      </c>
      <c r="J21">
        <v>0</v>
      </c>
      <c r="K21">
        <v>9.6</v>
      </c>
      <c r="L21" t="s">
        <v>487</v>
      </c>
      <c r="M21">
        <v>230</v>
      </c>
      <c r="N21">
        <v>23.97</v>
      </c>
      <c r="O21" t="s">
        <v>60</v>
      </c>
      <c r="P21" t="s">
        <v>489</v>
      </c>
      <c r="Q21">
        <v>2074</v>
      </c>
      <c r="R21">
        <v>223.99</v>
      </c>
    </row>
    <row r="22" spans="1:18" x14ac:dyDescent="0.35">
      <c r="A22" t="s">
        <v>197</v>
      </c>
      <c r="B22" t="s">
        <v>483</v>
      </c>
      <c r="C22" t="s">
        <v>484</v>
      </c>
      <c r="D22">
        <v>104378003</v>
      </c>
      <c r="E22" t="s">
        <v>495</v>
      </c>
      <c r="F22" t="s">
        <v>486</v>
      </c>
      <c r="G22">
        <v>0.34</v>
      </c>
      <c r="H22">
        <v>9.26</v>
      </c>
      <c r="I22">
        <v>0</v>
      </c>
      <c r="J22">
        <v>0</v>
      </c>
      <c r="K22">
        <v>9.6</v>
      </c>
      <c r="L22" t="s">
        <v>487</v>
      </c>
      <c r="M22">
        <v>230</v>
      </c>
      <c r="N22">
        <v>23.97</v>
      </c>
      <c r="O22" t="s">
        <v>60</v>
      </c>
      <c r="P22" t="s">
        <v>490</v>
      </c>
      <c r="Q22">
        <v>0</v>
      </c>
      <c r="R22">
        <v>0</v>
      </c>
    </row>
    <row r="23" spans="1:18" x14ac:dyDescent="0.35">
      <c r="A23" t="s">
        <v>197</v>
      </c>
      <c r="B23" t="s">
        <v>483</v>
      </c>
      <c r="C23" t="s">
        <v>484</v>
      </c>
      <c r="D23">
        <v>104378003</v>
      </c>
      <c r="E23" t="s">
        <v>495</v>
      </c>
      <c r="F23" t="s">
        <v>486</v>
      </c>
      <c r="G23">
        <v>0.34</v>
      </c>
      <c r="H23">
        <v>9.26</v>
      </c>
      <c r="I23">
        <v>0</v>
      </c>
      <c r="J23">
        <v>0</v>
      </c>
      <c r="K23">
        <v>9.6</v>
      </c>
      <c r="L23" t="s">
        <v>487</v>
      </c>
      <c r="M23">
        <v>230</v>
      </c>
      <c r="N23">
        <v>23.97</v>
      </c>
      <c r="O23" t="s">
        <v>60</v>
      </c>
      <c r="P23" t="s">
        <v>491</v>
      </c>
      <c r="Q23">
        <v>0</v>
      </c>
      <c r="R23">
        <v>0</v>
      </c>
    </row>
    <row r="24" spans="1:18" x14ac:dyDescent="0.35">
      <c r="A24" t="s">
        <v>197</v>
      </c>
      <c r="B24" t="s">
        <v>483</v>
      </c>
      <c r="C24" t="s">
        <v>484</v>
      </c>
      <c r="D24">
        <v>104378003</v>
      </c>
      <c r="E24" t="s">
        <v>495</v>
      </c>
      <c r="F24" t="s">
        <v>486</v>
      </c>
      <c r="G24">
        <v>0.34</v>
      </c>
      <c r="H24">
        <v>9.26</v>
      </c>
      <c r="I24">
        <v>0</v>
      </c>
      <c r="J24">
        <v>0</v>
      </c>
      <c r="K24">
        <v>9.6</v>
      </c>
      <c r="L24" t="s">
        <v>487</v>
      </c>
      <c r="M24">
        <v>230</v>
      </c>
      <c r="N24">
        <v>23.97</v>
      </c>
      <c r="O24" t="s">
        <v>60</v>
      </c>
      <c r="P24" t="s">
        <v>492</v>
      </c>
      <c r="Q24">
        <v>2510</v>
      </c>
      <c r="R24">
        <v>261.54000000000002</v>
      </c>
    </row>
    <row r="25" spans="1:18" x14ac:dyDescent="0.35">
      <c r="A25" t="s">
        <v>197</v>
      </c>
      <c r="B25" t="s">
        <v>483</v>
      </c>
      <c r="C25" t="s">
        <v>484</v>
      </c>
      <c r="D25">
        <v>104378003</v>
      </c>
      <c r="E25" t="s">
        <v>495</v>
      </c>
      <c r="F25" t="s">
        <v>486</v>
      </c>
      <c r="G25">
        <v>0.34</v>
      </c>
      <c r="H25">
        <v>9.26</v>
      </c>
      <c r="I25">
        <v>0</v>
      </c>
      <c r="J25">
        <v>0</v>
      </c>
      <c r="K25">
        <v>9.6</v>
      </c>
      <c r="L25" t="s">
        <v>487</v>
      </c>
      <c r="M25">
        <v>230</v>
      </c>
      <c r="N25">
        <v>23.97</v>
      </c>
      <c r="O25" t="s">
        <v>81</v>
      </c>
      <c r="P25" t="s">
        <v>492</v>
      </c>
      <c r="Q25">
        <v>230</v>
      </c>
      <c r="R25">
        <v>23.97</v>
      </c>
    </row>
    <row r="26" spans="1:18" x14ac:dyDescent="0.35">
      <c r="A26" t="s">
        <v>197</v>
      </c>
      <c r="B26" t="s">
        <v>483</v>
      </c>
      <c r="C26" t="s">
        <v>484</v>
      </c>
      <c r="D26">
        <v>106036051</v>
      </c>
      <c r="E26" t="s">
        <v>560</v>
      </c>
      <c r="F26" t="s">
        <v>486</v>
      </c>
      <c r="G26">
        <v>0</v>
      </c>
      <c r="H26">
        <v>1.39</v>
      </c>
      <c r="I26">
        <v>0</v>
      </c>
      <c r="J26">
        <v>0</v>
      </c>
      <c r="K26">
        <v>1.39</v>
      </c>
      <c r="L26" t="s">
        <v>487</v>
      </c>
      <c r="M26">
        <v>9</v>
      </c>
      <c r="N26">
        <v>6.49</v>
      </c>
      <c r="O26" t="s">
        <v>60</v>
      </c>
      <c r="P26" t="s">
        <v>488</v>
      </c>
      <c r="Q26">
        <v>0</v>
      </c>
      <c r="R26">
        <v>0</v>
      </c>
    </row>
    <row r="27" spans="1:18" x14ac:dyDescent="0.35">
      <c r="A27" t="s">
        <v>197</v>
      </c>
      <c r="B27" t="s">
        <v>483</v>
      </c>
      <c r="C27" t="s">
        <v>484</v>
      </c>
      <c r="D27">
        <v>106036051</v>
      </c>
      <c r="E27" t="s">
        <v>560</v>
      </c>
      <c r="F27" t="s">
        <v>486</v>
      </c>
      <c r="G27">
        <v>0</v>
      </c>
      <c r="H27">
        <v>1.39</v>
      </c>
      <c r="I27">
        <v>0</v>
      </c>
      <c r="J27">
        <v>0</v>
      </c>
      <c r="K27">
        <v>1.39</v>
      </c>
      <c r="L27" t="s">
        <v>487</v>
      </c>
      <c r="M27">
        <v>9</v>
      </c>
      <c r="N27">
        <v>6.49</v>
      </c>
      <c r="O27" t="s">
        <v>60</v>
      </c>
      <c r="P27" t="s">
        <v>489</v>
      </c>
      <c r="Q27">
        <v>156</v>
      </c>
      <c r="R27">
        <v>112.45</v>
      </c>
    </row>
    <row r="28" spans="1:18" x14ac:dyDescent="0.35">
      <c r="A28" t="s">
        <v>197</v>
      </c>
      <c r="B28" t="s">
        <v>483</v>
      </c>
      <c r="C28" t="s">
        <v>484</v>
      </c>
      <c r="D28">
        <v>106036051</v>
      </c>
      <c r="E28" t="s">
        <v>560</v>
      </c>
      <c r="F28" t="s">
        <v>486</v>
      </c>
      <c r="G28">
        <v>0</v>
      </c>
      <c r="H28">
        <v>1.39</v>
      </c>
      <c r="I28">
        <v>0</v>
      </c>
      <c r="J28">
        <v>0</v>
      </c>
      <c r="K28">
        <v>1.39</v>
      </c>
      <c r="L28" t="s">
        <v>487</v>
      </c>
      <c r="M28">
        <v>9</v>
      </c>
      <c r="N28">
        <v>6.49</v>
      </c>
      <c r="O28" t="s">
        <v>60</v>
      </c>
      <c r="P28" t="s">
        <v>490</v>
      </c>
      <c r="Q28">
        <v>0</v>
      </c>
      <c r="R28">
        <v>0</v>
      </c>
    </row>
    <row r="29" spans="1:18" x14ac:dyDescent="0.35">
      <c r="A29" t="s">
        <v>197</v>
      </c>
      <c r="B29" t="s">
        <v>483</v>
      </c>
      <c r="C29" t="s">
        <v>484</v>
      </c>
      <c r="D29">
        <v>106036051</v>
      </c>
      <c r="E29" t="s">
        <v>560</v>
      </c>
      <c r="F29" t="s">
        <v>486</v>
      </c>
      <c r="G29">
        <v>0</v>
      </c>
      <c r="H29">
        <v>1.39</v>
      </c>
      <c r="I29">
        <v>0</v>
      </c>
      <c r="J29">
        <v>0</v>
      </c>
      <c r="K29">
        <v>1.39</v>
      </c>
      <c r="L29" t="s">
        <v>487</v>
      </c>
      <c r="M29">
        <v>9</v>
      </c>
      <c r="N29">
        <v>6.49</v>
      </c>
      <c r="O29" t="s">
        <v>60</v>
      </c>
      <c r="P29" t="s">
        <v>491</v>
      </c>
      <c r="Q29">
        <v>0</v>
      </c>
      <c r="R29">
        <v>0</v>
      </c>
    </row>
    <row r="30" spans="1:18" x14ac:dyDescent="0.35">
      <c r="A30" t="s">
        <v>197</v>
      </c>
      <c r="B30" t="s">
        <v>483</v>
      </c>
      <c r="C30" t="s">
        <v>484</v>
      </c>
      <c r="D30">
        <v>106036051</v>
      </c>
      <c r="E30" t="s">
        <v>560</v>
      </c>
      <c r="F30" t="s">
        <v>486</v>
      </c>
      <c r="G30">
        <v>0</v>
      </c>
      <c r="H30">
        <v>1.39</v>
      </c>
      <c r="I30">
        <v>0</v>
      </c>
      <c r="J30">
        <v>0</v>
      </c>
      <c r="K30">
        <v>1.39</v>
      </c>
      <c r="L30" t="s">
        <v>487</v>
      </c>
      <c r="M30">
        <v>9</v>
      </c>
      <c r="N30">
        <v>6.49</v>
      </c>
      <c r="O30" t="s">
        <v>60</v>
      </c>
      <c r="P30" t="s">
        <v>492</v>
      </c>
      <c r="Q30">
        <v>156</v>
      </c>
      <c r="R30">
        <v>112.45</v>
      </c>
    </row>
    <row r="31" spans="1:18" x14ac:dyDescent="0.35">
      <c r="A31" t="s">
        <v>197</v>
      </c>
      <c r="B31" t="s">
        <v>483</v>
      </c>
      <c r="C31" t="s">
        <v>484</v>
      </c>
      <c r="D31">
        <v>106036051</v>
      </c>
      <c r="E31" t="s">
        <v>560</v>
      </c>
      <c r="F31" t="s">
        <v>486</v>
      </c>
      <c r="G31">
        <v>0</v>
      </c>
      <c r="H31">
        <v>1.39</v>
      </c>
      <c r="I31">
        <v>0</v>
      </c>
      <c r="J31">
        <v>0</v>
      </c>
      <c r="K31">
        <v>1.39</v>
      </c>
      <c r="L31" t="s">
        <v>487</v>
      </c>
      <c r="M31">
        <v>9</v>
      </c>
      <c r="N31">
        <v>6.49</v>
      </c>
      <c r="O31" t="s">
        <v>81</v>
      </c>
      <c r="P31" t="s">
        <v>492</v>
      </c>
      <c r="Q31">
        <v>9</v>
      </c>
      <c r="R31">
        <v>6.49</v>
      </c>
    </row>
    <row r="32" spans="1:18" x14ac:dyDescent="0.35">
      <c r="A32" t="s">
        <v>197</v>
      </c>
      <c r="B32" t="s">
        <v>483</v>
      </c>
      <c r="C32" t="s">
        <v>484</v>
      </c>
      <c r="D32">
        <v>106534472</v>
      </c>
      <c r="E32" t="s">
        <v>533</v>
      </c>
      <c r="F32" t="s">
        <v>497</v>
      </c>
      <c r="G32">
        <v>0</v>
      </c>
      <c r="H32">
        <v>0.87</v>
      </c>
      <c r="I32">
        <v>0</v>
      </c>
      <c r="J32">
        <v>0</v>
      </c>
      <c r="K32">
        <v>0.87</v>
      </c>
      <c r="L32" t="s">
        <v>487</v>
      </c>
      <c r="M32">
        <v>46</v>
      </c>
      <c r="N32">
        <v>53.09</v>
      </c>
      <c r="O32" t="s">
        <v>60</v>
      </c>
      <c r="P32" t="s">
        <v>488</v>
      </c>
      <c r="Q32">
        <v>0</v>
      </c>
      <c r="R32">
        <v>0</v>
      </c>
    </row>
    <row r="33" spans="1:18" x14ac:dyDescent="0.35">
      <c r="A33" t="s">
        <v>197</v>
      </c>
      <c r="B33" t="s">
        <v>483</v>
      </c>
      <c r="C33" t="s">
        <v>484</v>
      </c>
      <c r="D33">
        <v>106534472</v>
      </c>
      <c r="E33" t="s">
        <v>533</v>
      </c>
      <c r="F33" t="s">
        <v>497</v>
      </c>
      <c r="G33">
        <v>0</v>
      </c>
      <c r="H33">
        <v>0.87</v>
      </c>
      <c r="I33">
        <v>0</v>
      </c>
      <c r="J33">
        <v>0</v>
      </c>
      <c r="K33">
        <v>0.87</v>
      </c>
      <c r="L33" t="s">
        <v>487</v>
      </c>
      <c r="M33">
        <v>46</v>
      </c>
      <c r="N33">
        <v>53.09</v>
      </c>
      <c r="O33" t="s">
        <v>60</v>
      </c>
      <c r="P33" t="s">
        <v>489</v>
      </c>
      <c r="Q33">
        <v>286</v>
      </c>
      <c r="R33">
        <v>330.11</v>
      </c>
    </row>
    <row r="34" spans="1:18" x14ac:dyDescent="0.35">
      <c r="A34" t="s">
        <v>197</v>
      </c>
      <c r="B34" t="s">
        <v>483</v>
      </c>
      <c r="C34" t="s">
        <v>484</v>
      </c>
      <c r="D34">
        <v>106534472</v>
      </c>
      <c r="E34" t="s">
        <v>533</v>
      </c>
      <c r="F34" t="s">
        <v>497</v>
      </c>
      <c r="G34">
        <v>0</v>
      </c>
      <c r="H34">
        <v>0.87</v>
      </c>
      <c r="I34">
        <v>0</v>
      </c>
      <c r="J34">
        <v>0</v>
      </c>
      <c r="K34">
        <v>0.87</v>
      </c>
      <c r="L34" t="s">
        <v>487</v>
      </c>
      <c r="M34">
        <v>46</v>
      </c>
      <c r="N34">
        <v>53.09</v>
      </c>
      <c r="O34" t="s">
        <v>60</v>
      </c>
      <c r="P34" t="s">
        <v>490</v>
      </c>
      <c r="Q34">
        <v>0</v>
      </c>
      <c r="R34">
        <v>0</v>
      </c>
    </row>
    <row r="35" spans="1:18" x14ac:dyDescent="0.35">
      <c r="A35" t="s">
        <v>197</v>
      </c>
      <c r="B35" t="s">
        <v>483</v>
      </c>
      <c r="C35" t="s">
        <v>484</v>
      </c>
      <c r="D35">
        <v>106534472</v>
      </c>
      <c r="E35" t="s">
        <v>533</v>
      </c>
      <c r="F35" t="s">
        <v>497</v>
      </c>
      <c r="G35">
        <v>0</v>
      </c>
      <c r="H35">
        <v>0.87</v>
      </c>
      <c r="I35">
        <v>0</v>
      </c>
      <c r="J35">
        <v>0</v>
      </c>
      <c r="K35">
        <v>0.87</v>
      </c>
      <c r="L35" t="s">
        <v>487</v>
      </c>
      <c r="M35">
        <v>46</v>
      </c>
      <c r="N35">
        <v>53.09</v>
      </c>
      <c r="O35" t="s">
        <v>60</v>
      </c>
      <c r="P35" t="s">
        <v>491</v>
      </c>
      <c r="Q35">
        <v>0</v>
      </c>
      <c r="R35">
        <v>0</v>
      </c>
    </row>
    <row r="36" spans="1:18" x14ac:dyDescent="0.35">
      <c r="A36" t="s">
        <v>197</v>
      </c>
      <c r="B36" t="s">
        <v>483</v>
      </c>
      <c r="C36" t="s">
        <v>484</v>
      </c>
      <c r="D36">
        <v>106534472</v>
      </c>
      <c r="E36" t="s">
        <v>533</v>
      </c>
      <c r="F36" t="s">
        <v>497</v>
      </c>
      <c r="G36">
        <v>0</v>
      </c>
      <c r="H36">
        <v>0.87</v>
      </c>
      <c r="I36">
        <v>0</v>
      </c>
      <c r="J36">
        <v>0</v>
      </c>
      <c r="K36">
        <v>0.87</v>
      </c>
      <c r="L36" t="s">
        <v>487</v>
      </c>
      <c r="M36">
        <v>46</v>
      </c>
      <c r="N36">
        <v>53.09</v>
      </c>
      <c r="O36" t="s">
        <v>60</v>
      </c>
      <c r="P36" t="s">
        <v>492</v>
      </c>
      <c r="Q36">
        <v>286</v>
      </c>
      <c r="R36">
        <v>330.11</v>
      </c>
    </row>
    <row r="37" spans="1:18" x14ac:dyDescent="0.35">
      <c r="A37" t="s">
        <v>197</v>
      </c>
      <c r="B37" t="s">
        <v>483</v>
      </c>
      <c r="C37" t="s">
        <v>484</v>
      </c>
      <c r="D37">
        <v>106534472</v>
      </c>
      <c r="E37" t="s">
        <v>533</v>
      </c>
      <c r="F37" t="s">
        <v>497</v>
      </c>
      <c r="G37">
        <v>0</v>
      </c>
      <c r="H37">
        <v>0.87</v>
      </c>
      <c r="I37">
        <v>0</v>
      </c>
      <c r="J37">
        <v>0</v>
      </c>
      <c r="K37">
        <v>0.87</v>
      </c>
      <c r="L37" t="s">
        <v>487</v>
      </c>
      <c r="M37">
        <v>46</v>
      </c>
      <c r="N37">
        <v>53.09</v>
      </c>
      <c r="O37" t="s">
        <v>81</v>
      </c>
      <c r="P37" t="s">
        <v>492</v>
      </c>
      <c r="Q37">
        <v>46</v>
      </c>
      <c r="R37">
        <v>53.09</v>
      </c>
    </row>
    <row r="38" spans="1:18" x14ac:dyDescent="0.35">
      <c r="A38" t="s">
        <v>197</v>
      </c>
      <c r="B38" t="s">
        <v>483</v>
      </c>
      <c r="C38" t="s">
        <v>484</v>
      </c>
      <c r="D38">
        <v>106594105</v>
      </c>
      <c r="E38" t="s">
        <v>561</v>
      </c>
      <c r="F38" t="s">
        <v>499</v>
      </c>
      <c r="G38">
        <v>0.02</v>
      </c>
      <c r="H38">
        <v>3.92</v>
      </c>
      <c r="I38">
        <v>0</v>
      </c>
      <c r="J38">
        <v>0</v>
      </c>
      <c r="K38">
        <v>3.93</v>
      </c>
      <c r="L38" t="s">
        <v>487</v>
      </c>
      <c r="M38">
        <v>130</v>
      </c>
      <c r="N38">
        <v>33.049999999999997</v>
      </c>
      <c r="O38" t="s">
        <v>60</v>
      </c>
      <c r="P38" t="s">
        <v>488</v>
      </c>
      <c r="Q38">
        <v>24</v>
      </c>
      <c r="R38">
        <v>1464.41</v>
      </c>
    </row>
    <row r="39" spans="1:18" x14ac:dyDescent="0.35">
      <c r="A39" t="s">
        <v>197</v>
      </c>
      <c r="B39" t="s">
        <v>483</v>
      </c>
      <c r="C39" t="s">
        <v>484</v>
      </c>
      <c r="D39">
        <v>106594105</v>
      </c>
      <c r="E39" t="s">
        <v>561</v>
      </c>
      <c r="F39" t="s">
        <v>499</v>
      </c>
      <c r="G39">
        <v>0.02</v>
      </c>
      <c r="H39">
        <v>3.92</v>
      </c>
      <c r="I39">
        <v>0</v>
      </c>
      <c r="J39">
        <v>0</v>
      </c>
      <c r="K39">
        <v>3.93</v>
      </c>
      <c r="L39" t="s">
        <v>487</v>
      </c>
      <c r="M39">
        <v>130</v>
      </c>
      <c r="N39">
        <v>33.049999999999997</v>
      </c>
      <c r="O39" t="s">
        <v>60</v>
      </c>
      <c r="P39" t="s">
        <v>489</v>
      </c>
      <c r="Q39">
        <v>991</v>
      </c>
      <c r="R39">
        <v>253.02</v>
      </c>
    </row>
    <row r="40" spans="1:18" x14ac:dyDescent="0.35">
      <c r="A40" t="s">
        <v>197</v>
      </c>
      <c r="B40" t="s">
        <v>483</v>
      </c>
      <c r="C40" t="s">
        <v>484</v>
      </c>
      <c r="D40">
        <v>106594105</v>
      </c>
      <c r="E40" t="s">
        <v>561</v>
      </c>
      <c r="F40" t="s">
        <v>499</v>
      </c>
      <c r="G40">
        <v>0.02</v>
      </c>
      <c r="H40">
        <v>3.92</v>
      </c>
      <c r="I40">
        <v>0</v>
      </c>
      <c r="J40">
        <v>0</v>
      </c>
      <c r="K40">
        <v>3.93</v>
      </c>
      <c r="L40" t="s">
        <v>487</v>
      </c>
      <c r="M40">
        <v>130</v>
      </c>
      <c r="N40">
        <v>33.049999999999997</v>
      </c>
      <c r="O40" t="s">
        <v>60</v>
      </c>
      <c r="P40" t="s">
        <v>490</v>
      </c>
      <c r="Q40">
        <v>0</v>
      </c>
      <c r="R40">
        <v>0</v>
      </c>
    </row>
    <row r="41" spans="1:18" x14ac:dyDescent="0.35">
      <c r="A41" t="s">
        <v>197</v>
      </c>
      <c r="B41" t="s">
        <v>483</v>
      </c>
      <c r="C41" t="s">
        <v>484</v>
      </c>
      <c r="D41">
        <v>106594105</v>
      </c>
      <c r="E41" t="s">
        <v>561</v>
      </c>
      <c r="F41" t="s">
        <v>499</v>
      </c>
      <c r="G41">
        <v>0.02</v>
      </c>
      <c r="H41">
        <v>3.92</v>
      </c>
      <c r="I41">
        <v>0</v>
      </c>
      <c r="J41">
        <v>0</v>
      </c>
      <c r="K41">
        <v>3.93</v>
      </c>
      <c r="L41" t="s">
        <v>487</v>
      </c>
      <c r="M41">
        <v>130</v>
      </c>
      <c r="N41">
        <v>33.049999999999997</v>
      </c>
      <c r="O41" t="s">
        <v>60</v>
      </c>
      <c r="P41" t="s">
        <v>491</v>
      </c>
      <c r="Q41">
        <v>0</v>
      </c>
      <c r="R41">
        <v>0</v>
      </c>
    </row>
    <row r="42" spans="1:18" x14ac:dyDescent="0.35">
      <c r="A42" t="s">
        <v>197</v>
      </c>
      <c r="B42" t="s">
        <v>483</v>
      </c>
      <c r="C42" t="s">
        <v>484</v>
      </c>
      <c r="D42">
        <v>106594105</v>
      </c>
      <c r="E42" t="s">
        <v>561</v>
      </c>
      <c r="F42" t="s">
        <v>499</v>
      </c>
      <c r="G42">
        <v>0.02</v>
      </c>
      <c r="H42">
        <v>3.92</v>
      </c>
      <c r="I42">
        <v>0</v>
      </c>
      <c r="J42">
        <v>0</v>
      </c>
      <c r="K42">
        <v>3.93</v>
      </c>
      <c r="L42" t="s">
        <v>487</v>
      </c>
      <c r="M42">
        <v>130</v>
      </c>
      <c r="N42">
        <v>33.049999999999997</v>
      </c>
      <c r="O42" t="s">
        <v>60</v>
      </c>
      <c r="P42" t="s">
        <v>492</v>
      </c>
      <c r="Q42">
        <v>1015</v>
      </c>
      <c r="R42">
        <v>258.05</v>
      </c>
    </row>
    <row r="43" spans="1:18" x14ac:dyDescent="0.35">
      <c r="A43" t="s">
        <v>197</v>
      </c>
      <c r="B43" t="s">
        <v>483</v>
      </c>
      <c r="C43" t="s">
        <v>484</v>
      </c>
      <c r="D43">
        <v>106594105</v>
      </c>
      <c r="E43" t="s">
        <v>561</v>
      </c>
      <c r="F43" t="s">
        <v>499</v>
      </c>
      <c r="G43">
        <v>0.02</v>
      </c>
      <c r="H43">
        <v>3.92</v>
      </c>
      <c r="I43">
        <v>0</v>
      </c>
      <c r="J43">
        <v>0</v>
      </c>
      <c r="K43">
        <v>3.93</v>
      </c>
      <c r="L43" t="s">
        <v>487</v>
      </c>
      <c r="M43">
        <v>130</v>
      </c>
      <c r="N43">
        <v>33.049999999999997</v>
      </c>
      <c r="O43" t="s">
        <v>81</v>
      </c>
      <c r="P43" t="s">
        <v>492</v>
      </c>
      <c r="Q43">
        <v>130</v>
      </c>
      <c r="R43">
        <v>33.049999999999997</v>
      </c>
    </row>
    <row r="44" spans="1:18" x14ac:dyDescent="0.35">
      <c r="A44" t="s">
        <v>197</v>
      </c>
      <c r="B44" t="s">
        <v>483</v>
      </c>
      <c r="C44" t="s">
        <v>493</v>
      </c>
      <c r="D44">
        <v>106677842</v>
      </c>
      <c r="E44" t="s">
        <v>552</v>
      </c>
      <c r="F44" t="s">
        <v>497</v>
      </c>
      <c r="G44">
        <v>0</v>
      </c>
      <c r="H44">
        <v>3.3</v>
      </c>
      <c r="I44">
        <v>0</v>
      </c>
      <c r="J44">
        <v>0</v>
      </c>
      <c r="K44">
        <v>3.3</v>
      </c>
      <c r="L44" t="s">
        <v>487</v>
      </c>
      <c r="M44">
        <v>54</v>
      </c>
      <c r="N44">
        <v>16.36</v>
      </c>
      <c r="O44" t="s">
        <v>60</v>
      </c>
      <c r="P44" t="s">
        <v>488</v>
      </c>
      <c r="Q44">
        <v>0</v>
      </c>
      <c r="R44">
        <v>0</v>
      </c>
    </row>
    <row r="45" spans="1:18" x14ac:dyDescent="0.35">
      <c r="A45" t="s">
        <v>197</v>
      </c>
      <c r="B45" t="s">
        <v>483</v>
      </c>
      <c r="C45" t="s">
        <v>493</v>
      </c>
      <c r="D45">
        <v>106677842</v>
      </c>
      <c r="E45" t="s">
        <v>552</v>
      </c>
      <c r="F45" t="s">
        <v>497</v>
      </c>
      <c r="G45">
        <v>0</v>
      </c>
      <c r="H45">
        <v>3.3</v>
      </c>
      <c r="I45">
        <v>0</v>
      </c>
      <c r="J45">
        <v>0</v>
      </c>
      <c r="K45">
        <v>3.3</v>
      </c>
      <c r="L45" t="s">
        <v>487</v>
      </c>
      <c r="M45">
        <v>54</v>
      </c>
      <c r="N45">
        <v>16.36</v>
      </c>
      <c r="O45" t="s">
        <v>60</v>
      </c>
      <c r="P45" t="s">
        <v>489</v>
      </c>
      <c r="Q45">
        <v>414</v>
      </c>
      <c r="R45">
        <v>125.45</v>
      </c>
    </row>
    <row r="46" spans="1:18" x14ac:dyDescent="0.35">
      <c r="A46" t="s">
        <v>197</v>
      </c>
      <c r="B46" t="s">
        <v>483</v>
      </c>
      <c r="C46" t="s">
        <v>493</v>
      </c>
      <c r="D46">
        <v>106677842</v>
      </c>
      <c r="E46" t="s">
        <v>552</v>
      </c>
      <c r="F46" t="s">
        <v>497</v>
      </c>
      <c r="G46">
        <v>0</v>
      </c>
      <c r="H46">
        <v>3.3</v>
      </c>
      <c r="I46">
        <v>0</v>
      </c>
      <c r="J46">
        <v>0</v>
      </c>
      <c r="K46">
        <v>3.3</v>
      </c>
      <c r="L46" t="s">
        <v>487</v>
      </c>
      <c r="M46">
        <v>54</v>
      </c>
      <c r="N46">
        <v>16.36</v>
      </c>
      <c r="O46" t="s">
        <v>60</v>
      </c>
      <c r="P46" t="s">
        <v>490</v>
      </c>
      <c r="Q46">
        <v>0</v>
      </c>
      <c r="R46">
        <v>0</v>
      </c>
    </row>
    <row r="47" spans="1:18" x14ac:dyDescent="0.35">
      <c r="A47" t="s">
        <v>197</v>
      </c>
      <c r="B47" t="s">
        <v>483</v>
      </c>
      <c r="C47" t="s">
        <v>493</v>
      </c>
      <c r="D47">
        <v>106677842</v>
      </c>
      <c r="E47" t="s">
        <v>552</v>
      </c>
      <c r="F47" t="s">
        <v>497</v>
      </c>
      <c r="G47">
        <v>0</v>
      </c>
      <c r="H47">
        <v>3.3</v>
      </c>
      <c r="I47">
        <v>0</v>
      </c>
      <c r="J47">
        <v>0</v>
      </c>
      <c r="K47">
        <v>3.3</v>
      </c>
      <c r="L47" t="s">
        <v>487</v>
      </c>
      <c r="M47">
        <v>54</v>
      </c>
      <c r="N47">
        <v>16.36</v>
      </c>
      <c r="O47" t="s">
        <v>60</v>
      </c>
      <c r="P47" t="s">
        <v>491</v>
      </c>
      <c r="Q47">
        <v>0</v>
      </c>
      <c r="R47">
        <v>0</v>
      </c>
    </row>
    <row r="48" spans="1:18" x14ac:dyDescent="0.35">
      <c r="A48" t="s">
        <v>197</v>
      </c>
      <c r="B48" t="s">
        <v>483</v>
      </c>
      <c r="C48" t="s">
        <v>493</v>
      </c>
      <c r="D48">
        <v>106677842</v>
      </c>
      <c r="E48" t="s">
        <v>552</v>
      </c>
      <c r="F48" t="s">
        <v>497</v>
      </c>
      <c r="G48">
        <v>0</v>
      </c>
      <c r="H48">
        <v>3.3</v>
      </c>
      <c r="I48">
        <v>0</v>
      </c>
      <c r="J48">
        <v>0</v>
      </c>
      <c r="K48">
        <v>3.3</v>
      </c>
      <c r="L48" t="s">
        <v>487</v>
      </c>
      <c r="M48">
        <v>54</v>
      </c>
      <c r="N48">
        <v>16.36</v>
      </c>
      <c r="O48" t="s">
        <v>60</v>
      </c>
      <c r="P48" t="s">
        <v>492</v>
      </c>
      <c r="Q48">
        <v>414</v>
      </c>
      <c r="R48">
        <v>125.45</v>
      </c>
    </row>
    <row r="49" spans="1:18" x14ac:dyDescent="0.35">
      <c r="A49" t="s">
        <v>197</v>
      </c>
      <c r="B49" t="s">
        <v>483</v>
      </c>
      <c r="C49" t="s">
        <v>493</v>
      </c>
      <c r="D49">
        <v>106677842</v>
      </c>
      <c r="E49" t="s">
        <v>552</v>
      </c>
      <c r="F49" t="s">
        <v>497</v>
      </c>
      <c r="G49">
        <v>0</v>
      </c>
      <c r="H49">
        <v>3.3</v>
      </c>
      <c r="I49">
        <v>0</v>
      </c>
      <c r="J49">
        <v>0</v>
      </c>
      <c r="K49">
        <v>3.3</v>
      </c>
      <c r="L49" t="s">
        <v>487</v>
      </c>
      <c r="M49">
        <v>54</v>
      </c>
      <c r="N49">
        <v>16.36</v>
      </c>
      <c r="O49" t="s">
        <v>81</v>
      </c>
      <c r="P49" t="s">
        <v>492</v>
      </c>
      <c r="Q49">
        <v>54</v>
      </c>
      <c r="R49">
        <v>16.36</v>
      </c>
    </row>
    <row r="50" spans="1:18" x14ac:dyDescent="0.35">
      <c r="A50" t="s">
        <v>197</v>
      </c>
      <c r="B50" t="s">
        <v>483</v>
      </c>
      <c r="C50" t="s">
        <v>493</v>
      </c>
      <c r="D50">
        <v>106686591</v>
      </c>
      <c r="E50" t="s">
        <v>587</v>
      </c>
      <c r="F50" t="s">
        <v>486</v>
      </c>
      <c r="G50">
        <v>0.36</v>
      </c>
      <c r="H50">
        <v>5.37</v>
      </c>
      <c r="I50">
        <v>0.05</v>
      </c>
      <c r="J50">
        <v>0</v>
      </c>
      <c r="K50">
        <v>5.77</v>
      </c>
      <c r="L50" t="s">
        <v>487</v>
      </c>
      <c r="M50">
        <v>171</v>
      </c>
      <c r="N50">
        <v>29.62</v>
      </c>
      <c r="O50" t="s">
        <v>60</v>
      </c>
      <c r="P50" t="s">
        <v>488</v>
      </c>
      <c r="Q50">
        <v>464</v>
      </c>
      <c r="R50">
        <v>1301.95</v>
      </c>
    </row>
    <row r="51" spans="1:18" x14ac:dyDescent="0.35">
      <c r="A51" t="s">
        <v>197</v>
      </c>
      <c r="B51" t="s">
        <v>483</v>
      </c>
      <c r="C51" t="s">
        <v>493</v>
      </c>
      <c r="D51">
        <v>106686591</v>
      </c>
      <c r="E51" t="s">
        <v>587</v>
      </c>
      <c r="F51" t="s">
        <v>486</v>
      </c>
      <c r="G51">
        <v>0.36</v>
      </c>
      <c r="H51">
        <v>5.37</v>
      </c>
      <c r="I51">
        <v>0.05</v>
      </c>
      <c r="J51">
        <v>0</v>
      </c>
      <c r="K51">
        <v>5.77</v>
      </c>
      <c r="L51" t="s">
        <v>487</v>
      </c>
      <c r="M51">
        <v>171</v>
      </c>
      <c r="N51">
        <v>29.62</v>
      </c>
      <c r="O51" t="s">
        <v>60</v>
      </c>
      <c r="P51" t="s">
        <v>489</v>
      </c>
      <c r="Q51">
        <v>1210</v>
      </c>
      <c r="R51">
        <v>225.52</v>
      </c>
    </row>
    <row r="52" spans="1:18" x14ac:dyDescent="0.35">
      <c r="A52" t="s">
        <v>197</v>
      </c>
      <c r="B52" t="s">
        <v>483</v>
      </c>
      <c r="C52" t="s">
        <v>493</v>
      </c>
      <c r="D52">
        <v>106686591</v>
      </c>
      <c r="E52" t="s">
        <v>587</v>
      </c>
      <c r="F52" t="s">
        <v>486</v>
      </c>
      <c r="G52">
        <v>0.36</v>
      </c>
      <c r="H52">
        <v>5.37</v>
      </c>
      <c r="I52">
        <v>0.05</v>
      </c>
      <c r="J52">
        <v>0</v>
      </c>
      <c r="K52">
        <v>5.77</v>
      </c>
      <c r="L52" t="s">
        <v>487</v>
      </c>
      <c r="M52">
        <v>171</v>
      </c>
      <c r="N52">
        <v>29.62</v>
      </c>
      <c r="O52" t="s">
        <v>60</v>
      </c>
      <c r="P52" t="s">
        <v>490</v>
      </c>
      <c r="Q52">
        <v>9</v>
      </c>
      <c r="R52">
        <v>176.09</v>
      </c>
    </row>
    <row r="53" spans="1:18" x14ac:dyDescent="0.35">
      <c r="A53" t="s">
        <v>197</v>
      </c>
      <c r="B53" t="s">
        <v>483</v>
      </c>
      <c r="C53" t="s">
        <v>493</v>
      </c>
      <c r="D53">
        <v>106686591</v>
      </c>
      <c r="E53" t="s">
        <v>587</v>
      </c>
      <c r="F53" t="s">
        <v>486</v>
      </c>
      <c r="G53">
        <v>0.36</v>
      </c>
      <c r="H53">
        <v>5.37</v>
      </c>
      <c r="I53">
        <v>0.05</v>
      </c>
      <c r="J53">
        <v>0</v>
      </c>
      <c r="K53">
        <v>5.77</v>
      </c>
      <c r="L53" t="s">
        <v>487</v>
      </c>
      <c r="M53">
        <v>171</v>
      </c>
      <c r="N53">
        <v>29.62</v>
      </c>
      <c r="O53" t="s">
        <v>60</v>
      </c>
      <c r="P53" t="s">
        <v>491</v>
      </c>
      <c r="Q53">
        <v>0</v>
      </c>
      <c r="R53">
        <v>0</v>
      </c>
    </row>
    <row r="54" spans="1:18" x14ac:dyDescent="0.35">
      <c r="A54" t="s">
        <v>197</v>
      </c>
      <c r="B54" t="s">
        <v>483</v>
      </c>
      <c r="C54" t="s">
        <v>493</v>
      </c>
      <c r="D54">
        <v>106686591</v>
      </c>
      <c r="E54" t="s">
        <v>587</v>
      </c>
      <c r="F54" t="s">
        <v>486</v>
      </c>
      <c r="G54">
        <v>0.36</v>
      </c>
      <c r="H54">
        <v>5.37</v>
      </c>
      <c r="I54">
        <v>0.05</v>
      </c>
      <c r="J54">
        <v>0</v>
      </c>
      <c r="K54">
        <v>5.77</v>
      </c>
      <c r="L54" t="s">
        <v>487</v>
      </c>
      <c r="M54">
        <v>171</v>
      </c>
      <c r="N54">
        <v>29.62</v>
      </c>
      <c r="O54" t="s">
        <v>60</v>
      </c>
      <c r="P54" t="s">
        <v>492</v>
      </c>
      <c r="Q54">
        <v>1683</v>
      </c>
      <c r="R54">
        <v>291.51</v>
      </c>
    </row>
    <row r="55" spans="1:18" x14ac:dyDescent="0.35">
      <c r="A55" t="s">
        <v>197</v>
      </c>
      <c r="B55" t="s">
        <v>483</v>
      </c>
      <c r="C55" t="s">
        <v>493</v>
      </c>
      <c r="D55">
        <v>106686591</v>
      </c>
      <c r="E55" t="s">
        <v>587</v>
      </c>
      <c r="F55" t="s">
        <v>486</v>
      </c>
      <c r="G55">
        <v>0.36</v>
      </c>
      <c r="H55">
        <v>5.37</v>
      </c>
      <c r="I55">
        <v>0.05</v>
      </c>
      <c r="J55">
        <v>0</v>
      </c>
      <c r="K55">
        <v>5.77</v>
      </c>
      <c r="L55" t="s">
        <v>487</v>
      </c>
      <c r="M55">
        <v>171</v>
      </c>
      <c r="N55">
        <v>29.62</v>
      </c>
      <c r="O55" t="s">
        <v>81</v>
      </c>
      <c r="P55" t="s">
        <v>492</v>
      </c>
      <c r="Q55">
        <v>171</v>
      </c>
      <c r="R55">
        <v>29.62</v>
      </c>
    </row>
    <row r="56" spans="1:18" x14ac:dyDescent="0.35">
      <c r="A56" t="s">
        <v>197</v>
      </c>
      <c r="B56" t="s">
        <v>483</v>
      </c>
      <c r="C56" t="s">
        <v>493</v>
      </c>
      <c r="D56">
        <v>107221225</v>
      </c>
      <c r="E56" t="s">
        <v>536</v>
      </c>
      <c r="F56" t="s">
        <v>497</v>
      </c>
      <c r="G56">
        <v>0.26</v>
      </c>
      <c r="H56">
        <v>9.73</v>
      </c>
      <c r="I56">
        <v>0.02</v>
      </c>
      <c r="J56">
        <v>0</v>
      </c>
      <c r="K56">
        <v>10.02</v>
      </c>
      <c r="L56" t="s">
        <v>487</v>
      </c>
      <c r="M56">
        <v>325</v>
      </c>
      <c r="N56">
        <v>32.450000000000003</v>
      </c>
      <c r="O56" t="s">
        <v>60</v>
      </c>
      <c r="P56" t="s">
        <v>488</v>
      </c>
      <c r="Q56">
        <v>391</v>
      </c>
      <c r="R56">
        <v>1477.02</v>
      </c>
    </row>
    <row r="57" spans="1:18" x14ac:dyDescent="0.35">
      <c r="A57" t="s">
        <v>197</v>
      </c>
      <c r="B57" t="s">
        <v>483</v>
      </c>
      <c r="C57" t="s">
        <v>493</v>
      </c>
      <c r="D57">
        <v>107221225</v>
      </c>
      <c r="E57" t="s">
        <v>536</v>
      </c>
      <c r="F57" t="s">
        <v>497</v>
      </c>
      <c r="G57">
        <v>0.26</v>
      </c>
      <c r="H57">
        <v>9.73</v>
      </c>
      <c r="I57">
        <v>0.02</v>
      </c>
      <c r="J57">
        <v>0</v>
      </c>
      <c r="K57">
        <v>10.02</v>
      </c>
      <c r="L57" t="s">
        <v>487</v>
      </c>
      <c r="M57">
        <v>325</v>
      </c>
      <c r="N57">
        <v>32.450000000000003</v>
      </c>
      <c r="O57" t="s">
        <v>60</v>
      </c>
      <c r="P57" t="s">
        <v>489</v>
      </c>
      <c r="Q57">
        <v>2488</v>
      </c>
      <c r="R57">
        <v>255.67</v>
      </c>
    </row>
    <row r="58" spans="1:18" x14ac:dyDescent="0.35">
      <c r="A58" t="s">
        <v>197</v>
      </c>
      <c r="B58" t="s">
        <v>483</v>
      </c>
      <c r="C58" t="s">
        <v>493</v>
      </c>
      <c r="D58">
        <v>107221225</v>
      </c>
      <c r="E58" t="s">
        <v>536</v>
      </c>
      <c r="F58" t="s">
        <v>497</v>
      </c>
      <c r="G58">
        <v>0.26</v>
      </c>
      <c r="H58">
        <v>9.73</v>
      </c>
      <c r="I58">
        <v>0.02</v>
      </c>
      <c r="J58">
        <v>0</v>
      </c>
      <c r="K58">
        <v>10.02</v>
      </c>
      <c r="L58" t="s">
        <v>487</v>
      </c>
      <c r="M58">
        <v>325</v>
      </c>
      <c r="N58">
        <v>32.450000000000003</v>
      </c>
      <c r="O58" t="s">
        <v>60</v>
      </c>
      <c r="P58" t="s">
        <v>490</v>
      </c>
      <c r="Q58">
        <v>4</v>
      </c>
      <c r="R58">
        <v>200</v>
      </c>
    </row>
    <row r="59" spans="1:18" x14ac:dyDescent="0.35">
      <c r="A59" t="s">
        <v>197</v>
      </c>
      <c r="B59" t="s">
        <v>483</v>
      </c>
      <c r="C59" t="s">
        <v>493</v>
      </c>
      <c r="D59">
        <v>107221225</v>
      </c>
      <c r="E59" t="s">
        <v>536</v>
      </c>
      <c r="F59" t="s">
        <v>497</v>
      </c>
      <c r="G59">
        <v>0.26</v>
      </c>
      <c r="H59">
        <v>9.73</v>
      </c>
      <c r="I59">
        <v>0.02</v>
      </c>
      <c r="J59">
        <v>0</v>
      </c>
      <c r="K59">
        <v>10.02</v>
      </c>
      <c r="L59" t="s">
        <v>487</v>
      </c>
      <c r="M59">
        <v>325</v>
      </c>
      <c r="N59">
        <v>32.450000000000003</v>
      </c>
      <c r="O59" t="s">
        <v>60</v>
      </c>
      <c r="P59" t="s">
        <v>491</v>
      </c>
      <c r="Q59">
        <v>0</v>
      </c>
      <c r="R59">
        <v>0</v>
      </c>
    </row>
    <row r="60" spans="1:18" x14ac:dyDescent="0.35">
      <c r="A60" t="s">
        <v>197</v>
      </c>
      <c r="B60" t="s">
        <v>483</v>
      </c>
      <c r="C60" t="s">
        <v>493</v>
      </c>
      <c r="D60">
        <v>107221225</v>
      </c>
      <c r="E60" t="s">
        <v>536</v>
      </c>
      <c r="F60" t="s">
        <v>497</v>
      </c>
      <c r="G60">
        <v>0.26</v>
      </c>
      <c r="H60">
        <v>9.73</v>
      </c>
      <c r="I60">
        <v>0.02</v>
      </c>
      <c r="J60">
        <v>0</v>
      </c>
      <c r="K60">
        <v>10.02</v>
      </c>
      <c r="L60" t="s">
        <v>487</v>
      </c>
      <c r="M60">
        <v>325</v>
      </c>
      <c r="N60">
        <v>32.450000000000003</v>
      </c>
      <c r="O60" t="s">
        <v>60</v>
      </c>
      <c r="P60" t="s">
        <v>492</v>
      </c>
      <c r="Q60">
        <v>2883</v>
      </c>
      <c r="R60">
        <v>287.82</v>
      </c>
    </row>
    <row r="61" spans="1:18" x14ac:dyDescent="0.35">
      <c r="A61" t="s">
        <v>197</v>
      </c>
      <c r="B61" t="s">
        <v>483</v>
      </c>
      <c r="C61" t="s">
        <v>493</v>
      </c>
      <c r="D61">
        <v>107221225</v>
      </c>
      <c r="E61" t="s">
        <v>536</v>
      </c>
      <c r="F61" t="s">
        <v>497</v>
      </c>
      <c r="G61">
        <v>0.26</v>
      </c>
      <c r="H61">
        <v>9.73</v>
      </c>
      <c r="I61">
        <v>0.02</v>
      </c>
      <c r="J61">
        <v>0</v>
      </c>
      <c r="K61">
        <v>10.02</v>
      </c>
      <c r="L61" t="s">
        <v>487</v>
      </c>
      <c r="M61">
        <v>325</v>
      </c>
      <c r="N61">
        <v>32.450000000000003</v>
      </c>
      <c r="O61" t="s">
        <v>81</v>
      </c>
      <c r="P61" t="s">
        <v>492</v>
      </c>
      <c r="Q61">
        <v>325</v>
      </c>
      <c r="R61">
        <v>32.450000000000003</v>
      </c>
    </row>
    <row r="62" spans="1:18" x14ac:dyDescent="0.35">
      <c r="A62" t="s">
        <v>197</v>
      </c>
      <c r="B62" t="s">
        <v>483</v>
      </c>
      <c r="C62" t="s">
        <v>484</v>
      </c>
      <c r="D62">
        <v>107221231</v>
      </c>
      <c r="E62" t="s">
        <v>537</v>
      </c>
      <c r="F62" t="s">
        <v>497</v>
      </c>
      <c r="G62">
        <v>0.33</v>
      </c>
      <c r="H62">
        <v>8.6999999999999993</v>
      </c>
      <c r="I62">
        <v>0</v>
      </c>
      <c r="J62">
        <v>0</v>
      </c>
      <c r="K62">
        <v>9.0299999999999994</v>
      </c>
      <c r="L62" t="s">
        <v>487</v>
      </c>
      <c r="M62">
        <v>289</v>
      </c>
      <c r="N62">
        <v>31.99</v>
      </c>
      <c r="O62" t="s">
        <v>60</v>
      </c>
      <c r="P62" t="s">
        <v>488</v>
      </c>
      <c r="Q62">
        <v>498</v>
      </c>
      <c r="R62">
        <v>1491.51</v>
      </c>
    </row>
    <row r="63" spans="1:18" x14ac:dyDescent="0.35">
      <c r="A63" t="s">
        <v>197</v>
      </c>
      <c r="B63" t="s">
        <v>483</v>
      </c>
      <c r="C63" t="s">
        <v>484</v>
      </c>
      <c r="D63">
        <v>107221231</v>
      </c>
      <c r="E63" t="s">
        <v>537</v>
      </c>
      <c r="F63" t="s">
        <v>497</v>
      </c>
      <c r="G63">
        <v>0.33</v>
      </c>
      <c r="H63">
        <v>8.6999999999999993</v>
      </c>
      <c r="I63">
        <v>0</v>
      </c>
      <c r="J63">
        <v>0</v>
      </c>
      <c r="K63">
        <v>9.0299999999999994</v>
      </c>
      <c r="L63" t="s">
        <v>487</v>
      </c>
      <c r="M63">
        <v>289</v>
      </c>
      <c r="N63">
        <v>31.99</v>
      </c>
      <c r="O63" t="s">
        <v>60</v>
      </c>
      <c r="P63" t="s">
        <v>489</v>
      </c>
      <c r="Q63">
        <v>2247</v>
      </c>
      <c r="R63">
        <v>258.3</v>
      </c>
    </row>
    <row r="64" spans="1:18" x14ac:dyDescent="0.35">
      <c r="A64" t="s">
        <v>197</v>
      </c>
      <c r="B64" t="s">
        <v>483</v>
      </c>
      <c r="C64" t="s">
        <v>484</v>
      </c>
      <c r="D64">
        <v>107221231</v>
      </c>
      <c r="E64" t="s">
        <v>537</v>
      </c>
      <c r="F64" t="s">
        <v>497</v>
      </c>
      <c r="G64">
        <v>0.33</v>
      </c>
      <c r="H64">
        <v>8.6999999999999993</v>
      </c>
      <c r="I64">
        <v>0</v>
      </c>
      <c r="J64">
        <v>0</v>
      </c>
      <c r="K64">
        <v>9.0299999999999994</v>
      </c>
      <c r="L64" t="s">
        <v>487</v>
      </c>
      <c r="M64">
        <v>289</v>
      </c>
      <c r="N64">
        <v>31.99</v>
      </c>
      <c r="O64" t="s">
        <v>60</v>
      </c>
      <c r="P64" t="s">
        <v>490</v>
      </c>
      <c r="Q64">
        <v>0</v>
      </c>
      <c r="R64">
        <v>0</v>
      </c>
    </row>
    <row r="65" spans="1:18" x14ac:dyDescent="0.35">
      <c r="A65" t="s">
        <v>197</v>
      </c>
      <c r="B65" t="s">
        <v>483</v>
      </c>
      <c r="C65" t="s">
        <v>484</v>
      </c>
      <c r="D65">
        <v>107221231</v>
      </c>
      <c r="E65" t="s">
        <v>537</v>
      </c>
      <c r="F65" t="s">
        <v>497</v>
      </c>
      <c r="G65">
        <v>0.33</v>
      </c>
      <c r="H65">
        <v>8.6999999999999993</v>
      </c>
      <c r="I65">
        <v>0</v>
      </c>
      <c r="J65">
        <v>0</v>
      </c>
      <c r="K65">
        <v>9.0299999999999994</v>
      </c>
      <c r="L65" t="s">
        <v>487</v>
      </c>
      <c r="M65">
        <v>289</v>
      </c>
      <c r="N65">
        <v>31.99</v>
      </c>
      <c r="O65" t="s">
        <v>60</v>
      </c>
      <c r="P65" t="s">
        <v>491</v>
      </c>
      <c r="Q65">
        <v>0</v>
      </c>
      <c r="R65">
        <v>0</v>
      </c>
    </row>
    <row r="66" spans="1:18" x14ac:dyDescent="0.35">
      <c r="A66" t="s">
        <v>197</v>
      </c>
      <c r="B66" t="s">
        <v>483</v>
      </c>
      <c r="C66" t="s">
        <v>484</v>
      </c>
      <c r="D66">
        <v>107221231</v>
      </c>
      <c r="E66" t="s">
        <v>537</v>
      </c>
      <c r="F66" t="s">
        <v>497</v>
      </c>
      <c r="G66">
        <v>0.33</v>
      </c>
      <c r="H66">
        <v>8.6999999999999993</v>
      </c>
      <c r="I66">
        <v>0</v>
      </c>
      <c r="J66">
        <v>0</v>
      </c>
      <c r="K66">
        <v>9.0299999999999994</v>
      </c>
      <c r="L66" t="s">
        <v>487</v>
      </c>
      <c r="M66">
        <v>289</v>
      </c>
      <c r="N66">
        <v>31.99</v>
      </c>
      <c r="O66" t="s">
        <v>60</v>
      </c>
      <c r="P66" t="s">
        <v>492</v>
      </c>
      <c r="Q66">
        <v>2745</v>
      </c>
      <c r="R66">
        <v>303.87</v>
      </c>
    </row>
    <row r="67" spans="1:18" x14ac:dyDescent="0.35">
      <c r="A67" t="s">
        <v>197</v>
      </c>
      <c r="B67" t="s">
        <v>483</v>
      </c>
      <c r="C67" t="s">
        <v>484</v>
      </c>
      <c r="D67">
        <v>107221231</v>
      </c>
      <c r="E67" t="s">
        <v>537</v>
      </c>
      <c r="F67" t="s">
        <v>497</v>
      </c>
      <c r="G67">
        <v>0.33</v>
      </c>
      <c r="H67">
        <v>8.6999999999999993</v>
      </c>
      <c r="I67">
        <v>0</v>
      </c>
      <c r="J67">
        <v>0</v>
      </c>
      <c r="K67">
        <v>9.0299999999999994</v>
      </c>
      <c r="L67" t="s">
        <v>487</v>
      </c>
      <c r="M67">
        <v>289</v>
      </c>
      <c r="N67">
        <v>31.99</v>
      </c>
      <c r="O67" t="s">
        <v>81</v>
      </c>
      <c r="P67" t="s">
        <v>492</v>
      </c>
      <c r="Q67">
        <v>289</v>
      </c>
      <c r="R67">
        <v>31.99</v>
      </c>
    </row>
    <row r="68" spans="1:18" x14ac:dyDescent="0.35">
      <c r="A68" t="s">
        <v>197</v>
      </c>
      <c r="B68" t="s">
        <v>483</v>
      </c>
      <c r="C68" t="s">
        <v>484</v>
      </c>
      <c r="D68">
        <v>107228984</v>
      </c>
      <c r="E68" t="s">
        <v>502</v>
      </c>
      <c r="F68" t="s">
        <v>497</v>
      </c>
      <c r="G68">
        <v>0.03</v>
      </c>
      <c r="H68">
        <v>5.05</v>
      </c>
      <c r="I68">
        <v>0</v>
      </c>
      <c r="J68">
        <v>0</v>
      </c>
      <c r="K68">
        <v>5.09</v>
      </c>
      <c r="L68" t="s">
        <v>487</v>
      </c>
      <c r="M68">
        <v>122</v>
      </c>
      <c r="N68">
        <v>23.97</v>
      </c>
      <c r="O68" t="s">
        <v>60</v>
      </c>
      <c r="P68" t="s">
        <v>488</v>
      </c>
      <c r="Q68">
        <v>36</v>
      </c>
      <c r="R68">
        <v>1062.3</v>
      </c>
    </row>
    <row r="69" spans="1:18" x14ac:dyDescent="0.35">
      <c r="A69" t="s">
        <v>197</v>
      </c>
      <c r="B69" t="s">
        <v>483</v>
      </c>
      <c r="C69" t="s">
        <v>484</v>
      </c>
      <c r="D69">
        <v>107228984</v>
      </c>
      <c r="E69" t="s">
        <v>502</v>
      </c>
      <c r="F69" t="s">
        <v>497</v>
      </c>
      <c r="G69">
        <v>0.03</v>
      </c>
      <c r="H69">
        <v>5.05</v>
      </c>
      <c r="I69">
        <v>0</v>
      </c>
      <c r="J69">
        <v>0</v>
      </c>
      <c r="K69">
        <v>5.09</v>
      </c>
      <c r="L69" t="s">
        <v>487</v>
      </c>
      <c r="M69">
        <v>122</v>
      </c>
      <c r="N69">
        <v>23.97</v>
      </c>
      <c r="O69" t="s">
        <v>60</v>
      </c>
      <c r="P69" t="s">
        <v>489</v>
      </c>
      <c r="Q69">
        <v>929</v>
      </c>
      <c r="R69">
        <v>183.78</v>
      </c>
    </row>
    <row r="70" spans="1:18" x14ac:dyDescent="0.35">
      <c r="A70" t="s">
        <v>197</v>
      </c>
      <c r="B70" t="s">
        <v>483</v>
      </c>
      <c r="C70" t="s">
        <v>484</v>
      </c>
      <c r="D70">
        <v>107228984</v>
      </c>
      <c r="E70" t="s">
        <v>502</v>
      </c>
      <c r="F70" t="s">
        <v>497</v>
      </c>
      <c r="G70">
        <v>0.03</v>
      </c>
      <c r="H70">
        <v>5.05</v>
      </c>
      <c r="I70">
        <v>0</v>
      </c>
      <c r="J70">
        <v>0</v>
      </c>
      <c r="K70">
        <v>5.09</v>
      </c>
      <c r="L70" t="s">
        <v>487</v>
      </c>
      <c r="M70">
        <v>122</v>
      </c>
      <c r="N70">
        <v>23.97</v>
      </c>
      <c r="O70" t="s">
        <v>60</v>
      </c>
      <c r="P70" t="s">
        <v>490</v>
      </c>
      <c r="Q70">
        <v>0</v>
      </c>
      <c r="R70">
        <v>0</v>
      </c>
    </row>
    <row r="71" spans="1:18" x14ac:dyDescent="0.35">
      <c r="A71" t="s">
        <v>197</v>
      </c>
      <c r="B71" t="s">
        <v>483</v>
      </c>
      <c r="C71" t="s">
        <v>484</v>
      </c>
      <c r="D71">
        <v>107228984</v>
      </c>
      <c r="E71" t="s">
        <v>502</v>
      </c>
      <c r="F71" t="s">
        <v>497</v>
      </c>
      <c r="G71">
        <v>0.03</v>
      </c>
      <c r="H71">
        <v>5.05</v>
      </c>
      <c r="I71">
        <v>0</v>
      </c>
      <c r="J71">
        <v>0</v>
      </c>
      <c r="K71">
        <v>5.09</v>
      </c>
      <c r="L71" t="s">
        <v>487</v>
      </c>
      <c r="M71">
        <v>122</v>
      </c>
      <c r="N71">
        <v>23.97</v>
      </c>
      <c r="O71" t="s">
        <v>60</v>
      </c>
      <c r="P71" t="s">
        <v>491</v>
      </c>
      <c r="Q71">
        <v>0</v>
      </c>
      <c r="R71">
        <v>0</v>
      </c>
    </row>
    <row r="72" spans="1:18" x14ac:dyDescent="0.35">
      <c r="A72" t="s">
        <v>197</v>
      </c>
      <c r="B72" t="s">
        <v>483</v>
      </c>
      <c r="C72" t="s">
        <v>484</v>
      </c>
      <c r="D72">
        <v>107228984</v>
      </c>
      <c r="E72" t="s">
        <v>502</v>
      </c>
      <c r="F72" t="s">
        <v>497</v>
      </c>
      <c r="G72">
        <v>0.03</v>
      </c>
      <c r="H72">
        <v>5.05</v>
      </c>
      <c r="I72">
        <v>0</v>
      </c>
      <c r="J72">
        <v>0</v>
      </c>
      <c r="K72">
        <v>5.09</v>
      </c>
      <c r="L72" t="s">
        <v>487</v>
      </c>
      <c r="M72">
        <v>122</v>
      </c>
      <c r="N72">
        <v>23.97</v>
      </c>
      <c r="O72" t="s">
        <v>60</v>
      </c>
      <c r="P72" t="s">
        <v>492</v>
      </c>
      <c r="Q72">
        <v>965</v>
      </c>
      <c r="R72">
        <v>189.62</v>
      </c>
    </row>
    <row r="73" spans="1:18" x14ac:dyDescent="0.35">
      <c r="A73" t="s">
        <v>197</v>
      </c>
      <c r="B73" t="s">
        <v>483</v>
      </c>
      <c r="C73" t="s">
        <v>484</v>
      </c>
      <c r="D73">
        <v>107228984</v>
      </c>
      <c r="E73" t="s">
        <v>502</v>
      </c>
      <c r="F73" t="s">
        <v>497</v>
      </c>
      <c r="G73">
        <v>0.03</v>
      </c>
      <c r="H73">
        <v>5.05</v>
      </c>
      <c r="I73">
        <v>0</v>
      </c>
      <c r="J73">
        <v>0</v>
      </c>
      <c r="K73">
        <v>5.09</v>
      </c>
      <c r="L73" t="s">
        <v>487</v>
      </c>
      <c r="M73">
        <v>122</v>
      </c>
      <c r="N73">
        <v>23.97</v>
      </c>
      <c r="O73" t="s">
        <v>81</v>
      </c>
      <c r="P73" t="s">
        <v>492</v>
      </c>
      <c r="Q73">
        <v>122</v>
      </c>
      <c r="R73">
        <v>23.97</v>
      </c>
    </row>
    <row r="74" spans="1:18" x14ac:dyDescent="0.35">
      <c r="A74" t="s">
        <v>197</v>
      </c>
      <c r="B74" t="s">
        <v>483</v>
      </c>
      <c r="C74" t="s">
        <v>484</v>
      </c>
      <c r="D74">
        <v>107229417</v>
      </c>
      <c r="E74" t="s">
        <v>553</v>
      </c>
      <c r="F74" t="s">
        <v>497</v>
      </c>
      <c r="G74">
        <v>0.1</v>
      </c>
      <c r="H74">
        <v>3.42</v>
      </c>
      <c r="I74">
        <v>0</v>
      </c>
      <c r="J74">
        <v>0</v>
      </c>
      <c r="K74">
        <v>3.52</v>
      </c>
      <c r="L74" t="s">
        <v>487</v>
      </c>
      <c r="M74">
        <v>105</v>
      </c>
      <c r="N74">
        <v>29.86</v>
      </c>
      <c r="O74" t="s">
        <v>60</v>
      </c>
      <c r="P74" t="s">
        <v>488</v>
      </c>
      <c r="Q74">
        <v>174</v>
      </c>
      <c r="R74">
        <v>1725.62</v>
      </c>
    </row>
    <row r="75" spans="1:18" x14ac:dyDescent="0.35">
      <c r="A75" t="s">
        <v>197</v>
      </c>
      <c r="B75" t="s">
        <v>483</v>
      </c>
      <c r="C75" t="s">
        <v>484</v>
      </c>
      <c r="D75">
        <v>107229417</v>
      </c>
      <c r="E75" t="s">
        <v>553</v>
      </c>
      <c r="F75" t="s">
        <v>497</v>
      </c>
      <c r="G75">
        <v>0.1</v>
      </c>
      <c r="H75">
        <v>3.42</v>
      </c>
      <c r="I75">
        <v>0</v>
      </c>
      <c r="J75">
        <v>0</v>
      </c>
      <c r="K75">
        <v>3.52</v>
      </c>
      <c r="L75" t="s">
        <v>487</v>
      </c>
      <c r="M75">
        <v>105</v>
      </c>
      <c r="N75">
        <v>29.86</v>
      </c>
      <c r="O75" t="s">
        <v>60</v>
      </c>
      <c r="P75" t="s">
        <v>489</v>
      </c>
      <c r="Q75">
        <v>1020</v>
      </c>
      <c r="R75">
        <v>298.63</v>
      </c>
    </row>
    <row r="76" spans="1:18" x14ac:dyDescent="0.35">
      <c r="A76" t="s">
        <v>197</v>
      </c>
      <c r="B76" t="s">
        <v>483</v>
      </c>
      <c r="C76" t="s">
        <v>484</v>
      </c>
      <c r="D76">
        <v>107229417</v>
      </c>
      <c r="E76" t="s">
        <v>553</v>
      </c>
      <c r="F76" t="s">
        <v>497</v>
      </c>
      <c r="G76">
        <v>0.1</v>
      </c>
      <c r="H76">
        <v>3.42</v>
      </c>
      <c r="I76">
        <v>0</v>
      </c>
      <c r="J76">
        <v>0</v>
      </c>
      <c r="K76">
        <v>3.52</v>
      </c>
      <c r="L76" t="s">
        <v>487</v>
      </c>
      <c r="M76">
        <v>105</v>
      </c>
      <c r="N76">
        <v>29.86</v>
      </c>
      <c r="O76" t="s">
        <v>60</v>
      </c>
      <c r="P76" t="s">
        <v>490</v>
      </c>
      <c r="Q76">
        <v>0</v>
      </c>
      <c r="R76">
        <v>0</v>
      </c>
    </row>
    <row r="77" spans="1:18" x14ac:dyDescent="0.35">
      <c r="A77" t="s">
        <v>197</v>
      </c>
      <c r="B77" t="s">
        <v>483</v>
      </c>
      <c r="C77" t="s">
        <v>484</v>
      </c>
      <c r="D77">
        <v>107229417</v>
      </c>
      <c r="E77" t="s">
        <v>553</v>
      </c>
      <c r="F77" t="s">
        <v>497</v>
      </c>
      <c r="G77">
        <v>0.1</v>
      </c>
      <c r="H77">
        <v>3.42</v>
      </c>
      <c r="I77">
        <v>0</v>
      </c>
      <c r="J77">
        <v>0</v>
      </c>
      <c r="K77">
        <v>3.52</v>
      </c>
      <c r="L77" t="s">
        <v>487</v>
      </c>
      <c r="M77">
        <v>105</v>
      </c>
      <c r="N77">
        <v>29.86</v>
      </c>
      <c r="O77" t="s">
        <v>60</v>
      </c>
      <c r="P77" t="s">
        <v>491</v>
      </c>
      <c r="Q77">
        <v>0</v>
      </c>
      <c r="R77">
        <v>0</v>
      </c>
    </row>
    <row r="78" spans="1:18" x14ac:dyDescent="0.35">
      <c r="A78" t="s">
        <v>197</v>
      </c>
      <c r="B78" t="s">
        <v>483</v>
      </c>
      <c r="C78" t="s">
        <v>484</v>
      </c>
      <c r="D78">
        <v>107229417</v>
      </c>
      <c r="E78" t="s">
        <v>553</v>
      </c>
      <c r="F78" t="s">
        <v>497</v>
      </c>
      <c r="G78">
        <v>0.1</v>
      </c>
      <c r="H78">
        <v>3.42</v>
      </c>
      <c r="I78">
        <v>0</v>
      </c>
      <c r="J78">
        <v>0</v>
      </c>
      <c r="K78">
        <v>3.52</v>
      </c>
      <c r="L78" t="s">
        <v>487</v>
      </c>
      <c r="M78">
        <v>105</v>
      </c>
      <c r="N78">
        <v>29.86</v>
      </c>
      <c r="O78" t="s">
        <v>60</v>
      </c>
      <c r="P78" t="s">
        <v>492</v>
      </c>
      <c r="Q78">
        <v>1194</v>
      </c>
      <c r="R78">
        <v>339.53</v>
      </c>
    </row>
    <row r="79" spans="1:18" x14ac:dyDescent="0.35">
      <c r="A79" t="s">
        <v>197</v>
      </c>
      <c r="B79" t="s">
        <v>483</v>
      </c>
      <c r="C79" t="s">
        <v>484</v>
      </c>
      <c r="D79">
        <v>107229417</v>
      </c>
      <c r="E79" t="s">
        <v>553</v>
      </c>
      <c r="F79" t="s">
        <v>497</v>
      </c>
      <c r="G79">
        <v>0.1</v>
      </c>
      <c r="H79">
        <v>3.42</v>
      </c>
      <c r="I79">
        <v>0</v>
      </c>
      <c r="J79">
        <v>0</v>
      </c>
      <c r="K79">
        <v>3.52</v>
      </c>
      <c r="L79" t="s">
        <v>487</v>
      </c>
      <c r="M79">
        <v>105</v>
      </c>
      <c r="N79">
        <v>29.86</v>
      </c>
      <c r="O79" t="s">
        <v>81</v>
      </c>
      <c r="P79" t="s">
        <v>492</v>
      </c>
      <c r="Q79">
        <v>106</v>
      </c>
      <c r="R79">
        <v>30.14</v>
      </c>
    </row>
    <row r="80" spans="1:18" x14ac:dyDescent="0.35">
      <c r="A80" t="s">
        <v>197</v>
      </c>
      <c r="B80" t="s">
        <v>483</v>
      </c>
      <c r="C80" t="s">
        <v>484</v>
      </c>
      <c r="D80">
        <v>107232917</v>
      </c>
      <c r="E80" t="s">
        <v>503</v>
      </c>
      <c r="F80" t="s">
        <v>486</v>
      </c>
      <c r="G80">
        <v>0.12</v>
      </c>
      <c r="H80">
        <v>3.19</v>
      </c>
      <c r="I80">
        <v>0</v>
      </c>
      <c r="J80">
        <v>0</v>
      </c>
      <c r="K80">
        <v>3.32</v>
      </c>
      <c r="L80" t="s">
        <v>487</v>
      </c>
      <c r="M80">
        <v>177</v>
      </c>
      <c r="N80">
        <v>53.37</v>
      </c>
      <c r="O80" t="s">
        <v>60</v>
      </c>
      <c r="P80" t="s">
        <v>488</v>
      </c>
      <c r="Q80">
        <v>260</v>
      </c>
      <c r="R80">
        <v>2108.11</v>
      </c>
    </row>
    <row r="81" spans="1:18" x14ac:dyDescent="0.35">
      <c r="A81" t="s">
        <v>197</v>
      </c>
      <c r="B81" t="s">
        <v>483</v>
      </c>
      <c r="C81" t="s">
        <v>484</v>
      </c>
      <c r="D81">
        <v>107232917</v>
      </c>
      <c r="E81" t="s">
        <v>503</v>
      </c>
      <c r="F81" t="s">
        <v>486</v>
      </c>
      <c r="G81">
        <v>0.12</v>
      </c>
      <c r="H81">
        <v>3.19</v>
      </c>
      <c r="I81">
        <v>0</v>
      </c>
      <c r="J81">
        <v>0</v>
      </c>
      <c r="K81">
        <v>3.32</v>
      </c>
      <c r="L81" t="s">
        <v>487</v>
      </c>
      <c r="M81">
        <v>177</v>
      </c>
      <c r="N81">
        <v>53.37</v>
      </c>
      <c r="O81" t="s">
        <v>60</v>
      </c>
      <c r="P81" t="s">
        <v>489</v>
      </c>
      <c r="Q81">
        <v>1165</v>
      </c>
      <c r="R81">
        <v>364.85</v>
      </c>
    </row>
    <row r="82" spans="1:18" x14ac:dyDescent="0.35">
      <c r="A82" t="s">
        <v>197</v>
      </c>
      <c r="B82" t="s">
        <v>483</v>
      </c>
      <c r="C82" t="s">
        <v>484</v>
      </c>
      <c r="D82">
        <v>107232917</v>
      </c>
      <c r="E82" t="s">
        <v>503</v>
      </c>
      <c r="F82" t="s">
        <v>486</v>
      </c>
      <c r="G82">
        <v>0.12</v>
      </c>
      <c r="H82">
        <v>3.19</v>
      </c>
      <c r="I82">
        <v>0</v>
      </c>
      <c r="J82">
        <v>0</v>
      </c>
      <c r="K82">
        <v>3.32</v>
      </c>
      <c r="L82" t="s">
        <v>487</v>
      </c>
      <c r="M82">
        <v>177</v>
      </c>
      <c r="N82">
        <v>53.37</v>
      </c>
      <c r="O82" t="s">
        <v>60</v>
      </c>
      <c r="P82" t="s">
        <v>490</v>
      </c>
      <c r="Q82">
        <v>0</v>
      </c>
      <c r="R82">
        <v>0</v>
      </c>
    </row>
    <row r="83" spans="1:18" x14ac:dyDescent="0.35">
      <c r="A83" t="s">
        <v>197</v>
      </c>
      <c r="B83" t="s">
        <v>483</v>
      </c>
      <c r="C83" t="s">
        <v>484</v>
      </c>
      <c r="D83">
        <v>107232917</v>
      </c>
      <c r="E83" t="s">
        <v>503</v>
      </c>
      <c r="F83" t="s">
        <v>486</v>
      </c>
      <c r="G83">
        <v>0.12</v>
      </c>
      <c r="H83">
        <v>3.19</v>
      </c>
      <c r="I83">
        <v>0</v>
      </c>
      <c r="J83">
        <v>0</v>
      </c>
      <c r="K83">
        <v>3.32</v>
      </c>
      <c r="L83" t="s">
        <v>487</v>
      </c>
      <c r="M83">
        <v>177</v>
      </c>
      <c r="N83">
        <v>53.37</v>
      </c>
      <c r="O83" t="s">
        <v>60</v>
      </c>
      <c r="P83" t="s">
        <v>491</v>
      </c>
      <c r="Q83">
        <v>0</v>
      </c>
      <c r="R83">
        <v>0</v>
      </c>
    </row>
    <row r="84" spans="1:18" x14ac:dyDescent="0.35">
      <c r="A84" t="s">
        <v>197</v>
      </c>
      <c r="B84" t="s">
        <v>483</v>
      </c>
      <c r="C84" t="s">
        <v>484</v>
      </c>
      <c r="D84">
        <v>107232917</v>
      </c>
      <c r="E84" t="s">
        <v>503</v>
      </c>
      <c r="F84" t="s">
        <v>486</v>
      </c>
      <c r="G84">
        <v>0.12</v>
      </c>
      <c r="H84">
        <v>3.19</v>
      </c>
      <c r="I84">
        <v>0</v>
      </c>
      <c r="J84">
        <v>0</v>
      </c>
      <c r="K84">
        <v>3.32</v>
      </c>
      <c r="L84" t="s">
        <v>487</v>
      </c>
      <c r="M84">
        <v>177</v>
      </c>
      <c r="N84">
        <v>53.37</v>
      </c>
      <c r="O84" t="s">
        <v>60</v>
      </c>
      <c r="P84" t="s">
        <v>492</v>
      </c>
      <c r="Q84">
        <v>1425</v>
      </c>
      <c r="R84">
        <v>429.65</v>
      </c>
    </row>
    <row r="85" spans="1:18" x14ac:dyDescent="0.35">
      <c r="A85" t="s">
        <v>197</v>
      </c>
      <c r="B85" t="s">
        <v>483</v>
      </c>
      <c r="C85" t="s">
        <v>484</v>
      </c>
      <c r="D85">
        <v>107232917</v>
      </c>
      <c r="E85" t="s">
        <v>503</v>
      </c>
      <c r="F85" t="s">
        <v>486</v>
      </c>
      <c r="G85">
        <v>0.12</v>
      </c>
      <c r="H85">
        <v>3.19</v>
      </c>
      <c r="I85">
        <v>0</v>
      </c>
      <c r="J85">
        <v>0</v>
      </c>
      <c r="K85">
        <v>3.32</v>
      </c>
      <c r="L85" t="s">
        <v>487</v>
      </c>
      <c r="M85">
        <v>177</v>
      </c>
      <c r="N85">
        <v>53.37</v>
      </c>
      <c r="O85" t="s">
        <v>81</v>
      </c>
      <c r="P85" t="s">
        <v>492</v>
      </c>
      <c r="Q85">
        <v>177</v>
      </c>
      <c r="R85">
        <v>53.37</v>
      </c>
    </row>
    <row r="86" spans="1:18" x14ac:dyDescent="0.35">
      <c r="A86" t="s">
        <v>197</v>
      </c>
      <c r="B86" t="s">
        <v>483</v>
      </c>
      <c r="C86" t="s">
        <v>484</v>
      </c>
      <c r="D86">
        <v>107232968</v>
      </c>
      <c r="E86" t="s">
        <v>528</v>
      </c>
      <c r="F86" t="s">
        <v>486</v>
      </c>
      <c r="G86">
        <v>0.68</v>
      </c>
      <c r="H86">
        <v>5.91</v>
      </c>
      <c r="I86">
        <v>0</v>
      </c>
      <c r="J86">
        <v>0</v>
      </c>
      <c r="K86">
        <v>6.59</v>
      </c>
      <c r="L86" t="s">
        <v>487</v>
      </c>
      <c r="M86">
        <v>204</v>
      </c>
      <c r="N86">
        <v>30.96</v>
      </c>
      <c r="O86" t="s">
        <v>60</v>
      </c>
      <c r="P86" t="s">
        <v>488</v>
      </c>
      <c r="Q86">
        <v>942</v>
      </c>
      <c r="R86">
        <v>1386.99</v>
      </c>
    </row>
    <row r="87" spans="1:18" x14ac:dyDescent="0.35">
      <c r="A87" t="s">
        <v>197</v>
      </c>
      <c r="B87" t="s">
        <v>483</v>
      </c>
      <c r="C87" t="s">
        <v>484</v>
      </c>
      <c r="D87">
        <v>107232968</v>
      </c>
      <c r="E87" t="s">
        <v>528</v>
      </c>
      <c r="F87" t="s">
        <v>486</v>
      </c>
      <c r="G87">
        <v>0.68</v>
      </c>
      <c r="H87">
        <v>5.91</v>
      </c>
      <c r="I87">
        <v>0</v>
      </c>
      <c r="J87">
        <v>0</v>
      </c>
      <c r="K87">
        <v>6.59</v>
      </c>
      <c r="L87" t="s">
        <v>487</v>
      </c>
      <c r="M87">
        <v>204</v>
      </c>
      <c r="N87">
        <v>30.96</v>
      </c>
      <c r="O87" t="s">
        <v>60</v>
      </c>
      <c r="P87" t="s">
        <v>489</v>
      </c>
      <c r="Q87">
        <v>1420</v>
      </c>
      <c r="R87">
        <v>240.28</v>
      </c>
    </row>
    <row r="88" spans="1:18" x14ac:dyDescent="0.35">
      <c r="A88" t="s">
        <v>197</v>
      </c>
      <c r="B88" t="s">
        <v>483</v>
      </c>
      <c r="C88" t="s">
        <v>484</v>
      </c>
      <c r="D88">
        <v>107232968</v>
      </c>
      <c r="E88" t="s">
        <v>528</v>
      </c>
      <c r="F88" t="s">
        <v>486</v>
      </c>
      <c r="G88">
        <v>0.68</v>
      </c>
      <c r="H88">
        <v>5.91</v>
      </c>
      <c r="I88">
        <v>0</v>
      </c>
      <c r="J88">
        <v>0</v>
      </c>
      <c r="K88">
        <v>6.59</v>
      </c>
      <c r="L88" t="s">
        <v>487</v>
      </c>
      <c r="M88">
        <v>204</v>
      </c>
      <c r="N88">
        <v>30.96</v>
      </c>
      <c r="O88" t="s">
        <v>60</v>
      </c>
      <c r="P88" t="s">
        <v>490</v>
      </c>
      <c r="Q88">
        <v>0</v>
      </c>
      <c r="R88">
        <v>0</v>
      </c>
    </row>
    <row r="89" spans="1:18" x14ac:dyDescent="0.35">
      <c r="A89" t="s">
        <v>197</v>
      </c>
      <c r="B89" t="s">
        <v>483</v>
      </c>
      <c r="C89" t="s">
        <v>484</v>
      </c>
      <c r="D89">
        <v>107232968</v>
      </c>
      <c r="E89" t="s">
        <v>528</v>
      </c>
      <c r="F89" t="s">
        <v>486</v>
      </c>
      <c r="G89">
        <v>0.68</v>
      </c>
      <c r="H89">
        <v>5.91</v>
      </c>
      <c r="I89">
        <v>0</v>
      </c>
      <c r="J89">
        <v>0</v>
      </c>
      <c r="K89">
        <v>6.59</v>
      </c>
      <c r="L89" t="s">
        <v>487</v>
      </c>
      <c r="M89">
        <v>204</v>
      </c>
      <c r="N89">
        <v>30.96</v>
      </c>
      <c r="O89" t="s">
        <v>60</v>
      </c>
      <c r="P89" t="s">
        <v>491</v>
      </c>
      <c r="Q89">
        <v>0</v>
      </c>
      <c r="R89">
        <v>0</v>
      </c>
    </row>
    <row r="90" spans="1:18" x14ac:dyDescent="0.35">
      <c r="A90" t="s">
        <v>197</v>
      </c>
      <c r="B90" t="s">
        <v>483</v>
      </c>
      <c r="C90" t="s">
        <v>484</v>
      </c>
      <c r="D90">
        <v>107232968</v>
      </c>
      <c r="E90" t="s">
        <v>528</v>
      </c>
      <c r="F90" t="s">
        <v>486</v>
      </c>
      <c r="G90">
        <v>0.68</v>
      </c>
      <c r="H90">
        <v>5.91</v>
      </c>
      <c r="I90">
        <v>0</v>
      </c>
      <c r="J90">
        <v>0</v>
      </c>
      <c r="K90">
        <v>6.59</v>
      </c>
      <c r="L90" t="s">
        <v>487</v>
      </c>
      <c r="M90">
        <v>204</v>
      </c>
      <c r="N90">
        <v>30.96</v>
      </c>
      <c r="O90" t="s">
        <v>60</v>
      </c>
      <c r="P90" t="s">
        <v>492</v>
      </c>
      <c r="Q90">
        <v>2362</v>
      </c>
      <c r="R90">
        <v>358.47</v>
      </c>
    </row>
    <row r="91" spans="1:18" x14ac:dyDescent="0.35">
      <c r="A91" t="s">
        <v>197</v>
      </c>
      <c r="B91" t="s">
        <v>483</v>
      </c>
      <c r="C91" t="s">
        <v>484</v>
      </c>
      <c r="D91">
        <v>107232968</v>
      </c>
      <c r="E91" t="s">
        <v>528</v>
      </c>
      <c r="F91" t="s">
        <v>486</v>
      </c>
      <c r="G91">
        <v>0.68</v>
      </c>
      <c r="H91">
        <v>5.91</v>
      </c>
      <c r="I91">
        <v>0</v>
      </c>
      <c r="J91">
        <v>0</v>
      </c>
      <c r="K91">
        <v>6.59</v>
      </c>
      <c r="L91" t="s">
        <v>487</v>
      </c>
      <c r="M91">
        <v>204</v>
      </c>
      <c r="N91">
        <v>30.96</v>
      </c>
      <c r="O91" t="s">
        <v>81</v>
      </c>
      <c r="P91" t="s">
        <v>492</v>
      </c>
      <c r="Q91">
        <v>204</v>
      </c>
      <c r="R91">
        <v>30.96</v>
      </c>
    </row>
    <row r="92" spans="1:18" x14ac:dyDescent="0.35">
      <c r="A92" t="s">
        <v>197</v>
      </c>
      <c r="B92" t="s">
        <v>483</v>
      </c>
      <c r="C92" t="s">
        <v>484</v>
      </c>
      <c r="D92">
        <v>107232971</v>
      </c>
      <c r="E92" t="s">
        <v>504</v>
      </c>
      <c r="F92" t="s">
        <v>486</v>
      </c>
      <c r="G92">
        <v>0.34</v>
      </c>
      <c r="H92">
        <v>6.55</v>
      </c>
      <c r="I92">
        <v>0</v>
      </c>
      <c r="J92">
        <v>0</v>
      </c>
      <c r="K92">
        <v>6.89</v>
      </c>
      <c r="L92" t="s">
        <v>487</v>
      </c>
      <c r="M92">
        <v>287</v>
      </c>
      <c r="N92">
        <v>41.68</v>
      </c>
      <c r="O92" t="s">
        <v>60</v>
      </c>
      <c r="P92" t="s">
        <v>488</v>
      </c>
      <c r="Q92">
        <v>712</v>
      </c>
      <c r="R92">
        <v>2120.1</v>
      </c>
    </row>
    <row r="93" spans="1:18" x14ac:dyDescent="0.35">
      <c r="A93" t="s">
        <v>197</v>
      </c>
      <c r="B93" t="s">
        <v>483</v>
      </c>
      <c r="C93" t="s">
        <v>484</v>
      </c>
      <c r="D93">
        <v>107232971</v>
      </c>
      <c r="E93" t="s">
        <v>504</v>
      </c>
      <c r="F93" t="s">
        <v>486</v>
      </c>
      <c r="G93">
        <v>0.34</v>
      </c>
      <c r="H93">
        <v>6.55</v>
      </c>
      <c r="I93">
        <v>0</v>
      </c>
      <c r="J93">
        <v>0</v>
      </c>
      <c r="K93">
        <v>6.89</v>
      </c>
      <c r="L93" t="s">
        <v>487</v>
      </c>
      <c r="M93">
        <v>287</v>
      </c>
      <c r="N93">
        <v>41.68</v>
      </c>
      <c r="O93" t="s">
        <v>60</v>
      </c>
      <c r="P93" t="s">
        <v>489</v>
      </c>
      <c r="Q93">
        <v>2404</v>
      </c>
      <c r="R93">
        <v>367.07</v>
      </c>
    </row>
    <row r="94" spans="1:18" x14ac:dyDescent="0.35">
      <c r="A94" t="s">
        <v>197</v>
      </c>
      <c r="B94" t="s">
        <v>483</v>
      </c>
      <c r="C94" t="s">
        <v>484</v>
      </c>
      <c r="D94">
        <v>107232971</v>
      </c>
      <c r="E94" t="s">
        <v>504</v>
      </c>
      <c r="F94" t="s">
        <v>486</v>
      </c>
      <c r="G94">
        <v>0.34</v>
      </c>
      <c r="H94">
        <v>6.55</v>
      </c>
      <c r="I94">
        <v>0</v>
      </c>
      <c r="J94">
        <v>0</v>
      </c>
      <c r="K94">
        <v>6.89</v>
      </c>
      <c r="L94" t="s">
        <v>487</v>
      </c>
      <c r="M94">
        <v>287</v>
      </c>
      <c r="N94">
        <v>41.68</v>
      </c>
      <c r="O94" t="s">
        <v>60</v>
      </c>
      <c r="P94" t="s">
        <v>490</v>
      </c>
      <c r="Q94">
        <v>0</v>
      </c>
      <c r="R94">
        <v>0</v>
      </c>
    </row>
    <row r="95" spans="1:18" x14ac:dyDescent="0.35">
      <c r="A95" t="s">
        <v>197</v>
      </c>
      <c r="B95" t="s">
        <v>483</v>
      </c>
      <c r="C95" t="s">
        <v>484</v>
      </c>
      <c r="D95">
        <v>107232971</v>
      </c>
      <c r="E95" t="s">
        <v>504</v>
      </c>
      <c r="F95" t="s">
        <v>486</v>
      </c>
      <c r="G95">
        <v>0.34</v>
      </c>
      <c r="H95">
        <v>6.55</v>
      </c>
      <c r="I95">
        <v>0</v>
      </c>
      <c r="J95">
        <v>0</v>
      </c>
      <c r="K95">
        <v>6.89</v>
      </c>
      <c r="L95" t="s">
        <v>487</v>
      </c>
      <c r="M95">
        <v>287</v>
      </c>
      <c r="N95">
        <v>41.68</v>
      </c>
      <c r="O95" t="s">
        <v>60</v>
      </c>
      <c r="P95" t="s">
        <v>491</v>
      </c>
      <c r="Q95">
        <v>0</v>
      </c>
      <c r="R95">
        <v>0</v>
      </c>
    </row>
    <row r="96" spans="1:18" x14ac:dyDescent="0.35">
      <c r="A96" t="s">
        <v>197</v>
      </c>
      <c r="B96" t="s">
        <v>483</v>
      </c>
      <c r="C96" t="s">
        <v>484</v>
      </c>
      <c r="D96">
        <v>107232971</v>
      </c>
      <c r="E96" t="s">
        <v>504</v>
      </c>
      <c r="F96" t="s">
        <v>486</v>
      </c>
      <c r="G96">
        <v>0.34</v>
      </c>
      <c r="H96">
        <v>6.55</v>
      </c>
      <c r="I96">
        <v>0</v>
      </c>
      <c r="J96">
        <v>0</v>
      </c>
      <c r="K96">
        <v>6.89</v>
      </c>
      <c r="L96" t="s">
        <v>487</v>
      </c>
      <c r="M96">
        <v>287</v>
      </c>
      <c r="N96">
        <v>41.68</v>
      </c>
      <c r="O96" t="s">
        <v>60</v>
      </c>
      <c r="P96" t="s">
        <v>492</v>
      </c>
      <c r="Q96">
        <v>3116</v>
      </c>
      <c r="R96">
        <v>452.56</v>
      </c>
    </row>
    <row r="97" spans="1:18" x14ac:dyDescent="0.35">
      <c r="A97" t="s">
        <v>197</v>
      </c>
      <c r="B97" t="s">
        <v>483</v>
      </c>
      <c r="C97" t="s">
        <v>484</v>
      </c>
      <c r="D97">
        <v>107232971</v>
      </c>
      <c r="E97" t="s">
        <v>504</v>
      </c>
      <c r="F97" t="s">
        <v>486</v>
      </c>
      <c r="G97">
        <v>0.34</v>
      </c>
      <c r="H97">
        <v>6.55</v>
      </c>
      <c r="I97">
        <v>0</v>
      </c>
      <c r="J97">
        <v>0</v>
      </c>
      <c r="K97">
        <v>6.89</v>
      </c>
      <c r="L97" t="s">
        <v>487</v>
      </c>
      <c r="M97">
        <v>287</v>
      </c>
      <c r="N97">
        <v>41.68</v>
      </c>
      <c r="O97" t="s">
        <v>81</v>
      </c>
      <c r="P97" t="s">
        <v>492</v>
      </c>
      <c r="Q97">
        <v>287</v>
      </c>
      <c r="R97">
        <v>41.68</v>
      </c>
    </row>
    <row r="98" spans="1:18" x14ac:dyDescent="0.35">
      <c r="A98" t="s">
        <v>197</v>
      </c>
      <c r="B98" t="s">
        <v>483</v>
      </c>
      <c r="C98" t="s">
        <v>484</v>
      </c>
      <c r="D98">
        <v>107233183</v>
      </c>
      <c r="E98" t="s">
        <v>505</v>
      </c>
      <c r="F98" t="s">
        <v>486</v>
      </c>
      <c r="G98">
        <v>0</v>
      </c>
      <c r="H98">
        <v>0.47</v>
      </c>
      <c r="I98">
        <v>0</v>
      </c>
      <c r="J98">
        <v>0</v>
      </c>
      <c r="K98">
        <v>0.47</v>
      </c>
      <c r="L98" t="s">
        <v>487</v>
      </c>
      <c r="M98">
        <v>15</v>
      </c>
      <c r="N98">
        <v>32.119999999999997</v>
      </c>
      <c r="O98" t="s">
        <v>60</v>
      </c>
      <c r="P98" t="s">
        <v>488</v>
      </c>
      <c r="Q98">
        <v>0</v>
      </c>
      <c r="R98">
        <v>0</v>
      </c>
    </row>
    <row r="99" spans="1:18" x14ac:dyDescent="0.35">
      <c r="A99" t="s">
        <v>197</v>
      </c>
      <c r="B99" t="s">
        <v>483</v>
      </c>
      <c r="C99" t="s">
        <v>484</v>
      </c>
      <c r="D99">
        <v>107233183</v>
      </c>
      <c r="E99" t="s">
        <v>505</v>
      </c>
      <c r="F99" t="s">
        <v>486</v>
      </c>
      <c r="G99">
        <v>0</v>
      </c>
      <c r="H99">
        <v>0.47</v>
      </c>
      <c r="I99">
        <v>0</v>
      </c>
      <c r="J99">
        <v>0</v>
      </c>
      <c r="K99">
        <v>0.47</v>
      </c>
      <c r="L99" t="s">
        <v>487</v>
      </c>
      <c r="M99">
        <v>15</v>
      </c>
      <c r="N99">
        <v>32.119999999999997</v>
      </c>
      <c r="O99" t="s">
        <v>60</v>
      </c>
      <c r="P99" t="s">
        <v>489</v>
      </c>
      <c r="Q99">
        <v>208</v>
      </c>
      <c r="R99">
        <v>445.45</v>
      </c>
    </row>
    <row r="100" spans="1:18" x14ac:dyDescent="0.35">
      <c r="A100" t="s">
        <v>197</v>
      </c>
      <c r="B100" t="s">
        <v>483</v>
      </c>
      <c r="C100" t="s">
        <v>484</v>
      </c>
      <c r="D100">
        <v>107233183</v>
      </c>
      <c r="E100" t="s">
        <v>505</v>
      </c>
      <c r="F100" t="s">
        <v>486</v>
      </c>
      <c r="G100">
        <v>0</v>
      </c>
      <c r="H100">
        <v>0.47</v>
      </c>
      <c r="I100">
        <v>0</v>
      </c>
      <c r="J100">
        <v>0</v>
      </c>
      <c r="K100">
        <v>0.47</v>
      </c>
      <c r="L100" t="s">
        <v>487</v>
      </c>
      <c r="M100">
        <v>15</v>
      </c>
      <c r="N100">
        <v>32.119999999999997</v>
      </c>
      <c r="O100" t="s">
        <v>60</v>
      </c>
      <c r="P100" t="s">
        <v>490</v>
      </c>
      <c r="Q100">
        <v>0</v>
      </c>
      <c r="R100">
        <v>0</v>
      </c>
    </row>
    <row r="101" spans="1:18" x14ac:dyDescent="0.35">
      <c r="A101" t="s">
        <v>197</v>
      </c>
      <c r="B101" t="s">
        <v>483</v>
      </c>
      <c r="C101" t="s">
        <v>484</v>
      </c>
      <c r="D101">
        <v>107233183</v>
      </c>
      <c r="E101" t="s">
        <v>505</v>
      </c>
      <c r="F101" t="s">
        <v>486</v>
      </c>
      <c r="G101">
        <v>0</v>
      </c>
      <c r="H101">
        <v>0.47</v>
      </c>
      <c r="I101">
        <v>0</v>
      </c>
      <c r="J101">
        <v>0</v>
      </c>
      <c r="K101">
        <v>0.47</v>
      </c>
      <c r="L101" t="s">
        <v>487</v>
      </c>
      <c r="M101">
        <v>15</v>
      </c>
      <c r="N101">
        <v>32.119999999999997</v>
      </c>
      <c r="O101" t="s">
        <v>60</v>
      </c>
      <c r="P101" t="s">
        <v>491</v>
      </c>
      <c r="Q101">
        <v>0</v>
      </c>
      <c r="R101">
        <v>0</v>
      </c>
    </row>
    <row r="102" spans="1:18" x14ac:dyDescent="0.35">
      <c r="A102" t="s">
        <v>197</v>
      </c>
      <c r="B102" t="s">
        <v>483</v>
      </c>
      <c r="C102" t="s">
        <v>484</v>
      </c>
      <c r="D102">
        <v>107233183</v>
      </c>
      <c r="E102" t="s">
        <v>505</v>
      </c>
      <c r="F102" t="s">
        <v>486</v>
      </c>
      <c r="G102">
        <v>0</v>
      </c>
      <c r="H102">
        <v>0.47</v>
      </c>
      <c r="I102">
        <v>0</v>
      </c>
      <c r="J102">
        <v>0</v>
      </c>
      <c r="K102">
        <v>0.47</v>
      </c>
      <c r="L102" t="s">
        <v>487</v>
      </c>
      <c r="M102">
        <v>15</v>
      </c>
      <c r="N102">
        <v>32.119999999999997</v>
      </c>
      <c r="O102" t="s">
        <v>60</v>
      </c>
      <c r="P102" t="s">
        <v>492</v>
      </c>
      <c r="Q102">
        <v>208</v>
      </c>
      <c r="R102">
        <v>445.45</v>
      </c>
    </row>
    <row r="103" spans="1:18" x14ac:dyDescent="0.35">
      <c r="A103" t="s">
        <v>197</v>
      </c>
      <c r="B103" t="s">
        <v>483</v>
      </c>
      <c r="C103" t="s">
        <v>484</v>
      </c>
      <c r="D103">
        <v>107233183</v>
      </c>
      <c r="E103" t="s">
        <v>505</v>
      </c>
      <c r="F103" t="s">
        <v>486</v>
      </c>
      <c r="G103">
        <v>0</v>
      </c>
      <c r="H103">
        <v>0.47</v>
      </c>
      <c r="I103">
        <v>0</v>
      </c>
      <c r="J103">
        <v>0</v>
      </c>
      <c r="K103">
        <v>0.47</v>
      </c>
      <c r="L103" t="s">
        <v>487</v>
      </c>
      <c r="M103">
        <v>15</v>
      </c>
      <c r="N103">
        <v>32.119999999999997</v>
      </c>
      <c r="O103" t="s">
        <v>81</v>
      </c>
      <c r="P103" t="s">
        <v>492</v>
      </c>
      <c r="Q103">
        <v>15</v>
      </c>
      <c r="R103">
        <v>32.119999999999997</v>
      </c>
    </row>
    <row r="104" spans="1:18" x14ac:dyDescent="0.35">
      <c r="A104" t="s">
        <v>197</v>
      </c>
      <c r="B104" t="s">
        <v>483</v>
      </c>
      <c r="C104" t="s">
        <v>484</v>
      </c>
      <c r="D104">
        <v>107233200</v>
      </c>
      <c r="E104" t="s">
        <v>506</v>
      </c>
      <c r="F104" t="s">
        <v>486</v>
      </c>
      <c r="G104">
        <v>2.46</v>
      </c>
      <c r="H104">
        <v>7.58</v>
      </c>
      <c r="I104">
        <v>0.03</v>
      </c>
      <c r="J104">
        <v>0</v>
      </c>
      <c r="K104">
        <v>10.07</v>
      </c>
      <c r="L104" t="s">
        <v>487</v>
      </c>
      <c r="M104">
        <v>286</v>
      </c>
      <c r="N104">
        <v>28.41</v>
      </c>
      <c r="O104" t="s">
        <v>60</v>
      </c>
      <c r="P104" t="s">
        <v>488</v>
      </c>
      <c r="Q104">
        <v>3841</v>
      </c>
      <c r="R104">
        <v>1559.8</v>
      </c>
    </row>
    <row r="105" spans="1:18" x14ac:dyDescent="0.35">
      <c r="A105" t="s">
        <v>197</v>
      </c>
      <c r="B105" t="s">
        <v>483</v>
      </c>
      <c r="C105" t="s">
        <v>484</v>
      </c>
      <c r="D105">
        <v>107233200</v>
      </c>
      <c r="E105" t="s">
        <v>506</v>
      </c>
      <c r="F105" t="s">
        <v>486</v>
      </c>
      <c r="G105">
        <v>2.46</v>
      </c>
      <c r="H105">
        <v>7.58</v>
      </c>
      <c r="I105">
        <v>0.03</v>
      </c>
      <c r="J105">
        <v>0</v>
      </c>
      <c r="K105">
        <v>10.07</v>
      </c>
      <c r="L105" t="s">
        <v>487</v>
      </c>
      <c r="M105">
        <v>286</v>
      </c>
      <c r="N105">
        <v>28.41</v>
      </c>
      <c r="O105" t="s">
        <v>60</v>
      </c>
      <c r="P105" t="s">
        <v>489</v>
      </c>
      <c r="Q105">
        <v>2047</v>
      </c>
      <c r="R105">
        <v>270.22000000000003</v>
      </c>
    </row>
    <row r="106" spans="1:18" x14ac:dyDescent="0.35">
      <c r="A106" t="s">
        <v>197</v>
      </c>
      <c r="B106" t="s">
        <v>483</v>
      </c>
      <c r="C106" t="s">
        <v>484</v>
      </c>
      <c r="D106">
        <v>107233200</v>
      </c>
      <c r="E106" t="s">
        <v>506</v>
      </c>
      <c r="F106" t="s">
        <v>486</v>
      </c>
      <c r="G106">
        <v>2.46</v>
      </c>
      <c r="H106">
        <v>7.58</v>
      </c>
      <c r="I106">
        <v>0.03</v>
      </c>
      <c r="J106">
        <v>0</v>
      </c>
      <c r="K106">
        <v>10.07</v>
      </c>
      <c r="L106" t="s">
        <v>487</v>
      </c>
      <c r="M106">
        <v>286</v>
      </c>
      <c r="N106">
        <v>28.41</v>
      </c>
      <c r="O106" t="s">
        <v>60</v>
      </c>
      <c r="P106" t="s">
        <v>490</v>
      </c>
      <c r="Q106">
        <v>6</v>
      </c>
      <c r="R106">
        <v>211.76</v>
      </c>
    </row>
    <row r="107" spans="1:18" x14ac:dyDescent="0.35">
      <c r="A107" t="s">
        <v>197</v>
      </c>
      <c r="B107" t="s">
        <v>483</v>
      </c>
      <c r="C107" t="s">
        <v>484</v>
      </c>
      <c r="D107">
        <v>107233200</v>
      </c>
      <c r="E107" t="s">
        <v>506</v>
      </c>
      <c r="F107" t="s">
        <v>486</v>
      </c>
      <c r="G107">
        <v>2.46</v>
      </c>
      <c r="H107">
        <v>7.58</v>
      </c>
      <c r="I107">
        <v>0.03</v>
      </c>
      <c r="J107">
        <v>0</v>
      </c>
      <c r="K107">
        <v>10.07</v>
      </c>
      <c r="L107" t="s">
        <v>487</v>
      </c>
      <c r="M107">
        <v>286</v>
      </c>
      <c r="N107">
        <v>28.41</v>
      </c>
      <c r="O107" t="s">
        <v>60</v>
      </c>
      <c r="P107" t="s">
        <v>491</v>
      </c>
      <c r="Q107">
        <v>0</v>
      </c>
      <c r="R107">
        <v>0</v>
      </c>
    </row>
    <row r="108" spans="1:18" x14ac:dyDescent="0.35">
      <c r="A108" t="s">
        <v>197</v>
      </c>
      <c r="B108" t="s">
        <v>483</v>
      </c>
      <c r="C108" t="s">
        <v>484</v>
      </c>
      <c r="D108">
        <v>107233200</v>
      </c>
      <c r="E108" t="s">
        <v>506</v>
      </c>
      <c r="F108" t="s">
        <v>486</v>
      </c>
      <c r="G108">
        <v>2.46</v>
      </c>
      <c r="H108">
        <v>7.58</v>
      </c>
      <c r="I108">
        <v>0.03</v>
      </c>
      <c r="J108">
        <v>0</v>
      </c>
      <c r="K108">
        <v>10.07</v>
      </c>
      <c r="L108" t="s">
        <v>487</v>
      </c>
      <c r="M108">
        <v>286</v>
      </c>
      <c r="N108">
        <v>28.41</v>
      </c>
      <c r="O108" t="s">
        <v>60</v>
      </c>
      <c r="P108" t="s">
        <v>492</v>
      </c>
      <c r="Q108">
        <v>5894</v>
      </c>
      <c r="R108">
        <v>585.5</v>
      </c>
    </row>
    <row r="109" spans="1:18" x14ac:dyDescent="0.35">
      <c r="A109" t="s">
        <v>197</v>
      </c>
      <c r="B109" t="s">
        <v>483</v>
      </c>
      <c r="C109" t="s">
        <v>484</v>
      </c>
      <c r="D109">
        <v>107233200</v>
      </c>
      <c r="E109" t="s">
        <v>506</v>
      </c>
      <c r="F109" t="s">
        <v>486</v>
      </c>
      <c r="G109">
        <v>2.46</v>
      </c>
      <c r="H109">
        <v>7.58</v>
      </c>
      <c r="I109">
        <v>0.03</v>
      </c>
      <c r="J109">
        <v>0</v>
      </c>
      <c r="K109">
        <v>10.07</v>
      </c>
      <c r="L109" t="s">
        <v>487</v>
      </c>
      <c r="M109">
        <v>286</v>
      </c>
      <c r="N109">
        <v>28.41</v>
      </c>
      <c r="O109" t="s">
        <v>81</v>
      </c>
      <c r="P109" t="s">
        <v>492</v>
      </c>
      <c r="Q109">
        <v>286</v>
      </c>
      <c r="R109">
        <v>28.41</v>
      </c>
    </row>
    <row r="110" spans="1:18" x14ac:dyDescent="0.35">
      <c r="A110" t="s">
        <v>197</v>
      </c>
      <c r="B110" t="s">
        <v>483</v>
      </c>
      <c r="C110" t="s">
        <v>484</v>
      </c>
      <c r="D110">
        <v>107432433</v>
      </c>
      <c r="E110" t="s">
        <v>538</v>
      </c>
      <c r="F110" t="s">
        <v>497</v>
      </c>
      <c r="G110">
        <v>0.35</v>
      </c>
      <c r="H110">
        <v>8.51</v>
      </c>
      <c r="I110">
        <v>0</v>
      </c>
      <c r="J110">
        <v>0</v>
      </c>
      <c r="K110">
        <v>8.8699999999999992</v>
      </c>
      <c r="L110" t="s">
        <v>487</v>
      </c>
      <c r="M110">
        <v>179</v>
      </c>
      <c r="N110">
        <v>20.190000000000001</v>
      </c>
      <c r="O110" t="s">
        <v>60</v>
      </c>
      <c r="P110" t="s">
        <v>488</v>
      </c>
      <c r="Q110">
        <v>508</v>
      </c>
      <c r="R110">
        <v>1440</v>
      </c>
    </row>
    <row r="111" spans="1:18" x14ac:dyDescent="0.35">
      <c r="A111" t="s">
        <v>197</v>
      </c>
      <c r="B111" t="s">
        <v>483</v>
      </c>
      <c r="C111" t="s">
        <v>484</v>
      </c>
      <c r="D111">
        <v>107432433</v>
      </c>
      <c r="E111" t="s">
        <v>538</v>
      </c>
      <c r="F111" t="s">
        <v>497</v>
      </c>
      <c r="G111">
        <v>0.35</v>
      </c>
      <c r="H111">
        <v>8.51</v>
      </c>
      <c r="I111">
        <v>0</v>
      </c>
      <c r="J111">
        <v>0</v>
      </c>
      <c r="K111">
        <v>8.8699999999999992</v>
      </c>
      <c r="L111" t="s">
        <v>487</v>
      </c>
      <c r="M111">
        <v>179</v>
      </c>
      <c r="N111">
        <v>20.190000000000001</v>
      </c>
      <c r="O111" t="s">
        <v>60</v>
      </c>
      <c r="P111" t="s">
        <v>489</v>
      </c>
      <c r="Q111">
        <v>2124</v>
      </c>
      <c r="R111">
        <v>249.48</v>
      </c>
    </row>
    <row r="112" spans="1:18" x14ac:dyDescent="0.35">
      <c r="A112" t="s">
        <v>197</v>
      </c>
      <c r="B112" t="s">
        <v>483</v>
      </c>
      <c r="C112" t="s">
        <v>484</v>
      </c>
      <c r="D112">
        <v>107432433</v>
      </c>
      <c r="E112" t="s">
        <v>538</v>
      </c>
      <c r="F112" t="s">
        <v>497</v>
      </c>
      <c r="G112">
        <v>0.35</v>
      </c>
      <c r="H112">
        <v>8.51</v>
      </c>
      <c r="I112">
        <v>0</v>
      </c>
      <c r="J112">
        <v>0</v>
      </c>
      <c r="K112">
        <v>8.8699999999999992</v>
      </c>
      <c r="L112" t="s">
        <v>487</v>
      </c>
      <c r="M112">
        <v>179</v>
      </c>
      <c r="N112">
        <v>20.190000000000001</v>
      </c>
      <c r="O112" t="s">
        <v>60</v>
      </c>
      <c r="P112" t="s">
        <v>490</v>
      </c>
      <c r="Q112">
        <v>0</v>
      </c>
      <c r="R112">
        <v>0</v>
      </c>
    </row>
    <row r="113" spans="1:18" x14ac:dyDescent="0.35">
      <c r="A113" t="s">
        <v>197</v>
      </c>
      <c r="B113" t="s">
        <v>483</v>
      </c>
      <c r="C113" t="s">
        <v>484</v>
      </c>
      <c r="D113">
        <v>107432433</v>
      </c>
      <c r="E113" t="s">
        <v>538</v>
      </c>
      <c r="F113" t="s">
        <v>497</v>
      </c>
      <c r="G113">
        <v>0.35</v>
      </c>
      <c r="H113">
        <v>8.51</v>
      </c>
      <c r="I113">
        <v>0</v>
      </c>
      <c r="J113">
        <v>0</v>
      </c>
      <c r="K113">
        <v>8.8699999999999992</v>
      </c>
      <c r="L113" t="s">
        <v>487</v>
      </c>
      <c r="M113">
        <v>179</v>
      </c>
      <c r="N113">
        <v>20.190000000000001</v>
      </c>
      <c r="O113" t="s">
        <v>60</v>
      </c>
      <c r="P113" t="s">
        <v>491</v>
      </c>
      <c r="Q113">
        <v>0</v>
      </c>
      <c r="R113">
        <v>0</v>
      </c>
    </row>
    <row r="114" spans="1:18" x14ac:dyDescent="0.35">
      <c r="A114" t="s">
        <v>197</v>
      </c>
      <c r="B114" t="s">
        <v>483</v>
      </c>
      <c r="C114" t="s">
        <v>484</v>
      </c>
      <c r="D114">
        <v>107432433</v>
      </c>
      <c r="E114" t="s">
        <v>538</v>
      </c>
      <c r="F114" t="s">
        <v>497</v>
      </c>
      <c r="G114">
        <v>0.35</v>
      </c>
      <c r="H114">
        <v>8.51</v>
      </c>
      <c r="I114">
        <v>0</v>
      </c>
      <c r="J114">
        <v>0</v>
      </c>
      <c r="K114">
        <v>8.8699999999999992</v>
      </c>
      <c r="L114" t="s">
        <v>487</v>
      </c>
      <c r="M114">
        <v>179</v>
      </c>
      <c r="N114">
        <v>20.190000000000001</v>
      </c>
      <c r="O114" t="s">
        <v>60</v>
      </c>
      <c r="P114" t="s">
        <v>492</v>
      </c>
      <c r="Q114">
        <v>2632</v>
      </c>
      <c r="R114">
        <v>296.83999999999997</v>
      </c>
    </row>
    <row r="115" spans="1:18" x14ac:dyDescent="0.35">
      <c r="A115" t="s">
        <v>197</v>
      </c>
      <c r="B115" t="s">
        <v>483</v>
      </c>
      <c r="C115" t="s">
        <v>484</v>
      </c>
      <c r="D115">
        <v>107432433</v>
      </c>
      <c r="E115" t="s">
        <v>538</v>
      </c>
      <c r="F115" t="s">
        <v>497</v>
      </c>
      <c r="G115">
        <v>0.35</v>
      </c>
      <c r="H115">
        <v>8.51</v>
      </c>
      <c r="I115">
        <v>0</v>
      </c>
      <c r="J115">
        <v>0</v>
      </c>
      <c r="K115">
        <v>8.8699999999999992</v>
      </c>
      <c r="L115" t="s">
        <v>487</v>
      </c>
      <c r="M115">
        <v>179</v>
      </c>
      <c r="N115">
        <v>20.190000000000001</v>
      </c>
      <c r="O115" t="s">
        <v>81</v>
      </c>
      <c r="P115" t="s">
        <v>492</v>
      </c>
      <c r="Q115">
        <v>179</v>
      </c>
      <c r="R115">
        <v>20.190000000000001</v>
      </c>
    </row>
    <row r="116" spans="1:18" x14ac:dyDescent="0.35">
      <c r="A116" t="s">
        <v>197</v>
      </c>
      <c r="B116" t="s">
        <v>483</v>
      </c>
      <c r="C116" t="s">
        <v>484</v>
      </c>
      <c r="D116">
        <v>107463281</v>
      </c>
      <c r="E116" t="s">
        <v>539</v>
      </c>
      <c r="F116" t="s">
        <v>497</v>
      </c>
      <c r="G116">
        <v>0.14000000000000001</v>
      </c>
      <c r="H116">
        <v>10.08</v>
      </c>
      <c r="I116">
        <v>0</v>
      </c>
      <c r="J116">
        <v>0</v>
      </c>
      <c r="K116">
        <v>10.220000000000001</v>
      </c>
      <c r="L116" t="s">
        <v>487</v>
      </c>
      <c r="M116">
        <v>476</v>
      </c>
      <c r="N116">
        <v>46.59</v>
      </c>
      <c r="O116" t="s">
        <v>60</v>
      </c>
      <c r="P116" t="s">
        <v>488</v>
      </c>
      <c r="Q116">
        <v>232</v>
      </c>
      <c r="R116">
        <v>1667.07</v>
      </c>
    </row>
    <row r="117" spans="1:18" x14ac:dyDescent="0.35">
      <c r="A117" t="s">
        <v>197</v>
      </c>
      <c r="B117" t="s">
        <v>483</v>
      </c>
      <c r="C117" t="s">
        <v>484</v>
      </c>
      <c r="D117">
        <v>107463281</v>
      </c>
      <c r="E117" t="s">
        <v>539</v>
      </c>
      <c r="F117" t="s">
        <v>497</v>
      </c>
      <c r="G117">
        <v>0.14000000000000001</v>
      </c>
      <c r="H117">
        <v>10.08</v>
      </c>
      <c r="I117">
        <v>0</v>
      </c>
      <c r="J117">
        <v>0</v>
      </c>
      <c r="K117">
        <v>10.220000000000001</v>
      </c>
      <c r="L117" t="s">
        <v>487</v>
      </c>
      <c r="M117">
        <v>476</v>
      </c>
      <c r="N117">
        <v>46.59</v>
      </c>
      <c r="O117" t="s">
        <v>60</v>
      </c>
      <c r="P117" t="s">
        <v>489</v>
      </c>
      <c r="Q117">
        <v>2907</v>
      </c>
      <c r="R117">
        <v>288.47000000000003</v>
      </c>
    </row>
    <row r="118" spans="1:18" x14ac:dyDescent="0.35">
      <c r="A118" t="s">
        <v>197</v>
      </c>
      <c r="B118" t="s">
        <v>483</v>
      </c>
      <c r="C118" t="s">
        <v>484</v>
      </c>
      <c r="D118">
        <v>107463281</v>
      </c>
      <c r="E118" t="s">
        <v>539</v>
      </c>
      <c r="F118" t="s">
        <v>497</v>
      </c>
      <c r="G118">
        <v>0.14000000000000001</v>
      </c>
      <c r="H118">
        <v>10.08</v>
      </c>
      <c r="I118">
        <v>0</v>
      </c>
      <c r="J118">
        <v>0</v>
      </c>
      <c r="K118">
        <v>10.220000000000001</v>
      </c>
      <c r="L118" t="s">
        <v>487</v>
      </c>
      <c r="M118">
        <v>476</v>
      </c>
      <c r="N118">
        <v>46.59</v>
      </c>
      <c r="O118" t="s">
        <v>60</v>
      </c>
      <c r="P118" t="s">
        <v>490</v>
      </c>
      <c r="Q118">
        <v>0</v>
      </c>
      <c r="R118">
        <v>0</v>
      </c>
    </row>
    <row r="119" spans="1:18" x14ac:dyDescent="0.35">
      <c r="A119" t="s">
        <v>197</v>
      </c>
      <c r="B119" t="s">
        <v>483</v>
      </c>
      <c r="C119" t="s">
        <v>484</v>
      </c>
      <c r="D119">
        <v>107463281</v>
      </c>
      <c r="E119" t="s">
        <v>539</v>
      </c>
      <c r="F119" t="s">
        <v>497</v>
      </c>
      <c r="G119">
        <v>0.14000000000000001</v>
      </c>
      <c r="H119">
        <v>10.08</v>
      </c>
      <c r="I119">
        <v>0</v>
      </c>
      <c r="J119">
        <v>0</v>
      </c>
      <c r="K119">
        <v>10.220000000000001</v>
      </c>
      <c r="L119" t="s">
        <v>487</v>
      </c>
      <c r="M119">
        <v>476</v>
      </c>
      <c r="N119">
        <v>46.59</v>
      </c>
      <c r="O119" t="s">
        <v>60</v>
      </c>
      <c r="P119" t="s">
        <v>491</v>
      </c>
      <c r="Q119">
        <v>0</v>
      </c>
      <c r="R119">
        <v>0</v>
      </c>
    </row>
    <row r="120" spans="1:18" x14ac:dyDescent="0.35">
      <c r="A120" t="s">
        <v>197</v>
      </c>
      <c r="B120" t="s">
        <v>483</v>
      </c>
      <c r="C120" t="s">
        <v>484</v>
      </c>
      <c r="D120">
        <v>107463281</v>
      </c>
      <c r="E120" t="s">
        <v>539</v>
      </c>
      <c r="F120" t="s">
        <v>497</v>
      </c>
      <c r="G120">
        <v>0.14000000000000001</v>
      </c>
      <c r="H120">
        <v>10.08</v>
      </c>
      <c r="I120">
        <v>0</v>
      </c>
      <c r="J120">
        <v>0</v>
      </c>
      <c r="K120">
        <v>10.220000000000001</v>
      </c>
      <c r="L120" t="s">
        <v>487</v>
      </c>
      <c r="M120">
        <v>476</v>
      </c>
      <c r="N120">
        <v>46.59</v>
      </c>
      <c r="O120" t="s">
        <v>60</v>
      </c>
      <c r="P120" t="s">
        <v>492</v>
      </c>
      <c r="Q120">
        <v>3139</v>
      </c>
      <c r="R120">
        <v>307.24</v>
      </c>
    </row>
    <row r="121" spans="1:18" x14ac:dyDescent="0.35">
      <c r="A121" t="s">
        <v>197</v>
      </c>
      <c r="B121" t="s">
        <v>483</v>
      </c>
      <c r="C121" t="s">
        <v>484</v>
      </c>
      <c r="D121">
        <v>107463281</v>
      </c>
      <c r="E121" t="s">
        <v>539</v>
      </c>
      <c r="F121" t="s">
        <v>497</v>
      </c>
      <c r="G121">
        <v>0.14000000000000001</v>
      </c>
      <c r="H121">
        <v>10.08</v>
      </c>
      <c r="I121">
        <v>0</v>
      </c>
      <c r="J121">
        <v>0</v>
      </c>
      <c r="K121">
        <v>10.220000000000001</v>
      </c>
      <c r="L121" t="s">
        <v>487</v>
      </c>
      <c r="M121">
        <v>476</v>
      </c>
      <c r="N121">
        <v>46.59</v>
      </c>
      <c r="O121" t="s">
        <v>81</v>
      </c>
      <c r="P121" t="s">
        <v>492</v>
      </c>
      <c r="Q121">
        <v>476</v>
      </c>
      <c r="R121">
        <v>46.59</v>
      </c>
    </row>
    <row r="122" spans="1:18" x14ac:dyDescent="0.35">
      <c r="A122" t="s">
        <v>197</v>
      </c>
      <c r="B122" t="s">
        <v>483</v>
      </c>
      <c r="C122" t="s">
        <v>493</v>
      </c>
      <c r="D122">
        <v>107704699</v>
      </c>
      <c r="E122" t="s">
        <v>540</v>
      </c>
      <c r="F122" t="s">
        <v>497</v>
      </c>
      <c r="G122">
        <v>0.11</v>
      </c>
      <c r="H122">
        <v>4.5599999999999996</v>
      </c>
      <c r="I122">
        <v>0</v>
      </c>
      <c r="J122">
        <v>0</v>
      </c>
      <c r="K122">
        <v>4.67</v>
      </c>
      <c r="L122" t="s">
        <v>487</v>
      </c>
      <c r="M122">
        <v>160</v>
      </c>
      <c r="N122">
        <v>34.29</v>
      </c>
      <c r="O122" t="s">
        <v>60</v>
      </c>
      <c r="P122" t="s">
        <v>488</v>
      </c>
      <c r="Q122">
        <v>120</v>
      </c>
      <c r="R122">
        <v>1139.8399999999999</v>
      </c>
    </row>
    <row r="123" spans="1:18" x14ac:dyDescent="0.35">
      <c r="A123" t="s">
        <v>197</v>
      </c>
      <c r="B123" t="s">
        <v>483</v>
      </c>
      <c r="C123" t="s">
        <v>493</v>
      </c>
      <c r="D123">
        <v>107704699</v>
      </c>
      <c r="E123" t="s">
        <v>540</v>
      </c>
      <c r="F123" t="s">
        <v>497</v>
      </c>
      <c r="G123">
        <v>0.11</v>
      </c>
      <c r="H123">
        <v>4.5599999999999996</v>
      </c>
      <c r="I123">
        <v>0</v>
      </c>
      <c r="J123">
        <v>0</v>
      </c>
      <c r="K123">
        <v>4.67</v>
      </c>
      <c r="L123" t="s">
        <v>487</v>
      </c>
      <c r="M123">
        <v>160</v>
      </c>
      <c r="N123">
        <v>34.29</v>
      </c>
      <c r="O123" t="s">
        <v>60</v>
      </c>
      <c r="P123" t="s">
        <v>489</v>
      </c>
      <c r="Q123">
        <v>899</v>
      </c>
      <c r="R123">
        <v>197.1</v>
      </c>
    </row>
    <row r="124" spans="1:18" x14ac:dyDescent="0.35">
      <c r="A124" t="s">
        <v>197</v>
      </c>
      <c r="B124" t="s">
        <v>483</v>
      </c>
      <c r="C124" t="s">
        <v>493</v>
      </c>
      <c r="D124">
        <v>107704699</v>
      </c>
      <c r="E124" t="s">
        <v>540</v>
      </c>
      <c r="F124" t="s">
        <v>497</v>
      </c>
      <c r="G124">
        <v>0.11</v>
      </c>
      <c r="H124">
        <v>4.5599999999999996</v>
      </c>
      <c r="I124">
        <v>0</v>
      </c>
      <c r="J124">
        <v>0</v>
      </c>
      <c r="K124">
        <v>4.67</v>
      </c>
      <c r="L124" t="s">
        <v>487</v>
      </c>
      <c r="M124">
        <v>160</v>
      </c>
      <c r="N124">
        <v>34.29</v>
      </c>
      <c r="O124" t="s">
        <v>60</v>
      </c>
      <c r="P124" t="s">
        <v>490</v>
      </c>
      <c r="Q124">
        <v>0</v>
      </c>
      <c r="R124">
        <v>0</v>
      </c>
    </row>
    <row r="125" spans="1:18" x14ac:dyDescent="0.35">
      <c r="A125" t="s">
        <v>197</v>
      </c>
      <c r="B125" t="s">
        <v>483</v>
      </c>
      <c r="C125" t="s">
        <v>493</v>
      </c>
      <c r="D125">
        <v>107704699</v>
      </c>
      <c r="E125" t="s">
        <v>540</v>
      </c>
      <c r="F125" t="s">
        <v>497</v>
      </c>
      <c r="G125">
        <v>0.11</v>
      </c>
      <c r="H125">
        <v>4.5599999999999996</v>
      </c>
      <c r="I125">
        <v>0</v>
      </c>
      <c r="J125">
        <v>0</v>
      </c>
      <c r="K125">
        <v>4.67</v>
      </c>
      <c r="L125" t="s">
        <v>487</v>
      </c>
      <c r="M125">
        <v>160</v>
      </c>
      <c r="N125">
        <v>34.29</v>
      </c>
      <c r="O125" t="s">
        <v>60</v>
      </c>
      <c r="P125" t="s">
        <v>491</v>
      </c>
      <c r="Q125">
        <v>0</v>
      </c>
      <c r="R125">
        <v>0</v>
      </c>
    </row>
    <row r="126" spans="1:18" x14ac:dyDescent="0.35">
      <c r="A126" t="s">
        <v>197</v>
      </c>
      <c r="B126" t="s">
        <v>483</v>
      </c>
      <c r="C126" t="s">
        <v>493</v>
      </c>
      <c r="D126">
        <v>107704699</v>
      </c>
      <c r="E126" t="s">
        <v>540</v>
      </c>
      <c r="F126" t="s">
        <v>497</v>
      </c>
      <c r="G126">
        <v>0.11</v>
      </c>
      <c r="H126">
        <v>4.5599999999999996</v>
      </c>
      <c r="I126">
        <v>0</v>
      </c>
      <c r="J126">
        <v>0</v>
      </c>
      <c r="K126">
        <v>4.67</v>
      </c>
      <c r="L126" t="s">
        <v>487</v>
      </c>
      <c r="M126">
        <v>160</v>
      </c>
      <c r="N126">
        <v>34.29</v>
      </c>
      <c r="O126" t="s">
        <v>60</v>
      </c>
      <c r="P126" t="s">
        <v>492</v>
      </c>
      <c r="Q126">
        <v>1019</v>
      </c>
      <c r="R126">
        <v>218.36</v>
      </c>
    </row>
    <row r="127" spans="1:18" x14ac:dyDescent="0.35">
      <c r="A127" t="s">
        <v>197</v>
      </c>
      <c r="B127" t="s">
        <v>483</v>
      </c>
      <c r="C127" t="s">
        <v>493</v>
      </c>
      <c r="D127">
        <v>107704699</v>
      </c>
      <c r="E127" t="s">
        <v>540</v>
      </c>
      <c r="F127" t="s">
        <v>497</v>
      </c>
      <c r="G127">
        <v>0.11</v>
      </c>
      <c r="H127">
        <v>4.5599999999999996</v>
      </c>
      <c r="I127">
        <v>0</v>
      </c>
      <c r="J127">
        <v>0</v>
      </c>
      <c r="K127">
        <v>4.67</v>
      </c>
      <c r="L127" t="s">
        <v>487</v>
      </c>
      <c r="M127">
        <v>160</v>
      </c>
      <c r="N127">
        <v>34.29</v>
      </c>
      <c r="O127" t="s">
        <v>81</v>
      </c>
      <c r="P127" t="s">
        <v>492</v>
      </c>
      <c r="Q127">
        <v>160</v>
      </c>
      <c r="R127">
        <v>34.29</v>
      </c>
    </row>
    <row r="128" spans="1:18" x14ac:dyDescent="0.35">
      <c r="A128" t="s">
        <v>197</v>
      </c>
      <c r="B128" t="s">
        <v>483</v>
      </c>
      <c r="C128" t="s">
        <v>484</v>
      </c>
      <c r="D128">
        <v>107741579</v>
      </c>
      <c r="E128" t="s">
        <v>541</v>
      </c>
      <c r="F128" t="s">
        <v>497</v>
      </c>
      <c r="G128">
        <v>0.11</v>
      </c>
      <c r="H128">
        <v>7.6</v>
      </c>
      <c r="I128">
        <v>0</v>
      </c>
      <c r="J128">
        <v>0</v>
      </c>
      <c r="K128">
        <v>7.71</v>
      </c>
      <c r="L128" t="s">
        <v>487</v>
      </c>
      <c r="M128">
        <v>247</v>
      </c>
      <c r="N128">
        <v>32.049999999999997</v>
      </c>
      <c r="O128" t="s">
        <v>60</v>
      </c>
      <c r="P128" t="s">
        <v>488</v>
      </c>
      <c r="Q128">
        <v>185</v>
      </c>
      <c r="R128">
        <v>1716.49</v>
      </c>
    </row>
    <row r="129" spans="1:18" x14ac:dyDescent="0.35">
      <c r="A129" t="s">
        <v>197</v>
      </c>
      <c r="B129" t="s">
        <v>483</v>
      </c>
      <c r="C129" t="s">
        <v>484</v>
      </c>
      <c r="D129">
        <v>107741579</v>
      </c>
      <c r="E129" t="s">
        <v>541</v>
      </c>
      <c r="F129" t="s">
        <v>497</v>
      </c>
      <c r="G129">
        <v>0.11</v>
      </c>
      <c r="H129">
        <v>7.6</v>
      </c>
      <c r="I129">
        <v>0</v>
      </c>
      <c r="J129">
        <v>0</v>
      </c>
      <c r="K129">
        <v>7.71</v>
      </c>
      <c r="L129" t="s">
        <v>487</v>
      </c>
      <c r="M129">
        <v>247</v>
      </c>
      <c r="N129">
        <v>32.049999999999997</v>
      </c>
      <c r="O129" t="s">
        <v>60</v>
      </c>
      <c r="P129" t="s">
        <v>489</v>
      </c>
      <c r="Q129">
        <v>2255</v>
      </c>
      <c r="R129">
        <v>296.72000000000003</v>
      </c>
    </row>
    <row r="130" spans="1:18" x14ac:dyDescent="0.35">
      <c r="A130" t="s">
        <v>197</v>
      </c>
      <c r="B130" t="s">
        <v>483</v>
      </c>
      <c r="C130" t="s">
        <v>484</v>
      </c>
      <c r="D130">
        <v>107741579</v>
      </c>
      <c r="E130" t="s">
        <v>541</v>
      </c>
      <c r="F130" t="s">
        <v>497</v>
      </c>
      <c r="G130">
        <v>0.11</v>
      </c>
      <c r="H130">
        <v>7.6</v>
      </c>
      <c r="I130">
        <v>0</v>
      </c>
      <c r="J130">
        <v>0</v>
      </c>
      <c r="K130">
        <v>7.71</v>
      </c>
      <c r="L130" t="s">
        <v>487</v>
      </c>
      <c r="M130">
        <v>247</v>
      </c>
      <c r="N130">
        <v>32.049999999999997</v>
      </c>
      <c r="O130" t="s">
        <v>60</v>
      </c>
      <c r="P130" t="s">
        <v>490</v>
      </c>
      <c r="Q130">
        <v>0</v>
      </c>
      <c r="R130">
        <v>0</v>
      </c>
    </row>
    <row r="131" spans="1:18" x14ac:dyDescent="0.35">
      <c r="A131" t="s">
        <v>197</v>
      </c>
      <c r="B131" t="s">
        <v>483</v>
      </c>
      <c r="C131" t="s">
        <v>484</v>
      </c>
      <c r="D131">
        <v>107741579</v>
      </c>
      <c r="E131" t="s">
        <v>541</v>
      </c>
      <c r="F131" t="s">
        <v>497</v>
      </c>
      <c r="G131">
        <v>0.11</v>
      </c>
      <c r="H131">
        <v>7.6</v>
      </c>
      <c r="I131">
        <v>0</v>
      </c>
      <c r="J131">
        <v>0</v>
      </c>
      <c r="K131">
        <v>7.71</v>
      </c>
      <c r="L131" t="s">
        <v>487</v>
      </c>
      <c r="M131">
        <v>247</v>
      </c>
      <c r="N131">
        <v>32.049999999999997</v>
      </c>
      <c r="O131" t="s">
        <v>60</v>
      </c>
      <c r="P131" t="s">
        <v>491</v>
      </c>
      <c r="Q131">
        <v>0</v>
      </c>
      <c r="R131">
        <v>0</v>
      </c>
    </row>
    <row r="132" spans="1:18" x14ac:dyDescent="0.35">
      <c r="A132" t="s">
        <v>197</v>
      </c>
      <c r="B132" t="s">
        <v>483</v>
      </c>
      <c r="C132" t="s">
        <v>484</v>
      </c>
      <c r="D132">
        <v>107741579</v>
      </c>
      <c r="E132" t="s">
        <v>541</v>
      </c>
      <c r="F132" t="s">
        <v>497</v>
      </c>
      <c r="G132">
        <v>0.11</v>
      </c>
      <c r="H132">
        <v>7.6</v>
      </c>
      <c r="I132">
        <v>0</v>
      </c>
      <c r="J132">
        <v>0</v>
      </c>
      <c r="K132">
        <v>7.71</v>
      </c>
      <c r="L132" t="s">
        <v>487</v>
      </c>
      <c r="M132">
        <v>247</v>
      </c>
      <c r="N132">
        <v>32.049999999999997</v>
      </c>
      <c r="O132" t="s">
        <v>60</v>
      </c>
      <c r="P132" t="s">
        <v>492</v>
      </c>
      <c r="Q132">
        <v>2440</v>
      </c>
      <c r="R132">
        <v>316.56</v>
      </c>
    </row>
    <row r="133" spans="1:18" x14ac:dyDescent="0.35">
      <c r="A133" t="s">
        <v>197</v>
      </c>
      <c r="B133" t="s">
        <v>483</v>
      </c>
      <c r="C133" t="s">
        <v>484</v>
      </c>
      <c r="D133">
        <v>107741579</v>
      </c>
      <c r="E133" t="s">
        <v>541</v>
      </c>
      <c r="F133" t="s">
        <v>497</v>
      </c>
      <c r="G133">
        <v>0.11</v>
      </c>
      <c r="H133">
        <v>7.6</v>
      </c>
      <c r="I133">
        <v>0</v>
      </c>
      <c r="J133">
        <v>0</v>
      </c>
      <c r="K133">
        <v>7.71</v>
      </c>
      <c r="L133" t="s">
        <v>487</v>
      </c>
      <c r="M133">
        <v>247</v>
      </c>
      <c r="N133">
        <v>32.049999999999997</v>
      </c>
      <c r="O133" t="s">
        <v>81</v>
      </c>
      <c r="P133" t="s">
        <v>492</v>
      </c>
      <c r="Q133">
        <v>247</v>
      </c>
      <c r="R133">
        <v>32.049999999999997</v>
      </c>
    </row>
    <row r="134" spans="1:18" x14ac:dyDescent="0.35">
      <c r="A134" t="s">
        <v>197</v>
      </c>
      <c r="B134" t="s">
        <v>483</v>
      </c>
      <c r="C134" t="s">
        <v>484</v>
      </c>
      <c r="D134">
        <v>107741612</v>
      </c>
      <c r="E134" t="s">
        <v>542</v>
      </c>
      <c r="F134" t="s">
        <v>497</v>
      </c>
      <c r="G134">
        <v>0.27</v>
      </c>
      <c r="H134">
        <v>8.5</v>
      </c>
      <c r="I134">
        <v>0</v>
      </c>
      <c r="J134">
        <v>0</v>
      </c>
      <c r="K134">
        <v>8.77</v>
      </c>
      <c r="L134" t="s">
        <v>487</v>
      </c>
      <c r="M134">
        <v>284</v>
      </c>
      <c r="N134">
        <v>32.4</v>
      </c>
      <c r="O134" t="s">
        <v>60</v>
      </c>
      <c r="P134" t="s">
        <v>488</v>
      </c>
      <c r="Q134">
        <v>440</v>
      </c>
      <c r="R134">
        <v>1627.95</v>
      </c>
    </row>
    <row r="135" spans="1:18" x14ac:dyDescent="0.35">
      <c r="A135" t="s">
        <v>197</v>
      </c>
      <c r="B135" t="s">
        <v>483</v>
      </c>
      <c r="C135" t="s">
        <v>484</v>
      </c>
      <c r="D135">
        <v>107741612</v>
      </c>
      <c r="E135" t="s">
        <v>542</v>
      </c>
      <c r="F135" t="s">
        <v>497</v>
      </c>
      <c r="G135">
        <v>0.27</v>
      </c>
      <c r="H135">
        <v>8.5</v>
      </c>
      <c r="I135">
        <v>0</v>
      </c>
      <c r="J135">
        <v>0</v>
      </c>
      <c r="K135">
        <v>8.77</v>
      </c>
      <c r="L135" t="s">
        <v>487</v>
      </c>
      <c r="M135">
        <v>284</v>
      </c>
      <c r="N135">
        <v>32.4</v>
      </c>
      <c r="O135" t="s">
        <v>60</v>
      </c>
      <c r="P135" t="s">
        <v>489</v>
      </c>
      <c r="Q135">
        <v>2394</v>
      </c>
      <c r="R135">
        <v>281.77999999999997</v>
      </c>
    </row>
    <row r="136" spans="1:18" x14ac:dyDescent="0.35">
      <c r="A136" t="s">
        <v>197</v>
      </c>
      <c r="B136" t="s">
        <v>483</v>
      </c>
      <c r="C136" t="s">
        <v>484</v>
      </c>
      <c r="D136">
        <v>107741612</v>
      </c>
      <c r="E136" t="s">
        <v>542</v>
      </c>
      <c r="F136" t="s">
        <v>497</v>
      </c>
      <c r="G136">
        <v>0.27</v>
      </c>
      <c r="H136">
        <v>8.5</v>
      </c>
      <c r="I136">
        <v>0</v>
      </c>
      <c r="J136">
        <v>0</v>
      </c>
      <c r="K136">
        <v>8.77</v>
      </c>
      <c r="L136" t="s">
        <v>487</v>
      </c>
      <c r="M136">
        <v>284</v>
      </c>
      <c r="N136">
        <v>32.4</v>
      </c>
      <c r="O136" t="s">
        <v>60</v>
      </c>
      <c r="P136" t="s">
        <v>490</v>
      </c>
      <c r="Q136">
        <v>0</v>
      </c>
      <c r="R136">
        <v>0</v>
      </c>
    </row>
    <row r="137" spans="1:18" x14ac:dyDescent="0.35">
      <c r="A137" t="s">
        <v>197</v>
      </c>
      <c r="B137" t="s">
        <v>483</v>
      </c>
      <c r="C137" t="s">
        <v>484</v>
      </c>
      <c r="D137">
        <v>107741612</v>
      </c>
      <c r="E137" t="s">
        <v>542</v>
      </c>
      <c r="F137" t="s">
        <v>497</v>
      </c>
      <c r="G137">
        <v>0.27</v>
      </c>
      <c r="H137">
        <v>8.5</v>
      </c>
      <c r="I137">
        <v>0</v>
      </c>
      <c r="J137">
        <v>0</v>
      </c>
      <c r="K137">
        <v>8.77</v>
      </c>
      <c r="L137" t="s">
        <v>487</v>
      </c>
      <c r="M137">
        <v>284</v>
      </c>
      <c r="N137">
        <v>32.4</v>
      </c>
      <c r="O137" t="s">
        <v>60</v>
      </c>
      <c r="P137" t="s">
        <v>491</v>
      </c>
      <c r="Q137">
        <v>0</v>
      </c>
      <c r="R137">
        <v>0</v>
      </c>
    </row>
    <row r="138" spans="1:18" x14ac:dyDescent="0.35">
      <c r="A138" t="s">
        <v>197</v>
      </c>
      <c r="B138" t="s">
        <v>483</v>
      </c>
      <c r="C138" t="s">
        <v>484</v>
      </c>
      <c r="D138">
        <v>107741612</v>
      </c>
      <c r="E138" t="s">
        <v>542</v>
      </c>
      <c r="F138" t="s">
        <v>497</v>
      </c>
      <c r="G138">
        <v>0.27</v>
      </c>
      <c r="H138">
        <v>8.5</v>
      </c>
      <c r="I138">
        <v>0</v>
      </c>
      <c r="J138">
        <v>0</v>
      </c>
      <c r="K138">
        <v>8.77</v>
      </c>
      <c r="L138" t="s">
        <v>487</v>
      </c>
      <c r="M138">
        <v>284</v>
      </c>
      <c r="N138">
        <v>32.4</v>
      </c>
      <c r="O138" t="s">
        <v>60</v>
      </c>
      <c r="P138" t="s">
        <v>492</v>
      </c>
      <c r="Q138">
        <v>2834</v>
      </c>
      <c r="R138">
        <v>323.27</v>
      </c>
    </row>
    <row r="139" spans="1:18" x14ac:dyDescent="0.35">
      <c r="A139" t="s">
        <v>197</v>
      </c>
      <c r="B139" t="s">
        <v>483</v>
      </c>
      <c r="C139" t="s">
        <v>484</v>
      </c>
      <c r="D139">
        <v>107741612</v>
      </c>
      <c r="E139" t="s">
        <v>542</v>
      </c>
      <c r="F139" t="s">
        <v>497</v>
      </c>
      <c r="G139">
        <v>0.27</v>
      </c>
      <c r="H139">
        <v>8.5</v>
      </c>
      <c r="I139">
        <v>0</v>
      </c>
      <c r="J139">
        <v>0</v>
      </c>
      <c r="K139">
        <v>8.77</v>
      </c>
      <c r="L139" t="s">
        <v>487</v>
      </c>
      <c r="M139">
        <v>284</v>
      </c>
      <c r="N139">
        <v>32.4</v>
      </c>
      <c r="O139" t="s">
        <v>81</v>
      </c>
      <c r="P139" t="s">
        <v>492</v>
      </c>
      <c r="Q139">
        <v>284</v>
      </c>
      <c r="R139">
        <v>32.4</v>
      </c>
    </row>
    <row r="140" spans="1:18" x14ac:dyDescent="0.35">
      <c r="A140" t="s">
        <v>197</v>
      </c>
      <c r="B140" t="s">
        <v>483</v>
      </c>
      <c r="C140" t="s">
        <v>493</v>
      </c>
      <c r="D140">
        <v>107741933</v>
      </c>
      <c r="E140" t="s">
        <v>543</v>
      </c>
      <c r="F140" t="s">
        <v>497</v>
      </c>
      <c r="G140">
        <v>0.47</v>
      </c>
      <c r="H140">
        <v>9.2200000000000006</v>
      </c>
      <c r="I140">
        <v>0</v>
      </c>
      <c r="J140">
        <v>0</v>
      </c>
      <c r="K140">
        <v>9.68</v>
      </c>
      <c r="L140" t="s">
        <v>487</v>
      </c>
      <c r="M140">
        <v>163</v>
      </c>
      <c r="N140">
        <v>16.829999999999998</v>
      </c>
      <c r="O140" t="s">
        <v>60</v>
      </c>
      <c r="P140" t="s">
        <v>488</v>
      </c>
      <c r="Q140">
        <v>449</v>
      </c>
      <c r="R140">
        <v>961</v>
      </c>
    </row>
    <row r="141" spans="1:18" x14ac:dyDescent="0.35">
      <c r="A141" t="s">
        <v>197</v>
      </c>
      <c r="B141" t="s">
        <v>483</v>
      </c>
      <c r="C141" t="s">
        <v>493</v>
      </c>
      <c r="D141">
        <v>107741933</v>
      </c>
      <c r="E141" t="s">
        <v>543</v>
      </c>
      <c r="F141" t="s">
        <v>497</v>
      </c>
      <c r="G141">
        <v>0.47</v>
      </c>
      <c r="H141">
        <v>9.2200000000000006</v>
      </c>
      <c r="I141">
        <v>0</v>
      </c>
      <c r="J141">
        <v>0</v>
      </c>
      <c r="K141">
        <v>9.68</v>
      </c>
      <c r="L141" t="s">
        <v>487</v>
      </c>
      <c r="M141">
        <v>163</v>
      </c>
      <c r="N141">
        <v>16.829999999999998</v>
      </c>
      <c r="O141" t="s">
        <v>60</v>
      </c>
      <c r="P141" t="s">
        <v>489</v>
      </c>
      <c r="Q141">
        <v>1534</v>
      </c>
      <c r="R141">
        <v>166.45</v>
      </c>
    </row>
    <row r="142" spans="1:18" x14ac:dyDescent="0.35">
      <c r="A142" t="s">
        <v>197</v>
      </c>
      <c r="B142" t="s">
        <v>483</v>
      </c>
      <c r="C142" t="s">
        <v>493</v>
      </c>
      <c r="D142">
        <v>107741933</v>
      </c>
      <c r="E142" t="s">
        <v>543</v>
      </c>
      <c r="F142" t="s">
        <v>497</v>
      </c>
      <c r="G142">
        <v>0.47</v>
      </c>
      <c r="H142">
        <v>9.2200000000000006</v>
      </c>
      <c r="I142">
        <v>0</v>
      </c>
      <c r="J142">
        <v>0</v>
      </c>
      <c r="K142">
        <v>9.68</v>
      </c>
      <c r="L142" t="s">
        <v>487</v>
      </c>
      <c r="M142">
        <v>163</v>
      </c>
      <c r="N142">
        <v>16.829999999999998</v>
      </c>
      <c r="O142" t="s">
        <v>60</v>
      </c>
      <c r="P142" t="s">
        <v>490</v>
      </c>
      <c r="Q142">
        <v>0</v>
      </c>
      <c r="R142">
        <v>0</v>
      </c>
    </row>
    <row r="143" spans="1:18" x14ac:dyDescent="0.35">
      <c r="A143" t="s">
        <v>197</v>
      </c>
      <c r="B143" t="s">
        <v>483</v>
      </c>
      <c r="C143" t="s">
        <v>493</v>
      </c>
      <c r="D143">
        <v>107741933</v>
      </c>
      <c r="E143" t="s">
        <v>543</v>
      </c>
      <c r="F143" t="s">
        <v>497</v>
      </c>
      <c r="G143">
        <v>0.47</v>
      </c>
      <c r="H143">
        <v>9.2200000000000006</v>
      </c>
      <c r="I143">
        <v>0</v>
      </c>
      <c r="J143">
        <v>0</v>
      </c>
      <c r="K143">
        <v>9.68</v>
      </c>
      <c r="L143" t="s">
        <v>487</v>
      </c>
      <c r="M143">
        <v>163</v>
      </c>
      <c r="N143">
        <v>16.829999999999998</v>
      </c>
      <c r="O143" t="s">
        <v>60</v>
      </c>
      <c r="P143" t="s">
        <v>491</v>
      </c>
      <c r="Q143">
        <v>0</v>
      </c>
      <c r="R143">
        <v>0</v>
      </c>
    </row>
    <row r="144" spans="1:18" x14ac:dyDescent="0.35">
      <c r="A144" t="s">
        <v>197</v>
      </c>
      <c r="B144" t="s">
        <v>483</v>
      </c>
      <c r="C144" t="s">
        <v>493</v>
      </c>
      <c r="D144">
        <v>107741933</v>
      </c>
      <c r="E144" t="s">
        <v>543</v>
      </c>
      <c r="F144" t="s">
        <v>497</v>
      </c>
      <c r="G144">
        <v>0.47</v>
      </c>
      <c r="H144">
        <v>9.2200000000000006</v>
      </c>
      <c r="I144">
        <v>0</v>
      </c>
      <c r="J144">
        <v>0</v>
      </c>
      <c r="K144">
        <v>9.68</v>
      </c>
      <c r="L144" t="s">
        <v>487</v>
      </c>
      <c r="M144">
        <v>163</v>
      </c>
      <c r="N144">
        <v>16.829999999999998</v>
      </c>
      <c r="O144" t="s">
        <v>60</v>
      </c>
      <c r="P144" t="s">
        <v>492</v>
      </c>
      <c r="Q144">
        <v>1983</v>
      </c>
      <c r="R144">
        <v>204.78</v>
      </c>
    </row>
    <row r="145" spans="1:18" x14ac:dyDescent="0.35">
      <c r="A145" t="s">
        <v>197</v>
      </c>
      <c r="B145" t="s">
        <v>483</v>
      </c>
      <c r="C145" t="s">
        <v>493</v>
      </c>
      <c r="D145">
        <v>107741933</v>
      </c>
      <c r="E145" t="s">
        <v>543</v>
      </c>
      <c r="F145" t="s">
        <v>497</v>
      </c>
      <c r="G145">
        <v>0.47</v>
      </c>
      <c r="H145">
        <v>9.2200000000000006</v>
      </c>
      <c r="I145">
        <v>0</v>
      </c>
      <c r="J145">
        <v>0</v>
      </c>
      <c r="K145">
        <v>9.68</v>
      </c>
      <c r="L145" t="s">
        <v>487</v>
      </c>
      <c r="M145">
        <v>163</v>
      </c>
      <c r="N145">
        <v>16.829999999999998</v>
      </c>
      <c r="O145" t="s">
        <v>81</v>
      </c>
      <c r="P145" t="s">
        <v>492</v>
      </c>
      <c r="Q145">
        <v>163</v>
      </c>
      <c r="R145">
        <v>16.829999999999998</v>
      </c>
    </row>
    <row r="146" spans="1:18" x14ac:dyDescent="0.35">
      <c r="A146" t="s">
        <v>197</v>
      </c>
      <c r="B146" t="s">
        <v>483</v>
      </c>
      <c r="C146" t="s">
        <v>493</v>
      </c>
      <c r="D146">
        <v>107819512</v>
      </c>
      <c r="E146" t="s">
        <v>544</v>
      </c>
      <c r="F146" t="s">
        <v>497</v>
      </c>
      <c r="G146">
        <v>0.67</v>
      </c>
      <c r="H146">
        <v>2.81</v>
      </c>
      <c r="I146">
        <v>0</v>
      </c>
      <c r="J146">
        <v>0</v>
      </c>
      <c r="K146">
        <v>3.48</v>
      </c>
      <c r="L146" t="s">
        <v>487</v>
      </c>
      <c r="M146">
        <v>72</v>
      </c>
      <c r="N146">
        <v>20.67</v>
      </c>
      <c r="O146" t="s">
        <v>60</v>
      </c>
      <c r="P146" t="s">
        <v>488</v>
      </c>
      <c r="Q146">
        <v>540</v>
      </c>
      <c r="R146">
        <v>802.97</v>
      </c>
    </row>
    <row r="147" spans="1:18" x14ac:dyDescent="0.35">
      <c r="A147" t="s">
        <v>197</v>
      </c>
      <c r="B147" t="s">
        <v>483</v>
      </c>
      <c r="C147" t="s">
        <v>493</v>
      </c>
      <c r="D147">
        <v>107819512</v>
      </c>
      <c r="E147" t="s">
        <v>544</v>
      </c>
      <c r="F147" t="s">
        <v>497</v>
      </c>
      <c r="G147">
        <v>0.67</v>
      </c>
      <c r="H147">
        <v>2.81</v>
      </c>
      <c r="I147">
        <v>0</v>
      </c>
      <c r="J147">
        <v>0</v>
      </c>
      <c r="K147">
        <v>3.48</v>
      </c>
      <c r="L147" t="s">
        <v>487</v>
      </c>
      <c r="M147">
        <v>72</v>
      </c>
      <c r="N147">
        <v>20.67</v>
      </c>
      <c r="O147" t="s">
        <v>60</v>
      </c>
      <c r="P147" t="s">
        <v>489</v>
      </c>
      <c r="Q147">
        <v>391</v>
      </c>
      <c r="R147">
        <v>139.12</v>
      </c>
    </row>
    <row r="148" spans="1:18" x14ac:dyDescent="0.35">
      <c r="A148" t="s">
        <v>197</v>
      </c>
      <c r="B148" t="s">
        <v>483</v>
      </c>
      <c r="C148" t="s">
        <v>493</v>
      </c>
      <c r="D148">
        <v>107819512</v>
      </c>
      <c r="E148" t="s">
        <v>544</v>
      </c>
      <c r="F148" t="s">
        <v>497</v>
      </c>
      <c r="G148">
        <v>0.67</v>
      </c>
      <c r="H148">
        <v>2.81</v>
      </c>
      <c r="I148">
        <v>0</v>
      </c>
      <c r="J148">
        <v>0</v>
      </c>
      <c r="K148">
        <v>3.48</v>
      </c>
      <c r="L148" t="s">
        <v>487</v>
      </c>
      <c r="M148">
        <v>72</v>
      </c>
      <c r="N148">
        <v>20.67</v>
      </c>
      <c r="O148" t="s">
        <v>60</v>
      </c>
      <c r="P148" t="s">
        <v>490</v>
      </c>
      <c r="Q148">
        <v>0</v>
      </c>
      <c r="R148">
        <v>0</v>
      </c>
    </row>
    <row r="149" spans="1:18" x14ac:dyDescent="0.35">
      <c r="A149" t="s">
        <v>197</v>
      </c>
      <c r="B149" t="s">
        <v>483</v>
      </c>
      <c r="C149" t="s">
        <v>493</v>
      </c>
      <c r="D149">
        <v>107819512</v>
      </c>
      <c r="E149" t="s">
        <v>544</v>
      </c>
      <c r="F149" t="s">
        <v>497</v>
      </c>
      <c r="G149">
        <v>0.67</v>
      </c>
      <c r="H149">
        <v>2.81</v>
      </c>
      <c r="I149">
        <v>0</v>
      </c>
      <c r="J149">
        <v>0</v>
      </c>
      <c r="K149">
        <v>3.48</v>
      </c>
      <c r="L149" t="s">
        <v>487</v>
      </c>
      <c r="M149">
        <v>72</v>
      </c>
      <c r="N149">
        <v>20.67</v>
      </c>
      <c r="O149" t="s">
        <v>60</v>
      </c>
      <c r="P149" t="s">
        <v>491</v>
      </c>
      <c r="Q149">
        <v>0</v>
      </c>
      <c r="R149">
        <v>0</v>
      </c>
    </row>
    <row r="150" spans="1:18" x14ac:dyDescent="0.35">
      <c r="A150" t="s">
        <v>197</v>
      </c>
      <c r="B150" t="s">
        <v>483</v>
      </c>
      <c r="C150" t="s">
        <v>493</v>
      </c>
      <c r="D150">
        <v>107819512</v>
      </c>
      <c r="E150" t="s">
        <v>544</v>
      </c>
      <c r="F150" t="s">
        <v>497</v>
      </c>
      <c r="G150">
        <v>0.67</v>
      </c>
      <c r="H150">
        <v>2.81</v>
      </c>
      <c r="I150">
        <v>0</v>
      </c>
      <c r="J150">
        <v>0</v>
      </c>
      <c r="K150">
        <v>3.48</v>
      </c>
      <c r="L150" t="s">
        <v>487</v>
      </c>
      <c r="M150">
        <v>72</v>
      </c>
      <c r="N150">
        <v>20.67</v>
      </c>
      <c r="O150" t="s">
        <v>60</v>
      </c>
      <c r="P150" t="s">
        <v>492</v>
      </c>
      <c r="Q150">
        <v>931</v>
      </c>
      <c r="R150">
        <v>267.27</v>
      </c>
    </row>
    <row r="151" spans="1:18" x14ac:dyDescent="0.35">
      <c r="A151" t="s">
        <v>197</v>
      </c>
      <c r="B151" t="s">
        <v>483</v>
      </c>
      <c r="C151" t="s">
        <v>493</v>
      </c>
      <c r="D151">
        <v>107819512</v>
      </c>
      <c r="E151" t="s">
        <v>544</v>
      </c>
      <c r="F151" t="s">
        <v>497</v>
      </c>
      <c r="G151">
        <v>0.67</v>
      </c>
      <c r="H151">
        <v>2.81</v>
      </c>
      <c r="I151">
        <v>0</v>
      </c>
      <c r="J151">
        <v>0</v>
      </c>
      <c r="K151">
        <v>3.48</v>
      </c>
      <c r="L151" t="s">
        <v>487</v>
      </c>
      <c r="M151">
        <v>72</v>
      </c>
      <c r="N151">
        <v>20.67</v>
      </c>
      <c r="O151" t="s">
        <v>81</v>
      </c>
      <c r="P151" t="s">
        <v>492</v>
      </c>
      <c r="Q151">
        <v>72</v>
      </c>
      <c r="R151">
        <v>20.67</v>
      </c>
    </row>
    <row r="152" spans="1:18" x14ac:dyDescent="0.35">
      <c r="A152" t="s">
        <v>197</v>
      </c>
      <c r="B152" t="s">
        <v>483</v>
      </c>
      <c r="C152" t="s">
        <v>493</v>
      </c>
      <c r="D152">
        <v>107824169</v>
      </c>
      <c r="E152" t="s">
        <v>546</v>
      </c>
      <c r="F152" t="s">
        <v>497</v>
      </c>
      <c r="G152">
        <v>0.38</v>
      </c>
      <c r="H152">
        <v>8.6199999999999992</v>
      </c>
      <c r="I152">
        <v>0</v>
      </c>
      <c r="J152">
        <v>0</v>
      </c>
      <c r="K152">
        <v>9</v>
      </c>
      <c r="L152" t="s">
        <v>487</v>
      </c>
      <c r="M152">
        <v>344</v>
      </c>
      <c r="N152">
        <v>38.22</v>
      </c>
      <c r="O152" t="s">
        <v>60</v>
      </c>
      <c r="P152" t="s">
        <v>488</v>
      </c>
      <c r="Q152">
        <v>648</v>
      </c>
      <c r="R152">
        <v>1701.53</v>
      </c>
    </row>
    <row r="153" spans="1:18" x14ac:dyDescent="0.35">
      <c r="A153" t="s">
        <v>197</v>
      </c>
      <c r="B153" t="s">
        <v>483</v>
      </c>
      <c r="C153" t="s">
        <v>493</v>
      </c>
      <c r="D153">
        <v>107824169</v>
      </c>
      <c r="E153" t="s">
        <v>546</v>
      </c>
      <c r="F153" t="s">
        <v>497</v>
      </c>
      <c r="G153">
        <v>0.38</v>
      </c>
      <c r="H153">
        <v>8.6199999999999992</v>
      </c>
      <c r="I153">
        <v>0</v>
      </c>
      <c r="J153">
        <v>0</v>
      </c>
      <c r="K153">
        <v>9</v>
      </c>
      <c r="L153" t="s">
        <v>487</v>
      </c>
      <c r="M153">
        <v>344</v>
      </c>
      <c r="N153">
        <v>38.22</v>
      </c>
      <c r="O153" t="s">
        <v>60</v>
      </c>
      <c r="P153" t="s">
        <v>489</v>
      </c>
      <c r="Q153">
        <v>2540</v>
      </c>
      <c r="R153">
        <v>294.7</v>
      </c>
    </row>
    <row r="154" spans="1:18" x14ac:dyDescent="0.35">
      <c r="A154" t="s">
        <v>197</v>
      </c>
      <c r="B154" t="s">
        <v>483</v>
      </c>
      <c r="C154" t="s">
        <v>493</v>
      </c>
      <c r="D154">
        <v>107824169</v>
      </c>
      <c r="E154" t="s">
        <v>546</v>
      </c>
      <c r="F154" t="s">
        <v>497</v>
      </c>
      <c r="G154">
        <v>0.38</v>
      </c>
      <c r="H154">
        <v>8.6199999999999992</v>
      </c>
      <c r="I154">
        <v>0</v>
      </c>
      <c r="J154">
        <v>0</v>
      </c>
      <c r="K154">
        <v>9</v>
      </c>
      <c r="L154" t="s">
        <v>487</v>
      </c>
      <c r="M154">
        <v>344</v>
      </c>
      <c r="N154">
        <v>38.22</v>
      </c>
      <c r="O154" t="s">
        <v>60</v>
      </c>
      <c r="P154" t="s">
        <v>490</v>
      </c>
      <c r="Q154">
        <v>0</v>
      </c>
      <c r="R154">
        <v>0</v>
      </c>
    </row>
    <row r="155" spans="1:18" x14ac:dyDescent="0.35">
      <c r="A155" t="s">
        <v>197</v>
      </c>
      <c r="B155" t="s">
        <v>483</v>
      </c>
      <c r="C155" t="s">
        <v>493</v>
      </c>
      <c r="D155">
        <v>107824169</v>
      </c>
      <c r="E155" t="s">
        <v>546</v>
      </c>
      <c r="F155" t="s">
        <v>497</v>
      </c>
      <c r="G155">
        <v>0.38</v>
      </c>
      <c r="H155">
        <v>8.6199999999999992</v>
      </c>
      <c r="I155">
        <v>0</v>
      </c>
      <c r="J155">
        <v>0</v>
      </c>
      <c r="K155">
        <v>9</v>
      </c>
      <c r="L155" t="s">
        <v>487</v>
      </c>
      <c r="M155">
        <v>344</v>
      </c>
      <c r="N155">
        <v>38.22</v>
      </c>
      <c r="O155" t="s">
        <v>60</v>
      </c>
      <c r="P155" t="s">
        <v>491</v>
      </c>
      <c r="Q155">
        <v>0</v>
      </c>
      <c r="R155">
        <v>0</v>
      </c>
    </row>
    <row r="156" spans="1:18" x14ac:dyDescent="0.35">
      <c r="A156" t="s">
        <v>197</v>
      </c>
      <c r="B156" t="s">
        <v>483</v>
      </c>
      <c r="C156" t="s">
        <v>493</v>
      </c>
      <c r="D156">
        <v>107824169</v>
      </c>
      <c r="E156" t="s">
        <v>546</v>
      </c>
      <c r="F156" t="s">
        <v>497</v>
      </c>
      <c r="G156">
        <v>0.38</v>
      </c>
      <c r="H156">
        <v>8.6199999999999992</v>
      </c>
      <c r="I156">
        <v>0</v>
      </c>
      <c r="J156">
        <v>0</v>
      </c>
      <c r="K156">
        <v>9</v>
      </c>
      <c r="L156" t="s">
        <v>487</v>
      </c>
      <c r="M156">
        <v>344</v>
      </c>
      <c r="N156">
        <v>38.22</v>
      </c>
      <c r="O156" t="s">
        <v>60</v>
      </c>
      <c r="P156" t="s">
        <v>492</v>
      </c>
      <c r="Q156">
        <v>3188</v>
      </c>
      <c r="R156">
        <v>354.22</v>
      </c>
    </row>
    <row r="157" spans="1:18" x14ac:dyDescent="0.35">
      <c r="A157" t="s">
        <v>197</v>
      </c>
      <c r="B157" t="s">
        <v>483</v>
      </c>
      <c r="C157" t="s">
        <v>493</v>
      </c>
      <c r="D157">
        <v>107824169</v>
      </c>
      <c r="E157" t="s">
        <v>546</v>
      </c>
      <c r="F157" t="s">
        <v>497</v>
      </c>
      <c r="G157">
        <v>0.38</v>
      </c>
      <c r="H157">
        <v>8.6199999999999992</v>
      </c>
      <c r="I157">
        <v>0</v>
      </c>
      <c r="J157">
        <v>0</v>
      </c>
      <c r="K157">
        <v>9</v>
      </c>
      <c r="L157" t="s">
        <v>487</v>
      </c>
      <c r="M157">
        <v>344</v>
      </c>
      <c r="N157">
        <v>38.22</v>
      </c>
      <c r="O157" t="s">
        <v>81</v>
      </c>
      <c r="P157" t="s">
        <v>492</v>
      </c>
      <c r="Q157">
        <v>344</v>
      </c>
      <c r="R157">
        <v>38.22</v>
      </c>
    </row>
    <row r="158" spans="1:18" x14ac:dyDescent="0.35">
      <c r="A158" t="s">
        <v>197</v>
      </c>
      <c r="B158" t="s">
        <v>483</v>
      </c>
      <c r="C158" t="s">
        <v>484</v>
      </c>
      <c r="D158">
        <v>107826180</v>
      </c>
      <c r="E158" t="s">
        <v>554</v>
      </c>
      <c r="F158" t="s">
        <v>497</v>
      </c>
      <c r="G158">
        <v>0.37</v>
      </c>
      <c r="H158">
        <v>9.7100000000000009</v>
      </c>
      <c r="I158">
        <v>0</v>
      </c>
      <c r="J158">
        <v>0</v>
      </c>
      <c r="K158">
        <v>10.08</v>
      </c>
      <c r="L158" t="s">
        <v>487</v>
      </c>
      <c r="M158">
        <v>344</v>
      </c>
      <c r="N158">
        <v>34.119999999999997</v>
      </c>
      <c r="O158" t="s">
        <v>60</v>
      </c>
      <c r="P158" t="s">
        <v>488</v>
      </c>
      <c r="Q158">
        <v>590</v>
      </c>
      <c r="R158">
        <v>1580.36</v>
      </c>
    </row>
    <row r="159" spans="1:18" x14ac:dyDescent="0.35">
      <c r="A159" t="s">
        <v>197</v>
      </c>
      <c r="B159" t="s">
        <v>483</v>
      </c>
      <c r="C159" t="s">
        <v>484</v>
      </c>
      <c r="D159">
        <v>107826180</v>
      </c>
      <c r="E159" t="s">
        <v>554</v>
      </c>
      <c r="F159" t="s">
        <v>497</v>
      </c>
      <c r="G159">
        <v>0.37</v>
      </c>
      <c r="H159">
        <v>9.7100000000000009</v>
      </c>
      <c r="I159">
        <v>0</v>
      </c>
      <c r="J159">
        <v>0</v>
      </c>
      <c r="K159">
        <v>10.08</v>
      </c>
      <c r="L159" t="s">
        <v>487</v>
      </c>
      <c r="M159">
        <v>344</v>
      </c>
      <c r="N159">
        <v>34.119999999999997</v>
      </c>
      <c r="O159" t="s">
        <v>60</v>
      </c>
      <c r="P159" t="s">
        <v>489</v>
      </c>
      <c r="Q159">
        <v>2658</v>
      </c>
      <c r="R159">
        <v>273.75</v>
      </c>
    </row>
    <row r="160" spans="1:18" x14ac:dyDescent="0.35">
      <c r="A160" t="s">
        <v>197</v>
      </c>
      <c r="B160" t="s">
        <v>483</v>
      </c>
      <c r="C160" t="s">
        <v>484</v>
      </c>
      <c r="D160">
        <v>107826180</v>
      </c>
      <c r="E160" t="s">
        <v>554</v>
      </c>
      <c r="F160" t="s">
        <v>497</v>
      </c>
      <c r="G160">
        <v>0.37</v>
      </c>
      <c r="H160">
        <v>9.7100000000000009</v>
      </c>
      <c r="I160">
        <v>0</v>
      </c>
      <c r="J160">
        <v>0</v>
      </c>
      <c r="K160">
        <v>10.08</v>
      </c>
      <c r="L160" t="s">
        <v>487</v>
      </c>
      <c r="M160">
        <v>344</v>
      </c>
      <c r="N160">
        <v>34.119999999999997</v>
      </c>
      <c r="O160" t="s">
        <v>60</v>
      </c>
      <c r="P160" t="s">
        <v>490</v>
      </c>
      <c r="Q160">
        <v>0</v>
      </c>
      <c r="R160">
        <v>0</v>
      </c>
    </row>
    <row r="161" spans="1:18" x14ac:dyDescent="0.35">
      <c r="A161" t="s">
        <v>197</v>
      </c>
      <c r="B161" t="s">
        <v>483</v>
      </c>
      <c r="C161" t="s">
        <v>484</v>
      </c>
      <c r="D161">
        <v>107826180</v>
      </c>
      <c r="E161" t="s">
        <v>554</v>
      </c>
      <c r="F161" t="s">
        <v>497</v>
      </c>
      <c r="G161">
        <v>0.37</v>
      </c>
      <c r="H161">
        <v>9.7100000000000009</v>
      </c>
      <c r="I161">
        <v>0</v>
      </c>
      <c r="J161">
        <v>0</v>
      </c>
      <c r="K161">
        <v>10.08</v>
      </c>
      <c r="L161" t="s">
        <v>487</v>
      </c>
      <c r="M161">
        <v>344</v>
      </c>
      <c r="N161">
        <v>34.119999999999997</v>
      </c>
      <c r="O161" t="s">
        <v>60</v>
      </c>
      <c r="P161" t="s">
        <v>491</v>
      </c>
      <c r="Q161">
        <v>0</v>
      </c>
      <c r="R161">
        <v>0</v>
      </c>
    </row>
    <row r="162" spans="1:18" x14ac:dyDescent="0.35">
      <c r="A162" t="s">
        <v>197</v>
      </c>
      <c r="B162" t="s">
        <v>483</v>
      </c>
      <c r="C162" t="s">
        <v>484</v>
      </c>
      <c r="D162">
        <v>107826180</v>
      </c>
      <c r="E162" t="s">
        <v>554</v>
      </c>
      <c r="F162" t="s">
        <v>497</v>
      </c>
      <c r="G162">
        <v>0.37</v>
      </c>
      <c r="H162">
        <v>9.7100000000000009</v>
      </c>
      <c r="I162">
        <v>0</v>
      </c>
      <c r="J162">
        <v>0</v>
      </c>
      <c r="K162">
        <v>10.08</v>
      </c>
      <c r="L162" t="s">
        <v>487</v>
      </c>
      <c r="M162">
        <v>344</v>
      </c>
      <c r="N162">
        <v>34.119999999999997</v>
      </c>
      <c r="O162" t="s">
        <v>60</v>
      </c>
      <c r="P162" t="s">
        <v>492</v>
      </c>
      <c r="Q162">
        <v>3248</v>
      </c>
      <c r="R162">
        <v>322.12</v>
      </c>
    </row>
    <row r="163" spans="1:18" x14ac:dyDescent="0.35">
      <c r="A163" t="s">
        <v>197</v>
      </c>
      <c r="B163" t="s">
        <v>483</v>
      </c>
      <c r="C163" t="s">
        <v>484</v>
      </c>
      <c r="D163">
        <v>107826180</v>
      </c>
      <c r="E163" t="s">
        <v>554</v>
      </c>
      <c r="F163" t="s">
        <v>497</v>
      </c>
      <c r="G163">
        <v>0.37</v>
      </c>
      <c r="H163">
        <v>9.7100000000000009</v>
      </c>
      <c r="I163">
        <v>0</v>
      </c>
      <c r="J163">
        <v>0</v>
      </c>
      <c r="K163">
        <v>10.08</v>
      </c>
      <c r="L163" t="s">
        <v>487</v>
      </c>
      <c r="M163">
        <v>344</v>
      </c>
      <c r="N163">
        <v>34.119999999999997</v>
      </c>
      <c r="O163" t="s">
        <v>81</v>
      </c>
      <c r="P163" t="s">
        <v>492</v>
      </c>
      <c r="Q163">
        <v>345</v>
      </c>
      <c r="R163">
        <v>34.21</v>
      </c>
    </row>
    <row r="164" spans="1:18" x14ac:dyDescent="0.35">
      <c r="A164" t="s">
        <v>197</v>
      </c>
      <c r="B164" t="s">
        <v>483</v>
      </c>
      <c r="C164" t="s">
        <v>493</v>
      </c>
      <c r="D164">
        <v>107826201</v>
      </c>
      <c r="E164" t="s">
        <v>514</v>
      </c>
      <c r="F164" t="s">
        <v>497</v>
      </c>
      <c r="G164">
        <v>0.12</v>
      </c>
      <c r="H164">
        <v>8.52</v>
      </c>
      <c r="I164">
        <v>0.09</v>
      </c>
      <c r="J164">
        <v>0</v>
      </c>
      <c r="K164">
        <v>8.73</v>
      </c>
      <c r="L164" t="s">
        <v>487</v>
      </c>
      <c r="M164">
        <v>261</v>
      </c>
      <c r="N164">
        <v>29.89</v>
      </c>
      <c r="O164" t="s">
        <v>60</v>
      </c>
      <c r="P164" t="s">
        <v>488</v>
      </c>
      <c r="Q164">
        <v>126</v>
      </c>
      <c r="R164">
        <v>1028.57</v>
      </c>
    </row>
    <row r="165" spans="1:18" x14ac:dyDescent="0.35">
      <c r="A165" t="s">
        <v>197</v>
      </c>
      <c r="B165" t="s">
        <v>483</v>
      </c>
      <c r="C165" t="s">
        <v>493</v>
      </c>
      <c r="D165">
        <v>107826201</v>
      </c>
      <c r="E165" t="s">
        <v>514</v>
      </c>
      <c r="F165" t="s">
        <v>497</v>
      </c>
      <c r="G165">
        <v>0.12</v>
      </c>
      <c r="H165">
        <v>8.52</v>
      </c>
      <c r="I165">
        <v>0.09</v>
      </c>
      <c r="J165">
        <v>0</v>
      </c>
      <c r="K165">
        <v>8.73</v>
      </c>
      <c r="L165" t="s">
        <v>487</v>
      </c>
      <c r="M165">
        <v>261</v>
      </c>
      <c r="N165">
        <v>29.89</v>
      </c>
      <c r="O165" t="s">
        <v>60</v>
      </c>
      <c r="P165" t="s">
        <v>489</v>
      </c>
      <c r="Q165">
        <v>1517</v>
      </c>
      <c r="R165">
        <v>177.97</v>
      </c>
    </row>
    <row r="166" spans="1:18" x14ac:dyDescent="0.35">
      <c r="A166" t="s">
        <v>197</v>
      </c>
      <c r="B166" t="s">
        <v>483</v>
      </c>
      <c r="C166" t="s">
        <v>493</v>
      </c>
      <c r="D166">
        <v>107826201</v>
      </c>
      <c r="E166" t="s">
        <v>514</v>
      </c>
      <c r="F166" t="s">
        <v>497</v>
      </c>
      <c r="G166">
        <v>0.12</v>
      </c>
      <c r="H166">
        <v>8.52</v>
      </c>
      <c r="I166">
        <v>0.09</v>
      </c>
      <c r="J166">
        <v>0</v>
      </c>
      <c r="K166">
        <v>8.73</v>
      </c>
      <c r="L166" t="s">
        <v>487</v>
      </c>
      <c r="M166">
        <v>261</v>
      </c>
      <c r="N166">
        <v>29.89</v>
      </c>
      <c r="O166" t="s">
        <v>60</v>
      </c>
      <c r="P166" t="s">
        <v>490</v>
      </c>
      <c r="Q166">
        <v>12</v>
      </c>
      <c r="R166">
        <v>138.46</v>
      </c>
    </row>
    <row r="167" spans="1:18" x14ac:dyDescent="0.35">
      <c r="A167" t="s">
        <v>197</v>
      </c>
      <c r="B167" t="s">
        <v>483</v>
      </c>
      <c r="C167" t="s">
        <v>493</v>
      </c>
      <c r="D167">
        <v>107826201</v>
      </c>
      <c r="E167" t="s">
        <v>514</v>
      </c>
      <c r="F167" t="s">
        <v>497</v>
      </c>
      <c r="G167">
        <v>0.12</v>
      </c>
      <c r="H167">
        <v>8.52</v>
      </c>
      <c r="I167">
        <v>0.09</v>
      </c>
      <c r="J167">
        <v>0</v>
      </c>
      <c r="K167">
        <v>8.73</v>
      </c>
      <c r="L167" t="s">
        <v>487</v>
      </c>
      <c r="M167">
        <v>261</v>
      </c>
      <c r="N167">
        <v>29.89</v>
      </c>
      <c r="O167" t="s">
        <v>60</v>
      </c>
      <c r="P167" t="s">
        <v>491</v>
      </c>
      <c r="Q167">
        <v>0</v>
      </c>
      <c r="R167">
        <v>0</v>
      </c>
    </row>
    <row r="168" spans="1:18" x14ac:dyDescent="0.35">
      <c r="A168" t="s">
        <v>197</v>
      </c>
      <c r="B168" t="s">
        <v>483</v>
      </c>
      <c r="C168" t="s">
        <v>493</v>
      </c>
      <c r="D168">
        <v>107826201</v>
      </c>
      <c r="E168" t="s">
        <v>514</v>
      </c>
      <c r="F168" t="s">
        <v>497</v>
      </c>
      <c r="G168">
        <v>0.12</v>
      </c>
      <c r="H168">
        <v>8.52</v>
      </c>
      <c r="I168">
        <v>0.09</v>
      </c>
      <c r="J168">
        <v>0</v>
      </c>
      <c r="K168">
        <v>8.73</v>
      </c>
      <c r="L168" t="s">
        <v>487</v>
      </c>
      <c r="M168">
        <v>261</v>
      </c>
      <c r="N168">
        <v>29.89</v>
      </c>
      <c r="O168" t="s">
        <v>60</v>
      </c>
      <c r="P168" t="s">
        <v>492</v>
      </c>
      <c r="Q168">
        <v>1655</v>
      </c>
      <c r="R168">
        <v>189.5</v>
      </c>
    </row>
    <row r="169" spans="1:18" x14ac:dyDescent="0.35">
      <c r="A169" t="s">
        <v>197</v>
      </c>
      <c r="B169" t="s">
        <v>483</v>
      </c>
      <c r="C169" t="s">
        <v>493</v>
      </c>
      <c r="D169">
        <v>107826201</v>
      </c>
      <c r="E169" t="s">
        <v>514</v>
      </c>
      <c r="F169" t="s">
        <v>497</v>
      </c>
      <c r="G169">
        <v>0.12</v>
      </c>
      <c r="H169">
        <v>8.52</v>
      </c>
      <c r="I169">
        <v>0.09</v>
      </c>
      <c r="J169">
        <v>0</v>
      </c>
      <c r="K169">
        <v>8.73</v>
      </c>
      <c r="L169" t="s">
        <v>487</v>
      </c>
      <c r="M169">
        <v>261</v>
      </c>
      <c r="N169">
        <v>29.89</v>
      </c>
      <c r="O169" t="s">
        <v>81</v>
      </c>
      <c r="P169" t="s">
        <v>492</v>
      </c>
      <c r="Q169">
        <v>261</v>
      </c>
      <c r="R169">
        <v>29.89</v>
      </c>
    </row>
    <row r="170" spans="1:18" x14ac:dyDescent="0.35">
      <c r="A170" t="s">
        <v>197</v>
      </c>
      <c r="B170" t="s">
        <v>483</v>
      </c>
      <c r="C170" t="s">
        <v>484</v>
      </c>
      <c r="D170">
        <v>107826202</v>
      </c>
      <c r="E170" t="s">
        <v>590</v>
      </c>
      <c r="F170" t="s">
        <v>497</v>
      </c>
      <c r="G170">
        <v>0</v>
      </c>
      <c r="H170">
        <v>0.02</v>
      </c>
      <c r="I170">
        <v>0</v>
      </c>
      <c r="J170">
        <v>0</v>
      </c>
      <c r="K170">
        <v>0.02</v>
      </c>
      <c r="L170" t="s">
        <v>487</v>
      </c>
      <c r="M170">
        <v>5</v>
      </c>
      <c r="N170">
        <v>222.22</v>
      </c>
      <c r="O170" t="s">
        <v>60</v>
      </c>
      <c r="P170" t="s">
        <v>488</v>
      </c>
      <c r="Q170">
        <v>0</v>
      </c>
      <c r="R170">
        <v>0</v>
      </c>
    </row>
    <row r="171" spans="1:18" x14ac:dyDescent="0.35">
      <c r="A171" t="s">
        <v>197</v>
      </c>
      <c r="B171" t="s">
        <v>483</v>
      </c>
      <c r="C171" t="s">
        <v>484</v>
      </c>
      <c r="D171">
        <v>107826202</v>
      </c>
      <c r="E171" t="s">
        <v>590</v>
      </c>
      <c r="F171" t="s">
        <v>497</v>
      </c>
      <c r="G171">
        <v>0</v>
      </c>
      <c r="H171">
        <v>0.02</v>
      </c>
      <c r="I171">
        <v>0</v>
      </c>
      <c r="J171">
        <v>0</v>
      </c>
      <c r="K171">
        <v>0.02</v>
      </c>
      <c r="L171" t="s">
        <v>487</v>
      </c>
      <c r="M171">
        <v>5</v>
      </c>
      <c r="N171">
        <v>222.22</v>
      </c>
      <c r="O171" t="s">
        <v>60</v>
      </c>
      <c r="P171" t="s">
        <v>489</v>
      </c>
      <c r="Q171">
        <v>50</v>
      </c>
      <c r="R171">
        <v>2222.2199999999998</v>
      </c>
    </row>
    <row r="172" spans="1:18" x14ac:dyDescent="0.35">
      <c r="A172" t="s">
        <v>197</v>
      </c>
      <c r="B172" t="s">
        <v>483</v>
      </c>
      <c r="C172" t="s">
        <v>484</v>
      </c>
      <c r="D172">
        <v>107826202</v>
      </c>
      <c r="E172" t="s">
        <v>590</v>
      </c>
      <c r="F172" t="s">
        <v>497</v>
      </c>
      <c r="G172">
        <v>0</v>
      </c>
      <c r="H172">
        <v>0.02</v>
      </c>
      <c r="I172">
        <v>0</v>
      </c>
      <c r="J172">
        <v>0</v>
      </c>
      <c r="K172">
        <v>0.02</v>
      </c>
      <c r="L172" t="s">
        <v>487</v>
      </c>
      <c r="M172">
        <v>5</v>
      </c>
      <c r="N172">
        <v>222.22</v>
      </c>
      <c r="O172" t="s">
        <v>60</v>
      </c>
      <c r="P172" t="s">
        <v>490</v>
      </c>
      <c r="Q172">
        <v>0</v>
      </c>
      <c r="R172">
        <v>0</v>
      </c>
    </row>
    <row r="173" spans="1:18" x14ac:dyDescent="0.35">
      <c r="A173" t="s">
        <v>197</v>
      </c>
      <c r="B173" t="s">
        <v>483</v>
      </c>
      <c r="C173" t="s">
        <v>484</v>
      </c>
      <c r="D173">
        <v>107826202</v>
      </c>
      <c r="E173" t="s">
        <v>590</v>
      </c>
      <c r="F173" t="s">
        <v>497</v>
      </c>
      <c r="G173">
        <v>0</v>
      </c>
      <c r="H173">
        <v>0.02</v>
      </c>
      <c r="I173">
        <v>0</v>
      </c>
      <c r="J173">
        <v>0</v>
      </c>
      <c r="K173">
        <v>0.02</v>
      </c>
      <c r="L173" t="s">
        <v>487</v>
      </c>
      <c r="M173">
        <v>5</v>
      </c>
      <c r="N173">
        <v>222.22</v>
      </c>
      <c r="O173" t="s">
        <v>60</v>
      </c>
      <c r="P173" t="s">
        <v>491</v>
      </c>
      <c r="Q173">
        <v>0</v>
      </c>
      <c r="R173">
        <v>0</v>
      </c>
    </row>
    <row r="174" spans="1:18" x14ac:dyDescent="0.35">
      <c r="A174" t="s">
        <v>197</v>
      </c>
      <c r="B174" t="s">
        <v>483</v>
      </c>
      <c r="C174" t="s">
        <v>484</v>
      </c>
      <c r="D174">
        <v>107826202</v>
      </c>
      <c r="E174" t="s">
        <v>590</v>
      </c>
      <c r="F174" t="s">
        <v>497</v>
      </c>
      <c r="G174">
        <v>0</v>
      </c>
      <c r="H174">
        <v>0.02</v>
      </c>
      <c r="I174">
        <v>0</v>
      </c>
      <c r="J174">
        <v>0</v>
      </c>
      <c r="K174">
        <v>0.02</v>
      </c>
      <c r="L174" t="s">
        <v>487</v>
      </c>
      <c r="M174">
        <v>5</v>
      </c>
      <c r="N174">
        <v>222.22</v>
      </c>
      <c r="O174" t="s">
        <v>60</v>
      </c>
      <c r="P174" t="s">
        <v>492</v>
      </c>
      <c r="Q174">
        <v>50</v>
      </c>
      <c r="R174">
        <v>2222.2199999999998</v>
      </c>
    </row>
    <row r="175" spans="1:18" x14ac:dyDescent="0.35">
      <c r="A175" t="s">
        <v>197</v>
      </c>
      <c r="B175" t="s">
        <v>483</v>
      </c>
      <c r="C175" t="s">
        <v>484</v>
      </c>
      <c r="D175">
        <v>107826202</v>
      </c>
      <c r="E175" t="s">
        <v>590</v>
      </c>
      <c r="F175" t="s">
        <v>497</v>
      </c>
      <c r="G175">
        <v>0</v>
      </c>
      <c r="H175">
        <v>0.02</v>
      </c>
      <c r="I175">
        <v>0</v>
      </c>
      <c r="J175">
        <v>0</v>
      </c>
      <c r="K175">
        <v>0.02</v>
      </c>
      <c r="L175" t="s">
        <v>487</v>
      </c>
      <c r="M175">
        <v>5</v>
      </c>
      <c r="N175">
        <v>222.22</v>
      </c>
      <c r="O175" t="s">
        <v>81</v>
      </c>
      <c r="P175" t="s">
        <v>492</v>
      </c>
      <c r="Q175">
        <v>5</v>
      </c>
      <c r="R175">
        <v>222.22</v>
      </c>
    </row>
    <row r="176" spans="1:18" x14ac:dyDescent="0.35">
      <c r="A176" t="s">
        <v>197</v>
      </c>
      <c r="B176" t="s">
        <v>483</v>
      </c>
      <c r="C176" t="s">
        <v>484</v>
      </c>
      <c r="D176">
        <v>107826232</v>
      </c>
      <c r="E176" t="s">
        <v>515</v>
      </c>
      <c r="F176" t="s">
        <v>497</v>
      </c>
      <c r="G176">
        <v>0.13</v>
      </c>
      <c r="H176">
        <v>5</v>
      </c>
      <c r="I176">
        <v>0</v>
      </c>
      <c r="J176">
        <v>0</v>
      </c>
      <c r="K176">
        <v>5.13</v>
      </c>
      <c r="L176" t="s">
        <v>487</v>
      </c>
      <c r="M176">
        <v>148</v>
      </c>
      <c r="N176">
        <v>28.83</v>
      </c>
      <c r="O176" t="s">
        <v>60</v>
      </c>
      <c r="P176" t="s">
        <v>488</v>
      </c>
      <c r="Q176">
        <v>219</v>
      </c>
      <c r="R176">
        <v>1673.89</v>
      </c>
    </row>
    <row r="177" spans="1:18" x14ac:dyDescent="0.35">
      <c r="A177" t="s">
        <v>197</v>
      </c>
      <c r="B177" t="s">
        <v>483</v>
      </c>
      <c r="C177" t="s">
        <v>484</v>
      </c>
      <c r="D177">
        <v>107826232</v>
      </c>
      <c r="E177" t="s">
        <v>515</v>
      </c>
      <c r="F177" t="s">
        <v>497</v>
      </c>
      <c r="G177">
        <v>0.13</v>
      </c>
      <c r="H177">
        <v>5</v>
      </c>
      <c r="I177">
        <v>0</v>
      </c>
      <c r="J177">
        <v>0</v>
      </c>
      <c r="K177">
        <v>5.13</v>
      </c>
      <c r="L177" t="s">
        <v>487</v>
      </c>
      <c r="M177">
        <v>148</v>
      </c>
      <c r="N177">
        <v>28.83</v>
      </c>
      <c r="O177" t="s">
        <v>60</v>
      </c>
      <c r="P177" t="s">
        <v>489</v>
      </c>
      <c r="Q177">
        <v>1449</v>
      </c>
      <c r="R177">
        <v>289.67</v>
      </c>
    </row>
    <row r="178" spans="1:18" x14ac:dyDescent="0.35">
      <c r="A178" t="s">
        <v>197</v>
      </c>
      <c r="B178" t="s">
        <v>483</v>
      </c>
      <c r="C178" t="s">
        <v>484</v>
      </c>
      <c r="D178">
        <v>107826232</v>
      </c>
      <c r="E178" t="s">
        <v>515</v>
      </c>
      <c r="F178" t="s">
        <v>497</v>
      </c>
      <c r="G178">
        <v>0.13</v>
      </c>
      <c r="H178">
        <v>5</v>
      </c>
      <c r="I178">
        <v>0</v>
      </c>
      <c r="J178">
        <v>0</v>
      </c>
      <c r="K178">
        <v>5.13</v>
      </c>
      <c r="L178" t="s">
        <v>487</v>
      </c>
      <c r="M178">
        <v>148</v>
      </c>
      <c r="N178">
        <v>28.83</v>
      </c>
      <c r="O178" t="s">
        <v>60</v>
      </c>
      <c r="P178" t="s">
        <v>490</v>
      </c>
      <c r="Q178">
        <v>0</v>
      </c>
      <c r="R178">
        <v>0</v>
      </c>
    </row>
    <row r="179" spans="1:18" x14ac:dyDescent="0.35">
      <c r="A179" t="s">
        <v>197</v>
      </c>
      <c r="B179" t="s">
        <v>483</v>
      </c>
      <c r="C179" t="s">
        <v>484</v>
      </c>
      <c r="D179">
        <v>107826232</v>
      </c>
      <c r="E179" t="s">
        <v>515</v>
      </c>
      <c r="F179" t="s">
        <v>497</v>
      </c>
      <c r="G179">
        <v>0.13</v>
      </c>
      <c r="H179">
        <v>5</v>
      </c>
      <c r="I179">
        <v>0</v>
      </c>
      <c r="J179">
        <v>0</v>
      </c>
      <c r="K179">
        <v>5.13</v>
      </c>
      <c r="L179" t="s">
        <v>487</v>
      </c>
      <c r="M179">
        <v>148</v>
      </c>
      <c r="N179">
        <v>28.83</v>
      </c>
      <c r="O179" t="s">
        <v>60</v>
      </c>
      <c r="P179" t="s">
        <v>491</v>
      </c>
      <c r="Q179">
        <v>0</v>
      </c>
      <c r="R179">
        <v>0</v>
      </c>
    </row>
    <row r="180" spans="1:18" x14ac:dyDescent="0.35">
      <c r="A180" t="s">
        <v>197</v>
      </c>
      <c r="B180" t="s">
        <v>483</v>
      </c>
      <c r="C180" t="s">
        <v>484</v>
      </c>
      <c r="D180">
        <v>107826232</v>
      </c>
      <c r="E180" t="s">
        <v>515</v>
      </c>
      <c r="F180" t="s">
        <v>497</v>
      </c>
      <c r="G180">
        <v>0.13</v>
      </c>
      <c r="H180">
        <v>5</v>
      </c>
      <c r="I180">
        <v>0</v>
      </c>
      <c r="J180">
        <v>0</v>
      </c>
      <c r="K180">
        <v>5.13</v>
      </c>
      <c r="L180" t="s">
        <v>487</v>
      </c>
      <c r="M180">
        <v>148</v>
      </c>
      <c r="N180">
        <v>28.83</v>
      </c>
      <c r="O180" t="s">
        <v>60</v>
      </c>
      <c r="P180" t="s">
        <v>492</v>
      </c>
      <c r="Q180">
        <v>1668</v>
      </c>
      <c r="R180">
        <v>324.94</v>
      </c>
    </row>
    <row r="181" spans="1:18" x14ac:dyDescent="0.35">
      <c r="A181" t="s">
        <v>197</v>
      </c>
      <c r="B181" t="s">
        <v>483</v>
      </c>
      <c r="C181" t="s">
        <v>484</v>
      </c>
      <c r="D181">
        <v>107826232</v>
      </c>
      <c r="E181" t="s">
        <v>515</v>
      </c>
      <c r="F181" t="s">
        <v>497</v>
      </c>
      <c r="G181">
        <v>0.13</v>
      </c>
      <c r="H181">
        <v>5</v>
      </c>
      <c r="I181">
        <v>0</v>
      </c>
      <c r="J181">
        <v>0</v>
      </c>
      <c r="K181">
        <v>5.13</v>
      </c>
      <c r="L181" t="s">
        <v>487</v>
      </c>
      <c r="M181">
        <v>148</v>
      </c>
      <c r="N181">
        <v>28.83</v>
      </c>
      <c r="O181" t="s">
        <v>81</v>
      </c>
      <c r="P181" t="s">
        <v>492</v>
      </c>
      <c r="Q181">
        <v>148</v>
      </c>
      <c r="R181">
        <v>28.83</v>
      </c>
    </row>
    <row r="182" spans="1:18" x14ac:dyDescent="0.35">
      <c r="A182" t="s">
        <v>197</v>
      </c>
      <c r="B182" t="s">
        <v>483</v>
      </c>
      <c r="C182" t="s">
        <v>484</v>
      </c>
      <c r="D182">
        <v>107843844</v>
      </c>
      <c r="E182" t="s">
        <v>516</v>
      </c>
      <c r="F182" t="s">
        <v>486</v>
      </c>
      <c r="G182">
        <v>0.28000000000000003</v>
      </c>
      <c r="H182">
        <v>6.87</v>
      </c>
      <c r="I182">
        <v>0</v>
      </c>
      <c r="J182">
        <v>0</v>
      </c>
      <c r="K182">
        <v>7.15</v>
      </c>
      <c r="L182" t="s">
        <v>487</v>
      </c>
      <c r="M182">
        <v>281</v>
      </c>
      <c r="N182">
        <v>39.31</v>
      </c>
      <c r="O182" t="s">
        <v>60</v>
      </c>
      <c r="P182" t="s">
        <v>488</v>
      </c>
      <c r="Q182">
        <v>524</v>
      </c>
      <c r="R182">
        <v>1853.05</v>
      </c>
    </row>
    <row r="183" spans="1:18" x14ac:dyDescent="0.35">
      <c r="A183" t="s">
        <v>197</v>
      </c>
      <c r="B183" t="s">
        <v>483</v>
      </c>
      <c r="C183" t="s">
        <v>484</v>
      </c>
      <c r="D183">
        <v>107843844</v>
      </c>
      <c r="E183" t="s">
        <v>516</v>
      </c>
      <c r="F183" t="s">
        <v>486</v>
      </c>
      <c r="G183">
        <v>0.28000000000000003</v>
      </c>
      <c r="H183">
        <v>6.87</v>
      </c>
      <c r="I183">
        <v>0</v>
      </c>
      <c r="J183">
        <v>0</v>
      </c>
      <c r="K183">
        <v>7.15</v>
      </c>
      <c r="L183" t="s">
        <v>487</v>
      </c>
      <c r="M183">
        <v>281</v>
      </c>
      <c r="N183">
        <v>39.31</v>
      </c>
      <c r="O183" t="s">
        <v>60</v>
      </c>
      <c r="P183" t="s">
        <v>489</v>
      </c>
      <c r="Q183">
        <v>2202</v>
      </c>
      <c r="R183">
        <v>320.76</v>
      </c>
    </row>
    <row r="184" spans="1:18" x14ac:dyDescent="0.35">
      <c r="A184" t="s">
        <v>197</v>
      </c>
      <c r="B184" t="s">
        <v>483</v>
      </c>
      <c r="C184" t="s">
        <v>484</v>
      </c>
      <c r="D184">
        <v>107843844</v>
      </c>
      <c r="E184" t="s">
        <v>516</v>
      </c>
      <c r="F184" t="s">
        <v>486</v>
      </c>
      <c r="G184">
        <v>0.28000000000000003</v>
      </c>
      <c r="H184">
        <v>6.87</v>
      </c>
      <c r="I184">
        <v>0</v>
      </c>
      <c r="J184">
        <v>0</v>
      </c>
      <c r="K184">
        <v>7.15</v>
      </c>
      <c r="L184" t="s">
        <v>487</v>
      </c>
      <c r="M184">
        <v>281</v>
      </c>
      <c r="N184">
        <v>39.31</v>
      </c>
      <c r="O184" t="s">
        <v>60</v>
      </c>
      <c r="P184" t="s">
        <v>490</v>
      </c>
      <c r="Q184">
        <v>0</v>
      </c>
      <c r="R184">
        <v>0</v>
      </c>
    </row>
    <row r="185" spans="1:18" x14ac:dyDescent="0.35">
      <c r="A185" t="s">
        <v>197</v>
      </c>
      <c r="B185" t="s">
        <v>483</v>
      </c>
      <c r="C185" t="s">
        <v>484</v>
      </c>
      <c r="D185">
        <v>107843844</v>
      </c>
      <c r="E185" t="s">
        <v>516</v>
      </c>
      <c r="F185" t="s">
        <v>486</v>
      </c>
      <c r="G185">
        <v>0.28000000000000003</v>
      </c>
      <c r="H185">
        <v>6.87</v>
      </c>
      <c r="I185">
        <v>0</v>
      </c>
      <c r="J185">
        <v>0</v>
      </c>
      <c r="K185">
        <v>7.15</v>
      </c>
      <c r="L185" t="s">
        <v>487</v>
      </c>
      <c r="M185">
        <v>281</v>
      </c>
      <c r="N185">
        <v>39.31</v>
      </c>
      <c r="O185" t="s">
        <v>60</v>
      </c>
      <c r="P185" t="s">
        <v>491</v>
      </c>
      <c r="Q185">
        <v>0</v>
      </c>
      <c r="R185">
        <v>0</v>
      </c>
    </row>
    <row r="186" spans="1:18" x14ac:dyDescent="0.35">
      <c r="A186" t="s">
        <v>197</v>
      </c>
      <c r="B186" t="s">
        <v>483</v>
      </c>
      <c r="C186" t="s">
        <v>484</v>
      </c>
      <c r="D186">
        <v>107843844</v>
      </c>
      <c r="E186" t="s">
        <v>516</v>
      </c>
      <c r="F186" t="s">
        <v>486</v>
      </c>
      <c r="G186">
        <v>0.28000000000000003</v>
      </c>
      <c r="H186">
        <v>6.87</v>
      </c>
      <c r="I186">
        <v>0</v>
      </c>
      <c r="J186">
        <v>0</v>
      </c>
      <c r="K186">
        <v>7.15</v>
      </c>
      <c r="L186" t="s">
        <v>487</v>
      </c>
      <c r="M186">
        <v>281</v>
      </c>
      <c r="N186">
        <v>39.31</v>
      </c>
      <c r="O186" t="s">
        <v>60</v>
      </c>
      <c r="P186" t="s">
        <v>492</v>
      </c>
      <c r="Q186">
        <v>2726</v>
      </c>
      <c r="R186">
        <v>381.36</v>
      </c>
    </row>
    <row r="187" spans="1:18" x14ac:dyDescent="0.35">
      <c r="A187" t="s">
        <v>197</v>
      </c>
      <c r="B187" t="s">
        <v>483</v>
      </c>
      <c r="C187" t="s">
        <v>484</v>
      </c>
      <c r="D187">
        <v>107843844</v>
      </c>
      <c r="E187" t="s">
        <v>516</v>
      </c>
      <c r="F187" t="s">
        <v>486</v>
      </c>
      <c r="G187">
        <v>0.28000000000000003</v>
      </c>
      <c r="H187">
        <v>6.87</v>
      </c>
      <c r="I187">
        <v>0</v>
      </c>
      <c r="J187">
        <v>0</v>
      </c>
      <c r="K187">
        <v>7.15</v>
      </c>
      <c r="L187" t="s">
        <v>487</v>
      </c>
      <c r="M187">
        <v>281</v>
      </c>
      <c r="N187">
        <v>39.31</v>
      </c>
      <c r="O187" t="s">
        <v>81</v>
      </c>
      <c r="P187" t="s">
        <v>492</v>
      </c>
      <c r="Q187">
        <v>281</v>
      </c>
      <c r="R187">
        <v>39.31</v>
      </c>
    </row>
    <row r="188" spans="1:18" x14ac:dyDescent="0.35">
      <c r="A188" t="s">
        <v>197</v>
      </c>
      <c r="B188" t="s">
        <v>483</v>
      </c>
      <c r="C188" t="s">
        <v>484</v>
      </c>
      <c r="D188">
        <v>107843876</v>
      </c>
      <c r="E188" t="s">
        <v>517</v>
      </c>
      <c r="F188" t="s">
        <v>486</v>
      </c>
      <c r="G188">
        <v>0.27</v>
      </c>
      <c r="H188">
        <v>8.43</v>
      </c>
      <c r="I188">
        <v>0</v>
      </c>
      <c r="J188">
        <v>0</v>
      </c>
      <c r="K188">
        <v>8.6999999999999993</v>
      </c>
      <c r="L188" t="s">
        <v>487</v>
      </c>
      <c r="M188">
        <v>333</v>
      </c>
      <c r="N188">
        <v>38.28</v>
      </c>
      <c r="O188" t="s">
        <v>60</v>
      </c>
      <c r="P188" t="s">
        <v>488</v>
      </c>
      <c r="Q188">
        <v>405</v>
      </c>
      <c r="R188">
        <v>1477.2</v>
      </c>
    </row>
    <row r="189" spans="1:18" x14ac:dyDescent="0.35">
      <c r="A189" t="s">
        <v>197</v>
      </c>
      <c r="B189" t="s">
        <v>483</v>
      </c>
      <c r="C189" t="s">
        <v>484</v>
      </c>
      <c r="D189">
        <v>107843876</v>
      </c>
      <c r="E189" t="s">
        <v>517</v>
      </c>
      <c r="F189" t="s">
        <v>486</v>
      </c>
      <c r="G189">
        <v>0.27</v>
      </c>
      <c r="H189">
        <v>8.43</v>
      </c>
      <c r="I189">
        <v>0</v>
      </c>
      <c r="J189">
        <v>0</v>
      </c>
      <c r="K189">
        <v>8.6999999999999993</v>
      </c>
      <c r="L189" t="s">
        <v>487</v>
      </c>
      <c r="M189">
        <v>333</v>
      </c>
      <c r="N189">
        <v>38.28</v>
      </c>
      <c r="O189" t="s">
        <v>60</v>
      </c>
      <c r="P189" t="s">
        <v>489</v>
      </c>
      <c r="Q189">
        <v>2156</v>
      </c>
      <c r="R189">
        <v>255.89</v>
      </c>
    </row>
    <row r="190" spans="1:18" x14ac:dyDescent="0.35">
      <c r="A190" t="s">
        <v>197</v>
      </c>
      <c r="B190" t="s">
        <v>483</v>
      </c>
      <c r="C190" t="s">
        <v>484</v>
      </c>
      <c r="D190">
        <v>107843876</v>
      </c>
      <c r="E190" t="s">
        <v>517</v>
      </c>
      <c r="F190" t="s">
        <v>486</v>
      </c>
      <c r="G190">
        <v>0.27</v>
      </c>
      <c r="H190">
        <v>8.43</v>
      </c>
      <c r="I190">
        <v>0</v>
      </c>
      <c r="J190">
        <v>0</v>
      </c>
      <c r="K190">
        <v>8.6999999999999993</v>
      </c>
      <c r="L190" t="s">
        <v>487</v>
      </c>
      <c r="M190">
        <v>333</v>
      </c>
      <c r="N190">
        <v>38.28</v>
      </c>
      <c r="O190" t="s">
        <v>60</v>
      </c>
      <c r="P190" t="s">
        <v>490</v>
      </c>
      <c r="Q190">
        <v>0</v>
      </c>
      <c r="R190">
        <v>0</v>
      </c>
    </row>
    <row r="191" spans="1:18" x14ac:dyDescent="0.35">
      <c r="A191" t="s">
        <v>197</v>
      </c>
      <c r="B191" t="s">
        <v>483</v>
      </c>
      <c r="C191" t="s">
        <v>484</v>
      </c>
      <c r="D191">
        <v>107843876</v>
      </c>
      <c r="E191" t="s">
        <v>517</v>
      </c>
      <c r="F191" t="s">
        <v>486</v>
      </c>
      <c r="G191">
        <v>0.27</v>
      </c>
      <c r="H191">
        <v>8.43</v>
      </c>
      <c r="I191">
        <v>0</v>
      </c>
      <c r="J191">
        <v>0</v>
      </c>
      <c r="K191">
        <v>8.6999999999999993</v>
      </c>
      <c r="L191" t="s">
        <v>487</v>
      </c>
      <c r="M191">
        <v>333</v>
      </c>
      <c r="N191">
        <v>38.28</v>
      </c>
      <c r="O191" t="s">
        <v>60</v>
      </c>
      <c r="P191" t="s">
        <v>491</v>
      </c>
      <c r="Q191">
        <v>0</v>
      </c>
      <c r="R191">
        <v>0</v>
      </c>
    </row>
    <row r="192" spans="1:18" x14ac:dyDescent="0.35">
      <c r="A192" t="s">
        <v>197</v>
      </c>
      <c r="B192" t="s">
        <v>483</v>
      </c>
      <c r="C192" t="s">
        <v>484</v>
      </c>
      <c r="D192">
        <v>107843876</v>
      </c>
      <c r="E192" t="s">
        <v>517</v>
      </c>
      <c r="F192" t="s">
        <v>486</v>
      </c>
      <c r="G192">
        <v>0.27</v>
      </c>
      <c r="H192">
        <v>8.43</v>
      </c>
      <c r="I192">
        <v>0</v>
      </c>
      <c r="J192">
        <v>0</v>
      </c>
      <c r="K192">
        <v>8.6999999999999993</v>
      </c>
      <c r="L192" t="s">
        <v>487</v>
      </c>
      <c r="M192">
        <v>333</v>
      </c>
      <c r="N192">
        <v>38.28</v>
      </c>
      <c r="O192" t="s">
        <v>60</v>
      </c>
      <c r="P192" t="s">
        <v>492</v>
      </c>
      <c r="Q192">
        <v>2561</v>
      </c>
      <c r="R192">
        <v>294.37</v>
      </c>
    </row>
    <row r="193" spans="1:18" x14ac:dyDescent="0.35">
      <c r="A193" t="s">
        <v>197</v>
      </c>
      <c r="B193" t="s">
        <v>483</v>
      </c>
      <c r="C193" t="s">
        <v>484</v>
      </c>
      <c r="D193">
        <v>107843876</v>
      </c>
      <c r="E193" t="s">
        <v>517</v>
      </c>
      <c r="F193" t="s">
        <v>486</v>
      </c>
      <c r="G193">
        <v>0.27</v>
      </c>
      <c r="H193">
        <v>8.43</v>
      </c>
      <c r="I193">
        <v>0</v>
      </c>
      <c r="J193">
        <v>0</v>
      </c>
      <c r="K193">
        <v>8.6999999999999993</v>
      </c>
      <c r="L193" t="s">
        <v>487</v>
      </c>
      <c r="M193">
        <v>333</v>
      </c>
      <c r="N193">
        <v>38.28</v>
      </c>
      <c r="O193" t="s">
        <v>81</v>
      </c>
      <c r="P193" t="s">
        <v>492</v>
      </c>
      <c r="Q193">
        <v>333</v>
      </c>
      <c r="R193">
        <v>38.28</v>
      </c>
    </row>
    <row r="194" spans="1:18" x14ac:dyDescent="0.35">
      <c r="A194" t="s">
        <v>197</v>
      </c>
      <c r="B194" t="s">
        <v>483</v>
      </c>
      <c r="C194" t="s">
        <v>484</v>
      </c>
      <c r="D194">
        <v>107843891</v>
      </c>
      <c r="E194" t="s">
        <v>518</v>
      </c>
      <c r="F194" t="s">
        <v>486</v>
      </c>
      <c r="G194">
        <v>0.56999999999999995</v>
      </c>
      <c r="H194">
        <v>9.56</v>
      </c>
      <c r="I194">
        <v>0</v>
      </c>
      <c r="J194">
        <v>0</v>
      </c>
      <c r="K194">
        <v>10.130000000000001</v>
      </c>
      <c r="L194" t="s">
        <v>487</v>
      </c>
      <c r="M194">
        <v>369</v>
      </c>
      <c r="N194">
        <v>36.409999999999997</v>
      </c>
      <c r="O194" t="s">
        <v>60</v>
      </c>
      <c r="P194" t="s">
        <v>488</v>
      </c>
      <c r="Q194">
        <v>921</v>
      </c>
      <c r="R194">
        <v>1607.17</v>
      </c>
    </row>
    <row r="195" spans="1:18" x14ac:dyDescent="0.35">
      <c r="A195" t="s">
        <v>197</v>
      </c>
      <c r="B195" t="s">
        <v>483</v>
      </c>
      <c r="C195" t="s">
        <v>484</v>
      </c>
      <c r="D195">
        <v>107843891</v>
      </c>
      <c r="E195" t="s">
        <v>518</v>
      </c>
      <c r="F195" t="s">
        <v>486</v>
      </c>
      <c r="G195">
        <v>0.56999999999999995</v>
      </c>
      <c r="H195">
        <v>9.56</v>
      </c>
      <c r="I195">
        <v>0</v>
      </c>
      <c r="J195">
        <v>0</v>
      </c>
      <c r="K195">
        <v>10.130000000000001</v>
      </c>
      <c r="L195" t="s">
        <v>487</v>
      </c>
      <c r="M195">
        <v>369</v>
      </c>
      <c r="N195">
        <v>36.409999999999997</v>
      </c>
      <c r="O195" t="s">
        <v>60</v>
      </c>
      <c r="P195" t="s">
        <v>489</v>
      </c>
      <c r="Q195">
        <v>2661</v>
      </c>
      <c r="R195">
        <v>278.35000000000002</v>
      </c>
    </row>
    <row r="196" spans="1:18" x14ac:dyDescent="0.35">
      <c r="A196" t="s">
        <v>197</v>
      </c>
      <c r="B196" t="s">
        <v>483</v>
      </c>
      <c r="C196" t="s">
        <v>484</v>
      </c>
      <c r="D196">
        <v>107843891</v>
      </c>
      <c r="E196" t="s">
        <v>518</v>
      </c>
      <c r="F196" t="s">
        <v>486</v>
      </c>
      <c r="G196">
        <v>0.56999999999999995</v>
      </c>
      <c r="H196">
        <v>9.56</v>
      </c>
      <c r="I196">
        <v>0</v>
      </c>
      <c r="J196">
        <v>0</v>
      </c>
      <c r="K196">
        <v>10.130000000000001</v>
      </c>
      <c r="L196" t="s">
        <v>487</v>
      </c>
      <c r="M196">
        <v>369</v>
      </c>
      <c r="N196">
        <v>36.409999999999997</v>
      </c>
      <c r="O196" t="s">
        <v>60</v>
      </c>
      <c r="P196" t="s">
        <v>490</v>
      </c>
      <c r="Q196">
        <v>0</v>
      </c>
      <c r="R196">
        <v>0</v>
      </c>
    </row>
    <row r="197" spans="1:18" x14ac:dyDescent="0.35">
      <c r="A197" t="s">
        <v>197</v>
      </c>
      <c r="B197" t="s">
        <v>483</v>
      </c>
      <c r="C197" t="s">
        <v>484</v>
      </c>
      <c r="D197">
        <v>107843891</v>
      </c>
      <c r="E197" t="s">
        <v>518</v>
      </c>
      <c r="F197" t="s">
        <v>486</v>
      </c>
      <c r="G197">
        <v>0.56999999999999995</v>
      </c>
      <c r="H197">
        <v>9.56</v>
      </c>
      <c r="I197">
        <v>0</v>
      </c>
      <c r="J197">
        <v>0</v>
      </c>
      <c r="K197">
        <v>10.130000000000001</v>
      </c>
      <c r="L197" t="s">
        <v>487</v>
      </c>
      <c r="M197">
        <v>369</v>
      </c>
      <c r="N197">
        <v>36.409999999999997</v>
      </c>
      <c r="O197" t="s">
        <v>60</v>
      </c>
      <c r="P197" t="s">
        <v>491</v>
      </c>
      <c r="Q197">
        <v>0</v>
      </c>
      <c r="R197">
        <v>0</v>
      </c>
    </row>
    <row r="198" spans="1:18" x14ac:dyDescent="0.35">
      <c r="A198" t="s">
        <v>197</v>
      </c>
      <c r="B198" t="s">
        <v>483</v>
      </c>
      <c r="C198" t="s">
        <v>484</v>
      </c>
      <c r="D198">
        <v>107843891</v>
      </c>
      <c r="E198" t="s">
        <v>518</v>
      </c>
      <c r="F198" t="s">
        <v>486</v>
      </c>
      <c r="G198">
        <v>0.56999999999999995</v>
      </c>
      <c r="H198">
        <v>9.56</v>
      </c>
      <c r="I198">
        <v>0</v>
      </c>
      <c r="J198">
        <v>0</v>
      </c>
      <c r="K198">
        <v>10.130000000000001</v>
      </c>
      <c r="L198" t="s">
        <v>487</v>
      </c>
      <c r="M198">
        <v>369</v>
      </c>
      <c r="N198">
        <v>36.409999999999997</v>
      </c>
      <c r="O198" t="s">
        <v>60</v>
      </c>
      <c r="P198" t="s">
        <v>492</v>
      </c>
      <c r="Q198">
        <v>3582</v>
      </c>
      <c r="R198">
        <v>353.49</v>
      </c>
    </row>
    <row r="199" spans="1:18" x14ac:dyDescent="0.35">
      <c r="A199" t="s">
        <v>197</v>
      </c>
      <c r="B199" t="s">
        <v>483</v>
      </c>
      <c r="C199" t="s">
        <v>484</v>
      </c>
      <c r="D199">
        <v>107843891</v>
      </c>
      <c r="E199" t="s">
        <v>518</v>
      </c>
      <c r="F199" t="s">
        <v>486</v>
      </c>
      <c r="G199">
        <v>0.56999999999999995</v>
      </c>
      <c r="H199">
        <v>9.56</v>
      </c>
      <c r="I199">
        <v>0</v>
      </c>
      <c r="J199">
        <v>0</v>
      </c>
      <c r="K199">
        <v>10.130000000000001</v>
      </c>
      <c r="L199" t="s">
        <v>487</v>
      </c>
      <c r="M199">
        <v>369</v>
      </c>
      <c r="N199">
        <v>36.409999999999997</v>
      </c>
      <c r="O199" t="s">
        <v>81</v>
      </c>
      <c r="P199" t="s">
        <v>492</v>
      </c>
      <c r="Q199">
        <v>369</v>
      </c>
      <c r="R199">
        <v>36.409999999999997</v>
      </c>
    </row>
    <row r="200" spans="1:18" x14ac:dyDescent="0.35">
      <c r="A200" t="s">
        <v>197</v>
      </c>
      <c r="B200" t="s">
        <v>483</v>
      </c>
      <c r="C200" t="s">
        <v>484</v>
      </c>
      <c r="D200">
        <v>107844157</v>
      </c>
      <c r="E200" t="s">
        <v>519</v>
      </c>
      <c r="F200" t="s">
        <v>486</v>
      </c>
      <c r="G200">
        <v>0.22</v>
      </c>
      <c r="H200">
        <v>3.88</v>
      </c>
      <c r="I200">
        <v>0</v>
      </c>
      <c r="J200">
        <v>0</v>
      </c>
      <c r="K200">
        <v>4.0999999999999996</v>
      </c>
      <c r="L200" t="s">
        <v>487</v>
      </c>
      <c r="M200">
        <v>71</v>
      </c>
      <c r="N200">
        <v>17.32</v>
      </c>
      <c r="O200" t="s">
        <v>60</v>
      </c>
      <c r="P200" t="s">
        <v>488</v>
      </c>
      <c r="Q200">
        <v>284</v>
      </c>
      <c r="R200">
        <v>1307.42</v>
      </c>
    </row>
    <row r="201" spans="1:18" x14ac:dyDescent="0.35">
      <c r="A201" t="s">
        <v>197</v>
      </c>
      <c r="B201" t="s">
        <v>483</v>
      </c>
      <c r="C201" t="s">
        <v>484</v>
      </c>
      <c r="D201">
        <v>107844157</v>
      </c>
      <c r="E201" t="s">
        <v>519</v>
      </c>
      <c r="F201" t="s">
        <v>486</v>
      </c>
      <c r="G201">
        <v>0.22</v>
      </c>
      <c r="H201">
        <v>3.88</v>
      </c>
      <c r="I201">
        <v>0</v>
      </c>
      <c r="J201">
        <v>0</v>
      </c>
      <c r="K201">
        <v>4.0999999999999996</v>
      </c>
      <c r="L201" t="s">
        <v>487</v>
      </c>
      <c r="M201">
        <v>71</v>
      </c>
      <c r="N201">
        <v>17.32</v>
      </c>
      <c r="O201" t="s">
        <v>60</v>
      </c>
      <c r="P201" t="s">
        <v>489</v>
      </c>
      <c r="Q201">
        <v>879</v>
      </c>
      <c r="R201">
        <v>226.4</v>
      </c>
    </row>
    <row r="202" spans="1:18" x14ac:dyDescent="0.35">
      <c r="A202" t="s">
        <v>197</v>
      </c>
      <c r="B202" t="s">
        <v>483</v>
      </c>
      <c r="C202" t="s">
        <v>484</v>
      </c>
      <c r="D202">
        <v>107844157</v>
      </c>
      <c r="E202" t="s">
        <v>519</v>
      </c>
      <c r="F202" t="s">
        <v>486</v>
      </c>
      <c r="G202">
        <v>0.22</v>
      </c>
      <c r="H202">
        <v>3.88</v>
      </c>
      <c r="I202">
        <v>0</v>
      </c>
      <c r="J202">
        <v>0</v>
      </c>
      <c r="K202">
        <v>4.0999999999999996</v>
      </c>
      <c r="L202" t="s">
        <v>487</v>
      </c>
      <c r="M202">
        <v>71</v>
      </c>
      <c r="N202">
        <v>17.32</v>
      </c>
      <c r="O202" t="s">
        <v>60</v>
      </c>
      <c r="P202" t="s">
        <v>490</v>
      </c>
      <c r="Q202">
        <v>0</v>
      </c>
      <c r="R202">
        <v>0</v>
      </c>
    </row>
    <row r="203" spans="1:18" x14ac:dyDescent="0.35">
      <c r="A203" t="s">
        <v>197</v>
      </c>
      <c r="B203" t="s">
        <v>483</v>
      </c>
      <c r="C203" t="s">
        <v>484</v>
      </c>
      <c r="D203">
        <v>107844157</v>
      </c>
      <c r="E203" t="s">
        <v>519</v>
      </c>
      <c r="F203" t="s">
        <v>486</v>
      </c>
      <c r="G203">
        <v>0.22</v>
      </c>
      <c r="H203">
        <v>3.88</v>
      </c>
      <c r="I203">
        <v>0</v>
      </c>
      <c r="J203">
        <v>0</v>
      </c>
      <c r="K203">
        <v>4.0999999999999996</v>
      </c>
      <c r="L203" t="s">
        <v>487</v>
      </c>
      <c r="M203">
        <v>71</v>
      </c>
      <c r="N203">
        <v>17.32</v>
      </c>
      <c r="O203" t="s">
        <v>60</v>
      </c>
      <c r="P203" t="s">
        <v>491</v>
      </c>
      <c r="Q203">
        <v>0</v>
      </c>
      <c r="R203">
        <v>0</v>
      </c>
    </row>
    <row r="204" spans="1:18" x14ac:dyDescent="0.35">
      <c r="A204" t="s">
        <v>197</v>
      </c>
      <c r="B204" t="s">
        <v>483</v>
      </c>
      <c r="C204" t="s">
        <v>484</v>
      </c>
      <c r="D204">
        <v>107844157</v>
      </c>
      <c r="E204" t="s">
        <v>519</v>
      </c>
      <c r="F204" t="s">
        <v>486</v>
      </c>
      <c r="G204">
        <v>0.22</v>
      </c>
      <c r="H204">
        <v>3.88</v>
      </c>
      <c r="I204">
        <v>0</v>
      </c>
      <c r="J204">
        <v>0</v>
      </c>
      <c r="K204">
        <v>4.0999999999999996</v>
      </c>
      <c r="L204" t="s">
        <v>487</v>
      </c>
      <c r="M204">
        <v>71</v>
      </c>
      <c r="N204">
        <v>17.32</v>
      </c>
      <c r="O204" t="s">
        <v>60</v>
      </c>
      <c r="P204" t="s">
        <v>492</v>
      </c>
      <c r="Q204">
        <v>1163</v>
      </c>
      <c r="R204">
        <v>283.66000000000003</v>
      </c>
    </row>
    <row r="205" spans="1:18" x14ac:dyDescent="0.35">
      <c r="A205" t="s">
        <v>197</v>
      </c>
      <c r="B205" t="s">
        <v>483</v>
      </c>
      <c r="C205" t="s">
        <v>484</v>
      </c>
      <c r="D205">
        <v>107844157</v>
      </c>
      <c r="E205" t="s">
        <v>519</v>
      </c>
      <c r="F205" t="s">
        <v>486</v>
      </c>
      <c r="G205">
        <v>0.22</v>
      </c>
      <c r="H205">
        <v>3.88</v>
      </c>
      <c r="I205">
        <v>0</v>
      </c>
      <c r="J205">
        <v>0</v>
      </c>
      <c r="K205">
        <v>4.0999999999999996</v>
      </c>
      <c r="L205" t="s">
        <v>487</v>
      </c>
      <c r="M205">
        <v>71</v>
      </c>
      <c r="N205">
        <v>17.32</v>
      </c>
      <c r="O205" t="s">
        <v>81</v>
      </c>
      <c r="P205" t="s">
        <v>492</v>
      </c>
      <c r="Q205">
        <v>71</v>
      </c>
      <c r="R205">
        <v>17.32</v>
      </c>
    </row>
    <row r="206" spans="1:18" x14ac:dyDescent="0.35">
      <c r="A206" t="s">
        <v>197</v>
      </c>
      <c r="B206" t="s">
        <v>483</v>
      </c>
      <c r="C206" t="s">
        <v>484</v>
      </c>
      <c r="D206">
        <v>107844158</v>
      </c>
      <c r="E206" t="s">
        <v>520</v>
      </c>
      <c r="F206" t="s">
        <v>486</v>
      </c>
      <c r="G206">
        <v>0.55000000000000004</v>
      </c>
      <c r="H206">
        <v>5.34</v>
      </c>
      <c r="I206">
        <v>0</v>
      </c>
      <c r="J206">
        <v>0</v>
      </c>
      <c r="K206">
        <v>5.89</v>
      </c>
      <c r="L206" t="s">
        <v>487</v>
      </c>
      <c r="M206">
        <v>268</v>
      </c>
      <c r="N206">
        <v>45.51</v>
      </c>
      <c r="O206" t="s">
        <v>60</v>
      </c>
      <c r="P206" t="s">
        <v>488</v>
      </c>
      <c r="Q206">
        <v>1002</v>
      </c>
      <c r="R206">
        <v>1834.79</v>
      </c>
    </row>
    <row r="207" spans="1:18" x14ac:dyDescent="0.35">
      <c r="A207" t="s">
        <v>197</v>
      </c>
      <c r="B207" t="s">
        <v>483</v>
      </c>
      <c r="C207" t="s">
        <v>484</v>
      </c>
      <c r="D207">
        <v>107844158</v>
      </c>
      <c r="E207" t="s">
        <v>520</v>
      </c>
      <c r="F207" t="s">
        <v>486</v>
      </c>
      <c r="G207">
        <v>0.55000000000000004</v>
      </c>
      <c r="H207">
        <v>5.34</v>
      </c>
      <c r="I207">
        <v>0</v>
      </c>
      <c r="J207">
        <v>0</v>
      </c>
      <c r="K207">
        <v>5.89</v>
      </c>
      <c r="L207" t="s">
        <v>487</v>
      </c>
      <c r="M207">
        <v>268</v>
      </c>
      <c r="N207">
        <v>45.51</v>
      </c>
      <c r="O207" t="s">
        <v>60</v>
      </c>
      <c r="P207" t="s">
        <v>489</v>
      </c>
      <c r="Q207">
        <v>1698</v>
      </c>
      <c r="R207">
        <v>317.85000000000002</v>
      </c>
    </row>
    <row r="208" spans="1:18" x14ac:dyDescent="0.35">
      <c r="A208" t="s">
        <v>197</v>
      </c>
      <c r="B208" t="s">
        <v>483</v>
      </c>
      <c r="C208" t="s">
        <v>484</v>
      </c>
      <c r="D208">
        <v>107844158</v>
      </c>
      <c r="E208" t="s">
        <v>520</v>
      </c>
      <c r="F208" t="s">
        <v>486</v>
      </c>
      <c r="G208">
        <v>0.55000000000000004</v>
      </c>
      <c r="H208">
        <v>5.34</v>
      </c>
      <c r="I208">
        <v>0</v>
      </c>
      <c r="J208">
        <v>0</v>
      </c>
      <c r="K208">
        <v>5.89</v>
      </c>
      <c r="L208" t="s">
        <v>487</v>
      </c>
      <c r="M208">
        <v>268</v>
      </c>
      <c r="N208">
        <v>45.51</v>
      </c>
      <c r="O208" t="s">
        <v>60</v>
      </c>
      <c r="P208" t="s">
        <v>490</v>
      </c>
      <c r="Q208">
        <v>0</v>
      </c>
      <c r="R208">
        <v>0</v>
      </c>
    </row>
    <row r="209" spans="1:18" x14ac:dyDescent="0.35">
      <c r="A209" t="s">
        <v>197</v>
      </c>
      <c r="B209" t="s">
        <v>483</v>
      </c>
      <c r="C209" t="s">
        <v>484</v>
      </c>
      <c r="D209">
        <v>107844158</v>
      </c>
      <c r="E209" t="s">
        <v>520</v>
      </c>
      <c r="F209" t="s">
        <v>486</v>
      </c>
      <c r="G209">
        <v>0.55000000000000004</v>
      </c>
      <c r="H209">
        <v>5.34</v>
      </c>
      <c r="I209">
        <v>0</v>
      </c>
      <c r="J209">
        <v>0</v>
      </c>
      <c r="K209">
        <v>5.89</v>
      </c>
      <c r="L209" t="s">
        <v>487</v>
      </c>
      <c r="M209">
        <v>268</v>
      </c>
      <c r="N209">
        <v>45.51</v>
      </c>
      <c r="O209" t="s">
        <v>60</v>
      </c>
      <c r="P209" t="s">
        <v>491</v>
      </c>
      <c r="Q209">
        <v>0</v>
      </c>
      <c r="R209">
        <v>0</v>
      </c>
    </row>
    <row r="210" spans="1:18" x14ac:dyDescent="0.35">
      <c r="A210" t="s">
        <v>197</v>
      </c>
      <c r="B210" t="s">
        <v>483</v>
      </c>
      <c r="C210" t="s">
        <v>484</v>
      </c>
      <c r="D210">
        <v>107844158</v>
      </c>
      <c r="E210" t="s">
        <v>520</v>
      </c>
      <c r="F210" t="s">
        <v>486</v>
      </c>
      <c r="G210">
        <v>0.55000000000000004</v>
      </c>
      <c r="H210">
        <v>5.34</v>
      </c>
      <c r="I210">
        <v>0</v>
      </c>
      <c r="J210">
        <v>0</v>
      </c>
      <c r="K210">
        <v>5.89</v>
      </c>
      <c r="L210" t="s">
        <v>487</v>
      </c>
      <c r="M210">
        <v>268</v>
      </c>
      <c r="N210">
        <v>45.51</v>
      </c>
      <c r="O210" t="s">
        <v>60</v>
      </c>
      <c r="P210" t="s">
        <v>492</v>
      </c>
      <c r="Q210">
        <v>2700</v>
      </c>
      <c r="R210">
        <v>458.51</v>
      </c>
    </row>
    <row r="211" spans="1:18" x14ac:dyDescent="0.35">
      <c r="A211" t="s">
        <v>197</v>
      </c>
      <c r="B211" t="s">
        <v>483</v>
      </c>
      <c r="C211" t="s">
        <v>484</v>
      </c>
      <c r="D211">
        <v>107844158</v>
      </c>
      <c r="E211" t="s">
        <v>520</v>
      </c>
      <c r="F211" t="s">
        <v>486</v>
      </c>
      <c r="G211">
        <v>0.55000000000000004</v>
      </c>
      <c r="H211">
        <v>5.34</v>
      </c>
      <c r="I211">
        <v>0</v>
      </c>
      <c r="J211">
        <v>0</v>
      </c>
      <c r="K211">
        <v>5.89</v>
      </c>
      <c r="L211" t="s">
        <v>487</v>
      </c>
      <c r="M211">
        <v>268</v>
      </c>
      <c r="N211">
        <v>45.51</v>
      </c>
      <c r="O211" t="s">
        <v>81</v>
      </c>
      <c r="P211" t="s">
        <v>492</v>
      </c>
      <c r="Q211">
        <v>268</v>
      </c>
      <c r="R211">
        <v>45.51</v>
      </c>
    </row>
    <row r="212" spans="1:18" x14ac:dyDescent="0.35">
      <c r="A212" t="s">
        <v>197</v>
      </c>
      <c r="B212" t="s">
        <v>483</v>
      </c>
      <c r="C212" t="s">
        <v>493</v>
      </c>
      <c r="D212">
        <v>107907397</v>
      </c>
      <c r="E212" t="s">
        <v>547</v>
      </c>
      <c r="F212" t="s">
        <v>497</v>
      </c>
      <c r="G212">
        <v>0.23</v>
      </c>
      <c r="H212">
        <v>8.44</v>
      </c>
      <c r="I212">
        <v>0</v>
      </c>
      <c r="J212">
        <v>0</v>
      </c>
      <c r="K212">
        <v>8.67</v>
      </c>
      <c r="L212" t="s">
        <v>487</v>
      </c>
      <c r="M212">
        <v>212</v>
      </c>
      <c r="N212">
        <v>24.46</v>
      </c>
      <c r="O212" t="s">
        <v>60</v>
      </c>
      <c r="P212" t="s">
        <v>488</v>
      </c>
      <c r="Q212">
        <v>225</v>
      </c>
      <c r="R212">
        <v>998.77</v>
      </c>
    </row>
    <row r="213" spans="1:18" x14ac:dyDescent="0.35">
      <c r="A213" t="s">
        <v>197</v>
      </c>
      <c r="B213" t="s">
        <v>483</v>
      </c>
      <c r="C213" t="s">
        <v>493</v>
      </c>
      <c r="D213">
        <v>107907397</v>
      </c>
      <c r="E213" t="s">
        <v>547</v>
      </c>
      <c r="F213" t="s">
        <v>497</v>
      </c>
      <c r="G213">
        <v>0.23</v>
      </c>
      <c r="H213">
        <v>8.44</v>
      </c>
      <c r="I213">
        <v>0</v>
      </c>
      <c r="J213">
        <v>0</v>
      </c>
      <c r="K213">
        <v>8.67</v>
      </c>
      <c r="L213" t="s">
        <v>487</v>
      </c>
      <c r="M213">
        <v>212</v>
      </c>
      <c r="N213">
        <v>24.46</v>
      </c>
      <c r="O213" t="s">
        <v>60</v>
      </c>
      <c r="P213" t="s">
        <v>489</v>
      </c>
      <c r="Q213">
        <v>1460</v>
      </c>
      <c r="R213">
        <v>172.96</v>
      </c>
    </row>
    <row r="214" spans="1:18" x14ac:dyDescent="0.35">
      <c r="A214" t="s">
        <v>197</v>
      </c>
      <c r="B214" t="s">
        <v>483</v>
      </c>
      <c r="C214" t="s">
        <v>493</v>
      </c>
      <c r="D214">
        <v>107907397</v>
      </c>
      <c r="E214" t="s">
        <v>547</v>
      </c>
      <c r="F214" t="s">
        <v>497</v>
      </c>
      <c r="G214">
        <v>0.23</v>
      </c>
      <c r="H214">
        <v>8.44</v>
      </c>
      <c r="I214">
        <v>0</v>
      </c>
      <c r="J214">
        <v>0</v>
      </c>
      <c r="K214">
        <v>8.67</v>
      </c>
      <c r="L214" t="s">
        <v>487</v>
      </c>
      <c r="M214">
        <v>212</v>
      </c>
      <c r="N214">
        <v>24.46</v>
      </c>
      <c r="O214" t="s">
        <v>60</v>
      </c>
      <c r="P214" t="s">
        <v>490</v>
      </c>
      <c r="Q214">
        <v>0</v>
      </c>
      <c r="R214">
        <v>0</v>
      </c>
    </row>
    <row r="215" spans="1:18" x14ac:dyDescent="0.35">
      <c r="A215" t="s">
        <v>197</v>
      </c>
      <c r="B215" t="s">
        <v>483</v>
      </c>
      <c r="C215" t="s">
        <v>493</v>
      </c>
      <c r="D215">
        <v>107907397</v>
      </c>
      <c r="E215" t="s">
        <v>547</v>
      </c>
      <c r="F215" t="s">
        <v>497</v>
      </c>
      <c r="G215">
        <v>0.23</v>
      </c>
      <c r="H215">
        <v>8.44</v>
      </c>
      <c r="I215">
        <v>0</v>
      </c>
      <c r="J215">
        <v>0</v>
      </c>
      <c r="K215">
        <v>8.67</v>
      </c>
      <c r="L215" t="s">
        <v>487</v>
      </c>
      <c r="M215">
        <v>212</v>
      </c>
      <c r="N215">
        <v>24.46</v>
      </c>
      <c r="O215" t="s">
        <v>60</v>
      </c>
      <c r="P215" t="s">
        <v>491</v>
      </c>
      <c r="Q215">
        <v>0</v>
      </c>
      <c r="R215">
        <v>0</v>
      </c>
    </row>
    <row r="216" spans="1:18" x14ac:dyDescent="0.35">
      <c r="A216" t="s">
        <v>197</v>
      </c>
      <c r="B216" t="s">
        <v>483</v>
      </c>
      <c r="C216" t="s">
        <v>493</v>
      </c>
      <c r="D216">
        <v>107907397</v>
      </c>
      <c r="E216" t="s">
        <v>547</v>
      </c>
      <c r="F216" t="s">
        <v>497</v>
      </c>
      <c r="G216">
        <v>0.23</v>
      </c>
      <c r="H216">
        <v>8.44</v>
      </c>
      <c r="I216">
        <v>0</v>
      </c>
      <c r="J216">
        <v>0</v>
      </c>
      <c r="K216">
        <v>8.67</v>
      </c>
      <c r="L216" t="s">
        <v>487</v>
      </c>
      <c r="M216">
        <v>212</v>
      </c>
      <c r="N216">
        <v>24.46</v>
      </c>
      <c r="O216" t="s">
        <v>60</v>
      </c>
      <c r="P216" t="s">
        <v>492</v>
      </c>
      <c r="Q216">
        <v>1685</v>
      </c>
      <c r="R216">
        <v>194.42</v>
      </c>
    </row>
    <row r="217" spans="1:18" x14ac:dyDescent="0.35">
      <c r="A217" t="s">
        <v>197</v>
      </c>
      <c r="B217" t="s">
        <v>483</v>
      </c>
      <c r="C217" t="s">
        <v>493</v>
      </c>
      <c r="D217">
        <v>107907397</v>
      </c>
      <c r="E217" t="s">
        <v>547</v>
      </c>
      <c r="F217" t="s">
        <v>497</v>
      </c>
      <c r="G217">
        <v>0.23</v>
      </c>
      <c r="H217">
        <v>8.44</v>
      </c>
      <c r="I217">
        <v>0</v>
      </c>
      <c r="J217">
        <v>0</v>
      </c>
      <c r="K217">
        <v>8.67</v>
      </c>
      <c r="L217" t="s">
        <v>487</v>
      </c>
      <c r="M217">
        <v>212</v>
      </c>
      <c r="N217">
        <v>24.46</v>
      </c>
      <c r="O217" t="s">
        <v>81</v>
      </c>
      <c r="P217" t="s">
        <v>492</v>
      </c>
      <c r="Q217">
        <v>212</v>
      </c>
      <c r="R217">
        <v>24.46</v>
      </c>
    </row>
    <row r="218" spans="1:18" x14ac:dyDescent="0.35">
      <c r="A218" t="s">
        <v>34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I144"/>
  <sheetViews>
    <sheetView workbookViewId="0">
      <selection sqref="A1:A1048576"/>
    </sheetView>
  </sheetViews>
  <sheetFormatPr defaultRowHeight="14.5" x14ac:dyDescent="0.35"/>
  <cols>
    <col min="1" max="1" width="9.90625" bestFit="1" customWidth="1"/>
    <col min="2" max="2" width="11.08984375" bestFit="1" customWidth="1"/>
    <col min="3" max="3" width="24.81640625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>
    <row r="1" spans="1:9" x14ac:dyDescent="0.35">
      <c r="A1" t="s">
        <v>462</v>
      </c>
      <c r="B1" t="s">
        <v>454</v>
      </c>
      <c r="C1" t="s">
        <v>468</v>
      </c>
      <c r="D1" t="s">
        <v>469</v>
      </c>
      <c r="E1" t="s">
        <v>453</v>
      </c>
      <c r="F1" t="s">
        <v>470</v>
      </c>
      <c r="G1" t="s">
        <v>41</v>
      </c>
      <c r="H1" t="s">
        <v>471</v>
      </c>
      <c r="I1" t="s">
        <v>472</v>
      </c>
    </row>
    <row r="2" spans="1:9" x14ac:dyDescent="0.35">
      <c r="A2" t="s">
        <v>487</v>
      </c>
      <c r="B2">
        <v>106534472</v>
      </c>
      <c r="C2" t="s">
        <v>533</v>
      </c>
      <c r="D2" t="s">
        <v>497</v>
      </c>
      <c r="E2" t="s">
        <v>484</v>
      </c>
      <c r="F2">
        <v>46</v>
      </c>
      <c r="G2" t="s">
        <v>60</v>
      </c>
      <c r="H2" t="s">
        <v>492</v>
      </c>
      <c r="I2">
        <v>286</v>
      </c>
    </row>
    <row r="3" spans="1:9" x14ac:dyDescent="0.35">
      <c r="A3" t="s">
        <v>487</v>
      </c>
      <c r="B3">
        <v>106534472</v>
      </c>
      <c r="C3" t="s">
        <v>533</v>
      </c>
      <c r="D3" t="s">
        <v>497</v>
      </c>
      <c r="E3" t="s">
        <v>484</v>
      </c>
      <c r="F3">
        <v>46</v>
      </c>
      <c r="G3" t="s">
        <v>81</v>
      </c>
      <c r="H3" t="s">
        <v>492</v>
      </c>
      <c r="I3">
        <v>46</v>
      </c>
    </row>
    <row r="4" spans="1:9" x14ac:dyDescent="0.35">
      <c r="A4" t="s">
        <v>487</v>
      </c>
      <c r="B4">
        <v>106677842</v>
      </c>
      <c r="C4" t="s">
        <v>552</v>
      </c>
      <c r="D4" t="s">
        <v>497</v>
      </c>
      <c r="E4" t="s">
        <v>493</v>
      </c>
      <c r="F4">
        <v>54</v>
      </c>
      <c r="G4" t="s">
        <v>60</v>
      </c>
      <c r="H4" t="s">
        <v>492</v>
      </c>
      <c r="I4">
        <v>414</v>
      </c>
    </row>
    <row r="5" spans="1:9" x14ac:dyDescent="0.35">
      <c r="A5" t="s">
        <v>487</v>
      </c>
      <c r="B5">
        <v>106677842</v>
      </c>
      <c r="C5" t="s">
        <v>552</v>
      </c>
      <c r="D5" t="s">
        <v>497</v>
      </c>
      <c r="E5" t="s">
        <v>493</v>
      </c>
      <c r="F5">
        <v>54</v>
      </c>
      <c r="G5" t="s">
        <v>81</v>
      </c>
      <c r="H5" t="s">
        <v>492</v>
      </c>
      <c r="I5">
        <v>54</v>
      </c>
    </row>
    <row r="6" spans="1:9" x14ac:dyDescent="0.35">
      <c r="A6" t="s">
        <v>487</v>
      </c>
      <c r="B6">
        <v>106594105</v>
      </c>
      <c r="C6" t="s">
        <v>561</v>
      </c>
      <c r="D6" t="s">
        <v>499</v>
      </c>
      <c r="E6" t="s">
        <v>484</v>
      </c>
      <c r="F6">
        <v>130</v>
      </c>
      <c r="G6" t="s">
        <v>60</v>
      </c>
      <c r="H6" t="s">
        <v>492</v>
      </c>
      <c r="I6">
        <v>1015</v>
      </c>
    </row>
    <row r="7" spans="1:9" x14ac:dyDescent="0.35">
      <c r="A7" t="s">
        <v>487</v>
      </c>
      <c r="B7">
        <v>106594105</v>
      </c>
      <c r="C7" t="s">
        <v>561</v>
      </c>
      <c r="D7" t="s">
        <v>499</v>
      </c>
      <c r="E7" t="s">
        <v>484</v>
      </c>
      <c r="F7">
        <v>130</v>
      </c>
      <c r="G7" t="s">
        <v>60</v>
      </c>
      <c r="H7" t="s">
        <v>488</v>
      </c>
      <c r="I7">
        <v>24</v>
      </c>
    </row>
    <row r="8" spans="1:9" x14ac:dyDescent="0.35">
      <c r="A8" t="s">
        <v>487</v>
      </c>
      <c r="B8">
        <v>106594105</v>
      </c>
      <c r="C8" t="s">
        <v>561</v>
      </c>
      <c r="D8" t="s">
        <v>499</v>
      </c>
      <c r="E8" t="s">
        <v>484</v>
      </c>
      <c r="F8">
        <v>130</v>
      </c>
      <c r="G8" t="s">
        <v>60</v>
      </c>
      <c r="H8" t="s">
        <v>489</v>
      </c>
      <c r="I8">
        <v>991</v>
      </c>
    </row>
    <row r="9" spans="1:9" x14ac:dyDescent="0.35">
      <c r="A9" t="s">
        <v>487</v>
      </c>
      <c r="B9">
        <v>106594105</v>
      </c>
      <c r="C9" t="s">
        <v>561</v>
      </c>
      <c r="D9" t="s">
        <v>499</v>
      </c>
      <c r="E9" t="s">
        <v>484</v>
      </c>
      <c r="F9">
        <v>130</v>
      </c>
      <c r="G9" t="s">
        <v>81</v>
      </c>
      <c r="H9" t="s">
        <v>492</v>
      </c>
      <c r="I9">
        <v>130</v>
      </c>
    </row>
    <row r="10" spans="1:9" x14ac:dyDescent="0.35">
      <c r="A10" t="s">
        <v>487</v>
      </c>
      <c r="B10">
        <v>107826180</v>
      </c>
      <c r="C10" t="s">
        <v>554</v>
      </c>
      <c r="D10" t="s">
        <v>497</v>
      </c>
      <c r="E10" t="s">
        <v>484</v>
      </c>
      <c r="F10">
        <v>344</v>
      </c>
      <c r="G10" t="s">
        <v>60</v>
      </c>
      <c r="H10" t="s">
        <v>492</v>
      </c>
      <c r="I10">
        <v>3248</v>
      </c>
    </row>
    <row r="11" spans="1:9" x14ac:dyDescent="0.35">
      <c r="A11" t="s">
        <v>487</v>
      </c>
      <c r="B11">
        <v>107826180</v>
      </c>
      <c r="C11" t="s">
        <v>554</v>
      </c>
      <c r="D11" t="s">
        <v>497</v>
      </c>
      <c r="E11" t="s">
        <v>484</v>
      </c>
      <c r="F11">
        <v>344</v>
      </c>
      <c r="G11" t="s">
        <v>60</v>
      </c>
      <c r="H11" t="s">
        <v>488</v>
      </c>
      <c r="I11">
        <v>590</v>
      </c>
    </row>
    <row r="12" spans="1:9" x14ac:dyDescent="0.35">
      <c r="A12" t="s">
        <v>487</v>
      </c>
      <c r="B12">
        <v>107826180</v>
      </c>
      <c r="C12" t="s">
        <v>554</v>
      </c>
      <c r="D12" t="s">
        <v>497</v>
      </c>
      <c r="E12" t="s">
        <v>484</v>
      </c>
      <c r="F12">
        <v>344</v>
      </c>
      <c r="G12" t="s">
        <v>60</v>
      </c>
      <c r="H12" t="s">
        <v>489</v>
      </c>
      <c r="I12">
        <v>2658</v>
      </c>
    </row>
    <row r="13" spans="1:9" x14ac:dyDescent="0.35">
      <c r="A13" t="s">
        <v>487</v>
      </c>
      <c r="B13">
        <v>107826180</v>
      </c>
      <c r="C13" t="s">
        <v>554</v>
      </c>
      <c r="D13" t="s">
        <v>497</v>
      </c>
      <c r="E13" t="s">
        <v>484</v>
      </c>
      <c r="F13">
        <v>344</v>
      </c>
      <c r="G13" t="s">
        <v>81</v>
      </c>
      <c r="H13" t="s">
        <v>492</v>
      </c>
      <c r="I13">
        <v>345</v>
      </c>
    </row>
    <row r="14" spans="1:9" x14ac:dyDescent="0.35">
      <c r="A14" t="s">
        <v>487</v>
      </c>
      <c r="B14">
        <v>103162419</v>
      </c>
      <c r="C14" t="s">
        <v>494</v>
      </c>
      <c r="D14" t="s">
        <v>486</v>
      </c>
      <c r="E14" t="s">
        <v>484</v>
      </c>
      <c r="F14">
        <v>114</v>
      </c>
      <c r="G14" t="s">
        <v>60</v>
      </c>
      <c r="H14" t="s">
        <v>492</v>
      </c>
      <c r="I14">
        <v>736</v>
      </c>
    </row>
    <row r="15" spans="1:9" x14ac:dyDescent="0.35">
      <c r="A15" t="s">
        <v>487</v>
      </c>
      <c r="B15">
        <v>103162419</v>
      </c>
      <c r="C15" t="s">
        <v>494</v>
      </c>
      <c r="D15" t="s">
        <v>486</v>
      </c>
      <c r="E15" t="s">
        <v>484</v>
      </c>
      <c r="F15">
        <v>114</v>
      </c>
      <c r="G15" t="s">
        <v>60</v>
      </c>
      <c r="H15" t="s">
        <v>488</v>
      </c>
      <c r="I15">
        <v>92</v>
      </c>
    </row>
    <row r="16" spans="1:9" x14ac:dyDescent="0.35">
      <c r="A16" t="s">
        <v>487</v>
      </c>
      <c r="B16">
        <v>103162419</v>
      </c>
      <c r="C16" t="s">
        <v>494</v>
      </c>
      <c r="D16" t="s">
        <v>486</v>
      </c>
      <c r="E16" t="s">
        <v>484</v>
      </c>
      <c r="F16">
        <v>114</v>
      </c>
      <c r="G16" t="s">
        <v>60</v>
      </c>
      <c r="H16" t="s">
        <v>489</v>
      </c>
      <c r="I16">
        <v>644</v>
      </c>
    </row>
    <row r="17" spans="1:9" x14ac:dyDescent="0.35">
      <c r="A17" t="s">
        <v>487</v>
      </c>
      <c r="B17">
        <v>103162419</v>
      </c>
      <c r="C17" t="s">
        <v>494</v>
      </c>
      <c r="D17" t="s">
        <v>486</v>
      </c>
      <c r="E17" t="s">
        <v>484</v>
      </c>
      <c r="F17">
        <v>114</v>
      </c>
      <c r="G17" t="s">
        <v>81</v>
      </c>
      <c r="H17" t="s">
        <v>492</v>
      </c>
      <c r="I17">
        <v>114</v>
      </c>
    </row>
    <row r="18" spans="1:9" x14ac:dyDescent="0.35">
      <c r="A18" t="s">
        <v>487</v>
      </c>
      <c r="B18">
        <v>107432433</v>
      </c>
      <c r="C18" t="s">
        <v>538</v>
      </c>
      <c r="D18" t="s">
        <v>497</v>
      </c>
      <c r="E18" t="s">
        <v>484</v>
      </c>
      <c r="F18">
        <v>179</v>
      </c>
      <c r="G18" t="s">
        <v>60</v>
      </c>
      <c r="H18" t="s">
        <v>492</v>
      </c>
      <c r="I18">
        <v>2632</v>
      </c>
    </row>
    <row r="19" spans="1:9" x14ac:dyDescent="0.35">
      <c r="A19" t="s">
        <v>487</v>
      </c>
      <c r="B19">
        <v>107432433</v>
      </c>
      <c r="C19" t="s">
        <v>538</v>
      </c>
      <c r="D19" t="s">
        <v>497</v>
      </c>
      <c r="E19" t="s">
        <v>484</v>
      </c>
      <c r="F19">
        <v>179</v>
      </c>
      <c r="G19" t="s">
        <v>60</v>
      </c>
      <c r="H19" t="s">
        <v>488</v>
      </c>
      <c r="I19">
        <v>508</v>
      </c>
    </row>
    <row r="20" spans="1:9" x14ac:dyDescent="0.35">
      <c r="A20" t="s">
        <v>487</v>
      </c>
      <c r="B20">
        <v>107432433</v>
      </c>
      <c r="C20" t="s">
        <v>538</v>
      </c>
      <c r="D20" t="s">
        <v>497</v>
      </c>
      <c r="E20" t="s">
        <v>484</v>
      </c>
      <c r="F20">
        <v>179</v>
      </c>
      <c r="G20" t="s">
        <v>60</v>
      </c>
      <c r="H20" t="s">
        <v>489</v>
      </c>
      <c r="I20">
        <v>2124</v>
      </c>
    </row>
    <row r="21" spans="1:9" x14ac:dyDescent="0.35">
      <c r="A21" t="s">
        <v>487</v>
      </c>
      <c r="B21">
        <v>107432433</v>
      </c>
      <c r="C21" t="s">
        <v>538</v>
      </c>
      <c r="D21" t="s">
        <v>497</v>
      </c>
      <c r="E21" t="s">
        <v>484</v>
      </c>
      <c r="F21">
        <v>179</v>
      </c>
      <c r="G21" t="s">
        <v>81</v>
      </c>
      <c r="H21" t="s">
        <v>492</v>
      </c>
      <c r="I21">
        <v>179</v>
      </c>
    </row>
    <row r="22" spans="1:9" x14ac:dyDescent="0.35">
      <c r="A22" t="s">
        <v>487</v>
      </c>
      <c r="B22">
        <v>107233183</v>
      </c>
      <c r="C22" t="s">
        <v>505</v>
      </c>
      <c r="D22" t="s">
        <v>486</v>
      </c>
      <c r="E22" t="s">
        <v>484</v>
      </c>
      <c r="F22">
        <v>15</v>
      </c>
      <c r="G22" t="s">
        <v>60</v>
      </c>
      <c r="H22" t="s">
        <v>492</v>
      </c>
      <c r="I22">
        <v>208</v>
      </c>
    </row>
    <row r="23" spans="1:9" x14ac:dyDescent="0.35">
      <c r="A23" t="s">
        <v>487</v>
      </c>
      <c r="B23">
        <v>107233183</v>
      </c>
      <c r="C23" t="s">
        <v>505</v>
      </c>
      <c r="D23" t="s">
        <v>486</v>
      </c>
      <c r="E23" t="s">
        <v>484</v>
      </c>
      <c r="F23">
        <v>15</v>
      </c>
      <c r="G23" t="s">
        <v>81</v>
      </c>
      <c r="H23" t="s">
        <v>492</v>
      </c>
      <c r="I23">
        <v>15</v>
      </c>
    </row>
    <row r="24" spans="1:9" x14ac:dyDescent="0.35">
      <c r="A24" t="s">
        <v>487</v>
      </c>
      <c r="B24">
        <v>107844157</v>
      </c>
      <c r="C24" t="s">
        <v>519</v>
      </c>
      <c r="D24" t="s">
        <v>486</v>
      </c>
      <c r="E24" t="s">
        <v>484</v>
      </c>
      <c r="F24">
        <v>71</v>
      </c>
      <c r="G24" t="s">
        <v>60</v>
      </c>
      <c r="H24" t="s">
        <v>492</v>
      </c>
      <c r="I24">
        <v>1163</v>
      </c>
    </row>
    <row r="25" spans="1:9" x14ac:dyDescent="0.35">
      <c r="A25" t="s">
        <v>487</v>
      </c>
      <c r="B25">
        <v>107844157</v>
      </c>
      <c r="C25" t="s">
        <v>519</v>
      </c>
      <c r="D25" t="s">
        <v>486</v>
      </c>
      <c r="E25" t="s">
        <v>484</v>
      </c>
      <c r="F25">
        <v>71</v>
      </c>
      <c r="G25" t="s">
        <v>60</v>
      </c>
      <c r="H25" t="s">
        <v>488</v>
      </c>
      <c r="I25">
        <v>284</v>
      </c>
    </row>
    <row r="26" spans="1:9" x14ac:dyDescent="0.35">
      <c r="A26" t="s">
        <v>487</v>
      </c>
      <c r="B26">
        <v>107844157</v>
      </c>
      <c r="C26" t="s">
        <v>519</v>
      </c>
      <c r="D26" t="s">
        <v>486</v>
      </c>
      <c r="E26" t="s">
        <v>484</v>
      </c>
      <c r="F26">
        <v>71</v>
      </c>
      <c r="G26" t="s">
        <v>60</v>
      </c>
      <c r="H26" t="s">
        <v>489</v>
      </c>
      <c r="I26">
        <v>879</v>
      </c>
    </row>
    <row r="27" spans="1:9" x14ac:dyDescent="0.35">
      <c r="A27" t="s">
        <v>487</v>
      </c>
      <c r="B27">
        <v>107844157</v>
      </c>
      <c r="C27" t="s">
        <v>519</v>
      </c>
      <c r="D27" t="s">
        <v>486</v>
      </c>
      <c r="E27" t="s">
        <v>484</v>
      </c>
      <c r="F27">
        <v>71</v>
      </c>
      <c r="G27" t="s">
        <v>81</v>
      </c>
      <c r="H27" t="s">
        <v>492</v>
      </c>
      <c r="I27">
        <v>71</v>
      </c>
    </row>
    <row r="28" spans="1:9" x14ac:dyDescent="0.35">
      <c r="A28" t="s">
        <v>487</v>
      </c>
      <c r="B28">
        <v>107704699</v>
      </c>
      <c r="C28" t="s">
        <v>540</v>
      </c>
      <c r="D28" t="s">
        <v>497</v>
      </c>
      <c r="E28" t="s">
        <v>493</v>
      </c>
      <c r="F28">
        <v>160</v>
      </c>
      <c r="G28" t="s">
        <v>60</v>
      </c>
      <c r="H28" t="s">
        <v>492</v>
      </c>
      <c r="I28">
        <v>1019</v>
      </c>
    </row>
    <row r="29" spans="1:9" x14ac:dyDescent="0.35">
      <c r="A29" t="s">
        <v>487</v>
      </c>
      <c r="B29">
        <v>107704699</v>
      </c>
      <c r="C29" t="s">
        <v>540</v>
      </c>
      <c r="D29" t="s">
        <v>497</v>
      </c>
      <c r="E29" t="s">
        <v>493</v>
      </c>
      <c r="F29">
        <v>160</v>
      </c>
      <c r="G29" t="s">
        <v>60</v>
      </c>
      <c r="H29" t="s">
        <v>488</v>
      </c>
      <c r="I29">
        <v>120</v>
      </c>
    </row>
    <row r="30" spans="1:9" x14ac:dyDescent="0.35">
      <c r="A30" t="s">
        <v>487</v>
      </c>
      <c r="B30">
        <v>107704699</v>
      </c>
      <c r="C30" t="s">
        <v>540</v>
      </c>
      <c r="D30" t="s">
        <v>497</v>
      </c>
      <c r="E30" t="s">
        <v>493</v>
      </c>
      <c r="F30">
        <v>160</v>
      </c>
      <c r="G30" t="s">
        <v>60</v>
      </c>
      <c r="H30" t="s">
        <v>489</v>
      </c>
      <c r="I30">
        <v>899</v>
      </c>
    </row>
    <row r="31" spans="1:9" x14ac:dyDescent="0.35">
      <c r="A31" t="s">
        <v>487</v>
      </c>
      <c r="B31">
        <v>107704699</v>
      </c>
      <c r="C31" t="s">
        <v>540</v>
      </c>
      <c r="D31" t="s">
        <v>497</v>
      </c>
      <c r="E31" t="s">
        <v>493</v>
      </c>
      <c r="F31">
        <v>160</v>
      </c>
      <c r="G31" t="s">
        <v>81</v>
      </c>
      <c r="H31" t="s">
        <v>492</v>
      </c>
      <c r="I31">
        <v>160</v>
      </c>
    </row>
    <row r="32" spans="1:9" x14ac:dyDescent="0.35">
      <c r="A32" t="s">
        <v>487</v>
      </c>
      <c r="B32">
        <v>107228984</v>
      </c>
      <c r="C32" t="s">
        <v>502</v>
      </c>
      <c r="D32" t="s">
        <v>497</v>
      </c>
      <c r="E32" t="s">
        <v>484</v>
      </c>
      <c r="F32">
        <v>122</v>
      </c>
      <c r="G32" t="s">
        <v>60</v>
      </c>
      <c r="H32" t="s">
        <v>492</v>
      </c>
      <c r="I32">
        <v>965</v>
      </c>
    </row>
    <row r="33" spans="1:9" x14ac:dyDescent="0.35">
      <c r="A33" t="s">
        <v>487</v>
      </c>
      <c r="B33">
        <v>107228984</v>
      </c>
      <c r="C33" t="s">
        <v>502</v>
      </c>
      <c r="D33" t="s">
        <v>497</v>
      </c>
      <c r="E33" t="s">
        <v>484</v>
      </c>
      <c r="F33">
        <v>122</v>
      </c>
      <c r="G33" t="s">
        <v>60</v>
      </c>
      <c r="H33" t="s">
        <v>488</v>
      </c>
      <c r="I33">
        <v>36</v>
      </c>
    </row>
    <row r="34" spans="1:9" x14ac:dyDescent="0.35">
      <c r="A34" t="s">
        <v>487</v>
      </c>
      <c r="B34">
        <v>107228984</v>
      </c>
      <c r="C34" t="s">
        <v>502</v>
      </c>
      <c r="D34" t="s">
        <v>497</v>
      </c>
      <c r="E34" t="s">
        <v>484</v>
      </c>
      <c r="F34">
        <v>122</v>
      </c>
      <c r="G34" t="s">
        <v>60</v>
      </c>
      <c r="H34" t="s">
        <v>489</v>
      </c>
      <c r="I34">
        <v>929</v>
      </c>
    </row>
    <row r="35" spans="1:9" x14ac:dyDescent="0.35">
      <c r="A35" t="s">
        <v>487</v>
      </c>
      <c r="B35">
        <v>107228984</v>
      </c>
      <c r="C35" t="s">
        <v>502</v>
      </c>
      <c r="D35" t="s">
        <v>497</v>
      </c>
      <c r="E35" t="s">
        <v>484</v>
      </c>
      <c r="F35">
        <v>122</v>
      </c>
      <c r="G35" t="s">
        <v>81</v>
      </c>
      <c r="H35" t="s">
        <v>492</v>
      </c>
      <c r="I35">
        <v>122</v>
      </c>
    </row>
    <row r="36" spans="1:9" x14ac:dyDescent="0.35">
      <c r="A36" t="s">
        <v>487</v>
      </c>
      <c r="B36">
        <v>107826232</v>
      </c>
      <c r="C36" t="s">
        <v>515</v>
      </c>
      <c r="D36" t="s">
        <v>497</v>
      </c>
      <c r="E36" t="s">
        <v>484</v>
      </c>
      <c r="F36">
        <v>148</v>
      </c>
      <c r="G36" t="s">
        <v>60</v>
      </c>
      <c r="H36" t="s">
        <v>492</v>
      </c>
      <c r="I36">
        <v>1668</v>
      </c>
    </row>
    <row r="37" spans="1:9" x14ac:dyDescent="0.35">
      <c r="A37" t="s">
        <v>487</v>
      </c>
      <c r="B37">
        <v>107826232</v>
      </c>
      <c r="C37" t="s">
        <v>515</v>
      </c>
      <c r="D37" t="s">
        <v>497</v>
      </c>
      <c r="E37" t="s">
        <v>484</v>
      </c>
      <c r="F37">
        <v>148</v>
      </c>
      <c r="G37" t="s">
        <v>60</v>
      </c>
      <c r="H37" t="s">
        <v>488</v>
      </c>
      <c r="I37">
        <v>219</v>
      </c>
    </row>
    <row r="38" spans="1:9" x14ac:dyDescent="0.35">
      <c r="A38" t="s">
        <v>487</v>
      </c>
      <c r="B38">
        <v>107826232</v>
      </c>
      <c r="C38" t="s">
        <v>515</v>
      </c>
      <c r="D38" t="s">
        <v>497</v>
      </c>
      <c r="E38" t="s">
        <v>484</v>
      </c>
      <c r="F38">
        <v>148</v>
      </c>
      <c r="G38" t="s">
        <v>60</v>
      </c>
      <c r="H38" t="s">
        <v>489</v>
      </c>
      <c r="I38">
        <v>1449</v>
      </c>
    </row>
    <row r="39" spans="1:9" x14ac:dyDescent="0.35">
      <c r="A39" t="s">
        <v>487</v>
      </c>
      <c r="B39">
        <v>107826232</v>
      </c>
      <c r="C39" t="s">
        <v>515</v>
      </c>
      <c r="D39" t="s">
        <v>497</v>
      </c>
      <c r="E39" t="s">
        <v>484</v>
      </c>
      <c r="F39">
        <v>148</v>
      </c>
      <c r="G39" t="s">
        <v>81</v>
      </c>
      <c r="H39" t="s">
        <v>492</v>
      </c>
      <c r="I39">
        <v>148</v>
      </c>
    </row>
    <row r="40" spans="1:9" x14ac:dyDescent="0.35">
      <c r="A40" t="s">
        <v>487</v>
      </c>
      <c r="B40">
        <v>107843891</v>
      </c>
      <c r="C40" t="s">
        <v>518</v>
      </c>
      <c r="D40" t="s">
        <v>486</v>
      </c>
      <c r="E40" t="s">
        <v>484</v>
      </c>
      <c r="F40">
        <v>369</v>
      </c>
      <c r="G40" t="s">
        <v>60</v>
      </c>
      <c r="H40" t="s">
        <v>492</v>
      </c>
      <c r="I40">
        <v>3582</v>
      </c>
    </row>
    <row r="41" spans="1:9" x14ac:dyDescent="0.35">
      <c r="A41" t="s">
        <v>487</v>
      </c>
      <c r="B41">
        <v>107843891</v>
      </c>
      <c r="C41" t="s">
        <v>518</v>
      </c>
      <c r="D41" t="s">
        <v>486</v>
      </c>
      <c r="E41" t="s">
        <v>484</v>
      </c>
      <c r="F41">
        <v>369</v>
      </c>
      <c r="G41" t="s">
        <v>60</v>
      </c>
      <c r="H41" t="s">
        <v>488</v>
      </c>
      <c r="I41">
        <v>921</v>
      </c>
    </row>
    <row r="42" spans="1:9" x14ac:dyDescent="0.35">
      <c r="A42" t="s">
        <v>487</v>
      </c>
      <c r="B42">
        <v>107843891</v>
      </c>
      <c r="C42" t="s">
        <v>518</v>
      </c>
      <c r="D42" t="s">
        <v>486</v>
      </c>
      <c r="E42" t="s">
        <v>484</v>
      </c>
      <c r="F42">
        <v>369</v>
      </c>
      <c r="G42" t="s">
        <v>60</v>
      </c>
      <c r="H42" t="s">
        <v>489</v>
      </c>
      <c r="I42">
        <v>2661</v>
      </c>
    </row>
    <row r="43" spans="1:9" x14ac:dyDescent="0.35">
      <c r="A43" t="s">
        <v>487</v>
      </c>
      <c r="B43">
        <v>107843891</v>
      </c>
      <c r="C43" t="s">
        <v>518</v>
      </c>
      <c r="D43" t="s">
        <v>486</v>
      </c>
      <c r="E43" t="s">
        <v>484</v>
      </c>
      <c r="F43">
        <v>369</v>
      </c>
      <c r="G43" t="s">
        <v>81</v>
      </c>
      <c r="H43" t="s">
        <v>492</v>
      </c>
      <c r="I43">
        <v>369</v>
      </c>
    </row>
    <row r="44" spans="1:9" x14ac:dyDescent="0.35">
      <c r="A44" t="s">
        <v>487</v>
      </c>
      <c r="B44">
        <v>107741933</v>
      </c>
      <c r="C44" t="s">
        <v>543</v>
      </c>
      <c r="D44" t="s">
        <v>497</v>
      </c>
      <c r="E44" t="s">
        <v>493</v>
      </c>
      <c r="F44">
        <v>163</v>
      </c>
      <c r="G44" t="s">
        <v>60</v>
      </c>
      <c r="H44" t="s">
        <v>492</v>
      </c>
      <c r="I44">
        <v>1983</v>
      </c>
    </row>
    <row r="45" spans="1:9" x14ac:dyDescent="0.35">
      <c r="A45" t="s">
        <v>487</v>
      </c>
      <c r="B45">
        <v>107741933</v>
      </c>
      <c r="C45" t="s">
        <v>543</v>
      </c>
      <c r="D45" t="s">
        <v>497</v>
      </c>
      <c r="E45" t="s">
        <v>493</v>
      </c>
      <c r="F45">
        <v>163</v>
      </c>
      <c r="G45" t="s">
        <v>60</v>
      </c>
      <c r="H45" t="s">
        <v>488</v>
      </c>
      <c r="I45">
        <v>449</v>
      </c>
    </row>
    <row r="46" spans="1:9" x14ac:dyDescent="0.35">
      <c r="A46" t="s">
        <v>487</v>
      </c>
      <c r="B46">
        <v>107741933</v>
      </c>
      <c r="C46" t="s">
        <v>543</v>
      </c>
      <c r="D46" t="s">
        <v>497</v>
      </c>
      <c r="E46" t="s">
        <v>493</v>
      </c>
      <c r="F46">
        <v>163</v>
      </c>
      <c r="G46" t="s">
        <v>60</v>
      </c>
      <c r="H46" t="s">
        <v>489</v>
      </c>
      <c r="I46">
        <v>1534</v>
      </c>
    </row>
    <row r="47" spans="1:9" x14ac:dyDescent="0.35">
      <c r="A47" t="s">
        <v>487</v>
      </c>
      <c r="B47">
        <v>107741933</v>
      </c>
      <c r="C47" t="s">
        <v>543</v>
      </c>
      <c r="D47" t="s">
        <v>497</v>
      </c>
      <c r="E47" t="s">
        <v>493</v>
      </c>
      <c r="F47">
        <v>163</v>
      </c>
      <c r="G47" t="s">
        <v>81</v>
      </c>
      <c r="H47" t="s">
        <v>492</v>
      </c>
      <c r="I47">
        <v>163</v>
      </c>
    </row>
    <row r="48" spans="1:9" x14ac:dyDescent="0.35">
      <c r="A48" t="s">
        <v>487</v>
      </c>
      <c r="B48">
        <v>107843844</v>
      </c>
      <c r="C48" t="s">
        <v>516</v>
      </c>
      <c r="D48" t="s">
        <v>486</v>
      </c>
      <c r="E48" t="s">
        <v>484</v>
      </c>
      <c r="F48">
        <v>281</v>
      </c>
      <c r="G48" t="s">
        <v>60</v>
      </c>
      <c r="H48" t="s">
        <v>492</v>
      </c>
      <c r="I48">
        <v>2726</v>
      </c>
    </row>
    <row r="49" spans="1:9" x14ac:dyDescent="0.35">
      <c r="A49" t="s">
        <v>487</v>
      </c>
      <c r="B49">
        <v>107843844</v>
      </c>
      <c r="C49" t="s">
        <v>516</v>
      </c>
      <c r="D49" t="s">
        <v>486</v>
      </c>
      <c r="E49" t="s">
        <v>484</v>
      </c>
      <c r="F49">
        <v>281</v>
      </c>
      <c r="G49" t="s">
        <v>60</v>
      </c>
      <c r="H49" t="s">
        <v>488</v>
      </c>
      <c r="I49">
        <v>524</v>
      </c>
    </row>
    <row r="50" spans="1:9" x14ac:dyDescent="0.35">
      <c r="A50" t="s">
        <v>487</v>
      </c>
      <c r="B50">
        <v>107843844</v>
      </c>
      <c r="C50" t="s">
        <v>516</v>
      </c>
      <c r="D50" t="s">
        <v>486</v>
      </c>
      <c r="E50" t="s">
        <v>484</v>
      </c>
      <c r="F50">
        <v>281</v>
      </c>
      <c r="G50" t="s">
        <v>60</v>
      </c>
      <c r="H50" t="s">
        <v>489</v>
      </c>
      <c r="I50">
        <v>2202</v>
      </c>
    </row>
    <row r="51" spans="1:9" x14ac:dyDescent="0.35">
      <c r="A51" t="s">
        <v>487</v>
      </c>
      <c r="B51">
        <v>107843844</v>
      </c>
      <c r="C51" t="s">
        <v>516</v>
      </c>
      <c r="D51" t="s">
        <v>486</v>
      </c>
      <c r="E51" t="s">
        <v>484</v>
      </c>
      <c r="F51">
        <v>281</v>
      </c>
      <c r="G51" t="s">
        <v>81</v>
      </c>
      <c r="H51" t="s">
        <v>492</v>
      </c>
      <c r="I51">
        <v>281</v>
      </c>
    </row>
    <row r="52" spans="1:9" x14ac:dyDescent="0.35">
      <c r="A52" t="s">
        <v>487</v>
      </c>
      <c r="B52">
        <v>107229417</v>
      </c>
      <c r="C52" t="s">
        <v>553</v>
      </c>
      <c r="D52" t="s">
        <v>497</v>
      </c>
      <c r="E52" t="s">
        <v>484</v>
      </c>
      <c r="F52">
        <v>105</v>
      </c>
      <c r="G52" t="s">
        <v>60</v>
      </c>
      <c r="H52" t="s">
        <v>492</v>
      </c>
      <c r="I52">
        <v>1194</v>
      </c>
    </row>
    <row r="53" spans="1:9" x14ac:dyDescent="0.35">
      <c r="A53" t="s">
        <v>487</v>
      </c>
      <c r="B53">
        <v>107229417</v>
      </c>
      <c r="C53" t="s">
        <v>553</v>
      </c>
      <c r="D53" t="s">
        <v>497</v>
      </c>
      <c r="E53" t="s">
        <v>484</v>
      </c>
      <c r="F53">
        <v>105</v>
      </c>
      <c r="G53" t="s">
        <v>60</v>
      </c>
      <c r="H53" t="s">
        <v>488</v>
      </c>
      <c r="I53">
        <v>174</v>
      </c>
    </row>
    <row r="54" spans="1:9" x14ac:dyDescent="0.35">
      <c r="A54" t="s">
        <v>487</v>
      </c>
      <c r="B54">
        <v>107229417</v>
      </c>
      <c r="C54" t="s">
        <v>553</v>
      </c>
      <c r="D54" t="s">
        <v>497</v>
      </c>
      <c r="E54" t="s">
        <v>484</v>
      </c>
      <c r="F54">
        <v>105</v>
      </c>
      <c r="G54" t="s">
        <v>60</v>
      </c>
      <c r="H54" t="s">
        <v>489</v>
      </c>
      <c r="I54">
        <v>1020</v>
      </c>
    </row>
    <row r="55" spans="1:9" x14ac:dyDescent="0.35">
      <c r="A55" t="s">
        <v>487</v>
      </c>
      <c r="B55">
        <v>107229417</v>
      </c>
      <c r="C55" t="s">
        <v>553</v>
      </c>
      <c r="D55" t="s">
        <v>497</v>
      </c>
      <c r="E55" t="s">
        <v>484</v>
      </c>
      <c r="F55">
        <v>105</v>
      </c>
      <c r="G55" t="s">
        <v>81</v>
      </c>
      <c r="H55" t="s">
        <v>492</v>
      </c>
      <c r="I55">
        <v>106</v>
      </c>
    </row>
    <row r="56" spans="1:9" x14ac:dyDescent="0.35">
      <c r="A56" t="s">
        <v>487</v>
      </c>
      <c r="B56">
        <v>107741612</v>
      </c>
      <c r="C56" t="s">
        <v>542</v>
      </c>
      <c r="D56" t="s">
        <v>497</v>
      </c>
      <c r="E56" t="s">
        <v>484</v>
      </c>
      <c r="F56">
        <v>284</v>
      </c>
      <c r="G56" t="s">
        <v>60</v>
      </c>
      <c r="H56" t="s">
        <v>492</v>
      </c>
      <c r="I56">
        <v>2834</v>
      </c>
    </row>
    <row r="57" spans="1:9" x14ac:dyDescent="0.35">
      <c r="A57" t="s">
        <v>487</v>
      </c>
      <c r="B57">
        <v>107741612</v>
      </c>
      <c r="C57" t="s">
        <v>542</v>
      </c>
      <c r="D57" t="s">
        <v>497</v>
      </c>
      <c r="E57" t="s">
        <v>484</v>
      </c>
      <c r="F57">
        <v>284</v>
      </c>
      <c r="G57" t="s">
        <v>60</v>
      </c>
      <c r="H57" t="s">
        <v>488</v>
      </c>
      <c r="I57">
        <v>440</v>
      </c>
    </row>
    <row r="58" spans="1:9" x14ac:dyDescent="0.35">
      <c r="A58" t="s">
        <v>487</v>
      </c>
      <c r="B58">
        <v>107741612</v>
      </c>
      <c r="C58" t="s">
        <v>542</v>
      </c>
      <c r="D58" t="s">
        <v>497</v>
      </c>
      <c r="E58" t="s">
        <v>484</v>
      </c>
      <c r="F58">
        <v>284</v>
      </c>
      <c r="G58" t="s">
        <v>60</v>
      </c>
      <c r="H58" t="s">
        <v>489</v>
      </c>
      <c r="I58">
        <v>2394</v>
      </c>
    </row>
    <row r="59" spans="1:9" x14ac:dyDescent="0.35">
      <c r="A59" t="s">
        <v>487</v>
      </c>
      <c r="B59">
        <v>107741612</v>
      </c>
      <c r="C59" t="s">
        <v>542</v>
      </c>
      <c r="D59" t="s">
        <v>497</v>
      </c>
      <c r="E59" t="s">
        <v>484</v>
      </c>
      <c r="F59">
        <v>284</v>
      </c>
      <c r="G59" t="s">
        <v>81</v>
      </c>
      <c r="H59" t="s">
        <v>492</v>
      </c>
      <c r="I59">
        <v>284</v>
      </c>
    </row>
    <row r="60" spans="1:9" x14ac:dyDescent="0.35">
      <c r="A60" t="s">
        <v>487</v>
      </c>
      <c r="B60">
        <v>107232917</v>
      </c>
      <c r="C60" t="s">
        <v>503</v>
      </c>
      <c r="D60" t="s">
        <v>486</v>
      </c>
      <c r="E60" t="s">
        <v>484</v>
      </c>
      <c r="F60">
        <v>177</v>
      </c>
      <c r="G60" t="s">
        <v>60</v>
      </c>
      <c r="H60" t="s">
        <v>492</v>
      </c>
      <c r="I60">
        <v>1425</v>
      </c>
    </row>
    <row r="61" spans="1:9" x14ac:dyDescent="0.35">
      <c r="A61" t="s">
        <v>487</v>
      </c>
      <c r="B61">
        <v>107232917</v>
      </c>
      <c r="C61" t="s">
        <v>503</v>
      </c>
      <c r="D61" t="s">
        <v>486</v>
      </c>
      <c r="E61" t="s">
        <v>484</v>
      </c>
      <c r="F61">
        <v>177</v>
      </c>
      <c r="G61" t="s">
        <v>60</v>
      </c>
      <c r="H61" t="s">
        <v>488</v>
      </c>
      <c r="I61">
        <v>260</v>
      </c>
    </row>
    <row r="62" spans="1:9" x14ac:dyDescent="0.35">
      <c r="A62" t="s">
        <v>487</v>
      </c>
      <c r="B62">
        <v>107232917</v>
      </c>
      <c r="C62" t="s">
        <v>503</v>
      </c>
      <c r="D62" t="s">
        <v>486</v>
      </c>
      <c r="E62" t="s">
        <v>484</v>
      </c>
      <c r="F62">
        <v>177</v>
      </c>
      <c r="G62" t="s">
        <v>60</v>
      </c>
      <c r="H62" t="s">
        <v>489</v>
      </c>
      <c r="I62">
        <v>1165</v>
      </c>
    </row>
    <row r="63" spans="1:9" x14ac:dyDescent="0.35">
      <c r="A63" t="s">
        <v>487</v>
      </c>
      <c r="B63">
        <v>107232917</v>
      </c>
      <c r="C63" t="s">
        <v>503</v>
      </c>
      <c r="D63" t="s">
        <v>486</v>
      </c>
      <c r="E63" t="s">
        <v>484</v>
      </c>
      <c r="F63">
        <v>177</v>
      </c>
      <c r="G63" t="s">
        <v>81</v>
      </c>
      <c r="H63" t="s">
        <v>492</v>
      </c>
      <c r="I63">
        <v>177</v>
      </c>
    </row>
    <row r="64" spans="1:9" x14ac:dyDescent="0.35">
      <c r="A64" t="s">
        <v>487</v>
      </c>
      <c r="B64">
        <v>107843876</v>
      </c>
      <c r="C64" t="s">
        <v>517</v>
      </c>
      <c r="D64" t="s">
        <v>486</v>
      </c>
      <c r="E64" t="s">
        <v>484</v>
      </c>
      <c r="F64">
        <v>333</v>
      </c>
      <c r="G64" t="s">
        <v>60</v>
      </c>
      <c r="H64" t="s">
        <v>492</v>
      </c>
      <c r="I64">
        <v>2561</v>
      </c>
    </row>
    <row r="65" spans="1:9" x14ac:dyDescent="0.35">
      <c r="A65" t="s">
        <v>487</v>
      </c>
      <c r="B65">
        <v>107843876</v>
      </c>
      <c r="C65" t="s">
        <v>517</v>
      </c>
      <c r="D65" t="s">
        <v>486</v>
      </c>
      <c r="E65" t="s">
        <v>484</v>
      </c>
      <c r="F65">
        <v>333</v>
      </c>
      <c r="G65" t="s">
        <v>60</v>
      </c>
      <c r="H65" t="s">
        <v>488</v>
      </c>
      <c r="I65">
        <v>405</v>
      </c>
    </row>
    <row r="66" spans="1:9" x14ac:dyDescent="0.35">
      <c r="A66" t="s">
        <v>487</v>
      </c>
      <c r="B66">
        <v>107843876</v>
      </c>
      <c r="C66" t="s">
        <v>517</v>
      </c>
      <c r="D66" t="s">
        <v>486</v>
      </c>
      <c r="E66" t="s">
        <v>484</v>
      </c>
      <c r="F66">
        <v>333</v>
      </c>
      <c r="G66" t="s">
        <v>60</v>
      </c>
      <c r="H66" t="s">
        <v>489</v>
      </c>
      <c r="I66">
        <v>2156</v>
      </c>
    </row>
    <row r="67" spans="1:9" x14ac:dyDescent="0.35">
      <c r="A67" t="s">
        <v>487</v>
      </c>
      <c r="B67">
        <v>107843876</v>
      </c>
      <c r="C67" t="s">
        <v>517</v>
      </c>
      <c r="D67" t="s">
        <v>486</v>
      </c>
      <c r="E67" t="s">
        <v>484</v>
      </c>
      <c r="F67">
        <v>333</v>
      </c>
      <c r="G67" t="s">
        <v>81</v>
      </c>
      <c r="H67" t="s">
        <v>492</v>
      </c>
      <c r="I67">
        <v>333</v>
      </c>
    </row>
    <row r="68" spans="1:9" x14ac:dyDescent="0.35">
      <c r="A68" t="s">
        <v>487</v>
      </c>
      <c r="B68">
        <v>107221225</v>
      </c>
      <c r="C68" t="s">
        <v>536</v>
      </c>
      <c r="D68" t="s">
        <v>497</v>
      </c>
      <c r="E68" t="s">
        <v>493</v>
      </c>
      <c r="F68">
        <v>325</v>
      </c>
      <c r="G68" t="s">
        <v>60</v>
      </c>
      <c r="H68" t="s">
        <v>492</v>
      </c>
      <c r="I68">
        <v>2883</v>
      </c>
    </row>
    <row r="69" spans="1:9" x14ac:dyDescent="0.35">
      <c r="A69" t="s">
        <v>487</v>
      </c>
      <c r="B69">
        <v>107221225</v>
      </c>
      <c r="C69" t="s">
        <v>536</v>
      </c>
      <c r="D69" t="s">
        <v>497</v>
      </c>
      <c r="E69" t="s">
        <v>493</v>
      </c>
      <c r="F69">
        <v>325</v>
      </c>
      <c r="G69" t="s">
        <v>60</v>
      </c>
      <c r="H69" t="s">
        <v>488</v>
      </c>
      <c r="I69">
        <v>391</v>
      </c>
    </row>
    <row r="70" spans="1:9" x14ac:dyDescent="0.35">
      <c r="A70" t="s">
        <v>487</v>
      </c>
      <c r="B70">
        <v>107221225</v>
      </c>
      <c r="C70" t="s">
        <v>536</v>
      </c>
      <c r="D70" t="s">
        <v>497</v>
      </c>
      <c r="E70" t="s">
        <v>493</v>
      </c>
      <c r="F70">
        <v>325</v>
      </c>
      <c r="G70" t="s">
        <v>60</v>
      </c>
      <c r="H70" t="s">
        <v>489</v>
      </c>
      <c r="I70">
        <v>2488</v>
      </c>
    </row>
    <row r="71" spans="1:9" x14ac:dyDescent="0.35">
      <c r="A71" t="s">
        <v>487</v>
      </c>
      <c r="B71">
        <v>107221225</v>
      </c>
      <c r="C71" t="s">
        <v>536</v>
      </c>
      <c r="D71" t="s">
        <v>497</v>
      </c>
      <c r="E71" t="s">
        <v>493</v>
      </c>
      <c r="F71">
        <v>325</v>
      </c>
      <c r="G71" t="s">
        <v>60</v>
      </c>
      <c r="H71" t="s">
        <v>490</v>
      </c>
      <c r="I71">
        <v>4</v>
      </c>
    </row>
    <row r="72" spans="1:9" x14ac:dyDescent="0.35">
      <c r="A72" t="s">
        <v>487</v>
      </c>
      <c r="B72">
        <v>107221225</v>
      </c>
      <c r="C72" t="s">
        <v>536</v>
      </c>
      <c r="D72" t="s">
        <v>497</v>
      </c>
      <c r="E72" t="s">
        <v>493</v>
      </c>
      <c r="F72">
        <v>325</v>
      </c>
      <c r="G72" t="s">
        <v>81</v>
      </c>
      <c r="H72" t="s">
        <v>492</v>
      </c>
      <c r="I72">
        <v>325</v>
      </c>
    </row>
    <row r="73" spans="1:9" x14ac:dyDescent="0.35">
      <c r="A73" t="s">
        <v>487</v>
      </c>
      <c r="B73">
        <v>107221231</v>
      </c>
      <c r="C73" t="s">
        <v>537</v>
      </c>
      <c r="D73" t="s">
        <v>497</v>
      </c>
      <c r="E73" t="s">
        <v>484</v>
      </c>
      <c r="F73">
        <v>289</v>
      </c>
      <c r="G73" t="s">
        <v>60</v>
      </c>
      <c r="H73" t="s">
        <v>492</v>
      </c>
      <c r="I73">
        <v>2745</v>
      </c>
    </row>
    <row r="74" spans="1:9" x14ac:dyDescent="0.35">
      <c r="A74" t="s">
        <v>487</v>
      </c>
      <c r="B74">
        <v>107221231</v>
      </c>
      <c r="C74" t="s">
        <v>537</v>
      </c>
      <c r="D74" t="s">
        <v>497</v>
      </c>
      <c r="E74" t="s">
        <v>484</v>
      </c>
      <c r="F74">
        <v>289</v>
      </c>
      <c r="G74" t="s">
        <v>60</v>
      </c>
      <c r="H74" t="s">
        <v>488</v>
      </c>
      <c r="I74">
        <v>498</v>
      </c>
    </row>
    <row r="75" spans="1:9" x14ac:dyDescent="0.35">
      <c r="A75" t="s">
        <v>487</v>
      </c>
      <c r="B75">
        <v>107221231</v>
      </c>
      <c r="C75" t="s">
        <v>537</v>
      </c>
      <c r="D75" t="s">
        <v>497</v>
      </c>
      <c r="E75" t="s">
        <v>484</v>
      </c>
      <c r="F75">
        <v>289</v>
      </c>
      <c r="G75" t="s">
        <v>60</v>
      </c>
      <c r="H75" t="s">
        <v>489</v>
      </c>
      <c r="I75">
        <v>2247</v>
      </c>
    </row>
    <row r="76" spans="1:9" x14ac:dyDescent="0.35">
      <c r="A76" t="s">
        <v>487</v>
      </c>
      <c r="B76">
        <v>107221231</v>
      </c>
      <c r="C76" t="s">
        <v>537</v>
      </c>
      <c r="D76" t="s">
        <v>497</v>
      </c>
      <c r="E76" t="s">
        <v>484</v>
      </c>
      <c r="F76">
        <v>289</v>
      </c>
      <c r="G76" t="s">
        <v>81</v>
      </c>
      <c r="H76" t="s">
        <v>492</v>
      </c>
      <c r="I76">
        <v>289</v>
      </c>
    </row>
    <row r="77" spans="1:9" x14ac:dyDescent="0.35">
      <c r="A77" t="s">
        <v>487</v>
      </c>
      <c r="B77">
        <v>107826201</v>
      </c>
      <c r="C77" t="s">
        <v>514</v>
      </c>
      <c r="D77" t="s">
        <v>497</v>
      </c>
      <c r="E77" t="s">
        <v>493</v>
      </c>
      <c r="F77">
        <v>261</v>
      </c>
      <c r="G77" t="s">
        <v>60</v>
      </c>
      <c r="H77" t="s">
        <v>492</v>
      </c>
      <c r="I77">
        <v>1655</v>
      </c>
    </row>
    <row r="78" spans="1:9" x14ac:dyDescent="0.35">
      <c r="A78" t="s">
        <v>487</v>
      </c>
      <c r="B78">
        <v>107826201</v>
      </c>
      <c r="C78" t="s">
        <v>514</v>
      </c>
      <c r="D78" t="s">
        <v>497</v>
      </c>
      <c r="E78" t="s">
        <v>493</v>
      </c>
      <c r="F78">
        <v>261</v>
      </c>
      <c r="G78" t="s">
        <v>60</v>
      </c>
      <c r="H78" t="s">
        <v>488</v>
      </c>
      <c r="I78">
        <v>126</v>
      </c>
    </row>
    <row r="79" spans="1:9" x14ac:dyDescent="0.35">
      <c r="A79" t="s">
        <v>487</v>
      </c>
      <c r="B79">
        <v>107826201</v>
      </c>
      <c r="C79" t="s">
        <v>514</v>
      </c>
      <c r="D79" t="s">
        <v>497</v>
      </c>
      <c r="E79" t="s">
        <v>493</v>
      </c>
      <c r="F79">
        <v>261</v>
      </c>
      <c r="G79" t="s">
        <v>60</v>
      </c>
      <c r="H79" t="s">
        <v>489</v>
      </c>
      <c r="I79">
        <v>1517</v>
      </c>
    </row>
    <row r="80" spans="1:9" x14ac:dyDescent="0.35">
      <c r="A80" t="s">
        <v>487</v>
      </c>
      <c r="B80">
        <v>107826201</v>
      </c>
      <c r="C80" t="s">
        <v>514</v>
      </c>
      <c r="D80" t="s">
        <v>497</v>
      </c>
      <c r="E80" t="s">
        <v>493</v>
      </c>
      <c r="F80">
        <v>261</v>
      </c>
      <c r="G80" t="s">
        <v>60</v>
      </c>
      <c r="H80" t="s">
        <v>490</v>
      </c>
      <c r="I80">
        <v>12</v>
      </c>
    </row>
    <row r="81" spans="1:9" x14ac:dyDescent="0.35">
      <c r="A81" t="s">
        <v>487</v>
      </c>
      <c r="B81">
        <v>107826201</v>
      </c>
      <c r="C81" t="s">
        <v>514</v>
      </c>
      <c r="D81" t="s">
        <v>497</v>
      </c>
      <c r="E81" t="s">
        <v>493</v>
      </c>
      <c r="F81">
        <v>261</v>
      </c>
      <c r="G81" t="s">
        <v>81</v>
      </c>
      <c r="H81" t="s">
        <v>492</v>
      </c>
      <c r="I81">
        <v>261</v>
      </c>
    </row>
    <row r="82" spans="1:9" x14ac:dyDescent="0.35">
      <c r="A82" t="s">
        <v>487</v>
      </c>
      <c r="B82">
        <v>107232968</v>
      </c>
      <c r="C82" t="s">
        <v>528</v>
      </c>
      <c r="D82" t="s">
        <v>486</v>
      </c>
      <c r="E82" t="s">
        <v>484</v>
      </c>
      <c r="F82">
        <v>204</v>
      </c>
      <c r="G82" t="s">
        <v>60</v>
      </c>
      <c r="H82" t="s">
        <v>492</v>
      </c>
      <c r="I82">
        <v>2362</v>
      </c>
    </row>
    <row r="83" spans="1:9" x14ac:dyDescent="0.35">
      <c r="A83" t="s">
        <v>487</v>
      </c>
      <c r="B83">
        <v>107232968</v>
      </c>
      <c r="C83" t="s">
        <v>528</v>
      </c>
      <c r="D83" t="s">
        <v>486</v>
      </c>
      <c r="E83" t="s">
        <v>484</v>
      </c>
      <c r="F83">
        <v>204</v>
      </c>
      <c r="G83" t="s">
        <v>60</v>
      </c>
      <c r="H83" t="s">
        <v>488</v>
      </c>
      <c r="I83">
        <v>942</v>
      </c>
    </row>
    <row r="84" spans="1:9" x14ac:dyDescent="0.35">
      <c r="A84" t="s">
        <v>487</v>
      </c>
      <c r="B84">
        <v>107232968</v>
      </c>
      <c r="C84" t="s">
        <v>528</v>
      </c>
      <c r="D84" t="s">
        <v>486</v>
      </c>
      <c r="E84" t="s">
        <v>484</v>
      </c>
      <c r="F84">
        <v>204</v>
      </c>
      <c r="G84" t="s">
        <v>60</v>
      </c>
      <c r="H84" t="s">
        <v>489</v>
      </c>
      <c r="I84">
        <v>1420</v>
      </c>
    </row>
    <row r="85" spans="1:9" x14ac:dyDescent="0.35">
      <c r="A85" t="s">
        <v>487</v>
      </c>
      <c r="B85">
        <v>107232968</v>
      </c>
      <c r="C85" t="s">
        <v>528</v>
      </c>
      <c r="D85" t="s">
        <v>486</v>
      </c>
      <c r="E85" t="s">
        <v>484</v>
      </c>
      <c r="F85">
        <v>204</v>
      </c>
      <c r="G85" t="s">
        <v>81</v>
      </c>
      <c r="H85" t="s">
        <v>492</v>
      </c>
      <c r="I85">
        <v>204</v>
      </c>
    </row>
    <row r="86" spans="1:9" x14ac:dyDescent="0.35">
      <c r="A86" t="s">
        <v>487</v>
      </c>
      <c r="B86">
        <v>107233200</v>
      </c>
      <c r="C86" t="s">
        <v>506</v>
      </c>
      <c r="D86" t="s">
        <v>486</v>
      </c>
      <c r="E86" t="s">
        <v>484</v>
      </c>
      <c r="F86">
        <v>286</v>
      </c>
      <c r="G86" t="s">
        <v>60</v>
      </c>
      <c r="H86" t="s">
        <v>492</v>
      </c>
      <c r="I86">
        <v>5894</v>
      </c>
    </row>
    <row r="87" spans="1:9" x14ac:dyDescent="0.35">
      <c r="A87" t="s">
        <v>487</v>
      </c>
      <c r="B87">
        <v>107233200</v>
      </c>
      <c r="C87" t="s">
        <v>506</v>
      </c>
      <c r="D87" t="s">
        <v>486</v>
      </c>
      <c r="E87" t="s">
        <v>484</v>
      </c>
      <c r="F87">
        <v>286</v>
      </c>
      <c r="G87" t="s">
        <v>60</v>
      </c>
      <c r="H87" t="s">
        <v>488</v>
      </c>
      <c r="I87">
        <v>3841</v>
      </c>
    </row>
    <row r="88" spans="1:9" x14ac:dyDescent="0.35">
      <c r="A88" t="s">
        <v>487</v>
      </c>
      <c r="B88">
        <v>107233200</v>
      </c>
      <c r="C88" t="s">
        <v>506</v>
      </c>
      <c r="D88" t="s">
        <v>486</v>
      </c>
      <c r="E88" t="s">
        <v>484</v>
      </c>
      <c r="F88">
        <v>286</v>
      </c>
      <c r="G88" t="s">
        <v>60</v>
      </c>
      <c r="H88" t="s">
        <v>489</v>
      </c>
      <c r="I88">
        <v>2047</v>
      </c>
    </row>
    <row r="89" spans="1:9" x14ac:dyDescent="0.35">
      <c r="A89" t="s">
        <v>487</v>
      </c>
      <c r="B89">
        <v>107233200</v>
      </c>
      <c r="C89" t="s">
        <v>506</v>
      </c>
      <c r="D89" t="s">
        <v>486</v>
      </c>
      <c r="E89" t="s">
        <v>484</v>
      </c>
      <c r="F89">
        <v>286</v>
      </c>
      <c r="G89" t="s">
        <v>60</v>
      </c>
      <c r="H89" t="s">
        <v>490</v>
      </c>
      <c r="I89">
        <v>6</v>
      </c>
    </row>
    <row r="90" spans="1:9" x14ac:dyDescent="0.35">
      <c r="A90" t="s">
        <v>487</v>
      </c>
      <c r="B90">
        <v>107233200</v>
      </c>
      <c r="C90" t="s">
        <v>506</v>
      </c>
      <c r="D90" t="s">
        <v>486</v>
      </c>
      <c r="E90" t="s">
        <v>484</v>
      </c>
      <c r="F90">
        <v>286</v>
      </c>
      <c r="G90" t="s">
        <v>81</v>
      </c>
      <c r="H90" t="s">
        <v>492</v>
      </c>
      <c r="I90">
        <v>286</v>
      </c>
    </row>
    <row r="91" spans="1:9" x14ac:dyDescent="0.35">
      <c r="A91" t="s">
        <v>487</v>
      </c>
      <c r="B91">
        <v>104378003</v>
      </c>
      <c r="C91" t="s">
        <v>495</v>
      </c>
      <c r="D91" t="s">
        <v>486</v>
      </c>
      <c r="E91" t="s">
        <v>484</v>
      </c>
      <c r="F91">
        <v>230</v>
      </c>
      <c r="G91" t="s">
        <v>60</v>
      </c>
      <c r="H91" t="s">
        <v>492</v>
      </c>
      <c r="I91">
        <v>2510</v>
      </c>
    </row>
    <row r="92" spans="1:9" x14ac:dyDescent="0.35">
      <c r="A92" t="s">
        <v>487</v>
      </c>
      <c r="B92">
        <v>104378003</v>
      </c>
      <c r="C92" t="s">
        <v>495</v>
      </c>
      <c r="D92" t="s">
        <v>486</v>
      </c>
      <c r="E92" t="s">
        <v>484</v>
      </c>
      <c r="F92">
        <v>230</v>
      </c>
      <c r="G92" t="s">
        <v>60</v>
      </c>
      <c r="H92" t="s">
        <v>488</v>
      </c>
      <c r="I92">
        <v>436</v>
      </c>
    </row>
    <row r="93" spans="1:9" x14ac:dyDescent="0.35">
      <c r="A93" t="s">
        <v>487</v>
      </c>
      <c r="B93">
        <v>104378003</v>
      </c>
      <c r="C93" t="s">
        <v>495</v>
      </c>
      <c r="D93" t="s">
        <v>486</v>
      </c>
      <c r="E93" t="s">
        <v>484</v>
      </c>
      <c r="F93">
        <v>230</v>
      </c>
      <c r="G93" t="s">
        <v>60</v>
      </c>
      <c r="H93" t="s">
        <v>489</v>
      </c>
      <c r="I93">
        <v>2074</v>
      </c>
    </row>
    <row r="94" spans="1:9" x14ac:dyDescent="0.35">
      <c r="A94" t="s">
        <v>487</v>
      </c>
      <c r="B94">
        <v>104378003</v>
      </c>
      <c r="C94" t="s">
        <v>495</v>
      </c>
      <c r="D94" t="s">
        <v>486</v>
      </c>
      <c r="E94" t="s">
        <v>484</v>
      </c>
      <c r="F94">
        <v>230</v>
      </c>
      <c r="G94" t="s">
        <v>81</v>
      </c>
      <c r="H94" t="s">
        <v>492</v>
      </c>
      <c r="I94">
        <v>230</v>
      </c>
    </row>
    <row r="95" spans="1:9" x14ac:dyDescent="0.35">
      <c r="A95" t="s">
        <v>487</v>
      </c>
      <c r="B95">
        <v>107907397</v>
      </c>
      <c r="C95" t="s">
        <v>547</v>
      </c>
      <c r="D95" t="s">
        <v>497</v>
      </c>
      <c r="E95" t="s">
        <v>493</v>
      </c>
      <c r="F95">
        <v>212</v>
      </c>
      <c r="G95" t="s">
        <v>60</v>
      </c>
      <c r="H95" t="s">
        <v>492</v>
      </c>
      <c r="I95">
        <v>1685</v>
      </c>
    </row>
    <row r="96" spans="1:9" x14ac:dyDescent="0.35">
      <c r="A96" t="s">
        <v>487</v>
      </c>
      <c r="B96">
        <v>107907397</v>
      </c>
      <c r="C96" t="s">
        <v>547</v>
      </c>
      <c r="D96" t="s">
        <v>497</v>
      </c>
      <c r="E96" t="s">
        <v>493</v>
      </c>
      <c r="F96">
        <v>212</v>
      </c>
      <c r="G96" t="s">
        <v>60</v>
      </c>
      <c r="H96" t="s">
        <v>488</v>
      </c>
      <c r="I96">
        <v>225</v>
      </c>
    </row>
    <row r="97" spans="1:9" x14ac:dyDescent="0.35">
      <c r="A97" t="s">
        <v>487</v>
      </c>
      <c r="B97">
        <v>107907397</v>
      </c>
      <c r="C97" t="s">
        <v>547</v>
      </c>
      <c r="D97" t="s">
        <v>497</v>
      </c>
      <c r="E97" t="s">
        <v>493</v>
      </c>
      <c r="F97">
        <v>212</v>
      </c>
      <c r="G97" t="s">
        <v>60</v>
      </c>
      <c r="H97" t="s">
        <v>489</v>
      </c>
      <c r="I97">
        <v>1460</v>
      </c>
    </row>
    <row r="98" spans="1:9" x14ac:dyDescent="0.35">
      <c r="A98" t="s">
        <v>487</v>
      </c>
      <c r="B98">
        <v>107907397</v>
      </c>
      <c r="C98" t="s">
        <v>547</v>
      </c>
      <c r="D98" t="s">
        <v>497</v>
      </c>
      <c r="E98" t="s">
        <v>493</v>
      </c>
      <c r="F98">
        <v>212</v>
      </c>
      <c r="G98" t="s">
        <v>81</v>
      </c>
      <c r="H98" t="s">
        <v>492</v>
      </c>
      <c r="I98">
        <v>212</v>
      </c>
    </row>
    <row r="99" spans="1:9" x14ac:dyDescent="0.35">
      <c r="A99" t="s">
        <v>487</v>
      </c>
      <c r="B99">
        <v>106036051</v>
      </c>
      <c r="C99" t="s">
        <v>560</v>
      </c>
      <c r="D99" t="s">
        <v>486</v>
      </c>
      <c r="E99" t="s">
        <v>484</v>
      </c>
      <c r="F99">
        <v>9</v>
      </c>
      <c r="G99" t="s">
        <v>60</v>
      </c>
      <c r="H99" t="s">
        <v>492</v>
      </c>
      <c r="I99">
        <v>156</v>
      </c>
    </row>
    <row r="100" spans="1:9" x14ac:dyDescent="0.35">
      <c r="A100" t="s">
        <v>487</v>
      </c>
      <c r="B100">
        <v>106036051</v>
      </c>
      <c r="C100" t="s">
        <v>560</v>
      </c>
      <c r="D100" t="s">
        <v>486</v>
      </c>
      <c r="E100" t="s">
        <v>484</v>
      </c>
      <c r="F100">
        <v>9</v>
      </c>
      <c r="G100" t="s">
        <v>81</v>
      </c>
      <c r="H100" t="s">
        <v>492</v>
      </c>
      <c r="I100">
        <v>9</v>
      </c>
    </row>
    <row r="101" spans="1:9" x14ac:dyDescent="0.35">
      <c r="A101" t="s">
        <v>487</v>
      </c>
      <c r="B101">
        <v>106686591</v>
      </c>
      <c r="C101" t="s">
        <v>587</v>
      </c>
      <c r="D101" t="s">
        <v>486</v>
      </c>
      <c r="E101" t="s">
        <v>493</v>
      </c>
      <c r="F101">
        <v>171</v>
      </c>
      <c r="G101" t="s">
        <v>60</v>
      </c>
      <c r="H101" t="s">
        <v>492</v>
      </c>
      <c r="I101">
        <v>1683</v>
      </c>
    </row>
    <row r="102" spans="1:9" x14ac:dyDescent="0.35">
      <c r="A102" t="s">
        <v>487</v>
      </c>
      <c r="B102">
        <v>106686591</v>
      </c>
      <c r="C102" t="s">
        <v>587</v>
      </c>
      <c r="D102" t="s">
        <v>486</v>
      </c>
      <c r="E102" t="s">
        <v>493</v>
      </c>
      <c r="F102">
        <v>171</v>
      </c>
      <c r="G102" t="s">
        <v>60</v>
      </c>
      <c r="H102" t="s">
        <v>488</v>
      </c>
      <c r="I102">
        <v>464</v>
      </c>
    </row>
    <row r="103" spans="1:9" x14ac:dyDescent="0.35">
      <c r="A103" t="s">
        <v>487</v>
      </c>
      <c r="B103">
        <v>106686591</v>
      </c>
      <c r="C103" t="s">
        <v>587</v>
      </c>
      <c r="D103" t="s">
        <v>486</v>
      </c>
      <c r="E103" t="s">
        <v>493</v>
      </c>
      <c r="F103">
        <v>171</v>
      </c>
      <c r="G103" t="s">
        <v>60</v>
      </c>
      <c r="H103" t="s">
        <v>489</v>
      </c>
      <c r="I103">
        <v>1210</v>
      </c>
    </row>
    <row r="104" spans="1:9" x14ac:dyDescent="0.35">
      <c r="A104" t="s">
        <v>487</v>
      </c>
      <c r="B104">
        <v>106686591</v>
      </c>
      <c r="C104" t="s">
        <v>587</v>
      </c>
      <c r="D104" t="s">
        <v>486</v>
      </c>
      <c r="E104" t="s">
        <v>493</v>
      </c>
      <c r="F104">
        <v>171</v>
      </c>
      <c r="G104" t="s">
        <v>60</v>
      </c>
      <c r="H104" t="s">
        <v>490</v>
      </c>
      <c r="I104">
        <v>9</v>
      </c>
    </row>
    <row r="105" spans="1:9" x14ac:dyDescent="0.35">
      <c r="A105" t="s">
        <v>487</v>
      </c>
      <c r="B105">
        <v>106686591</v>
      </c>
      <c r="C105" t="s">
        <v>587</v>
      </c>
      <c r="D105" t="s">
        <v>486</v>
      </c>
      <c r="E105" t="s">
        <v>493</v>
      </c>
      <c r="F105">
        <v>171</v>
      </c>
      <c r="G105" t="s">
        <v>81</v>
      </c>
      <c r="H105" t="s">
        <v>492</v>
      </c>
      <c r="I105">
        <v>171</v>
      </c>
    </row>
    <row r="106" spans="1:9" x14ac:dyDescent="0.35">
      <c r="A106" t="s">
        <v>487</v>
      </c>
      <c r="B106">
        <v>107824169</v>
      </c>
      <c r="C106" t="s">
        <v>546</v>
      </c>
      <c r="D106" t="s">
        <v>497</v>
      </c>
      <c r="E106" t="s">
        <v>493</v>
      </c>
      <c r="F106">
        <v>344</v>
      </c>
      <c r="G106" t="s">
        <v>60</v>
      </c>
      <c r="H106" t="s">
        <v>492</v>
      </c>
      <c r="I106">
        <v>3188</v>
      </c>
    </row>
    <row r="107" spans="1:9" x14ac:dyDescent="0.35">
      <c r="A107" t="s">
        <v>487</v>
      </c>
      <c r="B107">
        <v>107824169</v>
      </c>
      <c r="C107" t="s">
        <v>546</v>
      </c>
      <c r="D107" t="s">
        <v>497</v>
      </c>
      <c r="E107" t="s">
        <v>493</v>
      </c>
      <c r="F107">
        <v>344</v>
      </c>
      <c r="G107" t="s">
        <v>60</v>
      </c>
      <c r="H107" t="s">
        <v>488</v>
      </c>
      <c r="I107">
        <v>648</v>
      </c>
    </row>
    <row r="108" spans="1:9" x14ac:dyDescent="0.35">
      <c r="A108" t="s">
        <v>487</v>
      </c>
      <c r="B108">
        <v>107824169</v>
      </c>
      <c r="C108" t="s">
        <v>546</v>
      </c>
      <c r="D108" t="s">
        <v>497</v>
      </c>
      <c r="E108" t="s">
        <v>493</v>
      </c>
      <c r="F108">
        <v>344</v>
      </c>
      <c r="G108" t="s">
        <v>60</v>
      </c>
      <c r="H108" t="s">
        <v>489</v>
      </c>
      <c r="I108">
        <v>2540</v>
      </c>
    </row>
    <row r="109" spans="1:9" x14ac:dyDescent="0.35">
      <c r="A109" t="s">
        <v>487</v>
      </c>
      <c r="B109">
        <v>107824169</v>
      </c>
      <c r="C109" t="s">
        <v>546</v>
      </c>
      <c r="D109" t="s">
        <v>497</v>
      </c>
      <c r="E109" t="s">
        <v>493</v>
      </c>
      <c r="F109">
        <v>344</v>
      </c>
      <c r="G109" t="s">
        <v>81</v>
      </c>
      <c r="H109" t="s">
        <v>492</v>
      </c>
      <c r="I109">
        <v>344</v>
      </c>
    </row>
    <row r="110" spans="1:9" x14ac:dyDescent="0.35">
      <c r="A110" t="s">
        <v>487</v>
      </c>
      <c r="B110">
        <v>107826193</v>
      </c>
      <c r="C110" t="s">
        <v>513</v>
      </c>
      <c r="D110" t="s">
        <v>497</v>
      </c>
      <c r="E110" t="s">
        <v>493</v>
      </c>
      <c r="F110">
        <v>45</v>
      </c>
      <c r="G110" t="s">
        <v>60</v>
      </c>
      <c r="H110" t="s">
        <v>492</v>
      </c>
      <c r="I110">
        <v>244</v>
      </c>
    </row>
    <row r="111" spans="1:9" x14ac:dyDescent="0.35">
      <c r="A111" t="s">
        <v>487</v>
      </c>
      <c r="B111">
        <v>107826193</v>
      </c>
      <c r="C111" t="s">
        <v>513</v>
      </c>
      <c r="D111" t="s">
        <v>497</v>
      </c>
      <c r="E111" t="s">
        <v>493</v>
      </c>
      <c r="F111">
        <v>45</v>
      </c>
      <c r="G111" t="s">
        <v>60</v>
      </c>
      <c r="H111" t="s">
        <v>488</v>
      </c>
      <c r="I111">
        <v>56</v>
      </c>
    </row>
    <row r="112" spans="1:9" x14ac:dyDescent="0.35">
      <c r="A112" t="s">
        <v>487</v>
      </c>
      <c r="B112">
        <v>107826193</v>
      </c>
      <c r="C112" t="s">
        <v>513</v>
      </c>
      <c r="D112" t="s">
        <v>497</v>
      </c>
      <c r="E112" t="s">
        <v>493</v>
      </c>
      <c r="F112">
        <v>45</v>
      </c>
      <c r="G112" t="s">
        <v>60</v>
      </c>
      <c r="H112" t="s">
        <v>489</v>
      </c>
      <c r="I112">
        <v>188</v>
      </c>
    </row>
    <row r="113" spans="1:9" x14ac:dyDescent="0.35">
      <c r="A113" t="s">
        <v>487</v>
      </c>
      <c r="B113">
        <v>107826193</v>
      </c>
      <c r="C113" t="s">
        <v>513</v>
      </c>
      <c r="D113" t="s">
        <v>497</v>
      </c>
      <c r="E113" t="s">
        <v>493</v>
      </c>
      <c r="F113">
        <v>45</v>
      </c>
      <c r="G113" t="s">
        <v>81</v>
      </c>
      <c r="H113" t="s">
        <v>492</v>
      </c>
      <c r="I113">
        <v>45</v>
      </c>
    </row>
    <row r="114" spans="1:9" x14ac:dyDescent="0.35">
      <c r="A114" t="s">
        <v>487</v>
      </c>
      <c r="B114">
        <v>107741579</v>
      </c>
      <c r="C114" t="s">
        <v>541</v>
      </c>
      <c r="D114" t="s">
        <v>497</v>
      </c>
      <c r="E114" t="s">
        <v>484</v>
      </c>
      <c r="F114">
        <v>248</v>
      </c>
      <c r="G114" t="s">
        <v>60</v>
      </c>
      <c r="H114" t="s">
        <v>492</v>
      </c>
      <c r="I114">
        <v>2448</v>
      </c>
    </row>
    <row r="115" spans="1:9" x14ac:dyDescent="0.35">
      <c r="A115" t="s">
        <v>487</v>
      </c>
      <c r="B115">
        <v>107741579</v>
      </c>
      <c r="C115" t="s">
        <v>541</v>
      </c>
      <c r="D115" t="s">
        <v>497</v>
      </c>
      <c r="E115" t="s">
        <v>484</v>
      </c>
      <c r="F115">
        <v>248</v>
      </c>
      <c r="G115" t="s">
        <v>60</v>
      </c>
      <c r="H115" t="s">
        <v>488</v>
      </c>
      <c r="I115">
        <v>185</v>
      </c>
    </row>
    <row r="116" spans="1:9" x14ac:dyDescent="0.35">
      <c r="A116" t="s">
        <v>487</v>
      </c>
      <c r="B116">
        <v>107741579</v>
      </c>
      <c r="C116" t="s">
        <v>541</v>
      </c>
      <c r="D116" t="s">
        <v>497</v>
      </c>
      <c r="E116" t="s">
        <v>484</v>
      </c>
      <c r="F116">
        <v>248</v>
      </c>
      <c r="G116" t="s">
        <v>60</v>
      </c>
      <c r="H116" t="s">
        <v>489</v>
      </c>
      <c r="I116">
        <v>2263</v>
      </c>
    </row>
    <row r="117" spans="1:9" x14ac:dyDescent="0.35">
      <c r="A117" t="s">
        <v>487</v>
      </c>
      <c r="B117">
        <v>107741579</v>
      </c>
      <c r="C117" t="s">
        <v>541</v>
      </c>
      <c r="D117" t="s">
        <v>497</v>
      </c>
      <c r="E117" t="s">
        <v>484</v>
      </c>
      <c r="F117">
        <v>248</v>
      </c>
      <c r="G117" t="s">
        <v>81</v>
      </c>
      <c r="H117" t="s">
        <v>492</v>
      </c>
      <c r="I117">
        <v>248</v>
      </c>
    </row>
    <row r="118" spans="1:9" x14ac:dyDescent="0.35">
      <c r="A118" t="s">
        <v>487</v>
      </c>
      <c r="B118">
        <v>101446428</v>
      </c>
      <c r="C118" t="s">
        <v>531</v>
      </c>
      <c r="D118" t="s">
        <v>497</v>
      </c>
      <c r="E118" t="s">
        <v>493</v>
      </c>
      <c r="F118">
        <v>99</v>
      </c>
      <c r="G118" t="s">
        <v>60</v>
      </c>
      <c r="H118" t="s">
        <v>492</v>
      </c>
      <c r="I118">
        <v>1345</v>
      </c>
    </row>
    <row r="119" spans="1:9" x14ac:dyDescent="0.35">
      <c r="A119" t="s">
        <v>487</v>
      </c>
      <c r="B119">
        <v>101446428</v>
      </c>
      <c r="C119" t="s">
        <v>531</v>
      </c>
      <c r="D119" t="s">
        <v>497</v>
      </c>
      <c r="E119" t="s">
        <v>493</v>
      </c>
      <c r="F119">
        <v>99</v>
      </c>
      <c r="G119" t="s">
        <v>60</v>
      </c>
      <c r="H119" t="s">
        <v>488</v>
      </c>
      <c r="I119">
        <v>202</v>
      </c>
    </row>
    <row r="120" spans="1:9" x14ac:dyDescent="0.35">
      <c r="A120" t="s">
        <v>487</v>
      </c>
      <c r="B120">
        <v>101446428</v>
      </c>
      <c r="C120" t="s">
        <v>531</v>
      </c>
      <c r="D120" t="s">
        <v>497</v>
      </c>
      <c r="E120" t="s">
        <v>493</v>
      </c>
      <c r="F120">
        <v>99</v>
      </c>
      <c r="G120" t="s">
        <v>60</v>
      </c>
      <c r="H120" t="s">
        <v>489</v>
      </c>
      <c r="I120">
        <v>1143</v>
      </c>
    </row>
    <row r="121" spans="1:9" x14ac:dyDescent="0.35">
      <c r="A121" t="s">
        <v>487</v>
      </c>
      <c r="B121">
        <v>101446428</v>
      </c>
      <c r="C121" t="s">
        <v>531</v>
      </c>
      <c r="D121" t="s">
        <v>497</v>
      </c>
      <c r="E121" t="s">
        <v>493</v>
      </c>
      <c r="F121">
        <v>99</v>
      </c>
      <c r="G121" t="s">
        <v>81</v>
      </c>
      <c r="H121" t="s">
        <v>492</v>
      </c>
      <c r="I121">
        <v>99</v>
      </c>
    </row>
    <row r="122" spans="1:9" x14ac:dyDescent="0.35">
      <c r="A122" t="s">
        <v>487</v>
      </c>
      <c r="B122">
        <v>100633196</v>
      </c>
      <c r="C122" t="s">
        <v>530</v>
      </c>
      <c r="D122" t="s">
        <v>497</v>
      </c>
      <c r="E122" t="s">
        <v>493</v>
      </c>
      <c r="F122">
        <v>87</v>
      </c>
      <c r="G122" t="s">
        <v>60</v>
      </c>
      <c r="H122" t="s">
        <v>492</v>
      </c>
      <c r="I122">
        <v>817</v>
      </c>
    </row>
    <row r="123" spans="1:9" x14ac:dyDescent="0.35">
      <c r="A123" t="s">
        <v>487</v>
      </c>
      <c r="B123">
        <v>100633196</v>
      </c>
      <c r="C123" t="s">
        <v>530</v>
      </c>
      <c r="D123" t="s">
        <v>497</v>
      </c>
      <c r="E123" t="s">
        <v>493</v>
      </c>
      <c r="F123">
        <v>87</v>
      </c>
      <c r="G123" t="s">
        <v>60</v>
      </c>
      <c r="H123" t="s">
        <v>488</v>
      </c>
      <c r="I123">
        <v>93</v>
      </c>
    </row>
    <row r="124" spans="1:9" x14ac:dyDescent="0.35">
      <c r="A124" t="s">
        <v>487</v>
      </c>
      <c r="B124">
        <v>100633196</v>
      </c>
      <c r="C124" t="s">
        <v>530</v>
      </c>
      <c r="D124" t="s">
        <v>497</v>
      </c>
      <c r="E124" t="s">
        <v>493</v>
      </c>
      <c r="F124">
        <v>87</v>
      </c>
      <c r="G124" t="s">
        <v>60</v>
      </c>
      <c r="H124" t="s">
        <v>489</v>
      </c>
      <c r="I124">
        <v>724</v>
      </c>
    </row>
    <row r="125" spans="1:9" x14ac:dyDescent="0.35">
      <c r="A125" t="s">
        <v>487</v>
      </c>
      <c r="B125">
        <v>100633196</v>
      </c>
      <c r="C125" t="s">
        <v>530</v>
      </c>
      <c r="D125" t="s">
        <v>497</v>
      </c>
      <c r="E125" t="s">
        <v>493</v>
      </c>
      <c r="F125">
        <v>87</v>
      </c>
      <c r="G125" t="s">
        <v>81</v>
      </c>
      <c r="H125" t="s">
        <v>492</v>
      </c>
      <c r="I125">
        <v>87</v>
      </c>
    </row>
    <row r="126" spans="1:9" x14ac:dyDescent="0.35">
      <c r="A126" t="s">
        <v>487</v>
      </c>
      <c r="B126">
        <v>107232971</v>
      </c>
      <c r="C126" t="s">
        <v>504</v>
      </c>
      <c r="D126" t="s">
        <v>486</v>
      </c>
      <c r="E126" t="s">
        <v>484</v>
      </c>
      <c r="F126">
        <v>287</v>
      </c>
      <c r="G126" t="s">
        <v>60</v>
      </c>
      <c r="H126" t="s">
        <v>492</v>
      </c>
      <c r="I126">
        <v>3116</v>
      </c>
    </row>
    <row r="127" spans="1:9" x14ac:dyDescent="0.35">
      <c r="A127" t="s">
        <v>487</v>
      </c>
      <c r="B127">
        <v>107232971</v>
      </c>
      <c r="C127" t="s">
        <v>504</v>
      </c>
      <c r="D127" t="s">
        <v>486</v>
      </c>
      <c r="E127" t="s">
        <v>484</v>
      </c>
      <c r="F127">
        <v>287</v>
      </c>
      <c r="G127" t="s">
        <v>60</v>
      </c>
      <c r="H127" t="s">
        <v>488</v>
      </c>
      <c r="I127">
        <v>712</v>
      </c>
    </row>
    <row r="128" spans="1:9" x14ac:dyDescent="0.35">
      <c r="A128" t="s">
        <v>487</v>
      </c>
      <c r="B128">
        <v>107232971</v>
      </c>
      <c r="C128" t="s">
        <v>504</v>
      </c>
      <c r="D128" t="s">
        <v>486</v>
      </c>
      <c r="E128" t="s">
        <v>484</v>
      </c>
      <c r="F128">
        <v>287</v>
      </c>
      <c r="G128" t="s">
        <v>60</v>
      </c>
      <c r="H128" t="s">
        <v>489</v>
      </c>
      <c r="I128">
        <v>2404</v>
      </c>
    </row>
    <row r="129" spans="1:9" x14ac:dyDescent="0.35">
      <c r="A129" t="s">
        <v>487</v>
      </c>
      <c r="B129">
        <v>107232971</v>
      </c>
      <c r="C129" t="s">
        <v>504</v>
      </c>
      <c r="D129" t="s">
        <v>486</v>
      </c>
      <c r="E129" t="s">
        <v>484</v>
      </c>
      <c r="F129">
        <v>287</v>
      </c>
      <c r="G129" t="s">
        <v>81</v>
      </c>
      <c r="H129" t="s">
        <v>492</v>
      </c>
      <c r="I129">
        <v>287</v>
      </c>
    </row>
    <row r="130" spans="1:9" x14ac:dyDescent="0.35">
      <c r="A130" t="s">
        <v>487</v>
      </c>
      <c r="B130">
        <v>107826202</v>
      </c>
      <c r="C130" t="s">
        <v>590</v>
      </c>
      <c r="D130" t="s">
        <v>497</v>
      </c>
      <c r="E130" t="s">
        <v>484</v>
      </c>
      <c r="F130">
        <v>5</v>
      </c>
      <c r="G130" t="s">
        <v>60</v>
      </c>
      <c r="H130" t="s">
        <v>492</v>
      </c>
      <c r="I130">
        <v>50</v>
      </c>
    </row>
    <row r="131" spans="1:9" x14ac:dyDescent="0.35">
      <c r="A131" t="s">
        <v>487</v>
      </c>
      <c r="B131">
        <v>107826202</v>
      </c>
      <c r="C131" t="s">
        <v>590</v>
      </c>
      <c r="D131" t="s">
        <v>497</v>
      </c>
      <c r="E131" t="s">
        <v>484</v>
      </c>
      <c r="F131">
        <v>5</v>
      </c>
      <c r="G131" t="s">
        <v>81</v>
      </c>
      <c r="H131" t="s">
        <v>492</v>
      </c>
      <c r="I131">
        <v>5</v>
      </c>
    </row>
    <row r="132" spans="1:9" x14ac:dyDescent="0.35">
      <c r="A132" t="s">
        <v>487</v>
      </c>
      <c r="B132">
        <v>107819512</v>
      </c>
      <c r="C132" t="s">
        <v>544</v>
      </c>
      <c r="D132" t="s">
        <v>497</v>
      </c>
      <c r="E132" t="s">
        <v>493</v>
      </c>
      <c r="F132">
        <v>72</v>
      </c>
      <c r="G132" t="s">
        <v>60</v>
      </c>
      <c r="H132" t="s">
        <v>492</v>
      </c>
      <c r="I132">
        <v>931</v>
      </c>
    </row>
    <row r="133" spans="1:9" x14ac:dyDescent="0.35">
      <c r="A133" t="s">
        <v>487</v>
      </c>
      <c r="B133">
        <v>107819512</v>
      </c>
      <c r="C133" t="s">
        <v>544</v>
      </c>
      <c r="D133" t="s">
        <v>497</v>
      </c>
      <c r="E133" t="s">
        <v>493</v>
      </c>
      <c r="F133">
        <v>72</v>
      </c>
      <c r="G133" t="s">
        <v>60</v>
      </c>
      <c r="H133" t="s">
        <v>488</v>
      </c>
      <c r="I133">
        <v>540</v>
      </c>
    </row>
    <row r="134" spans="1:9" x14ac:dyDescent="0.35">
      <c r="A134" t="s">
        <v>487</v>
      </c>
      <c r="B134">
        <v>107819512</v>
      </c>
      <c r="C134" t="s">
        <v>544</v>
      </c>
      <c r="D134" t="s">
        <v>497</v>
      </c>
      <c r="E134" t="s">
        <v>493</v>
      </c>
      <c r="F134">
        <v>72</v>
      </c>
      <c r="G134" t="s">
        <v>60</v>
      </c>
      <c r="H134" t="s">
        <v>489</v>
      </c>
      <c r="I134">
        <v>391</v>
      </c>
    </row>
    <row r="135" spans="1:9" x14ac:dyDescent="0.35">
      <c r="A135" t="s">
        <v>487</v>
      </c>
      <c r="B135">
        <v>107819512</v>
      </c>
      <c r="C135" t="s">
        <v>544</v>
      </c>
      <c r="D135" t="s">
        <v>497</v>
      </c>
      <c r="E135" t="s">
        <v>493</v>
      </c>
      <c r="F135">
        <v>72</v>
      </c>
      <c r="G135" t="s">
        <v>81</v>
      </c>
      <c r="H135" t="s">
        <v>492</v>
      </c>
      <c r="I135">
        <v>72</v>
      </c>
    </row>
    <row r="136" spans="1:9" x14ac:dyDescent="0.35">
      <c r="A136" t="s">
        <v>487</v>
      </c>
      <c r="B136">
        <v>107844158</v>
      </c>
      <c r="C136" t="s">
        <v>520</v>
      </c>
      <c r="D136" t="s">
        <v>486</v>
      </c>
      <c r="E136" t="s">
        <v>484</v>
      </c>
      <c r="F136">
        <v>268</v>
      </c>
      <c r="G136" t="s">
        <v>60</v>
      </c>
      <c r="H136" t="s">
        <v>492</v>
      </c>
      <c r="I136">
        <v>2700</v>
      </c>
    </row>
    <row r="137" spans="1:9" x14ac:dyDescent="0.35">
      <c r="A137" t="s">
        <v>487</v>
      </c>
      <c r="B137">
        <v>107844158</v>
      </c>
      <c r="C137" t="s">
        <v>520</v>
      </c>
      <c r="D137" t="s">
        <v>486</v>
      </c>
      <c r="E137" t="s">
        <v>484</v>
      </c>
      <c r="F137">
        <v>268</v>
      </c>
      <c r="G137" t="s">
        <v>60</v>
      </c>
      <c r="H137" t="s">
        <v>488</v>
      </c>
      <c r="I137">
        <v>1002</v>
      </c>
    </row>
    <row r="138" spans="1:9" x14ac:dyDescent="0.35">
      <c r="A138" t="s">
        <v>487</v>
      </c>
      <c r="B138">
        <v>107844158</v>
      </c>
      <c r="C138" t="s">
        <v>520</v>
      </c>
      <c r="D138" t="s">
        <v>486</v>
      </c>
      <c r="E138" t="s">
        <v>484</v>
      </c>
      <c r="F138">
        <v>268</v>
      </c>
      <c r="G138" t="s">
        <v>60</v>
      </c>
      <c r="H138" t="s">
        <v>489</v>
      </c>
      <c r="I138">
        <v>1698</v>
      </c>
    </row>
    <row r="139" spans="1:9" x14ac:dyDescent="0.35">
      <c r="A139" t="s">
        <v>487</v>
      </c>
      <c r="B139">
        <v>107844158</v>
      </c>
      <c r="C139" t="s">
        <v>520</v>
      </c>
      <c r="D139" t="s">
        <v>486</v>
      </c>
      <c r="E139" t="s">
        <v>484</v>
      </c>
      <c r="F139">
        <v>268</v>
      </c>
      <c r="G139" t="s">
        <v>81</v>
      </c>
      <c r="H139" t="s">
        <v>492</v>
      </c>
      <c r="I139">
        <v>268</v>
      </c>
    </row>
    <row r="140" spans="1:9" x14ac:dyDescent="0.35">
      <c r="A140" t="s">
        <v>487</v>
      </c>
      <c r="B140">
        <v>107463281</v>
      </c>
      <c r="C140" t="s">
        <v>539</v>
      </c>
      <c r="D140" t="s">
        <v>497</v>
      </c>
      <c r="E140" t="s">
        <v>484</v>
      </c>
      <c r="F140">
        <v>476</v>
      </c>
      <c r="G140" t="s">
        <v>60</v>
      </c>
      <c r="H140" t="s">
        <v>492</v>
      </c>
      <c r="I140">
        <v>3139</v>
      </c>
    </row>
    <row r="141" spans="1:9" x14ac:dyDescent="0.35">
      <c r="A141" t="s">
        <v>487</v>
      </c>
      <c r="B141">
        <v>107463281</v>
      </c>
      <c r="C141" t="s">
        <v>539</v>
      </c>
      <c r="D141" t="s">
        <v>497</v>
      </c>
      <c r="E141" t="s">
        <v>484</v>
      </c>
      <c r="F141">
        <v>476</v>
      </c>
      <c r="G141" t="s">
        <v>60</v>
      </c>
      <c r="H141" t="s">
        <v>488</v>
      </c>
      <c r="I141">
        <v>232</v>
      </c>
    </row>
    <row r="142" spans="1:9" x14ac:dyDescent="0.35">
      <c r="A142" t="s">
        <v>487</v>
      </c>
      <c r="B142">
        <v>107463281</v>
      </c>
      <c r="C142" t="s">
        <v>539</v>
      </c>
      <c r="D142" t="s">
        <v>497</v>
      </c>
      <c r="E142" t="s">
        <v>484</v>
      </c>
      <c r="F142">
        <v>476</v>
      </c>
      <c r="G142" t="s">
        <v>60</v>
      </c>
      <c r="H142" t="s">
        <v>489</v>
      </c>
      <c r="I142">
        <v>2907</v>
      </c>
    </row>
    <row r="143" spans="1:9" x14ac:dyDescent="0.35">
      <c r="A143" t="s">
        <v>487</v>
      </c>
      <c r="B143">
        <v>107463281</v>
      </c>
      <c r="C143" t="s">
        <v>539</v>
      </c>
      <c r="D143" t="s">
        <v>497</v>
      </c>
      <c r="E143" t="s">
        <v>484</v>
      </c>
      <c r="F143">
        <v>476</v>
      </c>
      <c r="G143" t="s">
        <v>81</v>
      </c>
      <c r="H143" t="s">
        <v>492</v>
      </c>
      <c r="I143">
        <v>476</v>
      </c>
    </row>
    <row r="144" spans="1:9" x14ac:dyDescent="0.35">
      <c r="A144" t="s">
        <v>34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S186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>
    <row r="1" spans="1:19" x14ac:dyDescent="0.35">
      <c r="A1" t="s">
        <v>35</v>
      </c>
      <c r="B1" t="s">
        <v>36</v>
      </c>
      <c r="C1" t="s">
        <v>37</v>
      </c>
      <c r="D1" t="s">
        <v>38</v>
      </c>
      <c r="E1" t="s">
        <v>39</v>
      </c>
      <c r="F1" t="s">
        <v>40</v>
      </c>
      <c r="G1" t="s">
        <v>41</v>
      </c>
      <c r="H1" t="s">
        <v>42</v>
      </c>
      <c r="I1" t="s">
        <v>43</v>
      </c>
      <c r="J1" t="s">
        <v>44</v>
      </c>
      <c r="K1" t="s">
        <v>45</v>
      </c>
      <c r="L1" t="s">
        <v>46</v>
      </c>
      <c r="M1" t="s">
        <v>47</v>
      </c>
      <c r="N1" t="s">
        <v>48</v>
      </c>
      <c r="O1" t="s">
        <v>49</v>
      </c>
      <c r="P1" t="s">
        <v>50</v>
      </c>
      <c r="Q1" t="s">
        <v>51</v>
      </c>
      <c r="R1" t="s">
        <v>52</v>
      </c>
      <c r="S1" t="s">
        <v>53</v>
      </c>
    </row>
    <row r="2" spans="1:19" x14ac:dyDescent="0.35">
      <c r="A2" t="s">
        <v>54</v>
      </c>
      <c r="B2">
        <v>1</v>
      </c>
      <c r="C2" t="s">
        <v>55</v>
      </c>
      <c r="D2" t="s">
        <v>6</v>
      </c>
      <c r="E2" t="s">
        <v>13</v>
      </c>
      <c r="F2" t="s">
        <v>56</v>
      </c>
      <c r="G2" t="s">
        <v>57</v>
      </c>
      <c r="H2">
        <v>127902</v>
      </c>
      <c r="I2">
        <v>42.281666666666602</v>
      </c>
      <c r="J2">
        <v>3024.9990145453098</v>
      </c>
      <c r="K2">
        <v>995.00000399999999</v>
      </c>
      <c r="L2">
        <v>128.54472310132701</v>
      </c>
      <c r="M2">
        <v>86.263056434661095</v>
      </c>
      <c r="N2">
        <v>3.0402000023964901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35">
      <c r="A3" t="s">
        <v>54</v>
      </c>
      <c r="B3">
        <v>2</v>
      </c>
      <c r="C3" t="s">
        <v>58</v>
      </c>
      <c r="D3" t="s">
        <v>59</v>
      </c>
      <c r="E3" t="s">
        <v>13</v>
      </c>
      <c r="F3" t="s">
        <v>56</v>
      </c>
      <c r="G3" t="s">
        <v>60</v>
      </c>
      <c r="H3">
        <v>332</v>
      </c>
      <c r="I3">
        <v>0.63472222222222197</v>
      </c>
      <c r="J3">
        <v>523.06345733041496</v>
      </c>
      <c r="K3">
        <v>275.00000399999999</v>
      </c>
      <c r="L3">
        <v>1.2072727097123901</v>
      </c>
      <c r="M3">
        <v>0.57255048749017401</v>
      </c>
      <c r="N3">
        <v>1.9020489080808001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35">
      <c r="A4" t="s">
        <v>54</v>
      </c>
      <c r="B4">
        <v>3</v>
      </c>
      <c r="C4" t="s">
        <v>61</v>
      </c>
      <c r="D4" t="s">
        <v>62</v>
      </c>
      <c r="E4" t="s">
        <v>13</v>
      </c>
      <c r="F4" t="s">
        <v>56</v>
      </c>
      <c r="G4" t="s">
        <v>60</v>
      </c>
      <c r="H4">
        <v>1430</v>
      </c>
      <c r="I4">
        <v>4.9433333333333298</v>
      </c>
      <c r="J4">
        <v>289.27848954821297</v>
      </c>
      <c r="K4">
        <v>101.999988</v>
      </c>
      <c r="L4">
        <v>14.019609492502999</v>
      </c>
      <c r="M4">
        <v>9.0762761591697405</v>
      </c>
      <c r="N4">
        <v>2.8360639566762802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35">
      <c r="A5" t="s">
        <v>54</v>
      </c>
      <c r="B5">
        <v>4</v>
      </c>
      <c r="C5" t="s">
        <v>63</v>
      </c>
      <c r="D5" t="s">
        <v>64</v>
      </c>
      <c r="E5" t="s">
        <v>13</v>
      </c>
      <c r="F5" t="s">
        <v>56</v>
      </c>
      <c r="G5" t="s">
        <v>60</v>
      </c>
      <c r="H5">
        <v>3</v>
      </c>
      <c r="I5">
        <v>0.153611111111111</v>
      </c>
      <c r="J5">
        <v>19.529837251356199</v>
      </c>
      <c r="K5">
        <v>52.999991999999999</v>
      </c>
      <c r="L5">
        <v>5.6603782128872702E-2</v>
      </c>
      <c r="M5">
        <v>-9.7007328982238294E-2</v>
      </c>
      <c r="N5">
        <v>0.36848755092937002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35">
      <c r="A6" t="s">
        <v>54</v>
      </c>
      <c r="B6">
        <v>5</v>
      </c>
      <c r="C6" t="s">
        <v>65</v>
      </c>
      <c r="D6" t="s">
        <v>66</v>
      </c>
      <c r="E6" t="s">
        <v>13</v>
      </c>
      <c r="F6" t="s">
        <v>56</v>
      </c>
      <c r="G6" t="s">
        <v>60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35">
      <c r="A7" t="s">
        <v>54</v>
      </c>
      <c r="B7">
        <v>6</v>
      </c>
      <c r="C7" t="s">
        <v>67</v>
      </c>
      <c r="D7" t="s">
        <v>68</v>
      </c>
      <c r="E7" t="s">
        <v>13</v>
      </c>
      <c r="F7" t="s">
        <v>56</v>
      </c>
      <c r="G7" t="s">
        <v>60</v>
      </c>
      <c r="H7">
        <v>1765</v>
      </c>
      <c r="I7">
        <v>5.7316666666666602</v>
      </c>
      <c r="J7">
        <v>307.93835417272402</v>
      </c>
      <c r="K7">
        <v>115.484124617118</v>
      </c>
      <c r="L7">
        <v>15.283485984344299</v>
      </c>
      <c r="M7">
        <v>9.5518193176776798</v>
      </c>
      <c r="N7">
        <v>2.6664994447823802</v>
      </c>
      <c r="P7">
        <v>0</v>
      </c>
      <c r="Q7">
        <v>0</v>
      </c>
      <c r="R7">
        <v>0</v>
      </c>
      <c r="S7">
        <v>0</v>
      </c>
    </row>
    <row r="8" spans="1:19" x14ac:dyDescent="0.35">
      <c r="A8" t="s">
        <v>54</v>
      </c>
      <c r="B8">
        <v>7</v>
      </c>
      <c r="C8" t="s">
        <v>69</v>
      </c>
      <c r="D8" t="s">
        <v>70</v>
      </c>
      <c r="E8" t="s">
        <v>13</v>
      </c>
      <c r="F8" t="s">
        <v>56</v>
      </c>
      <c r="G8" t="s">
        <v>60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35">
      <c r="A9" t="s">
        <v>54</v>
      </c>
      <c r="B9">
        <v>8</v>
      </c>
      <c r="C9" t="s">
        <v>71</v>
      </c>
      <c r="D9" t="s">
        <v>72</v>
      </c>
      <c r="E9" t="s">
        <v>13</v>
      </c>
      <c r="F9" t="s">
        <v>56</v>
      </c>
      <c r="G9" t="s">
        <v>60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35">
      <c r="A10" t="s">
        <v>54</v>
      </c>
      <c r="B10">
        <v>9</v>
      </c>
      <c r="C10" t="s">
        <v>73</v>
      </c>
      <c r="D10" t="s">
        <v>74</v>
      </c>
      <c r="E10" t="s">
        <v>13</v>
      </c>
      <c r="F10" t="s">
        <v>56</v>
      </c>
      <c r="G10" t="s">
        <v>60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35">
      <c r="A11" t="s">
        <v>54</v>
      </c>
      <c r="B11">
        <v>10</v>
      </c>
      <c r="C11" t="s">
        <v>75</v>
      </c>
      <c r="D11" t="s">
        <v>76</v>
      </c>
      <c r="E11" t="s">
        <v>13</v>
      </c>
      <c r="F11" t="s">
        <v>56</v>
      </c>
      <c r="G11" t="s">
        <v>60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35">
      <c r="A12" t="s">
        <v>54</v>
      </c>
      <c r="B12">
        <v>11</v>
      </c>
      <c r="C12" t="s">
        <v>77</v>
      </c>
      <c r="D12" t="s">
        <v>78</v>
      </c>
      <c r="E12" t="s">
        <v>13</v>
      </c>
      <c r="F12" t="s">
        <v>56</v>
      </c>
      <c r="G12" t="s">
        <v>60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0</v>
      </c>
      <c r="Q12">
        <v>0</v>
      </c>
      <c r="R12">
        <v>0</v>
      </c>
      <c r="S12">
        <v>0</v>
      </c>
    </row>
    <row r="13" spans="1:19" x14ac:dyDescent="0.35">
      <c r="A13" t="s">
        <v>54</v>
      </c>
      <c r="B13">
        <v>12</v>
      </c>
      <c r="C13" t="s">
        <v>79</v>
      </c>
      <c r="D13" t="s">
        <v>80</v>
      </c>
      <c r="E13" t="s">
        <v>13</v>
      </c>
      <c r="F13" t="s">
        <v>56</v>
      </c>
      <c r="G13" t="s">
        <v>81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35">
      <c r="A14" t="s">
        <v>54</v>
      </c>
      <c r="B14">
        <v>13</v>
      </c>
      <c r="C14" t="s">
        <v>82</v>
      </c>
      <c r="D14" t="s">
        <v>7</v>
      </c>
      <c r="E14" t="s">
        <v>13</v>
      </c>
      <c r="F14" t="s">
        <v>56</v>
      </c>
      <c r="G14" t="s">
        <v>81</v>
      </c>
      <c r="H14">
        <v>11575</v>
      </c>
      <c r="I14">
        <v>13.3077777777777</v>
      </c>
      <c r="J14">
        <v>869.79210152792803</v>
      </c>
      <c r="K14">
        <v>524.99998800000003</v>
      </c>
      <c r="L14">
        <v>22.047619551564601</v>
      </c>
      <c r="M14">
        <v>8.7398417737868499</v>
      </c>
      <c r="N14">
        <v>1.6567468979216899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35">
      <c r="A15" t="s">
        <v>54</v>
      </c>
      <c r="B15">
        <v>14</v>
      </c>
      <c r="C15" t="s">
        <v>83</v>
      </c>
      <c r="D15" t="s">
        <v>84</v>
      </c>
      <c r="E15" t="s">
        <v>13</v>
      </c>
      <c r="F15" t="s">
        <v>56</v>
      </c>
      <c r="G15" t="s">
        <v>85</v>
      </c>
      <c r="H15">
        <v>16</v>
      </c>
      <c r="I15">
        <v>3.30277777777777</v>
      </c>
      <c r="J15">
        <v>4.8444070647602997</v>
      </c>
      <c r="K15">
        <v>11.999988</v>
      </c>
      <c r="L15">
        <v>1.3333346666679999</v>
      </c>
      <c r="M15">
        <v>-1.9694431111097701</v>
      </c>
      <c r="N15">
        <v>0.40370099243101698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35">
      <c r="A16" t="s">
        <v>54</v>
      </c>
      <c r="B16">
        <v>15</v>
      </c>
      <c r="C16" t="s">
        <v>86</v>
      </c>
      <c r="D16" t="s">
        <v>87</v>
      </c>
      <c r="E16" t="s">
        <v>13</v>
      </c>
      <c r="F16" t="s">
        <v>56</v>
      </c>
      <c r="G16" t="s">
        <v>57</v>
      </c>
      <c r="H16">
        <v>127902</v>
      </c>
      <c r="I16">
        <v>54.566666666666599</v>
      </c>
      <c r="J16">
        <v>2343.9584605986502</v>
      </c>
      <c r="K16">
        <v>2000.00001599999</v>
      </c>
      <c r="L16">
        <v>63.950999488392</v>
      </c>
      <c r="M16">
        <v>9.3843328217253408</v>
      </c>
      <c r="N16">
        <v>1.1719792209234901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35">
      <c r="A17" t="s">
        <v>54</v>
      </c>
      <c r="B17">
        <v>16</v>
      </c>
      <c r="C17" t="s">
        <v>88</v>
      </c>
      <c r="D17" t="s">
        <v>89</v>
      </c>
      <c r="E17" t="s">
        <v>13</v>
      </c>
      <c r="F17" t="s">
        <v>56</v>
      </c>
      <c r="G17" t="s">
        <v>60</v>
      </c>
      <c r="H17">
        <v>127902</v>
      </c>
      <c r="I17">
        <v>119.19055555555499</v>
      </c>
      <c r="J17">
        <v>1073.08837855348</v>
      </c>
      <c r="K17">
        <v>553.30468042161397</v>
      </c>
      <c r="L17">
        <v>231.16016279229601</v>
      </c>
      <c r="M17">
        <v>111.969607236741</v>
      </c>
      <c r="N17">
        <v>1.9394167743815101</v>
      </c>
      <c r="P17">
        <v>0</v>
      </c>
      <c r="Q17">
        <v>0</v>
      </c>
      <c r="R17">
        <v>0</v>
      </c>
      <c r="S17">
        <v>0</v>
      </c>
    </row>
    <row r="18" spans="1:19" x14ac:dyDescent="0.35">
      <c r="A18" t="s">
        <v>54</v>
      </c>
      <c r="B18">
        <v>17</v>
      </c>
      <c r="C18" t="s">
        <v>90</v>
      </c>
      <c r="D18" t="s">
        <v>91</v>
      </c>
      <c r="E18" t="s">
        <v>13</v>
      </c>
      <c r="F18" t="s">
        <v>92</v>
      </c>
      <c r="G18" t="s">
        <v>81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35">
      <c r="A19" t="s">
        <v>54</v>
      </c>
      <c r="B19">
        <v>18</v>
      </c>
      <c r="C19" t="s">
        <v>93</v>
      </c>
      <c r="D19" t="s">
        <v>94</v>
      </c>
      <c r="E19" t="s">
        <v>13</v>
      </c>
      <c r="F19" t="s">
        <v>92</v>
      </c>
      <c r="G19" t="s">
        <v>60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35">
      <c r="A20" t="s">
        <v>54</v>
      </c>
      <c r="B20">
        <v>19</v>
      </c>
      <c r="C20" t="s">
        <v>95</v>
      </c>
      <c r="D20" t="s">
        <v>96</v>
      </c>
      <c r="E20" t="s">
        <v>13</v>
      </c>
      <c r="F20" t="s">
        <v>92</v>
      </c>
      <c r="G20" t="s">
        <v>60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35">
      <c r="A21" t="s">
        <v>54</v>
      </c>
      <c r="B21">
        <v>20</v>
      </c>
      <c r="C21" t="s">
        <v>97</v>
      </c>
      <c r="D21" t="s">
        <v>98</v>
      </c>
      <c r="E21" t="s">
        <v>13</v>
      </c>
      <c r="F21" t="s">
        <v>92</v>
      </c>
      <c r="G21" t="s">
        <v>60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35">
      <c r="A22" t="s">
        <v>54</v>
      </c>
      <c r="B22">
        <v>21</v>
      </c>
      <c r="C22" t="s">
        <v>99</v>
      </c>
      <c r="D22" t="s">
        <v>100</v>
      </c>
      <c r="E22" t="s">
        <v>13</v>
      </c>
      <c r="F22" t="s">
        <v>92</v>
      </c>
      <c r="G22" t="s">
        <v>60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 x14ac:dyDescent="0.35">
      <c r="A23" t="s">
        <v>54</v>
      </c>
      <c r="B23">
        <v>22</v>
      </c>
      <c r="C23" t="s">
        <v>101</v>
      </c>
      <c r="D23" t="s">
        <v>102</v>
      </c>
      <c r="E23" t="s">
        <v>13</v>
      </c>
      <c r="F23" t="s">
        <v>92</v>
      </c>
      <c r="G23" t="s">
        <v>60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P23">
        <v>0</v>
      </c>
      <c r="Q23">
        <v>0</v>
      </c>
      <c r="R23">
        <v>0</v>
      </c>
      <c r="S23">
        <v>0</v>
      </c>
    </row>
    <row r="24" spans="1:19" x14ac:dyDescent="0.35">
      <c r="A24" t="s">
        <v>54</v>
      </c>
      <c r="B24">
        <v>23</v>
      </c>
      <c r="C24" t="s">
        <v>103</v>
      </c>
      <c r="D24" t="s">
        <v>104</v>
      </c>
      <c r="E24" t="s">
        <v>13</v>
      </c>
      <c r="F24" t="s">
        <v>92</v>
      </c>
      <c r="G24" t="s">
        <v>81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35">
      <c r="A25" t="s">
        <v>54</v>
      </c>
      <c r="B25">
        <v>24</v>
      </c>
      <c r="C25" t="s">
        <v>105</v>
      </c>
      <c r="D25" t="s">
        <v>106</v>
      </c>
      <c r="E25" t="s">
        <v>13</v>
      </c>
      <c r="F25" t="s">
        <v>92</v>
      </c>
      <c r="G25" t="s">
        <v>85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35">
      <c r="A26" t="s">
        <v>54</v>
      </c>
      <c r="B26">
        <v>25</v>
      </c>
      <c r="C26" t="s">
        <v>107</v>
      </c>
      <c r="D26" t="s">
        <v>108</v>
      </c>
      <c r="E26" t="s">
        <v>13</v>
      </c>
      <c r="F26" t="s">
        <v>92</v>
      </c>
      <c r="G26" t="s">
        <v>57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35">
      <c r="A27" t="s">
        <v>54</v>
      </c>
      <c r="B27">
        <v>26</v>
      </c>
      <c r="C27" t="s">
        <v>109</v>
      </c>
      <c r="D27" t="s">
        <v>110</v>
      </c>
      <c r="E27" t="s">
        <v>13</v>
      </c>
      <c r="F27" t="s">
        <v>92</v>
      </c>
      <c r="G27" t="s">
        <v>60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P27">
        <v>0</v>
      </c>
      <c r="Q27">
        <v>0</v>
      </c>
      <c r="R27">
        <v>0</v>
      </c>
      <c r="S27">
        <v>0</v>
      </c>
    </row>
    <row r="28" spans="1:19" x14ac:dyDescent="0.35">
      <c r="A28" t="s">
        <v>54</v>
      </c>
      <c r="B28">
        <v>27</v>
      </c>
      <c r="C28" t="s">
        <v>111</v>
      </c>
      <c r="D28" t="s">
        <v>112</v>
      </c>
      <c r="E28" t="s">
        <v>13</v>
      </c>
      <c r="F28" t="s">
        <v>113</v>
      </c>
      <c r="G28" t="s">
        <v>60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 x14ac:dyDescent="0.35">
      <c r="A29" t="s">
        <v>54</v>
      </c>
      <c r="B29">
        <v>28</v>
      </c>
      <c r="C29" t="s">
        <v>114</v>
      </c>
      <c r="D29" t="s">
        <v>115</v>
      </c>
      <c r="E29" t="s">
        <v>13</v>
      </c>
      <c r="F29" t="s">
        <v>113</v>
      </c>
      <c r="G29" t="s">
        <v>60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35">
      <c r="A30" t="s">
        <v>54</v>
      </c>
      <c r="B30">
        <v>29</v>
      </c>
      <c r="C30" t="s">
        <v>116</v>
      </c>
      <c r="D30" t="s">
        <v>117</v>
      </c>
      <c r="E30" t="s">
        <v>13</v>
      </c>
      <c r="F30" t="s">
        <v>113</v>
      </c>
      <c r="G30" t="s">
        <v>60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35">
      <c r="A31" t="s">
        <v>54</v>
      </c>
      <c r="B31">
        <v>30</v>
      </c>
      <c r="C31" t="s">
        <v>118</v>
      </c>
      <c r="D31" t="s">
        <v>119</v>
      </c>
      <c r="E31" t="s">
        <v>13</v>
      </c>
      <c r="F31" t="s">
        <v>113</v>
      </c>
      <c r="G31" t="s">
        <v>60</v>
      </c>
      <c r="H31">
        <v>25</v>
      </c>
      <c r="I31">
        <v>4.6666666666666599E-2</v>
      </c>
      <c r="J31">
        <v>535.71428571428498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35">
      <c r="A32" t="s">
        <v>54</v>
      </c>
      <c r="B32">
        <v>31</v>
      </c>
      <c r="C32" t="s">
        <v>120</v>
      </c>
      <c r="D32" t="s">
        <v>121</v>
      </c>
      <c r="E32" t="s">
        <v>13</v>
      </c>
      <c r="F32" t="s">
        <v>113</v>
      </c>
      <c r="G32" t="s">
        <v>60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35">
      <c r="A33" t="s">
        <v>54</v>
      </c>
      <c r="B33">
        <v>32</v>
      </c>
      <c r="C33" t="s">
        <v>122</v>
      </c>
      <c r="D33" t="s">
        <v>123</v>
      </c>
      <c r="E33" t="s">
        <v>13</v>
      </c>
      <c r="F33" t="s">
        <v>113</v>
      </c>
      <c r="G33" t="s">
        <v>60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35">
      <c r="A34" t="s">
        <v>54</v>
      </c>
      <c r="B34">
        <v>33</v>
      </c>
      <c r="C34" t="s">
        <v>124</v>
      </c>
      <c r="D34" t="s">
        <v>125</v>
      </c>
      <c r="E34" t="s">
        <v>13</v>
      </c>
      <c r="F34" t="s">
        <v>113</v>
      </c>
      <c r="G34" t="s">
        <v>60</v>
      </c>
      <c r="H34">
        <v>25</v>
      </c>
      <c r="I34">
        <v>4.6666666666666599E-2</v>
      </c>
      <c r="J34">
        <v>535.71428571428498</v>
      </c>
      <c r="K34">
        <v>0</v>
      </c>
      <c r="L34">
        <v>0</v>
      </c>
      <c r="M34">
        <v>-4.6666666666666599E-2</v>
      </c>
      <c r="N34">
        <v>0</v>
      </c>
      <c r="P34">
        <v>0</v>
      </c>
      <c r="Q34">
        <v>0</v>
      </c>
      <c r="R34">
        <v>0</v>
      </c>
      <c r="S34">
        <v>0</v>
      </c>
    </row>
    <row r="35" spans="1:19" x14ac:dyDescent="0.35">
      <c r="A35" t="s">
        <v>54</v>
      </c>
      <c r="B35">
        <v>34</v>
      </c>
      <c r="C35" t="s">
        <v>126</v>
      </c>
      <c r="D35" t="s">
        <v>127</v>
      </c>
      <c r="E35" t="s">
        <v>13</v>
      </c>
      <c r="F35" t="s">
        <v>113</v>
      </c>
      <c r="G35" t="s">
        <v>57</v>
      </c>
      <c r="H35">
        <v>25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35">
      <c r="A36" t="s">
        <v>54</v>
      </c>
      <c r="B36">
        <v>35</v>
      </c>
      <c r="C36" t="s">
        <v>128</v>
      </c>
      <c r="D36" t="s">
        <v>129</v>
      </c>
      <c r="E36" t="s">
        <v>13</v>
      </c>
      <c r="F36" t="s">
        <v>113</v>
      </c>
      <c r="G36" t="s">
        <v>57</v>
      </c>
      <c r="H36">
        <v>25</v>
      </c>
      <c r="I36">
        <v>4.6666666666666599E-2</v>
      </c>
      <c r="J36">
        <v>535.71428571428498</v>
      </c>
      <c r="K36">
        <v>0</v>
      </c>
      <c r="L36">
        <v>0</v>
      </c>
      <c r="M36">
        <v>-4.6666666666666599E-2</v>
      </c>
      <c r="N36">
        <v>0</v>
      </c>
      <c r="P36">
        <v>0</v>
      </c>
      <c r="Q36">
        <v>0</v>
      </c>
      <c r="R36">
        <v>0</v>
      </c>
      <c r="S36">
        <v>0</v>
      </c>
    </row>
    <row r="37" spans="1:19" x14ac:dyDescent="0.35">
      <c r="A37" t="s">
        <v>54</v>
      </c>
      <c r="B37">
        <v>36</v>
      </c>
      <c r="C37" t="s">
        <v>130</v>
      </c>
      <c r="D37" t="s">
        <v>131</v>
      </c>
      <c r="E37" t="s">
        <v>13</v>
      </c>
      <c r="F37" t="s">
        <v>132</v>
      </c>
      <c r="G37" t="s">
        <v>60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 x14ac:dyDescent="0.35">
      <c r="A38" t="s">
        <v>54</v>
      </c>
      <c r="B38">
        <v>37</v>
      </c>
      <c r="C38" t="s">
        <v>133</v>
      </c>
      <c r="D38" t="s">
        <v>134</v>
      </c>
      <c r="E38" t="s">
        <v>13</v>
      </c>
      <c r="F38" t="s">
        <v>132</v>
      </c>
      <c r="G38" t="s">
        <v>60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1:19" x14ac:dyDescent="0.35">
      <c r="A39" t="s">
        <v>54</v>
      </c>
      <c r="B39">
        <v>38</v>
      </c>
      <c r="C39" t="s">
        <v>135</v>
      </c>
      <c r="D39" t="s">
        <v>136</v>
      </c>
      <c r="E39" t="s">
        <v>13</v>
      </c>
      <c r="F39" t="s">
        <v>132</v>
      </c>
      <c r="G39" t="s">
        <v>60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 x14ac:dyDescent="0.35">
      <c r="A40" t="s">
        <v>54</v>
      </c>
      <c r="B40">
        <v>39</v>
      </c>
      <c r="C40" t="s">
        <v>137</v>
      </c>
      <c r="D40" t="s">
        <v>138</v>
      </c>
      <c r="E40" t="s">
        <v>13</v>
      </c>
      <c r="F40" t="s">
        <v>132</v>
      </c>
      <c r="G40" t="s">
        <v>60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35">
      <c r="A41" t="s">
        <v>54</v>
      </c>
      <c r="B41">
        <v>40</v>
      </c>
      <c r="C41" t="s">
        <v>139</v>
      </c>
      <c r="D41" t="s">
        <v>140</v>
      </c>
      <c r="E41" t="s">
        <v>13</v>
      </c>
      <c r="F41" t="s">
        <v>132</v>
      </c>
      <c r="G41" t="s">
        <v>60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P41">
        <v>0</v>
      </c>
      <c r="Q41">
        <v>0</v>
      </c>
      <c r="R41">
        <v>0</v>
      </c>
      <c r="S41">
        <v>0</v>
      </c>
    </row>
    <row r="42" spans="1:19" x14ac:dyDescent="0.35">
      <c r="A42" t="s">
        <v>54</v>
      </c>
      <c r="B42">
        <v>41</v>
      </c>
      <c r="C42" t="s">
        <v>141</v>
      </c>
      <c r="D42" t="s">
        <v>142</v>
      </c>
      <c r="E42" t="s">
        <v>13</v>
      </c>
      <c r="F42" t="s">
        <v>132</v>
      </c>
      <c r="G42" t="s">
        <v>81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1:19" x14ac:dyDescent="0.35">
      <c r="A43" t="s">
        <v>54</v>
      </c>
      <c r="B43">
        <v>42</v>
      </c>
      <c r="C43" t="s">
        <v>143</v>
      </c>
      <c r="D43" t="s">
        <v>144</v>
      </c>
      <c r="E43" t="s">
        <v>13</v>
      </c>
      <c r="F43" t="s">
        <v>132</v>
      </c>
      <c r="G43" t="s">
        <v>85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19" x14ac:dyDescent="0.35">
      <c r="A44" t="s">
        <v>54</v>
      </c>
      <c r="B44">
        <v>43</v>
      </c>
      <c r="C44" t="s">
        <v>145</v>
      </c>
      <c r="D44" t="s">
        <v>146</v>
      </c>
      <c r="E44" t="s">
        <v>13</v>
      </c>
      <c r="F44" t="s">
        <v>132</v>
      </c>
      <c r="G44" t="s">
        <v>60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 x14ac:dyDescent="0.35">
      <c r="A45" t="s">
        <v>54</v>
      </c>
      <c r="B45">
        <v>44</v>
      </c>
      <c r="C45" t="s">
        <v>147</v>
      </c>
      <c r="D45" t="s">
        <v>148</v>
      </c>
      <c r="E45" t="s">
        <v>13</v>
      </c>
      <c r="F45" t="s">
        <v>132</v>
      </c>
      <c r="G45" t="s">
        <v>60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P45">
        <v>0</v>
      </c>
      <c r="Q45">
        <v>0</v>
      </c>
      <c r="R45">
        <v>0</v>
      </c>
      <c r="S45">
        <v>0</v>
      </c>
    </row>
    <row r="46" spans="1:19" x14ac:dyDescent="0.35">
      <c r="A46" t="s">
        <v>54</v>
      </c>
      <c r="B46">
        <v>45</v>
      </c>
      <c r="C46" t="s">
        <v>149</v>
      </c>
      <c r="D46" t="s">
        <v>150</v>
      </c>
      <c r="E46" t="s">
        <v>13</v>
      </c>
      <c r="F46" t="s">
        <v>151</v>
      </c>
      <c r="G46" t="s">
        <v>81</v>
      </c>
      <c r="H46">
        <v>11765</v>
      </c>
      <c r="I46">
        <v>147.4425</v>
      </c>
      <c r="J46">
        <v>79.793817929023106</v>
      </c>
      <c r="K46">
        <v>86.000004000000004</v>
      </c>
      <c r="L46">
        <v>136.802319218496</v>
      </c>
      <c r="M46">
        <v>-10.640180781503201</v>
      </c>
      <c r="N46">
        <v>0.92783504904282499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 x14ac:dyDescent="0.35">
      <c r="A47" t="s">
        <v>54</v>
      </c>
      <c r="B47">
        <v>46</v>
      </c>
      <c r="C47" t="s">
        <v>152</v>
      </c>
      <c r="D47" t="s">
        <v>153</v>
      </c>
      <c r="E47" t="s">
        <v>13</v>
      </c>
      <c r="F47" t="s">
        <v>151</v>
      </c>
      <c r="G47" t="s">
        <v>154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 x14ac:dyDescent="0.35">
      <c r="A48" t="s">
        <v>54</v>
      </c>
      <c r="B48">
        <v>47</v>
      </c>
      <c r="C48" t="s">
        <v>155</v>
      </c>
      <c r="D48" t="s">
        <v>156</v>
      </c>
      <c r="E48" t="s">
        <v>13</v>
      </c>
      <c r="F48" t="s">
        <v>151</v>
      </c>
      <c r="G48" t="s">
        <v>85</v>
      </c>
      <c r="H48">
        <v>15</v>
      </c>
      <c r="I48">
        <v>1.06388888888888</v>
      </c>
      <c r="J48">
        <v>14.0992167101827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35">
      <c r="A49" t="s">
        <v>54</v>
      </c>
      <c r="B49">
        <v>48</v>
      </c>
      <c r="C49" t="s">
        <v>157</v>
      </c>
      <c r="D49" t="s">
        <v>158</v>
      </c>
      <c r="E49" t="s">
        <v>13</v>
      </c>
      <c r="F49" t="s">
        <v>151</v>
      </c>
      <c r="G49" t="s">
        <v>159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35">
      <c r="A50" t="s">
        <v>54</v>
      </c>
      <c r="B50">
        <v>49</v>
      </c>
      <c r="C50" t="s">
        <v>160</v>
      </c>
      <c r="D50" t="s">
        <v>161</v>
      </c>
      <c r="E50" t="s">
        <v>13</v>
      </c>
      <c r="F50" t="s">
        <v>151</v>
      </c>
      <c r="G50" t="s">
        <v>57</v>
      </c>
      <c r="H50">
        <v>194021</v>
      </c>
      <c r="I50">
        <v>49.171388888888799</v>
      </c>
      <c r="J50">
        <v>3945.8108543247199</v>
      </c>
      <c r="K50">
        <v>15000.0000119999</v>
      </c>
      <c r="L50">
        <v>12.934733322985499</v>
      </c>
      <c r="M50">
        <v>-36.236655565903298</v>
      </c>
      <c r="N50">
        <v>0.26305405674453802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1:19" x14ac:dyDescent="0.35">
      <c r="A51" t="s">
        <v>54</v>
      </c>
      <c r="B51">
        <v>50</v>
      </c>
      <c r="C51" t="s">
        <v>162</v>
      </c>
      <c r="D51" t="s">
        <v>163</v>
      </c>
      <c r="E51" t="s">
        <v>13</v>
      </c>
      <c r="F51" t="s">
        <v>151</v>
      </c>
      <c r="G51" t="s">
        <v>57</v>
      </c>
      <c r="H51">
        <v>194021</v>
      </c>
      <c r="I51">
        <v>197.67777777777701</v>
      </c>
      <c r="J51">
        <v>981.50132089258602</v>
      </c>
      <c r="K51">
        <v>1295.7447519293801</v>
      </c>
      <c r="L51">
        <v>149.737052541482</v>
      </c>
      <c r="M51">
        <v>-47.9407252362954</v>
      </c>
      <c r="N51">
        <v>0.75748045240477802</v>
      </c>
      <c r="P51">
        <v>0</v>
      </c>
      <c r="Q51">
        <v>0</v>
      </c>
      <c r="R51">
        <v>0</v>
      </c>
      <c r="S51">
        <v>0</v>
      </c>
    </row>
    <row r="52" spans="1:19" x14ac:dyDescent="0.35">
      <c r="A52" t="s">
        <v>54</v>
      </c>
      <c r="B52">
        <v>51</v>
      </c>
      <c r="C52" t="s">
        <v>164</v>
      </c>
      <c r="D52" t="s">
        <v>165</v>
      </c>
      <c r="E52" t="s">
        <v>13</v>
      </c>
      <c r="F52" t="s">
        <v>165</v>
      </c>
      <c r="G52" t="s">
        <v>57</v>
      </c>
      <c r="H52">
        <v>127902</v>
      </c>
      <c r="I52">
        <v>10.6166666666666</v>
      </c>
      <c r="J52">
        <v>12047.284144427</v>
      </c>
      <c r="K52">
        <v>4500</v>
      </c>
      <c r="L52">
        <v>28.422666666666601</v>
      </c>
      <c r="M52">
        <v>17.806000000000001</v>
      </c>
      <c r="N52">
        <v>2.67717425431711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x14ac:dyDescent="0.35">
      <c r="A53" t="s">
        <v>54</v>
      </c>
      <c r="B53">
        <v>52</v>
      </c>
      <c r="C53" t="s">
        <v>166</v>
      </c>
      <c r="D53" t="s">
        <v>167</v>
      </c>
      <c r="E53" t="s">
        <v>13</v>
      </c>
      <c r="F53" t="s">
        <v>168</v>
      </c>
      <c r="G53" t="s">
        <v>57</v>
      </c>
      <c r="H53">
        <v>127902</v>
      </c>
      <c r="I53">
        <v>5.0166666666666604</v>
      </c>
      <c r="J53">
        <v>25495.415282392001</v>
      </c>
      <c r="K53">
        <v>1850.000004</v>
      </c>
      <c r="L53">
        <v>69.136216066732501</v>
      </c>
      <c r="M53">
        <v>64.119549400065793</v>
      </c>
      <c r="N53">
        <v>13.7813055282523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35">
      <c r="A54" t="s">
        <v>54</v>
      </c>
      <c r="B54">
        <v>53</v>
      </c>
      <c r="C54" t="s">
        <v>169</v>
      </c>
      <c r="D54" t="s">
        <v>11</v>
      </c>
      <c r="E54" t="s">
        <v>13</v>
      </c>
      <c r="F54" t="s">
        <v>170</v>
      </c>
      <c r="G54" t="s">
        <v>60</v>
      </c>
      <c r="H54">
        <v>127902</v>
      </c>
      <c r="I54">
        <v>332.54833333333301</v>
      </c>
      <c r="J54">
        <v>384.61176069644</v>
      </c>
      <c r="K54">
        <v>267.32233221958302</v>
      </c>
      <c r="L54">
        <v>478.456098067178</v>
      </c>
      <c r="M54">
        <v>145.907764733844</v>
      </c>
      <c r="N54">
        <v>1.43875656591426</v>
      </c>
      <c r="P54">
        <v>0</v>
      </c>
      <c r="Q54">
        <v>0</v>
      </c>
      <c r="R54">
        <v>0</v>
      </c>
      <c r="S54">
        <v>0</v>
      </c>
    </row>
    <row r="55" spans="1:19" x14ac:dyDescent="0.35">
      <c r="A55" t="s">
        <v>54</v>
      </c>
      <c r="B55">
        <v>54</v>
      </c>
      <c r="C55" t="s">
        <v>171</v>
      </c>
      <c r="D55" t="s">
        <v>172</v>
      </c>
      <c r="E55" t="s">
        <v>173</v>
      </c>
      <c r="F55" t="s">
        <v>174</v>
      </c>
      <c r="G55" t="s">
        <v>81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35">
      <c r="A56" t="s">
        <v>54</v>
      </c>
      <c r="B56">
        <v>55</v>
      </c>
      <c r="C56" t="s">
        <v>175</v>
      </c>
      <c r="D56" t="s">
        <v>176</v>
      </c>
      <c r="E56" t="s">
        <v>173</v>
      </c>
      <c r="F56" t="s">
        <v>174</v>
      </c>
      <c r="G56" t="s">
        <v>85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35">
      <c r="A57" t="s">
        <v>54</v>
      </c>
      <c r="B57">
        <v>56</v>
      </c>
      <c r="C57" t="s">
        <v>177</v>
      </c>
      <c r="D57" t="s">
        <v>178</v>
      </c>
      <c r="E57" t="s">
        <v>173</v>
      </c>
      <c r="F57" t="s">
        <v>179</v>
      </c>
      <c r="G57" t="s">
        <v>81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 x14ac:dyDescent="0.35">
      <c r="A58" t="s">
        <v>54</v>
      </c>
      <c r="B58">
        <v>57</v>
      </c>
      <c r="C58" t="s">
        <v>180</v>
      </c>
      <c r="D58" t="s">
        <v>181</v>
      </c>
      <c r="E58" t="s">
        <v>173</v>
      </c>
      <c r="F58" t="s">
        <v>179</v>
      </c>
      <c r="G58" t="s">
        <v>81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 x14ac:dyDescent="0.35">
      <c r="A59" t="s">
        <v>54</v>
      </c>
      <c r="B59">
        <v>58</v>
      </c>
      <c r="C59" t="s">
        <v>182</v>
      </c>
      <c r="D59" t="s">
        <v>183</v>
      </c>
      <c r="E59" t="s">
        <v>173</v>
      </c>
      <c r="F59" t="s">
        <v>184</v>
      </c>
      <c r="G59" t="s">
        <v>81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 x14ac:dyDescent="0.35">
      <c r="A60" t="s">
        <v>54</v>
      </c>
      <c r="B60">
        <v>59</v>
      </c>
      <c r="C60" t="s">
        <v>185</v>
      </c>
      <c r="D60" t="s">
        <v>186</v>
      </c>
      <c r="E60" t="s">
        <v>173</v>
      </c>
      <c r="F60" t="s">
        <v>184</v>
      </c>
      <c r="G60" t="s">
        <v>60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 x14ac:dyDescent="0.35">
      <c r="A61" t="s">
        <v>54</v>
      </c>
      <c r="B61">
        <v>60</v>
      </c>
      <c r="C61" t="s">
        <v>187</v>
      </c>
      <c r="D61" t="s">
        <v>188</v>
      </c>
      <c r="E61" t="s">
        <v>173</v>
      </c>
      <c r="F61" t="s">
        <v>184</v>
      </c>
      <c r="G61" t="s">
        <v>60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35">
      <c r="A62" t="s">
        <v>54</v>
      </c>
      <c r="B62">
        <v>61</v>
      </c>
      <c r="C62" t="s">
        <v>189</v>
      </c>
      <c r="D62" t="s">
        <v>190</v>
      </c>
      <c r="E62" t="s">
        <v>173</v>
      </c>
      <c r="F62" t="s">
        <v>184</v>
      </c>
      <c r="G62" t="s">
        <v>60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19" x14ac:dyDescent="0.35">
      <c r="A63" t="s">
        <v>54</v>
      </c>
      <c r="B63">
        <v>62</v>
      </c>
      <c r="C63" t="s">
        <v>191</v>
      </c>
      <c r="D63" t="s">
        <v>192</v>
      </c>
      <c r="E63" t="s">
        <v>173</v>
      </c>
      <c r="F63" t="s">
        <v>184</v>
      </c>
      <c r="G63" t="s">
        <v>60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35">
      <c r="A64" t="s">
        <v>54</v>
      </c>
      <c r="B64">
        <v>63</v>
      </c>
      <c r="C64" t="s">
        <v>193</v>
      </c>
      <c r="D64" t="s">
        <v>194</v>
      </c>
      <c r="E64" t="s">
        <v>173</v>
      </c>
      <c r="F64" t="s">
        <v>184</v>
      </c>
      <c r="G64" t="s">
        <v>57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P64">
        <v>0</v>
      </c>
      <c r="Q64">
        <v>0</v>
      </c>
      <c r="R64">
        <v>0</v>
      </c>
      <c r="S64">
        <v>0</v>
      </c>
    </row>
    <row r="65" spans="1:19" x14ac:dyDescent="0.35">
      <c r="A65" t="s">
        <v>54</v>
      </c>
      <c r="B65">
        <v>64</v>
      </c>
      <c r="C65" t="s">
        <v>195</v>
      </c>
      <c r="D65" t="s">
        <v>196</v>
      </c>
      <c r="E65" t="s">
        <v>173</v>
      </c>
      <c r="F65" t="s">
        <v>197</v>
      </c>
      <c r="G65" t="s">
        <v>60</v>
      </c>
      <c r="H65">
        <v>9550</v>
      </c>
      <c r="I65">
        <v>7.0425000000000004</v>
      </c>
      <c r="J65">
        <v>1356.0525381611601</v>
      </c>
      <c r="K65">
        <v>1244.000016</v>
      </c>
      <c r="L65">
        <v>7.67684877586046</v>
      </c>
      <c r="M65">
        <v>0.63434877586046601</v>
      </c>
      <c r="N65">
        <v>1.0900743735691101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35">
      <c r="A66" t="s">
        <v>54</v>
      </c>
      <c r="B66">
        <v>65</v>
      </c>
      <c r="C66" t="s">
        <v>198</v>
      </c>
      <c r="D66" t="s">
        <v>199</v>
      </c>
      <c r="E66" t="s">
        <v>173</v>
      </c>
      <c r="F66" t="s">
        <v>197</v>
      </c>
      <c r="G66" t="s">
        <v>60</v>
      </c>
      <c r="H66">
        <v>49079</v>
      </c>
      <c r="I66">
        <v>206.299166666666</v>
      </c>
      <c r="J66">
        <v>237.90207586878199</v>
      </c>
      <c r="K66">
        <v>288</v>
      </c>
      <c r="L66">
        <v>170.413194444444</v>
      </c>
      <c r="M66">
        <v>-35.8859722222222</v>
      </c>
      <c r="N66">
        <v>0.82604887454438403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35">
      <c r="A67" t="s">
        <v>54</v>
      </c>
      <c r="B67">
        <v>66</v>
      </c>
      <c r="C67" t="s">
        <v>200</v>
      </c>
      <c r="D67" t="s">
        <v>201</v>
      </c>
      <c r="E67" t="s">
        <v>173</v>
      </c>
      <c r="F67" t="s">
        <v>197</v>
      </c>
      <c r="G67" t="s">
        <v>60</v>
      </c>
      <c r="H67">
        <v>60</v>
      </c>
      <c r="I67">
        <v>0.32750000000000001</v>
      </c>
      <c r="J67">
        <v>183.20610687022901</v>
      </c>
      <c r="K67">
        <v>117</v>
      </c>
      <c r="L67">
        <v>0.512820512820512</v>
      </c>
      <c r="M67">
        <v>0.18532051282051201</v>
      </c>
      <c r="N67">
        <v>1.5658641612840001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35">
      <c r="A68" t="s">
        <v>54</v>
      </c>
      <c r="B68">
        <v>67</v>
      </c>
      <c r="C68" t="s">
        <v>202</v>
      </c>
      <c r="D68" t="s">
        <v>203</v>
      </c>
      <c r="E68" t="s">
        <v>173</v>
      </c>
      <c r="F68" t="s">
        <v>197</v>
      </c>
      <c r="G68" t="s">
        <v>60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35">
      <c r="A69" t="s">
        <v>54</v>
      </c>
      <c r="B69">
        <v>68</v>
      </c>
      <c r="C69" t="s">
        <v>204</v>
      </c>
      <c r="D69" t="s">
        <v>205</v>
      </c>
      <c r="E69" t="s">
        <v>173</v>
      </c>
      <c r="F69" t="s">
        <v>197</v>
      </c>
      <c r="G69" t="s">
        <v>60</v>
      </c>
      <c r="H69">
        <v>58689</v>
      </c>
      <c r="I69">
        <v>213.669166666666</v>
      </c>
      <c r="J69">
        <v>274.67229322589799</v>
      </c>
      <c r="K69">
        <v>328.600554175296</v>
      </c>
      <c r="L69">
        <v>178.60286373312499</v>
      </c>
      <c r="M69">
        <v>-35.066302933541202</v>
      </c>
      <c r="N69">
        <v>0.83588505781816302</v>
      </c>
      <c r="P69">
        <v>0</v>
      </c>
      <c r="Q69">
        <v>0</v>
      </c>
      <c r="R69">
        <v>0</v>
      </c>
      <c r="S69">
        <v>0</v>
      </c>
    </row>
    <row r="70" spans="1:19" x14ac:dyDescent="0.35">
      <c r="A70" t="s">
        <v>54</v>
      </c>
      <c r="B70">
        <v>69</v>
      </c>
      <c r="C70" t="s">
        <v>206</v>
      </c>
      <c r="D70" t="s">
        <v>207</v>
      </c>
      <c r="E70" t="s">
        <v>173</v>
      </c>
      <c r="F70" t="s">
        <v>207</v>
      </c>
      <c r="G70" t="s">
        <v>60</v>
      </c>
      <c r="H70">
        <v>66119</v>
      </c>
      <c r="I70">
        <v>21.8888888888888</v>
      </c>
      <c r="J70">
        <v>3020.6649746192802</v>
      </c>
      <c r="K70">
        <v>3465</v>
      </c>
      <c r="L70">
        <v>19.0819624819624</v>
      </c>
      <c r="M70">
        <v>-2.8069264069263999</v>
      </c>
      <c r="N70">
        <v>0.87176478343991004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35">
      <c r="A71" t="s">
        <v>54</v>
      </c>
      <c r="B71">
        <v>70</v>
      </c>
      <c r="C71" t="s">
        <v>208</v>
      </c>
      <c r="D71" t="s">
        <v>209</v>
      </c>
      <c r="E71" t="s">
        <v>173</v>
      </c>
      <c r="F71" t="s">
        <v>209</v>
      </c>
      <c r="G71" t="s">
        <v>57</v>
      </c>
      <c r="H71">
        <v>66119</v>
      </c>
      <c r="I71">
        <v>56.516111111111101</v>
      </c>
      <c r="J71">
        <v>1169.9141837627401</v>
      </c>
      <c r="K71">
        <v>1524.999996</v>
      </c>
      <c r="L71">
        <v>43.356721425197897</v>
      </c>
      <c r="M71">
        <v>-13.1593896859131</v>
      </c>
      <c r="N71">
        <v>0.76715684382384797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35">
      <c r="A72" t="s">
        <v>54</v>
      </c>
      <c r="B72">
        <v>71</v>
      </c>
      <c r="C72" t="s">
        <v>210</v>
      </c>
      <c r="D72" t="s">
        <v>211</v>
      </c>
      <c r="E72" t="s">
        <v>173</v>
      </c>
      <c r="F72" t="s">
        <v>211</v>
      </c>
      <c r="G72" t="s">
        <v>57</v>
      </c>
      <c r="H72">
        <v>66119</v>
      </c>
      <c r="I72">
        <v>20.251666666666601</v>
      </c>
      <c r="J72">
        <v>3264.8670891284601</v>
      </c>
      <c r="K72">
        <v>3499.999992</v>
      </c>
      <c r="L72">
        <v>18.891142900322599</v>
      </c>
      <c r="M72">
        <v>-1.3605237663440499</v>
      </c>
      <c r="N72">
        <v>0.93281917045457696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35">
      <c r="A73" t="s">
        <v>54</v>
      </c>
      <c r="B73">
        <v>72</v>
      </c>
      <c r="C73" t="s">
        <v>212</v>
      </c>
      <c r="D73" t="s">
        <v>213</v>
      </c>
      <c r="E73" t="s">
        <v>173</v>
      </c>
      <c r="F73" t="s">
        <v>214</v>
      </c>
      <c r="G73" t="s">
        <v>57</v>
      </c>
      <c r="H73">
        <v>66119</v>
      </c>
      <c r="I73">
        <v>14.799722222222201</v>
      </c>
      <c r="J73">
        <v>4467.5838510482499</v>
      </c>
      <c r="K73">
        <v>5000.0000040000004</v>
      </c>
      <c r="L73">
        <v>13.2237999894209</v>
      </c>
      <c r="M73">
        <v>-1.5759222328012601</v>
      </c>
      <c r="N73">
        <v>0.89351676949483705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35">
      <c r="A74" t="s">
        <v>54</v>
      </c>
      <c r="B74">
        <v>73</v>
      </c>
      <c r="C74" t="s">
        <v>215</v>
      </c>
      <c r="D74" t="s">
        <v>216</v>
      </c>
      <c r="E74" t="s">
        <v>173</v>
      </c>
      <c r="F74" t="s">
        <v>170</v>
      </c>
      <c r="G74" t="s">
        <v>57</v>
      </c>
      <c r="H74">
        <v>66119</v>
      </c>
      <c r="I74">
        <v>327.12555555555502</v>
      </c>
      <c r="J74">
        <v>202.12116992116501</v>
      </c>
      <c r="K74">
        <v>242.05538690185799</v>
      </c>
      <c r="L74">
        <v>273.15649053002898</v>
      </c>
      <c r="M74">
        <v>-53.969065025526</v>
      </c>
      <c r="N74">
        <v>0.83502033360288597</v>
      </c>
      <c r="P74">
        <v>0</v>
      </c>
      <c r="Q74">
        <v>0</v>
      </c>
      <c r="R74">
        <v>0</v>
      </c>
      <c r="S74">
        <v>0</v>
      </c>
    </row>
    <row r="75" spans="1:19" x14ac:dyDescent="0.35">
      <c r="A75" t="s">
        <v>54</v>
      </c>
      <c r="B75">
        <v>74</v>
      </c>
      <c r="C75" t="s">
        <v>217</v>
      </c>
      <c r="D75" t="s">
        <v>218</v>
      </c>
      <c r="E75" t="s">
        <v>219</v>
      </c>
      <c r="F75" t="s">
        <v>9</v>
      </c>
      <c r="G75" t="s">
        <v>60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 x14ac:dyDescent="0.35">
      <c r="A76" t="s">
        <v>54</v>
      </c>
      <c r="B76">
        <v>75</v>
      </c>
      <c r="C76" t="s">
        <v>220</v>
      </c>
      <c r="D76" t="s">
        <v>221</v>
      </c>
      <c r="E76" t="s">
        <v>219</v>
      </c>
      <c r="F76" t="s">
        <v>9</v>
      </c>
      <c r="G76" t="s">
        <v>60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 x14ac:dyDescent="0.35">
      <c r="A77" t="s">
        <v>54</v>
      </c>
      <c r="B77">
        <v>76</v>
      </c>
      <c r="C77" t="s">
        <v>222</v>
      </c>
      <c r="D77" t="s">
        <v>223</v>
      </c>
      <c r="E77" t="s">
        <v>219</v>
      </c>
      <c r="F77" t="s">
        <v>9</v>
      </c>
      <c r="G77" t="s">
        <v>60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35">
      <c r="A78" t="s">
        <v>54</v>
      </c>
      <c r="B78">
        <v>77</v>
      </c>
      <c r="C78" t="s">
        <v>224</v>
      </c>
      <c r="D78" t="s">
        <v>225</v>
      </c>
      <c r="E78" t="s">
        <v>219</v>
      </c>
      <c r="F78" t="s">
        <v>9</v>
      </c>
      <c r="G78" t="s">
        <v>60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35">
      <c r="A79" t="s">
        <v>54</v>
      </c>
      <c r="B79">
        <v>78</v>
      </c>
      <c r="C79" t="s">
        <v>226</v>
      </c>
      <c r="D79" t="s">
        <v>227</v>
      </c>
      <c r="E79" t="s">
        <v>219</v>
      </c>
      <c r="F79" t="s">
        <v>9</v>
      </c>
      <c r="G79" t="s">
        <v>60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P79">
        <v>0</v>
      </c>
      <c r="Q79">
        <v>0</v>
      </c>
      <c r="R79">
        <v>0</v>
      </c>
      <c r="S79">
        <v>0</v>
      </c>
    </row>
    <row r="80" spans="1:19" x14ac:dyDescent="0.35">
      <c r="A80" t="s">
        <v>54</v>
      </c>
      <c r="B80">
        <v>79</v>
      </c>
      <c r="C80" t="s">
        <v>228</v>
      </c>
      <c r="D80" t="s">
        <v>229</v>
      </c>
      <c r="E80" t="s">
        <v>219</v>
      </c>
      <c r="F80" t="s">
        <v>9</v>
      </c>
      <c r="G80" t="s">
        <v>57</v>
      </c>
      <c r="H80">
        <v>58689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35">
      <c r="A81" t="s">
        <v>54</v>
      </c>
      <c r="B81">
        <v>80</v>
      </c>
      <c r="C81" t="s">
        <v>230</v>
      </c>
      <c r="D81" t="s">
        <v>231</v>
      </c>
      <c r="E81" t="s">
        <v>219</v>
      </c>
      <c r="F81" t="s">
        <v>9</v>
      </c>
      <c r="G81" t="s">
        <v>57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P81">
        <v>0</v>
      </c>
      <c r="Q81">
        <v>0</v>
      </c>
      <c r="R81">
        <v>0</v>
      </c>
      <c r="S81">
        <v>0</v>
      </c>
    </row>
    <row r="82" spans="1:19" x14ac:dyDescent="0.35">
      <c r="A82" t="s">
        <v>54</v>
      </c>
      <c r="B82">
        <v>81</v>
      </c>
      <c r="C82" t="s">
        <v>232</v>
      </c>
      <c r="D82" t="s">
        <v>233</v>
      </c>
      <c r="E82" t="s">
        <v>219</v>
      </c>
      <c r="F82" t="s">
        <v>234</v>
      </c>
      <c r="G82" t="s">
        <v>60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35">
      <c r="A83" t="s">
        <v>54</v>
      </c>
      <c r="B83">
        <v>82</v>
      </c>
      <c r="C83" t="s">
        <v>235</v>
      </c>
      <c r="D83" t="s">
        <v>236</v>
      </c>
      <c r="E83" t="s">
        <v>219</v>
      </c>
      <c r="F83" t="s">
        <v>234</v>
      </c>
      <c r="G83" t="s">
        <v>60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35">
      <c r="A84" t="s">
        <v>54</v>
      </c>
      <c r="B84">
        <v>83</v>
      </c>
      <c r="C84" t="s">
        <v>237</v>
      </c>
      <c r="D84" t="s">
        <v>238</v>
      </c>
      <c r="E84" t="s">
        <v>219</v>
      </c>
      <c r="F84" t="s">
        <v>234</v>
      </c>
      <c r="G84" t="s">
        <v>60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x14ac:dyDescent="0.35">
      <c r="A85" t="s">
        <v>54</v>
      </c>
      <c r="B85">
        <v>84</v>
      </c>
      <c r="C85" t="s">
        <v>239</v>
      </c>
      <c r="D85" t="s">
        <v>240</v>
      </c>
      <c r="E85" t="s">
        <v>219</v>
      </c>
      <c r="F85" t="s">
        <v>234</v>
      </c>
      <c r="G85" t="s">
        <v>60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1:19" x14ac:dyDescent="0.35">
      <c r="A86" t="s">
        <v>54</v>
      </c>
      <c r="B86">
        <v>85</v>
      </c>
      <c r="C86" t="s">
        <v>241</v>
      </c>
      <c r="D86" t="s">
        <v>242</v>
      </c>
      <c r="E86" t="s">
        <v>219</v>
      </c>
      <c r="F86" t="s">
        <v>234</v>
      </c>
      <c r="G86" t="s">
        <v>60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P86">
        <v>0</v>
      </c>
      <c r="Q86">
        <v>0</v>
      </c>
      <c r="R86">
        <v>0</v>
      </c>
      <c r="S86">
        <v>0</v>
      </c>
    </row>
    <row r="87" spans="1:19" x14ac:dyDescent="0.35">
      <c r="A87" t="s">
        <v>54</v>
      </c>
      <c r="B87">
        <v>86</v>
      </c>
      <c r="C87" t="s">
        <v>243</v>
      </c>
      <c r="D87" t="s">
        <v>244</v>
      </c>
      <c r="E87" t="s">
        <v>219</v>
      </c>
      <c r="F87" t="s">
        <v>234</v>
      </c>
      <c r="G87" t="s">
        <v>60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1:19" x14ac:dyDescent="0.35">
      <c r="A88" t="s">
        <v>54</v>
      </c>
      <c r="B88">
        <v>87</v>
      </c>
      <c r="C88" t="s">
        <v>245</v>
      </c>
      <c r="D88" t="s">
        <v>246</v>
      </c>
      <c r="E88" t="s">
        <v>219</v>
      </c>
      <c r="F88" t="s">
        <v>234</v>
      </c>
      <c r="G88" t="s">
        <v>60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1:19" x14ac:dyDescent="0.35">
      <c r="A89" t="s">
        <v>54</v>
      </c>
      <c r="B89">
        <v>88</v>
      </c>
      <c r="C89" t="s">
        <v>247</v>
      </c>
      <c r="D89" t="s">
        <v>248</v>
      </c>
      <c r="E89" t="s">
        <v>219</v>
      </c>
      <c r="F89" t="s">
        <v>234</v>
      </c>
      <c r="G89" t="s">
        <v>60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1:19" x14ac:dyDescent="0.35">
      <c r="A90" t="s">
        <v>54</v>
      </c>
      <c r="B90">
        <v>89</v>
      </c>
      <c r="C90" t="s">
        <v>249</v>
      </c>
      <c r="D90" t="s">
        <v>250</v>
      </c>
      <c r="E90" t="s">
        <v>219</v>
      </c>
      <c r="F90" t="s">
        <v>234</v>
      </c>
      <c r="G90" t="s">
        <v>60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1:19" x14ac:dyDescent="0.35">
      <c r="A91" t="s">
        <v>54</v>
      </c>
      <c r="B91">
        <v>90</v>
      </c>
      <c r="C91" t="s">
        <v>251</v>
      </c>
      <c r="D91" t="s">
        <v>252</v>
      </c>
      <c r="E91" t="s">
        <v>219</v>
      </c>
      <c r="F91" t="s">
        <v>234</v>
      </c>
      <c r="G91" t="s">
        <v>60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P91">
        <v>0</v>
      </c>
      <c r="Q91">
        <v>0</v>
      </c>
      <c r="R91">
        <v>0</v>
      </c>
      <c r="S91">
        <v>0</v>
      </c>
    </row>
    <row r="92" spans="1:19" x14ac:dyDescent="0.35">
      <c r="A92" t="s">
        <v>54</v>
      </c>
      <c r="B92">
        <v>91</v>
      </c>
      <c r="C92" t="s">
        <v>253</v>
      </c>
      <c r="D92" t="s">
        <v>254</v>
      </c>
      <c r="E92" t="s">
        <v>219</v>
      </c>
      <c r="F92" t="s">
        <v>234</v>
      </c>
      <c r="G92" t="s">
        <v>57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1:19" x14ac:dyDescent="0.35">
      <c r="A93" t="s">
        <v>54</v>
      </c>
      <c r="B93">
        <v>92</v>
      </c>
      <c r="C93" t="s">
        <v>255</v>
      </c>
      <c r="D93" t="s">
        <v>256</v>
      </c>
      <c r="E93" t="s">
        <v>219</v>
      </c>
      <c r="F93" t="s">
        <v>234</v>
      </c>
      <c r="G93" t="s">
        <v>60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P93">
        <v>0</v>
      </c>
      <c r="Q93">
        <v>0</v>
      </c>
      <c r="R93">
        <v>0</v>
      </c>
      <c r="S93">
        <v>0</v>
      </c>
    </row>
    <row r="94" spans="1:19" x14ac:dyDescent="0.35">
      <c r="A94" t="s">
        <v>54</v>
      </c>
      <c r="B94">
        <v>93</v>
      </c>
      <c r="C94" t="s">
        <v>257</v>
      </c>
      <c r="D94" t="s">
        <v>258</v>
      </c>
      <c r="E94" t="s">
        <v>219</v>
      </c>
      <c r="F94" t="s">
        <v>259</v>
      </c>
      <c r="G94" t="s">
        <v>60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1:19" x14ac:dyDescent="0.35">
      <c r="A95" t="s">
        <v>54</v>
      </c>
      <c r="B95">
        <v>94</v>
      </c>
      <c r="C95" t="s">
        <v>260</v>
      </c>
      <c r="D95" t="s">
        <v>261</v>
      </c>
      <c r="E95" t="s">
        <v>219</v>
      </c>
      <c r="F95" t="s">
        <v>259</v>
      </c>
      <c r="G95" t="s">
        <v>60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1:19" x14ac:dyDescent="0.35">
      <c r="A96" t="s">
        <v>54</v>
      </c>
      <c r="B96">
        <v>95</v>
      </c>
      <c r="C96" t="s">
        <v>262</v>
      </c>
      <c r="D96" t="s">
        <v>263</v>
      </c>
      <c r="E96" t="s">
        <v>219</v>
      </c>
      <c r="F96" t="s">
        <v>259</v>
      </c>
      <c r="G96" t="s">
        <v>60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 x14ac:dyDescent="0.35">
      <c r="A97" t="s">
        <v>54</v>
      </c>
      <c r="B97">
        <v>96</v>
      </c>
      <c r="C97" t="s">
        <v>264</v>
      </c>
      <c r="D97" t="s">
        <v>265</v>
      </c>
      <c r="E97" t="s">
        <v>219</v>
      </c>
      <c r="F97" t="s">
        <v>259</v>
      </c>
      <c r="G97" t="s">
        <v>60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1:19" x14ac:dyDescent="0.35">
      <c r="A98" t="s">
        <v>54</v>
      </c>
      <c r="B98">
        <v>97</v>
      </c>
      <c r="C98" t="s">
        <v>266</v>
      </c>
      <c r="D98" t="s">
        <v>267</v>
      </c>
      <c r="E98" t="s">
        <v>219</v>
      </c>
      <c r="F98" t="s">
        <v>259</v>
      </c>
      <c r="G98" t="s">
        <v>60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P98">
        <v>0</v>
      </c>
      <c r="Q98">
        <v>0</v>
      </c>
      <c r="R98">
        <v>0</v>
      </c>
      <c r="S98">
        <v>0</v>
      </c>
    </row>
    <row r="99" spans="1:19" x14ac:dyDescent="0.35">
      <c r="A99" t="s">
        <v>54</v>
      </c>
      <c r="B99">
        <v>98</v>
      </c>
      <c r="C99" t="s">
        <v>268</v>
      </c>
      <c r="D99" t="s">
        <v>269</v>
      </c>
      <c r="E99" t="s">
        <v>219</v>
      </c>
      <c r="F99" t="s">
        <v>259</v>
      </c>
      <c r="G99" t="s">
        <v>270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 x14ac:dyDescent="0.35">
      <c r="A100" t="s">
        <v>54</v>
      </c>
      <c r="B100">
        <v>99</v>
      </c>
      <c r="C100" t="s">
        <v>271</v>
      </c>
      <c r="D100" t="s">
        <v>272</v>
      </c>
      <c r="E100" t="s">
        <v>219</v>
      </c>
      <c r="F100" t="s">
        <v>259</v>
      </c>
      <c r="G100" t="s">
        <v>60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1:19" x14ac:dyDescent="0.35">
      <c r="A101" t="s">
        <v>54</v>
      </c>
      <c r="B101">
        <v>100</v>
      </c>
      <c r="C101" t="s">
        <v>273</v>
      </c>
      <c r="D101" t="s">
        <v>274</v>
      </c>
      <c r="E101" t="s">
        <v>219</v>
      </c>
      <c r="F101" t="s">
        <v>259</v>
      </c>
      <c r="G101" t="s">
        <v>60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1:19" x14ac:dyDescent="0.35">
      <c r="A102" t="s">
        <v>54</v>
      </c>
      <c r="B102">
        <v>101</v>
      </c>
      <c r="C102" t="s">
        <v>275</v>
      </c>
      <c r="D102" t="s">
        <v>276</v>
      </c>
      <c r="E102" t="s">
        <v>219</v>
      </c>
      <c r="F102" t="s">
        <v>259</v>
      </c>
      <c r="G102" t="s">
        <v>60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1:19" x14ac:dyDescent="0.35">
      <c r="A103" t="s">
        <v>54</v>
      </c>
      <c r="B103">
        <v>102</v>
      </c>
      <c r="C103" t="s">
        <v>277</v>
      </c>
      <c r="D103" t="s">
        <v>278</v>
      </c>
      <c r="E103" t="s">
        <v>219</v>
      </c>
      <c r="F103" t="s">
        <v>259</v>
      </c>
      <c r="G103" t="s">
        <v>60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1:19" x14ac:dyDescent="0.35">
      <c r="A104" t="s">
        <v>54</v>
      </c>
      <c r="B104">
        <v>103</v>
      </c>
      <c r="C104" t="s">
        <v>279</v>
      </c>
      <c r="D104" t="s">
        <v>280</v>
      </c>
      <c r="E104" t="s">
        <v>219</v>
      </c>
      <c r="F104" t="s">
        <v>259</v>
      </c>
      <c r="G104" t="s">
        <v>60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1:19" x14ac:dyDescent="0.35">
      <c r="A105" t="s">
        <v>54</v>
      </c>
      <c r="B105">
        <v>104</v>
      </c>
      <c r="C105" t="s">
        <v>281</v>
      </c>
      <c r="D105" t="s">
        <v>282</v>
      </c>
      <c r="E105" t="s">
        <v>219</v>
      </c>
      <c r="F105" t="s">
        <v>259</v>
      </c>
      <c r="G105" t="s">
        <v>60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1:19" x14ac:dyDescent="0.35">
      <c r="A106" t="s">
        <v>54</v>
      </c>
      <c r="B106">
        <v>105</v>
      </c>
      <c r="C106" t="s">
        <v>283</v>
      </c>
      <c r="D106" t="s">
        <v>284</v>
      </c>
      <c r="E106" t="s">
        <v>219</v>
      </c>
      <c r="F106" t="s">
        <v>259</v>
      </c>
      <c r="G106" t="s">
        <v>60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P106">
        <v>0</v>
      </c>
      <c r="Q106">
        <v>0</v>
      </c>
      <c r="R106">
        <v>0</v>
      </c>
      <c r="S106">
        <v>0</v>
      </c>
    </row>
    <row r="107" spans="1:19" x14ac:dyDescent="0.35">
      <c r="A107" t="s">
        <v>54</v>
      </c>
      <c r="B107">
        <v>106</v>
      </c>
      <c r="C107" t="s">
        <v>285</v>
      </c>
      <c r="D107" t="s">
        <v>286</v>
      </c>
      <c r="E107" t="s">
        <v>219</v>
      </c>
      <c r="F107" t="s">
        <v>259</v>
      </c>
      <c r="G107" t="s">
        <v>60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1:19" x14ac:dyDescent="0.35">
      <c r="A108" t="s">
        <v>54</v>
      </c>
      <c r="B108">
        <v>107</v>
      </c>
      <c r="C108" t="s">
        <v>287</v>
      </c>
      <c r="D108" t="s">
        <v>288</v>
      </c>
      <c r="E108" t="s">
        <v>219</v>
      </c>
      <c r="F108" t="s">
        <v>259</v>
      </c>
      <c r="G108" t="s">
        <v>60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1:19" x14ac:dyDescent="0.35">
      <c r="A109" t="s">
        <v>54</v>
      </c>
      <c r="B109">
        <v>108</v>
      </c>
      <c r="C109" t="s">
        <v>289</v>
      </c>
      <c r="D109" t="s">
        <v>290</v>
      </c>
      <c r="E109" t="s">
        <v>219</v>
      </c>
      <c r="F109" t="s">
        <v>259</v>
      </c>
      <c r="G109" t="s">
        <v>60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1:19" x14ac:dyDescent="0.35">
      <c r="A110" t="s">
        <v>54</v>
      </c>
      <c r="B110">
        <v>109</v>
      </c>
      <c r="C110" t="s">
        <v>291</v>
      </c>
      <c r="D110" t="s">
        <v>292</v>
      </c>
      <c r="E110" t="s">
        <v>219</v>
      </c>
      <c r="F110" t="s">
        <v>259</v>
      </c>
      <c r="G110" t="s">
        <v>60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1:19" x14ac:dyDescent="0.35">
      <c r="A111" t="s">
        <v>54</v>
      </c>
      <c r="B111">
        <v>110</v>
      </c>
      <c r="C111" t="s">
        <v>293</v>
      </c>
      <c r="D111" t="s">
        <v>294</v>
      </c>
      <c r="E111" t="s">
        <v>219</v>
      </c>
      <c r="F111" t="s">
        <v>259</v>
      </c>
      <c r="G111" t="s">
        <v>60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P111">
        <v>0</v>
      </c>
      <c r="Q111">
        <v>0</v>
      </c>
      <c r="R111">
        <v>0</v>
      </c>
      <c r="S111">
        <v>0</v>
      </c>
    </row>
    <row r="112" spans="1:19" x14ac:dyDescent="0.35">
      <c r="A112" t="s">
        <v>54</v>
      </c>
      <c r="B112">
        <v>111</v>
      </c>
      <c r="C112" t="s">
        <v>295</v>
      </c>
      <c r="D112" t="s">
        <v>296</v>
      </c>
      <c r="E112" t="s">
        <v>219</v>
      </c>
      <c r="F112" t="s">
        <v>259</v>
      </c>
      <c r="G112" t="s">
        <v>57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1:19" x14ac:dyDescent="0.35">
      <c r="A113" t="s">
        <v>54</v>
      </c>
      <c r="B113">
        <v>112</v>
      </c>
      <c r="C113" t="s">
        <v>297</v>
      </c>
      <c r="D113" t="s">
        <v>298</v>
      </c>
      <c r="E113" t="s">
        <v>219</v>
      </c>
      <c r="F113" t="s">
        <v>299</v>
      </c>
      <c r="G113" t="s">
        <v>60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1:19" x14ac:dyDescent="0.35">
      <c r="A114" t="s">
        <v>54</v>
      </c>
      <c r="B114">
        <v>113</v>
      </c>
      <c r="C114" t="s">
        <v>300</v>
      </c>
      <c r="D114" t="s">
        <v>301</v>
      </c>
      <c r="E114" t="s">
        <v>219</v>
      </c>
      <c r="F114" t="s">
        <v>299</v>
      </c>
      <c r="G114" t="s">
        <v>60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1:19" x14ac:dyDescent="0.35">
      <c r="A115" t="s">
        <v>54</v>
      </c>
      <c r="B115">
        <v>114</v>
      </c>
      <c r="C115" t="s">
        <v>302</v>
      </c>
      <c r="D115" t="s">
        <v>303</v>
      </c>
      <c r="E115" t="s">
        <v>219</v>
      </c>
      <c r="F115" t="s">
        <v>299</v>
      </c>
      <c r="G115" t="s">
        <v>60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1:19" x14ac:dyDescent="0.35">
      <c r="A116" t="s">
        <v>54</v>
      </c>
      <c r="B116">
        <v>115</v>
      </c>
      <c r="C116" t="s">
        <v>304</v>
      </c>
      <c r="D116" t="s">
        <v>305</v>
      </c>
      <c r="E116" t="s">
        <v>219</v>
      </c>
      <c r="F116" t="s">
        <v>299</v>
      </c>
      <c r="G116" t="s">
        <v>60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1:19" x14ac:dyDescent="0.35">
      <c r="A117" t="s">
        <v>54</v>
      </c>
      <c r="B117">
        <v>116</v>
      </c>
      <c r="C117" t="s">
        <v>306</v>
      </c>
      <c r="D117" t="s">
        <v>307</v>
      </c>
      <c r="E117" t="s">
        <v>219</v>
      </c>
      <c r="F117" t="s">
        <v>299</v>
      </c>
      <c r="G117" t="s">
        <v>60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P117">
        <v>0</v>
      </c>
      <c r="Q117">
        <v>0</v>
      </c>
      <c r="R117">
        <v>0</v>
      </c>
      <c r="S117">
        <v>0</v>
      </c>
    </row>
    <row r="118" spans="1:19" x14ac:dyDescent="0.35">
      <c r="A118" t="s">
        <v>54</v>
      </c>
      <c r="B118">
        <v>117</v>
      </c>
      <c r="C118" t="s">
        <v>308</v>
      </c>
      <c r="D118" t="s">
        <v>309</v>
      </c>
      <c r="E118" t="s">
        <v>219</v>
      </c>
      <c r="F118" t="s">
        <v>309</v>
      </c>
      <c r="G118" t="s">
        <v>60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1:19" x14ac:dyDescent="0.35">
      <c r="A119" t="s">
        <v>54</v>
      </c>
      <c r="B119">
        <v>118</v>
      </c>
      <c r="C119" t="s">
        <v>310</v>
      </c>
      <c r="D119" t="s">
        <v>311</v>
      </c>
      <c r="E119" t="s">
        <v>219</v>
      </c>
      <c r="F119" t="s">
        <v>312</v>
      </c>
      <c r="G119" t="s">
        <v>60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1:19" x14ac:dyDescent="0.35">
      <c r="A120" t="s">
        <v>54</v>
      </c>
      <c r="B120">
        <v>119</v>
      </c>
      <c r="C120" t="s">
        <v>313</v>
      </c>
      <c r="D120" t="s">
        <v>314</v>
      </c>
      <c r="E120" t="s">
        <v>219</v>
      </c>
      <c r="F120" t="s">
        <v>315</v>
      </c>
      <c r="G120" t="s">
        <v>60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</row>
    <row r="121" spans="1:19" x14ac:dyDescent="0.35">
      <c r="A121" t="s">
        <v>54</v>
      </c>
      <c r="B121">
        <v>120</v>
      </c>
      <c r="C121" t="s">
        <v>316</v>
      </c>
      <c r="D121" t="s">
        <v>317</v>
      </c>
      <c r="E121" t="s">
        <v>219</v>
      </c>
      <c r="F121" t="s">
        <v>170</v>
      </c>
      <c r="G121" t="s">
        <v>60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P121">
        <v>0</v>
      </c>
      <c r="Q121">
        <v>0</v>
      </c>
      <c r="R121">
        <v>0</v>
      </c>
      <c r="S121">
        <v>0</v>
      </c>
    </row>
    <row r="122" spans="1:19" x14ac:dyDescent="0.35">
      <c r="A122" t="s">
        <v>54</v>
      </c>
      <c r="B122">
        <v>121</v>
      </c>
      <c r="C122" t="s">
        <v>318</v>
      </c>
      <c r="D122" t="s">
        <v>319</v>
      </c>
      <c r="E122" t="s">
        <v>320</v>
      </c>
      <c r="F122" t="s">
        <v>321</v>
      </c>
      <c r="G122" t="s">
        <v>60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1:19" x14ac:dyDescent="0.35">
      <c r="A123" t="s">
        <v>54</v>
      </c>
      <c r="B123">
        <v>122</v>
      </c>
      <c r="C123" t="s">
        <v>322</v>
      </c>
      <c r="D123" t="s">
        <v>323</v>
      </c>
      <c r="E123" t="s">
        <v>320</v>
      </c>
      <c r="F123" t="s">
        <v>321</v>
      </c>
      <c r="G123" t="s">
        <v>60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1:19" x14ac:dyDescent="0.35">
      <c r="A124" t="s">
        <v>54</v>
      </c>
      <c r="B124">
        <v>123</v>
      </c>
      <c r="C124" t="s">
        <v>324</v>
      </c>
      <c r="D124" t="s">
        <v>325</v>
      </c>
      <c r="E124" t="s">
        <v>320</v>
      </c>
      <c r="F124" t="s">
        <v>321</v>
      </c>
      <c r="G124" t="s">
        <v>60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1:19" x14ac:dyDescent="0.35">
      <c r="A125" t="s">
        <v>54</v>
      </c>
      <c r="B125">
        <v>124</v>
      </c>
      <c r="C125" t="s">
        <v>326</v>
      </c>
      <c r="D125" t="s">
        <v>327</v>
      </c>
      <c r="E125" t="s">
        <v>320</v>
      </c>
      <c r="F125" t="s">
        <v>321</v>
      </c>
      <c r="G125" t="s">
        <v>60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1:19" x14ac:dyDescent="0.35">
      <c r="A126" t="s">
        <v>54</v>
      </c>
      <c r="B126">
        <v>125</v>
      </c>
      <c r="C126" t="s">
        <v>328</v>
      </c>
      <c r="D126" t="s">
        <v>329</v>
      </c>
      <c r="E126" t="s">
        <v>320</v>
      </c>
      <c r="F126" t="s">
        <v>321</v>
      </c>
      <c r="G126" t="s">
        <v>57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P126">
        <v>0</v>
      </c>
      <c r="Q126">
        <v>0</v>
      </c>
      <c r="R126">
        <v>0</v>
      </c>
      <c r="S126">
        <v>0</v>
      </c>
    </row>
    <row r="127" spans="1:19" x14ac:dyDescent="0.35">
      <c r="A127" t="s">
        <v>54</v>
      </c>
      <c r="B127">
        <v>126</v>
      </c>
      <c r="C127" t="s">
        <v>330</v>
      </c>
      <c r="D127" t="s">
        <v>331</v>
      </c>
      <c r="E127" t="s">
        <v>320</v>
      </c>
      <c r="F127" t="s">
        <v>321</v>
      </c>
      <c r="G127" t="s">
        <v>60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</row>
    <row r="128" spans="1:19" x14ac:dyDescent="0.35">
      <c r="A128" t="s">
        <v>54</v>
      </c>
      <c r="B128">
        <v>127</v>
      </c>
      <c r="C128" t="s">
        <v>332</v>
      </c>
      <c r="D128" t="s">
        <v>333</v>
      </c>
      <c r="E128" t="s">
        <v>320</v>
      </c>
      <c r="F128" t="s">
        <v>321</v>
      </c>
      <c r="G128" t="s">
        <v>60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1:19" x14ac:dyDescent="0.35">
      <c r="A129" t="s">
        <v>54</v>
      </c>
      <c r="B129">
        <v>128</v>
      </c>
      <c r="C129" t="s">
        <v>334</v>
      </c>
      <c r="D129" t="s">
        <v>335</v>
      </c>
      <c r="E129" t="s">
        <v>320</v>
      </c>
      <c r="F129" t="s">
        <v>321</v>
      </c>
      <c r="G129" t="s">
        <v>60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1:19" x14ac:dyDescent="0.35">
      <c r="A130" t="s">
        <v>54</v>
      </c>
      <c r="B130">
        <v>129</v>
      </c>
      <c r="C130" t="s">
        <v>336</v>
      </c>
      <c r="D130" t="s">
        <v>337</v>
      </c>
      <c r="E130" t="s">
        <v>320</v>
      </c>
      <c r="F130" t="s">
        <v>321</v>
      </c>
      <c r="G130" t="s">
        <v>60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1:19" x14ac:dyDescent="0.35">
      <c r="A131" t="s">
        <v>54</v>
      </c>
      <c r="B131">
        <v>130</v>
      </c>
      <c r="C131" t="s">
        <v>338</v>
      </c>
      <c r="D131" t="s">
        <v>339</v>
      </c>
      <c r="E131" t="s">
        <v>320</v>
      </c>
      <c r="F131" t="s">
        <v>321</v>
      </c>
      <c r="G131" t="s">
        <v>57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P131">
        <v>0</v>
      </c>
      <c r="Q131">
        <v>0</v>
      </c>
      <c r="R131">
        <v>0</v>
      </c>
      <c r="S131">
        <v>0</v>
      </c>
    </row>
    <row r="132" spans="1:19" x14ac:dyDescent="0.35">
      <c r="A132" t="s">
        <v>54</v>
      </c>
      <c r="B132">
        <v>131</v>
      </c>
      <c r="C132" t="s">
        <v>340</v>
      </c>
      <c r="D132" t="s">
        <v>341</v>
      </c>
      <c r="E132" t="s">
        <v>320</v>
      </c>
      <c r="F132" t="s">
        <v>321</v>
      </c>
      <c r="G132" t="s">
        <v>57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1:19" x14ac:dyDescent="0.35">
      <c r="A133" t="s">
        <v>54</v>
      </c>
      <c r="B133">
        <v>132</v>
      </c>
      <c r="C133" t="s">
        <v>342</v>
      </c>
      <c r="D133" t="s">
        <v>343</v>
      </c>
      <c r="E133" t="s">
        <v>320</v>
      </c>
      <c r="F133" t="s">
        <v>321</v>
      </c>
      <c r="G133" t="s">
        <v>57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P133">
        <v>0</v>
      </c>
      <c r="Q133">
        <v>0</v>
      </c>
      <c r="R133">
        <v>0</v>
      </c>
      <c r="S133">
        <v>0</v>
      </c>
    </row>
    <row r="134" spans="1:19" x14ac:dyDescent="0.35">
      <c r="A134" t="s">
        <v>54</v>
      </c>
      <c r="B134">
        <v>133</v>
      </c>
      <c r="C134" t="s">
        <v>344</v>
      </c>
      <c r="D134" t="s">
        <v>345</v>
      </c>
      <c r="E134" t="s">
        <v>320</v>
      </c>
      <c r="F134" t="s">
        <v>346</v>
      </c>
      <c r="G134" t="s">
        <v>60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</row>
    <row r="135" spans="1:19" x14ac:dyDescent="0.35">
      <c r="A135" t="s">
        <v>54</v>
      </c>
      <c r="B135">
        <v>134</v>
      </c>
      <c r="C135" t="s">
        <v>347</v>
      </c>
      <c r="D135" t="s">
        <v>348</v>
      </c>
      <c r="E135" t="s">
        <v>320</v>
      </c>
      <c r="F135" t="s">
        <v>346</v>
      </c>
      <c r="G135" t="s">
        <v>60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1:19" x14ac:dyDescent="0.35">
      <c r="A136" t="s">
        <v>54</v>
      </c>
      <c r="B136">
        <v>135</v>
      </c>
      <c r="C136" t="s">
        <v>349</v>
      </c>
      <c r="D136" t="s">
        <v>350</v>
      </c>
      <c r="E136" t="s">
        <v>320</v>
      </c>
      <c r="F136" t="s">
        <v>346</v>
      </c>
      <c r="G136" t="s">
        <v>60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1:19" x14ac:dyDescent="0.35">
      <c r="A137" t="s">
        <v>54</v>
      </c>
      <c r="B137">
        <v>136</v>
      </c>
      <c r="C137" t="s">
        <v>351</v>
      </c>
      <c r="D137" t="s">
        <v>352</v>
      </c>
      <c r="E137" t="s">
        <v>320</v>
      </c>
      <c r="F137" t="s">
        <v>346</v>
      </c>
      <c r="G137" t="s">
        <v>60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1:19" x14ac:dyDescent="0.35">
      <c r="A138" t="s">
        <v>54</v>
      </c>
      <c r="B138">
        <v>137</v>
      </c>
      <c r="C138" t="s">
        <v>353</v>
      </c>
      <c r="D138" t="s">
        <v>354</v>
      </c>
      <c r="E138" t="s">
        <v>320</v>
      </c>
      <c r="F138" t="s">
        <v>346</v>
      </c>
      <c r="G138" t="s">
        <v>60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P138">
        <v>0</v>
      </c>
      <c r="Q138">
        <v>0</v>
      </c>
      <c r="R138">
        <v>0</v>
      </c>
      <c r="S138">
        <v>0</v>
      </c>
    </row>
    <row r="139" spans="1:19" x14ac:dyDescent="0.35">
      <c r="A139" t="s">
        <v>54</v>
      </c>
      <c r="B139">
        <v>138</v>
      </c>
      <c r="C139" t="s">
        <v>355</v>
      </c>
      <c r="D139" t="s">
        <v>356</v>
      </c>
      <c r="E139" t="s">
        <v>320</v>
      </c>
      <c r="F139" t="s">
        <v>346</v>
      </c>
      <c r="G139" t="s">
        <v>60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1:19" x14ac:dyDescent="0.35">
      <c r="A140" t="s">
        <v>54</v>
      </c>
      <c r="B140">
        <v>139</v>
      </c>
      <c r="C140" t="s">
        <v>357</v>
      </c>
      <c r="D140" t="s">
        <v>358</v>
      </c>
      <c r="E140" t="s">
        <v>320</v>
      </c>
      <c r="F140" t="s">
        <v>346</v>
      </c>
      <c r="G140" t="s">
        <v>60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1:19" x14ac:dyDescent="0.35">
      <c r="A141" t="s">
        <v>54</v>
      </c>
      <c r="B141">
        <v>140</v>
      </c>
      <c r="C141" t="s">
        <v>359</v>
      </c>
      <c r="D141" t="s">
        <v>360</v>
      </c>
      <c r="E141" t="s">
        <v>320</v>
      </c>
      <c r="F141" t="s">
        <v>346</v>
      </c>
      <c r="G141" t="s">
        <v>60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1:19" x14ac:dyDescent="0.35">
      <c r="A142" t="s">
        <v>54</v>
      </c>
      <c r="B142">
        <v>141</v>
      </c>
      <c r="C142" t="s">
        <v>361</v>
      </c>
      <c r="D142" t="s">
        <v>362</v>
      </c>
      <c r="E142" t="s">
        <v>320</v>
      </c>
      <c r="F142" t="s">
        <v>346</v>
      </c>
      <c r="G142" t="s">
        <v>60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</row>
    <row r="143" spans="1:19" x14ac:dyDescent="0.35">
      <c r="A143" t="s">
        <v>54</v>
      </c>
      <c r="B143">
        <v>142</v>
      </c>
      <c r="C143" t="s">
        <v>363</v>
      </c>
      <c r="D143" t="s">
        <v>364</v>
      </c>
      <c r="E143" t="s">
        <v>320</v>
      </c>
      <c r="F143" t="s">
        <v>346</v>
      </c>
      <c r="G143" t="s">
        <v>60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P143">
        <v>0</v>
      </c>
      <c r="Q143">
        <v>0</v>
      </c>
      <c r="R143">
        <v>0</v>
      </c>
      <c r="S143">
        <v>0</v>
      </c>
    </row>
    <row r="144" spans="1:19" x14ac:dyDescent="0.35">
      <c r="A144" t="s">
        <v>54</v>
      </c>
      <c r="B144">
        <v>143</v>
      </c>
      <c r="C144" t="s">
        <v>365</v>
      </c>
      <c r="D144" t="s">
        <v>366</v>
      </c>
      <c r="E144" t="s">
        <v>320</v>
      </c>
      <c r="F144" t="s">
        <v>346</v>
      </c>
      <c r="G144" t="s">
        <v>57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1:19" x14ac:dyDescent="0.35">
      <c r="A145" t="s">
        <v>54</v>
      </c>
      <c r="B145">
        <v>144</v>
      </c>
      <c r="C145" t="s">
        <v>367</v>
      </c>
      <c r="D145" t="s">
        <v>368</v>
      </c>
      <c r="E145" t="s">
        <v>320</v>
      </c>
      <c r="F145" t="s">
        <v>346</v>
      </c>
      <c r="G145" t="s">
        <v>60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P145">
        <v>0</v>
      </c>
      <c r="Q145">
        <v>0</v>
      </c>
      <c r="R145">
        <v>0</v>
      </c>
      <c r="S145">
        <v>0</v>
      </c>
    </row>
    <row r="146" spans="1:19" x14ac:dyDescent="0.35">
      <c r="A146" t="s">
        <v>54</v>
      </c>
      <c r="B146">
        <v>145</v>
      </c>
      <c r="C146" t="s">
        <v>369</v>
      </c>
      <c r="D146" t="s">
        <v>370</v>
      </c>
      <c r="E146" t="s">
        <v>320</v>
      </c>
      <c r="F146" t="s">
        <v>371</v>
      </c>
      <c r="G146" t="s">
        <v>60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1:19" x14ac:dyDescent="0.35">
      <c r="A147" t="s">
        <v>54</v>
      </c>
      <c r="B147">
        <v>146</v>
      </c>
      <c r="C147" t="s">
        <v>372</v>
      </c>
      <c r="D147" t="s">
        <v>373</v>
      </c>
      <c r="E147" t="s">
        <v>320</v>
      </c>
      <c r="F147" t="s">
        <v>371</v>
      </c>
      <c r="G147" t="s">
        <v>60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1:19" x14ac:dyDescent="0.35">
      <c r="A148" t="s">
        <v>54</v>
      </c>
      <c r="B148">
        <v>147</v>
      </c>
      <c r="C148" t="s">
        <v>374</v>
      </c>
      <c r="D148" t="s">
        <v>375</v>
      </c>
      <c r="E148" t="s">
        <v>320</v>
      </c>
      <c r="F148" t="s">
        <v>371</v>
      </c>
      <c r="G148" t="s">
        <v>57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1:19" x14ac:dyDescent="0.35">
      <c r="A149" t="s">
        <v>54</v>
      </c>
      <c r="B149">
        <v>148</v>
      </c>
      <c r="C149" t="s">
        <v>376</v>
      </c>
      <c r="D149" t="s">
        <v>377</v>
      </c>
      <c r="E149" t="s">
        <v>320</v>
      </c>
      <c r="F149" t="s">
        <v>371</v>
      </c>
      <c r="G149" t="s">
        <v>57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P149">
        <v>0</v>
      </c>
      <c r="Q149">
        <v>0</v>
      </c>
      <c r="R149">
        <v>0</v>
      </c>
      <c r="S149">
        <v>0</v>
      </c>
    </row>
    <row r="150" spans="1:19" x14ac:dyDescent="0.35">
      <c r="A150" t="s">
        <v>54</v>
      </c>
      <c r="B150">
        <v>149</v>
      </c>
      <c r="C150" t="s">
        <v>378</v>
      </c>
      <c r="D150" t="s">
        <v>379</v>
      </c>
      <c r="E150" t="s">
        <v>320</v>
      </c>
      <c r="F150" t="s">
        <v>380</v>
      </c>
      <c r="G150" t="s">
        <v>60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</row>
    <row r="151" spans="1:19" x14ac:dyDescent="0.35">
      <c r="A151" t="s">
        <v>54</v>
      </c>
      <c r="B151">
        <v>150</v>
      </c>
      <c r="C151" t="s">
        <v>381</v>
      </c>
      <c r="D151" t="s">
        <v>382</v>
      </c>
      <c r="E151" t="s">
        <v>320</v>
      </c>
      <c r="F151" t="s">
        <v>380</v>
      </c>
      <c r="G151" t="s">
        <v>57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</row>
    <row r="152" spans="1:19" x14ac:dyDescent="0.35">
      <c r="A152" t="s">
        <v>54</v>
      </c>
      <c r="B152">
        <v>151</v>
      </c>
      <c r="C152" t="s">
        <v>383</v>
      </c>
      <c r="D152" t="s">
        <v>384</v>
      </c>
      <c r="E152" t="s">
        <v>320</v>
      </c>
      <c r="F152" t="s">
        <v>380</v>
      </c>
      <c r="G152" t="s">
        <v>57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P152">
        <v>0</v>
      </c>
      <c r="Q152">
        <v>0</v>
      </c>
      <c r="R152">
        <v>0</v>
      </c>
      <c r="S152">
        <v>0</v>
      </c>
    </row>
    <row r="153" spans="1:19" x14ac:dyDescent="0.35">
      <c r="A153" t="s">
        <v>54</v>
      </c>
      <c r="B153">
        <v>152</v>
      </c>
      <c r="C153" t="s">
        <v>385</v>
      </c>
      <c r="D153" t="s">
        <v>386</v>
      </c>
      <c r="E153" t="s">
        <v>320</v>
      </c>
      <c r="F153" t="s">
        <v>387</v>
      </c>
      <c r="G153" t="s">
        <v>60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</row>
    <row r="154" spans="1:19" x14ac:dyDescent="0.35">
      <c r="A154" t="s">
        <v>54</v>
      </c>
      <c r="B154">
        <v>153</v>
      </c>
      <c r="C154" t="s">
        <v>388</v>
      </c>
      <c r="D154" t="s">
        <v>389</v>
      </c>
      <c r="E154" t="s">
        <v>320</v>
      </c>
      <c r="F154" t="s">
        <v>387</v>
      </c>
      <c r="G154" t="s">
        <v>57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1:19" x14ac:dyDescent="0.35">
      <c r="A155" t="s">
        <v>54</v>
      </c>
      <c r="B155">
        <v>154</v>
      </c>
      <c r="C155" t="s">
        <v>390</v>
      </c>
      <c r="D155" t="s">
        <v>391</v>
      </c>
      <c r="E155" t="s">
        <v>320</v>
      </c>
      <c r="F155" t="s">
        <v>387</v>
      </c>
      <c r="G155" t="s">
        <v>57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P155">
        <v>0</v>
      </c>
      <c r="Q155">
        <v>0</v>
      </c>
      <c r="R155">
        <v>0</v>
      </c>
      <c r="S155">
        <v>0</v>
      </c>
    </row>
    <row r="156" spans="1:19" x14ac:dyDescent="0.35">
      <c r="A156" t="s">
        <v>54</v>
      </c>
      <c r="B156">
        <v>155</v>
      </c>
      <c r="C156" t="s">
        <v>392</v>
      </c>
      <c r="D156" t="s">
        <v>393</v>
      </c>
      <c r="E156" t="s">
        <v>320</v>
      </c>
      <c r="F156" t="s">
        <v>393</v>
      </c>
      <c r="G156" t="s">
        <v>60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1:19" x14ac:dyDescent="0.35">
      <c r="A157" t="s">
        <v>54</v>
      </c>
      <c r="B157">
        <v>156</v>
      </c>
      <c r="C157" t="s">
        <v>394</v>
      </c>
      <c r="D157" t="s">
        <v>395</v>
      </c>
      <c r="E157" t="s">
        <v>320</v>
      </c>
      <c r="F157" t="s">
        <v>170</v>
      </c>
      <c r="G157" t="s">
        <v>57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P157">
        <v>0</v>
      </c>
      <c r="Q157">
        <v>0</v>
      </c>
      <c r="R157">
        <v>0</v>
      </c>
      <c r="S157">
        <v>0</v>
      </c>
    </row>
    <row r="158" spans="1:19" x14ac:dyDescent="0.35">
      <c r="A158" t="s">
        <v>54</v>
      </c>
      <c r="B158">
        <v>157</v>
      </c>
      <c r="C158" t="s">
        <v>396</v>
      </c>
      <c r="D158" t="s">
        <v>397</v>
      </c>
      <c r="E158" t="s">
        <v>398</v>
      </c>
      <c r="F158" t="s">
        <v>399</v>
      </c>
      <c r="G158" t="s">
        <v>60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</row>
    <row r="159" spans="1:19" x14ac:dyDescent="0.35">
      <c r="A159" t="s">
        <v>54</v>
      </c>
      <c r="B159">
        <v>158</v>
      </c>
      <c r="C159" t="s">
        <v>400</v>
      </c>
      <c r="D159" t="s">
        <v>401</v>
      </c>
      <c r="E159" t="s">
        <v>398</v>
      </c>
      <c r="F159" t="s">
        <v>399</v>
      </c>
      <c r="G159" t="s">
        <v>60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1:19" x14ac:dyDescent="0.35">
      <c r="A160" t="s">
        <v>54</v>
      </c>
      <c r="B160">
        <v>159</v>
      </c>
      <c r="C160" t="s">
        <v>402</v>
      </c>
      <c r="D160" t="s">
        <v>403</v>
      </c>
      <c r="E160" t="s">
        <v>398</v>
      </c>
      <c r="F160" t="s">
        <v>399</v>
      </c>
      <c r="G160" t="s">
        <v>60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1:19" x14ac:dyDescent="0.35">
      <c r="A161" t="s">
        <v>54</v>
      </c>
      <c r="B161">
        <v>160</v>
      </c>
      <c r="C161" t="s">
        <v>404</v>
      </c>
      <c r="D161" t="s">
        <v>405</v>
      </c>
      <c r="E161" t="s">
        <v>406</v>
      </c>
      <c r="F161" t="s">
        <v>406</v>
      </c>
      <c r="G161" t="s">
        <v>57</v>
      </c>
      <c r="H161">
        <v>66119</v>
      </c>
      <c r="I161">
        <v>66.455833333333302</v>
      </c>
      <c r="J161">
        <v>994.93147077633</v>
      </c>
      <c r="K161">
        <v>877.49170537491705</v>
      </c>
      <c r="L161">
        <v>75.349999999999994</v>
      </c>
      <c r="M161">
        <v>8.8941666666666599</v>
      </c>
      <c r="N161">
        <v>1.13383575557701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1:19" x14ac:dyDescent="0.35">
      <c r="A162" t="s">
        <v>54</v>
      </c>
      <c r="B162">
        <v>161</v>
      </c>
      <c r="C162" t="s">
        <v>407</v>
      </c>
      <c r="D162" t="s">
        <v>408</v>
      </c>
      <c r="E162" t="s">
        <v>406</v>
      </c>
      <c r="F162" t="s">
        <v>406</v>
      </c>
      <c r="G162" t="s">
        <v>57</v>
      </c>
      <c r="H162">
        <v>66119</v>
      </c>
      <c r="I162">
        <v>0</v>
      </c>
      <c r="J162">
        <v>0</v>
      </c>
      <c r="K162">
        <v>9766.4697193500706</v>
      </c>
      <c r="L162">
        <v>6.77</v>
      </c>
      <c r="M162">
        <v>6.77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1:19" x14ac:dyDescent="0.35">
      <c r="A163" t="s">
        <v>54</v>
      </c>
      <c r="B163">
        <v>162</v>
      </c>
      <c r="C163" t="s">
        <v>409</v>
      </c>
      <c r="D163" t="s">
        <v>410</v>
      </c>
      <c r="E163" t="s">
        <v>406</v>
      </c>
      <c r="F163" t="s">
        <v>406</v>
      </c>
      <c r="G163" t="s">
        <v>57</v>
      </c>
      <c r="H163">
        <v>66119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1:19" x14ac:dyDescent="0.35">
      <c r="A164" t="s">
        <v>54</v>
      </c>
      <c r="B164">
        <v>163</v>
      </c>
      <c r="C164" t="s">
        <v>411</v>
      </c>
      <c r="D164" t="s">
        <v>412</v>
      </c>
      <c r="E164" t="s">
        <v>406</v>
      </c>
      <c r="F164" t="s">
        <v>406</v>
      </c>
      <c r="G164" t="s">
        <v>57</v>
      </c>
      <c r="H164">
        <v>66119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1:19" x14ac:dyDescent="0.35">
      <c r="A165" t="s">
        <v>54</v>
      </c>
      <c r="B165">
        <v>164</v>
      </c>
      <c r="C165" t="s">
        <v>413</v>
      </c>
      <c r="D165" t="s">
        <v>414</v>
      </c>
      <c r="E165" t="s">
        <v>406</v>
      </c>
      <c r="F165" t="s">
        <v>406</v>
      </c>
      <c r="G165" t="s">
        <v>57</v>
      </c>
      <c r="H165">
        <v>194021</v>
      </c>
      <c r="I165">
        <v>65.9166666666666</v>
      </c>
      <c r="J165">
        <v>2943.4285714285702</v>
      </c>
      <c r="K165">
        <v>2499.999984</v>
      </c>
      <c r="L165">
        <v>77.608400496693704</v>
      </c>
      <c r="M165">
        <v>11.691733830026999</v>
      </c>
      <c r="N165">
        <v>1.1773714361065999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1:19" x14ac:dyDescent="0.35">
      <c r="A166" t="s">
        <v>54</v>
      </c>
      <c r="B166">
        <v>165</v>
      </c>
      <c r="C166" t="s">
        <v>415</v>
      </c>
      <c r="D166" t="s">
        <v>416</v>
      </c>
      <c r="E166" t="s">
        <v>406</v>
      </c>
      <c r="F166" t="s">
        <v>406</v>
      </c>
      <c r="G166" t="s">
        <v>57</v>
      </c>
      <c r="H166">
        <v>66119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1:19" x14ac:dyDescent="0.35">
      <c r="A167" t="s">
        <v>54</v>
      </c>
      <c r="B167">
        <v>166</v>
      </c>
      <c r="C167" t="s">
        <v>417</v>
      </c>
      <c r="D167" t="s">
        <v>418</v>
      </c>
      <c r="E167" t="s">
        <v>419</v>
      </c>
      <c r="F167" t="s">
        <v>420</v>
      </c>
      <c r="G167" t="s">
        <v>270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</row>
    <row r="168" spans="1:19" x14ac:dyDescent="0.35">
      <c r="A168" t="s">
        <v>54</v>
      </c>
      <c r="B168">
        <v>167</v>
      </c>
      <c r="C168" t="s">
        <v>421</v>
      </c>
      <c r="D168" t="s">
        <v>422</v>
      </c>
      <c r="E168" t="s">
        <v>419</v>
      </c>
      <c r="F168" t="s">
        <v>420</v>
      </c>
      <c r="G168" t="s">
        <v>270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1:19" x14ac:dyDescent="0.35">
      <c r="A169" t="s">
        <v>54</v>
      </c>
      <c r="B169">
        <v>168</v>
      </c>
      <c r="C169" t="s">
        <v>423</v>
      </c>
      <c r="D169" t="s">
        <v>424</v>
      </c>
      <c r="E169" t="s">
        <v>419</v>
      </c>
      <c r="F169" t="s">
        <v>420</v>
      </c>
      <c r="G169" t="s">
        <v>270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1:19" x14ac:dyDescent="0.35">
      <c r="A170" t="s">
        <v>425</v>
      </c>
      <c r="B170">
        <v>1</v>
      </c>
      <c r="C170" t="s">
        <v>426</v>
      </c>
      <c r="D170" t="s">
        <v>427</v>
      </c>
      <c r="E170" t="s">
        <v>428</v>
      </c>
      <c r="F170" t="s">
        <v>428</v>
      </c>
      <c r="G170" t="s">
        <v>60</v>
      </c>
      <c r="H170">
        <v>127902</v>
      </c>
      <c r="I170">
        <v>332.54833333333301</v>
      </c>
      <c r="J170">
        <v>384.61176069644</v>
      </c>
      <c r="K170">
        <v>267.32233221958302</v>
      </c>
      <c r="L170">
        <v>478.456098067178</v>
      </c>
      <c r="M170">
        <v>145.907764733844</v>
      </c>
      <c r="N170">
        <v>1.43875656591426</v>
      </c>
      <c r="P170">
        <v>0</v>
      </c>
      <c r="Q170">
        <v>0</v>
      </c>
      <c r="R170">
        <v>0</v>
      </c>
      <c r="S170">
        <v>0</v>
      </c>
    </row>
    <row r="171" spans="1:19" x14ac:dyDescent="0.35">
      <c r="A171" t="s">
        <v>425</v>
      </c>
      <c r="B171">
        <v>2</v>
      </c>
      <c r="C171" t="s">
        <v>429</v>
      </c>
      <c r="D171" t="s">
        <v>430</v>
      </c>
      <c r="E171" t="s">
        <v>428</v>
      </c>
      <c r="F171" t="s">
        <v>428</v>
      </c>
      <c r="G171" t="s">
        <v>60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P171">
        <v>0</v>
      </c>
      <c r="Q171">
        <v>0</v>
      </c>
      <c r="R171">
        <v>0</v>
      </c>
      <c r="S171">
        <v>0</v>
      </c>
    </row>
    <row r="172" spans="1:19" x14ac:dyDescent="0.35">
      <c r="A172" t="s">
        <v>425</v>
      </c>
      <c r="B172">
        <v>3</v>
      </c>
      <c r="C172" t="s">
        <v>431</v>
      </c>
      <c r="D172" t="s">
        <v>432</v>
      </c>
      <c r="E172" t="s">
        <v>428</v>
      </c>
      <c r="F172" t="s">
        <v>428</v>
      </c>
      <c r="G172" t="s">
        <v>60</v>
      </c>
      <c r="H172">
        <v>127902</v>
      </c>
      <c r="I172">
        <v>332.54833333333301</v>
      </c>
      <c r="J172">
        <v>384.61176069644</v>
      </c>
      <c r="K172">
        <v>267.32233221958302</v>
      </c>
      <c r="L172">
        <v>478.456098067178</v>
      </c>
      <c r="M172">
        <v>145.907764733844</v>
      </c>
      <c r="N172">
        <v>1.43875656591426</v>
      </c>
      <c r="P172">
        <v>0</v>
      </c>
      <c r="Q172">
        <v>0</v>
      </c>
      <c r="R172">
        <v>0</v>
      </c>
      <c r="S172">
        <v>0</v>
      </c>
    </row>
    <row r="173" spans="1:19" x14ac:dyDescent="0.35">
      <c r="A173" t="s">
        <v>425</v>
      </c>
      <c r="B173">
        <v>4</v>
      </c>
      <c r="C173" t="s">
        <v>433</v>
      </c>
      <c r="D173" t="s">
        <v>219</v>
      </c>
      <c r="E173" t="s">
        <v>428</v>
      </c>
      <c r="F173" t="s">
        <v>428</v>
      </c>
      <c r="G173" t="s">
        <v>60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P173">
        <v>0</v>
      </c>
      <c r="Q173">
        <v>0</v>
      </c>
      <c r="R173">
        <v>0</v>
      </c>
      <c r="S173">
        <v>0</v>
      </c>
    </row>
    <row r="174" spans="1:19" x14ac:dyDescent="0.35">
      <c r="A174" t="s">
        <v>425</v>
      </c>
      <c r="B174">
        <v>5</v>
      </c>
      <c r="C174" t="s">
        <v>434</v>
      </c>
      <c r="D174" t="s">
        <v>435</v>
      </c>
      <c r="E174" t="s">
        <v>428</v>
      </c>
      <c r="F174" t="s">
        <v>428</v>
      </c>
      <c r="G174" t="s">
        <v>60</v>
      </c>
      <c r="H174">
        <v>66119</v>
      </c>
      <c r="I174">
        <v>327.12555555555502</v>
      </c>
      <c r="J174">
        <v>202.12116992116501</v>
      </c>
      <c r="K174">
        <v>242.05538690185799</v>
      </c>
      <c r="L174">
        <v>273.15649053002898</v>
      </c>
      <c r="M174">
        <v>-53.969065025526</v>
      </c>
      <c r="N174">
        <v>0.83502033360288597</v>
      </c>
      <c r="P174">
        <v>0</v>
      </c>
      <c r="Q174">
        <v>0</v>
      </c>
      <c r="R174">
        <v>0</v>
      </c>
      <c r="S174">
        <v>0</v>
      </c>
    </row>
    <row r="175" spans="1:19" x14ac:dyDescent="0.35">
      <c r="A175" t="s">
        <v>425</v>
      </c>
      <c r="B175">
        <v>6</v>
      </c>
      <c r="C175" t="s">
        <v>436</v>
      </c>
      <c r="D175" t="s">
        <v>320</v>
      </c>
      <c r="E175" t="s">
        <v>428</v>
      </c>
      <c r="F175" t="s">
        <v>428</v>
      </c>
      <c r="G175" t="s">
        <v>60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P175">
        <v>0</v>
      </c>
      <c r="Q175">
        <v>0</v>
      </c>
      <c r="R175">
        <v>0</v>
      </c>
      <c r="S175">
        <v>0</v>
      </c>
    </row>
    <row r="176" spans="1:19" x14ac:dyDescent="0.35">
      <c r="A176" t="s">
        <v>425</v>
      </c>
      <c r="B176">
        <v>7</v>
      </c>
      <c r="C176" t="s">
        <v>437</v>
      </c>
      <c r="D176" t="s">
        <v>399</v>
      </c>
      <c r="E176" t="s">
        <v>428</v>
      </c>
      <c r="F176" t="s">
        <v>428</v>
      </c>
      <c r="G176" t="s">
        <v>60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P176">
        <v>0</v>
      </c>
      <c r="Q176">
        <v>0</v>
      </c>
      <c r="R176">
        <v>0</v>
      </c>
      <c r="S176">
        <v>0</v>
      </c>
    </row>
    <row r="177" spans="1:19" x14ac:dyDescent="0.35">
      <c r="A177" t="s">
        <v>425</v>
      </c>
      <c r="B177">
        <v>8</v>
      </c>
      <c r="C177" t="s">
        <v>438</v>
      </c>
      <c r="D177" t="s">
        <v>406</v>
      </c>
      <c r="E177" t="s">
        <v>428</v>
      </c>
      <c r="F177" t="s">
        <v>428</v>
      </c>
      <c r="G177" t="s">
        <v>60</v>
      </c>
      <c r="H177">
        <v>66119</v>
      </c>
      <c r="I177">
        <v>132.3725</v>
      </c>
      <c r="J177">
        <v>499.491963965325</v>
      </c>
      <c r="K177">
        <v>413.94642276761903</v>
      </c>
      <c r="L177">
        <v>159.72840049669301</v>
      </c>
      <c r="M177">
        <v>27.3559004966937</v>
      </c>
      <c r="N177">
        <v>1.20665848644313</v>
      </c>
      <c r="P177">
        <v>0</v>
      </c>
      <c r="Q177">
        <v>0</v>
      </c>
      <c r="R177">
        <v>0</v>
      </c>
      <c r="S177">
        <v>0</v>
      </c>
    </row>
    <row r="178" spans="1:19" x14ac:dyDescent="0.35">
      <c r="A178" t="s">
        <v>425</v>
      </c>
      <c r="B178">
        <v>9</v>
      </c>
      <c r="C178" t="s">
        <v>439</v>
      </c>
      <c r="D178" t="s">
        <v>419</v>
      </c>
      <c r="E178" t="s">
        <v>428</v>
      </c>
      <c r="F178" t="s">
        <v>428</v>
      </c>
      <c r="G178" t="s">
        <v>270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P178">
        <v>0</v>
      </c>
      <c r="Q178">
        <v>0</v>
      </c>
      <c r="R178">
        <v>0</v>
      </c>
      <c r="S178">
        <v>0</v>
      </c>
    </row>
    <row r="179" spans="1:19" x14ac:dyDescent="0.35">
      <c r="A179" t="s">
        <v>425</v>
      </c>
      <c r="B179">
        <v>10</v>
      </c>
      <c r="C179" t="s">
        <v>440</v>
      </c>
      <c r="D179" t="s">
        <v>441</v>
      </c>
      <c r="E179" t="s">
        <v>428</v>
      </c>
      <c r="F179" t="s">
        <v>428</v>
      </c>
      <c r="G179" t="s">
        <v>60</v>
      </c>
      <c r="H179">
        <v>194021</v>
      </c>
      <c r="I179">
        <v>792.04638888888803</v>
      </c>
      <c r="J179">
        <v>244.96166224831799</v>
      </c>
      <c r="K179">
        <v>212.89616326036699</v>
      </c>
      <c r="L179">
        <v>911.34098909390104</v>
      </c>
      <c r="M179">
        <v>119.294600205012</v>
      </c>
      <c r="N179">
        <v>1.1506156733728199</v>
      </c>
      <c r="P179">
        <v>0</v>
      </c>
      <c r="Q179">
        <v>0</v>
      </c>
      <c r="R179">
        <v>0</v>
      </c>
      <c r="S179">
        <v>0</v>
      </c>
    </row>
    <row r="180" spans="1:19" x14ac:dyDescent="0.35">
      <c r="A180" t="s">
        <v>442</v>
      </c>
      <c r="B180">
        <v>1</v>
      </c>
      <c r="C180" t="s">
        <v>443</v>
      </c>
      <c r="D180" t="s">
        <v>13</v>
      </c>
      <c r="E180" t="s">
        <v>444</v>
      </c>
      <c r="F180" t="s">
        <v>444</v>
      </c>
      <c r="G180" t="s">
        <v>60</v>
      </c>
      <c r="H180">
        <v>127902</v>
      </c>
      <c r="I180">
        <v>332.54833333333301</v>
      </c>
      <c r="J180">
        <v>384.61176069644</v>
      </c>
      <c r="K180">
        <v>267.32233221958302</v>
      </c>
      <c r="L180">
        <v>478.456098067178</v>
      </c>
      <c r="M180">
        <v>145.907764733844</v>
      </c>
      <c r="N180">
        <v>1.43875656591426</v>
      </c>
      <c r="P180">
        <v>0</v>
      </c>
      <c r="Q180">
        <v>0</v>
      </c>
      <c r="R180">
        <v>0</v>
      </c>
      <c r="S180">
        <v>0</v>
      </c>
    </row>
    <row r="181" spans="1:19" x14ac:dyDescent="0.35">
      <c r="A181" t="s">
        <v>442</v>
      </c>
      <c r="B181">
        <v>2</v>
      </c>
      <c r="C181" t="s">
        <v>445</v>
      </c>
      <c r="D181" t="s">
        <v>446</v>
      </c>
      <c r="E181" t="s">
        <v>444</v>
      </c>
      <c r="F181" t="s">
        <v>444</v>
      </c>
      <c r="G181" t="s">
        <v>60</v>
      </c>
      <c r="H181">
        <v>66119</v>
      </c>
      <c r="I181">
        <v>327.12555555555502</v>
      </c>
      <c r="J181">
        <v>202.12116992116501</v>
      </c>
      <c r="K181">
        <v>242.05538690185799</v>
      </c>
      <c r="L181">
        <v>273.15649053002898</v>
      </c>
      <c r="M181">
        <v>-53.969065025526</v>
      </c>
      <c r="N181">
        <v>0.83502033360288597</v>
      </c>
      <c r="P181">
        <v>0</v>
      </c>
      <c r="Q181">
        <v>0</v>
      </c>
      <c r="R181">
        <v>0</v>
      </c>
      <c r="S181">
        <v>0</v>
      </c>
    </row>
    <row r="182" spans="1:19" x14ac:dyDescent="0.35">
      <c r="A182" t="s">
        <v>442</v>
      </c>
      <c r="B182">
        <v>3</v>
      </c>
      <c r="C182" t="s">
        <v>447</v>
      </c>
      <c r="D182" t="s">
        <v>320</v>
      </c>
      <c r="E182" t="s">
        <v>444</v>
      </c>
      <c r="F182" t="s">
        <v>444</v>
      </c>
      <c r="G182" t="s">
        <v>60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P182">
        <v>0</v>
      </c>
      <c r="Q182">
        <v>0</v>
      </c>
      <c r="R182">
        <v>0</v>
      </c>
      <c r="S182">
        <v>0</v>
      </c>
    </row>
    <row r="183" spans="1:19" x14ac:dyDescent="0.35">
      <c r="A183" t="s">
        <v>442</v>
      </c>
      <c r="B183">
        <v>4</v>
      </c>
      <c r="C183" t="s">
        <v>448</v>
      </c>
      <c r="D183" t="s">
        <v>406</v>
      </c>
      <c r="E183" t="s">
        <v>444</v>
      </c>
      <c r="F183" t="s">
        <v>444</v>
      </c>
      <c r="G183" t="s">
        <v>60</v>
      </c>
      <c r="H183">
        <v>66119</v>
      </c>
      <c r="I183">
        <v>132.3725</v>
      </c>
      <c r="J183">
        <v>499.491963965325</v>
      </c>
      <c r="K183">
        <v>413.94642276761903</v>
      </c>
      <c r="L183">
        <v>159.72840049669301</v>
      </c>
      <c r="M183">
        <v>27.3559004966937</v>
      </c>
      <c r="N183">
        <v>1.20665848644313</v>
      </c>
      <c r="P183">
        <v>0</v>
      </c>
      <c r="Q183">
        <v>0</v>
      </c>
      <c r="R183">
        <v>0</v>
      </c>
      <c r="S183">
        <v>0</v>
      </c>
    </row>
    <row r="184" spans="1:19" x14ac:dyDescent="0.35">
      <c r="A184" t="s">
        <v>442</v>
      </c>
      <c r="B184">
        <v>5</v>
      </c>
      <c r="C184" t="s">
        <v>449</v>
      </c>
      <c r="D184" t="s">
        <v>419</v>
      </c>
      <c r="E184" t="s">
        <v>444</v>
      </c>
      <c r="F184" t="s">
        <v>444</v>
      </c>
      <c r="G184" t="s">
        <v>270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P184">
        <v>0</v>
      </c>
      <c r="Q184">
        <v>0</v>
      </c>
      <c r="R184">
        <v>0</v>
      </c>
      <c r="S184">
        <v>0</v>
      </c>
    </row>
    <row r="185" spans="1:19" x14ac:dyDescent="0.35">
      <c r="A185" t="s">
        <v>442</v>
      </c>
      <c r="B185">
        <v>6</v>
      </c>
      <c r="C185" t="s">
        <v>450</v>
      </c>
      <c r="D185" t="s">
        <v>441</v>
      </c>
      <c r="E185" t="s">
        <v>444</v>
      </c>
      <c r="F185" t="s">
        <v>444</v>
      </c>
      <c r="G185" t="s">
        <v>60</v>
      </c>
      <c r="H185">
        <v>194021</v>
      </c>
      <c r="I185">
        <v>792.04638888888803</v>
      </c>
      <c r="J185">
        <v>244.96166224831799</v>
      </c>
      <c r="K185">
        <v>212.89616326036699</v>
      </c>
      <c r="L185">
        <v>911.34098909390104</v>
      </c>
      <c r="M185">
        <v>119.294600205012</v>
      </c>
      <c r="N185">
        <v>1.1506156733728199</v>
      </c>
      <c r="P185">
        <v>0</v>
      </c>
      <c r="Q185">
        <v>0</v>
      </c>
      <c r="R185">
        <v>0</v>
      </c>
      <c r="S185">
        <v>0</v>
      </c>
    </row>
    <row r="186" spans="1:19" x14ac:dyDescent="0.35">
      <c r="A186" t="s">
        <v>34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B18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  <col min="3" max="3" width="35.26953125" bestFit="1" customWidth="1"/>
  </cols>
  <sheetData>
    <row r="1" spans="1:2" x14ac:dyDescent="0.35">
      <c r="A1" t="s">
        <v>475</v>
      </c>
      <c r="B1" t="s">
        <v>476</v>
      </c>
    </row>
    <row r="2" spans="1:2" x14ac:dyDescent="0.35">
      <c r="A2" t="s">
        <v>477</v>
      </c>
      <c r="B2" t="s">
        <v>574</v>
      </c>
    </row>
    <row r="3" spans="1:2" x14ac:dyDescent="0.35">
      <c r="A3" t="s">
        <v>478</v>
      </c>
      <c r="B3" t="s">
        <v>479</v>
      </c>
    </row>
    <row r="4" spans="1:2" x14ac:dyDescent="0.35">
      <c r="A4" t="s">
        <v>480</v>
      </c>
      <c r="B4">
        <v>318</v>
      </c>
    </row>
    <row r="5" spans="1:2" x14ac:dyDescent="0.35">
      <c r="A5" t="s">
        <v>481</v>
      </c>
      <c r="B5">
        <v>1076.72727272727</v>
      </c>
    </row>
    <row r="6" spans="1:2" x14ac:dyDescent="0.35">
      <c r="A6" t="s">
        <v>482</v>
      </c>
      <c r="B6">
        <v>1870</v>
      </c>
    </row>
    <row r="7" spans="1:2" x14ac:dyDescent="0.35">
      <c r="A7" t="s">
        <v>575</v>
      </c>
      <c r="B7">
        <v>1158</v>
      </c>
    </row>
    <row r="8" spans="1:2" x14ac:dyDescent="0.35">
      <c r="A8" t="s">
        <v>576</v>
      </c>
      <c r="B8">
        <v>1870</v>
      </c>
    </row>
    <row r="9" spans="1:2" x14ac:dyDescent="0.35">
      <c r="A9" t="s">
        <v>577</v>
      </c>
      <c r="B9">
        <v>910</v>
      </c>
    </row>
    <row r="10" spans="1:2" x14ac:dyDescent="0.35">
      <c r="A10" t="s">
        <v>578</v>
      </c>
      <c r="B10">
        <v>1787</v>
      </c>
    </row>
    <row r="11" spans="1:2" x14ac:dyDescent="0.35">
      <c r="A11" t="s">
        <v>579</v>
      </c>
      <c r="B11">
        <v>867</v>
      </c>
    </row>
    <row r="12" spans="1:2" x14ac:dyDescent="0.35">
      <c r="A12" t="s">
        <v>580</v>
      </c>
      <c r="B12">
        <v>1618</v>
      </c>
    </row>
    <row r="13" spans="1:2" x14ac:dyDescent="0.35">
      <c r="A13" t="s">
        <v>581</v>
      </c>
      <c r="B13">
        <v>1492</v>
      </c>
    </row>
    <row r="14" spans="1:2" x14ac:dyDescent="0.35">
      <c r="A14" t="s">
        <v>582</v>
      </c>
      <c r="B14">
        <v>555</v>
      </c>
    </row>
    <row r="15" spans="1:2" x14ac:dyDescent="0.35">
      <c r="A15" t="s">
        <v>583</v>
      </c>
      <c r="B15">
        <v>729</v>
      </c>
    </row>
    <row r="16" spans="1:2" x14ac:dyDescent="0.35">
      <c r="A16" t="s">
        <v>584</v>
      </c>
      <c r="B16">
        <v>540</v>
      </c>
    </row>
    <row r="17" spans="1:2" x14ac:dyDescent="0.35">
      <c r="A17" t="s">
        <v>585</v>
      </c>
      <c r="B17">
        <v>318</v>
      </c>
    </row>
    <row r="18" spans="1:2" x14ac:dyDescent="0.35">
      <c r="A18" t="s">
        <v>34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R212"/>
  <sheetViews>
    <sheetView workbookViewId="0">
      <selection sqref="A1:A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4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5.81640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>
    <row r="1" spans="1:18" x14ac:dyDescent="0.35">
      <c r="A1" t="s">
        <v>451</v>
      </c>
      <c r="B1" t="s">
        <v>452</v>
      </c>
      <c r="C1" t="s">
        <v>453</v>
      </c>
      <c r="D1" t="s">
        <v>454</v>
      </c>
      <c r="E1" t="s">
        <v>455</v>
      </c>
      <c r="F1" t="s">
        <v>456</v>
      </c>
      <c r="G1" t="s">
        <v>457</v>
      </c>
      <c r="H1" t="s">
        <v>458</v>
      </c>
      <c r="I1" t="s">
        <v>459</v>
      </c>
      <c r="J1" t="s">
        <v>460</v>
      </c>
      <c r="K1" t="s">
        <v>461</v>
      </c>
      <c r="L1" t="s">
        <v>462</v>
      </c>
      <c r="M1" t="s">
        <v>463</v>
      </c>
      <c r="N1" t="s">
        <v>464</v>
      </c>
      <c r="O1" t="s">
        <v>41</v>
      </c>
      <c r="P1" t="s">
        <v>465</v>
      </c>
      <c r="Q1" t="s">
        <v>466</v>
      </c>
      <c r="R1" t="s">
        <v>467</v>
      </c>
    </row>
    <row r="2" spans="1:18" x14ac:dyDescent="0.35">
      <c r="A2" t="s">
        <v>197</v>
      </c>
      <c r="B2" t="s">
        <v>483</v>
      </c>
      <c r="C2" t="s">
        <v>484</v>
      </c>
      <c r="D2">
        <v>100414680</v>
      </c>
      <c r="E2" t="s">
        <v>548</v>
      </c>
      <c r="F2" t="s">
        <v>497</v>
      </c>
      <c r="G2">
        <v>0.13</v>
      </c>
      <c r="H2">
        <v>4.05</v>
      </c>
      <c r="I2">
        <v>0</v>
      </c>
      <c r="J2">
        <v>0</v>
      </c>
      <c r="K2">
        <v>4.18</v>
      </c>
      <c r="L2" t="s">
        <v>487</v>
      </c>
      <c r="M2">
        <v>203</v>
      </c>
      <c r="N2">
        <v>48.57</v>
      </c>
      <c r="O2" t="s">
        <v>60</v>
      </c>
      <c r="P2" t="s">
        <v>488</v>
      </c>
      <c r="Q2">
        <v>150</v>
      </c>
      <c r="R2">
        <v>1168.83</v>
      </c>
    </row>
    <row r="3" spans="1:18" x14ac:dyDescent="0.35">
      <c r="A3" t="s">
        <v>197</v>
      </c>
      <c r="B3" t="s">
        <v>483</v>
      </c>
      <c r="C3" t="s">
        <v>484</v>
      </c>
      <c r="D3">
        <v>100414680</v>
      </c>
      <c r="E3" t="s">
        <v>548</v>
      </c>
      <c r="F3" t="s">
        <v>497</v>
      </c>
      <c r="G3">
        <v>0.13</v>
      </c>
      <c r="H3">
        <v>4.05</v>
      </c>
      <c r="I3">
        <v>0</v>
      </c>
      <c r="J3">
        <v>0</v>
      </c>
      <c r="K3">
        <v>4.18</v>
      </c>
      <c r="L3" t="s">
        <v>487</v>
      </c>
      <c r="M3">
        <v>203</v>
      </c>
      <c r="N3">
        <v>48.57</v>
      </c>
      <c r="O3" t="s">
        <v>60</v>
      </c>
      <c r="P3" t="s">
        <v>489</v>
      </c>
      <c r="Q3">
        <v>829</v>
      </c>
      <c r="R3">
        <v>204.66</v>
      </c>
    </row>
    <row r="4" spans="1:18" x14ac:dyDescent="0.35">
      <c r="A4" t="s">
        <v>197</v>
      </c>
      <c r="B4" t="s">
        <v>483</v>
      </c>
      <c r="C4" t="s">
        <v>484</v>
      </c>
      <c r="D4">
        <v>100414680</v>
      </c>
      <c r="E4" t="s">
        <v>548</v>
      </c>
      <c r="F4" t="s">
        <v>497</v>
      </c>
      <c r="G4">
        <v>0.13</v>
      </c>
      <c r="H4">
        <v>4.05</v>
      </c>
      <c r="I4">
        <v>0</v>
      </c>
      <c r="J4">
        <v>0</v>
      </c>
      <c r="K4">
        <v>4.18</v>
      </c>
      <c r="L4" t="s">
        <v>487</v>
      </c>
      <c r="M4">
        <v>203</v>
      </c>
      <c r="N4">
        <v>48.57</v>
      </c>
      <c r="O4" t="s">
        <v>60</v>
      </c>
      <c r="P4" t="s">
        <v>490</v>
      </c>
      <c r="Q4">
        <v>0</v>
      </c>
      <c r="R4">
        <v>0</v>
      </c>
    </row>
    <row r="5" spans="1:18" x14ac:dyDescent="0.35">
      <c r="A5" t="s">
        <v>197</v>
      </c>
      <c r="B5" t="s">
        <v>483</v>
      </c>
      <c r="C5" t="s">
        <v>484</v>
      </c>
      <c r="D5">
        <v>100414680</v>
      </c>
      <c r="E5" t="s">
        <v>548</v>
      </c>
      <c r="F5" t="s">
        <v>497</v>
      </c>
      <c r="G5">
        <v>0.13</v>
      </c>
      <c r="H5">
        <v>4.05</v>
      </c>
      <c r="I5">
        <v>0</v>
      </c>
      <c r="J5">
        <v>0</v>
      </c>
      <c r="K5">
        <v>4.18</v>
      </c>
      <c r="L5" t="s">
        <v>487</v>
      </c>
      <c r="M5">
        <v>203</v>
      </c>
      <c r="N5">
        <v>48.57</v>
      </c>
      <c r="O5" t="s">
        <v>60</v>
      </c>
      <c r="P5" t="s">
        <v>491</v>
      </c>
      <c r="Q5">
        <v>0</v>
      </c>
      <c r="R5">
        <v>0</v>
      </c>
    </row>
    <row r="6" spans="1:18" x14ac:dyDescent="0.35">
      <c r="A6" t="s">
        <v>197</v>
      </c>
      <c r="B6" t="s">
        <v>483</v>
      </c>
      <c r="C6" t="s">
        <v>484</v>
      </c>
      <c r="D6">
        <v>100414680</v>
      </c>
      <c r="E6" t="s">
        <v>548</v>
      </c>
      <c r="F6" t="s">
        <v>497</v>
      </c>
      <c r="G6">
        <v>0.13</v>
      </c>
      <c r="H6">
        <v>4.05</v>
      </c>
      <c r="I6">
        <v>0</v>
      </c>
      <c r="J6">
        <v>0</v>
      </c>
      <c r="K6">
        <v>4.18</v>
      </c>
      <c r="L6" t="s">
        <v>487</v>
      </c>
      <c r="M6">
        <v>203</v>
      </c>
      <c r="N6">
        <v>48.57</v>
      </c>
      <c r="O6" t="s">
        <v>60</v>
      </c>
      <c r="P6" t="s">
        <v>492</v>
      </c>
      <c r="Q6">
        <v>979</v>
      </c>
      <c r="R6">
        <v>234.26</v>
      </c>
    </row>
    <row r="7" spans="1:18" x14ac:dyDescent="0.35">
      <c r="A7" t="s">
        <v>197</v>
      </c>
      <c r="B7" t="s">
        <v>483</v>
      </c>
      <c r="C7" t="s">
        <v>484</v>
      </c>
      <c r="D7">
        <v>100414680</v>
      </c>
      <c r="E7" t="s">
        <v>548</v>
      </c>
      <c r="F7" t="s">
        <v>497</v>
      </c>
      <c r="G7">
        <v>0.13</v>
      </c>
      <c r="H7">
        <v>4.05</v>
      </c>
      <c r="I7">
        <v>0</v>
      </c>
      <c r="J7">
        <v>0</v>
      </c>
      <c r="K7">
        <v>4.18</v>
      </c>
      <c r="L7" t="s">
        <v>487</v>
      </c>
      <c r="M7">
        <v>203</v>
      </c>
      <c r="N7">
        <v>48.57</v>
      </c>
      <c r="O7" t="s">
        <v>81</v>
      </c>
      <c r="P7" t="s">
        <v>492</v>
      </c>
      <c r="Q7">
        <v>203</v>
      </c>
      <c r="R7">
        <v>48.57</v>
      </c>
    </row>
    <row r="8" spans="1:18" x14ac:dyDescent="0.35">
      <c r="A8" t="s">
        <v>197</v>
      </c>
      <c r="B8" t="s">
        <v>483</v>
      </c>
      <c r="C8" t="s">
        <v>484</v>
      </c>
      <c r="D8">
        <v>100753604</v>
      </c>
      <c r="E8" t="s">
        <v>485</v>
      </c>
      <c r="F8" t="s">
        <v>486</v>
      </c>
      <c r="G8">
        <v>0.02</v>
      </c>
      <c r="H8">
        <v>4.8499999999999996</v>
      </c>
      <c r="I8">
        <v>0.03</v>
      </c>
      <c r="J8">
        <v>0</v>
      </c>
      <c r="K8">
        <v>4.9000000000000004</v>
      </c>
      <c r="L8" t="s">
        <v>487</v>
      </c>
      <c r="M8">
        <v>324</v>
      </c>
      <c r="N8">
        <v>66.13</v>
      </c>
      <c r="O8" t="s">
        <v>60</v>
      </c>
      <c r="P8" t="s">
        <v>488</v>
      </c>
      <c r="Q8">
        <v>38</v>
      </c>
      <c r="R8">
        <v>2171.4299999999998</v>
      </c>
    </row>
    <row r="9" spans="1:18" x14ac:dyDescent="0.35">
      <c r="A9" t="s">
        <v>197</v>
      </c>
      <c r="B9" t="s">
        <v>483</v>
      </c>
      <c r="C9" t="s">
        <v>484</v>
      </c>
      <c r="D9">
        <v>100753604</v>
      </c>
      <c r="E9" t="s">
        <v>485</v>
      </c>
      <c r="F9" t="s">
        <v>486</v>
      </c>
      <c r="G9">
        <v>0.02</v>
      </c>
      <c r="H9">
        <v>4.8499999999999996</v>
      </c>
      <c r="I9">
        <v>0.03</v>
      </c>
      <c r="J9">
        <v>0</v>
      </c>
      <c r="K9">
        <v>4.9000000000000004</v>
      </c>
      <c r="L9" t="s">
        <v>487</v>
      </c>
      <c r="M9">
        <v>324</v>
      </c>
      <c r="N9">
        <v>66.13</v>
      </c>
      <c r="O9" t="s">
        <v>60</v>
      </c>
      <c r="P9" t="s">
        <v>489</v>
      </c>
      <c r="Q9">
        <v>1825</v>
      </c>
      <c r="R9">
        <v>376.01</v>
      </c>
    </row>
    <row r="10" spans="1:18" x14ac:dyDescent="0.35">
      <c r="A10" t="s">
        <v>197</v>
      </c>
      <c r="B10" t="s">
        <v>483</v>
      </c>
      <c r="C10" t="s">
        <v>484</v>
      </c>
      <c r="D10">
        <v>100753604</v>
      </c>
      <c r="E10" t="s">
        <v>485</v>
      </c>
      <c r="F10" t="s">
        <v>486</v>
      </c>
      <c r="G10">
        <v>0.02</v>
      </c>
      <c r="H10">
        <v>4.8499999999999996</v>
      </c>
      <c r="I10">
        <v>0.03</v>
      </c>
      <c r="J10">
        <v>0</v>
      </c>
      <c r="K10">
        <v>4.9000000000000004</v>
      </c>
      <c r="L10" t="s">
        <v>487</v>
      </c>
      <c r="M10">
        <v>324</v>
      </c>
      <c r="N10">
        <v>66.13</v>
      </c>
      <c r="O10" t="s">
        <v>60</v>
      </c>
      <c r="P10" t="s">
        <v>490</v>
      </c>
      <c r="Q10">
        <v>8</v>
      </c>
      <c r="R10">
        <v>290.91000000000003</v>
      </c>
    </row>
    <row r="11" spans="1:18" x14ac:dyDescent="0.35">
      <c r="A11" t="s">
        <v>197</v>
      </c>
      <c r="B11" t="s">
        <v>483</v>
      </c>
      <c r="C11" t="s">
        <v>484</v>
      </c>
      <c r="D11">
        <v>100753604</v>
      </c>
      <c r="E11" t="s">
        <v>485</v>
      </c>
      <c r="F11" t="s">
        <v>486</v>
      </c>
      <c r="G11">
        <v>0.02</v>
      </c>
      <c r="H11">
        <v>4.8499999999999996</v>
      </c>
      <c r="I11">
        <v>0.03</v>
      </c>
      <c r="J11">
        <v>0</v>
      </c>
      <c r="K11">
        <v>4.9000000000000004</v>
      </c>
      <c r="L11" t="s">
        <v>487</v>
      </c>
      <c r="M11">
        <v>324</v>
      </c>
      <c r="N11">
        <v>66.13</v>
      </c>
      <c r="O11" t="s">
        <v>60</v>
      </c>
      <c r="P11" t="s">
        <v>491</v>
      </c>
      <c r="Q11">
        <v>0</v>
      </c>
      <c r="R11">
        <v>0</v>
      </c>
    </row>
    <row r="12" spans="1:18" x14ac:dyDescent="0.35">
      <c r="A12" t="s">
        <v>197</v>
      </c>
      <c r="B12" t="s">
        <v>483</v>
      </c>
      <c r="C12" t="s">
        <v>484</v>
      </c>
      <c r="D12">
        <v>100753604</v>
      </c>
      <c r="E12" t="s">
        <v>485</v>
      </c>
      <c r="F12" t="s">
        <v>486</v>
      </c>
      <c r="G12">
        <v>0.02</v>
      </c>
      <c r="H12">
        <v>4.8499999999999996</v>
      </c>
      <c r="I12">
        <v>0.03</v>
      </c>
      <c r="J12">
        <v>0</v>
      </c>
      <c r="K12">
        <v>4.9000000000000004</v>
      </c>
      <c r="L12" t="s">
        <v>487</v>
      </c>
      <c r="M12">
        <v>324</v>
      </c>
      <c r="N12">
        <v>66.13</v>
      </c>
      <c r="O12" t="s">
        <v>60</v>
      </c>
      <c r="P12" t="s">
        <v>492</v>
      </c>
      <c r="Q12">
        <v>1871</v>
      </c>
      <c r="R12">
        <v>381.9</v>
      </c>
    </row>
    <row r="13" spans="1:18" x14ac:dyDescent="0.35">
      <c r="A13" t="s">
        <v>197</v>
      </c>
      <c r="B13" t="s">
        <v>483</v>
      </c>
      <c r="C13" t="s">
        <v>484</v>
      </c>
      <c r="D13">
        <v>100753604</v>
      </c>
      <c r="E13" t="s">
        <v>485</v>
      </c>
      <c r="F13" t="s">
        <v>486</v>
      </c>
      <c r="G13">
        <v>0.02</v>
      </c>
      <c r="H13">
        <v>4.8499999999999996</v>
      </c>
      <c r="I13">
        <v>0.03</v>
      </c>
      <c r="J13">
        <v>0</v>
      </c>
      <c r="K13">
        <v>4.9000000000000004</v>
      </c>
      <c r="L13" t="s">
        <v>487</v>
      </c>
      <c r="M13">
        <v>324</v>
      </c>
      <c r="N13">
        <v>66.13</v>
      </c>
      <c r="O13" t="s">
        <v>81</v>
      </c>
      <c r="P13" t="s">
        <v>492</v>
      </c>
      <c r="Q13">
        <v>324</v>
      </c>
      <c r="R13">
        <v>66.13</v>
      </c>
    </row>
    <row r="14" spans="1:18" x14ac:dyDescent="0.35">
      <c r="A14" t="s">
        <v>197</v>
      </c>
      <c r="B14" t="s">
        <v>483</v>
      </c>
      <c r="C14" t="s">
        <v>484</v>
      </c>
      <c r="D14">
        <v>101750120</v>
      </c>
      <c r="E14" t="s">
        <v>591</v>
      </c>
      <c r="F14" t="s">
        <v>486</v>
      </c>
      <c r="G14">
        <v>0.11</v>
      </c>
      <c r="H14">
        <v>4.09</v>
      </c>
      <c r="I14">
        <v>0</v>
      </c>
      <c r="J14">
        <v>0</v>
      </c>
      <c r="K14">
        <v>4.2</v>
      </c>
      <c r="L14" t="s">
        <v>487</v>
      </c>
      <c r="M14">
        <v>130</v>
      </c>
      <c r="N14">
        <v>30.97</v>
      </c>
      <c r="O14" t="s">
        <v>60</v>
      </c>
      <c r="P14" t="s">
        <v>488</v>
      </c>
      <c r="Q14">
        <v>150</v>
      </c>
      <c r="R14">
        <v>1350</v>
      </c>
    </row>
    <row r="15" spans="1:18" x14ac:dyDescent="0.35">
      <c r="A15" t="s">
        <v>197</v>
      </c>
      <c r="B15" t="s">
        <v>483</v>
      </c>
      <c r="C15" t="s">
        <v>484</v>
      </c>
      <c r="D15">
        <v>101750120</v>
      </c>
      <c r="E15" t="s">
        <v>591</v>
      </c>
      <c r="F15" t="s">
        <v>486</v>
      </c>
      <c r="G15">
        <v>0.11</v>
      </c>
      <c r="H15">
        <v>4.09</v>
      </c>
      <c r="I15">
        <v>0</v>
      </c>
      <c r="J15">
        <v>0</v>
      </c>
      <c r="K15">
        <v>4.2</v>
      </c>
      <c r="L15" t="s">
        <v>487</v>
      </c>
      <c r="M15">
        <v>130</v>
      </c>
      <c r="N15">
        <v>30.97</v>
      </c>
      <c r="O15" t="s">
        <v>60</v>
      </c>
      <c r="P15" t="s">
        <v>489</v>
      </c>
      <c r="Q15">
        <v>967</v>
      </c>
      <c r="R15">
        <v>236.66</v>
      </c>
    </row>
    <row r="16" spans="1:18" x14ac:dyDescent="0.35">
      <c r="A16" t="s">
        <v>197</v>
      </c>
      <c r="B16" t="s">
        <v>483</v>
      </c>
      <c r="C16" t="s">
        <v>484</v>
      </c>
      <c r="D16">
        <v>101750120</v>
      </c>
      <c r="E16" t="s">
        <v>591</v>
      </c>
      <c r="F16" t="s">
        <v>486</v>
      </c>
      <c r="G16">
        <v>0.11</v>
      </c>
      <c r="H16">
        <v>4.09</v>
      </c>
      <c r="I16">
        <v>0</v>
      </c>
      <c r="J16">
        <v>0</v>
      </c>
      <c r="K16">
        <v>4.2</v>
      </c>
      <c r="L16" t="s">
        <v>487</v>
      </c>
      <c r="M16">
        <v>130</v>
      </c>
      <c r="N16">
        <v>30.97</v>
      </c>
      <c r="O16" t="s">
        <v>60</v>
      </c>
      <c r="P16" t="s">
        <v>490</v>
      </c>
      <c r="Q16">
        <v>0</v>
      </c>
      <c r="R16">
        <v>0</v>
      </c>
    </row>
    <row r="17" spans="1:18" x14ac:dyDescent="0.35">
      <c r="A17" t="s">
        <v>197</v>
      </c>
      <c r="B17" t="s">
        <v>483</v>
      </c>
      <c r="C17" t="s">
        <v>484</v>
      </c>
      <c r="D17">
        <v>101750120</v>
      </c>
      <c r="E17" t="s">
        <v>591</v>
      </c>
      <c r="F17" t="s">
        <v>486</v>
      </c>
      <c r="G17">
        <v>0.11</v>
      </c>
      <c r="H17">
        <v>4.09</v>
      </c>
      <c r="I17">
        <v>0</v>
      </c>
      <c r="J17">
        <v>0</v>
      </c>
      <c r="K17">
        <v>4.2</v>
      </c>
      <c r="L17" t="s">
        <v>487</v>
      </c>
      <c r="M17">
        <v>130</v>
      </c>
      <c r="N17">
        <v>30.97</v>
      </c>
      <c r="O17" t="s">
        <v>60</v>
      </c>
      <c r="P17" t="s">
        <v>491</v>
      </c>
      <c r="Q17">
        <v>0</v>
      </c>
      <c r="R17">
        <v>0</v>
      </c>
    </row>
    <row r="18" spans="1:18" x14ac:dyDescent="0.35">
      <c r="A18" t="s">
        <v>197</v>
      </c>
      <c r="B18" t="s">
        <v>483</v>
      </c>
      <c r="C18" t="s">
        <v>484</v>
      </c>
      <c r="D18">
        <v>101750120</v>
      </c>
      <c r="E18" t="s">
        <v>591</v>
      </c>
      <c r="F18" t="s">
        <v>486</v>
      </c>
      <c r="G18">
        <v>0.11</v>
      </c>
      <c r="H18">
        <v>4.09</v>
      </c>
      <c r="I18">
        <v>0</v>
      </c>
      <c r="J18">
        <v>0</v>
      </c>
      <c r="K18">
        <v>4.2</v>
      </c>
      <c r="L18" t="s">
        <v>487</v>
      </c>
      <c r="M18">
        <v>130</v>
      </c>
      <c r="N18">
        <v>30.97</v>
      </c>
      <c r="O18" t="s">
        <v>60</v>
      </c>
      <c r="P18" t="s">
        <v>492</v>
      </c>
      <c r="Q18">
        <v>1117</v>
      </c>
      <c r="R18">
        <v>266.11</v>
      </c>
    </row>
    <row r="19" spans="1:18" x14ac:dyDescent="0.35">
      <c r="A19" t="s">
        <v>197</v>
      </c>
      <c r="B19" t="s">
        <v>483</v>
      </c>
      <c r="C19" t="s">
        <v>484</v>
      </c>
      <c r="D19">
        <v>101750120</v>
      </c>
      <c r="E19" t="s">
        <v>591</v>
      </c>
      <c r="F19" t="s">
        <v>486</v>
      </c>
      <c r="G19">
        <v>0.11</v>
      </c>
      <c r="H19">
        <v>4.09</v>
      </c>
      <c r="I19">
        <v>0</v>
      </c>
      <c r="J19">
        <v>0</v>
      </c>
      <c r="K19">
        <v>4.2</v>
      </c>
      <c r="L19" t="s">
        <v>487</v>
      </c>
      <c r="M19">
        <v>130</v>
      </c>
      <c r="N19">
        <v>30.97</v>
      </c>
      <c r="O19" t="s">
        <v>81</v>
      </c>
      <c r="P19" t="s">
        <v>492</v>
      </c>
      <c r="Q19">
        <v>130</v>
      </c>
      <c r="R19">
        <v>30.97</v>
      </c>
    </row>
    <row r="20" spans="1:18" x14ac:dyDescent="0.35">
      <c r="A20" t="s">
        <v>197</v>
      </c>
      <c r="B20" t="s">
        <v>483</v>
      </c>
      <c r="C20" t="s">
        <v>484</v>
      </c>
      <c r="D20">
        <v>102457590</v>
      </c>
      <c r="E20" t="s">
        <v>592</v>
      </c>
      <c r="F20" t="s">
        <v>486</v>
      </c>
      <c r="G20">
        <v>0.05</v>
      </c>
      <c r="H20">
        <v>3.99</v>
      </c>
      <c r="I20">
        <v>0</v>
      </c>
      <c r="J20">
        <v>0</v>
      </c>
      <c r="K20">
        <v>4.04</v>
      </c>
      <c r="L20" t="s">
        <v>487</v>
      </c>
      <c r="M20">
        <v>190</v>
      </c>
      <c r="N20">
        <v>47.06</v>
      </c>
      <c r="O20" t="s">
        <v>60</v>
      </c>
      <c r="P20" t="s">
        <v>488</v>
      </c>
      <c r="Q20">
        <v>70</v>
      </c>
      <c r="R20">
        <v>1423.73</v>
      </c>
    </row>
    <row r="21" spans="1:18" x14ac:dyDescent="0.35">
      <c r="A21" t="s">
        <v>197</v>
      </c>
      <c r="B21" t="s">
        <v>483</v>
      </c>
      <c r="C21" t="s">
        <v>484</v>
      </c>
      <c r="D21">
        <v>102457590</v>
      </c>
      <c r="E21" t="s">
        <v>592</v>
      </c>
      <c r="F21" t="s">
        <v>486</v>
      </c>
      <c r="G21">
        <v>0.05</v>
      </c>
      <c r="H21">
        <v>3.99</v>
      </c>
      <c r="I21">
        <v>0</v>
      </c>
      <c r="J21">
        <v>0</v>
      </c>
      <c r="K21">
        <v>4.04</v>
      </c>
      <c r="L21" t="s">
        <v>487</v>
      </c>
      <c r="M21">
        <v>190</v>
      </c>
      <c r="N21">
        <v>47.06</v>
      </c>
      <c r="O21" t="s">
        <v>60</v>
      </c>
      <c r="P21" t="s">
        <v>489</v>
      </c>
      <c r="Q21">
        <v>992</v>
      </c>
      <c r="R21">
        <v>248.73</v>
      </c>
    </row>
    <row r="22" spans="1:18" x14ac:dyDescent="0.35">
      <c r="A22" t="s">
        <v>197</v>
      </c>
      <c r="B22" t="s">
        <v>483</v>
      </c>
      <c r="C22" t="s">
        <v>484</v>
      </c>
      <c r="D22">
        <v>102457590</v>
      </c>
      <c r="E22" t="s">
        <v>592</v>
      </c>
      <c r="F22" t="s">
        <v>486</v>
      </c>
      <c r="G22">
        <v>0.05</v>
      </c>
      <c r="H22">
        <v>3.99</v>
      </c>
      <c r="I22">
        <v>0</v>
      </c>
      <c r="J22">
        <v>0</v>
      </c>
      <c r="K22">
        <v>4.04</v>
      </c>
      <c r="L22" t="s">
        <v>487</v>
      </c>
      <c r="M22">
        <v>190</v>
      </c>
      <c r="N22">
        <v>47.06</v>
      </c>
      <c r="O22" t="s">
        <v>60</v>
      </c>
      <c r="P22" t="s">
        <v>490</v>
      </c>
      <c r="Q22">
        <v>0</v>
      </c>
      <c r="R22">
        <v>0</v>
      </c>
    </row>
    <row r="23" spans="1:18" x14ac:dyDescent="0.35">
      <c r="A23" t="s">
        <v>197</v>
      </c>
      <c r="B23" t="s">
        <v>483</v>
      </c>
      <c r="C23" t="s">
        <v>484</v>
      </c>
      <c r="D23">
        <v>102457590</v>
      </c>
      <c r="E23" t="s">
        <v>592</v>
      </c>
      <c r="F23" t="s">
        <v>486</v>
      </c>
      <c r="G23">
        <v>0.05</v>
      </c>
      <c r="H23">
        <v>3.99</v>
      </c>
      <c r="I23">
        <v>0</v>
      </c>
      <c r="J23">
        <v>0</v>
      </c>
      <c r="K23">
        <v>4.04</v>
      </c>
      <c r="L23" t="s">
        <v>487</v>
      </c>
      <c r="M23">
        <v>190</v>
      </c>
      <c r="N23">
        <v>47.06</v>
      </c>
      <c r="O23" t="s">
        <v>60</v>
      </c>
      <c r="P23" t="s">
        <v>491</v>
      </c>
      <c r="Q23">
        <v>0</v>
      </c>
      <c r="R23">
        <v>0</v>
      </c>
    </row>
    <row r="24" spans="1:18" x14ac:dyDescent="0.35">
      <c r="A24" t="s">
        <v>197</v>
      </c>
      <c r="B24" t="s">
        <v>483</v>
      </c>
      <c r="C24" t="s">
        <v>484</v>
      </c>
      <c r="D24">
        <v>102457590</v>
      </c>
      <c r="E24" t="s">
        <v>592</v>
      </c>
      <c r="F24" t="s">
        <v>486</v>
      </c>
      <c r="G24">
        <v>0.05</v>
      </c>
      <c r="H24">
        <v>3.99</v>
      </c>
      <c r="I24">
        <v>0</v>
      </c>
      <c r="J24">
        <v>0</v>
      </c>
      <c r="K24">
        <v>4.04</v>
      </c>
      <c r="L24" t="s">
        <v>487</v>
      </c>
      <c r="M24">
        <v>190</v>
      </c>
      <c r="N24">
        <v>47.06</v>
      </c>
      <c r="O24" t="s">
        <v>60</v>
      </c>
      <c r="P24" t="s">
        <v>492</v>
      </c>
      <c r="Q24">
        <v>1062</v>
      </c>
      <c r="R24">
        <v>263.02</v>
      </c>
    </row>
    <row r="25" spans="1:18" x14ac:dyDescent="0.35">
      <c r="A25" t="s">
        <v>197</v>
      </c>
      <c r="B25" t="s">
        <v>483</v>
      </c>
      <c r="C25" t="s">
        <v>484</v>
      </c>
      <c r="D25">
        <v>102457590</v>
      </c>
      <c r="E25" t="s">
        <v>592</v>
      </c>
      <c r="F25" t="s">
        <v>486</v>
      </c>
      <c r="G25">
        <v>0.05</v>
      </c>
      <c r="H25">
        <v>3.99</v>
      </c>
      <c r="I25">
        <v>0</v>
      </c>
      <c r="J25">
        <v>0</v>
      </c>
      <c r="K25">
        <v>4.04</v>
      </c>
      <c r="L25" t="s">
        <v>487</v>
      </c>
      <c r="M25">
        <v>190</v>
      </c>
      <c r="N25">
        <v>47.06</v>
      </c>
      <c r="O25" t="s">
        <v>81</v>
      </c>
      <c r="P25" t="s">
        <v>492</v>
      </c>
      <c r="Q25">
        <v>190</v>
      </c>
      <c r="R25">
        <v>47.06</v>
      </c>
    </row>
    <row r="26" spans="1:18" x14ac:dyDescent="0.35">
      <c r="A26" t="s">
        <v>197</v>
      </c>
      <c r="B26" t="s">
        <v>483</v>
      </c>
      <c r="C26" t="s">
        <v>484</v>
      </c>
      <c r="D26">
        <v>102530855</v>
      </c>
      <c r="E26" t="s">
        <v>549</v>
      </c>
      <c r="F26" t="s">
        <v>497</v>
      </c>
      <c r="G26">
        <v>0.24</v>
      </c>
      <c r="H26">
        <v>4.3600000000000003</v>
      </c>
      <c r="I26">
        <v>0</v>
      </c>
      <c r="J26">
        <v>0</v>
      </c>
      <c r="K26">
        <v>4.5999999999999996</v>
      </c>
      <c r="L26" t="s">
        <v>487</v>
      </c>
      <c r="M26">
        <v>188</v>
      </c>
      <c r="N26">
        <v>40.869999999999997</v>
      </c>
      <c r="O26" t="s">
        <v>60</v>
      </c>
      <c r="P26" t="s">
        <v>488</v>
      </c>
      <c r="Q26">
        <v>297</v>
      </c>
      <c r="R26">
        <v>1221.94</v>
      </c>
    </row>
    <row r="27" spans="1:18" x14ac:dyDescent="0.35">
      <c r="A27" t="s">
        <v>197</v>
      </c>
      <c r="B27" t="s">
        <v>483</v>
      </c>
      <c r="C27" t="s">
        <v>484</v>
      </c>
      <c r="D27">
        <v>102530855</v>
      </c>
      <c r="E27" t="s">
        <v>549</v>
      </c>
      <c r="F27" t="s">
        <v>497</v>
      </c>
      <c r="G27">
        <v>0.24</v>
      </c>
      <c r="H27">
        <v>4.3600000000000003</v>
      </c>
      <c r="I27">
        <v>0</v>
      </c>
      <c r="J27">
        <v>0</v>
      </c>
      <c r="K27">
        <v>4.5999999999999996</v>
      </c>
      <c r="L27" t="s">
        <v>487</v>
      </c>
      <c r="M27">
        <v>188</v>
      </c>
      <c r="N27">
        <v>40.869999999999997</v>
      </c>
      <c r="O27" t="s">
        <v>60</v>
      </c>
      <c r="P27" t="s">
        <v>489</v>
      </c>
      <c r="Q27">
        <v>933</v>
      </c>
      <c r="R27">
        <v>214.15</v>
      </c>
    </row>
    <row r="28" spans="1:18" x14ac:dyDescent="0.35">
      <c r="A28" t="s">
        <v>197</v>
      </c>
      <c r="B28" t="s">
        <v>483</v>
      </c>
      <c r="C28" t="s">
        <v>484</v>
      </c>
      <c r="D28">
        <v>102530855</v>
      </c>
      <c r="E28" t="s">
        <v>549</v>
      </c>
      <c r="F28" t="s">
        <v>497</v>
      </c>
      <c r="G28">
        <v>0.24</v>
      </c>
      <c r="H28">
        <v>4.3600000000000003</v>
      </c>
      <c r="I28">
        <v>0</v>
      </c>
      <c r="J28">
        <v>0</v>
      </c>
      <c r="K28">
        <v>4.5999999999999996</v>
      </c>
      <c r="L28" t="s">
        <v>487</v>
      </c>
      <c r="M28">
        <v>188</v>
      </c>
      <c r="N28">
        <v>40.869999999999997</v>
      </c>
      <c r="O28" t="s">
        <v>60</v>
      </c>
      <c r="P28" t="s">
        <v>490</v>
      </c>
      <c r="Q28">
        <v>0</v>
      </c>
      <c r="R28">
        <v>0</v>
      </c>
    </row>
    <row r="29" spans="1:18" x14ac:dyDescent="0.35">
      <c r="A29" t="s">
        <v>197</v>
      </c>
      <c r="B29" t="s">
        <v>483</v>
      </c>
      <c r="C29" t="s">
        <v>484</v>
      </c>
      <c r="D29">
        <v>102530855</v>
      </c>
      <c r="E29" t="s">
        <v>549</v>
      </c>
      <c r="F29" t="s">
        <v>497</v>
      </c>
      <c r="G29">
        <v>0.24</v>
      </c>
      <c r="H29">
        <v>4.3600000000000003</v>
      </c>
      <c r="I29">
        <v>0</v>
      </c>
      <c r="J29">
        <v>0</v>
      </c>
      <c r="K29">
        <v>4.5999999999999996</v>
      </c>
      <c r="L29" t="s">
        <v>487</v>
      </c>
      <c r="M29">
        <v>188</v>
      </c>
      <c r="N29">
        <v>40.869999999999997</v>
      </c>
      <c r="O29" t="s">
        <v>60</v>
      </c>
      <c r="P29" t="s">
        <v>491</v>
      </c>
      <c r="Q29">
        <v>0</v>
      </c>
      <c r="R29">
        <v>0</v>
      </c>
    </row>
    <row r="30" spans="1:18" x14ac:dyDescent="0.35">
      <c r="A30" t="s">
        <v>197</v>
      </c>
      <c r="B30" t="s">
        <v>483</v>
      </c>
      <c r="C30" t="s">
        <v>484</v>
      </c>
      <c r="D30">
        <v>102530855</v>
      </c>
      <c r="E30" t="s">
        <v>549</v>
      </c>
      <c r="F30" t="s">
        <v>497</v>
      </c>
      <c r="G30">
        <v>0.24</v>
      </c>
      <c r="H30">
        <v>4.3600000000000003</v>
      </c>
      <c r="I30">
        <v>0</v>
      </c>
      <c r="J30">
        <v>0</v>
      </c>
      <c r="K30">
        <v>4.5999999999999996</v>
      </c>
      <c r="L30" t="s">
        <v>487</v>
      </c>
      <c r="M30">
        <v>188</v>
      </c>
      <c r="N30">
        <v>40.869999999999997</v>
      </c>
      <c r="O30" t="s">
        <v>60</v>
      </c>
      <c r="P30" t="s">
        <v>492</v>
      </c>
      <c r="Q30">
        <v>1230</v>
      </c>
      <c r="R30">
        <v>267.39</v>
      </c>
    </row>
    <row r="31" spans="1:18" x14ac:dyDescent="0.35">
      <c r="A31" t="s">
        <v>197</v>
      </c>
      <c r="B31" t="s">
        <v>483</v>
      </c>
      <c r="C31" t="s">
        <v>484</v>
      </c>
      <c r="D31">
        <v>102530855</v>
      </c>
      <c r="E31" t="s">
        <v>549</v>
      </c>
      <c r="F31" t="s">
        <v>497</v>
      </c>
      <c r="G31">
        <v>0.24</v>
      </c>
      <c r="H31">
        <v>4.3600000000000003</v>
      </c>
      <c r="I31">
        <v>0</v>
      </c>
      <c r="J31">
        <v>0</v>
      </c>
      <c r="K31">
        <v>4.5999999999999996</v>
      </c>
      <c r="L31" t="s">
        <v>487</v>
      </c>
      <c r="M31">
        <v>188</v>
      </c>
      <c r="N31">
        <v>40.869999999999997</v>
      </c>
      <c r="O31" t="s">
        <v>81</v>
      </c>
      <c r="P31" t="s">
        <v>492</v>
      </c>
      <c r="Q31">
        <v>188</v>
      </c>
      <c r="R31">
        <v>40.869999999999997</v>
      </c>
    </row>
    <row r="32" spans="1:18" x14ac:dyDescent="0.35">
      <c r="A32" t="s">
        <v>197</v>
      </c>
      <c r="B32" t="s">
        <v>483</v>
      </c>
      <c r="C32" t="s">
        <v>484</v>
      </c>
      <c r="D32">
        <v>104378003</v>
      </c>
      <c r="E32" t="s">
        <v>495</v>
      </c>
      <c r="F32" t="s">
        <v>486</v>
      </c>
      <c r="G32">
        <v>0.15</v>
      </c>
      <c r="H32">
        <v>4.3600000000000003</v>
      </c>
      <c r="I32">
        <v>0</v>
      </c>
      <c r="J32">
        <v>0</v>
      </c>
      <c r="K32">
        <v>4.5199999999999996</v>
      </c>
      <c r="L32" t="s">
        <v>487</v>
      </c>
      <c r="M32">
        <v>173</v>
      </c>
      <c r="N32">
        <v>38.299999999999997</v>
      </c>
      <c r="O32" t="s">
        <v>60</v>
      </c>
      <c r="P32" t="s">
        <v>488</v>
      </c>
      <c r="Q32">
        <v>120</v>
      </c>
      <c r="R32">
        <v>789.76</v>
      </c>
    </row>
    <row r="33" spans="1:18" x14ac:dyDescent="0.35">
      <c r="A33" t="s">
        <v>197</v>
      </c>
      <c r="B33" t="s">
        <v>483</v>
      </c>
      <c r="C33" t="s">
        <v>484</v>
      </c>
      <c r="D33">
        <v>104378003</v>
      </c>
      <c r="E33" t="s">
        <v>495</v>
      </c>
      <c r="F33" t="s">
        <v>486</v>
      </c>
      <c r="G33">
        <v>0.15</v>
      </c>
      <c r="H33">
        <v>4.3600000000000003</v>
      </c>
      <c r="I33">
        <v>0</v>
      </c>
      <c r="J33">
        <v>0</v>
      </c>
      <c r="K33">
        <v>4.5199999999999996</v>
      </c>
      <c r="L33" t="s">
        <v>487</v>
      </c>
      <c r="M33">
        <v>173</v>
      </c>
      <c r="N33">
        <v>38.299999999999997</v>
      </c>
      <c r="O33" t="s">
        <v>60</v>
      </c>
      <c r="P33" t="s">
        <v>489</v>
      </c>
      <c r="Q33">
        <v>604</v>
      </c>
      <c r="R33">
        <v>138.38999999999999</v>
      </c>
    </row>
    <row r="34" spans="1:18" x14ac:dyDescent="0.35">
      <c r="A34" t="s">
        <v>197</v>
      </c>
      <c r="B34" t="s">
        <v>483</v>
      </c>
      <c r="C34" t="s">
        <v>484</v>
      </c>
      <c r="D34">
        <v>104378003</v>
      </c>
      <c r="E34" t="s">
        <v>495</v>
      </c>
      <c r="F34" t="s">
        <v>486</v>
      </c>
      <c r="G34">
        <v>0.15</v>
      </c>
      <c r="H34">
        <v>4.3600000000000003</v>
      </c>
      <c r="I34">
        <v>0</v>
      </c>
      <c r="J34">
        <v>0</v>
      </c>
      <c r="K34">
        <v>4.5199999999999996</v>
      </c>
      <c r="L34" t="s">
        <v>487</v>
      </c>
      <c r="M34">
        <v>173</v>
      </c>
      <c r="N34">
        <v>38.299999999999997</v>
      </c>
      <c r="O34" t="s">
        <v>60</v>
      </c>
      <c r="P34" t="s">
        <v>490</v>
      </c>
      <c r="Q34">
        <v>0</v>
      </c>
      <c r="R34">
        <v>0</v>
      </c>
    </row>
    <row r="35" spans="1:18" x14ac:dyDescent="0.35">
      <c r="A35" t="s">
        <v>197</v>
      </c>
      <c r="B35" t="s">
        <v>483</v>
      </c>
      <c r="C35" t="s">
        <v>484</v>
      </c>
      <c r="D35">
        <v>104378003</v>
      </c>
      <c r="E35" t="s">
        <v>495</v>
      </c>
      <c r="F35" t="s">
        <v>486</v>
      </c>
      <c r="G35">
        <v>0.15</v>
      </c>
      <c r="H35">
        <v>4.3600000000000003</v>
      </c>
      <c r="I35">
        <v>0</v>
      </c>
      <c r="J35">
        <v>0</v>
      </c>
      <c r="K35">
        <v>4.5199999999999996</v>
      </c>
      <c r="L35" t="s">
        <v>487</v>
      </c>
      <c r="M35">
        <v>173</v>
      </c>
      <c r="N35">
        <v>38.299999999999997</v>
      </c>
      <c r="O35" t="s">
        <v>60</v>
      </c>
      <c r="P35" t="s">
        <v>491</v>
      </c>
      <c r="Q35">
        <v>0</v>
      </c>
      <c r="R35">
        <v>0</v>
      </c>
    </row>
    <row r="36" spans="1:18" x14ac:dyDescent="0.35">
      <c r="A36" t="s">
        <v>197</v>
      </c>
      <c r="B36" t="s">
        <v>483</v>
      </c>
      <c r="C36" t="s">
        <v>484</v>
      </c>
      <c r="D36">
        <v>104378003</v>
      </c>
      <c r="E36" t="s">
        <v>495</v>
      </c>
      <c r="F36" t="s">
        <v>486</v>
      </c>
      <c r="G36">
        <v>0.15</v>
      </c>
      <c r="H36">
        <v>4.3600000000000003</v>
      </c>
      <c r="I36">
        <v>0</v>
      </c>
      <c r="J36">
        <v>0</v>
      </c>
      <c r="K36">
        <v>4.5199999999999996</v>
      </c>
      <c r="L36" t="s">
        <v>487</v>
      </c>
      <c r="M36">
        <v>173</v>
      </c>
      <c r="N36">
        <v>38.299999999999997</v>
      </c>
      <c r="O36" t="s">
        <v>60</v>
      </c>
      <c r="P36" t="s">
        <v>492</v>
      </c>
      <c r="Q36">
        <v>724</v>
      </c>
      <c r="R36">
        <v>160.30000000000001</v>
      </c>
    </row>
    <row r="37" spans="1:18" x14ac:dyDescent="0.35">
      <c r="A37" t="s">
        <v>197</v>
      </c>
      <c r="B37" t="s">
        <v>483</v>
      </c>
      <c r="C37" t="s">
        <v>484</v>
      </c>
      <c r="D37">
        <v>104378003</v>
      </c>
      <c r="E37" t="s">
        <v>495</v>
      </c>
      <c r="F37" t="s">
        <v>486</v>
      </c>
      <c r="G37">
        <v>0.15</v>
      </c>
      <c r="H37">
        <v>4.3600000000000003</v>
      </c>
      <c r="I37">
        <v>0</v>
      </c>
      <c r="J37">
        <v>0</v>
      </c>
      <c r="K37">
        <v>4.5199999999999996</v>
      </c>
      <c r="L37" t="s">
        <v>487</v>
      </c>
      <c r="M37">
        <v>173</v>
      </c>
      <c r="N37">
        <v>38.299999999999997</v>
      </c>
      <c r="O37" t="s">
        <v>81</v>
      </c>
      <c r="P37" t="s">
        <v>492</v>
      </c>
      <c r="Q37">
        <v>173</v>
      </c>
      <c r="R37">
        <v>38.299999999999997</v>
      </c>
    </row>
    <row r="38" spans="1:18" x14ac:dyDescent="0.35">
      <c r="A38" t="s">
        <v>197</v>
      </c>
      <c r="B38" t="s">
        <v>483</v>
      </c>
      <c r="C38" t="s">
        <v>493</v>
      </c>
      <c r="D38">
        <v>106550554</v>
      </c>
      <c r="E38" t="s">
        <v>496</v>
      </c>
      <c r="F38" t="s">
        <v>497</v>
      </c>
      <c r="G38">
        <v>0.33</v>
      </c>
      <c r="H38">
        <v>6.25</v>
      </c>
      <c r="I38">
        <v>0</v>
      </c>
      <c r="J38">
        <v>0</v>
      </c>
      <c r="K38">
        <v>6.59</v>
      </c>
      <c r="L38" t="s">
        <v>487</v>
      </c>
      <c r="M38">
        <v>365</v>
      </c>
      <c r="N38">
        <v>55.42</v>
      </c>
      <c r="O38" t="s">
        <v>60</v>
      </c>
      <c r="P38" t="s">
        <v>488</v>
      </c>
      <c r="Q38">
        <v>512</v>
      </c>
      <c r="R38">
        <v>1536</v>
      </c>
    </row>
    <row r="39" spans="1:18" x14ac:dyDescent="0.35">
      <c r="A39" t="s">
        <v>197</v>
      </c>
      <c r="B39" t="s">
        <v>483</v>
      </c>
      <c r="C39" t="s">
        <v>493</v>
      </c>
      <c r="D39">
        <v>106550554</v>
      </c>
      <c r="E39" t="s">
        <v>496</v>
      </c>
      <c r="F39" t="s">
        <v>497</v>
      </c>
      <c r="G39">
        <v>0.33</v>
      </c>
      <c r="H39">
        <v>6.25</v>
      </c>
      <c r="I39">
        <v>0</v>
      </c>
      <c r="J39">
        <v>0</v>
      </c>
      <c r="K39">
        <v>6.59</v>
      </c>
      <c r="L39" t="s">
        <v>487</v>
      </c>
      <c r="M39">
        <v>365</v>
      </c>
      <c r="N39">
        <v>55.42</v>
      </c>
      <c r="O39" t="s">
        <v>60</v>
      </c>
      <c r="P39" t="s">
        <v>489</v>
      </c>
      <c r="Q39">
        <v>1684</v>
      </c>
      <c r="R39">
        <v>269.36</v>
      </c>
    </row>
    <row r="40" spans="1:18" x14ac:dyDescent="0.35">
      <c r="A40" t="s">
        <v>197</v>
      </c>
      <c r="B40" t="s">
        <v>483</v>
      </c>
      <c r="C40" t="s">
        <v>493</v>
      </c>
      <c r="D40">
        <v>106550554</v>
      </c>
      <c r="E40" t="s">
        <v>496</v>
      </c>
      <c r="F40" t="s">
        <v>497</v>
      </c>
      <c r="G40">
        <v>0.33</v>
      </c>
      <c r="H40">
        <v>6.25</v>
      </c>
      <c r="I40">
        <v>0</v>
      </c>
      <c r="J40">
        <v>0</v>
      </c>
      <c r="K40">
        <v>6.59</v>
      </c>
      <c r="L40" t="s">
        <v>487</v>
      </c>
      <c r="M40">
        <v>365</v>
      </c>
      <c r="N40">
        <v>55.42</v>
      </c>
      <c r="O40" t="s">
        <v>60</v>
      </c>
      <c r="P40" t="s">
        <v>490</v>
      </c>
      <c r="Q40">
        <v>0</v>
      </c>
      <c r="R40">
        <v>0</v>
      </c>
    </row>
    <row r="41" spans="1:18" x14ac:dyDescent="0.35">
      <c r="A41" t="s">
        <v>197</v>
      </c>
      <c r="B41" t="s">
        <v>483</v>
      </c>
      <c r="C41" t="s">
        <v>493</v>
      </c>
      <c r="D41">
        <v>106550554</v>
      </c>
      <c r="E41" t="s">
        <v>496</v>
      </c>
      <c r="F41" t="s">
        <v>497</v>
      </c>
      <c r="G41">
        <v>0.33</v>
      </c>
      <c r="H41">
        <v>6.25</v>
      </c>
      <c r="I41">
        <v>0</v>
      </c>
      <c r="J41">
        <v>0</v>
      </c>
      <c r="K41">
        <v>6.59</v>
      </c>
      <c r="L41" t="s">
        <v>487</v>
      </c>
      <c r="M41">
        <v>365</v>
      </c>
      <c r="N41">
        <v>55.42</v>
      </c>
      <c r="O41" t="s">
        <v>60</v>
      </c>
      <c r="P41" t="s">
        <v>491</v>
      </c>
      <c r="Q41">
        <v>0</v>
      </c>
      <c r="R41">
        <v>0</v>
      </c>
    </row>
    <row r="42" spans="1:18" x14ac:dyDescent="0.35">
      <c r="A42" t="s">
        <v>197</v>
      </c>
      <c r="B42" t="s">
        <v>483</v>
      </c>
      <c r="C42" t="s">
        <v>493</v>
      </c>
      <c r="D42">
        <v>106550554</v>
      </c>
      <c r="E42" t="s">
        <v>496</v>
      </c>
      <c r="F42" t="s">
        <v>497</v>
      </c>
      <c r="G42">
        <v>0.33</v>
      </c>
      <c r="H42">
        <v>6.25</v>
      </c>
      <c r="I42">
        <v>0</v>
      </c>
      <c r="J42">
        <v>0</v>
      </c>
      <c r="K42">
        <v>6.59</v>
      </c>
      <c r="L42" t="s">
        <v>487</v>
      </c>
      <c r="M42">
        <v>365</v>
      </c>
      <c r="N42">
        <v>55.42</v>
      </c>
      <c r="O42" t="s">
        <v>60</v>
      </c>
      <c r="P42" t="s">
        <v>492</v>
      </c>
      <c r="Q42">
        <v>2196</v>
      </c>
      <c r="R42">
        <v>333.46</v>
      </c>
    </row>
    <row r="43" spans="1:18" x14ac:dyDescent="0.35">
      <c r="A43" t="s">
        <v>197</v>
      </c>
      <c r="B43" t="s">
        <v>483</v>
      </c>
      <c r="C43" t="s">
        <v>493</v>
      </c>
      <c r="D43">
        <v>106550554</v>
      </c>
      <c r="E43" t="s">
        <v>496</v>
      </c>
      <c r="F43" t="s">
        <v>497</v>
      </c>
      <c r="G43">
        <v>0.33</v>
      </c>
      <c r="H43">
        <v>6.25</v>
      </c>
      <c r="I43">
        <v>0</v>
      </c>
      <c r="J43">
        <v>0</v>
      </c>
      <c r="K43">
        <v>6.59</v>
      </c>
      <c r="L43" t="s">
        <v>487</v>
      </c>
      <c r="M43">
        <v>365</v>
      </c>
      <c r="N43">
        <v>55.42</v>
      </c>
      <c r="O43" t="s">
        <v>81</v>
      </c>
      <c r="P43" t="s">
        <v>492</v>
      </c>
      <c r="Q43">
        <v>365</v>
      </c>
      <c r="R43">
        <v>55.42</v>
      </c>
    </row>
    <row r="44" spans="1:18" x14ac:dyDescent="0.35">
      <c r="A44" t="s">
        <v>197</v>
      </c>
      <c r="B44" t="s">
        <v>483</v>
      </c>
      <c r="C44" t="s">
        <v>493</v>
      </c>
      <c r="D44">
        <v>106636925</v>
      </c>
      <c r="E44" t="s">
        <v>557</v>
      </c>
      <c r="F44" t="s">
        <v>486</v>
      </c>
      <c r="G44">
        <v>0.33</v>
      </c>
      <c r="H44">
        <v>4.6399999999999997</v>
      </c>
      <c r="I44">
        <v>0</v>
      </c>
      <c r="J44">
        <v>0</v>
      </c>
      <c r="K44">
        <v>4.97</v>
      </c>
      <c r="L44" t="s">
        <v>487</v>
      </c>
      <c r="M44">
        <v>168</v>
      </c>
      <c r="N44">
        <v>33.83</v>
      </c>
      <c r="O44" t="s">
        <v>60</v>
      </c>
      <c r="P44" t="s">
        <v>488</v>
      </c>
      <c r="Q44">
        <v>354</v>
      </c>
      <c r="R44">
        <v>1070.03</v>
      </c>
    </row>
    <row r="45" spans="1:18" x14ac:dyDescent="0.35">
      <c r="A45" t="s">
        <v>197</v>
      </c>
      <c r="B45" t="s">
        <v>483</v>
      </c>
      <c r="C45" t="s">
        <v>493</v>
      </c>
      <c r="D45">
        <v>106636925</v>
      </c>
      <c r="E45" t="s">
        <v>557</v>
      </c>
      <c r="F45" t="s">
        <v>486</v>
      </c>
      <c r="G45">
        <v>0.33</v>
      </c>
      <c r="H45">
        <v>4.6399999999999997</v>
      </c>
      <c r="I45">
        <v>0</v>
      </c>
      <c r="J45">
        <v>0</v>
      </c>
      <c r="K45">
        <v>4.97</v>
      </c>
      <c r="L45" t="s">
        <v>487</v>
      </c>
      <c r="M45">
        <v>168</v>
      </c>
      <c r="N45">
        <v>33.83</v>
      </c>
      <c r="O45" t="s">
        <v>60</v>
      </c>
      <c r="P45" t="s">
        <v>489</v>
      </c>
      <c r="Q45">
        <v>870</v>
      </c>
      <c r="R45">
        <v>187.68</v>
      </c>
    </row>
    <row r="46" spans="1:18" x14ac:dyDescent="0.35">
      <c r="A46" t="s">
        <v>197</v>
      </c>
      <c r="B46" t="s">
        <v>483</v>
      </c>
      <c r="C46" t="s">
        <v>493</v>
      </c>
      <c r="D46">
        <v>106636925</v>
      </c>
      <c r="E46" t="s">
        <v>557</v>
      </c>
      <c r="F46" t="s">
        <v>486</v>
      </c>
      <c r="G46">
        <v>0.33</v>
      </c>
      <c r="H46">
        <v>4.6399999999999997</v>
      </c>
      <c r="I46">
        <v>0</v>
      </c>
      <c r="J46">
        <v>0</v>
      </c>
      <c r="K46">
        <v>4.97</v>
      </c>
      <c r="L46" t="s">
        <v>487</v>
      </c>
      <c r="M46">
        <v>168</v>
      </c>
      <c r="N46">
        <v>33.83</v>
      </c>
      <c r="O46" t="s">
        <v>60</v>
      </c>
      <c r="P46" t="s">
        <v>490</v>
      </c>
      <c r="Q46">
        <v>0</v>
      </c>
      <c r="R46">
        <v>0</v>
      </c>
    </row>
    <row r="47" spans="1:18" x14ac:dyDescent="0.35">
      <c r="A47" t="s">
        <v>197</v>
      </c>
      <c r="B47" t="s">
        <v>483</v>
      </c>
      <c r="C47" t="s">
        <v>493</v>
      </c>
      <c r="D47">
        <v>106636925</v>
      </c>
      <c r="E47" t="s">
        <v>557</v>
      </c>
      <c r="F47" t="s">
        <v>486</v>
      </c>
      <c r="G47">
        <v>0.33</v>
      </c>
      <c r="H47">
        <v>4.6399999999999997</v>
      </c>
      <c r="I47">
        <v>0</v>
      </c>
      <c r="J47">
        <v>0</v>
      </c>
      <c r="K47">
        <v>4.97</v>
      </c>
      <c r="L47" t="s">
        <v>487</v>
      </c>
      <c r="M47">
        <v>168</v>
      </c>
      <c r="N47">
        <v>33.83</v>
      </c>
      <c r="O47" t="s">
        <v>60</v>
      </c>
      <c r="P47" t="s">
        <v>491</v>
      </c>
      <c r="Q47">
        <v>0</v>
      </c>
      <c r="R47">
        <v>0</v>
      </c>
    </row>
    <row r="48" spans="1:18" x14ac:dyDescent="0.35">
      <c r="A48" t="s">
        <v>197</v>
      </c>
      <c r="B48" t="s">
        <v>483</v>
      </c>
      <c r="C48" t="s">
        <v>493</v>
      </c>
      <c r="D48">
        <v>106636925</v>
      </c>
      <c r="E48" t="s">
        <v>557</v>
      </c>
      <c r="F48" t="s">
        <v>486</v>
      </c>
      <c r="G48">
        <v>0.33</v>
      </c>
      <c r="H48">
        <v>4.6399999999999997</v>
      </c>
      <c r="I48">
        <v>0</v>
      </c>
      <c r="J48">
        <v>0</v>
      </c>
      <c r="K48">
        <v>4.97</v>
      </c>
      <c r="L48" t="s">
        <v>487</v>
      </c>
      <c r="M48">
        <v>168</v>
      </c>
      <c r="N48">
        <v>33.83</v>
      </c>
      <c r="O48" t="s">
        <v>60</v>
      </c>
      <c r="P48" t="s">
        <v>492</v>
      </c>
      <c r="Q48">
        <v>1224</v>
      </c>
      <c r="R48">
        <v>246.44</v>
      </c>
    </row>
    <row r="49" spans="1:18" x14ac:dyDescent="0.35">
      <c r="A49" t="s">
        <v>197</v>
      </c>
      <c r="B49" t="s">
        <v>483</v>
      </c>
      <c r="C49" t="s">
        <v>493</v>
      </c>
      <c r="D49">
        <v>106636925</v>
      </c>
      <c r="E49" t="s">
        <v>557</v>
      </c>
      <c r="F49" t="s">
        <v>486</v>
      </c>
      <c r="G49">
        <v>0.33</v>
      </c>
      <c r="H49">
        <v>4.6399999999999997</v>
      </c>
      <c r="I49">
        <v>0</v>
      </c>
      <c r="J49">
        <v>0</v>
      </c>
      <c r="K49">
        <v>4.97</v>
      </c>
      <c r="L49" t="s">
        <v>487</v>
      </c>
      <c r="M49">
        <v>168</v>
      </c>
      <c r="N49">
        <v>33.83</v>
      </c>
      <c r="O49" t="s">
        <v>81</v>
      </c>
      <c r="P49" t="s">
        <v>492</v>
      </c>
      <c r="Q49">
        <v>168</v>
      </c>
      <c r="R49">
        <v>33.83</v>
      </c>
    </row>
    <row r="50" spans="1:18" x14ac:dyDescent="0.35">
      <c r="A50" t="s">
        <v>197</v>
      </c>
      <c r="B50" t="s">
        <v>483</v>
      </c>
      <c r="C50" t="s">
        <v>484</v>
      </c>
      <c r="D50">
        <v>106640096</v>
      </c>
      <c r="E50" t="s">
        <v>498</v>
      </c>
      <c r="F50" t="s">
        <v>486</v>
      </c>
      <c r="G50">
        <v>7.0000000000000007E-2</v>
      </c>
      <c r="H50">
        <v>7.24</v>
      </c>
      <c r="I50">
        <v>0</v>
      </c>
      <c r="J50">
        <v>0</v>
      </c>
      <c r="K50">
        <v>7.32</v>
      </c>
      <c r="L50" t="s">
        <v>487</v>
      </c>
      <c r="M50">
        <v>350</v>
      </c>
      <c r="N50">
        <v>47.84</v>
      </c>
      <c r="O50" t="s">
        <v>60</v>
      </c>
      <c r="P50" t="s">
        <v>488</v>
      </c>
      <c r="Q50">
        <v>90</v>
      </c>
      <c r="R50">
        <v>1236.6400000000001</v>
      </c>
    </row>
    <row r="51" spans="1:18" x14ac:dyDescent="0.35">
      <c r="A51" t="s">
        <v>197</v>
      </c>
      <c r="B51" t="s">
        <v>483</v>
      </c>
      <c r="C51" t="s">
        <v>484</v>
      </c>
      <c r="D51">
        <v>106640096</v>
      </c>
      <c r="E51" t="s">
        <v>498</v>
      </c>
      <c r="F51" t="s">
        <v>486</v>
      </c>
      <c r="G51">
        <v>7.0000000000000007E-2</v>
      </c>
      <c r="H51">
        <v>7.24</v>
      </c>
      <c r="I51">
        <v>0</v>
      </c>
      <c r="J51">
        <v>0</v>
      </c>
      <c r="K51">
        <v>7.32</v>
      </c>
      <c r="L51" t="s">
        <v>487</v>
      </c>
      <c r="M51">
        <v>350</v>
      </c>
      <c r="N51">
        <v>47.84</v>
      </c>
      <c r="O51" t="s">
        <v>60</v>
      </c>
      <c r="P51" t="s">
        <v>489</v>
      </c>
      <c r="Q51">
        <v>1570</v>
      </c>
      <c r="R51">
        <v>216.74</v>
      </c>
    </row>
    <row r="52" spans="1:18" x14ac:dyDescent="0.35">
      <c r="A52" t="s">
        <v>197</v>
      </c>
      <c r="B52" t="s">
        <v>483</v>
      </c>
      <c r="C52" t="s">
        <v>484</v>
      </c>
      <c r="D52">
        <v>106640096</v>
      </c>
      <c r="E52" t="s">
        <v>498</v>
      </c>
      <c r="F52" t="s">
        <v>486</v>
      </c>
      <c r="G52">
        <v>7.0000000000000007E-2</v>
      </c>
      <c r="H52">
        <v>7.24</v>
      </c>
      <c r="I52">
        <v>0</v>
      </c>
      <c r="J52">
        <v>0</v>
      </c>
      <c r="K52">
        <v>7.32</v>
      </c>
      <c r="L52" t="s">
        <v>487</v>
      </c>
      <c r="M52">
        <v>350</v>
      </c>
      <c r="N52">
        <v>47.84</v>
      </c>
      <c r="O52" t="s">
        <v>60</v>
      </c>
      <c r="P52" t="s">
        <v>490</v>
      </c>
      <c r="Q52">
        <v>0</v>
      </c>
      <c r="R52">
        <v>0</v>
      </c>
    </row>
    <row r="53" spans="1:18" x14ac:dyDescent="0.35">
      <c r="A53" t="s">
        <v>197</v>
      </c>
      <c r="B53" t="s">
        <v>483</v>
      </c>
      <c r="C53" t="s">
        <v>484</v>
      </c>
      <c r="D53">
        <v>106640096</v>
      </c>
      <c r="E53" t="s">
        <v>498</v>
      </c>
      <c r="F53" t="s">
        <v>486</v>
      </c>
      <c r="G53">
        <v>7.0000000000000007E-2</v>
      </c>
      <c r="H53">
        <v>7.24</v>
      </c>
      <c r="I53">
        <v>0</v>
      </c>
      <c r="J53">
        <v>0</v>
      </c>
      <c r="K53">
        <v>7.32</v>
      </c>
      <c r="L53" t="s">
        <v>487</v>
      </c>
      <c r="M53">
        <v>350</v>
      </c>
      <c r="N53">
        <v>47.84</v>
      </c>
      <c r="O53" t="s">
        <v>60</v>
      </c>
      <c r="P53" t="s">
        <v>491</v>
      </c>
      <c r="Q53">
        <v>0</v>
      </c>
      <c r="R53">
        <v>0</v>
      </c>
    </row>
    <row r="54" spans="1:18" x14ac:dyDescent="0.35">
      <c r="A54" t="s">
        <v>197</v>
      </c>
      <c r="B54" t="s">
        <v>483</v>
      </c>
      <c r="C54" t="s">
        <v>484</v>
      </c>
      <c r="D54">
        <v>106640096</v>
      </c>
      <c r="E54" t="s">
        <v>498</v>
      </c>
      <c r="F54" t="s">
        <v>486</v>
      </c>
      <c r="G54">
        <v>7.0000000000000007E-2</v>
      </c>
      <c r="H54">
        <v>7.24</v>
      </c>
      <c r="I54">
        <v>0</v>
      </c>
      <c r="J54">
        <v>0</v>
      </c>
      <c r="K54">
        <v>7.32</v>
      </c>
      <c r="L54" t="s">
        <v>487</v>
      </c>
      <c r="M54">
        <v>350</v>
      </c>
      <c r="N54">
        <v>47.84</v>
      </c>
      <c r="O54" t="s">
        <v>60</v>
      </c>
      <c r="P54" t="s">
        <v>492</v>
      </c>
      <c r="Q54">
        <v>1660</v>
      </c>
      <c r="R54">
        <v>226.88</v>
      </c>
    </row>
    <row r="55" spans="1:18" x14ac:dyDescent="0.35">
      <c r="A55" t="s">
        <v>197</v>
      </c>
      <c r="B55" t="s">
        <v>483</v>
      </c>
      <c r="C55" t="s">
        <v>484</v>
      </c>
      <c r="D55">
        <v>106640096</v>
      </c>
      <c r="E55" t="s">
        <v>498</v>
      </c>
      <c r="F55" t="s">
        <v>486</v>
      </c>
      <c r="G55">
        <v>7.0000000000000007E-2</v>
      </c>
      <c r="H55">
        <v>7.24</v>
      </c>
      <c r="I55">
        <v>0</v>
      </c>
      <c r="J55">
        <v>0</v>
      </c>
      <c r="K55">
        <v>7.32</v>
      </c>
      <c r="L55" t="s">
        <v>487</v>
      </c>
      <c r="M55">
        <v>350</v>
      </c>
      <c r="N55">
        <v>47.84</v>
      </c>
      <c r="O55" t="s">
        <v>81</v>
      </c>
      <c r="P55" t="s">
        <v>492</v>
      </c>
      <c r="Q55">
        <v>350</v>
      </c>
      <c r="R55">
        <v>47.84</v>
      </c>
    </row>
    <row r="56" spans="1:18" x14ac:dyDescent="0.35">
      <c r="A56" t="s">
        <v>197</v>
      </c>
      <c r="B56" t="s">
        <v>483</v>
      </c>
      <c r="C56" t="s">
        <v>493</v>
      </c>
      <c r="D56">
        <v>106677842</v>
      </c>
      <c r="E56" t="s">
        <v>552</v>
      </c>
      <c r="F56" t="s">
        <v>497</v>
      </c>
      <c r="G56">
        <v>0.13</v>
      </c>
      <c r="H56">
        <v>4.34</v>
      </c>
      <c r="I56">
        <v>0</v>
      </c>
      <c r="J56">
        <v>0</v>
      </c>
      <c r="K56">
        <v>4.47</v>
      </c>
      <c r="L56" t="s">
        <v>487</v>
      </c>
      <c r="M56">
        <v>225</v>
      </c>
      <c r="N56">
        <v>50.37</v>
      </c>
      <c r="O56" t="s">
        <v>60</v>
      </c>
      <c r="P56" t="s">
        <v>488</v>
      </c>
      <c r="Q56">
        <v>168</v>
      </c>
      <c r="R56">
        <v>1303.45</v>
      </c>
    </row>
    <row r="57" spans="1:18" x14ac:dyDescent="0.35">
      <c r="A57" t="s">
        <v>197</v>
      </c>
      <c r="B57" t="s">
        <v>483</v>
      </c>
      <c r="C57" t="s">
        <v>493</v>
      </c>
      <c r="D57">
        <v>106677842</v>
      </c>
      <c r="E57" t="s">
        <v>552</v>
      </c>
      <c r="F57" t="s">
        <v>497</v>
      </c>
      <c r="G57">
        <v>0.13</v>
      </c>
      <c r="H57">
        <v>4.34</v>
      </c>
      <c r="I57">
        <v>0</v>
      </c>
      <c r="J57">
        <v>0</v>
      </c>
      <c r="K57">
        <v>4.47</v>
      </c>
      <c r="L57" t="s">
        <v>487</v>
      </c>
      <c r="M57">
        <v>225</v>
      </c>
      <c r="N57">
        <v>50.37</v>
      </c>
      <c r="O57" t="s">
        <v>60</v>
      </c>
      <c r="P57" t="s">
        <v>489</v>
      </c>
      <c r="Q57">
        <v>990</v>
      </c>
      <c r="R57">
        <v>228.24</v>
      </c>
    </row>
    <row r="58" spans="1:18" x14ac:dyDescent="0.35">
      <c r="A58" t="s">
        <v>197</v>
      </c>
      <c r="B58" t="s">
        <v>483</v>
      </c>
      <c r="C58" t="s">
        <v>493</v>
      </c>
      <c r="D58">
        <v>106677842</v>
      </c>
      <c r="E58" t="s">
        <v>552</v>
      </c>
      <c r="F58" t="s">
        <v>497</v>
      </c>
      <c r="G58">
        <v>0.13</v>
      </c>
      <c r="H58">
        <v>4.34</v>
      </c>
      <c r="I58">
        <v>0</v>
      </c>
      <c r="J58">
        <v>0</v>
      </c>
      <c r="K58">
        <v>4.47</v>
      </c>
      <c r="L58" t="s">
        <v>487</v>
      </c>
      <c r="M58">
        <v>225</v>
      </c>
      <c r="N58">
        <v>50.37</v>
      </c>
      <c r="O58" t="s">
        <v>60</v>
      </c>
      <c r="P58" t="s">
        <v>490</v>
      </c>
      <c r="Q58">
        <v>0</v>
      </c>
      <c r="R58">
        <v>0</v>
      </c>
    </row>
    <row r="59" spans="1:18" x14ac:dyDescent="0.35">
      <c r="A59" t="s">
        <v>197</v>
      </c>
      <c r="B59" t="s">
        <v>483</v>
      </c>
      <c r="C59" t="s">
        <v>493</v>
      </c>
      <c r="D59">
        <v>106677842</v>
      </c>
      <c r="E59" t="s">
        <v>552</v>
      </c>
      <c r="F59" t="s">
        <v>497</v>
      </c>
      <c r="G59">
        <v>0.13</v>
      </c>
      <c r="H59">
        <v>4.34</v>
      </c>
      <c r="I59">
        <v>0</v>
      </c>
      <c r="J59">
        <v>0</v>
      </c>
      <c r="K59">
        <v>4.47</v>
      </c>
      <c r="L59" t="s">
        <v>487</v>
      </c>
      <c r="M59">
        <v>225</v>
      </c>
      <c r="N59">
        <v>50.37</v>
      </c>
      <c r="O59" t="s">
        <v>60</v>
      </c>
      <c r="P59" t="s">
        <v>491</v>
      </c>
      <c r="Q59">
        <v>0</v>
      </c>
      <c r="R59">
        <v>0</v>
      </c>
    </row>
    <row r="60" spans="1:18" x14ac:dyDescent="0.35">
      <c r="A60" t="s">
        <v>197</v>
      </c>
      <c r="B60" t="s">
        <v>483</v>
      </c>
      <c r="C60" t="s">
        <v>493</v>
      </c>
      <c r="D60">
        <v>106677842</v>
      </c>
      <c r="E60" t="s">
        <v>552</v>
      </c>
      <c r="F60" t="s">
        <v>497</v>
      </c>
      <c r="G60">
        <v>0.13</v>
      </c>
      <c r="H60">
        <v>4.34</v>
      </c>
      <c r="I60">
        <v>0</v>
      </c>
      <c r="J60">
        <v>0</v>
      </c>
      <c r="K60">
        <v>4.47</v>
      </c>
      <c r="L60" t="s">
        <v>487</v>
      </c>
      <c r="M60">
        <v>225</v>
      </c>
      <c r="N60">
        <v>50.37</v>
      </c>
      <c r="O60" t="s">
        <v>60</v>
      </c>
      <c r="P60" t="s">
        <v>492</v>
      </c>
      <c r="Q60">
        <v>1158</v>
      </c>
      <c r="R60">
        <v>259.25</v>
      </c>
    </row>
    <row r="61" spans="1:18" x14ac:dyDescent="0.35">
      <c r="A61" t="s">
        <v>197</v>
      </c>
      <c r="B61" t="s">
        <v>483</v>
      </c>
      <c r="C61" t="s">
        <v>493</v>
      </c>
      <c r="D61">
        <v>106677842</v>
      </c>
      <c r="E61" t="s">
        <v>552</v>
      </c>
      <c r="F61" t="s">
        <v>497</v>
      </c>
      <c r="G61">
        <v>0.13</v>
      </c>
      <c r="H61">
        <v>4.34</v>
      </c>
      <c r="I61">
        <v>0</v>
      </c>
      <c r="J61">
        <v>0</v>
      </c>
      <c r="K61">
        <v>4.47</v>
      </c>
      <c r="L61" t="s">
        <v>487</v>
      </c>
      <c r="M61">
        <v>225</v>
      </c>
      <c r="N61">
        <v>50.37</v>
      </c>
      <c r="O61" t="s">
        <v>81</v>
      </c>
      <c r="P61" t="s">
        <v>492</v>
      </c>
      <c r="Q61">
        <v>225</v>
      </c>
      <c r="R61">
        <v>50.37</v>
      </c>
    </row>
    <row r="62" spans="1:18" x14ac:dyDescent="0.35">
      <c r="A62" t="s">
        <v>197</v>
      </c>
      <c r="B62" t="s">
        <v>483</v>
      </c>
      <c r="C62" t="s">
        <v>493</v>
      </c>
      <c r="D62">
        <v>106686591</v>
      </c>
      <c r="E62" t="s">
        <v>587</v>
      </c>
      <c r="F62" t="s">
        <v>486</v>
      </c>
      <c r="G62">
        <v>0</v>
      </c>
      <c r="H62">
        <v>4.3600000000000003</v>
      </c>
      <c r="I62">
        <v>0</v>
      </c>
      <c r="J62">
        <v>0</v>
      </c>
      <c r="K62">
        <v>4.3600000000000003</v>
      </c>
      <c r="L62" t="s">
        <v>487</v>
      </c>
      <c r="M62">
        <v>141</v>
      </c>
      <c r="N62">
        <v>32.340000000000003</v>
      </c>
      <c r="O62" t="s">
        <v>60</v>
      </c>
      <c r="P62" t="s">
        <v>488</v>
      </c>
      <c r="Q62">
        <v>0</v>
      </c>
      <c r="R62">
        <v>0</v>
      </c>
    </row>
    <row r="63" spans="1:18" x14ac:dyDescent="0.35">
      <c r="A63" t="s">
        <v>197</v>
      </c>
      <c r="B63" t="s">
        <v>483</v>
      </c>
      <c r="C63" t="s">
        <v>493</v>
      </c>
      <c r="D63">
        <v>106686591</v>
      </c>
      <c r="E63" t="s">
        <v>587</v>
      </c>
      <c r="F63" t="s">
        <v>486</v>
      </c>
      <c r="G63">
        <v>0</v>
      </c>
      <c r="H63">
        <v>4.3600000000000003</v>
      </c>
      <c r="I63">
        <v>0</v>
      </c>
      <c r="J63">
        <v>0</v>
      </c>
      <c r="K63">
        <v>4.3600000000000003</v>
      </c>
      <c r="L63" t="s">
        <v>487</v>
      </c>
      <c r="M63">
        <v>141</v>
      </c>
      <c r="N63">
        <v>32.340000000000003</v>
      </c>
      <c r="O63" t="s">
        <v>60</v>
      </c>
      <c r="P63" t="s">
        <v>489</v>
      </c>
      <c r="Q63">
        <v>1302</v>
      </c>
      <c r="R63">
        <v>298.66000000000003</v>
      </c>
    </row>
    <row r="64" spans="1:18" x14ac:dyDescent="0.35">
      <c r="A64" t="s">
        <v>197</v>
      </c>
      <c r="B64" t="s">
        <v>483</v>
      </c>
      <c r="C64" t="s">
        <v>493</v>
      </c>
      <c r="D64">
        <v>106686591</v>
      </c>
      <c r="E64" t="s">
        <v>587</v>
      </c>
      <c r="F64" t="s">
        <v>486</v>
      </c>
      <c r="G64">
        <v>0</v>
      </c>
      <c r="H64">
        <v>4.3600000000000003</v>
      </c>
      <c r="I64">
        <v>0</v>
      </c>
      <c r="J64">
        <v>0</v>
      </c>
      <c r="K64">
        <v>4.3600000000000003</v>
      </c>
      <c r="L64" t="s">
        <v>487</v>
      </c>
      <c r="M64">
        <v>141</v>
      </c>
      <c r="N64">
        <v>32.340000000000003</v>
      </c>
      <c r="O64" t="s">
        <v>60</v>
      </c>
      <c r="P64" t="s">
        <v>490</v>
      </c>
      <c r="Q64">
        <v>0</v>
      </c>
      <c r="R64">
        <v>0</v>
      </c>
    </row>
    <row r="65" spans="1:18" x14ac:dyDescent="0.35">
      <c r="A65" t="s">
        <v>197</v>
      </c>
      <c r="B65" t="s">
        <v>483</v>
      </c>
      <c r="C65" t="s">
        <v>493</v>
      </c>
      <c r="D65">
        <v>106686591</v>
      </c>
      <c r="E65" t="s">
        <v>587</v>
      </c>
      <c r="F65" t="s">
        <v>486</v>
      </c>
      <c r="G65">
        <v>0</v>
      </c>
      <c r="H65">
        <v>4.3600000000000003</v>
      </c>
      <c r="I65">
        <v>0</v>
      </c>
      <c r="J65">
        <v>0</v>
      </c>
      <c r="K65">
        <v>4.3600000000000003</v>
      </c>
      <c r="L65" t="s">
        <v>487</v>
      </c>
      <c r="M65">
        <v>141</v>
      </c>
      <c r="N65">
        <v>32.340000000000003</v>
      </c>
      <c r="O65" t="s">
        <v>60</v>
      </c>
      <c r="P65" t="s">
        <v>491</v>
      </c>
      <c r="Q65">
        <v>0</v>
      </c>
      <c r="R65">
        <v>0</v>
      </c>
    </row>
    <row r="66" spans="1:18" x14ac:dyDescent="0.35">
      <c r="A66" t="s">
        <v>197</v>
      </c>
      <c r="B66" t="s">
        <v>483</v>
      </c>
      <c r="C66" t="s">
        <v>493</v>
      </c>
      <c r="D66">
        <v>106686591</v>
      </c>
      <c r="E66" t="s">
        <v>587</v>
      </c>
      <c r="F66" t="s">
        <v>486</v>
      </c>
      <c r="G66">
        <v>0</v>
      </c>
      <c r="H66">
        <v>4.3600000000000003</v>
      </c>
      <c r="I66">
        <v>0</v>
      </c>
      <c r="J66">
        <v>0</v>
      </c>
      <c r="K66">
        <v>4.3600000000000003</v>
      </c>
      <c r="L66" t="s">
        <v>487</v>
      </c>
      <c r="M66">
        <v>141</v>
      </c>
      <c r="N66">
        <v>32.340000000000003</v>
      </c>
      <c r="O66" t="s">
        <v>60</v>
      </c>
      <c r="P66" t="s">
        <v>492</v>
      </c>
      <c r="Q66">
        <v>1302</v>
      </c>
      <c r="R66">
        <v>298.66000000000003</v>
      </c>
    </row>
    <row r="67" spans="1:18" x14ac:dyDescent="0.35">
      <c r="A67" t="s">
        <v>197</v>
      </c>
      <c r="B67" t="s">
        <v>483</v>
      </c>
      <c r="C67" t="s">
        <v>493</v>
      </c>
      <c r="D67">
        <v>106686591</v>
      </c>
      <c r="E67" t="s">
        <v>587</v>
      </c>
      <c r="F67" t="s">
        <v>486</v>
      </c>
      <c r="G67">
        <v>0</v>
      </c>
      <c r="H67">
        <v>4.3600000000000003</v>
      </c>
      <c r="I67">
        <v>0</v>
      </c>
      <c r="J67">
        <v>0</v>
      </c>
      <c r="K67">
        <v>4.3600000000000003</v>
      </c>
      <c r="L67" t="s">
        <v>487</v>
      </c>
      <c r="M67">
        <v>141</v>
      </c>
      <c r="N67">
        <v>32.340000000000003</v>
      </c>
      <c r="O67" t="s">
        <v>81</v>
      </c>
      <c r="P67" t="s">
        <v>492</v>
      </c>
      <c r="Q67">
        <v>141</v>
      </c>
      <c r="R67">
        <v>32.340000000000003</v>
      </c>
    </row>
    <row r="68" spans="1:18" x14ac:dyDescent="0.35">
      <c r="A68" t="s">
        <v>197</v>
      </c>
      <c r="B68" t="s">
        <v>483</v>
      </c>
      <c r="C68" t="s">
        <v>493</v>
      </c>
      <c r="D68">
        <v>107221179</v>
      </c>
      <c r="E68" t="s">
        <v>500</v>
      </c>
      <c r="F68" t="s">
        <v>486</v>
      </c>
      <c r="G68">
        <v>0.08</v>
      </c>
      <c r="H68">
        <v>1.0900000000000001</v>
      </c>
      <c r="I68">
        <v>0</v>
      </c>
      <c r="J68">
        <v>0</v>
      </c>
      <c r="K68">
        <v>1.17</v>
      </c>
      <c r="L68" t="s">
        <v>487</v>
      </c>
      <c r="M68">
        <v>42</v>
      </c>
      <c r="N68">
        <v>35.840000000000003</v>
      </c>
      <c r="O68" t="s">
        <v>60</v>
      </c>
      <c r="P68" t="s">
        <v>488</v>
      </c>
      <c r="Q68">
        <v>150</v>
      </c>
      <c r="R68">
        <v>1806.02</v>
      </c>
    </row>
    <row r="69" spans="1:18" x14ac:dyDescent="0.35">
      <c r="A69" t="s">
        <v>197</v>
      </c>
      <c r="B69" t="s">
        <v>483</v>
      </c>
      <c r="C69" t="s">
        <v>493</v>
      </c>
      <c r="D69">
        <v>107221179</v>
      </c>
      <c r="E69" t="s">
        <v>500</v>
      </c>
      <c r="F69" t="s">
        <v>486</v>
      </c>
      <c r="G69">
        <v>0.08</v>
      </c>
      <c r="H69">
        <v>1.0900000000000001</v>
      </c>
      <c r="I69">
        <v>0</v>
      </c>
      <c r="J69">
        <v>0</v>
      </c>
      <c r="K69">
        <v>1.17</v>
      </c>
      <c r="L69" t="s">
        <v>487</v>
      </c>
      <c r="M69">
        <v>42</v>
      </c>
      <c r="N69">
        <v>35.840000000000003</v>
      </c>
      <c r="O69" t="s">
        <v>60</v>
      </c>
      <c r="P69" t="s">
        <v>489</v>
      </c>
      <c r="Q69">
        <v>345</v>
      </c>
      <c r="R69">
        <v>316.92</v>
      </c>
    </row>
    <row r="70" spans="1:18" x14ac:dyDescent="0.35">
      <c r="A70" t="s">
        <v>197</v>
      </c>
      <c r="B70" t="s">
        <v>483</v>
      </c>
      <c r="C70" t="s">
        <v>493</v>
      </c>
      <c r="D70">
        <v>107221179</v>
      </c>
      <c r="E70" t="s">
        <v>500</v>
      </c>
      <c r="F70" t="s">
        <v>486</v>
      </c>
      <c r="G70">
        <v>0.08</v>
      </c>
      <c r="H70">
        <v>1.0900000000000001</v>
      </c>
      <c r="I70">
        <v>0</v>
      </c>
      <c r="J70">
        <v>0</v>
      </c>
      <c r="K70">
        <v>1.17</v>
      </c>
      <c r="L70" t="s">
        <v>487</v>
      </c>
      <c r="M70">
        <v>42</v>
      </c>
      <c r="N70">
        <v>35.840000000000003</v>
      </c>
      <c r="O70" t="s">
        <v>60</v>
      </c>
      <c r="P70" t="s">
        <v>490</v>
      </c>
      <c r="Q70">
        <v>0</v>
      </c>
      <c r="R70">
        <v>0</v>
      </c>
    </row>
    <row r="71" spans="1:18" x14ac:dyDescent="0.35">
      <c r="A71" t="s">
        <v>197</v>
      </c>
      <c r="B71" t="s">
        <v>483</v>
      </c>
      <c r="C71" t="s">
        <v>493</v>
      </c>
      <c r="D71">
        <v>107221179</v>
      </c>
      <c r="E71" t="s">
        <v>500</v>
      </c>
      <c r="F71" t="s">
        <v>486</v>
      </c>
      <c r="G71">
        <v>0.08</v>
      </c>
      <c r="H71">
        <v>1.0900000000000001</v>
      </c>
      <c r="I71">
        <v>0</v>
      </c>
      <c r="J71">
        <v>0</v>
      </c>
      <c r="K71">
        <v>1.17</v>
      </c>
      <c r="L71" t="s">
        <v>487</v>
      </c>
      <c r="M71">
        <v>42</v>
      </c>
      <c r="N71">
        <v>35.840000000000003</v>
      </c>
      <c r="O71" t="s">
        <v>60</v>
      </c>
      <c r="P71" t="s">
        <v>491</v>
      </c>
      <c r="Q71">
        <v>0</v>
      </c>
      <c r="R71">
        <v>0</v>
      </c>
    </row>
    <row r="72" spans="1:18" x14ac:dyDescent="0.35">
      <c r="A72" t="s">
        <v>197</v>
      </c>
      <c r="B72" t="s">
        <v>483</v>
      </c>
      <c r="C72" t="s">
        <v>493</v>
      </c>
      <c r="D72">
        <v>107221179</v>
      </c>
      <c r="E72" t="s">
        <v>500</v>
      </c>
      <c r="F72" t="s">
        <v>486</v>
      </c>
      <c r="G72">
        <v>0.08</v>
      </c>
      <c r="H72">
        <v>1.0900000000000001</v>
      </c>
      <c r="I72">
        <v>0</v>
      </c>
      <c r="J72">
        <v>0</v>
      </c>
      <c r="K72">
        <v>1.17</v>
      </c>
      <c r="L72" t="s">
        <v>487</v>
      </c>
      <c r="M72">
        <v>42</v>
      </c>
      <c r="N72">
        <v>35.840000000000003</v>
      </c>
      <c r="O72" t="s">
        <v>60</v>
      </c>
      <c r="P72" t="s">
        <v>492</v>
      </c>
      <c r="Q72">
        <v>495</v>
      </c>
      <c r="R72">
        <v>422.37</v>
      </c>
    </row>
    <row r="73" spans="1:18" x14ac:dyDescent="0.35">
      <c r="A73" t="s">
        <v>197</v>
      </c>
      <c r="B73" t="s">
        <v>483</v>
      </c>
      <c r="C73" t="s">
        <v>493</v>
      </c>
      <c r="D73">
        <v>107221179</v>
      </c>
      <c r="E73" t="s">
        <v>500</v>
      </c>
      <c r="F73" t="s">
        <v>486</v>
      </c>
      <c r="G73">
        <v>0.08</v>
      </c>
      <c r="H73">
        <v>1.0900000000000001</v>
      </c>
      <c r="I73">
        <v>0</v>
      </c>
      <c r="J73">
        <v>0</v>
      </c>
      <c r="K73">
        <v>1.17</v>
      </c>
      <c r="L73" t="s">
        <v>487</v>
      </c>
      <c r="M73">
        <v>42</v>
      </c>
      <c r="N73">
        <v>35.840000000000003</v>
      </c>
      <c r="O73" t="s">
        <v>81</v>
      </c>
      <c r="P73" t="s">
        <v>492</v>
      </c>
      <c r="Q73">
        <v>42</v>
      </c>
      <c r="R73">
        <v>35.840000000000003</v>
      </c>
    </row>
    <row r="74" spans="1:18" x14ac:dyDescent="0.35">
      <c r="A74" t="s">
        <v>197</v>
      </c>
      <c r="B74" t="s">
        <v>483</v>
      </c>
      <c r="C74" t="s">
        <v>484</v>
      </c>
      <c r="D74">
        <v>107221222</v>
      </c>
      <c r="E74" t="s">
        <v>501</v>
      </c>
      <c r="F74" t="s">
        <v>486</v>
      </c>
      <c r="G74">
        <v>0.16</v>
      </c>
      <c r="H74">
        <v>8.17</v>
      </c>
      <c r="I74">
        <v>0</v>
      </c>
      <c r="J74">
        <v>0</v>
      </c>
      <c r="K74">
        <v>8.33</v>
      </c>
      <c r="L74" t="s">
        <v>487</v>
      </c>
      <c r="M74">
        <v>287</v>
      </c>
      <c r="N74">
        <v>34.44</v>
      </c>
      <c r="O74" t="s">
        <v>60</v>
      </c>
      <c r="P74" t="s">
        <v>488</v>
      </c>
      <c r="Q74">
        <v>246</v>
      </c>
      <c r="R74">
        <v>1529.53</v>
      </c>
    </row>
    <row r="75" spans="1:18" x14ac:dyDescent="0.35">
      <c r="A75" t="s">
        <v>197</v>
      </c>
      <c r="B75" t="s">
        <v>483</v>
      </c>
      <c r="C75" t="s">
        <v>484</v>
      </c>
      <c r="D75">
        <v>107221222</v>
      </c>
      <c r="E75" t="s">
        <v>501</v>
      </c>
      <c r="F75" t="s">
        <v>486</v>
      </c>
      <c r="G75">
        <v>0.16</v>
      </c>
      <c r="H75">
        <v>8.17</v>
      </c>
      <c r="I75">
        <v>0</v>
      </c>
      <c r="J75">
        <v>0</v>
      </c>
      <c r="K75">
        <v>8.33</v>
      </c>
      <c r="L75" t="s">
        <v>487</v>
      </c>
      <c r="M75">
        <v>287</v>
      </c>
      <c r="N75">
        <v>34.44</v>
      </c>
      <c r="O75" t="s">
        <v>60</v>
      </c>
      <c r="P75" t="s">
        <v>489</v>
      </c>
      <c r="Q75">
        <v>2191</v>
      </c>
      <c r="R75">
        <v>268.10000000000002</v>
      </c>
    </row>
    <row r="76" spans="1:18" x14ac:dyDescent="0.35">
      <c r="A76" t="s">
        <v>197</v>
      </c>
      <c r="B76" t="s">
        <v>483</v>
      </c>
      <c r="C76" t="s">
        <v>484</v>
      </c>
      <c r="D76">
        <v>107221222</v>
      </c>
      <c r="E76" t="s">
        <v>501</v>
      </c>
      <c r="F76" t="s">
        <v>486</v>
      </c>
      <c r="G76">
        <v>0.16</v>
      </c>
      <c r="H76">
        <v>8.17</v>
      </c>
      <c r="I76">
        <v>0</v>
      </c>
      <c r="J76">
        <v>0</v>
      </c>
      <c r="K76">
        <v>8.33</v>
      </c>
      <c r="L76" t="s">
        <v>487</v>
      </c>
      <c r="M76">
        <v>287</v>
      </c>
      <c r="N76">
        <v>34.44</v>
      </c>
      <c r="O76" t="s">
        <v>60</v>
      </c>
      <c r="P76" t="s">
        <v>490</v>
      </c>
      <c r="Q76">
        <v>0</v>
      </c>
      <c r="R76">
        <v>0</v>
      </c>
    </row>
    <row r="77" spans="1:18" x14ac:dyDescent="0.35">
      <c r="A77" t="s">
        <v>197</v>
      </c>
      <c r="B77" t="s">
        <v>483</v>
      </c>
      <c r="C77" t="s">
        <v>484</v>
      </c>
      <c r="D77">
        <v>107221222</v>
      </c>
      <c r="E77" t="s">
        <v>501</v>
      </c>
      <c r="F77" t="s">
        <v>486</v>
      </c>
      <c r="G77">
        <v>0.16</v>
      </c>
      <c r="H77">
        <v>8.17</v>
      </c>
      <c r="I77">
        <v>0</v>
      </c>
      <c r="J77">
        <v>0</v>
      </c>
      <c r="K77">
        <v>8.33</v>
      </c>
      <c r="L77" t="s">
        <v>487</v>
      </c>
      <c r="M77">
        <v>287</v>
      </c>
      <c r="N77">
        <v>34.44</v>
      </c>
      <c r="O77" t="s">
        <v>60</v>
      </c>
      <c r="P77" t="s">
        <v>491</v>
      </c>
      <c r="Q77">
        <v>0</v>
      </c>
      <c r="R77">
        <v>0</v>
      </c>
    </row>
    <row r="78" spans="1:18" x14ac:dyDescent="0.35">
      <c r="A78" t="s">
        <v>197</v>
      </c>
      <c r="B78" t="s">
        <v>483</v>
      </c>
      <c r="C78" t="s">
        <v>484</v>
      </c>
      <c r="D78">
        <v>107221222</v>
      </c>
      <c r="E78" t="s">
        <v>501</v>
      </c>
      <c r="F78" t="s">
        <v>486</v>
      </c>
      <c r="G78">
        <v>0.16</v>
      </c>
      <c r="H78">
        <v>8.17</v>
      </c>
      <c r="I78">
        <v>0</v>
      </c>
      <c r="J78">
        <v>0</v>
      </c>
      <c r="K78">
        <v>8.33</v>
      </c>
      <c r="L78" t="s">
        <v>487</v>
      </c>
      <c r="M78">
        <v>287</v>
      </c>
      <c r="N78">
        <v>34.44</v>
      </c>
      <c r="O78" t="s">
        <v>60</v>
      </c>
      <c r="P78" t="s">
        <v>492</v>
      </c>
      <c r="Q78">
        <v>2437</v>
      </c>
      <c r="R78">
        <v>292.44</v>
      </c>
    </row>
    <row r="79" spans="1:18" x14ac:dyDescent="0.35">
      <c r="A79" t="s">
        <v>197</v>
      </c>
      <c r="B79" t="s">
        <v>483</v>
      </c>
      <c r="C79" t="s">
        <v>484</v>
      </c>
      <c r="D79">
        <v>107221222</v>
      </c>
      <c r="E79" t="s">
        <v>501</v>
      </c>
      <c r="F79" t="s">
        <v>486</v>
      </c>
      <c r="G79">
        <v>0.16</v>
      </c>
      <c r="H79">
        <v>8.17</v>
      </c>
      <c r="I79">
        <v>0</v>
      </c>
      <c r="J79">
        <v>0</v>
      </c>
      <c r="K79">
        <v>8.33</v>
      </c>
      <c r="L79" t="s">
        <v>487</v>
      </c>
      <c r="M79">
        <v>287</v>
      </c>
      <c r="N79">
        <v>34.44</v>
      </c>
      <c r="O79" t="s">
        <v>81</v>
      </c>
      <c r="P79" t="s">
        <v>492</v>
      </c>
      <c r="Q79">
        <v>287</v>
      </c>
      <c r="R79">
        <v>34.44</v>
      </c>
    </row>
    <row r="80" spans="1:18" x14ac:dyDescent="0.35">
      <c r="A80" t="s">
        <v>197</v>
      </c>
      <c r="B80" t="s">
        <v>483</v>
      </c>
      <c r="C80" t="s">
        <v>493</v>
      </c>
      <c r="D80">
        <v>107221237</v>
      </c>
      <c r="E80" t="s">
        <v>527</v>
      </c>
      <c r="F80" t="s">
        <v>486</v>
      </c>
      <c r="G80">
        <v>0.17</v>
      </c>
      <c r="H80">
        <v>9.17</v>
      </c>
      <c r="I80">
        <v>0</v>
      </c>
      <c r="J80">
        <v>0</v>
      </c>
      <c r="K80">
        <v>9.33</v>
      </c>
      <c r="L80" t="s">
        <v>487</v>
      </c>
      <c r="M80">
        <v>357</v>
      </c>
      <c r="N80">
        <v>38.25</v>
      </c>
      <c r="O80" t="s">
        <v>60</v>
      </c>
      <c r="P80" t="s">
        <v>488</v>
      </c>
      <c r="Q80">
        <v>286</v>
      </c>
      <c r="R80">
        <v>1716</v>
      </c>
    </row>
    <row r="81" spans="1:18" x14ac:dyDescent="0.35">
      <c r="A81" t="s">
        <v>197</v>
      </c>
      <c r="B81" t="s">
        <v>483</v>
      </c>
      <c r="C81" t="s">
        <v>493</v>
      </c>
      <c r="D81">
        <v>107221237</v>
      </c>
      <c r="E81" t="s">
        <v>527</v>
      </c>
      <c r="F81" t="s">
        <v>486</v>
      </c>
      <c r="G81">
        <v>0.17</v>
      </c>
      <c r="H81">
        <v>9.17</v>
      </c>
      <c r="I81">
        <v>0</v>
      </c>
      <c r="J81">
        <v>0</v>
      </c>
      <c r="K81">
        <v>9.33</v>
      </c>
      <c r="L81" t="s">
        <v>487</v>
      </c>
      <c r="M81">
        <v>357</v>
      </c>
      <c r="N81">
        <v>38.25</v>
      </c>
      <c r="O81" t="s">
        <v>60</v>
      </c>
      <c r="P81" t="s">
        <v>489</v>
      </c>
      <c r="Q81">
        <v>2759</v>
      </c>
      <c r="R81">
        <v>300.99</v>
      </c>
    </row>
    <row r="82" spans="1:18" x14ac:dyDescent="0.35">
      <c r="A82" t="s">
        <v>197</v>
      </c>
      <c r="B82" t="s">
        <v>483</v>
      </c>
      <c r="C82" t="s">
        <v>493</v>
      </c>
      <c r="D82">
        <v>107221237</v>
      </c>
      <c r="E82" t="s">
        <v>527</v>
      </c>
      <c r="F82" t="s">
        <v>486</v>
      </c>
      <c r="G82">
        <v>0.17</v>
      </c>
      <c r="H82">
        <v>9.17</v>
      </c>
      <c r="I82">
        <v>0</v>
      </c>
      <c r="J82">
        <v>0</v>
      </c>
      <c r="K82">
        <v>9.33</v>
      </c>
      <c r="L82" t="s">
        <v>487</v>
      </c>
      <c r="M82">
        <v>357</v>
      </c>
      <c r="N82">
        <v>38.25</v>
      </c>
      <c r="O82" t="s">
        <v>60</v>
      </c>
      <c r="P82" t="s">
        <v>490</v>
      </c>
      <c r="Q82">
        <v>0</v>
      </c>
      <c r="R82">
        <v>0</v>
      </c>
    </row>
    <row r="83" spans="1:18" x14ac:dyDescent="0.35">
      <c r="A83" t="s">
        <v>197</v>
      </c>
      <c r="B83" t="s">
        <v>483</v>
      </c>
      <c r="C83" t="s">
        <v>493</v>
      </c>
      <c r="D83">
        <v>107221237</v>
      </c>
      <c r="E83" t="s">
        <v>527</v>
      </c>
      <c r="F83" t="s">
        <v>486</v>
      </c>
      <c r="G83">
        <v>0.17</v>
      </c>
      <c r="H83">
        <v>9.17</v>
      </c>
      <c r="I83">
        <v>0</v>
      </c>
      <c r="J83">
        <v>0</v>
      </c>
      <c r="K83">
        <v>9.33</v>
      </c>
      <c r="L83" t="s">
        <v>487</v>
      </c>
      <c r="M83">
        <v>357</v>
      </c>
      <c r="N83">
        <v>38.25</v>
      </c>
      <c r="O83" t="s">
        <v>60</v>
      </c>
      <c r="P83" t="s">
        <v>491</v>
      </c>
      <c r="Q83">
        <v>0</v>
      </c>
      <c r="R83">
        <v>0</v>
      </c>
    </row>
    <row r="84" spans="1:18" x14ac:dyDescent="0.35">
      <c r="A84" t="s">
        <v>197</v>
      </c>
      <c r="B84" t="s">
        <v>483</v>
      </c>
      <c r="C84" t="s">
        <v>493</v>
      </c>
      <c r="D84">
        <v>107221237</v>
      </c>
      <c r="E84" t="s">
        <v>527</v>
      </c>
      <c r="F84" t="s">
        <v>486</v>
      </c>
      <c r="G84">
        <v>0.17</v>
      </c>
      <c r="H84">
        <v>9.17</v>
      </c>
      <c r="I84">
        <v>0</v>
      </c>
      <c r="J84">
        <v>0</v>
      </c>
      <c r="K84">
        <v>9.33</v>
      </c>
      <c r="L84" t="s">
        <v>487</v>
      </c>
      <c r="M84">
        <v>357</v>
      </c>
      <c r="N84">
        <v>38.25</v>
      </c>
      <c r="O84" t="s">
        <v>60</v>
      </c>
      <c r="P84" t="s">
        <v>492</v>
      </c>
      <c r="Q84">
        <v>3045</v>
      </c>
      <c r="R84">
        <v>326.25</v>
      </c>
    </row>
    <row r="85" spans="1:18" x14ac:dyDescent="0.35">
      <c r="A85" t="s">
        <v>197</v>
      </c>
      <c r="B85" t="s">
        <v>483</v>
      </c>
      <c r="C85" t="s">
        <v>493</v>
      </c>
      <c r="D85">
        <v>107221237</v>
      </c>
      <c r="E85" t="s">
        <v>527</v>
      </c>
      <c r="F85" t="s">
        <v>486</v>
      </c>
      <c r="G85">
        <v>0.17</v>
      </c>
      <c r="H85">
        <v>9.17</v>
      </c>
      <c r="I85">
        <v>0</v>
      </c>
      <c r="J85">
        <v>0</v>
      </c>
      <c r="K85">
        <v>9.33</v>
      </c>
      <c r="L85" t="s">
        <v>487</v>
      </c>
      <c r="M85">
        <v>357</v>
      </c>
      <c r="N85">
        <v>38.25</v>
      </c>
      <c r="O85" t="s">
        <v>81</v>
      </c>
      <c r="P85" t="s">
        <v>492</v>
      </c>
      <c r="Q85">
        <v>357</v>
      </c>
      <c r="R85">
        <v>38.25</v>
      </c>
    </row>
    <row r="86" spans="1:18" x14ac:dyDescent="0.35">
      <c r="A86" t="s">
        <v>197</v>
      </c>
      <c r="B86" t="s">
        <v>483</v>
      </c>
      <c r="C86" t="s">
        <v>484</v>
      </c>
      <c r="D86">
        <v>107228984</v>
      </c>
      <c r="E86" t="s">
        <v>502</v>
      </c>
      <c r="F86" t="s">
        <v>497</v>
      </c>
      <c r="G86">
        <v>0.35</v>
      </c>
      <c r="H86">
        <v>7.46</v>
      </c>
      <c r="I86">
        <v>0.19</v>
      </c>
      <c r="J86">
        <v>0</v>
      </c>
      <c r="K86">
        <v>8</v>
      </c>
      <c r="L86" t="s">
        <v>487</v>
      </c>
      <c r="M86">
        <v>259</v>
      </c>
      <c r="N86">
        <v>32.380000000000003</v>
      </c>
      <c r="O86" t="s">
        <v>60</v>
      </c>
      <c r="P86" t="s">
        <v>488</v>
      </c>
      <c r="Q86">
        <v>378</v>
      </c>
      <c r="R86">
        <v>1093.8900000000001</v>
      </c>
    </row>
    <row r="87" spans="1:18" x14ac:dyDescent="0.35">
      <c r="A87" t="s">
        <v>197</v>
      </c>
      <c r="B87" t="s">
        <v>483</v>
      </c>
      <c r="C87" t="s">
        <v>484</v>
      </c>
      <c r="D87">
        <v>107228984</v>
      </c>
      <c r="E87" t="s">
        <v>502</v>
      </c>
      <c r="F87" t="s">
        <v>497</v>
      </c>
      <c r="G87">
        <v>0.35</v>
      </c>
      <c r="H87">
        <v>7.46</v>
      </c>
      <c r="I87">
        <v>0.19</v>
      </c>
      <c r="J87">
        <v>0</v>
      </c>
      <c r="K87">
        <v>8</v>
      </c>
      <c r="L87" t="s">
        <v>487</v>
      </c>
      <c r="M87">
        <v>259</v>
      </c>
      <c r="N87">
        <v>32.380000000000003</v>
      </c>
      <c r="O87" t="s">
        <v>60</v>
      </c>
      <c r="P87" t="s">
        <v>489</v>
      </c>
      <c r="Q87">
        <v>1432</v>
      </c>
      <c r="R87">
        <v>191.84</v>
      </c>
    </row>
    <row r="88" spans="1:18" x14ac:dyDescent="0.35">
      <c r="A88" t="s">
        <v>197</v>
      </c>
      <c r="B88" t="s">
        <v>483</v>
      </c>
      <c r="C88" t="s">
        <v>484</v>
      </c>
      <c r="D88">
        <v>107228984</v>
      </c>
      <c r="E88" t="s">
        <v>502</v>
      </c>
      <c r="F88" t="s">
        <v>497</v>
      </c>
      <c r="G88">
        <v>0.35</v>
      </c>
      <c r="H88">
        <v>7.46</v>
      </c>
      <c r="I88">
        <v>0.19</v>
      </c>
      <c r="J88">
        <v>0</v>
      </c>
      <c r="K88">
        <v>8</v>
      </c>
      <c r="L88" t="s">
        <v>487</v>
      </c>
      <c r="M88">
        <v>259</v>
      </c>
      <c r="N88">
        <v>32.380000000000003</v>
      </c>
      <c r="O88" t="s">
        <v>60</v>
      </c>
      <c r="P88" t="s">
        <v>490</v>
      </c>
      <c r="Q88">
        <v>28</v>
      </c>
      <c r="R88">
        <v>147.80000000000001</v>
      </c>
    </row>
    <row r="89" spans="1:18" x14ac:dyDescent="0.35">
      <c r="A89" t="s">
        <v>197</v>
      </c>
      <c r="B89" t="s">
        <v>483</v>
      </c>
      <c r="C89" t="s">
        <v>484</v>
      </c>
      <c r="D89">
        <v>107228984</v>
      </c>
      <c r="E89" t="s">
        <v>502</v>
      </c>
      <c r="F89" t="s">
        <v>497</v>
      </c>
      <c r="G89">
        <v>0.35</v>
      </c>
      <c r="H89">
        <v>7.46</v>
      </c>
      <c r="I89">
        <v>0.19</v>
      </c>
      <c r="J89">
        <v>0</v>
      </c>
      <c r="K89">
        <v>8</v>
      </c>
      <c r="L89" t="s">
        <v>487</v>
      </c>
      <c r="M89">
        <v>259</v>
      </c>
      <c r="N89">
        <v>32.380000000000003</v>
      </c>
      <c r="O89" t="s">
        <v>60</v>
      </c>
      <c r="P89" t="s">
        <v>491</v>
      </c>
      <c r="Q89">
        <v>0</v>
      </c>
      <c r="R89">
        <v>0</v>
      </c>
    </row>
    <row r="90" spans="1:18" x14ac:dyDescent="0.35">
      <c r="A90" t="s">
        <v>197</v>
      </c>
      <c r="B90" t="s">
        <v>483</v>
      </c>
      <c r="C90" t="s">
        <v>484</v>
      </c>
      <c r="D90">
        <v>107228984</v>
      </c>
      <c r="E90" t="s">
        <v>502</v>
      </c>
      <c r="F90" t="s">
        <v>497</v>
      </c>
      <c r="G90">
        <v>0.35</v>
      </c>
      <c r="H90">
        <v>7.46</v>
      </c>
      <c r="I90">
        <v>0.19</v>
      </c>
      <c r="J90">
        <v>0</v>
      </c>
      <c r="K90">
        <v>8</v>
      </c>
      <c r="L90" t="s">
        <v>487</v>
      </c>
      <c r="M90">
        <v>259</v>
      </c>
      <c r="N90">
        <v>32.380000000000003</v>
      </c>
      <c r="O90" t="s">
        <v>60</v>
      </c>
      <c r="P90" t="s">
        <v>492</v>
      </c>
      <c r="Q90">
        <v>1838</v>
      </c>
      <c r="R90">
        <v>229.75</v>
      </c>
    </row>
    <row r="91" spans="1:18" x14ac:dyDescent="0.35">
      <c r="A91" t="s">
        <v>197</v>
      </c>
      <c r="B91" t="s">
        <v>483</v>
      </c>
      <c r="C91" t="s">
        <v>484</v>
      </c>
      <c r="D91">
        <v>107228984</v>
      </c>
      <c r="E91" t="s">
        <v>502</v>
      </c>
      <c r="F91" t="s">
        <v>497</v>
      </c>
      <c r="G91">
        <v>0.35</v>
      </c>
      <c r="H91">
        <v>7.46</v>
      </c>
      <c r="I91">
        <v>0.19</v>
      </c>
      <c r="J91">
        <v>0</v>
      </c>
      <c r="K91">
        <v>8</v>
      </c>
      <c r="L91" t="s">
        <v>487</v>
      </c>
      <c r="M91">
        <v>259</v>
      </c>
      <c r="N91">
        <v>32.380000000000003</v>
      </c>
      <c r="O91" t="s">
        <v>81</v>
      </c>
      <c r="P91" t="s">
        <v>492</v>
      </c>
      <c r="Q91">
        <v>259</v>
      </c>
      <c r="R91">
        <v>32.380000000000003</v>
      </c>
    </row>
    <row r="92" spans="1:18" x14ac:dyDescent="0.35">
      <c r="A92" t="s">
        <v>197</v>
      </c>
      <c r="B92" t="s">
        <v>483</v>
      </c>
      <c r="C92" t="s">
        <v>484</v>
      </c>
      <c r="D92">
        <v>107232971</v>
      </c>
      <c r="E92" t="s">
        <v>504</v>
      </c>
      <c r="F92" t="s">
        <v>486</v>
      </c>
      <c r="G92">
        <v>0.09</v>
      </c>
      <c r="H92">
        <v>4.1900000000000004</v>
      </c>
      <c r="I92">
        <v>0.04</v>
      </c>
      <c r="J92">
        <v>0</v>
      </c>
      <c r="K92">
        <v>4.32</v>
      </c>
      <c r="L92" t="s">
        <v>487</v>
      </c>
      <c r="M92">
        <v>212</v>
      </c>
      <c r="N92">
        <v>49.11</v>
      </c>
      <c r="O92" t="s">
        <v>60</v>
      </c>
      <c r="P92" t="s">
        <v>488</v>
      </c>
      <c r="Q92">
        <v>94</v>
      </c>
      <c r="R92">
        <v>1025.45</v>
      </c>
    </row>
    <row r="93" spans="1:18" x14ac:dyDescent="0.35">
      <c r="A93" t="s">
        <v>197</v>
      </c>
      <c r="B93" t="s">
        <v>483</v>
      </c>
      <c r="C93" t="s">
        <v>484</v>
      </c>
      <c r="D93">
        <v>107232971</v>
      </c>
      <c r="E93" t="s">
        <v>504</v>
      </c>
      <c r="F93" t="s">
        <v>486</v>
      </c>
      <c r="G93">
        <v>0.09</v>
      </c>
      <c r="H93">
        <v>4.1900000000000004</v>
      </c>
      <c r="I93">
        <v>0.04</v>
      </c>
      <c r="J93">
        <v>0</v>
      </c>
      <c r="K93">
        <v>4.32</v>
      </c>
      <c r="L93" t="s">
        <v>487</v>
      </c>
      <c r="M93">
        <v>212</v>
      </c>
      <c r="N93">
        <v>49.11</v>
      </c>
      <c r="O93" t="s">
        <v>60</v>
      </c>
      <c r="P93" t="s">
        <v>489</v>
      </c>
      <c r="Q93">
        <v>752</v>
      </c>
      <c r="R93">
        <v>179.53</v>
      </c>
    </row>
    <row r="94" spans="1:18" x14ac:dyDescent="0.35">
      <c r="A94" t="s">
        <v>197</v>
      </c>
      <c r="B94" t="s">
        <v>483</v>
      </c>
      <c r="C94" t="s">
        <v>484</v>
      </c>
      <c r="D94">
        <v>107232971</v>
      </c>
      <c r="E94" t="s">
        <v>504</v>
      </c>
      <c r="F94" t="s">
        <v>486</v>
      </c>
      <c r="G94">
        <v>0.09</v>
      </c>
      <c r="H94">
        <v>4.1900000000000004</v>
      </c>
      <c r="I94">
        <v>0.04</v>
      </c>
      <c r="J94">
        <v>0</v>
      </c>
      <c r="K94">
        <v>4.32</v>
      </c>
      <c r="L94" t="s">
        <v>487</v>
      </c>
      <c r="M94">
        <v>212</v>
      </c>
      <c r="N94">
        <v>49.11</v>
      </c>
      <c r="O94" t="s">
        <v>60</v>
      </c>
      <c r="P94" t="s">
        <v>490</v>
      </c>
      <c r="Q94">
        <v>5</v>
      </c>
      <c r="R94">
        <v>138.46</v>
      </c>
    </row>
    <row r="95" spans="1:18" x14ac:dyDescent="0.35">
      <c r="A95" t="s">
        <v>197</v>
      </c>
      <c r="B95" t="s">
        <v>483</v>
      </c>
      <c r="C95" t="s">
        <v>484</v>
      </c>
      <c r="D95">
        <v>107232971</v>
      </c>
      <c r="E95" t="s">
        <v>504</v>
      </c>
      <c r="F95" t="s">
        <v>486</v>
      </c>
      <c r="G95">
        <v>0.09</v>
      </c>
      <c r="H95">
        <v>4.1900000000000004</v>
      </c>
      <c r="I95">
        <v>0.04</v>
      </c>
      <c r="J95">
        <v>0</v>
      </c>
      <c r="K95">
        <v>4.32</v>
      </c>
      <c r="L95" t="s">
        <v>487</v>
      </c>
      <c r="M95">
        <v>212</v>
      </c>
      <c r="N95">
        <v>49.11</v>
      </c>
      <c r="O95" t="s">
        <v>60</v>
      </c>
      <c r="P95" t="s">
        <v>491</v>
      </c>
      <c r="Q95">
        <v>0</v>
      </c>
      <c r="R95">
        <v>0</v>
      </c>
    </row>
    <row r="96" spans="1:18" x14ac:dyDescent="0.35">
      <c r="A96" t="s">
        <v>197</v>
      </c>
      <c r="B96" t="s">
        <v>483</v>
      </c>
      <c r="C96" t="s">
        <v>484</v>
      </c>
      <c r="D96">
        <v>107232971</v>
      </c>
      <c r="E96" t="s">
        <v>504</v>
      </c>
      <c r="F96" t="s">
        <v>486</v>
      </c>
      <c r="G96">
        <v>0.09</v>
      </c>
      <c r="H96">
        <v>4.1900000000000004</v>
      </c>
      <c r="I96">
        <v>0.04</v>
      </c>
      <c r="J96">
        <v>0</v>
      </c>
      <c r="K96">
        <v>4.32</v>
      </c>
      <c r="L96" t="s">
        <v>487</v>
      </c>
      <c r="M96">
        <v>212</v>
      </c>
      <c r="N96">
        <v>49.11</v>
      </c>
      <c r="O96" t="s">
        <v>60</v>
      </c>
      <c r="P96" t="s">
        <v>492</v>
      </c>
      <c r="Q96">
        <v>851</v>
      </c>
      <c r="R96">
        <v>197.14</v>
      </c>
    </row>
    <row r="97" spans="1:18" x14ac:dyDescent="0.35">
      <c r="A97" t="s">
        <v>197</v>
      </c>
      <c r="B97" t="s">
        <v>483</v>
      </c>
      <c r="C97" t="s">
        <v>484</v>
      </c>
      <c r="D97">
        <v>107232971</v>
      </c>
      <c r="E97" t="s">
        <v>504</v>
      </c>
      <c r="F97" t="s">
        <v>486</v>
      </c>
      <c r="G97">
        <v>0.09</v>
      </c>
      <c r="H97">
        <v>4.1900000000000004</v>
      </c>
      <c r="I97">
        <v>0.04</v>
      </c>
      <c r="J97">
        <v>0</v>
      </c>
      <c r="K97">
        <v>4.32</v>
      </c>
      <c r="L97" t="s">
        <v>487</v>
      </c>
      <c r="M97">
        <v>212</v>
      </c>
      <c r="N97">
        <v>49.11</v>
      </c>
      <c r="O97" t="s">
        <v>81</v>
      </c>
      <c r="P97" t="s">
        <v>492</v>
      </c>
      <c r="Q97">
        <v>212</v>
      </c>
      <c r="R97">
        <v>49.11</v>
      </c>
    </row>
    <row r="98" spans="1:18" x14ac:dyDescent="0.35">
      <c r="A98" t="s">
        <v>197</v>
      </c>
      <c r="B98" t="s">
        <v>483</v>
      </c>
      <c r="C98" t="s">
        <v>484</v>
      </c>
      <c r="D98">
        <v>107233200</v>
      </c>
      <c r="E98" t="s">
        <v>506</v>
      </c>
      <c r="F98" t="s">
        <v>486</v>
      </c>
      <c r="G98">
        <v>0.4</v>
      </c>
      <c r="H98">
        <v>8.41</v>
      </c>
      <c r="I98">
        <v>0</v>
      </c>
      <c r="J98">
        <v>0</v>
      </c>
      <c r="K98">
        <v>8.81</v>
      </c>
      <c r="L98" t="s">
        <v>487</v>
      </c>
      <c r="M98">
        <v>382</v>
      </c>
      <c r="N98">
        <v>43.34</v>
      </c>
      <c r="O98" t="s">
        <v>60</v>
      </c>
      <c r="P98" t="s">
        <v>488</v>
      </c>
      <c r="Q98">
        <v>472</v>
      </c>
      <c r="R98">
        <v>1169.44</v>
      </c>
    </row>
    <row r="99" spans="1:18" x14ac:dyDescent="0.35">
      <c r="A99" t="s">
        <v>197</v>
      </c>
      <c r="B99" t="s">
        <v>483</v>
      </c>
      <c r="C99" t="s">
        <v>484</v>
      </c>
      <c r="D99">
        <v>107233200</v>
      </c>
      <c r="E99" t="s">
        <v>506</v>
      </c>
      <c r="F99" t="s">
        <v>486</v>
      </c>
      <c r="G99">
        <v>0.4</v>
      </c>
      <c r="H99">
        <v>8.41</v>
      </c>
      <c r="I99">
        <v>0</v>
      </c>
      <c r="J99">
        <v>0</v>
      </c>
      <c r="K99">
        <v>8.81</v>
      </c>
      <c r="L99" t="s">
        <v>487</v>
      </c>
      <c r="M99">
        <v>382</v>
      </c>
      <c r="N99">
        <v>43.34</v>
      </c>
      <c r="O99" t="s">
        <v>60</v>
      </c>
      <c r="P99" t="s">
        <v>489</v>
      </c>
      <c r="Q99">
        <v>1725</v>
      </c>
      <c r="R99">
        <v>205.09</v>
      </c>
    </row>
    <row r="100" spans="1:18" x14ac:dyDescent="0.35">
      <c r="A100" t="s">
        <v>197</v>
      </c>
      <c r="B100" t="s">
        <v>483</v>
      </c>
      <c r="C100" t="s">
        <v>484</v>
      </c>
      <c r="D100">
        <v>107233200</v>
      </c>
      <c r="E100" t="s">
        <v>506</v>
      </c>
      <c r="F100" t="s">
        <v>486</v>
      </c>
      <c r="G100">
        <v>0.4</v>
      </c>
      <c r="H100">
        <v>8.41</v>
      </c>
      <c r="I100">
        <v>0</v>
      </c>
      <c r="J100">
        <v>0</v>
      </c>
      <c r="K100">
        <v>8.81</v>
      </c>
      <c r="L100" t="s">
        <v>487</v>
      </c>
      <c r="M100">
        <v>382</v>
      </c>
      <c r="N100">
        <v>43.34</v>
      </c>
      <c r="O100" t="s">
        <v>60</v>
      </c>
      <c r="P100" t="s">
        <v>490</v>
      </c>
      <c r="Q100">
        <v>0</v>
      </c>
      <c r="R100">
        <v>0</v>
      </c>
    </row>
    <row r="101" spans="1:18" x14ac:dyDescent="0.35">
      <c r="A101" t="s">
        <v>197</v>
      </c>
      <c r="B101" t="s">
        <v>483</v>
      </c>
      <c r="C101" t="s">
        <v>484</v>
      </c>
      <c r="D101">
        <v>107233200</v>
      </c>
      <c r="E101" t="s">
        <v>506</v>
      </c>
      <c r="F101" t="s">
        <v>486</v>
      </c>
      <c r="G101">
        <v>0.4</v>
      </c>
      <c r="H101">
        <v>8.41</v>
      </c>
      <c r="I101">
        <v>0</v>
      </c>
      <c r="J101">
        <v>0</v>
      </c>
      <c r="K101">
        <v>8.81</v>
      </c>
      <c r="L101" t="s">
        <v>487</v>
      </c>
      <c r="M101">
        <v>382</v>
      </c>
      <c r="N101">
        <v>43.34</v>
      </c>
      <c r="O101" t="s">
        <v>60</v>
      </c>
      <c r="P101" t="s">
        <v>491</v>
      </c>
      <c r="Q101">
        <v>0</v>
      </c>
      <c r="R101">
        <v>0</v>
      </c>
    </row>
    <row r="102" spans="1:18" x14ac:dyDescent="0.35">
      <c r="A102" t="s">
        <v>197</v>
      </c>
      <c r="B102" t="s">
        <v>483</v>
      </c>
      <c r="C102" t="s">
        <v>484</v>
      </c>
      <c r="D102">
        <v>107233200</v>
      </c>
      <c r="E102" t="s">
        <v>506</v>
      </c>
      <c r="F102" t="s">
        <v>486</v>
      </c>
      <c r="G102">
        <v>0.4</v>
      </c>
      <c r="H102">
        <v>8.41</v>
      </c>
      <c r="I102">
        <v>0</v>
      </c>
      <c r="J102">
        <v>0</v>
      </c>
      <c r="K102">
        <v>8.81</v>
      </c>
      <c r="L102" t="s">
        <v>487</v>
      </c>
      <c r="M102">
        <v>382</v>
      </c>
      <c r="N102">
        <v>43.34</v>
      </c>
      <c r="O102" t="s">
        <v>60</v>
      </c>
      <c r="P102" t="s">
        <v>492</v>
      </c>
      <c r="Q102">
        <v>2197</v>
      </c>
      <c r="R102">
        <v>249.23</v>
      </c>
    </row>
    <row r="103" spans="1:18" x14ac:dyDescent="0.35">
      <c r="A103" t="s">
        <v>197</v>
      </c>
      <c r="B103" t="s">
        <v>483</v>
      </c>
      <c r="C103" t="s">
        <v>484</v>
      </c>
      <c r="D103">
        <v>107233200</v>
      </c>
      <c r="E103" t="s">
        <v>506</v>
      </c>
      <c r="F103" t="s">
        <v>486</v>
      </c>
      <c r="G103">
        <v>0.4</v>
      </c>
      <c r="H103">
        <v>8.41</v>
      </c>
      <c r="I103">
        <v>0</v>
      </c>
      <c r="J103">
        <v>0</v>
      </c>
      <c r="K103">
        <v>8.81</v>
      </c>
      <c r="L103" t="s">
        <v>487</v>
      </c>
      <c r="M103">
        <v>382</v>
      </c>
      <c r="N103">
        <v>43.34</v>
      </c>
      <c r="O103" t="s">
        <v>81</v>
      </c>
      <c r="P103" t="s">
        <v>492</v>
      </c>
      <c r="Q103">
        <v>382</v>
      </c>
      <c r="R103">
        <v>43.34</v>
      </c>
    </row>
    <row r="104" spans="1:18" x14ac:dyDescent="0.35">
      <c r="A104" t="s">
        <v>197</v>
      </c>
      <c r="B104" t="s">
        <v>483</v>
      </c>
      <c r="C104" t="s">
        <v>484</v>
      </c>
      <c r="D104">
        <v>107284888</v>
      </c>
      <c r="E104" t="s">
        <v>558</v>
      </c>
      <c r="F104" t="s">
        <v>499</v>
      </c>
      <c r="G104">
        <v>0.53</v>
      </c>
      <c r="H104">
        <v>9.82</v>
      </c>
      <c r="I104">
        <v>0.08</v>
      </c>
      <c r="J104">
        <v>0</v>
      </c>
      <c r="K104">
        <v>10.43</v>
      </c>
      <c r="L104" t="s">
        <v>487</v>
      </c>
      <c r="M104">
        <v>339</v>
      </c>
      <c r="N104">
        <v>32.49</v>
      </c>
      <c r="O104" t="s">
        <v>60</v>
      </c>
      <c r="P104" t="s">
        <v>488</v>
      </c>
      <c r="Q104">
        <v>662</v>
      </c>
      <c r="R104">
        <v>1246.44</v>
      </c>
    </row>
    <row r="105" spans="1:18" x14ac:dyDescent="0.35">
      <c r="A105" t="s">
        <v>197</v>
      </c>
      <c r="B105" t="s">
        <v>483</v>
      </c>
      <c r="C105" t="s">
        <v>484</v>
      </c>
      <c r="D105">
        <v>107284888</v>
      </c>
      <c r="E105" t="s">
        <v>558</v>
      </c>
      <c r="F105" t="s">
        <v>499</v>
      </c>
      <c r="G105">
        <v>0.53</v>
      </c>
      <c r="H105">
        <v>9.82</v>
      </c>
      <c r="I105">
        <v>0.08</v>
      </c>
      <c r="J105">
        <v>0</v>
      </c>
      <c r="K105">
        <v>10.43</v>
      </c>
      <c r="L105" t="s">
        <v>487</v>
      </c>
      <c r="M105">
        <v>339</v>
      </c>
      <c r="N105">
        <v>32.49</v>
      </c>
      <c r="O105" t="s">
        <v>60</v>
      </c>
      <c r="P105" t="s">
        <v>489</v>
      </c>
      <c r="Q105">
        <v>2146</v>
      </c>
      <c r="R105">
        <v>218.56</v>
      </c>
    </row>
    <row r="106" spans="1:18" x14ac:dyDescent="0.35">
      <c r="A106" t="s">
        <v>197</v>
      </c>
      <c r="B106" t="s">
        <v>483</v>
      </c>
      <c r="C106" t="s">
        <v>484</v>
      </c>
      <c r="D106">
        <v>107284888</v>
      </c>
      <c r="E106" t="s">
        <v>558</v>
      </c>
      <c r="F106" t="s">
        <v>499</v>
      </c>
      <c r="G106">
        <v>0.53</v>
      </c>
      <c r="H106">
        <v>9.82</v>
      </c>
      <c r="I106">
        <v>0.08</v>
      </c>
      <c r="J106">
        <v>0</v>
      </c>
      <c r="K106">
        <v>10.43</v>
      </c>
      <c r="L106" t="s">
        <v>487</v>
      </c>
      <c r="M106">
        <v>339</v>
      </c>
      <c r="N106">
        <v>32.49</v>
      </c>
      <c r="O106" t="s">
        <v>60</v>
      </c>
      <c r="P106" t="s">
        <v>490</v>
      </c>
      <c r="Q106">
        <v>14</v>
      </c>
      <c r="R106">
        <v>168.56</v>
      </c>
    </row>
    <row r="107" spans="1:18" x14ac:dyDescent="0.35">
      <c r="A107" t="s">
        <v>197</v>
      </c>
      <c r="B107" t="s">
        <v>483</v>
      </c>
      <c r="C107" t="s">
        <v>484</v>
      </c>
      <c r="D107">
        <v>107284888</v>
      </c>
      <c r="E107" t="s">
        <v>558</v>
      </c>
      <c r="F107" t="s">
        <v>499</v>
      </c>
      <c r="G107">
        <v>0.53</v>
      </c>
      <c r="H107">
        <v>9.82</v>
      </c>
      <c r="I107">
        <v>0.08</v>
      </c>
      <c r="J107">
        <v>0</v>
      </c>
      <c r="K107">
        <v>10.43</v>
      </c>
      <c r="L107" t="s">
        <v>487</v>
      </c>
      <c r="M107">
        <v>339</v>
      </c>
      <c r="N107">
        <v>32.49</v>
      </c>
      <c r="O107" t="s">
        <v>60</v>
      </c>
      <c r="P107" t="s">
        <v>491</v>
      </c>
      <c r="Q107">
        <v>0</v>
      </c>
      <c r="R107">
        <v>0</v>
      </c>
    </row>
    <row r="108" spans="1:18" x14ac:dyDescent="0.35">
      <c r="A108" t="s">
        <v>197</v>
      </c>
      <c r="B108" t="s">
        <v>483</v>
      </c>
      <c r="C108" t="s">
        <v>484</v>
      </c>
      <c r="D108">
        <v>107284888</v>
      </c>
      <c r="E108" t="s">
        <v>558</v>
      </c>
      <c r="F108" t="s">
        <v>499</v>
      </c>
      <c r="G108">
        <v>0.53</v>
      </c>
      <c r="H108">
        <v>9.82</v>
      </c>
      <c r="I108">
        <v>0.08</v>
      </c>
      <c r="J108">
        <v>0</v>
      </c>
      <c r="K108">
        <v>10.43</v>
      </c>
      <c r="L108" t="s">
        <v>487</v>
      </c>
      <c r="M108">
        <v>339</v>
      </c>
      <c r="N108">
        <v>32.49</v>
      </c>
      <c r="O108" t="s">
        <v>60</v>
      </c>
      <c r="P108" t="s">
        <v>492</v>
      </c>
      <c r="Q108">
        <v>2822</v>
      </c>
      <c r="R108">
        <v>270.48</v>
      </c>
    </row>
    <row r="109" spans="1:18" x14ac:dyDescent="0.35">
      <c r="A109" t="s">
        <v>197</v>
      </c>
      <c r="B109" t="s">
        <v>483</v>
      </c>
      <c r="C109" t="s">
        <v>484</v>
      </c>
      <c r="D109">
        <v>107284888</v>
      </c>
      <c r="E109" t="s">
        <v>558</v>
      </c>
      <c r="F109" t="s">
        <v>499</v>
      </c>
      <c r="G109">
        <v>0.53</v>
      </c>
      <c r="H109">
        <v>9.82</v>
      </c>
      <c r="I109">
        <v>0.08</v>
      </c>
      <c r="J109">
        <v>0</v>
      </c>
      <c r="K109">
        <v>10.43</v>
      </c>
      <c r="L109" t="s">
        <v>487</v>
      </c>
      <c r="M109">
        <v>339</v>
      </c>
      <c r="N109">
        <v>32.49</v>
      </c>
      <c r="O109" t="s">
        <v>81</v>
      </c>
      <c r="P109" t="s">
        <v>492</v>
      </c>
      <c r="Q109">
        <v>339</v>
      </c>
      <c r="R109">
        <v>32.49</v>
      </c>
    </row>
    <row r="110" spans="1:18" x14ac:dyDescent="0.35">
      <c r="A110" t="s">
        <v>197</v>
      </c>
      <c r="B110" t="s">
        <v>483</v>
      </c>
      <c r="C110" t="s">
        <v>484</v>
      </c>
      <c r="D110">
        <v>107463281</v>
      </c>
      <c r="E110" t="s">
        <v>539</v>
      </c>
      <c r="F110" t="s">
        <v>497</v>
      </c>
      <c r="G110">
        <v>0.14000000000000001</v>
      </c>
      <c r="H110">
        <v>10.029999999999999</v>
      </c>
      <c r="I110">
        <v>0</v>
      </c>
      <c r="J110">
        <v>0</v>
      </c>
      <c r="K110">
        <v>10.17</v>
      </c>
      <c r="L110" t="s">
        <v>487</v>
      </c>
      <c r="M110">
        <v>351</v>
      </c>
      <c r="N110">
        <v>34.520000000000003</v>
      </c>
      <c r="O110" t="s">
        <v>60</v>
      </c>
      <c r="P110" t="s">
        <v>488</v>
      </c>
      <c r="Q110">
        <v>238</v>
      </c>
      <c r="R110">
        <v>1717.03</v>
      </c>
    </row>
    <row r="111" spans="1:18" x14ac:dyDescent="0.35">
      <c r="A111" t="s">
        <v>197</v>
      </c>
      <c r="B111" t="s">
        <v>483</v>
      </c>
      <c r="C111" t="s">
        <v>484</v>
      </c>
      <c r="D111">
        <v>107463281</v>
      </c>
      <c r="E111" t="s">
        <v>539</v>
      </c>
      <c r="F111" t="s">
        <v>497</v>
      </c>
      <c r="G111">
        <v>0.14000000000000001</v>
      </c>
      <c r="H111">
        <v>10.029999999999999</v>
      </c>
      <c r="I111">
        <v>0</v>
      </c>
      <c r="J111">
        <v>0</v>
      </c>
      <c r="K111">
        <v>10.17</v>
      </c>
      <c r="L111" t="s">
        <v>487</v>
      </c>
      <c r="M111">
        <v>351</v>
      </c>
      <c r="N111">
        <v>34.520000000000003</v>
      </c>
      <c r="O111" t="s">
        <v>60</v>
      </c>
      <c r="P111" t="s">
        <v>489</v>
      </c>
      <c r="Q111">
        <v>3016</v>
      </c>
      <c r="R111">
        <v>300.76</v>
      </c>
    </row>
    <row r="112" spans="1:18" x14ac:dyDescent="0.35">
      <c r="A112" t="s">
        <v>197</v>
      </c>
      <c r="B112" t="s">
        <v>483</v>
      </c>
      <c r="C112" t="s">
        <v>484</v>
      </c>
      <c r="D112">
        <v>107463281</v>
      </c>
      <c r="E112" t="s">
        <v>539</v>
      </c>
      <c r="F112" t="s">
        <v>497</v>
      </c>
      <c r="G112">
        <v>0.14000000000000001</v>
      </c>
      <c r="H112">
        <v>10.029999999999999</v>
      </c>
      <c r="I112">
        <v>0</v>
      </c>
      <c r="J112">
        <v>0</v>
      </c>
      <c r="K112">
        <v>10.17</v>
      </c>
      <c r="L112" t="s">
        <v>487</v>
      </c>
      <c r="M112">
        <v>351</v>
      </c>
      <c r="N112">
        <v>34.520000000000003</v>
      </c>
      <c r="O112" t="s">
        <v>60</v>
      </c>
      <c r="P112" t="s">
        <v>490</v>
      </c>
      <c r="Q112">
        <v>0</v>
      </c>
      <c r="R112">
        <v>0</v>
      </c>
    </row>
    <row r="113" spans="1:18" x14ac:dyDescent="0.35">
      <c r="A113" t="s">
        <v>197</v>
      </c>
      <c r="B113" t="s">
        <v>483</v>
      </c>
      <c r="C113" t="s">
        <v>484</v>
      </c>
      <c r="D113">
        <v>107463281</v>
      </c>
      <c r="E113" t="s">
        <v>539</v>
      </c>
      <c r="F113" t="s">
        <v>497</v>
      </c>
      <c r="G113">
        <v>0.14000000000000001</v>
      </c>
      <c r="H113">
        <v>10.029999999999999</v>
      </c>
      <c r="I113">
        <v>0</v>
      </c>
      <c r="J113">
        <v>0</v>
      </c>
      <c r="K113">
        <v>10.17</v>
      </c>
      <c r="L113" t="s">
        <v>487</v>
      </c>
      <c r="M113">
        <v>351</v>
      </c>
      <c r="N113">
        <v>34.520000000000003</v>
      </c>
      <c r="O113" t="s">
        <v>60</v>
      </c>
      <c r="P113" t="s">
        <v>491</v>
      </c>
      <c r="Q113">
        <v>0</v>
      </c>
      <c r="R113">
        <v>0</v>
      </c>
    </row>
    <row r="114" spans="1:18" x14ac:dyDescent="0.35">
      <c r="A114" t="s">
        <v>197</v>
      </c>
      <c r="B114" t="s">
        <v>483</v>
      </c>
      <c r="C114" t="s">
        <v>484</v>
      </c>
      <c r="D114">
        <v>107463281</v>
      </c>
      <c r="E114" t="s">
        <v>539</v>
      </c>
      <c r="F114" t="s">
        <v>497</v>
      </c>
      <c r="G114">
        <v>0.14000000000000001</v>
      </c>
      <c r="H114">
        <v>10.029999999999999</v>
      </c>
      <c r="I114">
        <v>0</v>
      </c>
      <c r="J114">
        <v>0</v>
      </c>
      <c r="K114">
        <v>10.17</v>
      </c>
      <c r="L114" t="s">
        <v>487</v>
      </c>
      <c r="M114">
        <v>351</v>
      </c>
      <c r="N114">
        <v>34.520000000000003</v>
      </c>
      <c r="O114" t="s">
        <v>60</v>
      </c>
      <c r="P114" t="s">
        <v>492</v>
      </c>
      <c r="Q114">
        <v>3254</v>
      </c>
      <c r="R114">
        <v>320.07</v>
      </c>
    </row>
    <row r="115" spans="1:18" x14ac:dyDescent="0.35">
      <c r="A115" t="s">
        <v>197</v>
      </c>
      <c r="B115" t="s">
        <v>483</v>
      </c>
      <c r="C115" t="s">
        <v>484</v>
      </c>
      <c r="D115">
        <v>107463281</v>
      </c>
      <c r="E115" t="s">
        <v>539</v>
      </c>
      <c r="F115" t="s">
        <v>497</v>
      </c>
      <c r="G115">
        <v>0.14000000000000001</v>
      </c>
      <c r="H115">
        <v>10.029999999999999</v>
      </c>
      <c r="I115">
        <v>0</v>
      </c>
      <c r="J115">
        <v>0</v>
      </c>
      <c r="K115">
        <v>10.17</v>
      </c>
      <c r="L115" t="s">
        <v>487</v>
      </c>
      <c r="M115">
        <v>351</v>
      </c>
      <c r="N115">
        <v>34.520000000000003</v>
      </c>
      <c r="O115" t="s">
        <v>81</v>
      </c>
      <c r="P115" t="s">
        <v>492</v>
      </c>
      <c r="Q115">
        <v>351</v>
      </c>
      <c r="R115">
        <v>34.520000000000003</v>
      </c>
    </row>
    <row r="116" spans="1:18" x14ac:dyDescent="0.35">
      <c r="A116" t="s">
        <v>197</v>
      </c>
      <c r="B116" t="s">
        <v>483</v>
      </c>
      <c r="C116" t="s">
        <v>484</v>
      </c>
      <c r="D116">
        <v>107674648</v>
      </c>
      <c r="E116" t="s">
        <v>508</v>
      </c>
      <c r="F116" t="s">
        <v>486</v>
      </c>
      <c r="G116">
        <v>0</v>
      </c>
      <c r="H116">
        <v>4.5199999999999996</v>
      </c>
      <c r="I116">
        <v>0</v>
      </c>
      <c r="J116">
        <v>0</v>
      </c>
      <c r="K116">
        <v>4.5199999999999996</v>
      </c>
      <c r="L116" t="s">
        <v>487</v>
      </c>
      <c r="M116">
        <v>143</v>
      </c>
      <c r="N116">
        <v>31.66</v>
      </c>
      <c r="O116" t="s">
        <v>60</v>
      </c>
      <c r="P116" t="s">
        <v>488</v>
      </c>
      <c r="Q116">
        <v>0</v>
      </c>
      <c r="R116">
        <v>0</v>
      </c>
    </row>
    <row r="117" spans="1:18" x14ac:dyDescent="0.35">
      <c r="A117" t="s">
        <v>197</v>
      </c>
      <c r="B117" t="s">
        <v>483</v>
      </c>
      <c r="C117" t="s">
        <v>484</v>
      </c>
      <c r="D117">
        <v>107674648</v>
      </c>
      <c r="E117" t="s">
        <v>508</v>
      </c>
      <c r="F117" t="s">
        <v>486</v>
      </c>
      <c r="G117">
        <v>0</v>
      </c>
      <c r="H117">
        <v>4.5199999999999996</v>
      </c>
      <c r="I117">
        <v>0</v>
      </c>
      <c r="J117">
        <v>0</v>
      </c>
      <c r="K117">
        <v>4.5199999999999996</v>
      </c>
      <c r="L117" t="s">
        <v>487</v>
      </c>
      <c r="M117">
        <v>143</v>
      </c>
      <c r="N117">
        <v>31.66</v>
      </c>
      <c r="O117" t="s">
        <v>60</v>
      </c>
      <c r="P117" t="s">
        <v>489</v>
      </c>
      <c r="Q117">
        <v>625</v>
      </c>
      <c r="R117">
        <v>138.38</v>
      </c>
    </row>
    <row r="118" spans="1:18" x14ac:dyDescent="0.35">
      <c r="A118" t="s">
        <v>197</v>
      </c>
      <c r="B118" t="s">
        <v>483</v>
      </c>
      <c r="C118" t="s">
        <v>484</v>
      </c>
      <c r="D118">
        <v>107674648</v>
      </c>
      <c r="E118" t="s">
        <v>508</v>
      </c>
      <c r="F118" t="s">
        <v>486</v>
      </c>
      <c r="G118">
        <v>0</v>
      </c>
      <c r="H118">
        <v>4.5199999999999996</v>
      </c>
      <c r="I118">
        <v>0</v>
      </c>
      <c r="J118">
        <v>0</v>
      </c>
      <c r="K118">
        <v>4.5199999999999996</v>
      </c>
      <c r="L118" t="s">
        <v>487</v>
      </c>
      <c r="M118">
        <v>143</v>
      </c>
      <c r="N118">
        <v>31.66</v>
      </c>
      <c r="O118" t="s">
        <v>60</v>
      </c>
      <c r="P118" t="s">
        <v>490</v>
      </c>
      <c r="Q118">
        <v>0</v>
      </c>
      <c r="R118">
        <v>0</v>
      </c>
    </row>
    <row r="119" spans="1:18" x14ac:dyDescent="0.35">
      <c r="A119" t="s">
        <v>197</v>
      </c>
      <c r="B119" t="s">
        <v>483</v>
      </c>
      <c r="C119" t="s">
        <v>484</v>
      </c>
      <c r="D119">
        <v>107674648</v>
      </c>
      <c r="E119" t="s">
        <v>508</v>
      </c>
      <c r="F119" t="s">
        <v>486</v>
      </c>
      <c r="G119">
        <v>0</v>
      </c>
      <c r="H119">
        <v>4.5199999999999996</v>
      </c>
      <c r="I119">
        <v>0</v>
      </c>
      <c r="J119">
        <v>0</v>
      </c>
      <c r="K119">
        <v>4.5199999999999996</v>
      </c>
      <c r="L119" t="s">
        <v>487</v>
      </c>
      <c r="M119">
        <v>143</v>
      </c>
      <c r="N119">
        <v>31.66</v>
      </c>
      <c r="O119" t="s">
        <v>60</v>
      </c>
      <c r="P119" t="s">
        <v>491</v>
      </c>
      <c r="Q119">
        <v>0</v>
      </c>
      <c r="R119">
        <v>0</v>
      </c>
    </row>
    <row r="120" spans="1:18" x14ac:dyDescent="0.35">
      <c r="A120" t="s">
        <v>197</v>
      </c>
      <c r="B120" t="s">
        <v>483</v>
      </c>
      <c r="C120" t="s">
        <v>484</v>
      </c>
      <c r="D120">
        <v>107674648</v>
      </c>
      <c r="E120" t="s">
        <v>508</v>
      </c>
      <c r="F120" t="s">
        <v>486</v>
      </c>
      <c r="G120">
        <v>0</v>
      </c>
      <c r="H120">
        <v>4.5199999999999996</v>
      </c>
      <c r="I120">
        <v>0</v>
      </c>
      <c r="J120">
        <v>0</v>
      </c>
      <c r="K120">
        <v>4.5199999999999996</v>
      </c>
      <c r="L120" t="s">
        <v>487</v>
      </c>
      <c r="M120">
        <v>143</v>
      </c>
      <c r="N120">
        <v>31.66</v>
      </c>
      <c r="O120" t="s">
        <v>60</v>
      </c>
      <c r="P120" t="s">
        <v>492</v>
      </c>
      <c r="Q120">
        <v>625</v>
      </c>
      <c r="R120">
        <v>138.38</v>
      </c>
    </row>
    <row r="121" spans="1:18" x14ac:dyDescent="0.35">
      <c r="A121" t="s">
        <v>197</v>
      </c>
      <c r="B121" t="s">
        <v>483</v>
      </c>
      <c r="C121" t="s">
        <v>484</v>
      </c>
      <c r="D121">
        <v>107674648</v>
      </c>
      <c r="E121" t="s">
        <v>508</v>
      </c>
      <c r="F121" t="s">
        <v>486</v>
      </c>
      <c r="G121">
        <v>0</v>
      </c>
      <c r="H121">
        <v>4.5199999999999996</v>
      </c>
      <c r="I121">
        <v>0</v>
      </c>
      <c r="J121">
        <v>0</v>
      </c>
      <c r="K121">
        <v>4.5199999999999996</v>
      </c>
      <c r="L121" t="s">
        <v>487</v>
      </c>
      <c r="M121">
        <v>143</v>
      </c>
      <c r="N121">
        <v>31.66</v>
      </c>
      <c r="O121" t="s">
        <v>81</v>
      </c>
      <c r="P121" t="s">
        <v>492</v>
      </c>
      <c r="Q121">
        <v>143</v>
      </c>
      <c r="R121">
        <v>31.66</v>
      </c>
    </row>
    <row r="122" spans="1:18" x14ac:dyDescent="0.35">
      <c r="A122" t="s">
        <v>197</v>
      </c>
      <c r="B122" t="s">
        <v>483</v>
      </c>
      <c r="C122" t="s">
        <v>493</v>
      </c>
      <c r="D122">
        <v>107704604</v>
      </c>
      <c r="E122" t="s">
        <v>509</v>
      </c>
      <c r="F122" t="s">
        <v>486</v>
      </c>
      <c r="G122">
        <v>0.34</v>
      </c>
      <c r="H122">
        <v>8.4499999999999993</v>
      </c>
      <c r="I122">
        <v>0</v>
      </c>
      <c r="J122">
        <v>0</v>
      </c>
      <c r="K122">
        <v>8.7899999999999991</v>
      </c>
      <c r="L122" t="s">
        <v>487</v>
      </c>
      <c r="M122">
        <v>393</v>
      </c>
      <c r="N122">
        <v>44.72</v>
      </c>
      <c r="O122" t="s">
        <v>60</v>
      </c>
      <c r="P122" t="s">
        <v>488</v>
      </c>
      <c r="Q122">
        <v>513</v>
      </c>
      <c r="R122">
        <v>1511.29</v>
      </c>
    </row>
    <row r="123" spans="1:18" x14ac:dyDescent="0.35">
      <c r="A123" t="s">
        <v>197</v>
      </c>
      <c r="B123" t="s">
        <v>483</v>
      </c>
      <c r="C123" t="s">
        <v>493</v>
      </c>
      <c r="D123">
        <v>107704604</v>
      </c>
      <c r="E123" t="s">
        <v>509</v>
      </c>
      <c r="F123" t="s">
        <v>486</v>
      </c>
      <c r="G123">
        <v>0.34</v>
      </c>
      <c r="H123">
        <v>8.4499999999999993</v>
      </c>
      <c r="I123">
        <v>0</v>
      </c>
      <c r="J123">
        <v>0</v>
      </c>
      <c r="K123">
        <v>8.7899999999999991</v>
      </c>
      <c r="L123" t="s">
        <v>487</v>
      </c>
      <c r="M123">
        <v>393</v>
      </c>
      <c r="N123">
        <v>44.72</v>
      </c>
      <c r="O123" t="s">
        <v>60</v>
      </c>
      <c r="P123" t="s">
        <v>489</v>
      </c>
      <c r="Q123">
        <v>2240</v>
      </c>
      <c r="R123">
        <v>265.12</v>
      </c>
    </row>
    <row r="124" spans="1:18" x14ac:dyDescent="0.35">
      <c r="A124" t="s">
        <v>197</v>
      </c>
      <c r="B124" t="s">
        <v>483</v>
      </c>
      <c r="C124" t="s">
        <v>493</v>
      </c>
      <c r="D124">
        <v>107704604</v>
      </c>
      <c r="E124" t="s">
        <v>509</v>
      </c>
      <c r="F124" t="s">
        <v>486</v>
      </c>
      <c r="G124">
        <v>0.34</v>
      </c>
      <c r="H124">
        <v>8.4499999999999993</v>
      </c>
      <c r="I124">
        <v>0</v>
      </c>
      <c r="J124">
        <v>0</v>
      </c>
      <c r="K124">
        <v>8.7899999999999991</v>
      </c>
      <c r="L124" t="s">
        <v>487</v>
      </c>
      <c r="M124">
        <v>393</v>
      </c>
      <c r="N124">
        <v>44.72</v>
      </c>
      <c r="O124" t="s">
        <v>60</v>
      </c>
      <c r="P124" t="s">
        <v>490</v>
      </c>
      <c r="Q124">
        <v>0</v>
      </c>
      <c r="R124">
        <v>0</v>
      </c>
    </row>
    <row r="125" spans="1:18" x14ac:dyDescent="0.35">
      <c r="A125" t="s">
        <v>197</v>
      </c>
      <c r="B125" t="s">
        <v>483</v>
      </c>
      <c r="C125" t="s">
        <v>493</v>
      </c>
      <c r="D125">
        <v>107704604</v>
      </c>
      <c r="E125" t="s">
        <v>509</v>
      </c>
      <c r="F125" t="s">
        <v>486</v>
      </c>
      <c r="G125">
        <v>0.34</v>
      </c>
      <c r="H125">
        <v>8.4499999999999993</v>
      </c>
      <c r="I125">
        <v>0</v>
      </c>
      <c r="J125">
        <v>0</v>
      </c>
      <c r="K125">
        <v>8.7899999999999991</v>
      </c>
      <c r="L125" t="s">
        <v>487</v>
      </c>
      <c r="M125">
        <v>393</v>
      </c>
      <c r="N125">
        <v>44.72</v>
      </c>
      <c r="O125" t="s">
        <v>60</v>
      </c>
      <c r="P125" t="s">
        <v>491</v>
      </c>
      <c r="Q125">
        <v>0</v>
      </c>
      <c r="R125">
        <v>0</v>
      </c>
    </row>
    <row r="126" spans="1:18" x14ac:dyDescent="0.35">
      <c r="A126" t="s">
        <v>197</v>
      </c>
      <c r="B126" t="s">
        <v>483</v>
      </c>
      <c r="C126" t="s">
        <v>493</v>
      </c>
      <c r="D126">
        <v>107704604</v>
      </c>
      <c r="E126" t="s">
        <v>509</v>
      </c>
      <c r="F126" t="s">
        <v>486</v>
      </c>
      <c r="G126">
        <v>0.34</v>
      </c>
      <c r="H126">
        <v>8.4499999999999993</v>
      </c>
      <c r="I126">
        <v>0</v>
      </c>
      <c r="J126">
        <v>0</v>
      </c>
      <c r="K126">
        <v>8.7899999999999991</v>
      </c>
      <c r="L126" t="s">
        <v>487</v>
      </c>
      <c r="M126">
        <v>393</v>
      </c>
      <c r="N126">
        <v>44.72</v>
      </c>
      <c r="O126" t="s">
        <v>60</v>
      </c>
      <c r="P126" t="s">
        <v>492</v>
      </c>
      <c r="Q126">
        <v>2753</v>
      </c>
      <c r="R126">
        <v>313.25</v>
      </c>
    </row>
    <row r="127" spans="1:18" x14ac:dyDescent="0.35">
      <c r="A127" t="s">
        <v>197</v>
      </c>
      <c r="B127" t="s">
        <v>483</v>
      </c>
      <c r="C127" t="s">
        <v>493</v>
      </c>
      <c r="D127">
        <v>107704604</v>
      </c>
      <c r="E127" t="s">
        <v>509</v>
      </c>
      <c r="F127" t="s">
        <v>486</v>
      </c>
      <c r="G127">
        <v>0.34</v>
      </c>
      <c r="H127">
        <v>8.4499999999999993</v>
      </c>
      <c r="I127">
        <v>0</v>
      </c>
      <c r="J127">
        <v>0</v>
      </c>
      <c r="K127">
        <v>8.7899999999999991</v>
      </c>
      <c r="L127" t="s">
        <v>487</v>
      </c>
      <c r="M127">
        <v>393</v>
      </c>
      <c r="N127">
        <v>44.72</v>
      </c>
      <c r="O127" t="s">
        <v>81</v>
      </c>
      <c r="P127" t="s">
        <v>492</v>
      </c>
      <c r="Q127">
        <v>393</v>
      </c>
      <c r="R127">
        <v>44.72</v>
      </c>
    </row>
    <row r="128" spans="1:18" x14ac:dyDescent="0.35">
      <c r="A128" t="s">
        <v>197</v>
      </c>
      <c r="B128" t="s">
        <v>483</v>
      </c>
      <c r="C128" t="s">
        <v>493</v>
      </c>
      <c r="D128">
        <v>107775413</v>
      </c>
      <c r="E128" t="s">
        <v>510</v>
      </c>
      <c r="F128" t="s">
        <v>486</v>
      </c>
      <c r="G128">
        <v>0.12</v>
      </c>
      <c r="H128">
        <v>4.2699999999999996</v>
      </c>
      <c r="I128">
        <v>0</v>
      </c>
      <c r="J128">
        <v>0</v>
      </c>
      <c r="K128">
        <v>4.38</v>
      </c>
      <c r="L128" t="s">
        <v>487</v>
      </c>
      <c r="M128">
        <v>123</v>
      </c>
      <c r="N128">
        <v>28.06</v>
      </c>
      <c r="O128" t="s">
        <v>60</v>
      </c>
      <c r="P128" t="s">
        <v>488</v>
      </c>
      <c r="Q128">
        <v>72</v>
      </c>
      <c r="R128">
        <v>620.1</v>
      </c>
    </row>
    <row r="129" spans="1:18" x14ac:dyDescent="0.35">
      <c r="A129" t="s">
        <v>197</v>
      </c>
      <c r="B129" t="s">
        <v>483</v>
      </c>
      <c r="C129" t="s">
        <v>493</v>
      </c>
      <c r="D129">
        <v>107775413</v>
      </c>
      <c r="E129" t="s">
        <v>510</v>
      </c>
      <c r="F129" t="s">
        <v>486</v>
      </c>
      <c r="G129">
        <v>0.12</v>
      </c>
      <c r="H129">
        <v>4.2699999999999996</v>
      </c>
      <c r="I129">
        <v>0</v>
      </c>
      <c r="J129">
        <v>0</v>
      </c>
      <c r="K129">
        <v>4.38</v>
      </c>
      <c r="L129" t="s">
        <v>487</v>
      </c>
      <c r="M129">
        <v>123</v>
      </c>
      <c r="N129">
        <v>28.06</v>
      </c>
      <c r="O129" t="s">
        <v>60</v>
      </c>
      <c r="P129" t="s">
        <v>489</v>
      </c>
      <c r="Q129">
        <v>464</v>
      </c>
      <c r="R129">
        <v>108.74</v>
      </c>
    </row>
    <row r="130" spans="1:18" x14ac:dyDescent="0.35">
      <c r="A130" t="s">
        <v>197</v>
      </c>
      <c r="B130" t="s">
        <v>483</v>
      </c>
      <c r="C130" t="s">
        <v>493</v>
      </c>
      <c r="D130">
        <v>107775413</v>
      </c>
      <c r="E130" t="s">
        <v>510</v>
      </c>
      <c r="F130" t="s">
        <v>486</v>
      </c>
      <c r="G130">
        <v>0.12</v>
      </c>
      <c r="H130">
        <v>4.2699999999999996</v>
      </c>
      <c r="I130">
        <v>0</v>
      </c>
      <c r="J130">
        <v>0</v>
      </c>
      <c r="K130">
        <v>4.38</v>
      </c>
      <c r="L130" t="s">
        <v>487</v>
      </c>
      <c r="M130">
        <v>123</v>
      </c>
      <c r="N130">
        <v>28.06</v>
      </c>
      <c r="O130" t="s">
        <v>60</v>
      </c>
      <c r="P130" t="s">
        <v>490</v>
      </c>
      <c r="Q130">
        <v>0</v>
      </c>
      <c r="R130">
        <v>0</v>
      </c>
    </row>
    <row r="131" spans="1:18" x14ac:dyDescent="0.35">
      <c r="A131" t="s">
        <v>197</v>
      </c>
      <c r="B131" t="s">
        <v>483</v>
      </c>
      <c r="C131" t="s">
        <v>493</v>
      </c>
      <c r="D131">
        <v>107775413</v>
      </c>
      <c r="E131" t="s">
        <v>510</v>
      </c>
      <c r="F131" t="s">
        <v>486</v>
      </c>
      <c r="G131">
        <v>0.12</v>
      </c>
      <c r="H131">
        <v>4.2699999999999996</v>
      </c>
      <c r="I131">
        <v>0</v>
      </c>
      <c r="J131">
        <v>0</v>
      </c>
      <c r="K131">
        <v>4.38</v>
      </c>
      <c r="L131" t="s">
        <v>487</v>
      </c>
      <c r="M131">
        <v>123</v>
      </c>
      <c r="N131">
        <v>28.06</v>
      </c>
      <c r="O131" t="s">
        <v>60</v>
      </c>
      <c r="P131" t="s">
        <v>491</v>
      </c>
      <c r="Q131">
        <v>0</v>
      </c>
      <c r="R131">
        <v>0</v>
      </c>
    </row>
    <row r="132" spans="1:18" x14ac:dyDescent="0.35">
      <c r="A132" t="s">
        <v>197</v>
      </c>
      <c r="B132" t="s">
        <v>483</v>
      </c>
      <c r="C132" t="s">
        <v>493</v>
      </c>
      <c r="D132">
        <v>107775413</v>
      </c>
      <c r="E132" t="s">
        <v>510</v>
      </c>
      <c r="F132" t="s">
        <v>486</v>
      </c>
      <c r="G132">
        <v>0.12</v>
      </c>
      <c r="H132">
        <v>4.2699999999999996</v>
      </c>
      <c r="I132">
        <v>0</v>
      </c>
      <c r="J132">
        <v>0</v>
      </c>
      <c r="K132">
        <v>4.38</v>
      </c>
      <c r="L132" t="s">
        <v>487</v>
      </c>
      <c r="M132">
        <v>123</v>
      </c>
      <c r="N132">
        <v>28.06</v>
      </c>
      <c r="O132" t="s">
        <v>60</v>
      </c>
      <c r="P132" t="s">
        <v>492</v>
      </c>
      <c r="Q132">
        <v>536</v>
      </c>
      <c r="R132">
        <v>122.28</v>
      </c>
    </row>
    <row r="133" spans="1:18" x14ac:dyDescent="0.35">
      <c r="A133" t="s">
        <v>197</v>
      </c>
      <c r="B133" t="s">
        <v>483</v>
      </c>
      <c r="C133" t="s">
        <v>493</v>
      </c>
      <c r="D133">
        <v>107775413</v>
      </c>
      <c r="E133" t="s">
        <v>510</v>
      </c>
      <c r="F133" t="s">
        <v>486</v>
      </c>
      <c r="G133">
        <v>0.12</v>
      </c>
      <c r="H133">
        <v>4.2699999999999996</v>
      </c>
      <c r="I133">
        <v>0</v>
      </c>
      <c r="J133">
        <v>0</v>
      </c>
      <c r="K133">
        <v>4.38</v>
      </c>
      <c r="L133" t="s">
        <v>487</v>
      </c>
      <c r="M133">
        <v>123</v>
      </c>
      <c r="N133">
        <v>28.06</v>
      </c>
      <c r="O133" t="s">
        <v>81</v>
      </c>
      <c r="P133" t="s">
        <v>492</v>
      </c>
      <c r="Q133">
        <v>122</v>
      </c>
      <c r="R133">
        <v>27.83</v>
      </c>
    </row>
    <row r="134" spans="1:18" x14ac:dyDescent="0.35">
      <c r="A134" t="s">
        <v>197</v>
      </c>
      <c r="B134" t="s">
        <v>483</v>
      </c>
      <c r="C134" t="s">
        <v>484</v>
      </c>
      <c r="D134">
        <v>107775521</v>
      </c>
      <c r="E134" t="s">
        <v>511</v>
      </c>
      <c r="F134" t="s">
        <v>486</v>
      </c>
      <c r="G134">
        <v>0</v>
      </c>
      <c r="H134">
        <v>8.0399999999999991</v>
      </c>
      <c r="I134">
        <v>0.01</v>
      </c>
      <c r="J134">
        <v>0</v>
      </c>
      <c r="K134">
        <v>8.0500000000000007</v>
      </c>
      <c r="L134" t="s">
        <v>487</v>
      </c>
      <c r="M134">
        <v>436</v>
      </c>
      <c r="N134">
        <v>54.16</v>
      </c>
      <c r="O134" t="s">
        <v>60</v>
      </c>
      <c r="P134" t="s">
        <v>488</v>
      </c>
      <c r="Q134">
        <v>0</v>
      </c>
      <c r="R134">
        <v>0</v>
      </c>
    </row>
    <row r="135" spans="1:18" x14ac:dyDescent="0.35">
      <c r="A135" t="s">
        <v>197</v>
      </c>
      <c r="B135" t="s">
        <v>483</v>
      </c>
      <c r="C135" t="s">
        <v>484</v>
      </c>
      <c r="D135">
        <v>107775521</v>
      </c>
      <c r="E135" t="s">
        <v>511</v>
      </c>
      <c r="F135" t="s">
        <v>486</v>
      </c>
      <c r="G135">
        <v>0</v>
      </c>
      <c r="H135">
        <v>8.0399999999999991</v>
      </c>
      <c r="I135">
        <v>0.01</v>
      </c>
      <c r="J135">
        <v>0</v>
      </c>
      <c r="K135">
        <v>8.0500000000000007</v>
      </c>
      <c r="L135" t="s">
        <v>487</v>
      </c>
      <c r="M135">
        <v>436</v>
      </c>
      <c r="N135">
        <v>54.16</v>
      </c>
      <c r="O135" t="s">
        <v>60</v>
      </c>
      <c r="P135" t="s">
        <v>489</v>
      </c>
      <c r="Q135">
        <v>3069</v>
      </c>
      <c r="R135">
        <v>381.89</v>
      </c>
    </row>
    <row r="136" spans="1:18" x14ac:dyDescent="0.35">
      <c r="A136" t="s">
        <v>197</v>
      </c>
      <c r="B136" t="s">
        <v>483</v>
      </c>
      <c r="C136" t="s">
        <v>484</v>
      </c>
      <c r="D136">
        <v>107775521</v>
      </c>
      <c r="E136" t="s">
        <v>511</v>
      </c>
      <c r="F136" t="s">
        <v>486</v>
      </c>
      <c r="G136">
        <v>0</v>
      </c>
      <c r="H136">
        <v>8.0399999999999991</v>
      </c>
      <c r="I136">
        <v>0.01</v>
      </c>
      <c r="J136">
        <v>0</v>
      </c>
      <c r="K136">
        <v>8.0500000000000007</v>
      </c>
      <c r="L136" t="s">
        <v>487</v>
      </c>
      <c r="M136">
        <v>436</v>
      </c>
      <c r="N136">
        <v>54.16</v>
      </c>
      <c r="O136" t="s">
        <v>60</v>
      </c>
      <c r="P136" t="s">
        <v>490</v>
      </c>
      <c r="Q136">
        <v>4</v>
      </c>
      <c r="R136">
        <v>300</v>
      </c>
    </row>
    <row r="137" spans="1:18" x14ac:dyDescent="0.35">
      <c r="A137" t="s">
        <v>197</v>
      </c>
      <c r="B137" t="s">
        <v>483</v>
      </c>
      <c r="C137" t="s">
        <v>484</v>
      </c>
      <c r="D137">
        <v>107775521</v>
      </c>
      <c r="E137" t="s">
        <v>511</v>
      </c>
      <c r="F137" t="s">
        <v>486</v>
      </c>
      <c r="G137">
        <v>0</v>
      </c>
      <c r="H137">
        <v>8.0399999999999991</v>
      </c>
      <c r="I137">
        <v>0.01</v>
      </c>
      <c r="J137">
        <v>0</v>
      </c>
      <c r="K137">
        <v>8.0500000000000007</v>
      </c>
      <c r="L137" t="s">
        <v>487</v>
      </c>
      <c r="M137">
        <v>436</v>
      </c>
      <c r="N137">
        <v>54.16</v>
      </c>
      <c r="O137" t="s">
        <v>60</v>
      </c>
      <c r="P137" t="s">
        <v>491</v>
      </c>
      <c r="Q137">
        <v>0</v>
      </c>
      <c r="R137">
        <v>0</v>
      </c>
    </row>
    <row r="138" spans="1:18" x14ac:dyDescent="0.35">
      <c r="A138" t="s">
        <v>197</v>
      </c>
      <c r="B138" t="s">
        <v>483</v>
      </c>
      <c r="C138" t="s">
        <v>484</v>
      </c>
      <c r="D138">
        <v>107775521</v>
      </c>
      <c r="E138" t="s">
        <v>511</v>
      </c>
      <c r="F138" t="s">
        <v>486</v>
      </c>
      <c r="G138">
        <v>0</v>
      </c>
      <c r="H138">
        <v>8.0399999999999991</v>
      </c>
      <c r="I138">
        <v>0.01</v>
      </c>
      <c r="J138">
        <v>0</v>
      </c>
      <c r="K138">
        <v>8.0500000000000007</v>
      </c>
      <c r="L138" t="s">
        <v>487</v>
      </c>
      <c r="M138">
        <v>436</v>
      </c>
      <c r="N138">
        <v>54.16</v>
      </c>
      <c r="O138" t="s">
        <v>60</v>
      </c>
      <c r="P138" t="s">
        <v>492</v>
      </c>
      <c r="Q138">
        <v>3073</v>
      </c>
      <c r="R138">
        <v>381.74</v>
      </c>
    </row>
    <row r="139" spans="1:18" x14ac:dyDescent="0.35">
      <c r="A139" t="s">
        <v>197</v>
      </c>
      <c r="B139" t="s">
        <v>483</v>
      </c>
      <c r="C139" t="s">
        <v>484</v>
      </c>
      <c r="D139">
        <v>107775521</v>
      </c>
      <c r="E139" t="s">
        <v>511</v>
      </c>
      <c r="F139" t="s">
        <v>486</v>
      </c>
      <c r="G139">
        <v>0</v>
      </c>
      <c r="H139">
        <v>8.0399999999999991</v>
      </c>
      <c r="I139">
        <v>0.01</v>
      </c>
      <c r="J139">
        <v>0</v>
      </c>
      <c r="K139">
        <v>8.0500000000000007</v>
      </c>
      <c r="L139" t="s">
        <v>487</v>
      </c>
      <c r="M139">
        <v>436</v>
      </c>
      <c r="N139">
        <v>54.16</v>
      </c>
      <c r="O139" t="s">
        <v>81</v>
      </c>
      <c r="P139" t="s">
        <v>492</v>
      </c>
      <c r="Q139">
        <v>436</v>
      </c>
      <c r="R139">
        <v>54.16</v>
      </c>
    </row>
    <row r="140" spans="1:18" x14ac:dyDescent="0.35">
      <c r="A140" t="s">
        <v>197</v>
      </c>
      <c r="B140" t="s">
        <v>483</v>
      </c>
      <c r="C140" t="s">
        <v>493</v>
      </c>
      <c r="D140">
        <v>107820116</v>
      </c>
      <c r="E140" t="s">
        <v>545</v>
      </c>
      <c r="F140" t="s">
        <v>497</v>
      </c>
      <c r="G140">
        <v>0.01</v>
      </c>
      <c r="H140">
        <v>0.89</v>
      </c>
      <c r="I140">
        <v>0</v>
      </c>
      <c r="J140">
        <v>0</v>
      </c>
      <c r="K140">
        <v>0.9</v>
      </c>
      <c r="L140" t="s">
        <v>487</v>
      </c>
      <c r="M140">
        <v>47</v>
      </c>
      <c r="N140">
        <v>52.11</v>
      </c>
      <c r="O140" t="s">
        <v>60</v>
      </c>
      <c r="P140" t="s">
        <v>488</v>
      </c>
      <c r="Q140">
        <v>30</v>
      </c>
      <c r="R140">
        <v>2160</v>
      </c>
    </row>
    <row r="141" spans="1:18" x14ac:dyDescent="0.35">
      <c r="A141" t="s">
        <v>197</v>
      </c>
      <c r="B141" t="s">
        <v>483</v>
      </c>
      <c r="C141" t="s">
        <v>493</v>
      </c>
      <c r="D141">
        <v>107820116</v>
      </c>
      <c r="E141" t="s">
        <v>545</v>
      </c>
      <c r="F141" t="s">
        <v>497</v>
      </c>
      <c r="G141">
        <v>0.01</v>
      </c>
      <c r="H141">
        <v>0.89</v>
      </c>
      <c r="I141">
        <v>0</v>
      </c>
      <c r="J141">
        <v>0</v>
      </c>
      <c r="K141">
        <v>0.9</v>
      </c>
      <c r="L141" t="s">
        <v>487</v>
      </c>
      <c r="M141">
        <v>47</v>
      </c>
      <c r="N141">
        <v>52.11</v>
      </c>
      <c r="O141" t="s">
        <v>60</v>
      </c>
      <c r="P141" t="s">
        <v>489</v>
      </c>
      <c r="Q141">
        <v>331</v>
      </c>
      <c r="R141">
        <v>372.84</v>
      </c>
    </row>
    <row r="142" spans="1:18" x14ac:dyDescent="0.35">
      <c r="A142" t="s">
        <v>197</v>
      </c>
      <c r="B142" t="s">
        <v>483</v>
      </c>
      <c r="C142" t="s">
        <v>493</v>
      </c>
      <c r="D142">
        <v>107820116</v>
      </c>
      <c r="E142" t="s">
        <v>545</v>
      </c>
      <c r="F142" t="s">
        <v>497</v>
      </c>
      <c r="G142">
        <v>0.01</v>
      </c>
      <c r="H142">
        <v>0.89</v>
      </c>
      <c r="I142">
        <v>0</v>
      </c>
      <c r="J142">
        <v>0</v>
      </c>
      <c r="K142">
        <v>0.9</v>
      </c>
      <c r="L142" t="s">
        <v>487</v>
      </c>
      <c r="M142">
        <v>47</v>
      </c>
      <c r="N142">
        <v>52.11</v>
      </c>
      <c r="O142" t="s">
        <v>60</v>
      </c>
      <c r="P142" t="s">
        <v>490</v>
      </c>
      <c r="Q142">
        <v>0</v>
      </c>
      <c r="R142">
        <v>0</v>
      </c>
    </row>
    <row r="143" spans="1:18" x14ac:dyDescent="0.35">
      <c r="A143" t="s">
        <v>197</v>
      </c>
      <c r="B143" t="s">
        <v>483</v>
      </c>
      <c r="C143" t="s">
        <v>493</v>
      </c>
      <c r="D143">
        <v>107820116</v>
      </c>
      <c r="E143" t="s">
        <v>545</v>
      </c>
      <c r="F143" t="s">
        <v>497</v>
      </c>
      <c r="G143">
        <v>0.01</v>
      </c>
      <c r="H143">
        <v>0.89</v>
      </c>
      <c r="I143">
        <v>0</v>
      </c>
      <c r="J143">
        <v>0</v>
      </c>
      <c r="K143">
        <v>0.9</v>
      </c>
      <c r="L143" t="s">
        <v>487</v>
      </c>
      <c r="M143">
        <v>47</v>
      </c>
      <c r="N143">
        <v>52.11</v>
      </c>
      <c r="O143" t="s">
        <v>60</v>
      </c>
      <c r="P143" t="s">
        <v>491</v>
      </c>
      <c r="Q143">
        <v>0</v>
      </c>
      <c r="R143">
        <v>0</v>
      </c>
    </row>
    <row r="144" spans="1:18" x14ac:dyDescent="0.35">
      <c r="A144" t="s">
        <v>197</v>
      </c>
      <c r="B144" t="s">
        <v>483</v>
      </c>
      <c r="C144" t="s">
        <v>493</v>
      </c>
      <c r="D144">
        <v>107820116</v>
      </c>
      <c r="E144" t="s">
        <v>545</v>
      </c>
      <c r="F144" t="s">
        <v>497</v>
      </c>
      <c r="G144">
        <v>0.01</v>
      </c>
      <c r="H144">
        <v>0.89</v>
      </c>
      <c r="I144">
        <v>0</v>
      </c>
      <c r="J144">
        <v>0</v>
      </c>
      <c r="K144">
        <v>0.9</v>
      </c>
      <c r="L144" t="s">
        <v>487</v>
      </c>
      <c r="M144">
        <v>47</v>
      </c>
      <c r="N144">
        <v>52.11</v>
      </c>
      <c r="O144" t="s">
        <v>60</v>
      </c>
      <c r="P144" t="s">
        <v>492</v>
      </c>
      <c r="Q144">
        <v>361</v>
      </c>
      <c r="R144">
        <v>400.25</v>
      </c>
    </row>
    <row r="145" spans="1:18" x14ac:dyDescent="0.35">
      <c r="A145" t="s">
        <v>197</v>
      </c>
      <c r="B145" t="s">
        <v>483</v>
      </c>
      <c r="C145" t="s">
        <v>493</v>
      </c>
      <c r="D145">
        <v>107820116</v>
      </c>
      <c r="E145" t="s">
        <v>545</v>
      </c>
      <c r="F145" t="s">
        <v>497</v>
      </c>
      <c r="G145">
        <v>0.01</v>
      </c>
      <c r="H145">
        <v>0.89</v>
      </c>
      <c r="I145">
        <v>0</v>
      </c>
      <c r="J145">
        <v>0</v>
      </c>
      <c r="K145">
        <v>0.9</v>
      </c>
      <c r="L145" t="s">
        <v>487</v>
      </c>
      <c r="M145">
        <v>47</v>
      </c>
      <c r="N145">
        <v>52.11</v>
      </c>
      <c r="O145" t="s">
        <v>81</v>
      </c>
      <c r="P145" t="s">
        <v>492</v>
      </c>
      <c r="Q145">
        <v>47</v>
      </c>
      <c r="R145">
        <v>52.11</v>
      </c>
    </row>
    <row r="146" spans="1:18" x14ac:dyDescent="0.35">
      <c r="A146" t="s">
        <v>197</v>
      </c>
      <c r="B146" t="s">
        <v>483</v>
      </c>
      <c r="C146" t="s">
        <v>484</v>
      </c>
      <c r="D146">
        <v>107826180</v>
      </c>
      <c r="E146" t="s">
        <v>554</v>
      </c>
      <c r="F146" t="s">
        <v>497</v>
      </c>
      <c r="G146">
        <v>0.19</v>
      </c>
      <c r="H146">
        <v>9.89</v>
      </c>
      <c r="I146">
        <v>0</v>
      </c>
      <c r="J146">
        <v>0</v>
      </c>
      <c r="K146">
        <v>10.08</v>
      </c>
      <c r="L146" t="s">
        <v>487</v>
      </c>
      <c r="M146">
        <v>424</v>
      </c>
      <c r="N146">
        <v>42.05</v>
      </c>
      <c r="O146" t="s">
        <v>60</v>
      </c>
      <c r="P146" t="s">
        <v>488</v>
      </c>
      <c r="Q146">
        <v>356</v>
      </c>
      <c r="R146">
        <v>1844.03</v>
      </c>
    </row>
    <row r="147" spans="1:18" x14ac:dyDescent="0.35">
      <c r="A147" t="s">
        <v>197</v>
      </c>
      <c r="B147" t="s">
        <v>483</v>
      </c>
      <c r="C147" t="s">
        <v>484</v>
      </c>
      <c r="D147">
        <v>107826180</v>
      </c>
      <c r="E147" t="s">
        <v>554</v>
      </c>
      <c r="F147" t="s">
        <v>497</v>
      </c>
      <c r="G147">
        <v>0.19</v>
      </c>
      <c r="H147">
        <v>9.89</v>
      </c>
      <c r="I147">
        <v>0</v>
      </c>
      <c r="J147">
        <v>0</v>
      </c>
      <c r="K147">
        <v>10.08</v>
      </c>
      <c r="L147" t="s">
        <v>487</v>
      </c>
      <c r="M147">
        <v>424</v>
      </c>
      <c r="N147">
        <v>42.05</v>
      </c>
      <c r="O147" t="s">
        <v>60</v>
      </c>
      <c r="P147" t="s">
        <v>489</v>
      </c>
      <c r="Q147">
        <v>3198</v>
      </c>
      <c r="R147">
        <v>323.36</v>
      </c>
    </row>
    <row r="148" spans="1:18" x14ac:dyDescent="0.35">
      <c r="A148" t="s">
        <v>197</v>
      </c>
      <c r="B148" t="s">
        <v>483</v>
      </c>
      <c r="C148" t="s">
        <v>484</v>
      </c>
      <c r="D148">
        <v>107826180</v>
      </c>
      <c r="E148" t="s">
        <v>554</v>
      </c>
      <c r="F148" t="s">
        <v>497</v>
      </c>
      <c r="G148">
        <v>0.19</v>
      </c>
      <c r="H148">
        <v>9.89</v>
      </c>
      <c r="I148">
        <v>0</v>
      </c>
      <c r="J148">
        <v>0</v>
      </c>
      <c r="K148">
        <v>10.08</v>
      </c>
      <c r="L148" t="s">
        <v>487</v>
      </c>
      <c r="M148">
        <v>424</v>
      </c>
      <c r="N148">
        <v>42.05</v>
      </c>
      <c r="O148" t="s">
        <v>60</v>
      </c>
      <c r="P148" t="s">
        <v>490</v>
      </c>
      <c r="Q148">
        <v>0</v>
      </c>
      <c r="R148">
        <v>0</v>
      </c>
    </row>
    <row r="149" spans="1:18" x14ac:dyDescent="0.35">
      <c r="A149" t="s">
        <v>197</v>
      </c>
      <c r="B149" t="s">
        <v>483</v>
      </c>
      <c r="C149" t="s">
        <v>484</v>
      </c>
      <c r="D149">
        <v>107826180</v>
      </c>
      <c r="E149" t="s">
        <v>554</v>
      </c>
      <c r="F149" t="s">
        <v>497</v>
      </c>
      <c r="G149">
        <v>0.19</v>
      </c>
      <c r="H149">
        <v>9.89</v>
      </c>
      <c r="I149">
        <v>0</v>
      </c>
      <c r="J149">
        <v>0</v>
      </c>
      <c r="K149">
        <v>10.08</v>
      </c>
      <c r="L149" t="s">
        <v>487</v>
      </c>
      <c r="M149">
        <v>424</v>
      </c>
      <c r="N149">
        <v>42.05</v>
      </c>
      <c r="O149" t="s">
        <v>60</v>
      </c>
      <c r="P149" t="s">
        <v>491</v>
      </c>
      <c r="Q149">
        <v>0</v>
      </c>
      <c r="R149">
        <v>0</v>
      </c>
    </row>
    <row r="150" spans="1:18" x14ac:dyDescent="0.35">
      <c r="A150" t="s">
        <v>197</v>
      </c>
      <c r="B150" t="s">
        <v>483</v>
      </c>
      <c r="C150" t="s">
        <v>484</v>
      </c>
      <c r="D150">
        <v>107826180</v>
      </c>
      <c r="E150" t="s">
        <v>554</v>
      </c>
      <c r="F150" t="s">
        <v>497</v>
      </c>
      <c r="G150">
        <v>0.19</v>
      </c>
      <c r="H150">
        <v>9.89</v>
      </c>
      <c r="I150">
        <v>0</v>
      </c>
      <c r="J150">
        <v>0</v>
      </c>
      <c r="K150">
        <v>10.08</v>
      </c>
      <c r="L150" t="s">
        <v>487</v>
      </c>
      <c r="M150">
        <v>424</v>
      </c>
      <c r="N150">
        <v>42.05</v>
      </c>
      <c r="O150" t="s">
        <v>60</v>
      </c>
      <c r="P150" t="s">
        <v>492</v>
      </c>
      <c r="Q150">
        <v>3554</v>
      </c>
      <c r="R150">
        <v>352.46</v>
      </c>
    </row>
    <row r="151" spans="1:18" x14ac:dyDescent="0.35">
      <c r="A151" t="s">
        <v>197</v>
      </c>
      <c r="B151" t="s">
        <v>483</v>
      </c>
      <c r="C151" t="s">
        <v>484</v>
      </c>
      <c r="D151">
        <v>107826180</v>
      </c>
      <c r="E151" t="s">
        <v>554</v>
      </c>
      <c r="F151" t="s">
        <v>497</v>
      </c>
      <c r="G151">
        <v>0.19</v>
      </c>
      <c r="H151">
        <v>9.89</v>
      </c>
      <c r="I151">
        <v>0</v>
      </c>
      <c r="J151">
        <v>0</v>
      </c>
      <c r="K151">
        <v>10.08</v>
      </c>
      <c r="L151" t="s">
        <v>487</v>
      </c>
      <c r="M151">
        <v>424</v>
      </c>
      <c r="N151">
        <v>42.05</v>
      </c>
      <c r="O151" t="s">
        <v>81</v>
      </c>
      <c r="P151" t="s">
        <v>492</v>
      </c>
      <c r="Q151">
        <v>424</v>
      </c>
      <c r="R151">
        <v>42.05</v>
      </c>
    </row>
    <row r="152" spans="1:18" x14ac:dyDescent="0.35">
      <c r="A152" t="s">
        <v>197</v>
      </c>
      <c r="B152" t="s">
        <v>483</v>
      </c>
      <c r="C152" t="s">
        <v>493</v>
      </c>
      <c r="D152">
        <v>107826201</v>
      </c>
      <c r="E152" t="s">
        <v>514</v>
      </c>
      <c r="F152" t="s">
        <v>497</v>
      </c>
      <c r="G152">
        <v>0</v>
      </c>
      <c r="H152">
        <v>3.34</v>
      </c>
      <c r="I152">
        <v>0</v>
      </c>
      <c r="J152">
        <v>0</v>
      </c>
      <c r="K152">
        <v>3.34</v>
      </c>
      <c r="L152" t="s">
        <v>487</v>
      </c>
      <c r="M152">
        <v>111</v>
      </c>
      <c r="N152">
        <v>33.25</v>
      </c>
      <c r="O152" t="s">
        <v>60</v>
      </c>
      <c r="P152" t="s">
        <v>488</v>
      </c>
      <c r="Q152">
        <v>0</v>
      </c>
      <c r="R152">
        <v>0</v>
      </c>
    </row>
    <row r="153" spans="1:18" x14ac:dyDescent="0.35">
      <c r="A153" t="s">
        <v>197</v>
      </c>
      <c r="B153" t="s">
        <v>483</v>
      </c>
      <c r="C153" t="s">
        <v>493</v>
      </c>
      <c r="D153">
        <v>107826201</v>
      </c>
      <c r="E153" t="s">
        <v>514</v>
      </c>
      <c r="F153" t="s">
        <v>497</v>
      </c>
      <c r="G153">
        <v>0</v>
      </c>
      <c r="H153">
        <v>3.34</v>
      </c>
      <c r="I153">
        <v>0</v>
      </c>
      <c r="J153">
        <v>0</v>
      </c>
      <c r="K153">
        <v>3.34</v>
      </c>
      <c r="L153" t="s">
        <v>487</v>
      </c>
      <c r="M153">
        <v>111</v>
      </c>
      <c r="N153">
        <v>33.25</v>
      </c>
      <c r="O153" t="s">
        <v>60</v>
      </c>
      <c r="P153" t="s">
        <v>489</v>
      </c>
      <c r="Q153">
        <v>548</v>
      </c>
      <c r="R153">
        <v>164.17</v>
      </c>
    </row>
    <row r="154" spans="1:18" x14ac:dyDescent="0.35">
      <c r="A154" t="s">
        <v>197</v>
      </c>
      <c r="B154" t="s">
        <v>483</v>
      </c>
      <c r="C154" t="s">
        <v>493</v>
      </c>
      <c r="D154">
        <v>107826201</v>
      </c>
      <c r="E154" t="s">
        <v>514</v>
      </c>
      <c r="F154" t="s">
        <v>497</v>
      </c>
      <c r="G154">
        <v>0</v>
      </c>
      <c r="H154">
        <v>3.34</v>
      </c>
      <c r="I154">
        <v>0</v>
      </c>
      <c r="J154">
        <v>0</v>
      </c>
      <c r="K154">
        <v>3.34</v>
      </c>
      <c r="L154" t="s">
        <v>487</v>
      </c>
      <c r="M154">
        <v>111</v>
      </c>
      <c r="N154">
        <v>33.25</v>
      </c>
      <c r="O154" t="s">
        <v>60</v>
      </c>
      <c r="P154" t="s">
        <v>490</v>
      </c>
      <c r="Q154">
        <v>0</v>
      </c>
      <c r="R154">
        <v>0</v>
      </c>
    </row>
    <row r="155" spans="1:18" x14ac:dyDescent="0.35">
      <c r="A155" t="s">
        <v>197</v>
      </c>
      <c r="B155" t="s">
        <v>483</v>
      </c>
      <c r="C155" t="s">
        <v>493</v>
      </c>
      <c r="D155">
        <v>107826201</v>
      </c>
      <c r="E155" t="s">
        <v>514</v>
      </c>
      <c r="F155" t="s">
        <v>497</v>
      </c>
      <c r="G155">
        <v>0</v>
      </c>
      <c r="H155">
        <v>3.34</v>
      </c>
      <c r="I155">
        <v>0</v>
      </c>
      <c r="J155">
        <v>0</v>
      </c>
      <c r="K155">
        <v>3.34</v>
      </c>
      <c r="L155" t="s">
        <v>487</v>
      </c>
      <c r="M155">
        <v>111</v>
      </c>
      <c r="N155">
        <v>33.25</v>
      </c>
      <c r="O155" t="s">
        <v>60</v>
      </c>
      <c r="P155" t="s">
        <v>491</v>
      </c>
      <c r="Q155">
        <v>0</v>
      </c>
      <c r="R155">
        <v>0</v>
      </c>
    </row>
    <row r="156" spans="1:18" x14ac:dyDescent="0.35">
      <c r="A156" t="s">
        <v>197</v>
      </c>
      <c r="B156" t="s">
        <v>483</v>
      </c>
      <c r="C156" t="s">
        <v>493</v>
      </c>
      <c r="D156">
        <v>107826201</v>
      </c>
      <c r="E156" t="s">
        <v>514</v>
      </c>
      <c r="F156" t="s">
        <v>497</v>
      </c>
      <c r="G156">
        <v>0</v>
      </c>
      <c r="H156">
        <v>3.34</v>
      </c>
      <c r="I156">
        <v>0</v>
      </c>
      <c r="J156">
        <v>0</v>
      </c>
      <c r="K156">
        <v>3.34</v>
      </c>
      <c r="L156" t="s">
        <v>487</v>
      </c>
      <c r="M156">
        <v>111</v>
      </c>
      <c r="N156">
        <v>33.25</v>
      </c>
      <c r="O156" t="s">
        <v>60</v>
      </c>
      <c r="P156" t="s">
        <v>492</v>
      </c>
      <c r="Q156">
        <v>548</v>
      </c>
      <c r="R156">
        <v>164.17</v>
      </c>
    </row>
    <row r="157" spans="1:18" x14ac:dyDescent="0.35">
      <c r="A157" t="s">
        <v>197</v>
      </c>
      <c r="B157" t="s">
        <v>483</v>
      </c>
      <c r="C157" t="s">
        <v>493</v>
      </c>
      <c r="D157">
        <v>107826201</v>
      </c>
      <c r="E157" t="s">
        <v>514</v>
      </c>
      <c r="F157" t="s">
        <v>497</v>
      </c>
      <c r="G157">
        <v>0</v>
      </c>
      <c r="H157">
        <v>3.34</v>
      </c>
      <c r="I157">
        <v>0</v>
      </c>
      <c r="J157">
        <v>0</v>
      </c>
      <c r="K157">
        <v>3.34</v>
      </c>
      <c r="L157" t="s">
        <v>487</v>
      </c>
      <c r="M157">
        <v>111</v>
      </c>
      <c r="N157">
        <v>33.25</v>
      </c>
      <c r="O157" t="s">
        <v>81</v>
      </c>
      <c r="P157" t="s">
        <v>492</v>
      </c>
      <c r="Q157">
        <v>111</v>
      </c>
      <c r="R157">
        <v>33.25</v>
      </c>
    </row>
    <row r="158" spans="1:18" x14ac:dyDescent="0.35">
      <c r="A158" t="s">
        <v>197</v>
      </c>
      <c r="B158" t="s">
        <v>483</v>
      </c>
      <c r="C158" t="s">
        <v>484</v>
      </c>
      <c r="D158">
        <v>107826202</v>
      </c>
      <c r="E158" t="s">
        <v>590</v>
      </c>
      <c r="F158" t="s">
        <v>497</v>
      </c>
      <c r="G158">
        <v>0.59</v>
      </c>
      <c r="H158">
        <v>8.01</v>
      </c>
      <c r="I158">
        <v>0</v>
      </c>
      <c r="J158">
        <v>0</v>
      </c>
      <c r="K158">
        <v>8.6</v>
      </c>
      <c r="L158" t="s">
        <v>487</v>
      </c>
      <c r="M158">
        <v>397</v>
      </c>
      <c r="N158">
        <v>46.15</v>
      </c>
      <c r="O158" t="s">
        <v>60</v>
      </c>
      <c r="P158" t="s">
        <v>488</v>
      </c>
      <c r="Q158">
        <v>802</v>
      </c>
      <c r="R158">
        <v>1358.68</v>
      </c>
    </row>
    <row r="159" spans="1:18" x14ac:dyDescent="0.35">
      <c r="A159" t="s">
        <v>197</v>
      </c>
      <c r="B159" t="s">
        <v>483</v>
      </c>
      <c r="C159" t="s">
        <v>484</v>
      </c>
      <c r="D159">
        <v>107826202</v>
      </c>
      <c r="E159" t="s">
        <v>590</v>
      </c>
      <c r="F159" t="s">
        <v>497</v>
      </c>
      <c r="G159">
        <v>0.59</v>
      </c>
      <c r="H159">
        <v>8.01</v>
      </c>
      <c r="I159">
        <v>0</v>
      </c>
      <c r="J159">
        <v>0</v>
      </c>
      <c r="K159">
        <v>8.6</v>
      </c>
      <c r="L159" t="s">
        <v>487</v>
      </c>
      <c r="M159">
        <v>397</v>
      </c>
      <c r="N159">
        <v>46.15</v>
      </c>
      <c r="O159" t="s">
        <v>60</v>
      </c>
      <c r="P159" t="s">
        <v>489</v>
      </c>
      <c r="Q159">
        <v>1909</v>
      </c>
      <c r="R159">
        <v>238.29</v>
      </c>
    </row>
    <row r="160" spans="1:18" x14ac:dyDescent="0.35">
      <c r="A160" t="s">
        <v>197</v>
      </c>
      <c r="B160" t="s">
        <v>483</v>
      </c>
      <c r="C160" t="s">
        <v>484</v>
      </c>
      <c r="D160">
        <v>107826202</v>
      </c>
      <c r="E160" t="s">
        <v>590</v>
      </c>
      <c r="F160" t="s">
        <v>497</v>
      </c>
      <c r="G160">
        <v>0.59</v>
      </c>
      <c r="H160">
        <v>8.01</v>
      </c>
      <c r="I160">
        <v>0</v>
      </c>
      <c r="J160">
        <v>0</v>
      </c>
      <c r="K160">
        <v>8.6</v>
      </c>
      <c r="L160" t="s">
        <v>487</v>
      </c>
      <c r="M160">
        <v>397</v>
      </c>
      <c r="N160">
        <v>46.15</v>
      </c>
      <c r="O160" t="s">
        <v>60</v>
      </c>
      <c r="P160" t="s">
        <v>490</v>
      </c>
      <c r="Q160">
        <v>0</v>
      </c>
      <c r="R160">
        <v>0</v>
      </c>
    </row>
    <row r="161" spans="1:18" x14ac:dyDescent="0.35">
      <c r="A161" t="s">
        <v>197</v>
      </c>
      <c r="B161" t="s">
        <v>483</v>
      </c>
      <c r="C161" t="s">
        <v>484</v>
      </c>
      <c r="D161">
        <v>107826202</v>
      </c>
      <c r="E161" t="s">
        <v>590</v>
      </c>
      <c r="F161" t="s">
        <v>497</v>
      </c>
      <c r="G161">
        <v>0.59</v>
      </c>
      <c r="H161">
        <v>8.01</v>
      </c>
      <c r="I161">
        <v>0</v>
      </c>
      <c r="J161">
        <v>0</v>
      </c>
      <c r="K161">
        <v>8.6</v>
      </c>
      <c r="L161" t="s">
        <v>487</v>
      </c>
      <c r="M161">
        <v>397</v>
      </c>
      <c r="N161">
        <v>46.15</v>
      </c>
      <c r="O161" t="s">
        <v>60</v>
      </c>
      <c r="P161" t="s">
        <v>491</v>
      </c>
      <c r="Q161">
        <v>0</v>
      </c>
      <c r="R161">
        <v>0</v>
      </c>
    </row>
    <row r="162" spans="1:18" x14ac:dyDescent="0.35">
      <c r="A162" t="s">
        <v>197</v>
      </c>
      <c r="B162" t="s">
        <v>483</v>
      </c>
      <c r="C162" t="s">
        <v>484</v>
      </c>
      <c r="D162">
        <v>107826202</v>
      </c>
      <c r="E162" t="s">
        <v>590</v>
      </c>
      <c r="F162" t="s">
        <v>497</v>
      </c>
      <c r="G162">
        <v>0.59</v>
      </c>
      <c r="H162">
        <v>8.01</v>
      </c>
      <c r="I162">
        <v>0</v>
      </c>
      <c r="J162">
        <v>0</v>
      </c>
      <c r="K162">
        <v>8.6</v>
      </c>
      <c r="L162" t="s">
        <v>487</v>
      </c>
      <c r="M162">
        <v>397</v>
      </c>
      <c r="N162">
        <v>46.15</v>
      </c>
      <c r="O162" t="s">
        <v>60</v>
      </c>
      <c r="P162" t="s">
        <v>492</v>
      </c>
      <c r="Q162">
        <v>2711</v>
      </c>
      <c r="R162">
        <v>315.17</v>
      </c>
    </row>
    <row r="163" spans="1:18" x14ac:dyDescent="0.35">
      <c r="A163" t="s">
        <v>197</v>
      </c>
      <c r="B163" t="s">
        <v>483</v>
      </c>
      <c r="C163" t="s">
        <v>484</v>
      </c>
      <c r="D163">
        <v>107826202</v>
      </c>
      <c r="E163" t="s">
        <v>590</v>
      </c>
      <c r="F163" t="s">
        <v>497</v>
      </c>
      <c r="G163">
        <v>0.59</v>
      </c>
      <c r="H163">
        <v>8.01</v>
      </c>
      <c r="I163">
        <v>0</v>
      </c>
      <c r="J163">
        <v>0</v>
      </c>
      <c r="K163">
        <v>8.6</v>
      </c>
      <c r="L163" t="s">
        <v>487</v>
      </c>
      <c r="M163">
        <v>397</v>
      </c>
      <c r="N163">
        <v>46.15</v>
      </c>
      <c r="O163" t="s">
        <v>81</v>
      </c>
      <c r="P163" t="s">
        <v>492</v>
      </c>
      <c r="Q163">
        <v>399</v>
      </c>
      <c r="R163">
        <v>46.39</v>
      </c>
    </row>
    <row r="164" spans="1:18" x14ac:dyDescent="0.35">
      <c r="A164" t="s">
        <v>197</v>
      </c>
      <c r="B164" t="s">
        <v>483</v>
      </c>
      <c r="C164" t="s">
        <v>484</v>
      </c>
      <c r="D164">
        <v>107826232</v>
      </c>
      <c r="E164" t="s">
        <v>515</v>
      </c>
      <c r="F164" t="s">
        <v>497</v>
      </c>
      <c r="G164">
        <v>0.09</v>
      </c>
      <c r="H164">
        <v>4.4800000000000004</v>
      </c>
      <c r="I164">
        <v>0</v>
      </c>
      <c r="J164">
        <v>0</v>
      </c>
      <c r="K164">
        <v>4.57</v>
      </c>
      <c r="L164" t="s">
        <v>487</v>
      </c>
      <c r="M164">
        <v>208</v>
      </c>
      <c r="N164">
        <v>45.55</v>
      </c>
      <c r="O164" t="s">
        <v>60</v>
      </c>
      <c r="P164" t="s">
        <v>488</v>
      </c>
      <c r="Q164">
        <v>72</v>
      </c>
      <c r="R164">
        <v>820.25</v>
      </c>
    </row>
    <row r="165" spans="1:18" x14ac:dyDescent="0.35">
      <c r="A165" t="s">
        <v>197</v>
      </c>
      <c r="B165" t="s">
        <v>483</v>
      </c>
      <c r="C165" t="s">
        <v>484</v>
      </c>
      <c r="D165">
        <v>107826232</v>
      </c>
      <c r="E165" t="s">
        <v>515</v>
      </c>
      <c r="F165" t="s">
        <v>497</v>
      </c>
      <c r="G165">
        <v>0.09</v>
      </c>
      <c r="H165">
        <v>4.4800000000000004</v>
      </c>
      <c r="I165">
        <v>0</v>
      </c>
      <c r="J165">
        <v>0</v>
      </c>
      <c r="K165">
        <v>4.57</v>
      </c>
      <c r="L165" t="s">
        <v>487</v>
      </c>
      <c r="M165">
        <v>208</v>
      </c>
      <c r="N165">
        <v>45.55</v>
      </c>
      <c r="O165" t="s">
        <v>60</v>
      </c>
      <c r="P165" t="s">
        <v>489</v>
      </c>
      <c r="Q165">
        <v>643</v>
      </c>
      <c r="R165">
        <v>143.57</v>
      </c>
    </row>
    <row r="166" spans="1:18" x14ac:dyDescent="0.35">
      <c r="A166" t="s">
        <v>197</v>
      </c>
      <c r="B166" t="s">
        <v>483</v>
      </c>
      <c r="C166" t="s">
        <v>484</v>
      </c>
      <c r="D166">
        <v>107826232</v>
      </c>
      <c r="E166" t="s">
        <v>515</v>
      </c>
      <c r="F166" t="s">
        <v>497</v>
      </c>
      <c r="G166">
        <v>0.09</v>
      </c>
      <c r="H166">
        <v>4.4800000000000004</v>
      </c>
      <c r="I166">
        <v>0</v>
      </c>
      <c r="J166">
        <v>0</v>
      </c>
      <c r="K166">
        <v>4.57</v>
      </c>
      <c r="L166" t="s">
        <v>487</v>
      </c>
      <c r="M166">
        <v>208</v>
      </c>
      <c r="N166">
        <v>45.55</v>
      </c>
      <c r="O166" t="s">
        <v>60</v>
      </c>
      <c r="P166" t="s">
        <v>490</v>
      </c>
      <c r="Q166">
        <v>0</v>
      </c>
      <c r="R166">
        <v>0</v>
      </c>
    </row>
    <row r="167" spans="1:18" x14ac:dyDescent="0.35">
      <c r="A167" t="s">
        <v>197</v>
      </c>
      <c r="B167" t="s">
        <v>483</v>
      </c>
      <c r="C167" t="s">
        <v>484</v>
      </c>
      <c r="D167">
        <v>107826232</v>
      </c>
      <c r="E167" t="s">
        <v>515</v>
      </c>
      <c r="F167" t="s">
        <v>497</v>
      </c>
      <c r="G167">
        <v>0.09</v>
      </c>
      <c r="H167">
        <v>4.4800000000000004</v>
      </c>
      <c r="I167">
        <v>0</v>
      </c>
      <c r="J167">
        <v>0</v>
      </c>
      <c r="K167">
        <v>4.57</v>
      </c>
      <c r="L167" t="s">
        <v>487</v>
      </c>
      <c r="M167">
        <v>208</v>
      </c>
      <c r="N167">
        <v>45.55</v>
      </c>
      <c r="O167" t="s">
        <v>60</v>
      </c>
      <c r="P167" t="s">
        <v>491</v>
      </c>
      <c r="Q167">
        <v>0</v>
      </c>
      <c r="R167">
        <v>0</v>
      </c>
    </row>
    <row r="168" spans="1:18" x14ac:dyDescent="0.35">
      <c r="A168" t="s">
        <v>197</v>
      </c>
      <c r="B168" t="s">
        <v>483</v>
      </c>
      <c r="C168" t="s">
        <v>484</v>
      </c>
      <c r="D168">
        <v>107826232</v>
      </c>
      <c r="E168" t="s">
        <v>515</v>
      </c>
      <c r="F168" t="s">
        <v>497</v>
      </c>
      <c r="G168">
        <v>0.09</v>
      </c>
      <c r="H168">
        <v>4.4800000000000004</v>
      </c>
      <c r="I168">
        <v>0</v>
      </c>
      <c r="J168">
        <v>0</v>
      </c>
      <c r="K168">
        <v>4.57</v>
      </c>
      <c r="L168" t="s">
        <v>487</v>
      </c>
      <c r="M168">
        <v>208</v>
      </c>
      <c r="N168">
        <v>45.55</v>
      </c>
      <c r="O168" t="s">
        <v>60</v>
      </c>
      <c r="P168" t="s">
        <v>492</v>
      </c>
      <c r="Q168">
        <v>715</v>
      </c>
      <c r="R168">
        <v>156.57</v>
      </c>
    </row>
    <row r="169" spans="1:18" x14ac:dyDescent="0.35">
      <c r="A169" t="s">
        <v>197</v>
      </c>
      <c r="B169" t="s">
        <v>483</v>
      </c>
      <c r="C169" t="s">
        <v>484</v>
      </c>
      <c r="D169">
        <v>107826232</v>
      </c>
      <c r="E169" t="s">
        <v>515</v>
      </c>
      <c r="F169" t="s">
        <v>497</v>
      </c>
      <c r="G169">
        <v>0.09</v>
      </c>
      <c r="H169">
        <v>4.4800000000000004</v>
      </c>
      <c r="I169">
        <v>0</v>
      </c>
      <c r="J169">
        <v>0</v>
      </c>
      <c r="K169">
        <v>4.57</v>
      </c>
      <c r="L169" t="s">
        <v>487</v>
      </c>
      <c r="M169">
        <v>208</v>
      </c>
      <c r="N169">
        <v>45.55</v>
      </c>
      <c r="O169" t="s">
        <v>81</v>
      </c>
      <c r="P169" t="s">
        <v>492</v>
      </c>
      <c r="Q169">
        <v>208</v>
      </c>
      <c r="R169">
        <v>45.55</v>
      </c>
    </row>
    <row r="170" spans="1:18" x14ac:dyDescent="0.35">
      <c r="A170" t="s">
        <v>197</v>
      </c>
      <c r="B170" t="s">
        <v>483</v>
      </c>
      <c r="C170" t="s">
        <v>484</v>
      </c>
      <c r="D170">
        <v>107826262</v>
      </c>
      <c r="E170" t="s">
        <v>559</v>
      </c>
      <c r="F170" t="s">
        <v>497</v>
      </c>
      <c r="G170">
        <v>0.64</v>
      </c>
      <c r="H170">
        <v>5.88</v>
      </c>
      <c r="I170">
        <v>0</v>
      </c>
      <c r="J170">
        <v>0</v>
      </c>
      <c r="K170">
        <v>6.51</v>
      </c>
      <c r="L170" t="s">
        <v>487</v>
      </c>
      <c r="M170">
        <v>251</v>
      </c>
      <c r="N170">
        <v>38.54</v>
      </c>
      <c r="O170" t="s">
        <v>60</v>
      </c>
      <c r="P170" t="s">
        <v>488</v>
      </c>
      <c r="Q170">
        <v>476</v>
      </c>
      <c r="R170">
        <v>748.95</v>
      </c>
    </row>
    <row r="171" spans="1:18" x14ac:dyDescent="0.35">
      <c r="A171" t="s">
        <v>197</v>
      </c>
      <c r="B171" t="s">
        <v>483</v>
      </c>
      <c r="C171" t="s">
        <v>484</v>
      </c>
      <c r="D171">
        <v>107826262</v>
      </c>
      <c r="E171" t="s">
        <v>559</v>
      </c>
      <c r="F171" t="s">
        <v>497</v>
      </c>
      <c r="G171">
        <v>0.64</v>
      </c>
      <c r="H171">
        <v>5.88</v>
      </c>
      <c r="I171">
        <v>0</v>
      </c>
      <c r="J171">
        <v>0</v>
      </c>
      <c r="K171">
        <v>6.51</v>
      </c>
      <c r="L171" t="s">
        <v>487</v>
      </c>
      <c r="M171">
        <v>251</v>
      </c>
      <c r="N171">
        <v>38.54</v>
      </c>
      <c r="O171" t="s">
        <v>60</v>
      </c>
      <c r="P171" t="s">
        <v>489</v>
      </c>
      <c r="Q171">
        <v>772</v>
      </c>
      <c r="R171">
        <v>131.37</v>
      </c>
    </row>
    <row r="172" spans="1:18" x14ac:dyDescent="0.35">
      <c r="A172" t="s">
        <v>197</v>
      </c>
      <c r="B172" t="s">
        <v>483</v>
      </c>
      <c r="C172" t="s">
        <v>484</v>
      </c>
      <c r="D172">
        <v>107826262</v>
      </c>
      <c r="E172" t="s">
        <v>559</v>
      </c>
      <c r="F172" t="s">
        <v>497</v>
      </c>
      <c r="G172">
        <v>0.64</v>
      </c>
      <c r="H172">
        <v>5.88</v>
      </c>
      <c r="I172">
        <v>0</v>
      </c>
      <c r="J172">
        <v>0</v>
      </c>
      <c r="K172">
        <v>6.51</v>
      </c>
      <c r="L172" t="s">
        <v>487</v>
      </c>
      <c r="M172">
        <v>251</v>
      </c>
      <c r="N172">
        <v>38.54</v>
      </c>
      <c r="O172" t="s">
        <v>60</v>
      </c>
      <c r="P172" t="s">
        <v>490</v>
      </c>
      <c r="Q172">
        <v>0</v>
      </c>
      <c r="R172">
        <v>0</v>
      </c>
    </row>
    <row r="173" spans="1:18" x14ac:dyDescent="0.35">
      <c r="A173" t="s">
        <v>197</v>
      </c>
      <c r="B173" t="s">
        <v>483</v>
      </c>
      <c r="C173" t="s">
        <v>484</v>
      </c>
      <c r="D173">
        <v>107826262</v>
      </c>
      <c r="E173" t="s">
        <v>559</v>
      </c>
      <c r="F173" t="s">
        <v>497</v>
      </c>
      <c r="G173">
        <v>0.64</v>
      </c>
      <c r="H173">
        <v>5.88</v>
      </c>
      <c r="I173">
        <v>0</v>
      </c>
      <c r="J173">
        <v>0</v>
      </c>
      <c r="K173">
        <v>6.51</v>
      </c>
      <c r="L173" t="s">
        <v>487</v>
      </c>
      <c r="M173">
        <v>251</v>
      </c>
      <c r="N173">
        <v>38.54</v>
      </c>
      <c r="O173" t="s">
        <v>60</v>
      </c>
      <c r="P173" t="s">
        <v>491</v>
      </c>
      <c r="Q173">
        <v>0</v>
      </c>
      <c r="R173">
        <v>0</v>
      </c>
    </row>
    <row r="174" spans="1:18" x14ac:dyDescent="0.35">
      <c r="A174" t="s">
        <v>197</v>
      </c>
      <c r="B174" t="s">
        <v>483</v>
      </c>
      <c r="C174" t="s">
        <v>484</v>
      </c>
      <c r="D174">
        <v>107826262</v>
      </c>
      <c r="E174" t="s">
        <v>559</v>
      </c>
      <c r="F174" t="s">
        <v>497</v>
      </c>
      <c r="G174">
        <v>0.64</v>
      </c>
      <c r="H174">
        <v>5.88</v>
      </c>
      <c r="I174">
        <v>0</v>
      </c>
      <c r="J174">
        <v>0</v>
      </c>
      <c r="K174">
        <v>6.51</v>
      </c>
      <c r="L174" t="s">
        <v>487</v>
      </c>
      <c r="M174">
        <v>251</v>
      </c>
      <c r="N174">
        <v>38.54</v>
      </c>
      <c r="O174" t="s">
        <v>60</v>
      </c>
      <c r="P174" t="s">
        <v>492</v>
      </c>
      <c r="Q174">
        <v>1248</v>
      </c>
      <c r="R174">
        <v>191.64</v>
      </c>
    </row>
    <row r="175" spans="1:18" x14ac:dyDescent="0.35">
      <c r="A175" t="s">
        <v>197</v>
      </c>
      <c r="B175" t="s">
        <v>483</v>
      </c>
      <c r="C175" t="s">
        <v>484</v>
      </c>
      <c r="D175">
        <v>107826262</v>
      </c>
      <c r="E175" t="s">
        <v>559</v>
      </c>
      <c r="F175" t="s">
        <v>497</v>
      </c>
      <c r="G175">
        <v>0.64</v>
      </c>
      <c r="H175">
        <v>5.88</v>
      </c>
      <c r="I175">
        <v>0</v>
      </c>
      <c r="J175">
        <v>0</v>
      </c>
      <c r="K175">
        <v>6.51</v>
      </c>
      <c r="L175" t="s">
        <v>487</v>
      </c>
      <c r="M175">
        <v>251</v>
      </c>
      <c r="N175">
        <v>38.54</v>
      </c>
      <c r="O175" t="s">
        <v>81</v>
      </c>
      <c r="P175" t="s">
        <v>492</v>
      </c>
      <c r="Q175">
        <v>251</v>
      </c>
      <c r="R175">
        <v>38.54</v>
      </c>
    </row>
    <row r="176" spans="1:18" x14ac:dyDescent="0.35">
      <c r="A176" t="s">
        <v>197</v>
      </c>
      <c r="B176" t="s">
        <v>483</v>
      </c>
      <c r="C176" t="s">
        <v>484</v>
      </c>
      <c r="D176">
        <v>107843844</v>
      </c>
      <c r="E176" t="s">
        <v>516</v>
      </c>
      <c r="F176" t="s">
        <v>486</v>
      </c>
      <c r="G176">
        <v>0.16</v>
      </c>
      <c r="H176">
        <v>7.4</v>
      </c>
      <c r="I176">
        <v>0</v>
      </c>
      <c r="J176">
        <v>0</v>
      </c>
      <c r="K176">
        <v>7.57</v>
      </c>
      <c r="L176" t="s">
        <v>487</v>
      </c>
      <c r="M176">
        <v>314</v>
      </c>
      <c r="N176">
        <v>41.5</v>
      </c>
      <c r="O176" t="s">
        <v>60</v>
      </c>
      <c r="P176" t="s">
        <v>488</v>
      </c>
      <c r="Q176">
        <v>221</v>
      </c>
      <c r="R176">
        <v>1343.92</v>
      </c>
    </row>
    <row r="177" spans="1:18" x14ac:dyDescent="0.35">
      <c r="A177" t="s">
        <v>197</v>
      </c>
      <c r="B177" t="s">
        <v>483</v>
      </c>
      <c r="C177" t="s">
        <v>484</v>
      </c>
      <c r="D177">
        <v>107843844</v>
      </c>
      <c r="E177" t="s">
        <v>516</v>
      </c>
      <c r="F177" t="s">
        <v>486</v>
      </c>
      <c r="G177">
        <v>0.16</v>
      </c>
      <c r="H177">
        <v>7.4</v>
      </c>
      <c r="I177">
        <v>0</v>
      </c>
      <c r="J177">
        <v>0</v>
      </c>
      <c r="K177">
        <v>7.57</v>
      </c>
      <c r="L177" t="s">
        <v>487</v>
      </c>
      <c r="M177">
        <v>314</v>
      </c>
      <c r="N177">
        <v>41.5</v>
      </c>
      <c r="O177" t="s">
        <v>60</v>
      </c>
      <c r="P177" t="s">
        <v>489</v>
      </c>
      <c r="Q177">
        <v>1743</v>
      </c>
      <c r="R177">
        <v>235.49</v>
      </c>
    </row>
    <row r="178" spans="1:18" x14ac:dyDescent="0.35">
      <c r="A178" t="s">
        <v>197</v>
      </c>
      <c r="B178" t="s">
        <v>483</v>
      </c>
      <c r="C178" t="s">
        <v>484</v>
      </c>
      <c r="D178">
        <v>107843844</v>
      </c>
      <c r="E178" t="s">
        <v>516</v>
      </c>
      <c r="F178" t="s">
        <v>486</v>
      </c>
      <c r="G178">
        <v>0.16</v>
      </c>
      <c r="H178">
        <v>7.4</v>
      </c>
      <c r="I178">
        <v>0</v>
      </c>
      <c r="J178">
        <v>0</v>
      </c>
      <c r="K178">
        <v>7.57</v>
      </c>
      <c r="L178" t="s">
        <v>487</v>
      </c>
      <c r="M178">
        <v>314</v>
      </c>
      <c r="N178">
        <v>41.5</v>
      </c>
      <c r="O178" t="s">
        <v>60</v>
      </c>
      <c r="P178" t="s">
        <v>490</v>
      </c>
      <c r="Q178">
        <v>0</v>
      </c>
      <c r="R178">
        <v>0</v>
      </c>
    </row>
    <row r="179" spans="1:18" x14ac:dyDescent="0.35">
      <c r="A179" t="s">
        <v>197</v>
      </c>
      <c r="B179" t="s">
        <v>483</v>
      </c>
      <c r="C179" t="s">
        <v>484</v>
      </c>
      <c r="D179">
        <v>107843844</v>
      </c>
      <c r="E179" t="s">
        <v>516</v>
      </c>
      <c r="F179" t="s">
        <v>486</v>
      </c>
      <c r="G179">
        <v>0.16</v>
      </c>
      <c r="H179">
        <v>7.4</v>
      </c>
      <c r="I179">
        <v>0</v>
      </c>
      <c r="J179">
        <v>0</v>
      </c>
      <c r="K179">
        <v>7.57</v>
      </c>
      <c r="L179" t="s">
        <v>487</v>
      </c>
      <c r="M179">
        <v>314</v>
      </c>
      <c r="N179">
        <v>41.5</v>
      </c>
      <c r="O179" t="s">
        <v>60</v>
      </c>
      <c r="P179" t="s">
        <v>491</v>
      </c>
      <c r="Q179">
        <v>0</v>
      </c>
      <c r="R179">
        <v>0</v>
      </c>
    </row>
    <row r="180" spans="1:18" x14ac:dyDescent="0.35">
      <c r="A180" t="s">
        <v>197</v>
      </c>
      <c r="B180" t="s">
        <v>483</v>
      </c>
      <c r="C180" t="s">
        <v>484</v>
      </c>
      <c r="D180">
        <v>107843844</v>
      </c>
      <c r="E180" t="s">
        <v>516</v>
      </c>
      <c r="F180" t="s">
        <v>486</v>
      </c>
      <c r="G180">
        <v>0.16</v>
      </c>
      <c r="H180">
        <v>7.4</v>
      </c>
      <c r="I180">
        <v>0</v>
      </c>
      <c r="J180">
        <v>0</v>
      </c>
      <c r="K180">
        <v>7.57</v>
      </c>
      <c r="L180" t="s">
        <v>487</v>
      </c>
      <c r="M180">
        <v>314</v>
      </c>
      <c r="N180">
        <v>41.5</v>
      </c>
      <c r="O180" t="s">
        <v>60</v>
      </c>
      <c r="P180" t="s">
        <v>492</v>
      </c>
      <c r="Q180">
        <v>1964</v>
      </c>
      <c r="R180">
        <v>259.57</v>
      </c>
    </row>
    <row r="181" spans="1:18" x14ac:dyDescent="0.35">
      <c r="A181" t="s">
        <v>197</v>
      </c>
      <c r="B181" t="s">
        <v>483</v>
      </c>
      <c r="C181" t="s">
        <v>484</v>
      </c>
      <c r="D181">
        <v>107843844</v>
      </c>
      <c r="E181" t="s">
        <v>516</v>
      </c>
      <c r="F181" t="s">
        <v>486</v>
      </c>
      <c r="G181">
        <v>0.16</v>
      </c>
      <c r="H181">
        <v>7.4</v>
      </c>
      <c r="I181">
        <v>0</v>
      </c>
      <c r="J181">
        <v>0</v>
      </c>
      <c r="K181">
        <v>7.57</v>
      </c>
      <c r="L181" t="s">
        <v>487</v>
      </c>
      <c r="M181">
        <v>314</v>
      </c>
      <c r="N181">
        <v>41.5</v>
      </c>
      <c r="O181" t="s">
        <v>81</v>
      </c>
      <c r="P181" t="s">
        <v>492</v>
      </c>
      <c r="Q181">
        <v>314</v>
      </c>
      <c r="R181">
        <v>41.5</v>
      </c>
    </row>
    <row r="182" spans="1:18" x14ac:dyDescent="0.35">
      <c r="A182" t="s">
        <v>197</v>
      </c>
      <c r="B182" t="s">
        <v>483</v>
      </c>
      <c r="C182" t="s">
        <v>484</v>
      </c>
      <c r="D182">
        <v>107843876</v>
      </c>
      <c r="E182" t="s">
        <v>517</v>
      </c>
      <c r="F182" t="s">
        <v>486</v>
      </c>
      <c r="G182">
        <v>0.4</v>
      </c>
      <c r="H182">
        <v>7.65</v>
      </c>
      <c r="I182">
        <v>0</v>
      </c>
      <c r="J182">
        <v>0</v>
      </c>
      <c r="K182">
        <v>8.0500000000000007</v>
      </c>
      <c r="L182" t="s">
        <v>487</v>
      </c>
      <c r="M182">
        <v>277</v>
      </c>
      <c r="N182">
        <v>34.409999999999997</v>
      </c>
      <c r="O182" t="s">
        <v>60</v>
      </c>
      <c r="P182" t="s">
        <v>488</v>
      </c>
      <c r="Q182">
        <v>423</v>
      </c>
      <c r="R182">
        <v>1053.8399999999999</v>
      </c>
    </row>
    <row r="183" spans="1:18" x14ac:dyDescent="0.35">
      <c r="A183" t="s">
        <v>197</v>
      </c>
      <c r="B183" t="s">
        <v>483</v>
      </c>
      <c r="C183" t="s">
        <v>484</v>
      </c>
      <c r="D183">
        <v>107843876</v>
      </c>
      <c r="E183" t="s">
        <v>517</v>
      </c>
      <c r="F183" t="s">
        <v>486</v>
      </c>
      <c r="G183">
        <v>0.4</v>
      </c>
      <c r="H183">
        <v>7.65</v>
      </c>
      <c r="I183">
        <v>0</v>
      </c>
      <c r="J183">
        <v>0</v>
      </c>
      <c r="K183">
        <v>8.0500000000000007</v>
      </c>
      <c r="L183" t="s">
        <v>487</v>
      </c>
      <c r="M183">
        <v>277</v>
      </c>
      <c r="N183">
        <v>34.409999999999997</v>
      </c>
      <c r="O183" t="s">
        <v>60</v>
      </c>
      <c r="P183" t="s">
        <v>489</v>
      </c>
      <c r="Q183">
        <v>1414</v>
      </c>
      <c r="R183">
        <v>184.88</v>
      </c>
    </row>
    <row r="184" spans="1:18" x14ac:dyDescent="0.35">
      <c r="A184" t="s">
        <v>197</v>
      </c>
      <c r="B184" t="s">
        <v>483</v>
      </c>
      <c r="C184" t="s">
        <v>484</v>
      </c>
      <c r="D184">
        <v>107843876</v>
      </c>
      <c r="E184" t="s">
        <v>517</v>
      </c>
      <c r="F184" t="s">
        <v>486</v>
      </c>
      <c r="G184">
        <v>0.4</v>
      </c>
      <c r="H184">
        <v>7.65</v>
      </c>
      <c r="I184">
        <v>0</v>
      </c>
      <c r="J184">
        <v>0</v>
      </c>
      <c r="K184">
        <v>8.0500000000000007</v>
      </c>
      <c r="L184" t="s">
        <v>487</v>
      </c>
      <c r="M184">
        <v>277</v>
      </c>
      <c r="N184">
        <v>34.409999999999997</v>
      </c>
      <c r="O184" t="s">
        <v>60</v>
      </c>
      <c r="P184" t="s">
        <v>490</v>
      </c>
      <c r="Q184">
        <v>0</v>
      </c>
      <c r="R184">
        <v>0</v>
      </c>
    </row>
    <row r="185" spans="1:18" x14ac:dyDescent="0.35">
      <c r="A185" t="s">
        <v>197</v>
      </c>
      <c r="B185" t="s">
        <v>483</v>
      </c>
      <c r="C185" t="s">
        <v>484</v>
      </c>
      <c r="D185">
        <v>107843876</v>
      </c>
      <c r="E185" t="s">
        <v>517</v>
      </c>
      <c r="F185" t="s">
        <v>486</v>
      </c>
      <c r="G185">
        <v>0.4</v>
      </c>
      <c r="H185">
        <v>7.65</v>
      </c>
      <c r="I185">
        <v>0</v>
      </c>
      <c r="J185">
        <v>0</v>
      </c>
      <c r="K185">
        <v>8.0500000000000007</v>
      </c>
      <c r="L185" t="s">
        <v>487</v>
      </c>
      <c r="M185">
        <v>277</v>
      </c>
      <c r="N185">
        <v>34.409999999999997</v>
      </c>
      <c r="O185" t="s">
        <v>60</v>
      </c>
      <c r="P185" t="s">
        <v>491</v>
      </c>
      <c r="Q185">
        <v>0</v>
      </c>
      <c r="R185">
        <v>0</v>
      </c>
    </row>
    <row r="186" spans="1:18" x14ac:dyDescent="0.35">
      <c r="A186" t="s">
        <v>197</v>
      </c>
      <c r="B186" t="s">
        <v>483</v>
      </c>
      <c r="C186" t="s">
        <v>484</v>
      </c>
      <c r="D186">
        <v>107843876</v>
      </c>
      <c r="E186" t="s">
        <v>517</v>
      </c>
      <c r="F186" t="s">
        <v>486</v>
      </c>
      <c r="G186">
        <v>0.4</v>
      </c>
      <c r="H186">
        <v>7.65</v>
      </c>
      <c r="I186">
        <v>0</v>
      </c>
      <c r="J186">
        <v>0</v>
      </c>
      <c r="K186">
        <v>8.0500000000000007</v>
      </c>
      <c r="L186" t="s">
        <v>487</v>
      </c>
      <c r="M186">
        <v>277</v>
      </c>
      <c r="N186">
        <v>34.409999999999997</v>
      </c>
      <c r="O186" t="s">
        <v>60</v>
      </c>
      <c r="P186" t="s">
        <v>492</v>
      </c>
      <c r="Q186">
        <v>1837</v>
      </c>
      <c r="R186">
        <v>228.2</v>
      </c>
    </row>
    <row r="187" spans="1:18" x14ac:dyDescent="0.35">
      <c r="A187" t="s">
        <v>197</v>
      </c>
      <c r="B187" t="s">
        <v>483</v>
      </c>
      <c r="C187" t="s">
        <v>484</v>
      </c>
      <c r="D187">
        <v>107843876</v>
      </c>
      <c r="E187" t="s">
        <v>517</v>
      </c>
      <c r="F187" t="s">
        <v>486</v>
      </c>
      <c r="G187">
        <v>0.4</v>
      </c>
      <c r="H187">
        <v>7.65</v>
      </c>
      <c r="I187">
        <v>0</v>
      </c>
      <c r="J187">
        <v>0</v>
      </c>
      <c r="K187">
        <v>8.0500000000000007</v>
      </c>
      <c r="L187" t="s">
        <v>487</v>
      </c>
      <c r="M187">
        <v>277</v>
      </c>
      <c r="N187">
        <v>34.409999999999997</v>
      </c>
      <c r="O187" t="s">
        <v>81</v>
      </c>
      <c r="P187" t="s">
        <v>492</v>
      </c>
      <c r="Q187">
        <v>277</v>
      </c>
      <c r="R187">
        <v>34.409999999999997</v>
      </c>
    </row>
    <row r="188" spans="1:18" x14ac:dyDescent="0.35">
      <c r="A188" t="s">
        <v>197</v>
      </c>
      <c r="B188" t="s">
        <v>483</v>
      </c>
      <c r="C188" t="s">
        <v>484</v>
      </c>
      <c r="D188">
        <v>107843891</v>
      </c>
      <c r="E188" t="s">
        <v>518</v>
      </c>
      <c r="F188" t="s">
        <v>486</v>
      </c>
      <c r="G188">
        <v>0.76</v>
      </c>
      <c r="H188">
        <v>8.5</v>
      </c>
      <c r="I188">
        <v>0</v>
      </c>
      <c r="J188">
        <v>0</v>
      </c>
      <c r="K188">
        <v>9.26</v>
      </c>
      <c r="L188" t="s">
        <v>487</v>
      </c>
      <c r="M188">
        <v>348</v>
      </c>
      <c r="N188">
        <v>37.57</v>
      </c>
      <c r="O188" t="s">
        <v>60</v>
      </c>
      <c r="P188" t="s">
        <v>488</v>
      </c>
      <c r="Q188">
        <v>1124</v>
      </c>
      <c r="R188">
        <v>1483.28</v>
      </c>
    </row>
    <row r="189" spans="1:18" x14ac:dyDescent="0.35">
      <c r="A189" t="s">
        <v>197</v>
      </c>
      <c r="B189" t="s">
        <v>483</v>
      </c>
      <c r="C189" t="s">
        <v>484</v>
      </c>
      <c r="D189">
        <v>107843891</v>
      </c>
      <c r="E189" t="s">
        <v>518</v>
      </c>
      <c r="F189" t="s">
        <v>486</v>
      </c>
      <c r="G189">
        <v>0.76</v>
      </c>
      <c r="H189">
        <v>8.5</v>
      </c>
      <c r="I189">
        <v>0</v>
      </c>
      <c r="J189">
        <v>0</v>
      </c>
      <c r="K189">
        <v>9.26</v>
      </c>
      <c r="L189" t="s">
        <v>487</v>
      </c>
      <c r="M189">
        <v>348</v>
      </c>
      <c r="N189">
        <v>37.57</v>
      </c>
      <c r="O189" t="s">
        <v>60</v>
      </c>
      <c r="P189" t="s">
        <v>489</v>
      </c>
      <c r="Q189">
        <v>2213</v>
      </c>
      <c r="R189">
        <v>260.20999999999998</v>
      </c>
    </row>
    <row r="190" spans="1:18" x14ac:dyDescent="0.35">
      <c r="A190" t="s">
        <v>197</v>
      </c>
      <c r="B190" t="s">
        <v>483</v>
      </c>
      <c r="C190" t="s">
        <v>484</v>
      </c>
      <c r="D190">
        <v>107843891</v>
      </c>
      <c r="E190" t="s">
        <v>518</v>
      </c>
      <c r="F190" t="s">
        <v>486</v>
      </c>
      <c r="G190">
        <v>0.76</v>
      </c>
      <c r="H190">
        <v>8.5</v>
      </c>
      <c r="I190">
        <v>0</v>
      </c>
      <c r="J190">
        <v>0</v>
      </c>
      <c r="K190">
        <v>9.26</v>
      </c>
      <c r="L190" t="s">
        <v>487</v>
      </c>
      <c r="M190">
        <v>348</v>
      </c>
      <c r="N190">
        <v>37.57</v>
      </c>
      <c r="O190" t="s">
        <v>60</v>
      </c>
      <c r="P190" t="s">
        <v>490</v>
      </c>
      <c r="Q190">
        <v>0</v>
      </c>
      <c r="R190">
        <v>0</v>
      </c>
    </row>
    <row r="191" spans="1:18" x14ac:dyDescent="0.35">
      <c r="A191" t="s">
        <v>197</v>
      </c>
      <c r="B191" t="s">
        <v>483</v>
      </c>
      <c r="C191" t="s">
        <v>484</v>
      </c>
      <c r="D191">
        <v>107843891</v>
      </c>
      <c r="E191" t="s">
        <v>518</v>
      </c>
      <c r="F191" t="s">
        <v>486</v>
      </c>
      <c r="G191">
        <v>0.76</v>
      </c>
      <c r="H191">
        <v>8.5</v>
      </c>
      <c r="I191">
        <v>0</v>
      </c>
      <c r="J191">
        <v>0</v>
      </c>
      <c r="K191">
        <v>9.26</v>
      </c>
      <c r="L191" t="s">
        <v>487</v>
      </c>
      <c r="M191">
        <v>348</v>
      </c>
      <c r="N191">
        <v>37.57</v>
      </c>
      <c r="O191" t="s">
        <v>60</v>
      </c>
      <c r="P191" t="s">
        <v>491</v>
      </c>
      <c r="Q191">
        <v>0</v>
      </c>
      <c r="R191">
        <v>0</v>
      </c>
    </row>
    <row r="192" spans="1:18" x14ac:dyDescent="0.35">
      <c r="A192" t="s">
        <v>197</v>
      </c>
      <c r="B192" t="s">
        <v>483</v>
      </c>
      <c r="C192" t="s">
        <v>484</v>
      </c>
      <c r="D192">
        <v>107843891</v>
      </c>
      <c r="E192" t="s">
        <v>518</v>
      </c>
      <c r="F192" t="s">
        <v>486</v>
      </c>
      <c r="G192">
        <v>0.76</v>
      </c>
      <c r="H192">
        <v>8.5</v>
      </c>
      <c r="I192">
        <v>0</v>
      </c>
      <c r="J192">
        <v>0</v>
      </c>
      <c r="K192">
        <v>9.26</v>
      </c>
      <c r="L192" t="s">
        <v>487</v>
      </c>
      <c r="M192">
        <v>348</v>
      </c>
      <c r="N192">
        <v>37.57</v>
      </c>
      <c r="O192" t="s">
        <v>60</v>
      </c>
      <c r="P192" t="s">
        <v>492</v>
      </c>
      <c r="Q192">
        <v>3337</v>
      </c>
      <c r="R192">
        <v>360.26</v>
      </c>
    </row>
    <row r="193" spans="1:18" x14ac:dyDescent="0.35">
      <c r="A193" t="s">
        <v>197</v>
      </c>
      <c r="B193" t="s">
        <v>483</v>
      </c>
      <c r="C193" t="s">
        <v>484</v>
      </c>
      <c r="D193">
        <v>107843891</v>
      </c>
      <c r="E193" t="s">
        <v>518</v>
      </c>
      <c r="F193" t="s">
        <v>486</v>
      </c>
      <c r="G193">
        <v>0.76</v>
      </c>
      <c r="H193">
        <v>8.5</v>
      </c>
      <c r="I193">
        <v>0</v>
      </c>
      <c r="J193">
        <v>0</v>
      </c>
      <c r="K193">
        <v>9.26</v>
      </c>
      <c r="L193" t="s">
        <v>487</v>
      </c>
      <c r="M193">
        <v>348</v>
      </c>
      <c r="N193">
        <v>37.57</v>
      </c>
      <c r="O193" t="s">
        <v>81</v>
      </c>
      <c r="P193" t="s">
        <v>492</v>
      </c>
      <c r="Q193">
        <v>348</v>
      </c>
      <c r="R193">
        <v>37.57</v>
      </c>
    </row>
    <row r="194" spans="1:18" x14ac:dyDescent="0.35">
      <c r="A194" t="s">
        <v>197</v>
      </c>
      <c r="B194" t="s">
        <v>483</v>
      </c>
      <c r="C194" t="s">
        <v>484</v>
      </c>
      <c r="D194">
        <v>107844157</v>
      </c>
      <c r="E194" t="s">
        <v>519</v>
      </c>
      <c r="F194" t="s">
        <v>486</v>
      </c>
      <c r="G194">
        <v>0.36</v>
      </c>
      <c r="H194">
        <v>5.61</v>
      </c>
      <c r="I194">
        <v>0</v>
      </c>
      <c r="J194">
        <v>0</v>
      </c>
      <c r="K194">
        <v>5.96</v>
      </c>
      <c r="L194" t="s">
        <v>487</v>
      </c>
      <c r="M194">
        <v>233</v>
      </c>
      <c r="N194">
        <v>39.07</v>
      </c>
      <c r="O194" t="s">
        <v>60</v>
      </c>
      <c r="P194" t="s">
        <v>488</v>
      </c>
      <c r="Q194">
        <v>432</v>
      </c>
      <c r="R194">
        <v>1207.45</v>
      </c>
    </row>
    <row r="195" spans="1:18" x14ac:dyDescent="0.35">
      <c r="A195" t="s">
        <v>197</v>
      </c>
      <c r="B195" t="s">
        <v>483</v>
      </c>
      <c r="C195" t="s">
        <v>484</v>
      </c>
      <c r="D195">
        <v>107844157</v>
      </c>
      <c r="E195" t="s">
        <v>519</v>
      </c>
      <c r="F195" t="s">
        <v>486</v>
      </c>
      <c r="G195">
        <v>0.36</v>
      </c>
      <c r="H195">
        <v>5.61</v>
      </c>
      <c r="I195">
        <v>0</v>
      </c>
      <c r="J195">
        <v>0</v>
      </c>
      <c r="K195">
        <v>5.96</v>
      </c>
      <c r="L195" t="s">
        <v>487</v>
      </c>
      <c r="M195">
        <v>233</v>
      </c>
      <c r="N195">
        <v>39.07</v>
      </c>
      <c r="O195" t="s">
        <v>60</v>
      </c>
      <c r="P195" t="s">
        <v>489</v>
      </c>
      <c r="Q195">
        <v>1187</v>
      </c>
      <c r="R195">
        <v>211.78</v>
      </c>
    </row>
    <row r="196" spans="1:18" x14ac:dyDescent="0.35">
      <c r="A196" t="s">
        <v>197</v>
      </c>
      <c r="B196" t="s">
        <v>483</v>
      </c>
      <c r="C196" t="s">
        <v>484</v>
      </c>
      <c r="D196">
        <v>107844157</v>
      </c>
      <c r="E196" t="s">
        <v>519</v>
      </c>
      <c r="F196" t="s">
        <v>486</v>
      </c>
      <c r="G196">
        <v>0.36</v>
      </c>
      <c r="H196">
        <v>5.61</v>
      </c>
      <c r="I196">
        <v>0</v>
      </c>
      <c r="J196">
        <v>0</v>
      </c>
      <c r="K196">
        <v>5.96</v>
      </c>
      <c r="L196" t="s">
        <v>487</v>
      </c>
      <c r="M196">
        <v>233</v>
      </c>
      <c r="N196">
        <v>39.07</v>
      </c>
      <c r="O196" t="s">
        <v>60</v>
      </c>
      <c r="P196" t="s">
        <v>490</v>
      </c>
      <c r="Q196">
        <v>0</v>
      </c>
      <c r="R196">
        <v>0</v>
      </c>
    </row>
    <row r="197" spans="1:18" x14ac:dyDescent="0.35">
      <c r="A197" t="s">
        <v>197</v>
      </c>
      <c r="B197" t="s">
        <v>483</v>
      </c>
      <c r="C197" t="s">
        <v>484</v>
      </c>
      <c r="D197">
        <v>107844157</v>
      </c>
      <c r="E197" t="s">
        <v>519</v>
      </c>
      <c r="F197" t="s">
        <v>486</v>
      </c>
      <c r="G197">
        <v>0.36</v>
      </c>
      <c r="H197">
        <v>5.61</v>
      </c>
      <c r="I197">
        <v>0</v>
      </c>
      <c r="J197">
        <v>0</v>
      </c>
      <c r="K197">
        <v>5.96</v>
      </c>
      <c r="L197" t="s">
        <v>487</v>
      </c>
      <c r="M197">
        <v>233</v>
      </c>
      <c r="N197">
        <v>39.07</v>
      </c>
      <c r="O197" t="s">
        <v>60</v>
      </c>
      <c r="P197" t="s">
        <v>491</v>
      </c>
      <c r="Q197">
        <v>0</v>
      </c>
      <c r="R197">
        <v>0</v>
      </c>
    </row>
    <row r="198" spans="1:18" x14ac:dyDescent="0.35">
      <c r="A198" t="s">
        <v>197</v>
      </c>
      <c r="B198" t="s">
        <v>483</v>
      </c>
      <c r="C198" t="s">
        <v>484</v>
      </c>
      <c r="D198">
        <v>107844157</v>
      </c>
      <c r="E198" t="s">
        <v>519</v>
      </c>
      <c r="F198" t="s">
        <v>486</v>
      </c>
      <c r="G198">
        <v>0.36</v>
      </c>
      <c r="H198">
        <v>5.61</v>
      </c>
      <c r="I198">
        <v>0</v>
      </c>
      <c r="J198">
        <v>0</v>
      </c>
      <c r="K198">
        <v>5.96</v>
      </c>
      <c r="L198" t="s">
        <v>487</v>
      </c>
      <c r="M198">
        <v>233</v>
      </c>
      <c r="N198">
        <v>39.07</v>
      </c>
      <c r="O198" t="s">
        <v>60</v>
      </c>
      <c r="P198" t="s">
        <v>492</v>
      </c>
      <c r="Q198">
        <v>1619</v>
      </c>
      <c r="R198">
        <v>271.51</v>
      </c>
    </row>
    <row r="199" spans="1:18" x14ac:dyDescent="0.35">
      <c r="A199" t="s">
        <v>197</v>
      </c>
      <c r="B199" t="s">
        <v>483</v>
      </c>
      <c r="C199" t="s">
        <v>484</v>
      </c>
      <c r="D199">
        <v>107844157</v>
      </c>
      <c r="E199" t="s">
        <v>519</v>
      </c>
      <c r="F199" t="s">
        <v>486</v>
      </c>
      <c r="G199">
        <v>0.36</v>
      </c>
      <c r="H199">
        <v>5.61</v>
      </c>
      <c r="I199">
        <v>0</v>
      </c>
      <c r="J199">
        <v>0</v>
      </c>
      <c r="K199">
        <v>5.96</v>
      </c>
      <c r="L199" t="s">
        <v>487</v>
      </c>
      <c r="M199">
        <v>233</v>
      </c>
      <c r="N199">
        <v>39.07</v>
      </c>
      <c r="O199" t="s">
        <v>81</v>
      </c>
      <c r="P199" t="s">
        <v>492</v>
      </c>
      <c r="Q199">
        <v>233</v>
      </c>
      <c r="R199">
        <v>39.07</v>
      </c>
    </row>
    <row r="200" spans="1:18" x14ac:dyDescent="0.35">
      <c r="A200" t="s">
        <v>197</v>
      </c>
      <c r="B200" t="s">
        <v>483</v>
      </c>
      <c r="C200" t="s">
        <v>484</v>
      </c>
      <c r="D200">
        <v>107844158</v>
      </c>
      <c r="E200" t="s">
        <v>520</v>
      </c>
      <c r="F200" t="s">
        <v>486</v>
      </c>
      <c r="G200">
        <v>0.39</v>
      </c>
      <c r="H200">
        <v>7.69</v>
      </c>
      <c r="I200">
        <v>0.01</v>
      </c>
      <c r="J200">
        <v>0</v>
      </c>
      <c r="K200">
        <v>8.08</v>
      </c>
      <c r="L200" t="s">
        <v>487</v>
      </c>
      <c r="M200">
        <v>332</v>
      </c>
      <c r="N200">
        <v>41.07</v>
      </c>
      <c r="O200" t="s">
        <v>60</v>
      </c>
      <c r="P200" t="s">
        <v>488</v>
      </c>
      <c r="Q200">
        <v>496</v>
      </c>
      <c r="R200">
        <v>1277.25</v>
      </c>
    </row>
    <row r="201" spans="1:18" x14ac:dyDescent="0.35">
      <c r="A201" t="s">
        <v>197</v>
      </c>
      <c r="B201" t="s">
        <v>483</v>
      </c>
      <c r="C201" t="s">
        <v>484</v>
      </c>
      <c r="D201">
        <v>107844158</v>
      </c>
      <c r="E201" t="s">
        <v>520</v>
      </c>
      <c r="F201" t="s">
        <v>486</v>
      </c>
      <c r="G201">
        <v>0.39</v>
      </c>
      <c r="H201">
        <v>7.69</v>
      </c>
      <c r="I201">
        <v>0.01</v>
      </c>
      <c r="J201">
        <v>0</v>
      </c>
      <c r="K201">
        <v>8.08</v>
      </c>
      <c r="L201" t="s">
        <v>487</v>
      </c>
      <c r="M201">
        <v>332</v>
      </c>
      <c r="N201">
        <v>41.07</v>
      </c>
      <c r="O201" t="s">
        <v>60</v>
      </c>
      <c r="P201" t="s">
        <v>489</v>
      </c>
      <c r="Q201">
        <v>1722</v>
      </c>
      <c r="R201">
        <v>223.96</v>
      </c>
    </row>
    <row r="202" spans="1:18" x14ac:dyDescent="0.35">
      <c r="A202" t="s">
        <v>197</v>
      </c>
      <c r="B202" t="s">
        <v>483</v>
      </c>
      <c r="C202" t="s">
        <v>484</v>
      </c>
      <c r="D202">
        <v>107844158</v>
      </c>
      <c r="E202" t="s">
        <v>520</v>
      </c>
      <c r="F202" t="s">
        <v>486</v>
      </c>
      <c r="G202">
        <v>0.39</v>
      </c>
      <c r="H202">
        <v>7.69</v>
      </c>
      <c r="I202">
        <v>0.01</v>
      </c>
      <c r="J202">
        <v>0</v>
      </c>
      <c r="K202">
        <v>8.08</v>
      </c>
      <c r="L202" t="s">
        <v>487</v>
      </c>
      <c r="M202">
        <v>332</v>
      </c>
      <c r="N202">
        <v>41.07</v>
      </c>
      <c r="O202" t="s">
        <v>60</v>
      </c>
      <c r="P202" t="s">
        <v>490</v>
      </c>
      <c r="Q202">
        <v>1</v>
      </c>
      <c r="R202">
        <v>180</v>
      </c>
    </row>
    <row r="203" spans="1:18" x14ac:dyDescent="0.35">
      <c r="A203" t="s">
        <v>197</v>
      </c>
      <c r="B203" t="s">
        <v>483</v>
      </c>
      <c r="C203" t="s">
        <v>484</v>
      </c>
      <c r="D203">
        <v>107844158</v>
      </c>
      <c r="E203" t="s">
        <v>520</v>
      </c>
      <c r="F203" t="s">
        <v>486</v>
      </c>
      <c r="G203">
        <v>0.39</v>
      </c>
      <c r="H203">
        <v>7.69</v>
      </c>
      <c r="I203">
        <v>0.01</v>
      </c>
      <c r="J203">
        <v>0</v>
      </c>
      <c r="K203">
        <v>8.08</v>
      </c>
      <c r="L203" t="s">
        <v>487</v>
      </c>
      <c r="M203">
        <v>332</v>
      </c>
      <c r="N203">
        <v>41.07</v>
      </c>
      <c r="O203" t="s">
        <v>60</v>
      </c>
      <c r="P203" t="s">
        <v>491</v>
      </c>
      <c r="Q203">
        <v>0</v>
      </c>
      <c r="R203">
        <v>0</v>
      </c>
    </row>
    <row r="204" spans="1:18" x14ac:dyDescent="0.35">
      <c r="A204" t="s">
        <v>197</v>
      </c>
      <c r="B204" t="s">
        <v>483</v>
      </c>
      <c r="C204" t="s">
        <v>484</v>
      </c>
      <c r="D204">
        <v>107844158</v>
      </c>
      <c r="E204" t="s">
        <v>520</v>
      </c>
      <c r="F204" t="s">
        <v>486</v>
      </c>
      <c r="G204">
        <v>0.39</v>
      </c>
      <c r="H204">
        <v>7.69</v>
      </c>
      <c r="I204">
        <v>0.01</v>
      </c>
      <c r="J204">
        <v>0</v>
      </c>
      <c r="K204">
        <v>8.08</v>
      </c>
      <c r="L204" t="s">
        <v>487</v>
      </c>
      <c r="M204">
        <v>332</v>
      </c>
      <c r="N204">
        <v>41.07</v>
      </c>
      <c r="O204" t="s">
        <v>60</v>
      </c>
      <c r="P204" t="s">
        <v>492</v>
      </c>
      <c r="Q204">
        <v>2219</v>
      </c>
      <c r="R204">
        <v>274.52</v>
      </c>
    </row>
    <row r="205" spans="1:18" x14ac:dyDescent="0.35">
      <c r="A205" t="s">
        <v>197</v>
      </c>
      <c r="B205" t="s">
        <v>483</v>
      </c>
      <c r="C205" t="s">
        <v>484</v>
      </c>
      <c r="D205">
        <v>107844158</v>
      </c>
      <c r="E205" t="s">
        <v>520</v>
      </c>
      <c r="F205" t="s">
        <v>486</v>
      </c>
      <c r="G205">
        <v>0.39</v>
      </c>
      <c r="H205">
        <v>7.69</v>
      </c>
      <c r="I205">
        <v>0.01</v>
      </c>
      <c r="J205">
        <v>0</v>
      </c>
      <c r="K205">
        <v>8.08</v>
      </c>
      <c r="L205" t="s">
        <v>487</v>
      </c>
      <c r="M205">
        <v>332</v>
      </c>
      <c r="N205">
        <v>41.07</v>
      </c>
      <c r="O205" t="s">
        <v>81</v>
      </c>
      <c r="P205" t="s">
        <v>492</v>
      </c>
      <c r="Q205">
        <v>332</v>
      </c>
      <c r="R205">
        <v>41.07</v>
      </c>
    </row>
    <row r="206" spans="1:18" x14ac:dyDescent="0.35">
      <c r="A206" t="s">
        <v>197</v>
      </c>
      <c r="B206" t="s">
        <v>483</v>
      </c>
      <c r="C206" t="s">
        <v>493</v>
      </c>
      <c r="D206">
        <v>107907397</v>
      </c>
      <c r="E206" t="s">
        <v>547</v>
      </c>
      <c r="F206" t="s">
        <v>497</v>
      </c>
      <c r="G206">
        <v>0.04</v>
      </c>
      <c r="H206">
        <v>0.27</v>
      </c>
      <c r="I206">
        <v>0</v>
      </c>
      <c r="J206">
        <v>0</v>
      </c>
      <c r="K206">
        <v>0.31</v>
      </c>
      <c r="L206" t="s">
        <v>487</v>
      </c>
      <c r="M206">
        <v>10</v>
      </c>
      <c r="N206">
        <v>32.700000000000003</v>
      </c>
      <c r="O206" t="s">
        <v>60</v>
      </c>
      <c r="P206" t="s">
        <v>488</v>
      </c>
      <c r="Q206">
        <v>58</v>
      </c>
      <c r="R206">
        <v>1480.85</v>
      </c>
    </row>
    <row r="207" spans="1:18" x14ac:dyDescent="0.35">
      <c r="A207" t="s">
        <v>197</v>
      </c>
      <c r="B207" t="s">
        <v>483</v>
      </c>
      <c r="C207" t="s">
        <v>493</v>
      </c>
      <c r="D207">
        <v>107907397</v>
      </c>
      <c r="E207" t="s">
        <v>547</v>
      </c>
      <c r="F207" t="s">
        <v>497</v>
      </c>
      <c r="G207">
        <v>0.04</v>
      </c>
      <c r="H207">
        <v>0.27</v>
      </c>
      <c r="I207">
        <v>0</v>
      </c>
      <c r="J207">
        <v>0</v>
      </c>
      <c r="K207">
        <v>0.31</v>
      </c>
      <c r="L207" t="s">
        <v>487</v>
      </c>
      <c r="M207">
        <v>10</v>
      </c>
      <c r="N207">
        <v>32.700000000000003</v>
      </c>
      <c r="O207" t="s">
        <v>60</v>
      </c>
      <c r="P207" t="s">
        <v>489</v>
      </c>
      <c r="Q207">
        <v>69</v>
      </c>
      <c r="R207">
        <v>259.02</v>
      </c>
    </row>
    <row r="208" spans="1:18" x14ac:dyDescent="0.35">
      <c r="A208" t="s">
        <v>197</v>
      </c>
      <c r="B208" t="s">
        <v>483</v>
      </c>
      <c r="C208" t="s">
        <v>493</v>
      </c>
      <c r="D208">
        <v>107907397</v>
      </c>
      <c r="E208" t="s">
        <v>547</v>
      </c>
      <c r="F208" t="s">
        <v>497</v>
      </c>
      <c r="G208">
        <v>0.04</v>
      </c>
      <c r="H208">
        <v>0.27</v>
      </c>
      <c r="I208">
        <v>0</v>
      </c>
      <c r="J208">
        <v>0</v>
      </c>
      <c r="K208">
        <v>0.31</v>
      </c>
      <c r="L208" t="s">
        <v>487</v>
      </c>
      <c r="M208">
        <v>10</v>
      </c>
      <c r="N208">
        <v>32.700000000000003</v>
      </c>
      <c r="O208" t="s">
        <v>60</v>
      </c>
      <c r="P208" t="s">
        <v>490</v>
      </c>
      <c r="Q208">
        <v>0</v>
      </c>
      <c r="R208">
        <v>0</v>
      </c>
    </row>
    <row r="209" spans="1:18" x14ac:dyDescent="0.35">
      <c r="A209" t="s">
        <v>197</v>
      </c>
      <c r="B209" t="s">
        <v>483</v>
      </c>
      <c r="C209" t="s">
        <v>493</v>
      </c>
      <c r="D209">
        <v>107907397</v>
      </c>
      <c r="E209" t="s">
        <v>547</v>
      </c>
      <c r="F209" t="s">
        <v>497</v>
      </c>
      <c r="G209">
        <v>0.04</v>
      </c>
      <c r="H209">
        <v>0.27</v>
      </c>
      <c r="I209">
        <v>0</v>
      </c>
      <c r="J209">
        <v>0</v>
      </c>
      <c r="K209">
        <v>0.31</v>
      </c>
      <c r="L209" t="s">
        <v>487</v>
      </c>
      <c r="M209">
        <v>10</v>
      </c>
      <c r="N209">
        <v>32.700000000000003</v>
      </c>
      <c r="O209" t="s">
        <v>60</v>
      </c>
      <c r="P209" t="s">
        <v>491</v>
      </c>
      <c r="Q209">
        <v>0</v>
      </c>
      <c r="R209">
        <v>0</v>
      </c>
    </row>
    <row r="210" spans="1:18" x14ac:dyDescent="0.35">
      <c r="A210" t="s">
        <v>197</v>
      </c>
      <c r="B210" t="s">
        <v>483</v>
      </c>
      <c r="C210" t="s">
        <v>493</v>
      </c>
      <c r="D210">
        <v>107907397</v>
      </c>
      <c r="E210" t="s">
        <v>547</v>
      </c>
      <c r="F210" t="s">
        <v>497</v>
      </c>
      <c r="G210">
        <v>0.04</v>
      </c>
      <c r="H210">
        <v>0.27</v>
      </c>
      <c r="I210">
        <v>0</v>
      </c>
      <c r="J210">
        <v>0</v>
      </c>
      <c r="K210">
        <v>0.31</v>
      </c>
      <c r="L210" t="s">
        <v>487</v>
      </c>
      <c r="M210">
        <v>10</v>
      </c>
      <c r="N210">
        <v>32.700000000000003</v>
      </c>
      <c r="O210" t="s">
        <v>60</v>
      </c>
      <c r="P210" t="s">
        <v>492</v>
      </c>
      <c r="Q210">
        <v>127</v>
      </c>
      <c r="R210">
        <v>415.26</v>
      </c>
    </row>
    <row r="211" spans="1:18" x14ac:dyDescent="0.35">
      <c r="A211" t="s">
        <v>197</v>
      </c>
      <c r="B211" t="s">
        <v>483</v>
      </c>
      <c r="C211" t="s">
        <v>493</v>
      </c>
      <c r="D211">
        <v>107907397</v>
      </c>
      <c r="E211" t="s">
        <v>547</v>
      </c>
      <c r="F211" t="s">
        <v>497</v>
      </c>
      <c r="G211">
        <v>0.04</v>
      </c>
      <c r="H211">
        <v>0.27</v>
      </c>
      <c r="I211">
        <v>0</v>
      </c>
      <c r="J211">
        <v>0</v>
      </c>
      <c r="K211">
        <v>0.31</v>
      </c>
      <c r="L211" t="s">
        <v>487</v>
      </c>
      <c r="M211">
        <v>10</v>
      </c>
      <c r="N211">
        <v>32.700000000000003</v>
      </c>
      <c r="O211" t="s">
        <v>81</v>
      </c>
      <c r="P211" t="s">
        <v>492</v>
      </c>
      <c r="Q211">
        <v>10</v>
      </c>
      <c r="R211">
        <v>32.700000000000003</v>
      </c>
    </row>
    <row r="212" spans="1:18" x14ac:dyDescent="0.35">
      <c r="A212" t="s">
        <v>34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I139"/>
  <sheetViews>
    <sheetView workbookViewId="0">
      <selection sqref="A1:A1048576"/>
    </sheetView>
  </sheetViews>
  <sheetFormatPr defaultRowHeight="14.5" x14ac:dyDescent="0.35"/>
  <cols>
    <col min="1" max="1" width="9.90625" bestFit="1" customWidth="1"/>
    <col min="2" max="2" width="11.08984375" bestFit="1" customWidth="1"/>
    <col min="3" max="3" width="24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>
    <row r="1" spans="1:9" x14ac:dyDescent="0.35">
      <c r="A1" t="s">
        <v>462</v>
      </c>
      <c r="B1" t="s">
        <v>454</v>
      </c>
      <c r="C1" t="s">
        <v>468</v>
      </c>
      <c r="D1" t="s">
        <v>469</v>
      </c>
      <c r="E1" t="s">
        <v>453</v>
      </c>
      <c r="F1" t="s">
        <v>470</v>
      </c>
      <c r="G1" t="s">
        <v>41</v>
      </c>
      <c r="H1" t="s">
        <v>471</v>
      </c>
      <c r="I1" t="s">
        <v>472</v>
      </c>
    </row>
    <row r="2" spans="1:9" x14ac:dyDescent="0.35">
      <c r="A2" t="s">
        <v>487</v>
      </c>
      <c r="B2">
        <v>106677842</v>
      </c>
      <c r="C2" t="s">
        <v>552</v>
      </c>
      <c r="D2" t="s">
        <v>497</v>
      </c>
      <c r="E2" t="s">
        <v>493</v>
      </c>
      <c r="F2">
        <v>225</v>
      </c>
      <c r="G2" t="s">
        <v>60</v>
      </c>
      <c r="H2" t="s">
        <v>492</v>
      </c>
      <c r="I2">
        <v>1158</v>
      </c>
    </row>
    <row r="3" spans="1:9" x14ac:dyDescent="0.35">
      <c r="A3" t="s">
        <v>487</v>
      </c>
      <c r="B3">
        <v>106677842</v>
      </c>
      <c r="C3" t="s">
        <v>552</v>
      </c>
      <c r="D3" t="s">
        <v>497</v>
      </c>
      <c r="E3" t="s">
        <v>493</v>
      </c>
      <c r="F3">
        <v>225</v>
      </c>
      <c r="G3" t="s">
        <v>60</v>
      </c>
      <c r="H3" t="s">
        <v>488</v>
      </c>
      <c r="I3">
        <v>168</v>
      </c>
    </row>
    <row r="4" spans="1:9" x14ac:dyDescent="0.35">
      <c r="A4" t="s">
        <v>487</v>
      </c>
      <c r="B4">
        <v>106677842</v>
      </c>
      <c r="C4" t="s">
        <v>552</v>
      </c>
      <c r="D4" t="s">
        <v>497</v>
      </c>
      <c r="E4" t="s">
        <v>493</v>
      </c>
      <c r="F4">
        <v>225</v>
      </c>
      <c r="G4" t="s">
        <v>60</v>
      </c>
      <c r="H4" t="s">
        <v>489</v>
      </c>
      <c r="I4">
        <v>990</v>
      </c>
    </row>
    <row r="5" spans="1:9" x14ac:dyDescent="0.35">
      <c r="A5" t="s">
        <v>487</v>
      </c>
      <c r="B5">
        <v>106677842</v>
      </c>
      <c r="C5" t="s">
        <v>552</v>
      </c>
      <c r="D5" t="s">
        <v>497</v>
      </c>
      <c r="E5" t="s">
        <v>493</v>
      </c>
      <c r="F5">
        <v>225</v>
      </c>
      <c r="G5" t="s">
        <v>81</v>
      </c>
      <c r="H5" t="s">
        <v>492</v>
      </c>
      <c r="I5">
        <v>225</v>
      </c>
    </row>
    <row r="6" spans="1:9" x14ac:dyDescent="0.35">
      <c r="A6" t="s">
        <v>487</v>
      </c>
      <c r="B6">
        <v>107826180</v>
      </c>
      <c r="C6" t="s">
        <v>554</v>
      </c>
      <c r="D6" t="s">
        <v>497</v>
      </c>
      <c r="E6" t="s">
        <v>484</v>
      </c>
      <c r="F6">
        <v>424</v>
      </c>
      <c r="G6" t="s">
        <v>60</v>
      </c>
      <c r="H6" t="s">
        <v>492</v>
      </c>
      <c r="I6">
        <v>3554</v>
      </c>
    </row>
    <row r="7" spans="1:9" x14ac:dyDescent="0.35">
      <c r="A7" t="s">
        <v>487</v>
      </c>
      <c r="B7">
        <v>107826180</v>
      </c>
      <c r="C7" t="s">
        <v>554</v>
      </c>
      <c r="D7" t="s">
        <v>497</v>
      </c>
      <c r="E7" t="s">
        <v>484</v>
      </c>
      <c r="F7">
        <v>424</v>
      </c>
      <c r="G7" t="s">
        <v>60</v>
      </c>
      <c r="H7" t="s">
        <v>488</v>
      </c>
      <c r="I7">
        <v>356</v>
      </c>
    </row>
    <row r="8" spans="1:9" x14ac:dyDescent="0.35">
      <c r="A8" t="s">
        <v>487</v>
      </c>
      <c r="B8">
        <v>107826180</v>
      </c>
      <c r="C8" t="s">
        <v>554</v>
      </c>
      <c r="D8" t="s">
        <v>497</v>
      </c>
      <c r="E8" t="s">
        <v>484</v>
      </c>
      <c r="F8">
        <v>424</v>
      </c>
      <c r="G8" t="s">
        <v>60</v>
      </c>
      <c r="H8" t="s">
        <v>489</v>
      </c>
      <c r="I8">
        <v>3198</v>
      </c>
    </row>
    <row r="9" spans="1:9" x14ac:dyDescent="0.35">
      <c r="A9" t="s">
        <v>487</v>
      </c>
      <c r="B9">
        <v>107826180</v>
      </c>
      <c r="C9" t="s">
        <v>554</v>
      </c>
      <c r="D9" t="s">
        <v>497</v>
      </c>
      <c r="E9" t="s">
        <v>484</v>
      </c>
      <c r="F9">
        <v>424</v>
      </c>
      <c r="G9" t="s">
        <v>81</v>
      </c>
      <c r="H9" t="s">
        <v>492</v>
      </c>
      <c r="I9">
        <v>424</v>
      </c>
    </row>
    <row r="10" spans="1:9" x14ac:dyDescent="0.35">
      <c r="A10" t="s">
        <v>487</v>
      </c>
      <c r="B10">
        <v>106636925</v>
      </c>
      <c r="C10" t="s">
        <v>557</v>
      </c>
      <c r="D10" t="s">
        <v>486</v>
      </c>
      <c r="E10" t="s">
        <v>493</v>
      </c>
      <c r="F10">
        <v>168</v>
      </c>
      <c r="G10" t="s">
        <v>60</v>
      </c>
      <c r="H10" t="s">
        <v>492</v>
      </c>
      <c r="I10">
        <v>1224</v>
      </c>
    </row>
    <row r="11" spans="1:9" x14ac:dyDescent="0.35">
      <c r="A11" t="s">
        <v>487</v>
      </c>
      <c r="B11">
        <v>106636925</v>
      </c>
      <c r="C11" t="s">
        <v>557</v>
      </c>
      <c r="D11" t="s">
        <v>486</v>
      </c>
      <c r="E11" t="s">
        <v>493</v>
      </c>
      <c r="F11">
        <v>168</v>
      </c>
      <c r="G11" t="s">
        <v>60</v>
      </c>
      <c r="H11" t="s">
        <v>488</v>
      </c>
      <c r="I11">
        <v>354</v>
      </c>
    </row>
    <row r="12" spans="1:9" x14ac:dyDescent="0.35">
      <c r="A12" t="s">
        <v>487</v>
      </c>
      <c r="B12">
        <v>106636925</v>
      </c>
      <c r="C12" t="s">
        <v>557</v>
      </c>
      <c r="D12" t="s">
        <v>486</v>
      </c>
      <c r="E12" t="s">
        <v>493</v>
      </c>
      <c r="F12">
        <v>168</v>
      </c>
      <c r="G12" t="s">
        <v>60</v>
      </c>
      <c r="H12" t="s">
        <v>489</v>
      </c>
      <c r="I12">
        <v>870</v>
      </c>
    </row>
    <row r="13" spans="1:9" x14ac:dyDescent="0.35">
      <c r="A13" t="s">
        <v>487</v>
      </c>
      <c r="B13">
        <v>106636925</v>
      </c>
      <c r="C13" t="s">
        <v>557</v>
      </c>
      <c r="D13" t="s">
        <v>486</v>
      </c>
      <c r="E13" t="s">
        <v>493</v>
      </c>
      <c r="F13">
        <v>168</v>
      </c>
      <c r="G13" t="s">
        <v>81</v>
      </c>
      <c r="H13" t="s">
        <v>492</v>
      </c>
      <c r="I13">
        <v>168</v>
      </c>
    </row>
    <row r="14" spans="1:9" x14ac:dyDescent="0.35">
      <c r="A14" t="s">
        <v>487</v>
      </c>
      <c r="B14">
        <v>106640096</v>
      </c>
      <c r="C14" t="s">
        <v>498</v>
      </c>
      <c r="D14" t="s">
        <v>486</v>
      </c>
      <c r="E14" t="s">
        <v>484</v>
      </c>
      <c r="F14">
        <v>350</v>
      </c>
      <c r="G14" t="s">
        <v>60</v>
      </c>
      <c r="H14" t="s">
        <v>492</v>
      </c>
      <c r="I14">
        <v>1660</v>
      </c>
    </row>
    <row r="15" spans="1:9" x14ac:dyDescent="0.35">
      <c r="A15" t="s">
        <v>487</v>
      </c>
      <c r="B15">
        <v>106640096</v>
      </c>
      <c r="C15" t="s">
        <v>498</v>
      </c>
      <c r="D15" t="s">
        <v>486</v>
      </c>
      <c r="E15" t="s">
        <v>484</v>
      </c>
      <c r="F15">
        <v>350</v>
      </c>
      <c r="G15" t="s">
        <v>60</v>
      </c>
      <c r="H15" t="s">
        <v>488</v>
      </c>
      <c r="I15">
        <v>90</v>
      </c>
    </row>
    <row r="16" spans="1:9" x14ac:dyDescent="0.35">
      <c r="A16" t="s">
        <v>487</v>
      </c>
      <c r="B16">
        <v>106640096</v>
      </c>
      <c r="C16" t="s">
        <v>498</v>
      </c>
      <c r="D16" t="s">
        <v>486</v>
      </c>
      <c r="E16" t="s">
        <v>484</v>
      </c>
      <c r="F16">
        <v>350</v>
      </c>
      <c r="G16" t="s">
        <v>60</v>
      </c>
      <c r="H16" t="s">
        <v>489</v>
      </c>
      <c r="I16">
        <v>1570</v>
      </c>
    </row>
    <row r="17" spans="1:9" x14ac:dyDescent="0.35">
      <c r="A17" t="s">
        <v>487</v>
      </c>
      <c r="B17">
        <v>106640096</v>
      </c>
      <c r="C17" t="s">
        <v>498</v>
      </c>
      <c r="D17" t="s">
        <v>486</v>
      </c>
      <c r="E17" t="s">
        <v>484</v>
      </c>
      <c r="F17">
        <v>350</v>
      </c>
      <c r="G17" t="s">
        <v>81</v>
      </c>
      <c r="H17" t="s">
        <v>492</v>
      </c>
      <c r="I17">
        <v>350</v>
      </c>
    </row>
    <row r="18" spans="1:9" x14ac:dyDescent="0.35">
      <c r="A18" t="s">
        <v>487</v>
      </c>
      <c r="B18">
        <v>102530855</v>
      </c>
      <c r="C18" t="s">
        <v>549</v>
      </c>
      <c r="D18" t="s">
        <v>497</v>
      </c>
      <c r="E18" t="s">
        <v>484</v>
      </c>
      <c r="F18">
        <v>188</v>
      </c>
      <c r="G18" t="s">
        <v>60</v>
      </c>
      <c r="H18" t="s">
        <v>492</v>
      </c>
      <c r="I18">
        <v>1230</v>
      </c>
    </row>
    <row r="19" spans="1:9" x14ac:dyDescent="0.35">
      <c r="A19" t="s">
        <v>487</v>
      </c>
      <c r="B19">
        <v>102530855</v>
      </c>
      <c r="C19" t="s">
        <v>549</v>
      </c>
      <c r="D19" t="s">
        <v>497</v>
      </c>
      <c r="E19" t="s">
        <v>484</v>
      </c>
      <c r="F19">
        <v>188</v>
      </c>
      <c r="G19" t="s">
        <v>60</v>
      </c>
      <c r="H19" t="s">
        <v>488</v>
      </c>
      <c r="I19">
        <v>297</v>
      </c>
    </row>
    <row r="20" spans="1:9" x14ac:dyDescent="0.35">
      <c r="A20" t="s">
        <v>487</v>
      </c>
      <c r="B20">
        <v>102530855</v>
      </c>
      <c r="C20" t="s">
        <v>549</v>
      </c>
      <c r="D20" t="s">
        <v>497</v>
      </c>
      <c r="E20" t="s">
        <v>484</v>
      </c>
      <c r="F20">
        <v>188</v>
      </c>
      <c r="G20" t="s">
        <v>60</v>
      </c>
      <c r="H20" t="s">
        <v>489</v>
      </c>
      <c r="I20">
        <v>933</v>
      </c>
    </row>
    <row r="21" spans="1:9" x14ac:dyDescent="0.35">
      <c r="A21" t="s">
        <v>487</v>
      </c>
      <c r="B21">
        <v>102530855</v>
      </c>
      <c r="C21" t="s">
        <v>549</v>
      </c>
      <c r="D21" t="s">
        <v>497</v>
      </c>
      <c r="E21" t="s">
        <v>484</v>
      </c>
      <c r="F21">
        <v>188</v>
      </c>
      <c r="G21" t="s">
        <v>81</v>
      </c>
      <c r="H21" t="s">
        <v>492</v>
      </c>
      <c r="I21">
        <v>188</v>
      </c>
    </row>
    <row r="22" spans="1:9" x14ac:dyDescent="0.35">
      <c r="A22" t="s">
        <v>487</v>
      </c>
      <c r="B22">
        <v>107820116</v>
      </c>
      <c r="C22" t="s">
        <v>545</v>
      </c>
      <c r="D22" t="s">
        <v>497</v>
      </c>
      <c r="E22" t="s">
        <v>493</v>
      </c>
      <c r="F22">
        <v>47</v>
      </c>
      <c r="G22" t="s">
        <v>60</v>
      </c>
      <c r="H22" t="s">
        <v>492</v>
      </c>
      <c r="I22">
        <v>361</v>
      </c>
    </row>
    <row r="23" spans="1:9" x14ac:dyDescent="0.35">
      <c r="A23" t="s">
        <v>487</v>
      </c>
      <c r="B23">
        <v>107820116</v>
      </c>
      <c r="C23" t="s">
        <v>545</v>
      </c>
      <c r="D23" t="s">
        <v>497</v>
      </c>
      <c r="E23" t="s">
        <v>493</v>
      </c>
      <c r="F23">
        <v>47</v>
      </c>
      <c r="G23" t="s">
        <v>60</v>
      </c>
      <c r="H23" t="s">
        <v>488</v>
      </c>
      <c r="I23">
        <v>30</v>
      </c>
    </row>
    <row r="24" spans="1:9" x14ac:dyDescent="0.35">
      <c r="A24" t="s">
        <v>487</v>
      </c>
      <c r="B24">
        <v>107820116</v>
      </c>
      <c r="C24" t="s">
        <v>545</v>
      </c>
      <c r="D24" t="s">
        <v>497</v>
      </c>
      <c r="E24" t="s">
        <v>493</v>
      </c>
      <c r="F24">
        <v>47</v>
      </c>
      <c r="G24" t="s">
        <v>60</v>
      </c>
      <c r="H24" t="s">
        <v>489</v>
      </c>
      <c r="I24">
        <v>331</v>
      </c>
    </row>
    <row r="25" spans="1:9" x14ac:dyDescent="0.35">
      <c r="A25" t="s">
        <v>487</v>
      </c>
      <c r="B25">
        <v>107820116</v>
      </c>
      <c r="C25" t="s">
        <v>545</v>
      </c>
      <c r="D25" t="s">
        <v>497</v>
      </c>
      <c r="E25" t="s">
        <v>493</v>
      </c>
      <c r="F25">
        <v>47</v>
      </c>
      <c r="G25" t="s">
        <v>81</v>
      </c>
      <c r="H25" t="s">
        <v>492</v>
      </c>
      <c r="I25">
        <v>47</v>
      </c>
    </row>
    <row r="26" spans="1:9" x14ac:dyDescent="0.35">
      <c r="A26" t="s">
        <v>487</v>
      </c>
      <c r="B26">
        <v>107844157</v>
      </c>
      <c r="C26" t="s">
        <v>519</v>
      </c>
      <c r="D26" t="s">
        <v>486</v>
      </c>
      <c r="E26" t="s">
        <v>484</v>
      </c>
      <c r="F26">
        <v>233</v>
      </c>
      <c r="G26" t="s">
        <v>60</v>
      </c>
      <c r="H26" t="s">
        <v>492</v>
      </c>
      <c r="I26">
        <v>1619</v>
      </c>
    </row>
    <row r="27" spans="1:9" x14ac:dyDescent="0.35">
      <c r="A27" t="s">
        <v>487</v>
      </c>
      <c r="B27">
        <v>107844157</v>
      </c>
      <c r="C27" t="s">
        <v>519</v>
      </c>
      <c r="D27" t="s">
        <v>486</v>
      </c>
      <c r="E27" t="s">
        <v>484</v>
      </c>
      <c r="F27">
        <v>233</v>
      </c>
      <c r="G27" t="s">
        <v>60</v>
      </c>
      <c r="H27" t="s">
        <v>488</v>
      </c>
      <c r="I27">
        <v>432</v>
      </c>
    </row>
    <row r="28" spans="1:9" x14ac:dyDescent="0.35">
      <c r="A28" t="s">
        <v>487</v>
      </c>
      <c r="B28">
        <v>107844157</v>
      </c>
      <c r="C28" t="s">
        <v>519</v>
      </c>
      <c r="D28" t="s">
        <v>486</v>
      </c>
      <c r="E28" t="s">
        <v>484</v>
      </c>
      <c r="F28">
        <v>233</v>
      </c>
      <c r="G28" t="s">
        <v>60</v>
      </c>
      <c r="H28" t="s">
        <v>489</v>
      </c>
      <c r="I28">
        <v>1187</v>
      </c>
    </row>
    <row r="29" spans="1:9" x14ac:dyDescent="0.35">
      <c r="A29" t="s">
        <v>487</v>
      </c>
      <c r="B29">
        <v>107844157</v>
      </c>
      <c r="C29" t="s">
        <v>519</v>
      </c>
      <c r="D29" t="s">
        <v>486</v>
      </c>
      <c r="E29" t="s">
        <v>484</v>
      </c>
      <c r="F29">
        <v>233</v>
      </c>
      <c r="G29" t="s">
        <v>81</v>
      </c>
      <c r="H29" t="s">
        <v>492</v>
      </c>
      <c r="I29">
        <v>233</v>
      </c>
    </row>
    <row r="30" spans="1:9" x14ac:dyDescent="0.35">
      <c r="A30" t="s">
        <v>487</v>
      </c>
      <c r="B30">
        <v>107228984</v>
      </c>
      <c r="C30" t="s">
        <v>502</v>
      </c>
      <c r="D30" t="s">
        <v>497</v>
      </c>
      <c r="E30" t="s">
        <v>484</v>
      </c>
      <c r="F30">
        <v>259</v>
      </c>
      <c r="G30" t="s">
        <v>60</v>
      </c>
      <c r="H30" t="s">
        <v>492</v>
      </c>
      <c r="I30">
        <v>1838</v>
      </c>
    </row>
    <row r="31" spans="1:9" x14ac:dyDescent="0.35">
      <c r="A31" t="s">
        <v>487</v>
      </c>
      <c r="B31">
        <v>107228984</v>
      </c>
      <c r="C31" t="s">
        <v>502</v>
      </c>
      <c r="D31" t="s">
        <v>497</v>
      </c>
      <c r="E31" t="s">
        <v>484</v>
      </c>
      <c r="F31">
        <v>259</v>
      </c>
      <c r="G31" t="s">
        <v>60</v>
      </c>
      <c r="H31" t="s">
        <v>488</v>
      </c>
      <c r="I31">
        <v>378</v>
      </c>
    </row>
    <row r="32" spans="1:9" x14ac:dyDescent="0.35">
      <c r="A32" t="s">
        <v>487</v>
      </c>
      <c r="B32">
        <v>107228984</v>
      </c>
      <c r="C32" t="s">
        <v>502</v>
      </c>
      <c r="D32" t="s">
        <v>497</v>
      </c>
      <c r="E32" t="s">
        <v>484</v>
      </c>
      <c r="F32">
        <v>259</v>
      </c>
      <c r="G32" t="s">
        <v>60</v>
      </c>
      <c r="H32" t="s">
        <v>489</v>
      </c>
      <c r="I32">
        <v>1432</v>
      </c>
    </row>
    <row r="33" spans="1:9" x14ac:dyDescent="0.35">
      <c r="A33" t="s">
        <v>487</v>
      </c>
      <c r="B33">
        <v>107228984</v>
      </c>
      <c r="C33" t="s">
        <v>502</v>
      </c>
      <c r="D33" t="s">
        <v>497</v>
      </c>
      <c r="E33" t="s">
        <v>484</v>
      </c>
      <c r="F33">
        <v>259</v>
      </c>
      <c r="G33" t="s">
        <v>60</v>
      </c>
      <c r="H33" t="s">
        <v>490</v>
      </c>
      <c r="I33">
        <v>28</v>
      </c>
    </row>
    <row r="34" spans="1:9" x14ac:dyDescent="0.35">
      <c r="A34" t="s">
        <v>487</v>
      </c>
      <c r="B34">
        <v>107228984</v>
      </c>
      <c r="C34" t="s">
        <v>502</v>
      </c>
      <c r="D34" t="s">
        <v>497</v>
      </c>
      <c r="E34" t="s">
        <v>484</v>
      </c>
      <c r="F34">
        <v>259</v>
      </c>
      <c r="G34" t="s">
        <v>81</v>
      </c>
      <c r="H34" t="s">
        <v>492</v>
      </c>
      <c r="I34">
        <v>259</v>
      </c>
    </row>
    <row r="35" spans="1:9" x14ac:dyDescent="0.35">
      <c r="A35" t="s">
        <v>487</v>
      </c>
      <c r="B35">
        <v>107826232</v>
      </c>
      <c r="C35" t="s">
        <v>515</v>
      </c>
      <c r="D35" t="s">
        <v>497</v>
      </c>
      <c r="E35" t="s">
        <v>484</v>
      </c>
      <c r="F35">
        <v>208</v>
      </c>
      <c r="G35" t="s">
        <v>60</v>
      </c>
      <c r="H35" t="s">
        <v>492</v>
      </c>
      <c r="I35">
        <v>715</v>
      </c>
    </row>
    <row r="36" spans="1:9" x14ac:dyDescent="0.35">
      <c r="A36" t="s">
        <v>487</v>
      </c>
      <c r="B36">
        <v>107826232</v>
      </c>
      <c r="C36" t="s">
        <v>515</v>
      </c>
      <c r="D36" t="s">
        <v>497</v>
      </c>
      <c r="E36" t="s">
        <v>484</v>
      </c>
      <c r="F36">
        <v>208</v>
      </c>
      <c r="G36" t="s">
        <v>60</v>
      </c>
      <c r="H36" t="s">
        <v>488</v>
      </c>
      <c r="I36">
        <v>72</v>
      </c>
    </row>
    <row r="37" spans="1:9" x14ac:dyDescent="0.35">
      <c r="A37" t="s">
        <v>487</v>
      </c>
      <c r="B37">
        <v>107826232</v>
      </c>
      <c r="C37" t="s">
        <v>515</v>
      </c>
      <c r="D37" t="s">
        <v>497</v>
      </c>
      <c r="E37" t="s">
        <v>484</v>
      </c>
      <c r="F37">
        <v>208</v>
      </c>
      <c r="G37" t="s">
        <v>60</v>
      </c>
      <c r="H37" t="s">
        <v>489</v>
      </c>
      <c r="I37">
        <v>643</v>
      </c>
    </row>
    <row r="38" spans="1:9" x14ac:dyDescent="0.35">
      <c r="A38" t="s">
        <v>487</v>
      </c>
      <c r="B38">
        <v>107826232</v>
      </c>
      <c r="C38" t="s">
        <v>515</v>
      </c>
      <c r="D38" t="s">
        <v>497</v>
      </c>
      <c r="E38" t="s">
        <v>484</v>
      </c>
      <c r="F38">
        <v>208</v>
      </c>
      <c r="G38" t="s">
        <v>81</v>
      </c>
      <c r="H38" t="s">
        <v>492</v>
      </c>
      <c r="I38">
        <v>208</v>
      </c>
    </row>
    <row r="39" spans="1:9" x14ac:dyDescent="0.35">
      <c r="A39" t="s">
        <v>487</v>
      </c>
      <c r="B39">
        <v>107843891</v>
      </c>
      <c r="C39" t="s">
        <v>518</v>
      </c>
      <c r="D39" t="s">
        <v>486</v>
      </c>
      <c r="E39" t="s">
        <v>484</v>
      </c>
      <c r="F39">
        <v>348</v>
      </c>
      <c r="G39" t="s">
        <v>60</v>
      </c>
      <c r="H39" t="s">
        <v>492</v>
      </c>
      <c r="I39">
        <v>3337</v>
      </c>
    </row>
    <row r="40" spans="1:9" x14ac:dyDescent="0.35">
      <c r="A40" t="s">
        <v>487</v>
      </c>
      <c r="B40">
        <v>107843891</v>
      </c>
      <c r="C40" t="s">
        <v>518</v>
      </c>
      <c r="D40" t="s">
        <v>486</v>
      </c>
      <c r="E40" t="s">
        <v>484</v>
      </c>
      <c r="F40">
        <v>348</v>
      </c>
      <c r="G40" t="s">
        <v>60</v>
      </c>
      <c r="H40" t="s">
        <v>488</v>
      </c>
      <c r="I40">
        <v>1124</v>
      </c>
    </row>
    <row r="41" spans="1:9" x14ac:dyDescent="0.35">
      <c r="A41" t="s">
        <v>487</v>
      </c>
      <c r="B41">
        <v>107843891</v>
      </c>
      <c r="C41" t="s">
        <v>518</v>
      </c>
      <c r="D41" t="s">
        <v>486</v>
      </c>
      <c r="E41" t="s">
        <v>484</v>
      </c>
      <c r="F41">
        <v>348</v>
      </c>
      <c r="G41" t="s">
        <v>60</v>
      </c>
      <c r="H41" t="s">
        <v>489</v>
      </c>
      <c r="I41">
        <v>2213</v>
      </c>
    </row>
    <row r="42" spans="1:9" x14ac:dyDescent="0.35">
      <c r="A42" t="s">
        <v>487</v>
      </c>
      <c r="B42">
        <v>107843891</v>
      </c>
      <c r="C42" t="s">
        <v>518</v>
      </c>
      <c r="D42" t="s">
        <v>486</v>
      </c>
      <c r="E42" t="s">
        <v>484</v>
      </c>
      <c r="F42">
        <v>348</v>
      </c>
      <c r="G42" t="s">
        <v>81</v>
      </c>
      <c r="H42" t="s">
        <v>492</v>
      </c>
      <c r="I42">
        <v>348</v>
      </c>
    </row>
    <row r="43" spans="1:9" x14ac:dyDescent="0.35">
      <c r="A43" t="s">
        <v>487</v>
      </c>
      <c r="B43">
        <v>106550554</v>
      </c>
      <c r="C43" t="s">
        <v>496</v>
      </c>
      <c r="D43" t="s">
        <v>497</v>
      </c>
      <c r="E43" t="s">
        <v>493</v>
      </c>
      <c r="F43">
        <v>365</v>
      </c>
      <c r="G43" t="s">
        <v>60</v>
      </c>
      <c r="H43" t="s">
        <v>492</v>
      </c>
      <c r="I43">
        <v>2196</v>
      </c>
    </row>
    <row r="44" spans="1:9" x14ac:dyDescent="0.35">
      <c r="A44" t="s">
        <v>487</v>
      </c>
      <c r="B44">
        <v>106550554</v>
      </c>
      <c r="C44" t="s">
        <v>496</v>
      </c>
      <c r="D44" t="s">
        <v>497</v>
      </c>
      <c r="E44" t="s">
        <v>493</v>
      </c>
      <c r="F44">
        <v>365</v>
      </c>
      <c r="G44" t="s">
        <v>60</v>
      </c>
      <c r="H44" t="s">
        <v>488</v>
      </c>
      <c r="I44">
        <v>512</v>
      </c>
    </row>
    <row r="45" spans="1:9" x14ac:dyDescent="0.35">
      <c r="A45" t="s">
        <v>487</v>
      </c>
      <c r="B45">
        <v>106550554</v>
      </c>
      <c r="C45" t="s">
        <v>496</v>
      </c>
      <c r="D45" t="s">
        <v>497</v>
      </c>
      <c r="E45" t="s">
        <v>493</v>
      </c>
      <c r="F45">
        <v>365</v>
      </c>
      <c r="G45" t="s">
        <v>60</v>
      </c>
      <c r="H45" t="s">
        <v>489</v>
      </c>
      <c r="I45">
        <v>1684</v>
      </c>
    </row>
    <row r="46" spans="1:9" x14ac:dyDescent="0.35">
      <c r="A46" t="s">
        <v>487</v>
      </c>
      <c r="B46">
        <v>106550554</v>
      </c>
      <c r="C46" t="s">
        <v>496</v>
      </c>
      <c r="D46" t="s">
        <v>497</v>
      </c>
      <c r="E46" t="s">
        <v>493</v>
      </c>
      <c r="F46">
        <v>365</v>
      </c>
      <c r="G46" t="s">
        <v>81</v>
      </c>
      <c r="H46" t="s">
        <v>492</v>
      </c>
      <c r="I46">
        <v>365</v>
      </c>
    </row>
    <row r="47" spans="1:9" x14ac:dyDescent="0.35">
      <c r="A47" t="s">
        <v>487</v>
      </c>
      <c r="B47">
        <v>107221237</v>
      </c>
      <c r="C47" t="s">
        <v>527</v>
      </c>
      <c r="D47" t="s">
        <v>486</v>
      </c>
      <c r="E47" t="s">
        <v>493</v>
      </c>
      <c r="F47">
        <v>357</v>
      </c>
      <c r="G47" t="s">
        <v>60</v>
      </c>
      <c r="H47" t="s">
        <v>492</v>
      </c>
      <c r="I47">
        <v>3045</v>
      </c>
    </row>
    <row r="48" spans="1:9" x14ac:dyDescent="0.35">
      <c r="A48" t="s">
        <v>487</v>
      </c>
      <c r="B48">
        <v>107221237</v>
      </c>
      <c r="C48" t="s">
        <v>527</v>
      </c>
      <c r="D48" t="s">
        <v>486</v>
      </c>
      <c r="E48" t="s">
        <v>493</v>
      </c>
      <c r="F48">
        <v>357</v>
      </c>
      <c r="G48" t="s">
        <v>60</v>
      </c>
      <c r="H48" t="s">
        <v>488</v>
      </c>
      <c r="I48">
        <v>286</v>
      </c>
    </row>
    <row r="49" spans="1:9" x14ac:dyDescent="0.35">
      <c r="A49" t="s">
        <v>487</v>
      </c>
      <c r="B49">
        <v>107221237</v>
      </c>
      <c r="C49" t="s">
        <v>527</v>
      </c>
      <c r="D49" t="s">
        <v>486</v>
      </c>
      <c r="E49" t="s">
        <v>493</v>
      </c>
      <c r="F49">
        <v>357</v>
      </c>
      <c r="G49" t="s">
        <v>60</v>
      </c>
      <c r="H49" t="s">
        <v>489</v>
      </c>
      <c r="I49">
        <v>2759</v>
      </c>
    </row>
    <row r="50" spans="1:9" x14ac:dyDescent="0.35">
      <c r="A50" t="s">
        <v>487</v>
      </c>
      <c r="B50">
        <v>107221237</v>
      </c>
      <c r="C50" t="s">
        <v>527</v>
      </c>
      <c r="D50" t="s">
        <v>486</v>
      </c>
      <c r="E50" t="s">
        <v>493</v>
      </c>
      <c r="F50">
        <v>357</v>
      </c>
      <c r="G50" t="s">
        <v>81</v>
      </c>
      <c r="H50" t="s">
        <v>492</v>
      </c>
      <c r="I50">
        <v>357</v>
      </c>
    </row>
    <row r="51" spans="1:9" x14ac:dyDescent="0.35">
      <c r="A51" t="s">
        <v>487</v>
      </c>
      <c r="B51">
        <v>107221222</v>
      </c>
      <c r="C51" t="s">
        <v>501</v>
      </c>
      <c r="D51" t="s">
        <v>486</v>
      </c>
      <c r="E51" t="s">
        <v>484</v>
      </c>
      <c r="F51">
        <v>287</v>
      </c>
      <c r="G51" t="s">
        <v>60</v>
      </c>
      <c r="H51" t="s">
        <v>492</v>
      </c>
      <c r="I51">
        <v>2437</v>
      </c>
    </row>
    <row r="52" spans="1:9" x14ac:dyDescent="0.35">
      <c r="A52" t="s">
        <v>487</v>
      </c>
      <c r="B52">
        <v>107221222</v>
      </c>
      <c r="C52" t="s">
        <v>501</v>
      </c>
      <c r="D52" t="s">
        <v>486</v>
      </c>
      <c r="E52" t="s">
        <v>484</v>
      </c>
      <c r="F52">
        <v>287</v>
      </c>
      <c r="G52" t="s">
        <v>60</v>
      </c>
      <c r="H52" t="s">
        <v>488</v>
      </c>
      <c r="I52">
        <v>246</v>
      </c>
    </row>
    <row r="53" spans="1:9" x14ac:dyDescent="0.35">
      <c r="A53" t="s">
        <v>487</v>
      </c>
      <c r="B53">
        <v>107221222</v>
      </c>
      <c r="C53" t="s">
        <v>501</v>
      </c>
      <c r="D53" t="s">
        <v>486</v>
      </c>
      <c r="E53" t="s">
        <v>484</v>
      </c>
      <c r="F53">
        <v>287</v>
      </c>
      <c r="G53" t="s">
        <v>60</v>
      </c>
      <c r="H53" t="s">
        <v>489</v>
      </c>
      <c r="I53">
        <v>2191</v>
      </c>
    </row>
    <row r="54" spans="1:9" x14ac:dyDescent="0.35">
      <c r="A54" t="s">
        <v>487</v>
      </c>
      <c r="B54">
        <v>107221222</v>
      </c>
      <c r="C54" t="s">
        <v>501</v>
      </c>
      <c r="D54" t="s">
        <v>486</v>
      </c>
      <c r="E54" t="s">
        <v>484</v>
      </c>
      <c r="F54">
        <v>287</v>
      </c>
      <c r="G54" t="s">
        <v>81</v>
      </c>
      <c r="H54" t="s">
        <v>492</v>
      </c>
      <c r="I54">
        <v>287</v>
      </c>
    </row>
    <row r="55" spans="1:9" x14ac:dyDescent="0.35">
      <c r="A55" t="s">
        <v>487</v>
      </c>
      <c r="B55">
        <v>107843844</v>
      </c>
      <c r="C55" t="s">
        <v>516</v>
      </c>
      <c r="D55" t="s">
        <v>486</v>
      </c>
      <c r="E55" t="s">
        <v>484</v>
      </c>
      <c r="F55">
        <v>314</v>
      </c>
      <c r="G55" t="s">
        <v>60</v>
      </c>
      <c r="H55" t="s">
        <v>492</v>
      </c>
      <c r="I55">
        <v>1964</v>
      </c>
    </row>
    <row r="56" spans="1:9" x14ac:dyDescent="0.35">
      <c r="A56" t="s">
        <v>487</v>
      </c>
      <c r="B56">
        <v>107843844</v>
      </c>
      <c r="C56" t="s">
        <v>516</v>
      </c>
      <c r="D56" t="s">
        <v>486</v>
      </c>
      <c r="E56" t="s">
        <v>484</v>
      </c>
      <c r="F56">
        <v>314</v>
      </c>
      <c r="G56" t="s">
        <v>60</v>
      </c>
      <c r="H56" t="s">
        <v>488</v>
      </c>
      <c r="I56">
        <v>221</v>
      </c>
    </row>
    <row r="57" spans="1:9" x14ac:dyDescent="0.35">
      <c r="A57" t="s">
        <v>487</v>
      </c>
      <c r="B57">
        <v>107843844</v>
      </c>
      <c r="C57" t="s">
        <v>516</v>
      </c>
      <c r="D57" t="s">
        <v>486</v>
      </c>
      <c r="E57" t="s">
        <v>484</v>
      </c>
      <c r="F57">
        <v>314</v>
      </c>
      <c r="G57" t="s">
        <v>60</v>
      </c>
      <c r="H57" t="s">
        <v>489</v>
      </c>
      <c r="I57">
        <v>1743</v>
      </c>
    </row>
    <row r="58" spans="1:9" x14ac:dyDescent="0.35">
      <c r="A58" t="s">
        <v>487</v>
      </c>
      <c r="B58">
        <v>107843844</v>
      </c>
      <c r="C58" t="s">
        <v>516</v>
      </c>
      <c r="D58" t="s">
        <v>486</v>
      </c>
      <c r="E58" t="s">
        <v>484</v>
      </c>
      <c r="F58">
        <v>314</v>
      </c>
      <c r="G58" t="s">
        <v>81</v>
      </c>
      <c r="H58" t="s">
        <v>492</v>
      </c>
      <c r="I58">
        <v>314</v>
      </c>
    </row>
    <row r="59" spans="1:9" x14ac:dyDescent="0.35">
      <c r="A59" t="s">
        <v>487</v>
      </c>
      <c r="B59">
        <v>107704604</v>
      </c>
      <c r="C59" t="s">
        <v>509</v>
      </c>
      <c r="D59" t="s">
        <v>486</v>
      </c>
      <c r="E59" t="s">
        <v>493</v>
      </c>
      <c r="F59">
        <v>393</v>
      </c>
      <c r="G59" t="s">
        <v>60</v>
      </c>
      <c r="H59" t="s">
        <v>492</v>
      </c>
      <c r="I59">
        <v>2753</v>
      </c>
    </row>
    <row r="60" spans="1:9" x14ac:dyDescent="0.35">
      <c r="A60" t="s">
        <v>487</v>
      </c>
      <c r="B60">
        <v>107704604</v>
      </c>
      <c r="C60" t="s">
        <v>509</v>
      </c>
      <c r="D60" t="s">
        <v>486</v>
      </c>
      <c r="E60" t="s">
        <v>493</v>
      </c>
      <c r="F60">
        <v>393</v>
      </c>
      <c r="G60" t="s">
        <v>60</v>
      </c>
      <c r="H60" t="s">
        <v>488</v>
      </c>
      <c r="I60">
        <v>513</v>
      </c>
    </row>
    <row r="61" spans="1:9" x14ac:dyDescent="0.35">
      <c r="A61" t="s">
        <v>487</v>
      </c>
      <c r="B61">
        <v>107704604</v>
      </c>
      <c r="C61" t="s">
        <v>509</v>
      </c>
      <c r="D61" t="s">
        <v>486</v>
      </c>
      <c r="E61" t="s">
        <v>493</v>
      </c>
      <c r="F61">
        <v>393</v>
      </c>
      <c r="G61" t="s">
        <v>60</v>
      </c>
      <c r="H61" t="s">
        <v>489</v>
      </c>
      <c r="I61">
        <v>2240</v>
      </c>
    </row>
    <row r="62" spans="1:9" x14ac:dyDescent="0.35">
      <c r="A62" t="s">
        <v>487</v>
      </c>
      <c r="B62">
        <v>107704604</v>
      </c>
      <c r="C62" t="s">
        <v>509</v>
      </c>
      <c r="D62" t="s">
        <v>486</v>
      </c>
      <c r="E62" t="s">
        <v>493</v>
      </c>
      <c r="F62">
        <v>393</v>
      </c>
      <c r="G62" t="s">
        <v>81</v>
      </c>
      <c r="H62" t="s">
        <v>492</v>
      </c>
      <c r="I62">
        <v>393</v>
      </c>
    </row>
    <row r="63" spans="1:9" x14ac:dyDescent="0.35">
      <c r="A63" t="s">
        <v>487</v>
      </c>
      <c r="B63">
        <v>107843876</v>
      </c>
      <c r="C63" t="s">
        <v>517</v>
      </c>
      <c r="D63" t="s">
        <v>486</v>
      </c>
      <c r="E63" t="s">
        <v>484</v>
      </c>
      <c r="F63">
        <v>277</v>
      </c>
      <c r="G63" t="s">
        <v>60</v>
      </c>
      <c r="H63" t="s">
        <v>492</v>
      </c>
      <c r="I63">
        <v>1837</v>
      </c>
    </row>
    <row r="64" spans="1:9" x14ac:dyDescent="0.35">
      <c r="A64" t="s">
        <v>487</v>
      </c>
      <c r="B64">
        <v>107843876</v>
      </c>
      <c r="C64" t="s">
        <v>517</v>
      </c>
      <c r="D64" t="s">
        <v>486</v>
      </c>
      <c r="E64" t="s">
        <v>484</v>
      </c>
      <c r="F64">
        <v>277</v>
      </c>
      <c r="G64" t="s">
        <v>60</v>
      </c>
      <c r="H64" t="s">
        <v>488</v>
      </c>
      <c r="I64">
        <v>423</v>
      </c>
    </row>
    <row r="65" spans="1:9" x14ac:dyDescent="0.35">
      <c r="A65" t="s">
        <v>487</v>
      </c>
      <c r="B65">
        <v>107843876</v>
      </c>
      <c r="C65" t="s">
        <v>517</v>
      </c>
      <c r="D65" t="s">
        <v>486</v>
      </c>
      <c r="E65" t="s">
        <v>484</v>
      </c>
      <c r="F65">
        <v>277</v>
      </c>
      <c r="G65" t="s">
        <v>60</v>
      </c>
      <c r="H65" t="s">
        <v>489</v>
      </c>
      <c r="I65">
        <v>1414</v>
      </c>
    </row>
    <row r="66" spans="1:9" x14ac:dyDescent="0.35">
      <c r="A66" t="s">
        <v>487</v>
      </c>
      <c r="B66">
        <v>107843876</v>
      </c>
      <c r="C66" t="s">
        <v>517</v>
      </c>
      <c r="D66" t="s">
        <v>486</v>
      </c>
      <c r="E66" t="s">
        <v>484</v>
      </c>
      <c r="F66">
        <v>277</v>
      </c>
      <c r="G66" t="s">
        <v>81</v>
      </c>
      <c r="H66" t="s">
        <v>492</v>
      </c>
      <c r="I66">
        <v>277</v>
      </c>
    </row>
    <row r="67" spans="1:9" x14ac:dyDescent="0.35">
      <c r="A67" t="s">
        <v>487</v>
      </c>
      <c r="B67">
        <v>101750120</v>
      </c>
      <c r="C67" t="s">
        <v>591</v>
      </c>
      <c r="D67" t="s">
        <v>486</v>
      </c>
      <c r="E67" t="s">
        <v>484</v>
      </c>
      <c r="F67">
        <v>130</v>
      </c>
      <c r="G67" t="s">
        <v>60</v>
      </c>
      <c r="H67" t="s">
        <v>492</v>
      </c>
      <c r="I67">
        <v>1117</v>
      </c>
    </row>
    <row r="68" spans="1:9" x14ac:dyDescent="0.35">
      <c r="A68" t="s">
        <v>487</v>
      </c>
      <c r="B68">
        <v>101750120</v>
      </c>
      <c r="C68" t="s">
        <v>591</v>
      </c>
      <c r="D68" t="s">
        <v>486</v>
      </c>
      <c r="E68" t="s">
        <v>484</v>
      </c>
      <c r="F68">
        <v>130</v>
      </c>
      <c r="G68" t="s">
        <v>60</v>
      </c>
      <c r="H68" t="s">
        <v>488</v>
      </c>
      <c r="I68">
        <v>150</v>
      </c>
    </row>
    <row r="69" spans="1:9" x14ac:dyDescent="0.35">
      <c r="A69" t="s">
        <v>487</v>
      </c>
      <c r="B69">
        <v>101750120</v>
      </c>
      <c r="C69" t="s">
        <v>591</v>
      </c>
      <c r="D69" t="s">
        <v>486</v>
      </c>
      <c r="E69" t="s">
        <v>484</v>
      </c>
      <c r="F69">
        <v>130</v>
      </c>
      <c r="G69" t="s">
        <v>60</v>
      </c>
      <c r="H69" t="s">
        <v>489</v>
      </c>
      <c r="I69">
        <v>967</v>
      </c>
    </row>
    <row r="70" spans="1:9" x14ac:dyDescent="0.35">
      <c r="A70" t="s">
        <v>487</v>
      </c>
      <c r="B70">
        <v>101750120</v>
      </c>
      <c r="C70" t="s">
        <v>591</v>
      </c>
      <c r="D70" t="s">
        <v>486</v>
      </c>
      <c r="E70" t="s">
        <v>484</v>
      </c>
      <c r="F70">
        <v>130</v>
      </c>
      <c r="G70" t="s">
        <v>81</v>
      </c>
      <c r="H70" t="s">
        <v>492</v>
      </c>
      <c r="I70">
        <v>130</v>
      </c>
    </row>
    <row r="71" spans="1:9" x14ac:dyDescent="0.35">
      <c r="A71" t="s">
        <v>487</v>
      </c>
      <c r="B71">
        <v>102457590</v>
      </c>
      <c r="C71" t="s">
        <v>592</v>
      </c>
      <c r="D71" t="s">
        <v>486</v>
      </c>
      <c r="E71" t="s">
        <v>484</v>
      </c>
      <c r="F71">
        <v>190</v>
      </c>
      <c r="G71" t="s">
        <v>60</v>
      </c>
      <c r="H71" t="s">
        <v>492</v>
      </c>
      <c r="I71">
        <v>1062</v>
      </c>
    </row>
    <row r="72" spans="1:9" x14ac:dyDescent="0.35">
      <c r="A72" t="s">
        <v>487</v>
      </c>
      <c r="B72">
        <v>102457590</v>
      </c>
      <c r="C72" t="s">
        <v>592</v>
      </c>
      <c r="D72" t="s">
        <v>486</v>
      </c>
      <c r="E72" t="s">
        <v>484</v>
      </c>
      <c r="F72">
        <v>190</v>
      </c>
      <c r="G72" t="s">
        <v>60</v>
      </c>
      <c r="H72" t="s">
        <v>488</v>
      </c>
      <c r="I72">
        <v>70</v>
      </c>
    </row>
    <row r="73" spans="1:9" x14ac:dyDescent="0.35">
      <c r="A73" t="s">
        <v>487</v>
      </c>
      <c r="B73">
        <v>102457590</v>
      </c>
      <c r="C73" t="s">
        <v>592</v>
      </c>
      <c r="D73" t="s">
        <v>486</v>
      </c>
      <c r="E73" t="s">
        <v>484</v>
      </c>
      <c r="F73">
        <v>190</v>
      </c>
      <c r="G73" t="s">
        <v>60</v>
      </c>
      <c r="H73" t="s">
        <v>489</v>
      </c>
      <c r="I73">
        <v>992</v>
      </c>
    </row>
    <row r="74" spans="1:9" x14ac:dyDescent="0.35">
      <c r="A74" t="s">
        <v>487</v>
      </c>
      <c r="B74">
        <v>102457590</v>
      </c>
      <c r="C74" t="s">
        <v>592</v>
      </c>
      <c r="D74" t="s">
        <v>486</v>
      </c>
      <c r="E74" t="s">
        <v>484</v>
      </c>
      <c r="F74">
        <v>190</v>
      </c>
      <c r="G74" t="s">
        <v>81</v>
      </c>
      <c r="H74" t="s">
        <v>492</v>
      </c>
      <c r="I74">
        <v>190</v>
      </c>
    </row>
    <row r="75" spans="1:9" x14ac:dyDescent="0.35">
      <c r="A75" t="s">
        <v>487</v>
      </c>
      <c r="B75">
        <v>100753604</v>
      </c>
      <c r="C75" t="s">
        <v>485</v>
      </c>
      <c r="D75" t="s">
        <v>486</v>
      </c>
      <c r="E75" t="s">
        <v>484</v>
      </c>
      <c r="F75">
        <v>324</v>
      </c>
      <c r="G75" t="s">
        <v>60</v>
      </c>
      <c r="H75" t="s">
        <v>492</v>
      </c>
      <c r="I75">
        <v>1871</v>
      </c>
    </row>
    <row r="76" spans="1:9" x14ac:dyDescent="0.35">
      <c r="A76" t="s">
        <v>487</v>
      </c>
      <c r="B76">
        <v>100753604</v>
      </c>
      <c r="C76" t="s">
        <v>485</v>
      </c>
      <c r="D76" t="s">
        <v>486</v>
      </c>
      <c r="E76" t="s">
        <v>484</v>
      </c>
      <c r="F76">
        <v>324</v>
      </c>
      <c r="G76" t="s">
        <v>60</v>
      </c>
      <c r="H76" t="s">
        <v>488</v>
      </c>
      <c r="I76">
        <v>38</v>
      </c>
    </row>
    <row r="77" spans="1:9" x14ac:dyDescent="0.35">
      <c r="A77" t="s">
        <v>487</v>
      </c>
      <c r="B77">
        <v>100753604</v>
      </c>
      <c r="C77" t="s">
        <v>485</v>
      </c>
      <c r="D77" t="s">
        <v>486</v>
      </c>
      <c r="E77" t="s">
        <v>484</v>
      </c>
      <c r="F77">
        <v>324</v>
      </c>
      <c r="G77" t="s">
        <v>60</v>
      </c>
      <c r="H77" t="s">
        <v>489</v>
      </c>
      <c r="I77">
        <v>1825</v>
      </c>
    </row>
    <row r="78" spans="1:9" x14ac:dyDescent="0.35">
      <c r="A78" t="s">
        <v>487</v>
      </c>
      <c r="B78">
        <v>100753604</v>
      </c>
      <c r="C78" t="s">
        <v>485</v>
      </c>
      <c r="D78" t="s">
        <v>486</v>
      </c>
      <c r="E78" t="s">
        <v>484</v>
      </c>
      <c r="F78">
        <v>324</v>
      </c>
      <c r="G78" t="s">
        <v>60</v>
      </c>
      <c r="H78" t="s">
        <v>490</v>
      </c>
      <c r="I78">
        <v>8</v>
      </c>
    </row>
    <row r="79" spans="1:9" x14ac:dyDescent="0.35">
      <c r="A79" t="s">
        <v>487</v>
      </c>
      <c r="B79">
        <v>100753604</v>
      </c>
      <c r="C79" t="s">
        <v>485</v>
      </c>
      <c r="D79" t="s">
        <v>486</v>
      </c>
      <c r="E79" t="s">
        <v>484</v>
      </c>
      <c r="F79">
        <v>324</v>
      </c>
      <c r="G79" t="s">
        <v>81</v>
      </c>
      <c r="H79" t="s">
        <v>492</v>
      </c>
      <c r="I79">
        <v>324</v>
      </c>
    </row>
    <row r="80" spans="1:9" x14ac:dyDescent="0.35">
      <c r="A80" t="s">
        <v>487</v>
      </c>
      <c r="B80">
        <v>107826201</v>
      </c>
      <c r="C80" t="s">
        <v>514</v>
      </c>
      <c r="D80" t="s">
        <v>497</v>
      </c>
      <c r="E80" t="s">
        <v>493</v>
      </c>
      <c r="F80">
        <v>111</v>
      </c>
      <c r="G80" t="s">
        <v>60</v>
      </c>
      <c r="H80" t="s">
        <v>492</v>
      </c>
      <c r="I80">
        <v>548</v>
      </c>
    </row>
    <row r="81" spans="1:9" x14ac:dyDescent="0.35">
      <c r="A81" t="s">
        <v>487</v>
      </c>
      <c r="B81">
        <v>107826201</v>
      </c>
      <c r="C81" t="s">
        <v>514</v>
      </c>
      <c r="D81" t="s">
        <v>497</v>
      </c>
      <c r="E81" t="s">
        <v>493</v>
      </c>
      <c r="F81">
        <v>111</v>
      </c>
      <c r="G81" t="s">
        <v>81</v>
      </c>
      <c r="H81" t="s">
        <v>492</v>
      </c>
      <c r="I81">
        <v>111</v>
      </c>
    </row>
    <row r="82" spans="1:9" x14ac:dyDescent="0.35">
      <c r="A82" t="s">
        <v>487</v>
      </c>
      <c r="B82">
        <v>107674648</v>
      </c>
      <c r="C82" t="s">
        <v>508</v>
      </c>
      <c r="D82" t="s">
        <v>486</v>
      </c>
      <c r="E82" t="s">
        <v>484</v>
      </c>
      <c r="F82">
        <v>143</v>
      </c>
      <c r="G82" t="s">
        <v>60</v>
      </c>
      <c r="H82" t="s">
        <v>492</v>
      </c>
      <c r="I82">
        <v>625</v>
      </c>
    </row>
    <row r="83" spans="1:9" x14ac:dyDescent="0.35">
      <c r="A83" t="s">
        <v>487</v>
      </c>
      <c r="B83">
        <v>107674648</v>
      </c>
      <c r="C83" t="s">
        <v>508</v>
      </c>
      <c r="D83" t="s">
        <v>486</v>
      </c>
      <c r="E83" t="s">
        <v>484</v>
      </c>
      <c r="F83">
        <v>143</v>
      </c>
      <c r="G83" t="s">
        <v>81</v>
      </c>
      <c r="H83" t="s">
        <v>492</v>
      </c>
      <c r="I83">
        <v>143</v>
      </c>
    </row>
    <row r="84" spans="1:9" x14ac:dyDescent="0.35">
      <c r="A84" t="s">
        <v>487</v>
      </c>
      <c r="B84">
        <v>107775521</v>
      </c>
      <c r="C84" t="s">
        <v>511</v>
      </c>
      <c r="D84" t="s">
        <v>486</v>
      </c>
      <c r="E84" t="s">
        <v>484</v>
      </c>
      <c r="F84">
        <v>436</v>
      </c>
      <c r="G84" t="s">
        <v>60</v>
      </c>
      <c r="H84" t="s">
        <v>492</v>
      </c>
      <c r="I84">
        <v>3073</v>
      </c>
    </row>
    <row r="85" spans="1:9" x14ac:dyDescent="0.35">
      <c r="A85" t="s">
        <v>487</v>
      </c>
      <c r="B85">
        <v>107775521</v>
      </c>
      <c r="C85" t="s">
        <v>511</v>
      </c>
      <c r="D85" t="s">
        <v>486</v>
      </c>
      <c r="E85" t="s">
        <v>484</v>
      </c>
      <c r="F85">
        <v>436</v>
      </c>
      <c r="G85" t="s">
        <v>81</v>
      </c>
      <c r="H85" t="s">
        <v>492</v>
      </c>
      <c r="I85">
        <v>436</v>
      </c>
    </row>
    <row r="86" spans="1:9" x14ac:dyDescent="0.35">
      <c r="A86" t="s">
        <v>487</v>
      </c>
      <c r="B86">
        <v>107775413</v>
      </c>
      <c r="C86" t="s">
        <v>510</v>
      </c>
      <c r="D86" t="s">
        <v>486</v>
      </c>
      <c r="E86" t="s">
        <v>493</v>
      </c>
      <c r="F86">
        <v>123</v>
      </c>
      <c r="G86" t="s">
        <v>60</v>
      </c>
      <c r="H86" t="s">
        <v>492</v>
      </c>
      <c r="I86">
        <v>536</v>
      </c>
    </row>
    <row r="87" spans="1:9" x14ac:dyDescent="0.35">
      <c r="A87" t="s">
        <v>487</v>
      </c>
      <c r="B87">
        <v>107775413</v>
      </c>
      <c r="C87" t="s">
        <v>510</v>
      </c>
      <c r="D87" t="s">
        <v>486</v>
      </c>
      <c r="E87" t="s">
        <v>493</v>
      </c>
      <c r="F87">
        <v>123</v>
      </c>
      <c r="G87" t="s">
        <v>60</v>
      </c>
      <c r="H87" t="s">
        <v>488</v>
      </c>
      <c r="I87">
        <v>72</v>
      </c>
    </row>
    <row r="88" spans="1:9" x14ac:dyDescent="0.35">
      <c r="A88" t="s">
        <v>487</v>
      </c>
      <c r="B88">
        <v>107775413</v>
      </c>
      <c r="C88" t="s">
        <v>510</v>
      </c>
      <c r="D88" t="s">
        <v>486</v>
      </c>
      <c r="E88" t="s">
        <v>493</v>
      </c>
      <c r="F88">
        <v>123</v>
      </c>
      <c r="G88" t="s">
        <v>60</v>
      </c>
      <c r="H88" t="s">
        <v>489</v>
      </c>
      <c r="I88">
        <v>464</v>
      </c>
    </row>
    <row r="89" spans="1:9" x14ac:dyDescent="0.35">
      <c r="A89" t="s">
        <v>487</v>
      </c>
      <c r="B89">
        <v>107775413</v>
      </c>
      <c r="C89" t="s">
        <v>510</v>
      </c>
      <c r="D89" t="s">
        <v>486</v>
      </c>
      <c r="E89" t="s">
        <v>493</v>
      </c>
      <c r="F89">
        <v>123</v>
      </c>
      <c r="G89" t="s">
        <v>81</v>
      </c>
      <c r="H89" t="s">
        <v>492</v>
      </c>
      <c r="I89">
        <v>122</v>
      </c>
    </row>
    <row r="90" spans="1:9" x14ac:dyDescent="0.35">
      <c r="A90" t="s">
        <v>487</v>
      </c>
      <c r="B90">
        <v>107233200</v>
      </c>
      <c r="C90" t="s">
        <v>506</v>
      </c>
      <c r="D90" t="s">
        <v>486</v>
      </c>
      <c r="E90" t="s">
        <v>484</v>
      </c>
      <c r="F90">
        <v>382</v>
      </c>
      <c r="G90" t="s">
        <v>60</v>
      </c>
      <c r="H90" t="s">
        <v>492</v>
      </c>
      <c r="I90">
        <v>2197</v>
      </c>
    </row>
    <row r="91" spans="1:9" x14ac:dyDescent="0.35">
      <c r="A91" t="s">
        <v>487</v>
      </c>
      <c r="B91">
        <v>107233200</v>
      </c>
      <c r="C91" t="s">
        <v>506</v>
      </c>
      <c r="D91" t="s">
        <v>486</v>
      </c>
      <c r="E91" t="s">
        <v>484</v>
      </c>
      <c r="F91">
        <v>382</v>
      </c>
      <c r="G91" t="s">
        <v>60</v>
      </c>
      <c r="H91" t="s">
        <v>488</v>
      </c>
      <c r="I91">
        <v>472</v>
      </c>
    </row>
    <row r="92" spans="1:9" x14ac:dyDescent="0.35">
      <c r="A92" t="s">
        <v>487</v>
      </c>
      <c r="B92">
        <v>107233200</v>
      </c>
      <c r="C92" t="s">
        <v>506</v>
      </c>
      <c r="D92" t="s">
        <v>486</v>
      </c>
      <c r="E92" t="s">
        <v>484</v>
      </c>
      <c r="F92">
        <v>382</v>
      </c>
      <c r="G92" t="s">
        <v>60</v>
      </c>
      <c r="H92" t="s">
        <v>489</v>
      </c>
      <c r="I92">
        <v>1725</v>
      </c>
    </row>
    <row r="93" spans="1:9" x14ac:dyDescent="0.35">
      <c r="A93" t="s">
        <v>487</v>
      </c>
      <c r="B93">
        <v>107233200</v>
      </c>
      <c r="C93" t="s">
        <v>506</v>
      </c>
      <c r="D93" t="s">
        <v>486</v>
      </c>
      <c r="E93" t="s">
        <v>484</v>
      </c>
      <c r="F93">
        <v>382</v>
      </c>
      <c r="G93" t="s">
        <v>81</v>
      </c>
      <c r="H93" t="s">
        <v>492</v>
      </c>
      <c r="I93">
        <v>382</v>
      </c>
    </row>
    <row r="94" spans="1:9" x14ac:dyDescent="0.35">
      <c r="A94" t="s">
        <v>487</v>
      </c>
      <c r="B94">
        <v>104378003</v>
      </c>
      <c r="C94" t="s">
        <v>495</v>
      </c>
      <c r="D94" t="s">
        <v>486</v>
      </c>
      <c r="E94" t="s">
        <v>484</v>
      </c>
      <c r="F94">
        <v>173</v>
      </c>
      <c r="G94" t="s">
        <v>60</v>
      </c>
      <c r="H94" t="s">
        <v>492</v>
      </c>
      <c r="I94">
        <v>724</v>
      </c>
    </row>
    <row r="95" spans="1:9" x14ac:dyDescent="0.35">
      <c r="A95" t="s">
        <v>487</v>
      </c>
      <c r="B95">
        <v>104378003</v>
      </c>
      <c r="C95" t="s">
        <v>495</v>
      </c>
      <c r="D95" t="s">
        <v>486</v>
      </c>
      <c r="E95" t="s">
        <v>484</v>
      </c>
      <c r="F95">
        <v>173</v>
      </c>
      <c r="G95" t="s">
        <v>60</v>
      </c>
      <c r="H95" t="s">
        <v>488</v>
      </c>
      <c r="I95">
        <v>120</v>
      </c>
    </row>
    <row r="96" spans="1:9" x14ac:dyDescent="0.35">
      <c r="A96" t="s">
        <v>487</v>
      </c>
      <c r="B96">
        <v>104378003</v>
      </c>
      <c r="C96" t="s">
        <v>495</v>
      </c>
      <c r="D96" t="s">
        <v>486</v>
      </c>
      <c r="E96" t="s">
        <v>484</v>
      </c>
      <c r="F96">
        <v>173</v>
      </c>
      <c r="G96" t="s">
        <v>60</v>
      </c>
      <c r="H96" t="s">
        <v>489</v>
      </c>
      <c r="I96">
        <v>604</v>
      </c>
    </row>
    <row r="97" spans="1:9" x14ac:dyDescent="0.35">
      <c r="A97" t="s">
        <v>487</v>
      </c>
      <c r="B97">
        <v>104378003</v>
      </c>
      <c r="C97" t="s">
        <v>495</v>
      </c>
      <c r="D97" t="s">
        <v>486</v>
      </c>
      <c r="E97" t="s">
        <v>484</v>
      </c>
      <c r="F97">
        <v>173</v>
      </c>
      <c r="G97" t="s">
        <v>81</v>
      </c>
      <c r="H97" t="s">
        <v>492</v>
      </c>
      <c r="I97">
        <v>173</v>
      </c>
    </row>
    <row r="98" spans="1:9" x14ac:dyDescent="0.35">
      <c r="A98" t="s">
        <v>487</v>
      </c>
      <c r="B98">
        <v>107907397</v>
      </c>
      <c r="C98" t="s">
        <v>547</v>
      </c>
      <c r="D98" t="s">
        <v>497</v>
      </c>
      <c r="E98" t="s">
        <v>493</v>
      </c>
      <c r="F98">
        <v>10</v>
      </c>
      <c r="G98" t="s">
        <v>60</v>
      </c>
      <c r="H98" t="s">
        <v>492</v>
      </c>
      <c r="I98">
        <v>127</v>
      </c>
    </row>
    <row r="99" spans="1:9" x14ac:dyDescent="0.35">
      <c r="A99" t="s">
        <v>487</v>
      </c>
      <c r="B99">
        <v>107907397</v>
      </c>
      <c r="C99" t="s">
        <v>547</v>
      </c>
      <c r="D99" t="s">
        <v>497</v>
      </c>
      <c r="E99" t="s">
        <v>493</v>
      </c>
      <c r="F99">
        <v>10</v>
      </c>
      <c r="G99" t="s">
        <v>60</v>
      </c>
      <c r="H99" t="s">
        <v>488</v>
      </c>
      <c r="I99">
        <v>58</v>
      </c>
    </row>
    <row r="100" spans="1:9" x14ac:dyDescent="0.35">
      <c r="A100" t="s">
        <v>487</v>
      </c>
      <c r="B100">
        <v>107907397</v>
      </c>
      <c r="C100" t="s">
        <v>547</v>
      </c>
      <c r="D100" t="s">
        <v>497</v>
      </c>
      <c r="E100" t="s">
        <v>493</v>
      </c>
      <c r="F100">
        <v>10</v>
      </c>
      <c r="G100" t="s">
        <v>60</v>
      </c>
      <c r="H100" t="s">
        <v>489</v>
      </c>
      <c r="I100">
        <v>69</v>
      </c>
    </row>
    <row r="101" spans="1:9" x14ac:dyDescent="0.35">
      <c r="A101" t="s">
        <v>487</v>
      </c>
      <c r="B101">
        <v>107907397</v>
      </c>
      <c r="C101" t="s">
        <v>547</v>
      </c>
      <c r="D101" t="s">
        <v>497</v>
      </c>
      <c r="E101" t="s">
        <v>493</v>
      </c>
      <c r="F101">
        <v>10</v>
      </c>
      <c r="G101" t="s">
        <v>81</v>
      </c>
      <c r="H101" t="s">
        <v>492</v>
      </c>
      <c r="I101">
        <v>10</v>
      </c>
    </row>
    <row r="102" spans="1:9" x14ac:dyDescent="0.35">
      <c r="A102" t="s">
        <v>487</v>
      </c>
      <c r="B102">
        <v>106686591</v>
      </c>
      <c r="C102" t="s">
        <v>587</v>
      </c>
      <c r="D102" t="s">
        <v>486</v>
      </c>
      <c r="E102" t="s">
        <v>493</v>
      </c>
      <c r="F102">
        <v>141</v>
      </c>
      <c r="G102" t="s">
        <v>60</v>
      </c>
      <c r="H102" t="s">
        <v>492</v>
      </c>
      <c r="I102">
        <v>1302</v>
      </c>
    </row>
    <row r="103" spans="1:9" x14ac:dyDescent="0.35">
      <c r="A103" t="s">
        <v>487</v>
      </c>
      <c r="B103">
        <v>106686591</v>
      </c>
      <c r="C103" t="s">
        <v>587</v>
      </c>
      <c r="D103" t="s">
        <v>486</v>
      </c>
      <c r="E103" t="s">
        <v>493</v>
      </c>
      <c r="F103">
        <v>141</v>
      </c>
      <c r="G103" t="s">
        <v>81</v>
      </c>
      <c r="H103" t="s">
        <v>492</v>
      </c>
      <c r="I103">
        <v>141</v>
      </c>
    </row>
    <row r="104" spans="1:9" x14ac:dyDescent="0.35">
      <c r="A104" t="s">
        <v>487</v>
      </c>
      <c r="B104">
        <v>100414680</v>
      </c>
      <c r="C104" t="s">
        <v>548</v>
      </c>
      <c r="D104" t="s">
        <v>497</v>
      </c>
      <c r="E104" t="s">
        <v>484</v>
      </c>
      <c r="F104">
        <v>203</v>
      </c>
      <c r="G104" t="s">
        <v>60</v>
      </c>
      <c r="H104" t="s">
        <v>492</v>
      </c>
      <c r="I104">
        <v>979</v>
      </c>
    </row>
    <row r="105" spans="1:9" x14ac:dyDescent="0.35">
      <c r="A105" t="s">
        <v>487</v>
      </c>
      <c r="B105">
        <v>100414680</v>
      </c>
      <c r="C105" t="s">
        <v>548</v>
      </c>
      <c r="D105" t="s">
        <v>497</v>
      </c>
      <c r="E105" t="s">
        <v>484</v>
      </c>
      <c r="F105">
        <v>203</v>
      </c>
      <c r="G105" t="s">
        <v>60</v>
      </c>
      <c r="H105" t="s">
        <v>488</v>
      </c>
      <c r="I105">
        <v>150</v>
      </c>
    </row>
    <row r="106" spans="1:9" x14ac:dyDescent="0.35">
      <c r="A106" t="s">
        <v>487</v>
      </c>
      <c r="B106">
        <v>100414680</v>
      </c>
      <c r="C106" t="s">
        <v>548</v>
      </c>
      <c r="D106" t="s">
        <v>497</v>
      </c>
      <c r="E106" t="s">
        <v>484</v>
      </c>
      <c r="F106">
        <v>203</v>
      </c>
      <c r="G106" t="s">
        <v>60</v>
      </c>
      <c r="H106" t="s">
        <v>489</v>
      </c>
      <c r="I106">
        <v>829</v>
      </c>
    </row>
    <row r="107" spans="1:9" x14ac:dyDescent="0.35">
      <c r="A107" t="s">
        <v>487</v>
      </c>
      <c r="B107">
        <v>100414680</v>
      </c>
      <c r="C107" t="s">
        <v>548</v>
      </c>
      <c r="D107" t="s">
        <v>497</v>
      </c>
      <c r="E107" t="s">
        <v>484</v>
      </c>
      <c r="F107">
        <v>203</v>
      </c>
      <c r="G107" t="s">
        <v>81</v>
      </c>
      <c r="H107" t="s">
        <v>492</v>
      </c>
      <c r="I107">
        <v>203</v>
      </c>
    </row>
    <row r="108" spans="1:9" x14ac:dyDescent="0.35">
      <c r="A108" t="s">
        <v>487</v>
      </c>
      <c r="B108">
        <v>107232971</v>
      </c>
      <c r="C108" t="s">
        <v>504</v>
      </c>
      <c r="D108" t="s">
        <v>486</v>
      </c>
      <c r="E108" t="s">
        <v>484</v>
      </c>
      <c r="F108">
        <v>212</v>
      </c>
      <c r="G108" t="s">
        <v>60</v>
      </c>
      <c r="H108" t="s">
        <v>492</v>
      </c>
      <c r="I108">
        <v>851</v>
      </c>
    </row>
    <row r="109" spans="1:9" x14ac:dyDescent="0.35">
      <c r="A109" t="s">
        <v>487</v>
      </c>
      <c r="B109">
        <v>107232971</v>
      </c>
      <c r="C109" t="s">
        <v>504</v>
      </c>
      <c r="D109" t="s">
        <v>486</v>
      </c>
      <c r="E109" t="s">
        <v>484</v>
      </c>
      <c r="F109">
        <v>212</v>
      </c>
      <c r="G109" t="s">
        <v>60</v>
      </c>
      <c r="H109" t="s">
        <v>488</v>
      </c>
      <c r="I109">
        <v>94</v>
      </c>
    </row>
    <row r="110" spans="1:9" x14ac:dyDescent="0.35">
      <c r="A110" t="s">
        <v>487</v>
      </c>
      <c r="B110">
        <v>107232971</v>
      </c>
      <c r="C110" t="s">
        <v>504</v>
      </c>
      <c r="D110" t="s">
        <v>486</v>
      </c>
      <c r="E110" t="s">
        <v>484</v>
      </c>
      <c r="F110">
        <v>212</v>
      </c>
      <c r="G110" t="s">
        <v>60</v>
      </c>
      <c r="H110" t="s">
        <v>489</v>
      </c>
      <c r="I110">
        <v>752</v>
      </c>
    </row>
    <row r="111" spans="1:9" x14ac:dyDescent="0.35">
      <c r="A111" t="s">
        <v>487</v>
      </c>
      <c r="B111">
        <v>107232971</v>
      </c>
      <c r="C111" t="s">
        <v>504</v>
      </c>
      <c r="D111" t="s">
        <v>486</v>
      </c>
      <c r="E111" t="s">
        <v>484</v>
      </c>
      <c r="F111">
        <v>212</v>
      </c>
      <c r="G111" t="s">
        <v>60</v>
      </c>
      <c r="H111" t="s">
        <v>490</v>
      </c>
      <c r="I111">
        <v>5</v>
      </c>
    </row>
    <row r="112" spans="1:9" x14ac:dyDescent="0.35">
      <c r="A112" t="s">
        <v>487</v>
      </c>
      <c r="B112">
        <v>107232971</v>
      </c>
      <c r="C112" t="s">
        <v>504</v>
      </c>
      <c r="D112" t="s">
        <v>486</v>
      </c>
      <c r="E112" t="s">
        <v>484</v>
      </c>
      <c r="F112">
        <v>212</v>
      </c>
      <c r="G112" t="s">
        <v>81</v>
      </c>
      <c r="H112" t="s">
        <v>492</v>
      </c>
      <c r="I112">
        <v>212</v>
      </c>
    </row>
    <row r="113" spans="1:9" x14ac:dyDescent="0.35">
      <c r="A113" t="s">
        <v>487</v>
      </c>
      <c r="B113">
        <v>107221179</v>
      </c>
      <c r="C113" t="s">
        <v>500</v>
      </c>
      <c r="D113" t="s">
        <v>486</v>
      </c>
      <c r="E113" t="s">
        <v>493</v>
      </c>
      <c r="F113">
        <v>42</v>
      </c>
      <c r="G113" t="s">
        <v>60</v>
      </c>
      <c r="H113" t="s">
        <v>492</v>
      </c>
      <c r="I113">
        <v>495</v>
      </c>
    </row>
    <row r="114" spans="1:9" x14ac:dyDescent="0.35">
      <c r="A114" t="s">
        <v>487</v>
      </c>
      <c r="B114">
        <v>107221179</v>
      </c>
      <c r="C114" t="s">
        <v>500</v>
      </c>
      <c r="D114" t="s">
        <v>486</v>
      </c>
      <c r="E114" t="s">
        <v>493</v>
      </c>
      <c r="F114">
        <v>42</v>
      </c>
      <c r="G114" t="s">
        <v>60</v>
      </c>
      <c r="H114" t="s">
        <v>488</v>
      </c>
      <c r="I114">
        <v>150</v>
      </c>
    </row>
    <row r="115" spans="1:9" x14ac:dyDescent="0.35">
      <c r="A115" t="s">
        <v>487</v>
      </c>
      <c r="B115">
        <v>107221179</v>
      </c>
      <c r="C115" t="s">
        <v>500</v>
      </c>
      <c r="D115" t="s">
        <v>486</v>
      </c>
      <c r="E115" t="s">
        <v>493</v>
      </c>
      <c r="F115">
        <v>42</v>
      </c>
      <c r="G115" t="s">
        <v>60</v>
      </c>
      <c r="H115" t="s">
        <v>489</v>
      </c>
      <c r="I115">
        <v>345</v>
      </c>
    </row>
    <row r="116" spans="1:9" x14ac:dyDescent="0.35">
      <c r="A116" t="s">
        <v>487</v>
      </c>
      <c r="B116">
        <v>107221179</v>
      </c>
      <c r="C116" t="s">
        <v>500</v>
      </c>
      <c r="D116" t="s">
        <v>486</v>
      </c>
      <c r="E116" t="s">
        <v>493</v>
      </c>
      <c r="F116">
        <v>42</v>
      </c>
      <c r="G116" t="s">
        <v>81</v>
      </c>
      <c r="H116" t="s">
        <v>492</v>
      </c>
      <c r="I116">
        <v>42</v>
      </c>
    </row>
    <row r="117" spans="1:9" x14ac:dyDescent="0.35">
      <c r="A117" t="s">
        <v>487</v>
      </c>
      <c r="B117">
        <v>107826202</v>
      </c>
      <c r="C117" t="s">
        <v>590</v>
      </c>
      <c r="D117" t="s">
        <v>497</v>
      </c>
      <c r="E117" t="s">
        <v>484</v>
      </c>
      <c r="F117">
        <v>397</v>
      </c>
      <c r="G117" t="s">
        <v>60</v>
      </c>
      <c r="H117" t="s">
        <v>492</v>
      </c>
      <c r="I117">
        <v>2711</v>
      </c>
    </row>
    <row r="118" spans="1:9" x14ac:dyDescent="0.35">
      <c r="A118" t="s">
        <v>487</v>
      </c>
      <c r="B118">
        <v>107826202</v>
      </c>
      <c r="C118" t="s">
        <v>590</v>
      </c>
      <c r="D118" t="s">
        <v>497</v>
      </c>
      <c r="E118" t="s">
        <v>484</v>
      </c>
      <c r="F118">
        <v>397</v>
      </c>
      <c r="G118" t="s">
        <v>60</v>
      </c>
      <c r="H118" t="s">
        <v>488</v>
      </c>
      <c r="I118">
        <v>802</v>
      </c>
    </row>
    <row r="119" spans="1:9" x14ac:dyDescent="0.35">
      <c r="A119" t="s">
        <v>487</v>
      </c>
      <c r="B119">
        <v>107826202</v>
      </c>
      <c r="C119" t="s">
        <v>590</v>
      </c>
      <c r="D119" t="s">
        <v>497</v>
      </c>
      <c r="E119" t="s">
        <v>484</v>
      </c>
      <c r="F119">
        <v>397</v>
      </c>
      <c r="G119" t="s">
        <v>60</v>
      </c>
      <c r="H119" t="s">
        <v>489</v>
      </c>
      <c r="I119">
        <v>1909</v>
      </c>
    </row>
    <row r="120" spans="1:9" x14ac:dyDescent="0.35">
      <c r="A120" t="s">
        <v>487</v>
      </c>
      <c r="B120">
        <v>107826202</v>
      </c>
      <c r="C120" t="s">
        <v>590</v>
      </c>
      <c r="D120" t="s">
        <v>497</v>
      </c>
      <c r="E120" t="s">
        <v>484</v>
      </c>
      <c r="F120">
        <v>397</v>
      </c>
      <c r="G120" t="s">
        <v>81</v>
      </c>
      <c r="H120" t="s">
        <v>492</v>
      </c>
      <c r="I120">
        <v>399</v>
      </c>
    </row>
    <row r="121" spans="1:9" x14ac:dyDescent="0.35">
      <c r="A121" t="s">
        <v>487</v>
      </c>
      <c r="B121">
        <v>107826262</v>
      </c>
      <c r="C121" t="s">
        <v>559</v>
      </c>
      <c r="D121" t="s">
        <v>497</v>
      </c>
      <c r="E121" t="s">
        <v>484</v>
      </c>
      <c r="F121">
        <v>251</v>
      </c>
      <c r="G121" t="s">
        <v>60</v>
      </c>
      <c r="H121" t="s">
        <v>492</v>
      </c>
      <c r="I121">
        <v>1248</v>
      </c>
    </row>
    <row r="122" spans="1:9" x14ac:dyDescent="0.35">
      <c r="A122" t="s">
        <v>487</v>
      </c>
      <c r="B122">
        <v>107826262</v>
      </c>
      <c r="C122" t="s">
        <v>559</v>
      </c>
      <c r="D122" t="s">
        <v>497</v>
      </c>
      <c r="E122" t="s">
        <v>484</v>
      </c>
      <c r="F122">
        <v>251</v>
      </c>
      <c r="G122" t="s">
        <v>60</v>
      </c>
      <c r="H122" t="s">
        <v>488</v>
      </c>
      <c r="I122">
        <v>476</v>
      </c>
    </row>
    <row r="123" spans="1:9" x14ac:dyDescent="0.35">
      <c r="A123" t="s">
        <v>487</v>
      </c>
      <c r="B123">
        <v>107826262</v>
      </c>
      <c r="C123" t="s">
        <v>559</v>
      </c>
      <c r="D123" t="s">
        <v>497</v>
      </c>
      <c r="E123" t="s">
        <v>484</v>
      </c>
      <c r="F123">
        <v>251</v>
      </c>
      <c r="G123" t="s">
        <v>60</v>
      </c>
      <c r="H123" t="s">
        <v>489</v>
      </c>
      <c r="I123">
        <v>772</v>
      </c>
    </row>
    <row r="124" spans="1:9" x14ac:dyDescent="0.35">
      <c r="A124" t="s">
        <v>487</v>
      </c>
      <c r="B124">
        <v>107826262</v>
      </c>
      <c r="C124" t="s">
        <v>559</v>
      </c>
      <c r="D124" t="s">
        <v>497</v>
      </c>
      <c r="E124" t="s">
        <v>484</v>
      </c>
      <c r="F124">
        <v>251</v>
      </c>
      <c r="G124" t="s">
        <v>81</v>
      </c>
      <c r="H124" t="s">
        <v>492</v>
      </c>
      <c r="I124">
        <v>251</v>
      </c>
    </row>
    <row r="125" spans="1:9" x14ac:dyDescent="0.35">
      <c r="A125" t="s">
        <v>487</v>
      </c>
      <c r="B125">
        <v>107844158</v>
      </c>
      <c r="C125" t="s">
        <v>520</v>
      </c>
      <c r="D125" t="s">
        <v>486</v>
      </c>
      <c r="E125" t="s">
        <v>484</v>
      </c>
      <c r="F125">
        <v>332</v>
      </c>
      <c r="G125" t="s">
        <v>60</v>
      </c>
      <c r="H125" t="s">
        <v>492</v>
      </c>
      <c r="I125">
        <v>2219</v>
      </c>
    </row>
    <row r="126" spans="1:9" x14ac:dyDescent="0.35">
      <c r="A126" t="s">
        <v>487</v>
      </c>
      <c r="B126">
        <v>107844158</v>
      </c>
      <c r="C126" t="s">
        <v>520</v>
      </c>
      <c r="D126" t="s">
        <v>486</v>
      </c>
      <c r="E126" t="s">
        <v>484</v>
      </c>
      <c r="F126">
        <v>332</v>
      </c>
      <c r="G126" t="s">
        <v>60</v>
      </c>
      <c r="H126" t="s">
        <v>488</v>
      </c>
      <c r="I126">
        <v>496</v>
      </c>
    </row>
    <row r="127" spans="1:9" x14ac:dyDescent="0.35">
      <c r="A127" t="s">
        <v>487</v>
      </c>
      <c r="B127">
        <v>107844158</v>
      </c>
      <c r="C127" t="s">
        <v>520</v>
      </c>
      <c r="D127" t="s">
        <v>486</v>
      </c>
      <c r="E127" t="s">
        <v>484</v>
      </c>
      <c r="F127">
        <v>332</v>
      </c>
      <c r="G127" t="s">
        <v>60</v>
      </c>
      <c r="H127" t="s">
        <v>489</v>
      </c>
      <c r="I127">
        <v>1722</v>
      </c>
    </row>
    <row r="128" spans="1:9" x14ac:dyDescent="0.35">
      <c r="A128" t="s">
        <v>487</v>
      </c>
      <c r="B128">
        <v>107844158</v>
      </c>
      <c r="C128" t="s">
        <v>520</v>
      </c>
      <c r="D128" t="s">
        <v>486</v>
      </c>
      <c r="E128" t="s">
        <v>484</v>
      </c>
      <c r="F128">
        <v>332</v>
      </c>
      <c r="G128" t="s">
        <v>60</v>
      </c>
      <c r="H128" t="s">
        <v>490</v>
      </c>
      <c r="I128">
        <v>1</v>
      </c>
    </row>
    <row r="129" spans="1:9" x14ac:dyDescent="0.35">
      <c r="A129" t="s">
        <v>487</v>
      </c>
      <c r="B129">
        <v>107844158</v>
      </c>
      <c r="C129" t="s">
        <v>520</v>
      </c>
      <c r="D129" t="s">
        <v>486</v>
      </c>
      <c r="E129" t="s">
        <v>484</v>
      </c>
      <c r="F129">
        <v>332</v>
      </c>
      <c r="G129" t="s">
        <v>81</v>
      </c>
      <c r="H129" t="s">
        <v>492</v>
      </c>
      <c r="I129">
        <v>332</v>
      </c>
    </row>
    <row r="130" spans="1:9" x14ac:dyDescent="0.35">
      <c r="A130" t="s">
        <v>487</v>
      </c>
      <c r="B130">
        <v>107463281</v>
      </c>
      <c r="C130" t="s">
        <v>539</v>
      </c>
      <c r="D130" t="s">
        <v>497</v>
      </c>
      <c r="E130" t="s">
        <v>484</v>
      </c>
      <c r="F130">
        <v>351</v>
      </c>
      <c r="G130" t="s">
        <v>60</v>
      </c>
      <c r="H130" t="s">
        <v>492</v>
      </c>
      <c r="I130">
        <v>3254</v>
      </c>
    </row>
    <row r="131" spans="1:9" x14ac:dyDescent="0.35">
      <c r="A131" t="s">
        <v>487</v>
      </c>
      <c r="B131">
        <v>107463281</v>
      </c>
      <c r="C131" t="s">
        <v>539</v>
      </c>
      <c r="D131" t="s">
        <v>497</v>
      </c>
      <c r="E131" t="s">
        <v>484</v>
      </c>
      <c r="F131">
        <v>351</v>
      </c>
      <c r="G131" t="s">
        <v>60</v>
      </c>
      <c r="H131" t="s">
        <v>488</v>
      </c>
      <c r="I131">
        <v>238</v>
      </c>
    </row>
    <row r="132" spans="1:9" x14ac:dyDescent="0.35">
      <c r="A132" t="s">
        <v>487</v>
      </c>
      <c r="B132">
        <v>107463281</v>
      </c>
      <c r="C132" t="s">
        <v>539</v>
      </c>
      <c r="D132" t="s">
        <v>497</v>
      </c>
      <c r="E132" t="s">
        <v>484</v>
      </c>
      <c r="F132">
        <v>351</v>
      </c>
      <c r="G132" t="s">
        <v>60</v>
      </c>
      <c r="H132" t="s">
        <v>489</v>
      </c>
      <c r="I132">
        <v>3016</v>
      </c>
    </row>
    <row r="133" spans="1:9" x14ac:dyDescent="0.35">
      <c r="A133" t="s">
        <v>487</v>
      </c>
      <c r="B133">
        <v>107463281</v>
      </c>
      <c r="C133" t="s">
        <v>539</v>
      </c>
      <c r="D133" t="s">
        <v>497</v>
      </c>
      <c r="E133" t="s">
        <v>484</v>
      </c>
      <c r="F133">
        <v>351</v>
      </c>
      <c r="G133" t="s">
        <v>81</v>
      </c>
      <c r="H133" t="s">
        <v>492</v>
      </c>
      <c r="I133">
        <v>351</v>
      </c>
    </row>
    <row r="134" spans="1:9" x14ac:dyDescent="0.35">
      <c r="A134" t="s">
        <v>487</v>
      </c>
      <c r="B134">
        <v>107284888</v>
      </c>
      <c r="C134" t="s">
        <v>558</v>
      </c>
      <c r="D134" t="s">
        <v>499</v>
      </c>
      <c r="E134" t="s">
        <v>484</v>
      </c>
      <c r="F134">
        <v>339</v>
      </c>
      <c r="G134" t="s">
        <v>60</v>
      </c>
      <c r="H134" t="s">
        <v>492</v>
      </c>
      <c r="I134">
        <v>2822</v>
      </c>
    </row>
    <row r="135" spans="1:9" x14ac:dyDescent="0.35">
      <c r="A135" t="s">
        <v>487</v>
      </c>
      <c r="B135">
        <v>107284888</v>
      </c>
      <c r="C135" t="s">
        <v>558</v>
      </c>
      <c r="D135" t="s">
        <v>499</v>
      </c>
      <c r="E135" t="s">
        <v>484</v>
      </c>
      <c r="F135">
        <v>339</v>
      </c>
      <c r="G135" t="s">
        <v>60</v>
      </c>
      <c r="H135" t="s">
        <v>488</v>
      </c>
      <c r="I135">
        <v>662</v>
      </c>
    </row>
    <row r="136" spans="1:9" x14ac:dyDescent="0.35">
      <c r="A136" t="s">
        <v>487</v>
      </c>
      <c r="B136">
        <v>107284888</v>
      </c>
      <c r="C136" t="s">
        <v>558</v>
      </c>
      <c r="D136" t="s">
        <v>499</v>
      </c>
      <c r="E136" t="s">
        <v>484</v>
      </c>
      <c r="F136">
        <v>339</v>
      </c>
      <c r="G136" t="s">
        <v>60</v>
      </c>
      <c r="H136" t="s">
        <v>489</v>
      </c>
      <c r="I136">
        <v>2146</v>
      </c>
    </row>
    <row r="137" spans="1:9" x14ac:dyDescent="0.35">
      <c r="A137" t="s">
        <v>487</v>
      </c>
      <c r="B137">
        <v>107284888</v>
      </c>
      <c r="C137" t="s">
        <v>558</v>
      </c>
      <c r="D137" t="s">
        <v>499</v>
      </c>
      <c r="E137" t="s">
        <v>484</v>
      </c>
      <c r="F137">
        <v>339</v>
      </c>
      <c r="G137" t="s">
        <v>60</v>
      </c>
      <c r="H137" t="s">
        <v>490</v>
      </c>
      <c r="I137">
        <v>14</v>
      </c>
    </row>
    <row r="138" spans="1:9" x14ac:dyDescent="0.35">
      <c r="A138" t="s">
        <v>487</v>
      </c>
      <c r="B138">
        <v>107284888</v>
      </c>
      <c r="C138" t="s">
        <v>558</v>
      </c>
      <c r="D138" t="s">
        <v>499</v>
      </c>
      <c r="E138" t="s">
        <v>484</v>
      </c>
      <c r="F138">
        <v>339</v>
      </c>
      <c r="G138" t="s">
        <v>81</v>
      </c>
      <c r="H138" t="s">
        <v>492</v>
      </c>
      <c r="I138">
        <v>339</v>
      </c>
    </row>
    <row r="139" spans="1:9" x14ac:dyDescent="0.35">
      <c r="A139" t="s">
        <v>34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S186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>
    <row r="1" spans="1:19" x14ac:dyDescent="0.35">
      <c r="A1" t="s">
        <v>35</v>
      </c>
      <c r="B1" t="s">
        <v>36</v>
      </c>
      <c r="C1" t="s">
        <v>37</v>
      </c>
      <c r="D1" t="s">
        <v>38</v>
      </c>
      <c r="E1" t="s">
        <v>39</v>
      </c>
      <c r="F1" t="s">
        <v>40</v>
      </c>
      <c r="G1" t="s">
        <v>41</v>
      </c>
      <c r="H1" t="s">
        <v>42</v>
      </c>
      <c r="I1" t="s">
        <v>43</v>
      </c>
      <c r="J1" t="s">
        <v>44</v>
      </c>
      <c r="K1" t="s">
        <v>45</v>
      </c>
      <c r="L1" t="s">
        <v>46</v>
      </c>
      <c r="M1" t="s">
        <v>47</v>
      </c>
      <c r="N1" t="s">
        <v>48</v>
      </c>
      <c r="O1" t="s">
        <v>49</v>
      </c>
      <c r="P1" t="s">
        <v>50</v>
      </c>
      <c r="Q1" t="s">
        <v>51</v>
      </c>
      <c r="R1" t="s">
        <v>52</v>
      </c>
      <c r="S1" t="s">
        <v>53</v>
      </c>
    </row>
    <row r="2" spans="1:19" x14ac:dyDescent="0.35">
      <c r="A2" t="s">
        <v>54</v>
      </c>
      <c r="B2">
        <v>1</v>
      </c>
      <c r="C2" t="s">
        <v>55</v>
      </c>
      <c r="D2" t="s">
        <v>6</v>
      </c>
      <c r="E2" t="s">
        <v>13</v>
      </c>
      <c r="F2" t="s">
        <v>56</v>
      </c>
      <c r="G2" t="s">
        <v>57</v>
      </c>
      <c r="H2">
        <v>117892</v>
      </c>
      <c r="I2">
        <v>78.16</v>
      </c>
      <c r="J2">
        <v>1508.3418628454399</v>
      </c>
      <c r="K2">
        <v>995.00000399999999</v>
      </c>
      <c r="L2">
        <v>118.484421634233</v>
      </c>
      <c r="M2">
        <v>40.324421634233403</v>
      </c>
      <c r="N2">
        <v>1.51592146410227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35">
      <c r="A3" t="s">
        <v>54</v>
      </c>
      <c r="B3">
        <v>2</v>
      </c>
      <c r="C3" t="s">
        <v>58</v>
      </c>
      <c r="D3" t="s">
        <v>59</v>
      </c>
      <c r="E3" t="s">
        <v>13</v>
      </c>
      <c r="F3" t="s">
        <v>56</v>
      </c>
      <c r="G3" t="s">
        <v>60</v>
      </c>
      <c r="H3">
        <v>3734</v>
      </c>
      <c r="I3">
        <v>3.8086111111111101</v>
      </c>
      <c r="J3">
        <v>980.40988986944797</v>
      </c>
      <c r="K3">
        <v>275.00000399999999</v>
      </c>
      <c r="L3">
        <v>13.578181620680899</v>
      </c>
      <c r="M3">
        <v>9.7695705095698795</v>
      </c>
      <c r="N3">
        <v>3.5651268203961402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35">
      <c r="A4" t="s">
        <v>54</v>
      </c>
      <c r="B4">
        <v>3</v>
      </c>
      <c r="C4" t="s">
        <v>61</v>
      </c>
      <c r="D4" t="s">
        <v>62</v>
      </c>
      <c r="E4" t="s">
        <v>13</v>
      </c>
      <c r="F4" t="s">
        <v>56</v>
      </c>
      <c r="G4" t="s">
        <v>60</v>
      </c>
      <c r="H4">
        <v>2843</v>
      </c>
      <c r="I4">
        <v>18.5897222222222</v>
      </c>
      <c r="J4">
        <v>152.933968889619</v>
      </c>
      <c r="K4">
        <v>101.999988</v>
      </c>
      <c r="L4">
        <v>27.872552298731598</v>
      </c>
      <c r="M4">
        <v>9.2828300765094198</v>
      </c>
      <c r="N4">
        <v>1.49935281256718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35">
      <c r="A5" t="s">
        <v>54</v>
      </c>
      <c r="B5">
        <v>4</v>
      </c>
      <c r="C5" t="s">
        <v>63</v>
      </c>
      <c r="D5" t="s">
        <v>64</v>
      </c>
      <c r="E5" t="s">
        <v>13</v>
      </c>
      <c r="F5" t="s">
        <v>56</v>
      </c>
      <c r="G5" t="s">
        <v>60</v>
      </c>
      <c r="H5">
        <v>67</v>
      </c>
      <c r="I5">
        <v>1.52</v>
      </c>
      <c r="J5">
        <v>44.078947368420998</v>
      </c>
      <c r="K5">
        <v>52.999991999999999</v>
      </c>
      <c r="L5">
        <v>1.2641511342114899</v>
      </c>
      <c r="M5">
        <v>-0.25584886578850802</v>
      </c>
      <c r="N5">
        <v>0.83167837777071796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35">
      <c r="A6" t="s">
        <v>54</v>
      </c>
      <c r="B6">
        <v>5</v>
      </c>
      <c r="C6" t="s">
        <v>65</v>
      </c>
      <c r="D6" t="s">
        <v>66</v>
      </c>
      <c r="E6" t="s">
        <v>13</v>
      </c>
      <c r="F6" t="s">
        <v>56</v>
      </c>
      <c r="G6" t="s">
        <v>60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35">
      <c r="A7" t="s">
        <v>54</v>
      </c>
      <c r="B7">
        <v>6</v>
      </c>
      <c r="C7" t="s">
        <v>67</v>
      </c>
      <c r="D7" t="s">
        <v>68</v>
      </c>
      <c r="E7" t="s">
        <v>13</v>
      </c>
      <c r="F7" t="s">
        <v>56</v>
      </c>
      <c r="G7" t="s">
        <v>60</v>
      </c>
      <c r="H7">
        <v>6644</v>
      </c>
      <c r="I7">
        <v>23.918333333333301</v>
      </c>
      <c r="J7">
        <v>277.77855201728102</v>
      </c>
      <c r="K7">
        <v>155.542968022953</v>
      </c>
      <c r="L7">
        <v>42.714885053624101</v>
      </c>
      <c r="M7">
        <v>18.796551720290701</v>
      </c>
      <c r="N7">
        <v>1.7858637748013699</v>
      </c>
      <c r="P7">
        <v>0</v>
      </c>
      <c r="Q7">
        <v>0</v>
      </c>
      <c r="R7">
        <v>0</v>
      </c>
      <c r="S7">
        <v>0</v>
      </c>
    </row>
    <row r="8" spans="1:19" x14ac:dyDescent="0.35">
      <c r="A8" t="s">
        <v>54</v>
      </c>
      <c r="B8">
        <v>7</v>
      </c>
      <c r="C8" t="s">
        <v>69</v>
      </c>
      <c r="D8" t="s">
        <v>70</v>
      </c>
      <c r="E8" t="s">
        <v>13</v>
      </c>
      <c r="F8" t="s">
        <v>56</v>
      </c>
      <c r="G8" t="s">
        <v>60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35">
      <c r="A9" t="s">
        <v>54</v>
      </c>
      <c r="B9">
        <v>8</v>
      </c>
      <c r="C9" t="s">
        <v>71</v>
      </c>
      <c r="D9" t="s">
        <v>72</v>
      </c>
      <c r="E9" t="s">
        <v>13</v>
      </c>
      <c r="F9" t="s">
        <v>56</v>
      </c>
      <c r="G9" t="s">
        <v>60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35">
      <c r="A10" t="s">
        <v>54</v>
      </c>
      <c r="B10">
        <v>9</v>
      </c>
      <c r="C10" t="s">
        <v>73</v>
      </c>
      <c r="D10" t="s">
        <v>74</v>
      </c>
      <c r="E10" t="s">
        <v>13</v>
      </c>
      <c r="F10" t="s">
        <v>56</v>
      </c>
      <c r="G10" t="s">
        <v>60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35">
      <c r="A11" t="s">
        <v>54</v>
      </c>
      <c r="B11">
        <v>10</v>
      </c>
      <c r="C11" t="s">
        <v>75</v>
      </c>
      <c r="D11" t="s">
        <v>76</v>
      </c>
      <c r="E11" t="s">
        <v>13</v>
      </c>
      <c r="F11" t="s">
        <v>56</v>
      </c>
      <c r="G11" t="s">
        <v>60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35">
      <c r="A12" t="s">
        <v>54</v>
      </c>
      <c r="B12">
        <v>11</v>
      </c>
      <c r="C12" t="s">
        <v>77</v>
      </c>
      <c r="D12" t="s">
        <v>78</v>
      </c>
      <c r="E12" t="s">
        <v>13</v>
      </c>
      <c r="F12" t="s">
        <v>56</v>
      </c>
      <c r="G12" t="s">
        <v>60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0</v>
      </c>
      <c r="Q12">
        <v>0</v>
      </c>
      <c r="R12">
        <v>0</v>
      </c>
      <c r="S12">
        <v>0</v>
      </c>
    </row>
    <row r="13" spans="1:19" x14ac:dyDescent="0.35">
      <c r="A13" t="s">
        <v>54</v>
      </c>
      <c r="B13">
        <v>12</v>
      </c>
      <c r="C13" t="s">
        <v>79</v>
      </c>
      <c r="D13" t="s">
        <v>80</v>
      </c>
      <c r="E13" t="s">
        <v>13</v>
      </c>
      <c r="F13" t="s">
        <v>56</v>
      </c>
      <c r="G13" t="s">
        <v>81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35">
      <c r="A14" t="s">
        <v>54</v>
      </c>
      <c r="B14">
        <v>13</v>
      </c>
      <c r="C14" t="s">
        <v>82</v>
      </c>
      <c r="D14" t="s">
        <v>7</v>
      </c>
      <c r="E14" t="s">
        <v>13</v>
      </c>
      <c r="F14" t="s">
        <v>56</v>
      </c>
      <c r="G14" t="s">
        <v>81</v>
      </c>
      <c r="H14">
        <v>17695</v>
      </c>
      <c r="I14">
        <v>16.560555555555499</v>
      </c>
      <c r="J14">
        <v>1068.5028011674301</v>
      </c>
      <c r="K14">
        <v>524.99998800000003</v>
      </c>
      <c r="L14">
        <v>33.704762675156402</v>
      </c>
      <c r="M14">
        <v>17.1442071196009</v>
      </c>
      <c r="N14">
        <v>2.0352434773149599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35">
      <c r="A15" t="s">
        <v>54</v>
      </c>
      <c r="B15">
        <v>14</v>
      </c>
      <c r="C15" t="s">
        <v>83</v>
      </c>
      <c r="D15" t="s">
        <v>84</v>
      </c>
      <c r="E15" t="s">
        <v>13</v>
      </c>
      <c r="F15" t="s">
        <v>56</v>
      </c>
      <c r="G15" t="s">
        <v>85</v>
      </c>
      <c r="H15">
        <v>0</v>
      </c>
      <c r="I15">
        <v>0</v>
      </c>
      <c r="J15">
        <v>0</v>
      </c>
      <c r="K15">
        <v>11.999988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35">
      <c r="A16" t="s">
        <v>54</v>
      </c>
      <c r="B16">
        <v>15</v>
      </c>
      <c r="C16" t="s">
        <v>86</v>
      </c>
      <c r="D16" t="s">
        <v>87</v>
      </c>
      <c r="E16" t="s">
        <v>13</v>
      </c>
      <c r="F16" t="s">
        <v>56</v>
      </c>
      <c r="G16" t="s">
        <v>57</v>
      </c>
      <c r="H16">
        <v>117892</v>
      </c>
      <c r="I16">
        <v>49.263611111111103</v>
      </c>
      <c r="J16">
        <v>2393.08482145374</v>
      </c>
      <c r="K16">
        <v>2000.00001599999</v>
      </c>
      <c r="L16">
        <v>58.945999528431997</v>
      </c>
      <c r="M16">
        <v>9.6823884173208992</v>
      </c>
      <c r="N16">
        <v>1.19654240115453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35">
      <c r="A17" t="s">
        <v>54</v>
      </c>
      <c r="B17">
        <v>16</v>
      </c>
      <c r="C17" t="s">
        <v>88</v>
      </c>
      <c r="D17" t="s">
        <v>89</v>
      </c>
      <c r="E17" t="s">
        <v>13</v>
      </c>
      <c r="F17" t="s">
        <v>56</v>
      </c>
      <c r="G17" t="s">
        <v>60</v>
      </c>
      <c r="H17">
        <v>117892</v>
      </c>
      <c r="I17">
        <v>167.9025</v>
      </c>
      <c r="J17">
        <v>702.14559044683597</v>
      </c>
      <c r="K17">
        <v>464.41586766089898</v>
      </c>
      <c r="L17">
        <v>253.850068891446</v>
      </c>
      <c r="M17">
        <v>85.947568891446096</v>
      </c>
      <c r="N17">
        <v>1.51188975084615</v>
      </c>
      <c r="P17">
        <v>0</v>
      </c>
      <c r="Q17">
        <v>0</v>
      </c>
      <c r="R17">
        <v>0</v>
      </c>
      <c r="S17">
        <v>0</v>
      </c>
    </row>
    <row r="18" spans="1:19" x14ac:dyDescent="0.35">
      <c r="A18" t="s">
        <v>54</v>
      </c>
      <c r="B18">
        <v>17</v>
      </c>
      <c r="C18" t="s">
        <v>90</v>
      </c>
      <c r="D18" t="s">
        <v>91</v>
      </c>
      <c r="E18" t="s">
        <v>13</v>
      </c>
      <c r="F18" t="s">
        <v>92</v>
      </c>
      <c r="G18" t="s">
        <v>81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35">
      <c r="A19" t="s">
        <v>54</v>
      </c>
      <c r="B19">
        <v>18</v>
      </c>
      <c r="C19" t="s">
        <v>93</v>
      </c>
      <c r="D19" t="s">
        <v>94</v>
      </c>
      <c r="E19" t="s">
        <v>13</v>
      </c>
      <c r="F19" t="s">
        <v>92</v>
      </c>
      <c r="G19" t="s">
        <v>60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35">
      <c r="A20" t="s">
        <v>54</v>
      </c>
      <c r="B20">
        <v>19</v>
      </c>
      <c r="C20" t="s">
        <v>95</v>
      </c>
      <c r="D20" t="s">
        <v>96</v>
      </c>
      <c r="E20" t="s">
        <v>13</v>
      </c>
      <c r="F20" t="s">
        <v>92</v>
      </c>
      <c r="G20" t="s">
        <v>60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35">
      <c r="A21" t="s">
        <v>54</v>
      </c>
      <c r="B21">
        <v>20</v>
      </c>
      <c r="C21" t="s">
        <v>97</v>
      </c>
      <c r="D21" t="s">
        <v>98</v>
      </c>
      <c r="E21" t="s">
        <v>13</v>
      </c>
      <c r="F21" t="s">
        <v>92</v>
      </c>
      <c r="G21" t="s">
        <v>60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35">
      <c r="A22" t="s">
        <v>54</v>
      </c>
      <c r="B22">
        <v>21</v>
      </c>
      <c r="C22" t="s">
        <v>99</v>
      </c>
      <c r="D22" t="s">
        <v>100</v>
      </c>
      <c r="E22" t="s">
        <v>13</v>
      </c>
      <c r="F22" t="s">
        <v>92</v>
      </c>
      <c r="G22" t="s">
        <v>60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 x14ac:dyDescent="0.35">
      <c r="A23" t="s">
        <v>54</v>
      </c>
      <c r="B23">
        <v>22</v>
      </c>
      <c r="C23" t="s">
        <v>101</v>
      </c>
      <c r="D23" t="s">
        <v>102</v>
      </c>
      <c r="E23" t="s">
        <v>13</v>
      </c>
      <c r="F23" t="s">
        <v>92</v>
      </c>
      <c r="G23" t="s">
        <v>60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P23">
        <v>0</v>
      </c>
      <c r="Q23">
        <v>0</v>
      </c>
      <c r="R23">
        <v>0</v>
      </c>
      <c r="S23">
        <v>0</v>
      </c>
    </row>
    <row r="24" spans="1:19" x14ac:dyDescent="0.35">
      <c r="A24" t="s">
        <v>54</v>
      </c>
      <c r="B24">
        <v>23</v>
      </c>
      <c r="C24" t="s">
        <v>103</v>
      </c>
      <c r="D24" t="s">
        <v>104</v>
      </c>
      <c r="E24" t="s">
        <v>13</v>
      </c>
      <c r="F24" t="s">
        <v>92</v>
      </c>
      <c r="G24" t="s">
        <v>81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35">
      <c r="A25" t="s">
        <v>54</v>
      </c>
      <c r="B25">
        <v>24</v>
      </c>
      <c r="C25" t="s">
        <v>105</v>
      </c>
      <c r="D25" t="s">
        <v>106</v>
      </c>
      <c r="E25" t="s">
        <v>13</v>
      </c>
      <c r="F25" t="s">
        <v>92</v>
      </c>
      <c r="G25" t="s">
        <v>85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35">
      <c r="A26" t="s">
        <v>54</v>
      </c>
      <c r="B26">
        <v>25</v>
      </c>
      <c r="C26" t="s">
        <v>107</v>
      </c>
      <c r="D26" t="s">
        <v>108</v>
      </c>
      <c r="E26" t="s">
        <v>13</v>
      </c>
      <c r="F26" t="s">
        <v>92</v>
      </c>
      <c r="G26" t="s">
        <v>57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35">
      <c r="A27" t="s">
        <v>54</v>
      </c>
      <c r="B27">
        <v>26</v>
      </c>
      <c r="C27" t="s">
        <v>109</v>
      </c>
      <c r="D27" t="s">
        <v>110</v>
      </c>
      <c r="E27" t="s">
        <v>13</v>
      </c>
      <c r="F27" t="s">
        <v>92</v>
      </c>
      <c r="G27" t="s">
        <v>60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P27">
        <v>0</v>
      </c>
      <c r="Q27">
        <v>0</v>
      </c>
      <c r="R27">
        <v>0</v>
      </c>
      <c r="S27">
        <v>0</v>
      </c>
    </row>
    <row r="28" spans="1:19" x14ac:dyDescent="0.35">
      <c r="A28" t="s">
        <v>54</v>
      </c>
      <c r="B28">
        <v>27</v>
      </c>
      <c r="C28" t="s">
        <v>111</v>
      </c>
      <c r="D28" t="s">
        <v>112</v>
      </c>
      <c r="E28" t="s">
        <v>13</v>
      </c>
      <c r="F28" t="s">
        <v>113</v>
      </c>
      <c r="G28" t="s">
        <v>60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 x14ac:dyDescent="0.35">
      <c r="A29" t="s">
        <v>54</v>
      </c>
      <c r="B29">
        <v>28</v>
      </c>
      <c r="C29" t="s">
        <v>114</v>
      </c>
      <c r="D29" t="s">
        <v>115</v>
      </c>
      <c r="E29" t="s">
        <v>13</v>
      </c>
      <c r="F29" t="s">
        <v>113</v>
      </c>
      <c r="G29" t="s">
        <v>60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35">
      <c r="A30" t="s">
        <v>54</v>
      </c>
      <c r="B30">
        <v>29</v>
      </c>
      <c r="C30" t="s">
        <v>116</v>
      </c>
      <c r="D30" t="s">
        <v>117</v>
      </c>
      <c r="E30" t="s">
        <v>13</v>
      </c>
      <c r="F30" t="s">
        <v>113</v>
      </c>
      <c r="G30" t="s">
        <v>60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35">
      <c r="A31" t="s">
        <v>54</v>
      </c>
      <c r="B31">
        <v>30</v>
      </c>
      <c r="C31" t="s">
        <v>118</v>
      </c>
      <c r="D31" t="s">
        <v>119</v>
      </c>
      <c r="E31" t="s">
        <v>13</v>
      </c>
      <c r="F31" t="s">
        <v>113</v>
      </c>
      <c r="G31" t="s">
        <v>60</v>
      </c>
      <c r="H31">
        <v>6</v>
      </c>
      <c r="I31">
        <v>0.103888888888888</v>
      </c>
      <c r="J31">
        <v>57.754010695187098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35">
      <c r="A32" t="s">
        <v>54</v>
      </c>
      <c r="B32">
        <v>31</v>
      </c>
      <c r="C32" t="s">
        <v>120</v>
      </c>
      <c r="D32" t="s">
        <v>121</v>
      </c>
      <c r="E32" t="s">
        <v>13</v>
      </c>
      <c r="F32" t="s">
        <v>113</v>
      </c>
      <c r="G32" t="s">
        <v>60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35">
      <c r="A33" t="s">
        <v>54</v>
      </c>
      <c r="B33">
        <v>32</v>
      </c>
      <c r="C33" t="s">
        <v>122</v>
      </c>
      <c r="D33" t="s">
        <v>123</v>
      </c>
      <c r="E33" t="s">
        <v>13</v>
      </c>
      <c r="F33" t="s">
        <v>113</v>
      </c>
      <c r="G33" t="s">
        <v>60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35">
      <c r="A34" t="s">
        <v>54</v>
      </c>
      <c r="B34">
        <v>33</v>
      </c>
      <c r="C34" t="s">
        <v>124</v>
      </c>
      <c r="D34" t="s">
        <v>125</v>
      </c>
      <c r="E34" t="s">
        <v>13</v>
      </c>
      <c r="F34" t="s">
        <v>113</v>
      </c>
      <c r="G34" t="s">
        <v>60</v>
      </c>
      <c r="H34">
        <v>6</v>
      </c>
      <c r="I34">
        <v>0.103888888888888</v>
      </c>
      <c r="J34">
        <v>57.754010695187098</v>
      </c>
      <c r="K34">
        <v>0</v>
      </c>
      <c r="L34">
        <v>0</v>
      </c>
      <c r="M34">
        <v>-0.103888888888888</v>
      </c>
      <c r="N34">
        <v>0</v>
      </c>
      <c r="P34">
        <v>0</v>
      </c>
      <c r="Q34">
        <v>0</v>
      </c>
      <c r="R34">
        <v>0</v>
      </c>
      <c r="S34">
        <v>0</v>
      </c>
    </row>
    <row r="35" spans="1:19" x14ac:dyDescent="0.35">
      <c r="A35" t="s">
        <v>54</v>
      </c>
      <c r="B35">
        <v>34</v>
      </c>
      <c r="C35" t="s">
        <v>126</v>
      </c>
      <c r="D35" t="s">
        <v>127</v>
      </c>
      <c r="E35" t="s">
        <v>13</v>
      </c>
      <c r="F35" t="s">
        <v>113</v>
      </c>
      <c r="G35" t="s">
        <v>57</v>
      </c>
      <c r="H35">
        <v>6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35">
      <c r="A36" t="s">
        <v>54</v>
      </c>
      <c r="B36">
        <v>35</v>
      </c>
      <c r="C36" t="s">
        <v>128</v>
      </c>
      <c r="D36" t="s">
        <v>129</v>
      </c>
      <c r="E36" t="s">
        <v>13</v>
      </c>
      <c r="F36" t="s">
        <v>113</v>
      </c>
      <c r="G36" t="s">
        <v>57</v>
      </c>
      <c r="H36">
        <v>6</v>
      </c>
      <c r="I36">
        <v>0.103888888888888</v>
      </c>
      <c r="J36">
        <v>57.754010695187098</v>
      </c>
      <c r="K36">
        <v>0</v>
      </c>
      <c r="L36">
        <v>0</v>
      </c>
      <c r="M36">
        <v>-0.103888888888888</v>
      </c>
      <c r="N36">
        <v>0</v>
      </c>
      <c r="P36">
        <v>0</v>
      </c>
      <c r="Q36">
        <v>0</v>
      </c>
      <c r="R36">
        <v>0</v>
      </c>
      <c r="S36">
        <v>0</v>
      </c>
    </row>
    <row r="37" spans="1:19" x14ac:dyDescent="0.35">
      <c r="A37" t="s">
        <v>54</v>
      </c>
      <c r="B37">
        <v>36</v>
      </c>
      <c r="C37" t="s">
        <v>130</v>
      </c>
      <c r="D37" t="s">
        <v>131</v>
      </c>
      <c r="E37" t="s">
        <v>13</v>
      </c>
      <c r="F37" t="s">
        <v>132</v>
      </c>
      <c r="G37" t="s">
        <v>60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 x14ac:dyDescent="0.35">
      <c r="A38" t="s">
        <v>54</v>
      </c>
      <c r="B38">
        <v>37</v>
      </c>
      <c r="C38" t="s">
        <v>133</v>
      </c>
      <c r="D38" t="s">
        <v>134</v>
      </c>
      <c r="E38" t="s">
        <v>13</v>
      </c>
      <c r="F38" t="s">
        <v>132</v>
      </c>
      <c r="G38" t="s">
        <v>60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1:19" x14ac:dyDescent="0.35">
      <c r="A39" t="s">
        <v>54</v>
      </c>
      <c r="B39">
        <v>38</v>
      </c>
      <c r="C39" t="s">
        <v>135</v>
      </c>
      <c r="D39" t="s">
        <v>136</v>
      </c>
      <c r="E39" t="s">
        <v>13</v>
      </c>
      <c r="F39" t="s">
        <v>132</v>
      </c>
      <c r="G39" t="s">
        <v>60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 x14ac:dyDescent="0.35">
      <c r="A40" t="s">
        <v>54</v>
      </c>
      <c r="B40">
        <v>39</v>
      </c>
      <c r="C40" t="s">
        <v>137</v>
      </c>
      <c r="D40" t="s">
        <v>138</v>
      </c>
      <c r="E40" t="s">
        <v>13</v>
      </c>
      <c r="F40" t="s">
        <v>132</v>
      </c>
      <c r="G40" t="s">
        <v>60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35">
      <c r="A41" t="s">
        <v>54</v>
      </c>
      <c r="B41">
        <v>40</v>
      </c>
      <c r="C41" t="s">
        <v>139</v>
      </c>
      <c r="D41" t="s">
        <v>140</v>
      </c>
      <c r="E41" t="s">
        <v>13</v>
      </c>
      <c r="F41" t="s">
        <v>132</v>
      </c>
      <c r="G41" t="s">
        <v>60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P41">
        <v>0</v>
      </c>
      <c r="Q41">
        <v>0</v>
      </c>
      <c r="R41">
        <v>0</v>
      </c>
      <c r="S41">
        <v>0</v>
      </c>
    </row>
    <row r="42" spans="1:19" x14ac:dyDescent="0.35">
      <c r="A42" t="s">
        <v>54</v>
      </c>
      <c r="B42">
        <v>41</v>
      </c>
      <c r="C42" t="s">
        <v>141</v>
      </c>
      <c r="D42" t="s">
        <v>142</v>
      </c>
      <c r="E42" t="s">
        <v>13</v>
      </c>
      <c r="F42" t="s">
        <v>132</v>
      </c>
      <c r="G42" t="s">
        <v>81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1:19" x14ac:dyDescent="0.35">
      <c r="A43" t="s">
        <v>54</v>
      </c>
      <c r="B43">
        <v>42</v>
      </c>
      <c r="C43" t="s">
        <v>143</v>
      </c>
      <c r="D43" t="s">
        <v>144</v>
      </c>
      <c r="E43" t="s">
        <v>13</v>
      </c>
      <c r="F43" t="s">
        <v>132</v>
      </c>
      <c r="G43" t="s">
        <v>85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19" x14ac:dyDescent="0.35">
      <c r="A44" t="s">
        <v>54</v>
      </c>
      <c r="B44">
        <v>43</v>
      </c>
      <c r="C44" t="s">
        <v>145</v>
      </c>
      <c r="D44" t="s">
        <v>146</v>
      </c>
      <c r="E44" t="s">
        <v>13</v>
      </c>
      <c r="F44" t="s">
        <v>132</v>
      </c>
      <c r="G44" t="s">
        <v>60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 x14ac:dyDescent="0.35">
      <c r="A45" t="s">
        <v>54</v>
      </c>
      <c r="B45">
        <v>44</v>
      </c>
      <c r="C45" t="s">
        <v>147</v>
      </c>
      <c r="D45" t="s">
        <v>148</v>
      </c>
      <c r="E45" t="s">
        <v>13</v>
      </c>
      <c r="F45" t="s">
        <v>132</v>
      </c>
      <c r="G45" t="s">
        <v>60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P45">
        <v>0</v>
      </c>
      <c r="Q45">
        <v>0</v>
      </c>
      <c r="R45">
        <v>0</v>
      </c>
      <c r="S45">
        <v>0</v>
      </c>
    </row>
    <row r="46" spans="1:19" x14ac:dyDescent="0.35">
      <c r="A46" t="s">
        <v>54</v>
      </c>
      <c r="B46">
        <v>45</v>
      </c>
      <c r="C46" t="s">
        <v>149</v>
      </c>
      <c r="D46" t="s">
        <v>150</v>
      </c>
      <c r="E46" t="s">
        <v>13</v>
      </c>
      <c r="F46" t="s">
        <v>151</v>
      </c>
      <c r="G46" t="s">
        <v>81</v>
      </c>
      <c r="H46">
        <v>18135</v>
      </c>
      <c r="I46">
        <v>197.91361111111101</v>
      </c>
      <c r="J46">
        <v>91.630888336521593</v>
      </c>
      <c r="K46">
        <v>86.000004000000004</v>
      </c>
      <c r="L46">
        <v>210.872083215251</v>
      </c>
      <c r="M46">
        <v>12.9584721041408</v>
      </c>
      <c r="N46">
        <v>1.06547539621651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 x14ac:dyDescent="0.35">
      <c r="A47" t="s">
        <v>54</v>
      </c>
      <c r="B47">
        <v>46</v>
      </c>
      <c r="C47" t="s">
        <v>152</v>
      </c>
      <c r="D47" t="s">
        <v>153</v>
      </c>
      <c r="E47" t="s">
        <v>13</v>
      </c>
      <c r="F47" t="s">
        <v>151</v>
      </c>
      <c r="G47" t="s">
        <v>154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 x14ac:dyDescent="0.35">
      <c r="A48" t="s">
        <v>54</v>
      </c>
      <c r="B48">
        <v>47</v>
      </c>
      <c r="C48" t="s">
        <v>155</v>
      </c>
      <c r="D48" t="s">
        <v>156</v>
      </c>
      <c r="E48" t="s">
        <v>13</v>
      </c>
      <c r="F48" t="s">
        <v>151</v>
      </c>
      <c r="G48" t="s">
        <v>85</v>
      </c>
      <c r="H48">
        <v>7</v>
      </c>
      <c r="I48">
        <v>1.6055555555555501</v>
      </c>
      <c r="J48">
        <v>4.3598615916955001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35">
      <c r="A49" t="s">
        <v>54</v>
      </c>
      <c r="B49">
        <v>48</v>
      </c>
      <c r="C49" t="s">
        <v>157</v>
      </c>
      <c r="D49" t="s">
        <v>158</v>
      </c>
      <c r="E49" t="s">
        <v>13</v>
      </c>
      <c r="F49" t="s">
        <v>151</v>
      </c>
      <c r="G49" t="s">
        <v>159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35">
      <c r="A50" t="s">
        <v>54</v>
      </c>
      <c r="B50">
        <v>49</v>
      </c>
      <c r="C50" t="s">
        <v>160</v>
      </c>
      <c r="D50" t="s">
        <v>161</v>
      </c>
      <c r="E50" t="s">
        <v>13</v>
      </c>
      <c r="F50" t="s">
        <v>151</v>
      </c>
      <c r="G50" t="s">
        <v>57</v>
      </c>
      <c r="H50">
        <v>194646</v>
      </c>
      <c r="I50">
        <v>43.476666666666603</v>
      </c>
      <c r="J50">
        <v>4477.0221574791003</v>
      </c>
      <c r="K50">
        <v>15000.0000119999</v>
      </c>
      <c r="L50">
        <v>12.9763999896188</v>
      </c>
      <c r="M50">
        <v>-30.500266677047701</v>
      </c>
      <c r="N50">
        <v>0.29846814359316598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1:19" x14ac:dyDescent="0.35">
      <c r="A51" t="s">
        <v>54</v>
      </c>
      <c r="B51">
        <v>50</v>
      </c>
      <c r="C51" t="s">
        <v>162</v>
      </c>
      <c r="D51" t="s">
        <v>163</v>
      </c>
      <c r="E51" t="s">
        <v>13</v>
      </c>
      <c r="F51" t="s">
        <v>151</v>
      </c>
      <c r="G51" t="s">
        <v>57</v>
      </c>
      <c r="H51">
        <v>194646</v>
      </c>
      <c r="I51">
        <v>242.995833333333</v>
      </c>
      <c r="J51">
        <v>801.02608069411303</v>
      </c>
      <c r="K51">
        <v>869.54352878887198</v>
      </c>
      <c r="L51">
        <v>223.84848320487001</v>
      </c>
      <c r="M51">
        <v>-19.147350128462499</v>
      </c>
      <c r="N51">
        <v>0.92120296934393497</v>
      </c>
      <c r="P51">
        <v>0</v>
      </c>
      <c r="Q51">
        <v>0</v>
      </c>
      <c r="R51">
        <v>0</v>
      </c>
      <c r="S51">
        <v>0</v>
      </c>
    </row>
    <row r="52" spans="1:19" x14ac:dyDescent="0.35">
      <c r="A52" t="s">
        <v>54</v>
      </c>
      <c r="B52">
        <v>51</v>
      </c>
      <c r="C52" t="s">
        <v>164</v>
      </c>
      <c r="D52" t="s">
        <v>165</v>
      </c>
      <c r="E52" t="s">
        <v>13</v>
      </c>
      <c r="F52" t="s">
        <v>165</v>
      </c>
      <c r="G52" t="s">
        <v>57</v>
      </c>
      <c r="H52">
        <v>117892</v>
      </c>
      <c r="I52">
        <v>22.326944444444401</v>
      </c>
      <c r="J52">
        <v>5280.2567898776997</v>
      </c>
      <c r="K52">
        <v>4500</v>
      </c>
      <c r="L52">
        <v>26.198222222222199</v>
      </c>
      <c r="M52">
        <v>3.8712777777777698</v>
      </c>
      <c r="N52">
        <v>1.1733903977505999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x14ac:dyDescent="0.35">
      <c r="A53" t="s">
        <v>54</v>
      </c>
      <c r="B53">
        <v>52</v>
      </c>
      <c r="C53" t="s">
        <v>166</v>
      </c>
      <c r="D53" t="s">
        <v>167</v>
      </c>
      <c r="E53" t="s">
        <v>13</v>
      </c>
      <c r="F53" t="s">
        <v>168</v>
      </c>
      <c r="G53" t="s">
        <v>57</v>
      </c>
      <c r="H53">
        <v>117892</v>
      </c>
      <c r="I53">
        <v>0</v>
      </c>
      <c r="J53">
        <v>0</v>
      </c>
      <c r="K53">
        <v>1850.000004</v>
      </c>
      <c r="L53">
        <v>63.725405267620701</v>
      </c>
      <c r="M53">
        <v>63.725405267620701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35">
      <c r="A54" t="s">
        <v>54</v>
      </c>
      <c r="B54">
        <v>53</v>
      </c>
      <c r="C54" t="s">
        <v>169</v>
      </c>
      <c r="D54" t="s">
        <v>11</v>
      </c>
      <c r="E54" t="s">
        <v>13</v>
      </c>
      <c r="F54" t="s">
        <v>170</v>
      </c>
      <c r="G54" t="s">
        <v>60</v>
      </c>
      <c r="H54">
        <v>117892</v>
      </c>
      <c r="I54">
        <v>433.32916666666603</v>
      </c>
      <c r="J54">
        <v>272.06107751036001</v>
      </c>
      <c r="K54">
        <v>207.694491582327</v>
      </c>
      <c r="L54">
        <v>567.62217958615895</v>
      </c>
      <c r="M54">
        <v>134.29301291949301</v>
      </c>
      <c r="N54">
        <v>1.30990993279433</v>
      </c>
      <c r="P54">
        <v>0</v>
      </c>
      <c r="Q54">
        <v>0</v>
      </c>
      <c r="R54">
        <v>0</v>
      </c>
      <c r="S54">
        <v>0</v>
      </c>
    </row>
    <row r="55" spans="1:19" x14ac:dyDescent="0.35">
      <c r="A55" t="s">
        <v>54</v>
      </c>
      <c r="B55">
        <v>54</v>
      </c>
      <c r="C55" t="s">
        <v>171</v>
      </c>
      <c r="D55" t="s">
        <v>172</v>
      </c>
      <c r="E55" t="s">
        <v>173</v>
      </c>
      <c r="F55" t="s">
        <v>174</v>
      </c>
      <c r="G55" t="s">
        <v>81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35">
      <c r="A56" t="s">
        <v>54</v>
      </c>
      <c r="B56">
        <v>55</v>
      </c>
      <c r="C56" t="s">
        <v>175</v>
      </c>
      <c r="D56" t="s">
        <v>176</v>
      </c>
      <c r="E56" t="s">
        <v>173</v>
      </c>
      <c r="F56" t="s">
        <v>174</v>
      </c>
      <c r="G56" t="s">
        <v>85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35">
      <c r="A57" t="s">
        <v>54</v>
      </c>
      <c r="B57">
        <v>56</v>
      </c>
      <c r="C57" t="s">
        <v>177</v>
      </c>
      <c r="D57" t="s">
        <v>178</v>
      </c>
      <c r="E57" t="s">
        <v>173</v>
      </c>
      <c r="F57" t="s">
        <v>179</v>
      </c>
      <c r="G57" t="s">
        <v>81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 x14ac:dyDescent="0.35">
      <c r="A58" t="s">
        <v>54</v>
      </c>
      <c r="B58">
        <v>57</v>
      </c>
      <c r="C58" t="s">
        <v>180</v>
      </c>
      <c r="D58" t="s">
        <v>181</v>
      </c>
      <c r="E58" t="s">
        <v>173</v>
      </c>
      <c r="F58" t="s">
        <v>179</v>
      </c>
      <c r="G58" t="s">
        <v>81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 x14ac:dyDescent="0.35">
      <c r="A59" t="s">
        <v>54</v>
      </c>
      <c r="B59">
        <v>58</v>
      </c>
      <c r="C59" t="s">
        <v>182</v>
      </c>
      <c r="D59" t="s">
        <v>183</v>
      </c>
      <c r="E59" t="s">
        <v>173</v>
      </c>
      <c r="F59" t="s">
        <v>184</v>
      </c>
      <c r="G59" t="s">
        <v>81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 x14ac:dyDescent="0.35">
      <c r="A60" t="s">
        <v>54</v>
      </c>
      <c r="B60">
        <v>59</v>
      </c>
      <c r="C60" t="s">
        <v>185</v>
      </c>
      <c r="D60" t="s">
        <v>186</v>
      </c>
      <c r="E60" t="s">
        <v>173</v>
      </c>
      <c r="F60" t="s">
        <v>184</v>
      </c>
      <c r="G60" t="s">
        <v>60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 x14ac:dyDescent="0.35">
      <c r="A61" t="s">
        <v>54</v>
      </c>
      <c r="B61">
        <v>60</v>
      </c>
      <c r="C61" t="s">
        <v>187</v>
      </c>
      <c r="D61" t="s">
        <v>188</v>
      </c>
      <c r="E61" t="s">
        <v>173</v>
      </c>
      <c r="F61" t="s">
        <v>184</v>
      </c>
      <c r="G61" t="s">
        <v>60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35">
      <c r="A62" t="s">
        <v>54</v>
      </c>
      <c r="B62">
        <v>61</v>
      </c>
      <c r="C62" t="s">
        <v>189</v>
      </c>
      <c r="D62" t="s">
        <v>190</v>
      </c>
      <c r="E62" t="s">
        <v>173</v>
      </c>
      <c r="F62" t="s">
        <v>184</v>
      </c>
      <c r="G62" t="s">
        <v>60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19" x14ac:dyDescent="0.35">
      <c r="A63" t="s">
        <v>54</v>
      </c>
      <c r="B63">
        <v>62</v>
      </c>
      <c r="C63" t="s">
        <v>191</v>
      </c>
      <c r="D63" t="s">
        <v>192</v>
      </c>
      <c r="E63" t="s">
        <v>173</v>
      </c>
      <c r="F63" t="s">
        <v>184</v>
      </c>
      <c r="G63" t="s">
        <v>60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35">
      <c r="A64" t="s">
        <v>54</v>
      </c>
      <c r="B64">
        <v>63</v>
      </c>
      <c r="C64" t="s">
        <v>193</v>
      </c>
      <c r="D64" t="s">
        <v>194</v>
      </c>
      <c r="E64" t="s">
        <v>173</v>
      </c>
      <c r="F64" t="s">
        <v>184</v>
      </c>
      <c r="G64" t="s">
        <v>57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P64">
        <v>0</v>
      </c>
      <c r="Q64">
        <v>0</v>
      </c>
      <c r="R64">
        <v>0</v>
      </c>
      <c r="S64">
        <v>0</v>
      </c>
    </row>
    <row r="65" spans="1:19" x14ac:dyDescent="0.35">
      <c r="A65" t="s">
        <v>54</v>
      </c>
      <c r="B65">
        <v>64</v>
      </c>
      <c r="C65" t="s">
        <v>195</v>
      </c>
      <c r="D65" t="s">
        <v>196</v>
      </c>
      <c r="E65" t="s">
        <v>173</v>
      </c>
      <c r="F65" t="s">
        <v>197</v>
      </c>
      <c r="G65" t="s">
        <v>60</v>
      </c>
      <c r="H65">
        <v>18300</v>
      </c>
      <c r="I65">
        <v>12.8183333333333</v>
      </c>
      <c r="J65">
        <v>1427.6426992588699</v>
      </c>
      <c r="K65">
        <v>1244.000016</v>
      </c>
      <c r="L65">
        <v>14.710610743271801</v>
      </c>
      <c r="M65">
        <v>1.89227740993855</v>
      </c>
      <c r="N65">
        <v>1.1476227338399601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35">
      <c r="A66" t="s">
        <v>54</v>
      </c>
      <c r="B66">
        <v>65</v>
      </c>
      <c r="C66" t="s">
        <v>198</v>
      </c>
      <c r="D66" t="s">
        <v>199</v>
      </c>
      <c r="E66" t="s">
        <v>173</v>
      </c>
      <c r="F66" t="s">
        <v>197</v>
      </c>
      <c r="G66" t="s">
        <v>60</v>
      </c>
      <c r="H66">
        <v>50772</v>
      </c>
      <c r="I66">
        <v>178.35111111111101</v>
      </c>
      <c r="J66">
        <v>284.67442497944103</v>
      </c>
      <c r="K66">
        <v>288</v>
      </c>
      <c r="L66">
        <v>176.291666666666</v>
      </c>
      <c r="M66">
        <v>-2.05944444444444</v>
      </c>
      <c r="N66">
        <v>0.98845286451194803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35">
      <c r="A67" t="s">
        <v>54</v>
      </c>
      <c r="B67">
        <v>66</v>
      </c>
      <c r="C67" t="s">
        <v>200</v>
      </c>
      <c r="D67" t="s">
        <v>201</v>
      </c>
      <c r="E67" t="s">
        <v>173</v>
      </c>
      <c r="F67" t="s">
        <v>197</v>
      </c>
      <c r="G67" t="s">
        <v>60</v>
      </c>
      <c r="H67">
        <v>322</v>
      </c>
      <c r="I67">
        <v>1.47861111111111</v>
      </c>
      <c r="J67">
        <v>217.77193312041999</v>
      </c>
      <c r="K67">
        <v>117</v>
      </c>
      <c r="L67">
        <v>2.7521367521367499</v>
      </c>
      <c r="M67">
        <v>1.2735256410256399</v>
      </c>
      <c r="N67">
        <v>1.8612985736788099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35">
      <c r="A68" t="s">
        <v>54</v>
      </c>
      <c r="B68">
        <v>67</v>
      </c>
      <c r="C68" t="s">
        <v>202</v>
      </c>
      <c r="D68" t="s">
        <v>203</v>
      </c>
      <c r="E68" t="s">
        <v>173</v>
      </c>
      <c r="F68" t="s">
        <v>197</v>
      </c>
      <c r="G68" t="s">
        <v>60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35">
      <c r="A69" t="s">
        <v>54</v>
      </c>
      <c r="B69">
        <v>68</v>
      </c>
      <c r="C69" t="s">
        <v>204</v>
      </c>
      <c r="D69" t="s">
        <v>205</v>
      </c>
      <c r="E69" t="s">
        <v>173</v>
      </c>
      <c r="F69" t="s">
        <v>197</v>
      </c>
      <c r="G69" t="s">
        <v>60</v>
      </c>
      <c r="H69">
        <v>69394</v>
      </c>
      <c r="I69">
        <v>192.648055555555</v>
      </c>
      <c r="J69">
        <v>360.211266082507</v>
      </c>
      <c r="K69">
        <v>358.15442089464801</v>
      </c>
      <c r="L69">
        <v>193.75441416207499</v>
      </c>
      <c r="M69">
        <v>1.1063586065197399</v>
      </c>
      <c r="N69">
        <v>1.0057429004581899</v>
      </c>
      <c r="P69">
        <v>0</v>
      </c>
      <c r="Q69">
        <v>0</v>
      </c>
      <c r="R69">
        <v>0</v>
      </c>
      <c r="S69">
        <v>0</v>
      </c>
    </row>
    <row r="70" spans="1:19" x14ac:dyDescent="0.35">
      <c r="A70" t="s">
        <v>54</v>
      </c>
      <c r="B70">
        <v>69</v>
      </c>
      <c r="C70" t="s">
        <v>206</v>
      </c>
      <c r="D70" t="s">
        <v>207</v>
      </c>
      <c r="E70" t="s">
        <v>173</v>
      </c>
      <c r="F70" t="s">
        <v>207</v>
      </c>
      <c r="G70" t="s">
        <v>60</v>
      </c>
      <c r="H70">
        <v>76754</v>
      </c>
      <c r="I70">
        <v>17.6794444444444</v>
      </c>
      <c r="J70">
        <v>4341.4260126323697</v>
      </c>
      <c r="K70">
        <v>3465</v>
      </c>
      <c r="L70">
        <v>22.1512265512265</v>
      </c>
      <c r="M70">
        <v>4.4717821067820998</v>
      </c>
      <c r="N70">
        <v>1.2529368001825001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35">
      <c r="A71" t="s">
        <v>54</v>
      </c>
      <c r="B71">
        <v>70</v>
      </c>
      <c r="C71" t="s">
        <v>208</v>
      </c>
      <c r="D71" t="s">
        <v>209</v>
      </c>
      <c r="E71" t="s">
        <v>173</v>
      </c>
      <c r="F71" t="s">
        <v>209</v>
      </c>
      <c r="G71" t="s">
        <v>57</v>
      </c>
      <c r="H71">
        <v>76754</v>
      </c>
      <c r="I71">
        <v>34.112222222222201</v>
      </c>
      <c r="J71">
        <v>2250.04397250903</v>
      </c>
      <c r="K71">
        <v>1524.999996</v>
      </c>
      <c r="L71">
        <v>50.330491935293097</v>
      </c>
      <c r="M71">
        <v>16.2182697130708</v>
      </c>
      <c r="N71">
        <v>1.4754386743677299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35">
      <c r="A72" t="s">
        <v>54</v>
      </c>
      <c r="B72">
        <v>71</v>
      </c>
      <c r="C72" t="s">
        <v>210</v>
      </c>
      <c r="D72" t="s">
        <v>211</v>
      </c>
      <c r="E72" t="s">
        <v>173</v>
      </c>
      <c r="F72" t="s">
        <v>211</v>
      </c>
      <c r="G72" t="s">
        <v>57</v>
      </c>
      <c r="H72">
        <v>76754</v>
      </c>
      <c r="I72">
        <v>21.135833333333299</v>
      </c>
      <c r="J72">
        <v>3631.4631549895498</v>
      </c>
      <c r="K72">
        <v>3499.999992</v>
      </c>
      <c r="L72">
        <v>21.9297143358393</v>
      </c>
      <c r="M72">
        <v>0.79388100250601401</v>
      </c>
      <c r="N72">
        <v>1.03756090379715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35">
      <c r="A73" t="s">
        <v>54</v>
      </c>
      <c r="B73">
        <v>72</v>
      </c>
      <c r="C73" t="s">
        <v>212</v>
      </c>
      <c r="D73" t="s">
        <v>213</v>
      </c>
      <c r="E73" t="s">
        <v>173</v>
      </c>
      <c r="F73" t="s">
        <v>214</v>
      </c>
      <c r="G73" t="s">
        <v>57</v>
      </c>
      <c r="H73">
        <v>76754</v>
      </c>
      <c r="I73">
        <v>15.2186111111111</v>
      </c>
      <c r="J73">
        <v>5043.4300107689696</v>
      </c>
      <c r="K73">
        <v>5000.0000040000004</v>
      </c>
      <c r="L73">
        <v>15.3507999877193</v>
      </c>
      <c r="M73">
        <v>0.13218887660824799</v>
      </c>
      <c r="N73">
        <v>1.0086860013468399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35">
      <c r="A74" t="s">
        <v>54</v>
      </c>
      <c r="B74">
        <v>73</v>
      </c>
      <c r="C74" t="s">
        <v>215</v>
      </c>
      <c r="D74" t="s">
        <v>216</v>
      </c>
      <c r="E74" t="s">
        <v>173</v>
      </c>
      <c r="F74" t="s">
        <v>170</v>
      </c>
      <c r="G74" t="s">
        <v>57</v>
      </c>
      <c r="H74">
        <v>76754</v>
      </c>
      <c r="I74">
        <v>280.794166666666</v>
      </c>
      <c r="J74">
        <v>273.34613432733897</v>
      </c>
      <c r="K74">
        <v>252.882340279153</v>
      </c>
      <c r="L74">
        <v>303.51664697215301</v>
      </c>
      <c r="M74">
        <v>22.722480305486901</v>
      </c>
      <c r="N74">
        <v>1.0809221949844099</v>
      </c>
      <c r="P74">
        <v>0</v>
      </c>
      <c r="Q74">
        <v>0</v>
      </c>
      <c r="R74">
        <v>0</v>
      </c>
      <c r="S74">
        <v>0</v>
      </c>
    </row>
    <row r="75" spans="1:19" x14ac:dyDescent="0.35">
      <c r="A75" t="s">
        <v>54</v>
      </c>
      <c r="B75">
        <v>74</v>
      </c>
      <c r="C75" t="s">
        <v>217</v>
      </c>
      <c r="D75" t="s">
        <v>218</v>
      </c>
      <c r="E75" t="s">
        <v>219</v>
      </c>
      <c r="F75" t="s">
        <v>9</v>
      </c>
      <c r="G75" t="s">
        <v>60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 x14ac:dyDescent="0.35">
      <c r="A76" t="s">
        <v>54</v>
      </c>
      <c r="B76">
        <v>75</v>
      </c>
      <c r="C76" t="s">
        <v>220</v>
      </c>
      <c r="D76" t="s">
        <v>221</v>
      </c>
      <c r="E76" t="s">
        <v>219</v>
      </c>
      <c r="F76" t="s">
        <v>9</v>
      </c>
      <c r="G76" t="s">
        <v>60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 x14ac:dyDescent="0.35">
      <c r="A77" t="s">
        <v>54</v>
      </c>
      <c r="B77">
        <v>76</v>
      </c>
      <c r="C77" t="s">
        <v>222</v>
      </c>
      <c r="D77" t="s">
        <v>223</v>
      </c>
      <c r="E77" t="s">
        <v>219</v>
      </c>
      <c r="F77" t="s">
        <v>9</v>
      </c>
      <c r="G77" t="s">
        <v>60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35">
      <c r="A78" t="s">
        <v>54</v>
      </c>
      <c r="B78">
        <v>77</v>
      </c>
      <c r="C78" t="s">
        <v>224</v>
      </c>
      <c r="D78" t="s">
        <v>225</v>
      </c>
      <c r="E78" t="s">
        <v>219</v>
      </c>
      <c r="F78" t="s">
        <v>9</v>
      </c>
      <c r="G78" t="s">
        <v>60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35">
      <c r="A79" t="s">
        <v>54</v>
      </c>
      <c r="B79">
        <v>78</v>
      </c>
      <c r="C79" t="s">
        <v>226</v>
      </c>
      <c r="D79" t="s">
        <v>227</v>
      </c>
      <c r="E79" t="s">
        <v>219</v>
      </c>
      <c r="F79" t="s">
        <v>9</v>
      </c>
      <c r="G79" t="s">
        <v>60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P79">
        <v>0</v>
      </c>
      <c r="Q79">
        <v>0</v>
      </c>
      <c r="R79">
        <v>0</v>
      </c>
      <c r="S79">
        <v>0</v>
      </c>
    </row>
    <row r="80" spans="1:19" x14ac:dyDescent="0.35">
      <c r="A80" t="s">
        <v>54</v>
      </c>
      <c r="B80">
        <v>79</v>
      </c>
      <c r="C80" t="s">
        <v>228</v>
      </c>
      <c r="D80" t="s">
        <v>229</v>
      </c>
      <c r="E80" t="s">
        <v>219</v>
      </c>
      <c r="F80" t="s">
        <v>9</v>
      </c>
      <c r="G80" t="s">
        <v>57</v>
      </c>
      <c r="H80">
        <v>69394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35">
      <c r="A81" t="s">
        <v>54</v>
      </c>
      <c r="B81">
        <v>80</v>
      </c>
      <c r="C81" t="s">
        <v>230</v>
      </c>
      <c r="D81" t="s">
        <v>231</v>
      </c>
      <c r="E81" t="s">
        <v>219</v>
      </c>
      <c r="F81" t="s">
        <v>9</v>
      </c>
      <c r="G81" t="s">
        <v>57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P81">
        <v>0</v>
      </c>
      <c r="Q81">
        <v>0</v>
      </c>
      <c r="R81">
        <v>0</v>
      </c>
      <c r="S81">
        <v>0</v>
      </c>
    </row>
    <row r="82" spans="1:19" x14ac:dyDescent="0.35">
      <c r="A82" t="s">
        <v>54</v>
      </c>
      <c r="B82">
        <v>81</v>
      </c>
      <c r="C82" t="s">
        <v>232</v>
      </c>
      <c r="D82" t="s">
        <v>233</v>
      </c>
      <c r="E82" t="s">
        <v>219</v>
      </c>
      <c r="F82" t="s">
        <v>234</v>
      </c>
      <c r="G82" t="s">
        <v>60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35">
      <c r="A83" t="s">
        <v>54</v>
      </c>
      <c r="B83">
        <v>82</v>
      </c>
      <c r="C83" t="s">
        <v>235</v>
      </c>
      <c r="D83" t="s">
        <v>236</v>
      </c>
      <c r="E83" t="s">
        <v>219</v>
      </c>
      <c r="F83" t="s">
        <v>234</v>
      </c>
      <c r="G83" t="s">
        <v>60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35">
      <c r="A84" t="s">
        <v>54</v>
      </c>
      <c r="B84">
        <v>83</v>
      </c>
      <c r="C84" t="s">
        <v>237</v>
      </c>
      <c r="D84" t="s">
        <v>238</v>
      </c>
      <c r="E84" t="s">
        <v>219</v>
      </c>
      <c r="F84" t="s">
        <v>234</v>
      </c>
      <c r="G84" t="s">
        <v>60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x14ac:dyDescent="0.35">
      <c r="A85" t="s">
        <v>54</v>
      </c>
      <c r="B85">
        <v>84</v>
      </c>
      <c r="C85" t="s">
        <v>239</v>
      </c>
      <c r="D85" t="s">
        <v>240</v>
      </c>
      <c r="E85" t="s">
        <v>219</v>
      </c>
      <c r="F85" t="s">
        <v>234</v>
      </c>
      <c r="G85" t="s">
        <v>60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1:19" x14ac:dyDescent="0.35">
      <c r="A86" t="s">
        <v>54</v>
      </c>
      <c r="B86">
        <v>85</v>
      </c>
      <c r="C86" t="s">
        <v>241</v>
      </c>
      <c r="D86" t="s">
        <v>242</v>
      </c>
      <c r="E86" t="s">
        <v>219</v>
      </c>
      <c r="F86" t="s">
        <v>234</v>
      </c>
      <c r="G86" t="s">
        <v>60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P86">
        <v>0</v>
      </c>
      <c r="Q86">
        <v>0</v>
      </c>
      <c r="R86">
        <v>0</v>
      </c>
      <c r="S86">
        <v>0</v>
      </c>
    </row>
    <row r="87" spans="1:19" x14ac:dyDescent="0.35">
      <c r="A87" t="s">
        <v>54</v>
      </c>
      <c r="B87">
        <v>86</v>
      </c>
      <c r="C87" t="s">
        <v>243</v>
      </c>
      <c r="D87" t="s">
        <v>244</v>
      </c>
      <c r="E87" t="s">
        <v>219</v>
      </c>
      <c r="F87" t="s">
        <v>234</v>
      </c>
      <c r="G87" t="s">
        <v>60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1:19" x14ac:dyDescent="0.35">
      <c r="A88" t="s">
        <v>54</v>
      </c>
      <c r="B88">
        <v>87</v>
      </c>
      <c r="C88" t="s">
        <v>245</v>
      </c>
      <c r="D88" t="s">
        <v>246</v>
      </c>
      <c r="E88" t="s">
        <v>219</v>
      </c>
      <c r="F88" t="s">
        <v>234</v>
      </c>
      <c r="G88" t="s">
        <v>60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1:19" x14ac:dyDescent="0.35">
      <c r="A89" t="s">
        <v>54</v>
      </c>
      <c r="B89">
        <v>88</v>
      </c>
      <c r="C89" t="s">
        <v>247</v>
      </c>
      <c r="D89" t="s">
        <v>248</v>
      </c>
      <c r="E89" t="s">
        <v>219</v>
      </c>
      <c r="F89" t="s">
        <v>234</v>
      </c>
      <c r="G89" t="s">
        <v>60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1:19" x14ac:dyDescent="0.35">
      <c r="A90" t="s">
        <v>54</v>
      </c>
      <c r="B90">
        <v>89</v>
      </c>
      <c r="C90" t="s">
        <v>249</v>
      </c>
      <c r="D90" t="s">
        <v>250</v>
      </c>
      <c r="E90" t="s">
        <v>219</v>
      </c>
      <c r="F90" t="s">
        <v>234</v>
      </c>
      <c r="G90" t="s">
        <v>60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1:19" x14ac:dyDescent="0.35">
      <c r="A91" t="s">
        <v>54</v>
      </c>
      <c r="B91">
        <v>90</v>
      </c>
      <c r="C91" t="s">
        <v>251</v>
      </c>
      <c r="D91" t="s">
        <v>252</v>
      </c>
      <c r="E91" t="s">
        <v>219</v>
      </c>
      <c r="F91" t="s">
        <v>234</v>
      </c>
      <c r="G91" t="s">
        <v>60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P91">
        <v>0</v>
      </c>
      <c r="Q91">
        <v>0</v>
      </c>
      <c r="R91">
        <v>0</v>
      </c>
      <c r="S91">
        <v>0</v>
      </c>
    </row>
    <row r="92" spans="1:19" x14ac:dyDescent="0.35">
      <c r="A92" t="s">
        <v>54</v>
      </c>
      <c r="B92">
        <v>91</v>
      </c>
      <c r="C92" t="s">
        <v>253</v>
      </c>
      <c r="D92" t="s">
        <v>254</v>
      </c>
      <c r="E92" t="s">
        <v>219</v>
      </c>
      <c r="F92" t="s">
        <v>234</v>
      </c>
      <c r="G92" t="s">
        <v>57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1:19" x14ac:dyDescent="0.35">
      <c r="A93" t="s">
        <v>54</v>
      </c>
      <c r="B93">
        <v>92</v>
      </c>
      <c r="C93" t="s">
        <v>255</v>
      </c>
      <c r="D93" t="s">
        <v>256</v>
      </c>
      <c r="E93" t="s">
        <v>219</v>
      </c>
      <c r="F93" t="s">
        <v>234</v>
      </c>
      <c r="G93" t="s">
        <v>60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P93">
        <v>0</v>
      </c>
      <c r="Q93">
        <v>0</v>
      </c>
      <c r="R93">
        <v>0</v>
      </c>
      <c r="S93">
        <v>0</v>
      </c>
    </row>
    <row r="94" spans="1:19" x14ac:dyDescent="0.35">
      <c r="A94" t="s">
        <v>54</v>
      </c>
      <c r="B94">
        <v>93</v>
      </c>
      <c r="C94" t="s">
        <v>257</v>
      </c>
      <c r="D94" t="s">
        <v>258</v>
      </c>
      <c r="E94" t="s">
        <v>219</v>
      </c>
      <c r="F94" t="s">
        <v>259</v>
      </c>
      <c r="G94" t="s">
        <v>60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1:19" x14ac:dyDescent="0.35">
      <c r="A95" t="s">
        <v>54</v>
      </c>
      <c r="B95">
        <v>94</v>
      </c>
      <c r="C95" t="s">
        <v>260</v>
      </c>
      <c r="D95" t="s">
        <v>261</v>
      </c>
      <c r="E95" t="s">
        <v>219</v>
      </c>
      <c r="F95" t="s">
        <v>259</v>
      </c>
      <c r="G95" t="s">
        <v>60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1:19" x14ac:dyDescent="0.35">
      <c r="A96" t="s">
        <v>54</v>
      </c>
      <c r="B96">
        <v>95</v>
      </c>
      <c r="C96" t="s">
        <v>262</v>
      </c>
      <c r="D96" t="s">
        <v>263</v>
      </c>
      <c r="E96" t="s">
        <v>219</v>
      </c>
      <c r="F96" t="s">
        <v>259</v>
      </c>
      <c r="G96" t="s">
        <v>60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 x14ac:dyDescent="0.35">
      <c r="A97" t="s">
        <v>54</v>
      </c>
      <c r="B97">
        <v>96</v>
      </c>
      <c r="C97" t="s">
        <v>264</v>
      </c>
      <c r="D97" t="s">
        <v>265</v>
      </c>
      <c r="E97" t="s">
        <v>219</v>
      </c>
      <c r="F97" t="s">
        <v>259</v>
      </c>
      <c r="G97" t="s">
        <v>60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1:19" x14ac:dyDescent="0.35">
      <c r="A98" t="s">
        <v>54</v>
      </c>
      <c r="B98">
        <v>97</v>
      </c>
      <c r="C98" t="s">
        <v>266</v>
      </c>
      <c r="D98" t="s">
        <v>267</v>
      </c>
      <c r="E98" t="s">
        <v>219</v>
      </c>
      <c r="F98" t="s">
        <v>259</v>
      </c>
      <c r="G98" t="s">
        <v>60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P98">
        <v>0</v>
      </c>
      <c r="Q98">
        <v>0</v>
      </c>
      <c r="R98">
        <v>0</v>
      </c>
      <c r="S98">
        <v>0</v>
      </c>
    </row>
    <row r="99" spans="1:19" x14ac:dyDescent="0.35">
      <c r="A99" t="s">
        <v>54</v>
      </c>
      <c r="B99">
        <v>98</v>
      </c>
      <c r="C99" t="s">
        <v>268</v>
      </c>
      <c r="D99" t="s">
        <v>269</v>
      </c>
      <c r="E99" t="s">
        <v>219</v>
      </c>
      <c r="F99" t="s">
        <v>259</v>
      </c>
      <c r="G99" t="s">
        <v>270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 x14ac:dyDescent="0.35">
      <c r="A100" t="s">
        <v>54</v>
      </c>
      <c r="B100">
        <v>99</v>
      </c>
      <c r="C100" t="s">
        <v>271</v>
      </c>
      <c r="D100" t="s">
        <v>272</v>
      </c>
      <c r="E100" t="s">
        <v>219</v>
      </c>
      <c r="F100" t="s">
        <v>259</v>
      </c>
      <c r="G100" t="s">
        <v>60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1:19" x14ac:dyDescent="0.35">
      <c r="A101" t="s">
        <v>54</v>
      </c>
      <c r="B101">
        <v>100</v>
      </c>
      <c r="C101" t="s">
        <v>273</v>
      </c>
      <c r="D101" t="s">
        <v>274</v>
      </c>
      <c r="E101" t="s">
        <v>219</v>
      </c>
      <c r="F101" t="s">
        <v>259</v>
      </c>
      <c r="G101" t="s">
        <v>60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1:19" x14ac:dyDescent="0.35">
      <c r="A102" t="s">
        <v>54</v>
      </c>
      <c r="B102">
        <v>101</v>
      </c>
      <c r="C102" t="s">
        <v>275</v>
      </c>
      <c r="D102" t="s">
        <v>276</v>
      </c>
      <c r="E102" t="s">
        <v>219</v>
      </c>
      <c r="F102" t="s">
        <v>259</v>
      </c>
      <c r="G102" t="s">
        <v>60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1:19" x14ac:dyDescent="0.35">
      <c r="A103" t="s">
        <v>54</v>
      </c>
      <c r="B103">
        <v>102</v>
      </c>
      <c r="C103" t="s">
        <v>277</v>
      </c>
      <c r="D103" t="s">
        <v>278</v>
      </c>
      <c r="E103" t="s">
        <v>219</v>
      </c>
      <c r="F103" t="s">
        <v>259</v>
      </c>
      <c r="G103" t="s">
        <v>60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1:19" x14ac:dyDescent="0.35">
      <c r="A104" t="s">
        <v>54</v>
      </c>
      <c r="B104">
        <v>103</v>
      </c>
      <c r="C104" t="s">
        <v>279</v>
      </c>
      <c r="D104" t="s">
        <v>280</v>
      </c>
      <c r="E104" t="s">
        <v>219</v>
      </c>
      <c r="F104" t="s">
        <v>259</v>
      </c>
      <c r="G104" t="s">
        <v>60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1:19" x14ac:dyDescent="0.35">
      <c r="A105" t="s">
        <v>54</v>
      </c>
      <c r="B105">
        <v>104</v>
      </c>
      <c r="C105" t="s">
        <v>281</v>
      </c>
      <c r="D105" t="s">
        <v>282</v>
      </c>
      <c r="E105" t="s">
        <v>219</v>
      </c>
      <c r="F105" t="s">
        <v>259</v>
      </c>
      <c r="G105" t="s">
        <v>60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1:19" x14ac:dyDescent="0.35">
      <c r="A106" t="s">
        <v>54</v>
      </c>
      <c r="B106">
        <v>105</v>
      </c>
      <c r="C106" t="s">
        <v>283</v>
      </c>
      <c r="D106" t="s">
        <v>284</v>
      </c>
      <c r="E106" t="s">
        <v>219</v>
      </c>
      <c r="F106" t="s">
        <v>259</v>
      </c>
      <c r="G106" t="s">
        <v>60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P106">
        <v>0</v>
      </c>
      <c r="Q106">
        <v>0</v>
      </c>
      <c r="R106">
        <v>0</v>
      </c>
      <c r="S106">
        <v>0</v>
      </c>
    </row>
    <row r="107" spans="1:19" x14ac:dyDescent="0.35">
      <c r="A107" t="s">
        <v>54</v>
      </c>
      <c r="B107">
        <v>106</v>
      </c>
      <c r="C107" t="s">
        <v>285</v>
      </c>
      <c r="D107" t="s">
        <v>286</v>
      </c>
      <c r="E107" t="s">
        <v>219</v>
      </c>
      <c r="F107" t="s">
        <v>259</v>
      </c>
      <c r="G107" t="s">
        <v>60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1:19" x14ac:dyDescent="0.35">
      <c r="A108" t="s">
        <v>54</v>
      </c>
      <c r="B108">
        <v>107</v>
      </c>
      <c r="C108" t="s">
        <v>287</v>
      </c>
      <c r="D108" t="s">
        <v>288</v>
      </c>
      <c r="E108" t="s">
        <v>219</v>
      </c>
      <c r="F108" t="s">
        <v>259</v>
      </c>
      <c r="G108" t="s">
        <v>60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1:19" x14ac:dyDescent="0.35">
      <c r="A109" t="s">
        <v>54</v>
      </c>
      <c r="B109">
        <v>108</v>
      </c>
      <c r="C109" t="s">
        <v>289</v>
      </c>
      <c r="D109" t="s">
        <v>290</v>
      </c>
      <c r="E109" t="s">
        <v>219</v>
      </c>
      <c r="F109" t="s">
        <v>259</v>
      </c>
      <c r="G109" t="s">
        <v>60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1:19" x14ac:dyDescent="0.35">
      <c r="A110" t="s">
        <v>54</v>
      </c>
      <c r="B110">
        <v>109</v>
      </c>
      <c r="C110" t="s">
        <v>291</v>
      </c>
      <c r="D110" t="s">
        <v>292</v>
      </c>
      <c r="E110" t="s">
        <v>219</v>
      </c>
      <c r="F110" t="s">
        <v>259</v>
      </c>
      <c r="G110" t="s">
        <v>60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1:19" x14ac:dyDescent="0.35">
      <c r="A111" t="s">
        <v>54</v>
      </c>
      <c r="B111">
        <v>110</v>
      </c>
      <c r="C111" t="s">
        <v>293</v>
      </c>
      <c r="D111" t="s">
        <v>294</v>
      </c>
      <c r="E111" t="s">
        <v>219</v>
      </c>
      <c r="F111" t="s">
        <v>259</v>
      </c>
      <c r="G111" t="s">
        <v>60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P111">
        <v>0</v>
      </c>
      <c r="Q111">
        <v>0</v>
      </c>
      <c r="R111">
        <v>0</v>
      </c>
      <c r="S111">
        <v>0</v>
      </c>
    </row>
    <row r="112" spans="1:19" x14ac:dyDescent="0.35">
      <c r="A112" t="s">
        <v>54</v>
      </c>
      <c r="B112">
        <v>111</v>
      </c>
      <c r="C112" t="s">
        <v>295</v>
      </c>
      <c r="D112" t="s">
        <v>296</v>
      </c>
      <c r="E112" t="s">
        <v>219</v>
      </c>
      <c r="F112" t="s">
        <v>259</v>
      </c>
      <c r="G112" t="s">
        <v>57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1:19" x14ac:dyDescent="0.35">
      <c r="A113" t="s">
        <v>54</v>
      </c>
      <c r="B113">
        <v>112</v>
      </c>
      <c r="C113" t="s">
        <v>297</v>
      </c>
      <c r="D113" t="s">
        <v>298</v>
      </c>
      <c r="E113" t="s">
        <v>219</v>
      </c>
      <c r="F113" t="s">
        <v>299</v>
      </c>
      <c r="G113" t="s">
        <v>60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1:19" x14ac:dyDescent="0.35">
      <c r="A114" t="s">
        <v>54</v>
      </c>
      <c r="B114">
        <v>113</v>
      </c>
      <c r="C114" t="s">
        <v>300</v>
      </c>
      <c r="D114" t="s">
        <v>301</v>
      </c>
      <c r="E114" t="s">
        <v>219</v>
      </c>
      <c r="F114" t="s">
        <v>299</v>
      </c>
      <c r="G114" t="s">
        <v>60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1:19" x14ac:dyDescent="0.35">
      <c r="A115" t="s">
        <v>54</v>
      </c>
      <c r="B115">
        <v>114</v>
      </c>
      <c r="C115" t="s">
        <v>302</v>
      </c>
      <c r="D115" t="s">
        <v>303</v>
      </c>
      <c r="E115" t="s">
        <v>219</v>
      </c>
      <c r="F115" t="s">
        <v>299</v>
      </c>
      <c r="G115" t="s">
        <v>60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1:19" x14ac:dyDescent="0.35">
      <c r="A116" t="s">
        <v>54</v>
      </c>
      <c r="B116">
        <v>115</v>
      </c>
      <c r="C116" t="s">
        <v>304</v>
      </c>
      <c r="D116" t="s">
        <v>305</v>
      </c>
      <c r="E116" t="s">
        <v>219</v>
      </c>
      <c r="F116" t="s">
        <v>299</v>
      </c>
      <c r="G116" t="s">
        <v>60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1:19" x14ac:dyDescent="0.35">
      <c r="A117" t="s">
        <v>54</v>
      </c>
      <c r="B117">
        <v>116</v>
      </c>
      <c r="C117" t="s">
        <v>306</v>
      </c>
      <c r="D117" t="s">
        <v>307</v>
      </c>
      <c r="E117" t="s">
        <v>219</v>
      </c>
      <c r="F117" t="s">
        <v>299</v>
      </c>
      <c r="G117" t="s">
        <v>60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P117">
        <v>0</v>
      </c>
      <c r="Q117">
        <v>0</v>
      </c>
      <c r="R117">
        <v>0</v>
      </c>
      <c r="S117">
        <v>0</v>
      </c>
    </row>
    <row r="118" spans="1:19" x14ac:dyDescent="0.35">
      <c r="A118" t="s">
        <v>54</v>
      </c>
      <c r="B118">
        <v>117</v>
      </c>
      <c r="C118" t="s">
        <v>308</v>
      </c>
      <c r="D118" t="s">
        <v>309</v>
      </c>
      <c r="E118" t="s">
        <v>219</v>
      </c>
      <c r="F118" t="s">
        <v>309</v>
      </c>
      <c r="G118" t="s">
        <v>60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1:19" x14ac:dyDescent="0.35">
      <c r="A119" t="s">
        <v>54</v>
      </c>
      <c r="B119">
        <v>118</v>
      </c>
      <c r="C119" t="s">
        <v>310</v>
      </c>
      <c r="D119" t="s">
        <v>311</v>
      </c>
      <c r="E119" t="s">
        <v>219</v>
      </c>
      <c r="F119" t="s">
        <v>312</v>
      </c>
      <c r="G119" t="s">
        <v>60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1:19" x14ac:dyDescent="0.35">
      <c r="A120" t="s">
        <v>54</v>
      </c>
      <c r="B120">
        <v>119</v>
      </c>
      <c r="C120" t="s">
        <v>313</v>
      </c>
      <c r="D120" t="s">
        <v>314</v>
      </c>
      <c r="E120" t="s">
        <v>219</v>
      </c>
      <c r="F120" t="s">
        <v>315</v>
      </c>
      <c r="G120" t="s">
        <v>60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</row>
    <row r="121" spans="1:19" x14ac:dyDescent="0.35">
      <c r="A121" t="s">
        <v>54</v>
      </c>
      <c r="B121">
        <v>120</v>
      </c>
      <c r="C121" t="s">
        <v>316</v>
      </c>
      <c r="D121" t="s">
        <v>317</v>
      </c>
      <c r="E121" t="s">
        <v>219</v>
      </c>
      <c r="F121" t="s">
        <v>170</v>
      </c>
      <c r="G121" t="s">
        <v>60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P121">
        <v>0</v>
      </c>
      <c r="Q121">
        <v>0</v>
      </c>
      <c r="R121">
        <v>0</v>
      </c>
      <c r="S121">
        <v>0</v>
      </c>
    </row>
    <row r="122" spans="1:19" x14ac:dyDescent="0.35">
      <c r="A122" t="s">
        <v>54</v>
      </c>
      <c r="B122">
        <v>121</v>
      </c>
      <c r="C122" t="s">
        <v>318</v>
      </c>
      <c r="D122" t="s">
        <v>319</v>
      </c>
      <c r="E122" t="s">
        <v>320</v>
      </c>
      <c r="F122" t="s">
        <v>321</v>
      </c>
      <c r="G122" t="s">
        <v>60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1:19" x14ac:dyDescent="0.35">
      <c r="A123" t="s">
        <v>54</v>
      </c>
      <c r="B123">
        <v>122</v>
      </c>
      <c r="C123" t="s">
        <v>322</v>
      </c>
      <c r="D123" t="s">
        <v>323</v>
      </c>
      <c r="E123" t="s">
        <v>320</v>
      </c>
      <c r="F123" t="s">
        <v>321</v>
      </c>
      <c r="G123" t="s">
        <v>60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1:19" x14ac:dyDescent="0.35">
      <c r="A124" t="s">
        <v>54</v>
      </c>
      <c r="B124">
        <v>123</v>
      </c>
      <c r="C124" t="s">
        <v>324</v>
      </c>
      <c r="D124" t="s">
        <v>325</v>
      </c>
      <c r="E124" t="s">
        <v>320</v>
      </c>
      <c r="F124" t="s">
        <v>321</v>
      </c>
      <c r="G124" t="s">
        <v>60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1:19" x14ac:dyDescent="0.35">
      <c r="A125" t="s">
        <v>54</v>
      </c>
      <c r="B125">
        <v>124</v>
      </c>
      <c r="C125" t="s">
        <v>326</v>
      </c>
      <c r="D125" t="s">
        <v>327</v>
      </c>
      <c r="E125" t="s">
        <v>320</v>
      </c>
      <c r="F125" t="s">
        <v>321</v>
      </c>
      <c r="G125" t="s">
        <v>60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1:19" x14ac:dyDescent="0.35">
      <c r="A126" t="s">
        <v>54</v>
      </c>
      <c r="B126">
        <v>125</v>
      </c>
      <c r="C126" t="s">
        <v>328</v>
      </c>
      <c r="D126" t="s">
        <v>329</v>
      </c>
      <c r="E126" t="s">
        <v>320</v>
      </c>
      <c r="F126" t="s">
        <v>321</v>
      </c>
      <c r="G126" t="s">
        <v>57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P126">
        <v>0</v>
      </c>
      <c r="Q126">
        <v>0</v>
      </c>
      <c r="R126">
        <v>0</v>
      </c>
      <c r="S126">
        <v>0</v>
      </c>
    </row>
    <row r="127" spans="1:19" x14ac:dyDescent="0.35">
      <c r="A127" t="s">
        <v>54</v>
      </c>
      <c r="B127">
        <v>126</v>
      </c>
      <c r="C127" t="s">
        <v>330</v>
      </c>
      <c r="D127" t="s">
        <v>331</v>
      </c>
      <c r="E127" t="s">
        <v>320</v>
      </c>
      <c r="F127" t="s">
        <v>321</v>
      </c>
      <c r="G127" t="s">
        <v>60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</row>
    <row r="128" spans="1:19" x14ac:dyDescent="0.35">
      <c r="A128" t="s">
        <v>54</v>
      </c>
      <c r="B128">
        <v>127</v>
      </c>
      <c r="C128" t="s">
        <v>332</v>
      </c>
      <c r="D128" t="s">
        <v>333</v>
      </c>
      <c r="E128" t="s">
        <v>320</v>
      </c>
      <c r="F128" t="s">
        <v>321</v>
      </c>
      <c r="G128" t="s">
        <v>60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1:19" x14ac:dyDescent="0.35">
      <c r="A129" t="s">
        <v>54</v>
      </c>
      <c r="B129">
        <v>128</v>
      </c>
      <c r="C129" t="s">
        <v>334</v>
      </c>
      <c r="D129" t="s">
        <v>335</v>
      </c>
      <c r="E129" t="s">
        <v>320</v>
      </c>
      <c r="F129" t="s">
        <v>321</v>
      </c>
      <c r="G129" t="s">
        <v>60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1:19" x14ac:dyDescent="0.35">
      <c r="A130" t="s">
        <v>54</v>
      </c>
      <c r="B130">
        <v>129</v>
      </c>
      <c r="C130" t="s">
        <v>336</v>
      </c>
      <c r="D130" t="s">
        <v>337</v>
      </c>
      <c r="E130" t="s">
        <v>320</v>
      </c>
      <c r="F130" t="s">
        <v>321</v>
      </c>
      <c r="G130" t="s">
        <v>60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1:19" x14ac:dyDescent="0.35">
      <c r="A131" t="s">
        <v>54</v>
      </c>
      <c r="B131">
        <v>130</v>
      </c>
      <c r="C131" t="s">
        <v>338</v>
      </c>
      <c r="D131" t="s">
        <v>339</v>
      </c>
      <c r="E131" t="s">
        <v>320</v>
      </c>
      <c r="F131" t="s">
        <v>321</v>
      </c>
      <c r="G131" t="s">
        <v>57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P131">
        <v>0</v>
      </c>
      <c r="Q131">
        <v>0</v>
      </c>
      <c r="R131">
        <v>0</v>
      </c>
      <c r="S131">
        <v>0</v>
      </c>
    </row>
    <row r="132" spans="1:19" x14ac:dyDescent="0.35">
      <c r="A132" t="s">
        <v>54</v>
      </c>
      <c r="B132">
        <v>131</v>
      </c>
      <c r="C132" t="s">
        <v>340</v>
      </c>
      <c r="D132" t="s">
        <v>341</v>
      </c>
      <c r="E132" t="s">
        <v>320</v>
      </c>
      <c r="F132" t="s">
        <v>321</v>
      </c>
      <c r="G132" t="s">
        <v>57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1:19" x14ac:dyDescent="0.35">
      <c r="A133" t="s">
        <v>54</v>
      </c>
      <c r="B133">
        <v>132</v>
      </c>
      <c r="C133" t="s">
        <v>342</v>
      </c>
      <c r="D133" t="s">
        <v>343</v>
      </c>
      <c r="E133" t="s">
        <v>320</v>
      </c>
      <c r="F133" t="s">
        <v>321</v>
      </c>
      <c r="G133" t="s">
        <v>57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P133">
        <v>0</v>
      </c>
      <c r="Q133">
        <v>0</v>
      </c>
      <c r="R133">
        <v>0</v>
      </c>
      <c r="S133">
        <v>0</v>
      </c>
    </row>
    <row r="134" spans="1:19" x14ac:dyDescent="0.35">
      <c r="A134" t="s">
        <v>54</v>
      </c>
      <c r="B134">
        <v>133</v>
      </c>
      <c r="C134" t="s">
        <v>344</v>
      </c>
      <c r="D134" t="s">
        <v>345</v>
      </c>
      <c r="E134" t="s">
        <v>320</v>
      </c>
      <c r="F134" t="s">
        <v>346</v>
      </c>
      <c r="G134" t="s">
        <v>60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</row>
    <row r="135" spans="1:19" x14ac:dyDescent="0.35">
      <c r="A135" t="s">
        <v>54</v>
      </c>
      <c r="B135">
        <v>134</v>
      </c>
      <c r="C135" t="s">
        <v>347</v>
      </c>
      <c r="D135" t="s">
        <v>348</v>
      </c>
      <c r="E135" t="s">
        <v>320</v>
      </c>
      <c r="F135" t="s">
        <v>346</v>
      </c>
      <c r="G135" t="s">
        <v>60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1:19" x14ac:dyDescent="0.35">
      <c r="A136" t="s">
        <v>54</v>
      </c>
      <c r="B136">
        <v>135</v>
      </c>
      <c r="C136" t="s">
        <v>349</v>
      </c>
      <c r="D136" t="s">
        <v>350</v>
      </c>
      <c r="E136" t="s">
        <v>320</v>
      </c>
      <c r="F136" t="s">
        <v>346</v>
      </c>
      <c r="G136" t="s">
        <v>60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1:19" x14ac:dyDescent="0.35">
      <c r="A137" t="s">
        <v>54</v>
      </c>
      <c r="B137">
        <v>136</v>
      </c>
      <c r="C137" t="s">
        <v>351</v>
      </c>
      <c r="D137" t="s">
        <v>352</v>
      </c>
      <c r="E137" t="s">
        <v>320</v>
      </c>
      <c r="F137" t="s">
        <v>346</v>
      </c>
      <c r="G137" t="s">
        <v>60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1:19" x14ac:dyDescent="0.35">
      <c r="A138" t="s">
        <v>54</v>
      </c>
      <c r="B138">
        <v>137</v>
      </c>
      <c r="C138" t="s">
        <v>353</v>
      </c>
      <c r="D138" t="s">
        <v>354</v>
      </c>
      <c r="E138" t="s">
        <v>320</v>
      </c>
      <c r="F138" t="s">
        <v>346</v>
      </c>
      <c r="G138" t="s">
        <v>60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P138">
        <v>0</v>
      </c>
      <c r="Q138">
        <v>0</v>
      </c>
      <c r="R138">
        <v>0</v>
      </c>
      <c r="S138">
        <v>0</v>
      </c>
    </row>
    <row r="139" spans="1:19" x14ac:dyDescent="0.35">
      <c r="A139" t="s">
        <v>54</v>
      </c>
      <c r="B139">
        <v>138</v>
      </c>
      <c r="C139" t="s">
        <v>355</v>
      </c>
      <c r="D139" t="s">
        <v>356</v>
      </c>
      <c r="E139" t="s">
        <v>320</v>
      </c>
      <c r="F139" t="s">
        <v>346</v>
      </c>
      <c r="G139" t="s">
        <v>60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1:19" x14ac:dyDescent="0.35">
      <c r="A140" t="s">
        <v>54</v>
      </c>
      <c r="B140">
        <v>139</v>
      </c>
      <c r="C140" t="s">
        <v>357</v>
      </c>
      <c r="D140" t="s">
        <v>358</v>
      </c>
      <c r="E140" t="s">
        <v>320</v>
      </c>
      <c r="F140" t="s">
        <v>346</v>
      </c>
      <c r="G140" t="s">
        <v>60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1:19" x14ac:dyDescent="0.35">
      <c r="A141" t="s">
        <v>54</v>
      </c>
      <c r="B141">
        <v>140</v>
      </c>
      <c r="C141" t="s">
        <v>359</v>
      </c>
      <c r="D141" t="s">
        <v>360</v>
      </c>
      <c r="E141" t="s">
        <v>320</v>
      </c>
      <c r="F141" t="s">
        <v>346</v>
      </c>
      <c r="G141" t="s">
        <v>60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1:19" x14ac:dyDescent="0.35">
      <c r="A142" t="s">
        <v>54</v>
      </c>
      <c r="B142">
        <v>141</v>
      </c>
      <c r="C142" t="s">
        <v>361</v>
      </c>
      <c r="D142" t="s">
        <v>362</v>
      </c>
      <c r="E142" t="s">
        <v>320</v>
      </c>
      <c r="F142" t="s">
        <v>346</v>
      </c>
      <c r="G142" t="s">
        <v>60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</row>
    <row r="143" spans="1:19" x14ac:dyDescent="0.35">
      <c r="A143" t="s">
        <v>54</v>
      </c>
      <c r="B143">
        <v>142</v>
      </c>
      <c r="C143" t="s">
        <v>363</v>
      </c>
      <c r="D143" t="s">
        <v>364</v>
      </c>
      <c r="E143" t="s">
        <v>320</v>
      </c>
      <c r="F143" t="s">
        <v>346</v>
      </c>
      <c r="G143" t="s">
        <v>60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P143">
        <v>0</v>
      </c>
      <c r="Q143">
        <v>0</v>
      </c>
      <c r="R143">
        <v>0</v>
      </c>
      <c r="S143">
        <v>0</v>
      </c>
    </row>
    <row r="144" spans="1:19" x14ac:dyDescent="0.35">
      <c r="A144" t="s">
        <v>54</v>
      </c>
      <c r="B144">
        <v>143</v>
      </c>
      <c r="C144" t="s">
        <v>365</v>
      </c>
      <c r="D144" t="s">
        <v>366</v>
      </c>
      <c r="E144" t="s">
        <v>320</v>
      </c>
      <c r="F144" t="s">
        <v>346</v>
      </c>
      <c r="G144" t="s">
        <v>57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1:19" x14ac:dyDescent="0.35">
      <c r="A145" t="s">
        <v>54</v>
      </c>
      <c r="B145">
        <v>144</v>
      </c>
      <c r="C145" t="s">
        <v>367</v>
      </c>
      <c r="D145" t="s">
        <v>368</v>
      </c>
      <c r="E145" t="s">
        <v>320</v>
      </c>
      <c r="F145" t="s">
        <v>346</v>
      </c>
      <c r="G145" t="s">
        <v>60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P145">
        <v>0</v>
      </c>
      <c r="Q145">
        <v>0</v>
      </c>
      <c r="R145">
        <v>0</v>
      </c>
      <c r="S145">
        <v>0</v>
      </c>
    </row>
    <row r="146" spans="1:19" x14ac:dyDescent="0.35">
      <c r="A146" t="s">
        <v>54</v>
      </c>
      <c r="B146">
        <v>145</v>
      </c>
      <c r="C146" t="s">
        <v>369</v>
      </c>
      <c r="D146" t="s">
        <v>370</v>
      </c>
      <c r="E146" t="s">
        <v>320</v>
      </c>
      <c r="F146" t="s">
        <v>371</v>
      </c>
      <c r="G146" t="s">
        <v>60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1:19" x14ac:dyDescent="0.35">
      <c r="A147" t="s">
        <v>54</v>
      </c>
      <c r="B147">
        <v>146</v>
      </c>
      <c r="C147" t="s">
        <v>372</v>
      </c>
      <c r="D147" t="s">
        <v>373</v>
      </c>
      <c r="E147" t="s">
        <v>320</v>
      </c>
      <c r="F147" t="s">
        <v>371</v>
      </c>
      <c r="G147" t="s">
        <v>60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1:19" x14ac:dyDescent="0.35">
      <c r="A148" t="s">
        <v>54</v>
      </c>
      <c r="B148">
        <v>147</v>
      </c>
      <c r="C148" t="s">
        <v>374</v>
      </c>
      <c r="D148" t="s">
        <v>375</v>
      </c>
      <c r="E148" t="s">
        <v>320</v>
      </c>
      <c r="F148" t="s">
        <v>371</v>
      </c>
      <c r="G148" t="s">
        <v>57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1:19" x14ac:dyDescent="0.35">
      <c r="A149" t="s">
        <v>54</v>
      </c>
      <c r="B149">
        <v>148</v>
      </c>
      <c r="C149" t="s">
        <v>376</v>
      </c>
      <c r="D149" t="s">
        <v>377</v>
      </c>
      <c r="E149" t="s">
        <v>320</v>
      </c>
      <c r="F149" t="s">
        <v>371</v>
      </c>
      <c r="G149" t="s">
        <v>57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P149">
        <v>0</v>
      </c>
      <c r="Q149">
        <v>0</v>
      </c>
      <c r="R149">
        <v>0</v>
      </c>
      <c r="S149">
        <v>0</v>
      </c>
    </row>
    <row r="150" spans="1:19" x14ac:dyDescent="0.35">
      <c r="A150" t="s">
        <v>54</v>
      </c>
      <c r="B150">
        <v>149</v>
      </c>
      <c r="C150" t="s">
        <v>378</v>
      </c>
      <c r="D150" t="s">
        <v>379</v>
      </c>
      <c r="E150" t="s">
        <v>320</v>
      </c>
      <c r="F150" t="s">
        <v>380</v>
      </c>
      <c r="G150" t="s">
        <v>60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</row>
    <row r="151" spans="1:19" x14ac:dyDescent="0.35">
      <c r="A151" t="s">
        <v>54</v>
      </c>
      <c r="B151">
        <v>150</v>
      </c>
      <c r="C151" t="s">
        <v>381</v>
      </c>
      <c r="D151" t="s">
        <v>382</v>
      </c>
      <c r="E151" t="s">
        <v>320</v>
      </c>
      <c r="F151" t="s">
        <v>380</v>
      </c>
      <c r="G151" t="s">
        <v>57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</row>
    <row r="152" spans="1:19" x14ac:dyDescent="0.35">
      <c r="A152" t="s">
        <v>54</v>
      </c>
      <c r="B152">
        <v>151</v>
      </c>
      <c r="C152" t="s">
        <v>383</v>
      </c>
      <c r="D152" t="s">
        <v>384</v>
      </c>
      <c r="E152" t="s">
        <v>320</v>
      </c>
      <c r="F152" t="s">
        <v>380</v>
      </c>
      <c r="G152" t="s">
        <v>57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P152">
        <v>0</v>
      </c>
      <c r="Q152">
        <v>0</v>
      </c>
      <c r="R152">
        <v>0</v>
      </c>
      <c r="S152">
        <v>0</v>
      </c>
    </row>
    <row r="153" spans="1:19" x14ac:dyDescent="0.35">
      <c r="A153" t="s">
        <v>54</v>
      </c>
      <c r="B153">
        <v>152</v>
      </c>
      <c r="C153" t="s">
        <v>385</v>
      </c>
      <c r="D153" t="s">
        <v>386</v>
      </c>
      <c r="E153" t="s">
        <v>320</v>
      </c>
      <c r="F153" t="s">
        <v>387</v>
      </c>
      <c r="G153" t="s">
        <v>60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</row>
    <row r="154" spans="1:19" x14ac:dyDescent="0.35">
      <c r="A154" t="s">
        <v>54</v>
      </c>
      <c r="B154">
        <v>153</v>
      </c>
      <c r="C154" t="s">
        <v>388</v>
      </c>
      <c r="D154" t="s">
        <v>389</v>
      </c>
      <c r="E154" t="s">
        <v>320</v>
      </c>
      <c r="F154" t="s">
        <v>387</v>
      </c>
      <c r="G154" t="s">
        <v>57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1:19" x14ac:dyDescent="0.35">
      <c r="A155" t="s">
        <v>54</v>
      </c>
      <c r="B155">
        <v>154</v>
      </c>
      <c r="C155" t="s">
        <v>390</v>
      </c>
      <c r="D155" t="s">
        <v>391</v>
      </c>
      <c r="E155" t="s">
        <v>320</v>
      </c>
      <c r="F155" t="s">
        <v>387</v>
      </c>
      <c r="G155" t="s">
        <v>57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P155">
        <v>0</v>
      </c>
      <c r="Q155">
        <v>0</v>
      </c>
      <c r="R155">
        <v>0</v>
      </c>
      <c r="S155">
        <v>0</v>
      </c>
    </row>
    <row r="156" spans="1:19" x14ac:dyDescent="0.35">
      <c r="A156" t="s">
        <v>54</v>
      </c>
      <c r="B156">
        <v>155</v>
      </c>
      <c r="C156" t="s">
        <v>392</v>
      </c>
      <c r="D156" t="s">
        <v>393</v>
      </c>
      <c r="E156" t="s">
        <v>320</v>
      </c>
      <c r="F156" t="s">
        <v>393</v>
      </c>
      <c r="G156" t="s">
        <v>60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1:19" x14ac:dyDescent="0.35">
      <c r="A157" t="s">
        <v>54</v>
      </c>
      <c r="B157">
        <v>156</v>
      </c>
      <c r="C157" t="s">
        <v>394</v>
      </c>
      <c r="D157" t="s">
        <v>395</v>
      </c>
      <c r="E157" t="s">
        <v>320</v>
      </c>
      <c r="F157" t="s">
        <v>170</v>
      </c>
      <c r="G157" t="s">
        <v>57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P157">
        <v>0</v>
      </c>
      <c r="Q157">
        <v>0</v>
      </c>
      <c r="R157">
        <v>0</v>
      </c>
      <c r="S157">
        <v>0</v>
      </c>
    </row>
    <row r="158" spans="1:19" x14ac:dyDescent="0.35">
      <c r="A158" t="s">
        <v>54</v>
      </c>
      <c r="B158">
        <v>157</v>
      </c>
      <c r="C158" t="s">
        <v>396</v>
      </c>
      <c r="D158" t="s">
        <v>397</v>
      </c>
      <c r="E158" t="s">
        <v>398</v>
      </c>
      <c r="F158" t="s">
        <v>399</v>
      </c>
      <c r="G158" t="s">
        <v>60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</row>
    <row r="159" spans="1:19" x14ac:dyDescent="0.35">
      <c r="A159" t="s">
        <v>54</v>
      </c>
      <c r="B159">
        <v>158</v>
      </c>
      <c r="C159" t="s">
        <v>400</v>
      </c>
      <c r="D159" t="s">
        <v>401</v>
      </c>
      <c r="E159" t="s">
        <v>398</v>
      </c>
      <c r="F159" t="s">
        <v>399</v>
      </c>
      <c r="G159" t="s">
        <v>60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1:19" x14ac:dyDescent="0.35">
      <c r="A160" t="s">
        <v>54</v>
      </c>
      <c r="B160">
        <v>159</v>
      </c>
      <c r="C160" t="s">
        <v>402</v>
      </c>
      <c r="D160" t="s">
        <v>403</v>
      </c>
      <c r="E160" t="s">
        <v>398</v>
      </c>
      <c r="F160" t="s">
        <v>399</v>
      </c>
      <c r="G160" t="s">
        <v>60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1:19" x14ac:dyDescent="0.35">
      <c r="A161" t="s">
        <v>54</v>
      </c>
      <c r="B161">
        <v>160</v>
      </c>
      <c r="C161" t="s">
        <v>404</v>
      </c>
      <c r="D161" t="s">
        <v>405</v>
      </c>
      <c r="E161" t="s">
        <v>406</v>
      </c>
      <c r="F161" t="s">
        <v>406</v>
      </c>
      <c r="G161" t="s">
        <v>57</v>
      </c>
      <c r="H161">
        <v>76754</v>
      </c>
      <c r="I161">
        <v>69.902500000000003</v>
      </c>
      <c r="J161">
        <v>1098.01509245019</v>
      </c>
      <c r="K161">
        <v>1018.6330457863299</v>
      </c>
      <c r="L161">
        <v>75.349999999999994</v>
      </c>
      <c r="M161">
        <v>5.4474999999999998</v>
      </c>
      <c r="N161">
        <v>1.0779299738921999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1:19" x14ac:dyDescent="0.35">
      <c r="A162" t="s">
        <v>54</v>
      </c>
      <c r="B162">
        <v>161</v>
      </c>
      <c r="C162" t="s">
        <v>407</v>
      </c>
      <c r="D162" t="s">
        <v>408</v>
      </c>
      <c r="E162" t="s">
        <v>406</v>
      </c>
      <c r="F162" t="s">
        <v>406</v>
      </c>
      <c r="G162" t="s">
        <v>57</v>
      </c>
      <c r="H162">
        <v>76754</v>
      </c>
      <c r="I162">
        <v>0</v>
      </c>
      <c r="J162">
        <v>0</v>
      </c>
      <c r="K162">
        <v>11337.370753323399</v>
      </c>
      <c r="L162">
        <v>6.77</v>
      </c>
      <c r="M162">
        <v>6.77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1:19" x14ac:dyDescent="0.35">
      <c r="A163" t="s">
        <v>54</v>
      </c>
      <c r="B163">
        <v>162</v>
      </c>
      <c r="C163" t="s">
        <v>409</v>
      </c>
      <c r="D163" t="s">
        <v>410</v>
      </c>
      <c r="E163" t="s">
        <v>406</v>
      </c>
      <c r="F163" t="s">
        <v>406</v>
      </c>
      <c r="G163" t="s">
        <v>57</v>
      </c>
      <c r="H163">
        <v>76754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1:19" x14ac:dyDescent="0.35">
      <c r="A164" t="s">
        <v>54</v>
      </c>
      <c r="B164">
        <v>163</v>
      </c>
      <c r="C164" t="s">
        <v>411</v>
      </c>
      <c r="D164" t="s">
        <v>412</v>
      </c>
      <c r="E164" t="s">
        <v>406</v>
      </c>
      <c r="F164" t="s">
        <v>406</v>
      </c>
      <c r="G164" t="s">
        <v>57</v>
      </c>
      <c r="H164">
        <v>76754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1:19" x14ac:dyDescent="0.35">
      <c r="A165" t="s">
        <v>54</v>
      </c>
      <c r="B165">
        <v>164</v>
      </c>
      <c r="C165" t="s">
        <v>413</v>
      </c>
      <c r="D165" t="s">
        <v>414</v>
      </c>
      <c r="E165" t="s">
        <v>406</v>
      </c>
      <c r="F165" t="s">
        <v>406</v>
      </c>
      <c r="G165" t="s">
        <v>57</v>
      </c>
      <c r="H165">
        <v>194646</v>
      </c>
      <c r="I165">
        <v>73.596388888888896</v>
      </c>
      <c r="J165">
        <v>2644.7765024702999</v>
      </c>
      <c r="K165">
        <v>2499.999984</v>
      </c>
      <c r="L165">
        <v>77.858400498293705</v>
      </c>
      <c r="M165">
        <v>4.2620116094048699</v>
      </c>
      <c r="N165">
        <v>1.0579106077587499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1:19" x14ac:dyDescent="0.35">
      <c r="A166" t="s">
        <v>54</v>
      </c>
      <c r="B166">
        <v>165</v>
      </c>
      <c r="C166" t="s">
        <v>415</v>
      </c>
      <c r="D166" t="s">
        <v>416</v>
      </c>
      <c r="E166" t="s">
        <v>406</v>
      </c>
      <c r="F166" t="s">
        <v>406</v>
      </c>
      <c r="G166" t="s">
        <v>57</v>
      </c>
      <c r="H166">
        <v>76754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1:19" x14ac:dyDescent="0.35">
      <c r="A167" t="s">
        <v>54</v>
      </c>
      <c r="B167">
        <v>166</v>
      </c>
      <c r="C167" t="s">
        <v>417</v>
      </c>
      <c r="D167" t="s">
        <v>418</v>
      </c>
      <c r="E167" t="s">
        <v>419</v>
      </c>
      <c r="F167" t="s">
        <v>420</v>
      </c>
      <c r="G167" t="s">
        <v>270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</row>
    <row r="168" spans="1:19" x14ac:dyDescent="0.35">
      <c r="A168" t="s">
        <v>54</v>
      </c>
      <c r="B168">
        <v>167</v>
      </c>
      <c r="C168" t="s">
        <v>421</v>
      </c>
      <c r="D168" t="s">
        <v>422</v>
      </c>
      <c r="E168" t="s">
        <v>419</v>
      </c>
      <c r="F168" t="s">
        <v>420</v>
      </c>
      <c r="G168" t="s">
        <v>270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1:19" x14ac:dyDescent="0.35">
      <c r="A169" t="s">
        <v>54</v>
      </c>
      <c r="B169">
        <v>168</v>
      </c>
      <c r="C169" t="s">
        <v>423</v>
      </c>
      <c r="D169" t="s">
        <v>424</v>
      </c>
      <c r="E169" t="s">
        <v>419</v>
      </c>
      <c r="F169" t="s">
        <v>420</v>
      </c>
      <c r="G169" t="s">
        <v>270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1:19" x14ac:dyDescent="0.35">
      <c r="A170" t="s">
        <v>425</v>
      </c>
      <c r="B170">
        <v>1</v>
      </c>
      <c r="C170" t="s">
        <v>426</v>
      </c>
      <c r="D170" t="s">
        <v>427</v>
      </c>
      <c r="E170" t="s">
        <v>428</v>
      </c>
      <c r="F170" t="s">
        <v>428</v>
      </c>
      <c r="G170" t="s">
        <v>60</v>
      </c>
      <c r="H170">
        <v>117892</v>
      </c>
      <c r="I170">
        <v>433.32916666666603</v>
      </c>
      <c r="J170">
        <v>272.06107751036001</v>
      </c>
      <c r="K170">
        <v>207.694491582327</v>
      </c>
      <c r="L170">
        <v>567.62217958615895</v>
      </c>
      <c r="M170">
        <v>134.29301291949301</v>
      </c>
      <c r="N170">
        <v>1.30990993279433</v>
      </c>
      <c r="P170">
        <v>0</v>
      </c>
      <c r="Q170">
        <v>0</v>
      </c>
      <c r="R170">
        <v>0</v>
      </c>
      <c r="S170">
        <v>0</v>
      </c>
    </row>
    <row r="171" spans="1:19" x14ac:dyDescent="0.35">
      <c r="A171" t="s">
        <v>425</v>
      </c>
      <c r="B171">
        <v>2</v>
      </c>
      <c r="C171" t="s">
        <v>429</v>
      </c>
      <c r="D171" t="s">
        <v>430</v>
      </c>
      <c r="E171" t="s">
        <v>428</v>
      </c>
      <c r="F171" t="s">
        <v>428</v>
      </c>
      <c r="G171" t="s">
        <v>60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P171">
        <v>0</v>
      </c>
      <c r="Q171">
        <v>0</v>
      </c>
      <c r="R171">
        <v>0</v>
      </c>
      <c r="S171">
        <v>0</v>
      </c>
    </row>
    <row r="172" spans="1:19" x14ac:dyDescent="0.35">
      <c r="A172" t="s">
        <v>425</v>
      </c>
      <c r="B172">
        <v>3</v>
      </c>
      <c r="C172" t="s">
        <v>431</v>
      </c>
      <c r="D172" t="s">
        <v>432</v>
      </c>
      <c r="E172" t="s">
        <v>428</v>
      </c>
      <c r="F172" t="s">
        <v>428</v>
      </c>
      <c r="G172" t="s">
        <v>60</v>
      </c>
      <c r="H172">
        <v>117892</v>
      </c>
      <c r="I172">
        <v>433.32916666666603</v>
      </c>
      <c r="J172">
        <v>272.06107751036001</v>
      </c>
      <c r="K172">
        <v>207.694491582327</v>
      </c>
      <c r="L172">
        <v>567.62217958615895</v>
      </c>
      <c r="M172">
        <v>134.29301291949301</v>
      </c>
      <c r="N172">
        <v>1.30990993279433</v>
      </c>
      <c r="P172">
        <v>0</v>
      </c>
      <c r="Q172">
        <v>0</v>
      </c>
      <c r="R172">
        <v>0</v>
      </c>
      <c r="S172">
        <v>0</v>
      </c>
    </row>
    <row r="173" spans="1:19" x14ac:dyDescent="0.35">
      <c r="A173" t="s">
        <v>425</v>
      </c>
      <c r="B173">
        <v>4</v>
      </c>
      <c r="C173" t="s">
        <v>433</v>
      </c>
      <c r="D173" t="s">
        <v>219</v>
      </c>
      <c r="E173" t="s">
        <v>428</v>
      </c>
      <c r="F173" t="s">
        <v>428</v>
      </c>
      <c r="G173" t="s">
        <v>60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P173">
        <v>0</v>
      </c>
      <c r="Q173">
        <v>0</v>
      </c>
      <c r="R173">
        <v>0</v>
      </c>
      <c r="S173">
        <v>0</v>
      </c>
    </row>
    <row r="174" spans="1:19" x14ac:dyDescent="0.35">
      <c r="A174" t="s">
        <v>425</v>
      </c>
      <c r="B174">
        <v>5</v>
      </c>
      <c r="C174" t="s">
        <v>434</v>
      </c>
      <c r="D174" t="s">
        <v>435</v>
      </c>
      <c r="E174" t="s">
        <v>428</v>
      </c>
      <c r="F174" t="s">
        <v>428</v>
      </c>
      <c r="G174" t="s">
        <v>60</v>
      </c>
      <c r="H174">
        <v>76754</v>
      </c>
      <c r="I174">
        <v>280.794166666666</v>
      </c>
      <c r="J174">
        <v>273.34613432733897</v>
      </c>
      <c r="K174">
        <v>252.882340279153</v>
      </c>
      <c r="L174">
        <v>303.51664697215301</v>
      </c>
      <c r="M174">
        <v>22.722480305486901</v>
      </c>
      <c r="N174">
        <v>1.0809221949844099</v>
      </c>
      <c r="P174">
        <v>0</v>
      </c>
      <c r="Q174">
        <v>0</v>
      </c>
      <c r="R174">
        <v>0</v>
      </c>
      <c r="S174">
        <v>0</v>
      </c>
    </row>
    <row r="175" spans="1:19" x14ac:dyDescent="0.35">
      <c r="A175" t="s">
        <v>425</v>
      </c>
      <c r="B175">
        <v>6</v>
      </c>
      <c r="C175" t="s">
        <v>436</v>
      </c>
      <c r="D175" t="s">
        <v>320</v>
      </c>
      <c r="E175" t="s">
        <v>428</v>
      </c>
      <c r="F175" t="s">
        <v>428</v>
      </c>
      <c r="G175" t="s">
        <v>60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P175">
        <v>0</v>
      </c>
      <c r="Q175">
        <v>0</v>
      </c>
      <c r="R175">
        <v>0</v>
      </c>
      <c r="S175">
        <v>0</v>
      </c>
    </row>
    <row r="176" spans="1:19" x14ac:dyDescent="0.35">
      <c r="A176" t="s">
        <v>425</v>
      </c>
      <c r="B176">
        <v>7</v>
      </c>
      <c r="C176" t="s">
        <v>437</v>
      </c>
      <c r="D176" t="s">
        <v>399</v>
      </c>
      <c r="E176" t="s">
        <v>428</v>
      </c>
      <c r="F176" t="s">
        <v>428</v>
      </c>
      <c r="G176" t="s">
        <v>60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P176">
        <v>0</v>
      </c>
      <c r="Q176">
        <v>0</v>
      </c>
      <c r="R176">
        <v>0</v>
      </c>
      <c r="S176">
        <v>0</v>
      </c>
    </row>
    <row r="177" spans="1:19" x14ac:dyDescent="0.35">
      <c r="A177" t="s">
        <v>425</v>
      </c>
      <c r="B177">
        <v>8</v>
      </c>
      <c r="C177" t="s">
        <v>438</v>
      </c>
      <c r="D177" t="s">
        <v>406</v>
      </c>
      <c r="E177" t="s">
        <v>428</v>
      </c>
      <c r="F177" t="s">
        <v>428</v>
      </c>
      <c r="G177" t="s">
        <v>60</v>
      </c>
      <c r="H177">
        <v>76754</v>
      </c>
      <c r="I177">
        <v>143.49888888888799</v>
      </c>
      <c r="J177">
        <v>534.87522164321797</v>
      </c>
      <c r="K177">
        <v>479.77726843705102</v>
      </c>
      <c r="L177">
        <v>159.97840049829301</v>
      </c>
      <c r="M177">
        <v>16.479511609404799</v>
      </c>
      <c r="N177">
        <v>1.1148406913600899</v>
      </c>
      <c r="P177">
        <v>0</v>
      </c>
      <c r="Q177">
        <v>0</v>
      </c>
      <c r="R177">
        <v>0</v>
      </c>
      <c r="S177">
        <v>0</v>
      </c>
    </row>
    <row r="178" spans="1:19" x14ac:dyDescent="0.35">
      <c r="A178" t="s">
        <v>425</v>
      </c>
      <c r="B178">
        <v>9</v>
      </c>
      <c r="C178" t="s">
        <v>439</v>
      </c>
      <c r="D178" t="s">
        <v>419</v>
      </c>
      <c r="E178" t="s">
        <v>428</v>
      </c>
      <c r="F178" t="s">
        <v>428</v>
      </c>
      <c r="G178" t="s">
        <v>270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P178">
        <v>0</v>
      </c>
      <c r="Q178">
        <v>0</v>
      </c>
      <c r="R178">
        <v>0</v>
      </c>
      <c r="S178">
        <v>0</v>
      </c>
    </row>
    <row r="179" spans="1:19" x14ac:dyDescent="0.35">
      <c r="A179" t="s">
        <v>425</v>
      </c>
      <c r="B179">
        <v>10</v>
      </c>
      <c r="C179" t="s">
        <v>440</v>
      </c>
      <c r="D179" t="s">
        <v>441</v>
      </c>
      <c r="E179" t="s">
        <v>428</v>
      </c>
      <c r="F179" t="s">
        <v>428</v>
      </c>
      <c r="G179" t="s">
        <v>60</v>
      </c>
      <c r="H179">
        <v>194646</v>
      </c>
      <c r="I179">
        <v>857.62222222222204</v>
      </c>
      <c r="J179">
        <v>226.960070479102</v>
      </c>
      <c r="K179">
        <v>188.77194066054901</v>
      </c>
      <c r="L179">
        <v>1031.1172270566001</v>
      </c>
      <c r="M179">
        <v>173.49500483438501</v>
      </c>
      <c r="N179">
        <v>1.20229770211041</v>
      </c>
      <c r="P179">
        <v>0</v>
      </c>
      <c r="Q179">
        <v>0</v>
      </c>
      <c r="R179">
        <v>0</v>
      </c>
      <c r="S179">
        <v>0</v>
      </c>
    </row>
    <row r="180" spans="1:19" x14ac:dyDescent="0.35">
      <c r="A180" t="s">
        <v>442</v>
      </c>
      <c r="B180">
        <v>1</v>
      </c>
      <c r="C180" t="s">
        <v>443</v>
      </c>
      <c r="D180" t="s">
        <v>13</v>
      </c>
      <c r="E180" t="s">
        <v>444</v>
      </c>
      <c r="F180" t="s">
        <v>444</v>
      </c>
      <c r="G180" t="s">
        <v>60</v>
      </c>
      <c r="H180">
        <v>117892</v>
      </c>
      <c r="I180">
        <v>433.32916666666603</v>
      </c>
      <c r="J180">
        <v>272.06107751036001</v>
      </c>
      <c r="K180">
        <v>207.694491582327</v>
      </c>
      <c r="L180">
        <v>567.62217958615895</v>
      </c>
      <c r="M180">
        <v>134.29301291949301</v>
      </c>
      <c r="N180">
        <v>1.30990993279433</v>
      </c>
      <c r="P180">
        <v>0</v>
      </c>
      <c r="Q180">
        <v>0</v>
      </c>
      <c r="R180">
        <v>0</v>
      </c>
      <c r="S180">
        <v>0</v>
      </c>
    </row>
    <row r="181" spans="1:19" x14ac:dyDescent="0.35">
      <c r="A181" t="s">
        <v>442</v>
      </c>
      <c r="B181">
        <v>2</v>
      </c>
      <c r="C181" t="s">
        <v>445</v>
      </c>
      <c r="D181" t="s">
        <v>446</v>
      </c>
      <c r="E181" t="s">
        <v>444</v>
      </c>
      <c r="F181" t="s">
        <v>444</v>
      </c>
      <c r="G181" t="s">
        <v>60</v>
      </c>
      <c r="H181">
        <v>76754</v>
      </c>
      <c r="I181">
        <v>280.794166666666</v>
      </c>
      <c r="J181">
        <v>273.34613432733897</v>
      </c>
      <c r="K181">
        <v>252.882340279153</v>
      </c>
      <c r="L181">
        <v>303.51664697215301</v>
      </c>
      <c r="M181">
        <v>22.722480305486901</v>
      </c>
      <c r="N181">
        <v>1.0809221949844099</v>
      </c>
      <c r="P181">
        <v>0</v>
      </c>
      <c r="Q181">
        <v>0</v>
      </c>
      <c r="R181">
        <v>0</v>
      </c>
      <c r="S181">
        <v>0</v>
      </c>
    </row>
    <row r="182" spans="1:19" x14ac:dyDescent="0.35">
      <c r="A182" t="s">
        <v>442</v>
      </c>
      <c r="B182">
        <v>3</v>
      </c>
      <c r="C182" t="s">
        <v>447</v>
      </c>
      <c r="D182" t="s">
        <v>320</v>
      </c>
      <c r="E182" t="s">
        <v>444</v>
      </c>
      <c r="F182" t="s">
        <v>444</v>
      </c>
      <c r="G182" t="s">
        <v>60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P182">
        <v>0</v>
      </c>
      <c r="Q182">
        <v>0</v>
      </c>
      <c r="R182">
        <v>0</v>
      </c>
      <c r="S182">
        <v>0</v>
      </c>
    </row>
    <row r="183" spans="1:19" x14ac:dyDescent="0.35">
      <c r="A183" t="s">
        <v>442</v>
      </c>
      <c r="B183">
        <v>4</v>
      </c>
      <c r="C183" t="s">
        <v>448</v>
      </c>
      <c r="D183" t="s">
        <v>406</v>
      </c>
      <c r="E183" t="s">
        <v>444</v>
      </c>
      <c r="F183" t="s">
        <v>444</v>
      </c>
      <c r="G183" t="s">
        <v>60</v>
      </c>
      <c r="H183">
        <v>76754</v>
      </c>
      <c r="I183">
        <v>143.49888888888799</v>
      </c>
      <c r="J183">
        <v>534.87522164321797</v>
      </c>
      <c r="K183">
        <v>479.77726843705102</v>
      </c>
      <c r="L183">
        <v>159.97840049829301</v>
      </c>
      <c r="M183">
        <v>16.479511609404799</v>
      </c>
      <c r="N183">
        <v>1.1148406913600899</v>
      </c>
      <c r="P183">
        <v>0</v>
      </c>
      <c r="Q183">
        <v>0</v>
      </c>
      <c r="R183">
        <v>0</v>
      </c>
      <c r="S183">
        <v>0</v>
      </c>
    </row>
    <row r="184" spans="1:19" x14ac:dyDescent="0.35">
      <c r="A184" t="s">
        <v>442</v>
      </c>
      <c r="B184">
        <v>5</v>
      </c>
      <c r="C184" t="s">
        <v>449</v>
      </c>
      <c r="D184" t="s">
        <v>419</v>
      </c>
      <c r="E184" t="s">
        <v>444</v>
      </c>
      <c r="F184" t="s">
        <v>444</v>
      </c>
      <c r="G184" t="s">
        <v>270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P184">
        <v>0</v>
      </c>
      <c r="Q184">
        <v>0</v>
      </c>
      <c r="R184">
        <v>0</v>
      </c>
      <c r="S184">
        <v>0</v>
      </c>
    </row>
    <row r="185" spans="1:19" x14ac:dyDescent="0.35">
      <c r="A185" t="s">
        <v>442</v>
      </c>
      <c r="B185">
        <v>6</v>
      </c>
      <c r="C185" t="s">
        <v>450</v>
      </c>
      <c r="D185" t="s">
        <v>441</v>
      </c>
      <c r="E185" t="s">
        <v>444</v>
      </c>
      <c r="F185" t="s">
        <v>444</v>
      </c>
      <c r="G185" t="s">
        <v>60</v>
      </c>
      <c r="H185">
        <v>194646</v>
      </c>
      <c r="I185">
        <v>857.62222222222204</v>
      </c>
      <c r="J185">
        <v>226.960070479102</v>
      </c>
      <c r="K185">
        <v>188.77194066054901</v>
      </c>
      <c r="L185">
        <v>1031.1172270566001</v>
      </c>
      <c r="M185">
        <v>173.49500483438501</v>
      </c>
      <c r="N185">
        <v>1.20229770211041</v>
      </c>
      <c r="P185">
        <v>0</v>
      </c>
      <c r="Q185">
        <v>0</v>
      </c>
      <c r="R185">
        <v>0</v>
      </c>
      <c r="S185">
        <v>0</v>
      </c>
    </row>
    <row r="186" spans="1:19" x14ac:dyDescent="0.35">
      <c r="A186" t="s">
        <v>34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B18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  <col min="3" max="3" width="35.6328125" bestFit="1" customWidth="1"/>
  </cols>
  <sheetData>
    <row r="1" spans="1:2" x14ac:dyDescent="0.35">
      <c r="A1" t="s">
        <v>475</v>
      </c>
      <c r="B1" t="s">
        <v>476</v>
      </c>
    </row>
    <row r="2" spans="1:2" x14ac:dyDescent="0.35">
      <c r="A2" t="s">
        <v>477</v>
      </c>
      <c r="B2" t="s">
        <v>600</v>
      </c>
    </row>
    <row r="3" spans="1:2" x14ac:dyDescent="0.35">
      <c r="A3" t="s">
        <v>478</v>
      </c>
      <c r="B3" t="s">
        <v>479</v>
      </c>
    </row>
    <row r="4" spans="1:2" x14ac:dyDescent="0.35">
      <c r="A4" t="s">
        <v>480</v>
      </c>
      <c r="B4">
        <v>1185</v>
      </c>
    </row>
    <row r="5" spans="1:2" x14ac:dyDescent="0.35">
      <c r="A5" t="s">
        <v>481</v>
      </c>
      <c r="B5">
        <v>1706.54545454545</v>
      </c>
    </row>
    <row r="6" spans="1:2" x14ac:dyDescent="0.35">
      <c r="A6" t="s">
        <v>482</v>
      </c>
      <c r="B6">
        <v>2679</v>
      </c>
    </row>
    <row r="7" spans="1:2" x14ac:dyDescent="0.35">
      <c r="A7" t="s">
        <v>601</v>
      </c>
      <c r="B7">
        <v>1317</v>
      </c>
    </row>
    <row r="8" spans="1:2" x14ac:dyDescent="0.35">
      <c r="A8" t="s">
        <v>602</v>
      </c>
      <c r="B8">
        <v>2679</v>
      </c>
    </row>
    <row r="9" spans="1:2" x14ac:dyDescent="0.35">
      <c r="A9" t="s">
        <v>603</v>
      </c>
      <c r="B9">
        <v>1855</v>
      </c>
    </row>
    <row r="10" spans="1:2" x14ac:dyDescent="0.35">
      <c r="A10" t="s">
        <v>604</v>
      </c>
      <c r="B10">
        <v>2094</v>
      </c>
    </row>
    <row r="11" spans="1:2" x14ac:dyDescent="0.35">
      <c r="A11" t="s">
        <v>605</v>
      </c>
      <c r="B11">
        <v>1284</v>
      </c>
    </row>
    <row r="12" spans="1:2" x14ac:dyDescent="0.35">
      <c r="A12" t="s">
        <v>606</v>
      </c>
      <c r="B12">
        <v>1185</v>
      </c>
    </row>
    <row r="13" spans="1:2" x14ac:dyDescent="0.35">
      <c r="A13" t="s">
        <v>607</v>
      </c>
      <c r="B13">
        <v>1663</v>
      </c>
    </row>
    <row r="14" spans="1:2" x14ac:dyDescent="0.35">
      <c r="A14" t="s">
        <v>608</v>
      </c>
      <c r="B14">
        <v>1486</v>
      </c>
    </row>
    <row r="15" spans="1:2" x14ac:dyDescent="0.35">
      <c r="A15" t="s">
        <v>609</v>
      </c>
      <c r="B15">
        <v>1971</v>
      </c>
    </row>
    <row r="16" spans="1:2" x14ac:dyDescent="0.35">
      <c r="A16" t="s">
        <v>610</v>
      </c>
      <c r="B16">
        <v>2017</v>
      </c>
    </row>
    <row r="17" spans="1:2" x14ac:dyDescent="0.35">
      <c r="A17" t="s">
        <v>611</v>
      </c>
      <c r="B17">
        <v>1221</v>
      </c>
    </row>
    <row r="18" spans="1:2" x14ac:dyDescent="0.35">
      <c r="A18" t="s">
        <v>34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R233"/>
  <sheetViews>
    <sheetView workbookViewId="0">
      <selection sqref="A1:A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4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5.81640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>
    <row r="1" spans="1:18" x14ac:dyDescent="0.35">
      <c r="A1" t="s">
        <v>451</v>
      </c>
      <c r="B1" t="s">
        <v>452</v>
      </c>
      <c r="C1" t="s">
        <v>453</v>
      </c>
      <c r="D1" t="s">
        <v>454</v>
      </c>
      <c r="E1" t="s">
        <v>455</v>
      </c>
      <c r="F1" t="s">
        <v>456</v>
      </c>
      <c r="G1" t="s">
        <v>457</v>
      </c>
      <c r="H1" t="s">
        <v>458</v>
      </c>
      <c r="I1" t="s">
        <v>459</v>
      </c>
      <c r="J1" t="s">
        <v>460</v>
      </c>
      <c r="K1" t="s">
        <v>461</v>
      </c>
      <c r="L1" t="s">
        <v>462</v>
      </c>
      <c r="M1" t="s">
        <v>463</v>
      </c>
      <c r="N1" t="s">
        <v>464</v>
      </c>
      <c r="O1" t="s">
        <v>41</v>
      </c>
      <c r="P1" t="s">
        <v>465</v>
      </c>
      <c r="Q1" t="s">
        <v>466</v>
      </c>
      <c r="R1" t="s">
        <v>467</v>
      </c>
    </row>
    <row r="2" spans="1:18" x14ac:dyDescent="0.35">
      <c r="A2" t="s">
        <v>197</v>
      </c>
      <c r="B2" t="s">
        <v>483</v>
      </c>
      <c r="C2" t="s">
        <v>484</v>
      </c>
      <c r="D2">
        <v>100753604</v>
      </c>
      <c r="E2" t="s">
        <v>485</v>
      </c>
      <c r="F2" t="s">
        <v>486</v>
      </c>
      <c r="G2">
        <v>0.27</v>
      </c>
      <c r="H2">
        <v>5.15</v>
      </c>
      <c r="I2">
        <v>0.31</v>
      </c>
      <c r="J2">
        <v>0</v>
      </c>
      <c r="K2">
        <v>5.73</v>
      </c>
      <c r="L2" t="s">
        <v>487</v>
      </c>
      <c r="M2">
        <v>268</v>
      </c>
      <c r="N2">
        <v>46.74</v>
      </c>
      <c r="O2" t="s">
        <v>60</v>
      </c>
      <c r="P2" t="s">
        <v>488</v>
      </c>
      <c r="Q2">
        <v>364</v>
      </c>
      <c r="R2">
        <v>1330.36</v>
      </c>
    </row>
    <row r="3" spans="1:18" x14ac:dyDescent="0.35">
      <c r="A3" t="s">
        <v>197</v>
      </c>
      <c r="B3" t="s">
        <v>483</v>
      </c>
      <c r="C3" t="s">
        <v>484</v>
      </c>
      <c r="D3">
        <v>100753604</v>
      </c>
      <c r="E3" t="s">
        <v>485</v>
      </c>
      <c r="F3" t="s">
        <v>486</v>
      </c>
      <c r="G3">
        <v>0.27</v>
      </c>
      <c r="H3">
        <v>5.15</v>
      </c>
      <c r="I3">
        <v>0.31</v>
      </c>
      <c r="J3">
        <v>0</v>
      </c>
      <c r="K3">
        <v>5.73</v>
      </c>
      <c r="L3" t="s">
        <v>487</v>
      </c>
      <c r="M3">
        <v>268</v>
      </c>
      <c r="N3">
        <v>46.74</v>
      </c>
      <c r="O3" t="s">
        <v>60</v>
      </c>
      <c r="P3" t="s">
        <v>489</v>
      </c>
      <c r="Q3">
        <v>1366</v>
      </c>
      <c r="R3">
        <v>265.06</v>
      </c>
    </row>
    <row r="4" spans="1:18" x14ac:dyDescent="0.35">
      <c r="A4" t="s">
        <v>197</v>
      </c>
      <c r="B4" t="s">
        <v>483</v>
      </c>
      <c r="C4" t="s">
        <v>484</v>
      </c>
      <c r="D4">
        <v>100753604</v>
      </c>
      <c r="E4" t="s">
        <v>485</v>
      </c>
      <c r="F4" t="s">
        <v>486</v>
      </c>
      <c r="G4">
        <v>0.27</v>
      </c>
      <c r="H4">
        <v>5.15</v>
      </c>
      <c r="I4">
        <v>0.31</v>
      </c>
      <c r="J4">
        <v>0</v>
      </c>
      <c r="K4">
        <v>5.73</v>
      </c>
      <c r="L4" t="s">
        <v>487</v>
      </c>
      <c r="M4">
        <v>268</v>
      </c>
      <c r="N4">
        <v>46.74</v>
      </c>
      <c r="O4" t="s">
        <v>60</v>
      </c>
      <c r="P4" t="s">
        <v>490</v>
      </c>
      <c r="Q4">
        <v>62</v>
      </c>
      <c r="R4">
        <v>202.91</v>
      </c>
    </row>
    <row r="5" spans="1:18" x14ac:dyDescent="0.35">
      <c r="A5" t="s">
        <v>197</v>
      </c>
      <c r="B5" t="s">
        <v>483</v>
      </c>
      <c r="C5" t="s">
        <v>484</v>
      </c>
      <c r="D5">
        <v>100753604</v>
      </c>
      <c r="E5" t="s">
        <v>485</v>
      </c>
      <c r="F5" t="s">
        <v>486</v>
      </c>
      <c r="G5">
        <v>0.27</v>
      </c>
      <c r="H5">
        <v>5.15</v>
      </c>
      <c r="I5">
        <v>0.31</v>
      </c>
      <c r="J5">
        <v>0</v>
      </c>
      <c r="K5">
        <v>5.73</v>
      </c>
      <c r="L5" t="s">
        <v>487</v>
      </c>
      <c r="M5">
        <v>268</v>
      </c>
      <c r="N5">
        <v>46.74</v>
      </c>
      <c r="O5" t="s">
        <v>60</v>
      </c>
      <c r="P5" t="s">
        <v>491</v>
      </c>
      <c r="Q5">
        <v>0</v>
      </c>
      <c r="R5">
        <v>0</v>
      </c>
    </row>
    <row r="6" spans="1:18" x14ac:dyDescent="0.35">
      <c r="A6" t="s">
        <v>197</v>
      </c>
      <c r="B6" t="s">
        <v>483</v>
      </c>
      <c r="C6" t="s">
        <v>484</v>
      </c>
      <c r="D6">
        <v>100753604</v>
      </c>
      <c r="E6" t="s">
        <v>485</v>
      </c>
      <c r="F6" t="s">
        <v>486</v>
      </c>
      <c r="G6">
        <v>0.27</v>
      </c>
      <c r="H6">
        <v>5.15</v>
      </c>
      <c r="I6">
        <v>0.31</v>
      </c>
      <c r="J6">
        <v>0</v>
      </c>
      <c r="K6">
        <v>5.73</v>
      </c>
      <c r="L6" t="s">
        <v>487</v>
      </c>
      <c r="M6">
        <v>268</v>
      </c>
      <c r="N6">
        <v>46.74</v>
      </c>
      <c r="O6" t="s">
        <v>60</v>
      </c>
      <c r="P6" t="s">
        <v>492</v>
      </c>
      <c r="Q6">
        <v>1792</v>
      </c>
      <c r="R6">
        <v>312.56</v>
      </c>
    </row>
    <row r="7" spans="1:18" x14ac:dyDescent="0.35">
      <c r="A7" t="s">
        <v>197</v>
      </c>
      <c r="B7" t="s">
        <v>483</v>
      </c>
      <c r="C7" t="s">
        <v>484</v>
      </c>
      <c r="D7">
        <v>100753604</v>
      </c>
      <c r="E7" t="s">
        <v>485</v>
      </c>
      <c r="F7" t="s">
        <v>486</v>
      </c>
      <c r="G7">
        <v>0.27</v>
      </c>
      <c r="H7">
        <v>5.15</v>
      </c>
      <c r="I7">
        <v>0.31</v>
      </c>
      <c r="J7">
        <v>0</v>
      </c>
      <c r="K7">
        <v>5.73</v>
      </c>
      <c r="L7" t="s">
        <v>487</v>
      </c>
      <c r="M7">
        <v>268</v>
      </c>
      <c r="N7">
        <v>46.74</v>
      </c>
      <c r="O7" t="s">
        <v>81</v>
      </c>
      <c r="P7" t="s">
        <v>492</v>
      </c>
      <c r="Q7">
        <v>268</v>
      </c>
      <c r="R7">
        <v>46.74</v>
      </c>
    </row>
    <row r="8" spans="1:18" x14ac:dyDescent="0.35">
      <c r="A8" t="s">
        <v>197</v>
      </c>
      <c r="B8" t="s">
        <v>483</v>
      </c>
      <c r="C8" t="s">
        <v>484</v>
      </c>
      <c r="D8">
        <v>100753604</v>
      </c>
      <c r="E8" t="s">
        <v>485</v>
      </c>
      <c r="F8" t="s">
        <v>486</v>
      </c>
      <c r="G8">
        <v>0.27</v>
      </c>
      <c r="H8">
        <v>5.15</v>
      </c>
      <c r="I8">
        <v>0.31</v>
      </c>
      <c r="J8">
        <v>0</v>
      </c>
      <c r="K8">
        <v>5.73</v>
      </c>
      <c r="L8" t="s">
        <v>487</v>
      </c>
      <c r="M8">
        <v>268</v>
      </c>
      <c r="N8">
        <v>46.74</v>
      </c>
      <c r="O8" t="s">
        <v>85</v>
      </c>
      <c r="P8" t="s">
        <v>492</v>
      </c>
      <c r="Q8">
        <v>0</v>
      </c>
      <c r="R8">
        <v>0</v>
      </c>
    </row>
    <row r="9" spans="1:18" x14ac:dyDescent="0.35">
      <c r="A9" t="s">
        <v>197</v>
      </c>
      <c r="B9" t="s">
        <v>483</v>
      </c>
      <c r="C9" t="s">
        <v>484</v>
      </c>
      <c r="D9">
        <v>101750120</v>
      </c>
      <c r="E9" t="s">
        <v>591</v>
      </c>
      <c r="F9" t="s">
        <v>486</v>
      </c>
      <c r="G9">
        <v>0.64</v>
      </c>
      <c r="H9">
        <v>5.03</v>
      </c>
      <c r="I9">
        <v>0</v>
      </c>
      <c r="J9">
        <v>0</v>
      </c>
      <c r="K9">
        <v>5.67</v>
      </c>
      <c r="L9" t="s">
        <v>487</v>
      </c>
      <c r="M9">
        <v>211</v>
      </c>
      <c r="N9">
        <v>37.24</v>
      </c>
      <c r="O9" t="s">
        <v>60</v>
      </c>
      <c r="P9" t="s">
        <v>488</v>
      </c>
      <c r="Q9">
        <v>682</v>
      </c>
      <c r="R9">
        <v>1068.4100000000001</v>
      </c>
    </row>
    <row r="10" spans="1:18" x14ac:dyDescent="0.35">
      <c r="A10" t="s">
        <v>197</v>
      </c>
      <c r="B10" t="s">
        <v>483</v>
      </c>
      <c r="C10" t="s">
        <v>484</v>
      </c>
      <c r="D10">
        <v>101750120</v>
      </c>
      <c r="E10" t="s">
        <v>591</v>
      </c>
      <c r="F10" t="s">
        <v>486</v>
      </c>
      <c r="G10">
        <v>0.64</v>
      </c>
      <c r="H10">
        <v>5.03</v>
      </c>
      <c r="I10">
        <v>0</v>
      </c>
      <c r="J10">
        <v>0</v>
      </c>
      <c r="K10">
        <v>5.67</v>
      </c>
      <c r="L10" t="s">
        <v>487</v>
      </c>
      <c r="M10">
        <v>211</v>
      </c>
      <c r="N10">
        <v>37.24</v>
      </c>
      <c r="O10" t="s">
        <v>60</v>
      </c>
      <c r="P10" t="s">
        <v>489</v>
      </c>
      <c r="Q10">
        <v>1071</v>
      </c>
      <c r="R10">
        <v>213</v>
      </c>
    </row>
    <row r="11" spans="1:18" x14ac:dyDescent="0.35">
      <c r="A11" t="s">
        <v>197</v>
      </c>
      <c r="B11" t="s">
        <v>483</v>
      </c>
      <c r="C11" t="s">
        <v>484</v>
      </c>
      <c r="D11">
        <v>101750120</v>
      </c>
      <c r="E11" t="s">
        <v>591</v>
      </c>
      <c r="F11" t="s">
        <v>486</v>
      </c>
      <c r="G11">
        <v>0.64</v>
      </c>
      <c r="H11">
        <v>5.03</v>
      </c>
      <c r="I11">
        <v>0</v>
      </c>
      <c r="J11">
        <v>0</v>
      </c>
      <c r="K11">
        <v>5.67</v>
      </c>
      <c r="L11" t="s">
        <v>487</v>
      </c>
      <c r="M11">
        <v>211</v>
      </c>
      <c r="N11">
        <v>37.24</v>
      </c>
      <c r="O11" t="s">
        <v>60</v>
      </c>
      <c r="P11" t="s">
        <v>490</v>
      </c>
      <c r="Q11">
        <v>0</v>
      </c>
      <c r="R11">
        <v>0</v>
      </c>
    </row>
    <row r="12" spans="1:18" x14ac:dyDescent="0.35">
      <c r="A12" t="s">
        <v>197</v>
      </c>
      <c r="B12" t="s">
        <v>483</v>
      </c>
      <c r="C12" t="s">
        <v>484</v>
      </c>
      <c r="D12">
        <v>101750120</v>
      </c>
      <c r="E12" t="s">
        <v>591</v>
      </c>
      <c r="F12" t="s">
        <v>486</v>
      </c>
      <c r="G12">
        <v>0.64</v>
      </c>
      <c r="H12">
        <v>5.03</v>
      </c>
      <c r="I12">
        <v>0</v>
      </c>
      <c r="J12">
        <v>0</v>
      </c>
      <c r="K12">
        <v>5.67</v>
      </c>
      <c r="L12" t="s">
        <v>487</v>
      </c>
      <c r="M12">
        <v>211</v>
      </c>
      <c r="N12">
        <v>37.24</v>
      </c>
      <c r="O12" t="s">
        <v>60</v>
      </c>
      <c r="P12" t="s">
        <v>491</v>
      </c>
      <c r="Q12">
        <v>0</v>
      </c>
      <c r="R12">
        <v>0</v>
      </c>
    </row>
    <row r="13" spans="1:18" x14ac:dyDescent="0.35">
      <c r="A13" t="s">
        <v>197</v>
      </c>
      <c r="B13" t="s">
        <v>483</v>
      </c>
      <c r="C13" t="s">
        <v>484</v>
      </c>
      <c r="D13">
        <v>101750120</v>
      </c>
      <c r="E13" t="s">
        <v>591</v>
      </c>
      <c r="F13" t="s">
        <v>486</v>
      </c>
      <c r="G13">
        <v>0.64</v>
      </c>
      <c r="H13">
        <v>5.03</v>
      </c>
      <c r="I13">
        <v>0</v>
      </c>
      <c r="J13">
        <v>0</v>
      </c>
      <c r="K13">
        <v>5.67</v>
      </c>
      <c r="L13" t="s">
        <v>487</v>
      </c>
      <c r="M13">
        <v>211</v>
      </c>
      <c r="N13">
        <v>37.24</v>
      </c>
      <c r="O13" t="s">
        <v>60</v>
      </c>
      <c r="P13" t="s">
        <v>492</v>
      </c>
      <c r="Q13">
        <v>1753</v>
      </c>
      <c r="R13">
        <v>309.35000000000002</v>
      </c>
    </row>
    <row r="14" spans="1:18" x14ac:dyDescent="0.35">
      <c r="A14" t="s">
        <v>197</v>
      </c>
      <c r="B14" t="s">
        <v>483</v>
      </c>
      <c r="C14" t="s">
        <v>484</v>
      </c>
      <c r="D14">
        <v>101750120</v>
      </c>
      <c r="E14" t="s">
        <v>591</v>
      </c>
      <c r="F14" t="s">
        <v>486</v>
      </c>
      <c r="G14">
        <v>0.64</v>
      </c>
      <c r="H14">
        <v>5.03</v>
      </c>
      <c r="I14">
        <v>0</v>
      </c>
      <c r="J14">
        <v>0</v>
      </c>
      <c r="K14">
        <v>5.67</v>
      </c>
      <c r="L14" t="s">
        <v>487</v>
      </c>
      <c r="M14">
        <v>211</v>
      </c>
      <c r="N14">
        <v>37.24</v>
      </c>
      <c r="O14" t="s">
        <v>81</v>
      </c>
      <c r="P14" t="s">
        <v>492</v>
      </c>
      <c r="Q14">
        <v>211</v>
      </c>
      <c r="R14">
        <v>37.24</v>
      </c>
    </row>
    <row r="15" spans="1:18" x14ac:dyDescent="0.35">
      <c r="A15" t="s">
        <v>197</v>
      </c>
      <c r="B15" t="s">
        <v>483</v>
      </c>
      <c r="C15" t="s">
        <v>484</v>
      </c>
      <c r="D15">
        <v>101750120</v>
      </c>
      <c r="E15" t="s">
        <v>591</v>
      </c>
      <c r="F15" t="s">
        <v>486</v>
      </c>
      <c r="G15">
        <v>0.64</v>
      </c>
      <c r="H15">
        <v>5.03</v>
      </c>
      <c r="I15">
        <v>0</v>
      </c>
      <c r="J15">
        <v>0</v>
      </c>
      <c r="K15">
        <v>5.67</v>
      </c>
      <c r="L15" t="s">
        <v>487</v>
      </c>
      <c r="M15">
        <v>211</v>
      </c>
      <c r="N15">
        <v>37.24</v>
      </c>
      <c r="O15" t="s">
        <v>85</v>
      </c>
      <c r="P15" t="s">
        <v>492</v>
      </c>
      <c r="Q15">
        <v>0</v>
      </c>
      <c r="R15">
        <v>0</v>
      </c>
    </row>
    <row r="16" spans="1:18" x14ac:dyDescent="0.35">
      <c r="A16" t="s">
        <v>197</v>
      </c>
      <c r="B16" t="s">
        <v>483</v>
      </c>
      <c r="C16" t="s">
        <v>484</v>
      </c>
      <c r="D16">
        <v>105583964</v>
      </c>
      <c r="E16" t="s">
        <v>636</v>
      </c>
      <c r="F16" t="s">
        <v>499</v>
      </c>
      <c r="G16">
        <v>0</v>
      </c>
      <c r="H16">
        <v>1.2</v>
      </c>
      <c r="I16">
        <v>0</v>
      </c>
      <c r="J16">
        <v>0</v>
      </c>
      <c r="K16">
        <v>1.2</v>
      </c>
      <c r="L16" t="s">
        <v>487</v>
      </c>
      <c r="M16">
        <v>39</v>
      </c>
      <c r="N16">
        <v>32.44</v>
      </c>
      <c r="O16" t="s">
        <v>60</v>
      </c>
      <c r="P16" t="s">
        <v>488</v>
      </c>
      <c r="Q16">
        <v>0</v>
      </c>
      <c r="R16">
        <v>0</v>
      </c>
    </row>
    <row r="17" spans="1:18" x14ac:dyDescent="0.35">
      <c r="A17" t="s">
        <v>197</v>
      </c>
      <c r="B17" t="s">
        <v>483</v>
      </c>
      <c r="C17" t="s">
        <v>484</v>
      </c>
      <c r="D17">
        <v>105583964</v>
      </c>
      <c r="E17" t="s">
        <v>636</v>
      </c>
      <c r="F17" t="s">
        <v>499</v>
      </c>
      <c r="G17">
        <v>0</v>
      </c>
      <c r="H17">
        <v>1.2</v>
      </c>
      <c r="I17">
        <v>0</v>
      </c>
      <c r="J17">
        <v>0</v>
      </c>
      <c r="K17">
        <v>1.2</v>
      </c>
      <c r="L17" t="s">
        <v>487</v>
      </c>
      <c r="M17">
        <v>39</v>
      </c>
      <c r="N17">
        <v>32.44</v>
      </c>
      <c r="O17" t="s">
        <v>60</v>
      </c>
      <c r="P17" t="s">
        <v>489</v>
      </c>
      <c r="Q17">
        <v>503</v>
      </c>
      <c r="R17">
        <v>418.39</v>
      </c>
    </row>
    <row r="18" spans="1:18" x14ac:dyDescent="0.35">
      <c r="A18" t="s">
        <v>197</v>
      </c>
      <c r="B18" t="s">
        <v>483</v>
      </c>
      <c r="C18" t="s">
        <v>484</v>
      </c>
      <c r="D18">
        <v>105583964</v>
      </c>
      <c r="E18" t="s">
        <v>636</v>
      </c>
      <c r="F18" t="s">
        <v>499</v>
      </c>
      <c r="G18">
        <v>0</v>
      </c>
      <c r="H18">
        <v>1.2</v>
      </c>
      <c r="I18">
        <v>0</v>
      </c>
      <c r="J18">
        <v>0</v>
      </c>
      <c r="K18">
        <v>1.2</v>
      </c>
      <c r="L18" t="s">
        <v>487</v>
      </c>
      <c r="M18">
        <v>39</v>
      </c>
      <c r="N18">
        <v>32.44</v>
      </c>
      <c r="O18" t="s">
        <v>60</v>
      </c>
      <c r="P18" t="s">
        <v>490</v>
      </c>
      <c r="Q18">
        <v>0</v>
      </c>
      <c r="R18">
        <v>0</v>
      </c>
    </row>
    <row r="19" spans="1:18" x14ac:dyDescent="0.35">
      <c r="A19" t="s">
        <v>197</v>
      </c>
      <c r="B19" t="s">
        <v>483</v>
      </c>
      <c r="C19" t="s">
        <v>484</v>
      </c>
      <c r="D19">
        <v>105583964</v>
      </c>
      <c r="E19" t="s">
        <v>636</v>
      </c>
      <c r="F19" t="s">
        <v>499</v>
      </c>
      <c r="G19">
        <v>0</v>
      </c>
      <c r="H19">
        <v>1.2</v>
      </c>
      <c r="I19">
        <v>0</v>
      </c>
      <c r="J19">
        <v>0</v>
      </c>
      <c r="K19">
        <v>1.2</v>
      </c>
      <c r="L19" t="s">
        <v>487</v>
      </c>
      <c r="M19">
        <v>39</v>
      </c>
      <c r="N19">
        <v>32.44</v>
      </c>
      <c r="O19" t="s">
        <v>60</v>
      </c>
      <c r="P19" t="s">
        <v>491</v>
      </c>
      <c r="Q19">
        <v>0</v>
      </c>
      <c r="R19">
        <v>0</v>
      </c>
    </row>
    <row r="20" spans="1:18" x14ac:dyDescent="0.35">
      <c r="A20" t="s">
        <v>197</v>
      </c>
      <c r="B20" t="s">
        <v>483</v>
      </c>
      <c r="C20" t="s">
        <v>484</v>
      </c>
      <c r="D20">
        <v>105583964</v>
      </c>
      <c r="E20" t="s">
        <v>636</v>
      </c>
      <c r="F20" t="s">
        <v>499</v>
      </c>
      <c r="G20">
        <v>0</v>
      </c>
      <c r="H20">
        <v>1.2</v>
      </c>
      <c r="I20">
        <v>0</v>
      </c>
      <c r="J20">
        <v>0</v>
      </c>
      <c r="K20">
        <v>1.2</v>
      </c>
      <c r="L20" t="s">
        <v>487</v>
      </c>
      <c r="M20">
        <v>39</v>
      </c>
      <c r="N20">
        <v>32.44</v>
      </c>
      <c r="O20" t="s">
        <v>60</v>
      </c>
      <c r="P20" t="s">
        <v>492</v>
      </c>
      <c r="Q20">
        <v>503</v>
      </c>
      <c r="R20">
        <v>418.39</v>
      </c>
    </row>
    <row r="21" spans="1:18" x14ac:dyDescent="0.35">
      <c r="A21" t="s">
        <v>197</v>
      </c>
      <c r="B21" t="s">
        <v>483</v>
      </c>
      <c r="C21" t="s">
        <v>484</v>
      </c>
      <c r="D21">
        <v>105583964</v>
      </c>
      <c r="E21" t="s">
        <v>636</v>
      </c>
      <c r="F21" t="s">
        <v>499</v>
      </c>
      <c r="G21">
        <v>0</v>
      </c>
      <c r="H21">
        <v>1.2</v>
      </c>
      <c r="I21">
        <v>0</v>
      </c>
      <c r="J21">
        <v>0</v>
      </c>
      <c r="K21">
        <v>1.2</v>
      </c>
      <c r="L21" t="s">
        <v>487</v>
      </c>
      <c r="M21">
        <v>39</v>
      </c>
      <c r="N21">
        <v>32.44</v>
      </c>
      <c r="O21" t="s">
        <v>81</v>
      </c>
      <c r="P21" t="s">
        <v>492</v>
      </c>
      <c r="Q21">
        <v>39</v>
      </c>
      <c r="R21">
        <v>32.44</v>
      </c>
    </row>
    <row r="22" spans="1:18" x14ac:dyDescent="0.35">
      <c r="A22" t="s">
        <v>197</v>
      </c>
      <c r="B22" t="s">
        <v>483</v>
      </c>
      <c r="C22" t="s">
        <v>484</v>
      </c>
      <c r="D22">
        <v>105583964</v>
      </c>
      <c r="E22" t="s">
        <v>636</v>
      </c>
      <c r="F22" t="s">
        <v>499</v>
      </c>
      <c r="G22">
        <v>0</v>
      </c>
      <c r="H22">
        <v>1.2</v>
      </c>
      <c r="I22">
        <v>0</v>
      </c>
      <c r="J22">
        <v>0</v>
      </c>
      <c r="K22">
        <v>1.2</v>
      </c>
      <c r="L22" t="s">
        <v>487</v>
      </c>
      <c r="M22">
        <v>39</v>
      </c>
      <c r="N22">
        <v>32.44</v>
      </c>
      <c r="O22" t="s">
        <v>85</v>
      </c>
      <c r="P22" t="s">
        <v>492</v>
      </c>
      <c r="Q22">
        <v>0</v>
      </c>
      <c r="R22">
        <v>0</v>
      </c>
    </row>
    <row r="23" spans="1:18" x14ac:dyDescent="0.35">
      <c r="A23" t="s">
        <v>197</v>
      </c>
      <c r="B23" t="s">
        <v>483</v>
      </c>
      <c r="C23" t="s">
        <v>484</v>
      </c>
      <c r="D23">
        <v>105611852</v>
      </c>
      <c r="E23" t="s">
        <v>637</v>
      </c>
      <c r="F23" t="s">
        <v>486</v>
      </c>
      <c r="G23">
        <v>0.49</v>
      </c>
      <c r="H23">
        <v>4.88</v>
      </c>
      <c r="I23">
        <v>0</v>
      </c>
      <c r="J23">
        <v>0</v>
      </c>
      <c r="K23">
        <v>5.37</v>
      </c>
      <c r="L23" t="s">
        <v>487</v>
      </c>
      <c r="M23">
        <v>218</v>
      </c>
      <c r="N23">
        <v>40.58</v>
      </c>
      <c r="O23" t="s">
        <v>60</v>
      </c>
      <c r="P23" t="s">
        <v>488</v>
      </c>
      <c r="Q23">
        <v>906</v>
      </c>
      <c r="R23">
        <v>1848.98</v>
      </c>
    </row>
    <row r="24" spans="1:18" x14ac:dyDescent="0.35">
      <c r="A24" t="s">
        <v>197</v>
      </c>
      <c r="B24" t="s">
        <v>483</v>
      </c>
      <c r="C24" t="s">
        <v>484</v>
      </c>
      <c r="D24">
        <v>105611852</v>
      </c>
      <c r="E24" t="s">
        <v>637</v>
      </c>
      <c r="F24" t="s">
        <v>486</v>
      </c>
      <c r="G24">
        <v>0.49</v>
      </c>
      <c r="H24">
        <v>4.88</v>
      </c>
      <c r="I24">
        <v>0</v>
      </c>
      <c r="J24">
        <v>0</v>
      </c>
      <c r="K24">
        <v>5.37</v>
      </c>
      <c r="L24" t="s">
        <v>487</v>
      </c>
      <c r="M24">
        <v>218</v>
      </c>
      <c r="N24">
        <v>40.58</v>
      </c>
      <c r="O24" t="s">
        <v>60</v>
      </c>
      <c r="P24" t="s">
        <v>489</v>
      </c>
      <c r="Q24">
        <v>1799</v>
      </c>
      <c r="R24">
        <v>368.48</v>
      </c>
    </row>
    <row r="25" spans="1:18" x14ac:dyDescent="0.35">
      <c r="A25" t="s">
        <v>197</v>
      </c>
      <c r="B25" t="s">
        <v>483</v>
      </c>
      <c r="C25" t="s">
        <v>484</v>
      </c>
      <c r="D25">
        <v>105611852</v>
      </c>
      <c r="E25" t="s">
        <v>637</v>
      </c>
      <c r="F25" t="s">
        <v>486</v>
      </c>
      <c r="G25">
        <v>0.49</v>
      </c>
      <c r="H25">
        <v>4.88</v>
      </c>
      <c r="I25">
        <v>0</v>
      </c>
      <c r="J25">
        <v>0</v>
      </c>
      <c r="K25">
        <v>5.37</v>
      </c>
      <c r="L25" t="s">
        <v>487</v>
      </c>
      <c r="M25">
        <v>218</v>
      </c>
      <c r="N25">
        <v>40.58</v>
      </c>
      <c r="O25" t="s">
        <v>60</v>
      </c>
      <c r="P25" t="s">
        <v>490</v>
      </c>
      <c r="Q25">
        <v>0</v>
      </c>
      <c r="R25">
        <v>0</v>
      </c>
    </row>
    <row r="26" spans="1:18" x14ac:dyDescent="0.35">
      <c r="A26" t="s">
        <v>197</v>
      </c>
      <c r="B26" t="s">
        <v>483</v>
      </c>
      <c r="C26" t="s">
        <v>484</v>
      </c>
      <c r="D26">
        <v>105611852</v>
      </c>
      <c r="E26" t="s">
        <v>637</v>
      </c>
      <c r="F26" t="s">
        <v>486</v>
      </c>
      <c r="G26">
        <v>0.49</v>
      </c>
      <c r="H26">
        <v>4.88</v>
      </c>
      <c r="I26">
        <v>0</v>
      </c>
      <c r="J26">
        <v>0</v>
      </c>
      <c r="K26">
        <v>5.37</v>
      </c>
      <c r="L26" t="s">
        <v>487</v>
      </c>
      <c r="M26">
        <v>218</v>
      </c>
      <c r="N26">
        <v>40.58</v>
      </c>
      <c r="O26" t="s">
        <v>60</v>
      </c>
      <c r="P26" t="s">
        <v>491</v>
      </c>
      <c r="Q26">
        <v>0</v>
      </c>
      <c r="R26">
        <v>0</v>
      </c>
    </row>
    <row r="27" spans="1:18" x14ac:dyDescent="0.35">
      <c r="A27" t="s">
        <v>197</v>
      </c>
      <c r="B27" t="s">
        <v>483</v>
      </c>
      <c r="C27" t="s">
        <v>484</v>
      </c>
      <c r="D27">
        <v>105611852</v>
      </c>
      <c r="E27" t="s">
        <v>637</v>
      </c>
      <c r="F27" t="s">
        <v>486</v>
      </c>
      <c r="G27">
        <v>0.49</v>
      </c>
      <c r="H27">
        <v>4.88</v>
      </c>
      <c r="I27">
        <v>0</v>
      </c>
      <c r="J27">
        <v>0</v>
      </c>
      <c r="K27">
        <v>5.37</v>
      </c>
      <c r="L27" t="s">
        <v>487</v>
      </c>
      <c r="M27">
        <v>218</v>
      </c>
      <c r="N27">
        <v>40.58</v>
      </c>
      <c r="O27" t="s">
        <v>60</v>
      </c>
      <c r="P27" t="s">
        <v>492</v>
      </c>
      <c r="Q27">
        <v>2705</v>
      </c>
      <c r="R27">
        <v>503.49</v>
      </c>
    </row>
    <row r="28" spans="1:18" x14ac:dyDescent="0.35">
      <c r="A28" t="s">
        <v>197</v>
      </c>
      <c r="B28" t="s">
        <v>483</v>
      </c>
      <c r="C28" t="s">
        <v>484</v>
      </c>
      <c r="D28">
        <v>105611852</v>
      </c>
      <c r="E28" t="s">
        <v>637</v>
      </c>
      <c r="F28" t="s">
        <v>486</v>
      </c>
      <c r="G28">
        <v>0.49</v>
      </c>
      <c r="H28">
        <v>4.88</v>
      </c>
      <c r="I28">
        <v>0</v>
      </c>
      <c r="J28">
        <v>0</v>
      </c>
      <c r="K28">
        <v>5.37</v>
      </c>
      <c r="L28" t="s">
        <v>487</v>
      </c>
      <c r="M28">
        <v>218</v>
      </c>
      <c r="N28">
        <v>40.58</v>
      </c>
      <c r="O28" t="s">
        <v>81</v>
      </c>
      <c r="P28" t="s">
        <v>492</v>
      </c>
      <c r="Q28">
        <v>218</v>
      </c>
      <c r="R28">
        <v>40.58</v>
      </c>
    </row>
    <row r="29" spans="1:18" x14ac:dyDescent="0.35">
      <c r="A29" t="s">
        <v>197</v>
      </c>
      <c r="B29" t="s">
        <v>483</v>
      </c>
      <c r="C29" t="s">
        <v>484</v>
      </c>
      <c r="D29">
        <v>105611852</v>
      </c>
      <c r="E29" t="s">
        <v>637</v>
      </c>
      <c r="F29" t="s">
        <v>486</v>
      </c>
      <c r="G29">
        <v>0.49</v>
      </c>
      <c r="H29">
        <v>4.88</v>
      </c>
      <c r="I29">
        <v>0</v>
      </c>
      <c r="J29">
        <v>0</v>
      </c>
      <c r="K29">
        <v>5.37</v>
      </c>
      <c r="L29" t="s">
        <v>487</v>
      </c>
      <c r="M29">
        <v>218</v>
      </c>
      <c r="N29">
        <v>40.58</v>
      </c>
      <c r="O29" t="s">
        <v>85</v>
      </c>
      <c r="P29" t="s">
        <v>492</v>
      </c>
      <c r="Q29">
        <v>0</v>
      </c>
      <c r="R29">
        <v>0</v>
      </c>
    </row>
    <row r="30" spans="1:18" x14ac:dyDescent="0.35">
      <c r="A30" t="s">
        <v>197</v>
      </c>
      <c r="B30" t="s">
        <v>483</v>
      </c>
      <c r="C30" t="s">
        <v>484</v>
      </c>
      <c r="D30">
        <v>105785229</v>
      </c>
      <c r="E30" t="s">
        <v>588</v>
      </c>
      <c r="F30" t="s">
        <v>497</v>
      </c>
      <c r="G30">
        <v>0</v>
      </c>
      <c r="H30">
        <v>2.83</v>
      </c>
      <c r="I30">
        <v>0</v>
      </c>
      <c r="J30">
        <v>0</v>
      </c>
      <c r="K30">
        <v>2.83</v>
      </c>
      <c r="L30" t="s">
        <v>487</v>
      </c>
      <c r="M30">
        <v>179</v>
      </c>
      <c r="N30">
        <v>63.28</v>
      </c>
      <c r="O30" t="s">
        <v>60</v>
      </c>
      <c r="P30" t="s">
        <v>488</v>
      </c>
      <c r="Q30">
        <v>0</v>
      </c>
      <c r="R30">
        <v>0</v>
      </c>
    </row>
    <row r="31" spans="1:18" x14ac:dyDescent="0.35">
      <c r="A31" t="s">
        <v>197</v>
      </c>
      <c r="B31" t="s">
        <v>483</v>
      </c>
      <c r="C31" t="s">
        <v>484</v>
      </c>
      <c r="D31">
        <v>105785229</v>
      </c>
      <c r="E31" t="s">
        <v>588</v>
      </c>
      <c r="F31" t="s">
        <v>497</v>
      </c>
      <c r="G31">
        <v>0</v>
      </c>
      <c r="H31">
        <v>2.83</v>
      </c>
      <c r="I31">
        <v>0</v>
      </c>
      <c r="J31">
        <v>0</v>
      </c>
      <c r="K31">
        <v>2.83</v>
      </c>
      <c r="L31" t="s">
        <v>487</v>
      </c>
      <c r="M31">
        <v>179</v>
      </c>
      <c r="N31">
        <v>63.28</v>
      </c>
      <c r="O31" t="s">
        <v>60</v>
      </c>
      <c r="P31" t="s">
        <v>489</v>
      </c>
      <c r="Q31">
        <v>780</v>
      </c>
      <c r="R31">
        <v>275.75</v>
      </c>
    </row>
    <row r="32" spans="1:18" x14ac:dyDescent="0.35">
      <c r="A32" t="s">
        <v>197</v>
      </c>
      <c r="B32" t="s">
        <v>483</v>
      </c>
      <c r="C32" t="s">
        <v>484</v>
      </c>
      <c r="D32">
        <v>105785229</v>
      </c>
      <c r="E32" t="s">
        <v>588</v>
      </c>
      <c r="F32" t="s">
        <v>497</v>
      </c>
      <c r="G32">
        <v>0</v>
      </c>
      <c r="H32">
        <v>2.83</v>
      </c>
      <c r="I32">
        <v>0</v>
      </c>
      <c r="J32">
        <v>0</v>
      </c>
      <c r="K32">
        <v>2.83</v>
      </c>
      <c r="L32" t="s">
        <v>487</v>
      </c>
      <c r="M32">
        <v>179</v>
      </c>
      <c r="N32">
        <v>63.28</v>
      </c>
      <c r="O32" t="s">
        <v>60</v>
      </c>
      <c r="P32" t="s">
        <v>490</v>
      </c>
      <c r="Q32">
        <v>0</v>
      </c>
      <c r="R32">
        <v>0</v>
      </c>
    </row>
    <row r="33" spans="1:18" x14ac:dyDescent="0.35">
      <c r="A33" t="s">
        <v>197</v>
      </c>
      <c r="B33" t="s">
        <v>483</v>
      </c>
      <c r="C33" t="s">
        <v>484</v>
      </c>
      <c r="D33">
        <v>105785229</v>
      </c>
      <c r="E33" t="s">
        <v>588</v>
      </c>
      <c r="F33" t="s">
        <v>497</v>
      </c>
      <c r="G33">
        <v>0</v>
      </c>
      <c r="H33">
        <v>2.83</v>
      </c>
      <c r="I33">
        <v>0</v>
      </c>
      <c r="J33">
        <v>0</v>
      </c>
      <c r="K33">
        <v>2.83</v>
      </c>
      <c r="L33" t="s">
        <v>487</v>
      </c>
      <c r="M33">
        <v>179</v>
      </c>
      <c r="N33">
        <v>63.28</v>
      </c>
      <c r="O33" t="s">
        <v>60</v>
      </c>
      <c r="P33" t="s">
        <v>491</v>
      </c>
      <c r="Q33">
        <v>0</v>
      </c>
      <c r="R33">
        <v>0</v>
      </c>
    </row>
    <row r="34" spans="1:18" x14ac:dyDescent="0.35">
      <c r="A34" t="s">
        <v>197</v>
      </c>
      <c r="B34" t="s">
        <v>483</v>
      </c>
      <c r="C34" t="s">
        <v>484</v>
      </c>
      <c r="D34">
        <v>105785229</v>
      </c>
      <c r="E34" t="s">
        <v>588</v>
      </c>
      <c r="F34" t="s">
        <v>497</v>
      </c>
      <c r="G34">
        <v>0</v>
      </c>
      <c r="H34">
        <v>2.83</v>
      </c>
      <c r="I34">
        <v>0</v>
      </c>
      <c r="J34">
        <v>0</v>
      </c>
      <c r="K34">
        <v>2.83</v>
      </c>
      <c r="L34" t="s">
        <v>487</v>
      </c>
      <c r="M34">
        <v>179</v>
      </c>
      <c r="N34">
        <v>63.28</v>
      </c>
      <c r="O34" t="s">
        <v>60</v>
      </c>
      <c r="P34" t="s">
        <v>492</v>
      </c>
      <c r="Q34">
        <v>780</v>
      </c>
      <c r="R34">
        <v>275.75</v>
      </c>
    </row>
    <row r="35" spans="1:18" x14ac:dyDescent="0.35">
      <c r="A35" t="s">
        <v>197</v>
      </c>
      <c r="B35" t="s">
        <v>483</v>
      </c>
      <c r="C35" t="s">
        <v>484</v>
      </c>
      <c r="D35">
        <v>105785229</v>
      </c>
      <c r="E35" t="s">
        <v>588</v>
      </c>
      <c r="F35" t="s">
        <v>497</v>
      </c>
      <c r="G35">
        <v>0</v>
      </c>
      <c r="H35">
        <v>2.83</v>
      </c>
      <c r="I35">
        <v>0</v>
      </c>
      <c r="J35">
        <v>0</v>
      </c>
      <c r="K35">
        <v>2.83</v>
      </c>
      <c r="L35" t="s">
        <v>487</v>
      </c>
      <c r="M35">
        <v>179</v>
      </c>
      <c r="N35">
        <v>63.28</v>
      </c>
      <c r="O35" t="s">
        <v>81</v>
      </c>
      <c r="P35" t="s">
        <v>492</v>
      </c>
      <c r="Q35">
        <v>179</v>
      </c>
      <c r="R35">
        <v>63.28</v>
      </c>
    </row>
    <row r="36" spans="1:18" x14ac:dyDescent="0.35">
      <c r="A36" t="s">
        <v>197</v>
      </c>
      <c r="B36" t="s">
        <v>483</v>
      </c>
      <c r="C36" t="s">
        <v>484</v>
      </c>
      <c r="D36">
        <v>105785229</v>
      </c>
      <c r="E36" t="s">
        <v>588</v>
      </c>
      <c r="F36" t="s">
        <v>497</v>
      </c>
      <c r="G36">
        <v>0</v>
      </c>
      <c r="H36">
        <v>2.83</v>
      </c>
      <c r="I36">
        <v>0</v>
      </c>
      <c r="J36">
        <v>0</v>
      </c>
      <c r="K36">
        <v>2.83</v>
      </c>
      <c r="L36" t="s">
        <v>487</v>
      </c>
      <c r="M36">
        <v>179</v>
      </c>
      <c r="N36">
        <v>63.28</v>
      </c>
      <c r="O36" t="s">
        <v>85</v>
      </c>
      <c r="P36" t="s">
        <v>492</v>
      </c>
      <c r="Q36">
        <v>0</v>
      </c>
      <c r="R36">
        <v>0</v>
      </c>
    </row>
    <row r="37" spans="1:18" x14ac:dyDescent="0.35">
      <c r="A37" t="s">
        <v>197</v>
      </c>
      <c r="B37" t="s">
        <v>483</v>
      </c>
      <c r="C37" t="s">
        <v>484</v>
      </c>
      <c r="D37">
        <v>106064826</v>
      </c>
      <c r="E37" t="s">
        <v>589</v>
      </c>
      <c r="F37" t="s">
        <v>486</v>
      </c>
      <c r="G37">
        <v>0.15</v>
      </c>
      <c r="H37">
        <v>5.46</v>
      </c>
      <c r="I37">
        <v>0</v>
      </c>
      <c r="J37">
        <v>0</v>
      </c>
      <c r="K37">
        <v>5.62</v>
      </c>
      <c r="L37" t="s">
        <v>487</v>
      </c>
      <c r="M37">
        <v>271</v>
      </c>
      <c r="N37">
        <v>48.25</v>
      </c>
      <c r="O37" t="s">
        <v>60</v>
      </c>
      <c r="P37" t="s">
        <v>488</v>
      </c>
      <c r="Q37">
        <v>208</v>
      </c>
      <c r="R37">
        <v>1371.43</v>
      </c>
    </row>
    <row r="38" spans="1:18" x14ac:dyDescent="0.35">
      <c r="A38" t="s">
        <v>197</v>
      </c>
      <c r="B38" t="s">
        <v>483</v>
      </c>
      <c r="C38" t="s">
        <v>484</v>
      </c>
      <c r="D38">
        <v>106064826</v>
      </c>
      <c r="E38" t="s">
        <v>589</v>
      </c>
      <c r="F38" t="s">
        <v>486</v>
      </c>
      <c r="G38">
        <v>0.15</v>
      </c>
      <c r="H38">
        <v>5.46</v>
      </c>
      <c r="I38">
        <v>0</v>
      </c>
      <c r="J38">
        <v>0</v>
      </c>
      <c r="K38">
        <v>5.62</v>
      </c>
      <c r="L38" t="s">
        <v>487</v>
      </c>
      <c r="M38">
        <v>271</v>
      </c>
      <c r="N38">
        <v>48.25</v>
      </c>
      <c r="O38" t="s">
        <v>60</v>
      </c>
      <c r="P38" t="s">
        <v>489</v>
      </c>
      <c r="Q38">
        <v>1492</v>
      </c>
      <c r="R38">
        <v>273.02</v>
      </c>
    </row>
    <row r="39" spans="1:18" x14ac:dyDescent="0.35">
      <c r="A39" t="s">
        <v>197</v>
      </c>
      <c r="B39" t="s">
        <v>483</v>
      </c>
      <c r="C39" t="s">
        <v>484</v>
      </c>
      <c r="D39">
        <v>106064826</v>
      </c>
      <c r="E39" t="s">
        <v>589</v>
      </c>
      <c r="F39" t="s">
        <v>486</v>
      </c>
      <c r="G39">
        <v>0.15</v>
      </c>
      <c r="H39">
        <v>5.46</v>
      </c>
      <c r="I39">
        <v>0</v>
      </c>
      <c r="J39">
        <v>0</v>
      </c>
      <c r="K39">
        <v>5.62</v>
      </c>
      <c r="L39" t="s">
        <v>487</v>
      </c>
      <c r="M39">
        <v>271</v>
      </c>
      <c r="N39">
        <v>48.25</v>
      </c>
      <c r="O39" t="s">
        <v>60</v>
      </c>
      <c r="P39" t="s">
        <v>490</v>
      </c>
      <c r="Q39">
        <v>0</v>
      </c>
      <c r="R39">
        <v>0</v>
      </c>
    </row>
    <row r="40" spans="1:18" x14ac:dyDescent="0.35">
      <c r="A40" t="s">
        <v>197</v>
      </c>
      <c r="B40" t="s">
        <v>483</v>
      </c>
      <c r="C40" t="s">
        <v>484</v>
      </c>
      <c r="D40">
        <v>106064826</v>
      </c>
      <c r="E40" t="s">
        <v>589</v>
      </c>
      <c r="F40" t="s">
        <v>486</v>
      </c>
      <c r="G40">
        <v>0.15</v>
      </c>
      <c r="H40">
        <v>5.46</v>
      </c>
      <c r="I40">
        <v>0</v>
      </c>
      <c r="J40">
        <v>0</v>
      </c>
      <c r="K40">
        <v>5.62</v>
      </c>
      <c r="L40" t="s">
        <v>487</v>
      </c>
      <c r="M40">
        <v>271</v>
      </c>
      <c r="N40">
        <v>48.25</v>
      </c>
      <c r="O40" t="s">
        <v>60</v>
      </c>
      <c r="P40" t="s">
        <v>491</v>
      </c>
      <c r="Q40">
        <v>0</v>
      </c>
      <c r="R40">
        <v>0</v>
      </c>
    </row>
    <row r="41" spans="1:18" x14ac:dyDescent="0.35">
      <c r="A41" t="s">
        <v>197</v>
      </c>
      <c r="B41" t="s">
        <v>483</v>
      </c>
      <c r="C41" t="s">
        <v>484</v>
      </c>
      <c r="D41">
        <v>106064826</v>
      </c>
      <c r="E41" t="s">
        <v>589</v>
      </c>
      <c r="F41" t="s">
        <v>486</v>
      </c>
      <c r="G41">
        <v>0.15</v>
      </c>
      <c r="H41">
        <v>5.46</v>
      </c>
      <c r="I41">
        <v>0</v>
      </c>
      <c r="J41">
        <v>0</v>
      </c>
      <c r="K41">
        <v>5.62</v>
      </c>
      <c r="L41" t="s">
        <v>487</v>
      </c>
      <c r="M41">
        <v>271</v>
      </c>
      <c r="N41">
        <v>48.25</v>
      </c>
      <c r="O41" t="s">
        <v>60</v>
      </c>
      <c r="P41" t="s">
        <v>492</v>
      </c>
      <c r="Q41">
        <v>1700</v>
      </c>
      <c r="R41">
        <v>302.67</v>
      </c>
    </row>
    <row r="42" spans="1:18" x14ac:dyDescent="0.35">
      <c r="A42" t="s">
        <v>197</v>
      </c>
      <c r="B42" t="s">
        <v>483</v>
      </c>
      <c r="C42" t="s">
        <v>484</v>
      </c>
      <c r="D42">
        <v>106064826</v>
      </c>
      <c r="E42" t="s">
        <v>589</v>
      </c>
      <c r="F42" t="s">
        <v>486</v>
      </c>
      <c r="G42">
        <v>0.15</v>
      </c>
      <c r="H42">
        <v>5.46</v>
      </c>
      <c r="I42">
        <v>0</v>
      </c>
      <c r="J42">
        <v>0</v>
      </c>
      <c r="K42">
        <v>5.62</v>
      </c>
      <c r="L42" t="s">
        <v>487</v>
      </c>
      <c r="M42">
        <v>271</v>
      </c>
      <c r="N42">
        <v>48.25</v>
      </c>
      <c r="O42" t="s">
        <v>81</v>
      </c>
      <c r="P42" t="s">
        <v>492</v>
      </c>
      <c r="Q42">
        <v>271</v>
      </c>
      <c r="R42">
        <v>48.25</v>
      </c>
    </row>
    <row r="43" spans="1:18" x14ac:dyDescent="0.35">
      <c r="A43" t="s">
        <v>197</v>
      </c>
      <c r="B43" t="s">
        <v>483</v>
      </c>
      <c r="C43" t="s">
        <v>484</v>
      </c>
      <c r="D43">
        <v>106064826</v>
      </c>
      <c r="E43" t="s">
        <v>589</v>
      </c>
      <c r="F43" t="s">
        <v>486</v>
      </c>
      <c r="G43">
        <v>0.15</v>
      </c>
      <c r="H43">
        <v>5.46</v>
      </c>
      <c r="I43">
        <v>0</v>
      </c>
      <c r="J43">
        <v>0</v>
      </c>
      <c r="K43">
        <v>5.62</v>
      </c>
      <c r="L43" t="s">
        <v>487</v>
      </c>
      <c r="M43">
        <v>271</v>
      </c>
      <c r="N43">
        <v>48.25</v>
      </c>
      <c r="O43" t="s">
        <v>85</v>
      </c>
      <c r="P43" t="s">
        <v>492</v>
      </c>
      <c r="Q43">
        <v>0</v>
      </c>
      <c r="R43">
        <v>0</v>
      </c>
    </row>
    <row r="44" spans="1:18" x14ac:dyDescent="0.35">
      <c r="A44" t="s">
        <v>197</v>
      </c>
      <c r="B44" t="s">
        <v>483</v>
      </c>
      <c r="C44" t="s">
        <v>484</v>
      </c>
      <c r="D44">
        <v>106140648</v>
      </c>
      <c r="E44" t="s">
        <v>638</v>
      </c>
      <c r="F44" t="s">
        <v>497</v>
      </c>
      <c r="G44">
        <v>1.4</v>
      </c>
      <c r="H44">
        <v>6.88</v>
      </c>
      <c r="I44">
        <v>0</v>
      </c>
      <c r="J44">
        <v>0</v>
      </c>
      <c r="K44">
        <v>8.2799999999999994</v>
      </c>
      <c r="L44" t="s">
        <v>487</v>
      </c>
      <c r="M44">
        <v>363</v>
      </c>
      <c r="N44">
        <v>43.87</v>
      </c>
      <c r="O44" t="s">
        <v>60</v>
      </c>
      <c r="P44" t="s">
        <v>488</v>
      </c>
      <c r="Q44">
        <v>1922</v>
      </c>
      <c r="R44">
        <v>1374.22</v>
      </c>
    </row>
    <row r="45" spans="1:18" x14ac:dyDescent="0.35">
      <c r="A45" t="s">
        <v>197</v>
      </c>
      <c r="B45" t="s">
        <v>483</v>
      </c>
      <c r="C45" t="s">
        <v>484</v>
      </c>
      <c r="D45">
        <v>106140648</v>
      </c>
      <c r="E45" t="s">
        <v>638</v>
      </c>
      <c r="F45" t="s">
        <v>497</v>
      </c>
      <c r="G45">
        <v>1.4</v>
      </c>
      <c r="H45">
        <v>6.88</v>
      </c>
      <c r="I45">
        <v>0</v>
      </c>
      <c r="J45">
        <v>0</v>
      </c>
      <c r="K45">
        <v>8.2799999999999994</v>
      </c>
      <c r="L45" t="s">
        <v>487</v>
      </c>
      <c r="M45">
        <v>363</v>
      </c>
      <c r="N45">
        <v>43.87</v>
      </c>
      <c r="O45" t="s">
        <v>60</v>
      </c>
      <c r="P45" t="s">
        <v>489</v>
      </c>
      <c r="Q45">
        <v>1884</v>
      </c>
      <c r="R45">
        <v>273.98</v>
      </c>
    </row>
    <row r="46" spans="1:18" x14ac:dyDescent="0.35">
      <c r="A46" t="s">
        <v>197</v>
      </c>
      <c r="B46" t="s">
        <v>483</v>
      </c>
      <c r="C46" t="s">
        <v>484</v>
      </c>
      <c r="D46">
        <v>106140648</v>
      </c>
      <c r="E46" t="s">
        <v>638</v>
      </c>
      <c r="F46" t="s">
        <v>497</v>
      </c>
      <c r="G46">
        <v>1.4</v>
      </c>
      <c r="H46">
        <v>6.88</v>
      </c>
      <c r="I46">
        <v>0</v>
      </c>
      <c r="J46">
        <v>0</v>
      </c>
      <c r="K46">
        <v>8.2799999999999994</v>
      </c>
      <c r="L46" t="s">
        <v>487</v>
      </c>
      <c r="M46">
        <v>363</v>
      </c>
      <c r="N46">
        <v>43.87</v>
      </c>
      <c r="O46" t="s">
        <v>60</v>
      </c>
      <c r="P46" t="s">
        <v>490</v>
      </c>
      <c r="Q46">
        <v>0</v>
      </c>
      <c r="R46">
        <v>0</v>
      </c>
    </row>
    <row r="47" spans="1:18" x14ac:dyDescent="0.35">
      <c r="A47" t="s">
        <v>197</v>
      </c>
      <c r="B47" t="s">
        <v>483</v>
      </c>
      <c r="C47" t="s">
        <v>484</v>
      </c>
      <c r="D47">
        <v>106140648</v>
      </c>
      <c r="E47" t="s">
        <v>638</v>
      </c>
      <c r="F47" t="s">
        <v>497</v>
      </c>
      <c r="G47">
        <v>1.4</v>
      </c>
      <c r="H47">
        <v>6.88</v>
      </c>
      <c r="I47">
        <v>0</v>
      </c>
      <c r="J47">
        <v>0</v>
      </c>
      <c r="K47">
        <v>8.2799999999999994</v>
      </c>
      <c r="L47" t="s">
        <v>487</v>
      </c>
      <c r="M47">
        <v>363</v>
      </c>
      <c r="N47">
        <v>43.87</v>
      </c>
      <c r="O47" t="s">
        <v>60</v>
      </c>
      <c r="P47" t="s">
        <v>491</v>
      </c>
      <c r="Q47">
        <v>0</v>
      </c>
      <c r="R47">
        <v>0</v>
      </c>
    </row>
    <row r="48" spans="1:18" x14ac:dyDescent="0.35">
      <c r="A48" t="s">
        <v>197</v>
      </c>
      <c r="B48" t="s">
        <v>483</v>
      </c>
      <c r="C48" t="s">
        <v>484</v>
      </c>
      <c r="D48">
        <v>106140648</v>
      </c>
      <c r="E48" t="s">
        <v>638</v>
      </c>
      <c r="F48" t="s">
        <v>497</v>
      </c>
      <c r="G48">
        <v>1.4</v>
      </c>
      <c r="H48">
        <v>6.88</v>
      </c>
      <c r="I48">
        <v>0</v>
      </c>
      <c r="J48">
        <v>0</v>
      </c>
      <c r="K48">
        <v>8.2799999999999994</v>
      </c>
      <c r="L48" t="s">
        <v>487</v>
      </c>
      <c r="M48">
        <v>363</v>
      </c>
      <c r="N48">
        <v>43.87</v>
      </c>
      <c r="O48" t="s">
        <v>60</v>
      </c>
      <c r="P48" t="s">
        <v>492</v>
      </c>
      <c r="Q48">
        <v>3806</v>
      </c>
      <c r="R48">
        <v>459.92</v>
      </c>
    </row>
    <row r="49" spans="1:18" x14ac:dyDescent="0.35">
      <c r="A49" t="s">
        <v>197</v>
      </c>
      <c r="B49" t="s">
        <v>483</v>
      </c>
      <c r="C49" t="s">
        <v>484</v>
      </c>
      <c r="D49">
        <v>106140648</v>
      </c>
      <c r="E49" t="s">
        <v>638</v>
      </c>
      <c r="F49" t="s">
        <v>497</v>
      </c>
      <c r="G49">
        <v>1.4</v>
      </c>
      <c r="H49">
        <v>6.88</v>
      </c>
      <c r="I49">
        <v>0</v>
      </c>
      <c r="J49">
        <v>0</v>
      </c>
      <c r="K49">
        <v>8.2799999999999994</v>
      </c>
      <c r="L49" t="s">
        <v>487</v>
      </c>
      <c r="M49">
        <v>363</v>
      </c>
      <c r="N49">
        <v>43.87</v>
      </c>
      <c r="O49" t="s">
        <v>81</v>
      </c>
      <c r="P49" t="s">
        <v>492</v>
      </c>
      <c r="Q49">
        <v>363</v>
      </c>
      <c r="R49">
        <v>43.87</v>
      </c>
    </row>
    <row r="50" spans="1:18" x14ac:dyDescent="0.35">
      <c r="A50" t="s">
        <v>197</v>
      </c>
      <c r="B50" t="s">
        <v>483</v>
      </c>
      <c r="C50" t="s">
        <v>484</v>
      </c>
      <c r="D50">
        <v>106140648</v>
      </c>
      <c r="E50" t="s">
        <v>638</v>
      </c>
      <c r="F50" t="s">
        <v>497</v>
      </c>
      <c r="G50">
        <v>1.4</v>
      </c>
      <c r="H50">
        <v>6.88</v>
      </c>
      <c r="I50">
        <v>0</v>
      </c>
      <c r="J50">
        <v>0</v>
      </c>
      <c r="K50">
        <v>8.2799999999999994</v>
      </c>
      <c r="L50" t="s">
        <v>487</v>
      </c>
      <c r="M50">
        <v>363</v>
      </c>
      <c r="N50">
        <v>43.87</v>
      </c>
      <c r="O50" t="s">
        <v>85</v>
      </c>
      <c r="P50" t="s">
        <v>492</v>
      </c>
      <c r="Q50">
        <v>0</v>
      </c>
      <c r="R50">
        <v>0</v>
      </c>
    </row>
    <row r="51" spans="1:18" x14ac:dyDescent="0.35">
      <c r="A51" t="s">
        <v>197</v>
      </c>
      <c r="B51" t="s">
        <v>483</v>
      </c>
      <c r="C51" t="s">
        <v>484</v>
      </c>
      <c r="D51">
        <v>106276317</v>
      </c>
      <c r="E51" t="s">
        <v>523</v>
      </c>
      <c r="F51" t="s">
        <v>486</v>
      </c>
      <c r="G51">
        <v>0.97</v>
      </c>
      <c r="H51">
        <v>8.75</v>
      </c>
      <c r="I51">
        <v>0</v>
      </c>
      <c r="J51">
        <v>0</v>
      </c>
      <c r="K51">
        <v>9.7200000000000006</v>
      </c>
      <c r="L51" t="s">
        <v>487</v>
      </c>
      <c r="M51">
        <v>566</v>
      </c>
      <c r="N51">
        <v>58.21</v>
      </c>
      <c r="O51" t="s">
        <v>60</v>
      </c>
      <c r="P51" t="s">
        <v>488</v>
      </c>
      <c r="Q51">
        <v>1673</v>
      </c>
      <c r="R51">
        <v>1716.88</v>
      </c>
    </row>
    <row r="52" spans="1:18" x14ac:dyDescent="0.35">
      <c r="A52" t="s">
        <v>197</v>
      </c>
      <c r="B52" t="s">
        <v>483</v>
      </c>
      <c r="C52" t="s">
        <v>484</v>
      </c>
      <c r="D52">
        <v>106276317</v>
      </c>
      <c r="E52" t="s">
        <v>523</v>
      </c>
      <c r="F52" t="s">
        <v>486</v>
      </c>
      <c r="G52">
        <v>0.97</v>
      </c>
      <c r="H52">
        <v>8.75</v>
      </c>
      <c r="I52">
        <v>0</v>
      </c>
      <c r="J52">
        <v>0</v>
      </c>
      <c r="K52">
        <v>9.7200000000000006</v>
      </c>
      <c r="L52" t="s">
        <v>487</v>
      </c>
      <c r="M52">
        <v>566</v>
      </c>
      <c r="N52">
        <v>58.21</v>
      </c>
      <c r="O52" t="s">
        <v>60</v>
      </c>
      <c r="P52" t="s">
        <v>489</v>
      </c>
      <c r="Q52">
        <v>2995</v>
      </c>
      <c r="R52">
        <v>342.35</v>
      </c>
    </row>
    <row r="53" spans="1:18" x14ac:dyDescent="0.35">
      <c r="A53" t="s">
        <v>197</v>
      </c>
      <c r="B53" t="s">
        <v>483</v>
      </c>
      <c r="C53" t="s">
        <v>484</v>
      </c>
      <c r="D53">
        <v>106276317</v>
      </c>
      <c r="E53" t="s">
        <v>523</v>
      </c>
      <c r="F53" t="s">
        <v>486</v>
      </c>
      <c r="G53">
        <v>0.97</v>
      </c>
      <c r="H53">
        <v>8.75</v>
      </c>
      <c r="I53">
        <v>0</v>
      </c>
      <c r="J53">
        <v>0</v>
      </c>
      <c r="K53">
        <v>9.7200000000000006</v>
      </c>
      <c r="L53" t="s">
        <v>487</v>
      </c>
      <c r="M53">
        <v>566</v>
      </c>
      <c r="N53">
        <v>58.21</v>
      </c>
      <c r="O53" t="s">
        <v>60</v>
      </c>
      <c r="P53" t="s">
        <v>490</v>
      </c>
      <c r="Q53">
        <v>0</v>
      </c>
      <c r="R53">
        <v>0</v>
      </c>
    </row>
    <row r="54" spans="1:18" x14ac:dyDescent="0.35">
      <c r="A54" t="s">
        <v>197</v>
      </c>
      <c r="B54" t="s">
        <v>483</v>
      </c>
      <c r="C54" t="s">
        <v>484</v>
      </c>
      <c r="D54">
        <v>106276317</v>
      </c>
      <c r="E54" t="s">
        <v>523</v>
      </c>
      <c r="F54" t="s">
        <v>486</v>
      </c>
      <c r="G54">
        <v>0.97</v>
      </c>
      <c r="H54">
        <v>8.75</v>
      </c>
      <c r="I54">
        <v>0</v>
      </c>
      <c r="J54">
        <v>0</v>
      </c>
      <c r="K54">
        <v>9.7200000000000006</v>
      </c>
      <c r="L54" t="s">
        <v>487</v>
      </c>
      <c r="M54">
        <v>566</v>
      </c>
      <c r="N54">
        <v>58.21</v>
      </c>
      <c r="O54" t="s">
        <v>60</v>
      </c>
      <c r="P54" t="s">
        <v>491</v>
      </c>
      <c r="Q54">
        <v>0</v>
      </c>
      <c r="R54">
        <v>0</v>
      </c>
    </row>
    <row r="55" spans="1:18" x14ac:dyDescent="0.35">
      <c r="A55" t="s">
        <v>197</v>
      </c>
      <c r="B55" t="s">
        <v>483</v>
      </c>
      <c r="C55" t="s">
        <v>484</v>
      </c>
      <c r="D55">
        <v>106276317</v>
      </c>
      <c r="E55" t="s">
        <v>523</v>
      </c>
      <c r="F55" t="s">
        <v>486</v>
      </c>
      <c r="G55">
        <v>0.97</v>
      </c>
      <c r="H55">
        <v>8.75</v>
      </c>
      <c r="I55">
        <v>0</v>
      </c>
      <c r="J55">
        <v>0</v>
      </c>
      <c r="K55">
        <v>9.7200000000000006</v>
      </c>
      <c r="L55" t="s">
        <v>487</v>
      </c>
      <c r="M55">
        <v>566</v>
      </c>
      <c r="N55">
        <v>58.21</v>
      </c>
      <c r="O55" t="s">
        <v>60</v>
      </c>
      <c r="P55" t="s">
        <v>492</v>
      </c>
      <c r="Q55">
        <v>4668</v>
      </c>
      <c r="R55">
        <v>480.1</v>
      </c>
    </row>
    <row r="56" spans="1:18" x14ac:dyDescent="0.35">
      <c r="A56" t="s">
        <v>197</v>
      </c>
      <c r="B56" t="s">
        <v>483</v>
      </c>
      <c r="C56" t="s">
        <v>484</v>
      </c>
      <c r="D56">
        <v>106276317</v>
      </c>
      <c r="E56" t="s">
        <v>523</v>
      </c>
      <c r="F56" t="s">
        <v>486</v>
      </c>
      <c r="G56">
        <v>0.97</v>
      </c>
      <c r="H56">
        <v>8.75</v>
      </c>
      <c r="I56">
        <v>0</v>
      </c>
      <c r="J56">
        <v>0</v>
      </c>
      <c r="K56">
        <v>9.7200000000000006</v>
      </c>
      <c r="L56" t="s">
        <v>487</v>
      </c>
      <c r="M56">
        <v>566</v>
      </c>
      <c r="N56">
        <v>58.21</v>
      </c>
      <c r="O56" t="s">
        <v>81</v>
      </c>
      <c r="P56" t="s">
        <v>492</v>
      </c>
      <c r="Q56">
        <v>566</v>
      </c>
      <c r="R56">
        <v>58.21</v>
      </c>
    </row>
    <row r="57" spans="1:18" x14ac:dyDescent="0.35">
      <c r="A57" t="s">
        <v>197</v>
      </c>
      <c r="B57" t="s">
        <v>483</v>
      </c>
      <c r="C57" t="s">
        <v>484</v>
      </c>
      <c r="D57">
        <v>106276317</v>
      </c>
      <c r="E57" t="s">
        <v>523</v>
      </c>
      <c r="F57" t="s">
        <v>486</v>
      </c>
      <c r="G57">
        <v>0.97</v>
      </c>
      <c r="H57">
        <v>8.75</v>
      </c>
      <c r="I57">
        <v>0</v>
      </c>
      <c r="J57">
        <v>0</v>
      </c>
      <c r="K57">
        <v>9.7200000000000006</v>
      </c>
      <c r="L57" t="s">
        <v>487</v>
      </c>
      <c r="M57">
        <v>566</v>
      </c>
      <c r="N57">
        <v>58.21</v>
      </c>
      <c r="O57" t="s">
        <v>85</v>
      </c>
      <c r="P57" t="s">
        <v>492</v>
      </c>
      <c r="Q57">
        <v>0</v>
      </c>
      <c r="R57">
        <v>0</v>
      </c>
    </row>
    <row r="58" spans="1:18" x14ac:dyDescent="0.35">
      <c r="A58" t="s">
        <v>197</v>
      </c>
      <c r="B58" t="s">
        <v>483</v>
      </c>
      <c r="C58" t="s">
        <v>484</v>
      </c>
      <c r="D58">
        <v>106488400</v>
      </c>
      <c r="E58" t="s">
        <v>524</v>
      </c>
      <c r="F58" t="s">
        <v>497</v>
      </c>
      <c r="G58">
        <v>0.01</v>
      </c>
      <c r="H58">
        <v>8.2799999999999994</v>
      </c>
      <c r="I58">
        <v>0</v>
      </c>
      <c r="J58">
        <v>0</v>
      </c>
      <c r="K58">
        <v>8.2899999999999991</v>
      </c>
      <c r="L58" t="s">
        <v>487</v>
      </c>
      <c r="M58">
        <v>290</v>
      </c>
      <c r="N58">
        <v>34.97</v>
      </c>
      <c r="O58" t="s">
        <v>60</v>
      </c>
      <c r="P58" t="s">
        <v>488</v>
      </c>
      <c r="Q58">
        <v>18</v>
      </c>
      <c r="R58">
        <v>1322.45</v>
      </c>
    </row>
    <row r="59" spans="1:18" x14ac:dyDescent="0.35">
      <c r="A59" t="s">
        <v>197</v>
      </c>
      <c r="B59" t="s">
        <v>483</v>
      </c>
      <c r="C59" t="s">
        <v>484</v>
      </c>
      <c r="D59">
        <v>106488400</v>
      </c>
      <c r="E59" t="s">
        <v>524</v>
      </c>
      <c r="F59" t="s">
        <v>497</v>
      </c>
      <c r="G59">
        <v>0.01</v>
      </c>
      <c r="H59">
        <v>8.2799999999999994</v>
      </c>
      <c r="I59">
        <v>0</v>
      </c>
      <c r="J59">
        <v>0</v>
      </c>
      <c r="K59">
        <v>8.2899999999999991</v>
      </c>
      <c r="L59" t="s">
        <v>487</v>
      </c>
      <c r="M59">
        <v>290</v>
      </c>
      <c r="N59">
        <v>34.97</v>
      </c>
      <c r="O59" t="s">
        <v>60</v>
      </c>
      <c r="P59" t="s">
        <v>489</v>
      </c>
      <c r="Q59">
        <v>2166</v>
      </c>
      <c r="R59">
        <v>261.63</v>
      </c>
    </row>
    <row r="60" spans="1:18" x14ac:dyDescent="0.35">
      <c r="A60" t="s">
        <v>197</v>
      </c>
      <c r="B60" t="s">
        <v>483</v>
      </c>
      <c r="C60" t="s">
        <v>484</v>
      </c>
      <c r="D60">
        <v>106488400</v>
      </c>
      <c r="E60" t="s">
        <v>524</v>
      </c>
      <c r="F60" t="s">
        <v>497</v>
      </c>
      <c r="G60">
        <v>0.01</v>
      </c>
      <c r="H60">
        <v>8.2799999999999994</v>
      </c>
      <c r="I60">
        <v>0</v>
      </c>
      <c r="J60">
        <v>0</v>
      </c>
      <c r="K60">
        <v>8.2899999999999991</v>
      </c>
      <c r="L60" t="s">
        <v>487</v>
      </c>
      <c r="M60">
        <v>290</v>
      </c>
      <c r="N60">
        <v>34.97</v>
      </c>
      <c r="O60" t="s">
        <v>60</v>
      </c>
      <c r="P60" t="s">
        <v>490</v>
      </c>
      <c r="Q60">
        <v>0</v>
      </c>
      <c r="R60">
        <v>0</v>
      </c>
    </row>
    <row r="61" spans="1:18" x14ac:dyDescent="0.35">
      <c r="A61" t="s">
        <v>197</v>
      </c>
      <c r="B61" t="s">
        <v>483</v>
      </c>
      <c r="C61" t="s">
        <v>484</v>
      </c>
      <c r="D61">
        <v>106488400</v>
      </c>
      <c r="E61" t="s">
        <v>524</v>
      </c>
      <c r="F61" t="s">
        <v>497</v>
      </c>
      <c r="G61">
        <v>0.01</v>
      </c>
      <c r="H61">
        <v>8.2799999999999994</v>
      </c>
      <c r="I61">
        <v>0</v>
      </c>
      <c r="J61">
        <v>0</v>
      </c>
      <c r="K61">
        <v>8.2899999999999991</v>
      </c>
      <c r="L61" t="s">
        <v>487</v>
      </c>
      <c r="M61">
        <v>290</v>
      </c>
      <c r="N61">
        <v>34.97</v>
      </c>
      <c r="O61" t="s">
        <v>60</v>
      </c>
      <c r="P61" t="s">
        <v>491</v>
      </c>
      <c r="Q61">
        <v>0</v>
      </c>
      <c r="R61">
        <v>0</v>
      </c>
    </row>
    <row r="62" spans="1:18" x14ac:dyDescent="0.35">
      <c r="A62" t="s">
        <v>197</v>
      </c>
      <c r="B62" t="s">
        <v>483</v>
      </c>
      <c r="C62" t="s">
        <v>484</v>
      </c>
      <c r="D62">
        <v>106488400</v>
      </c>
      <c r="E62" t="s">
        <v>524</v>
      </c>
      <c r="F62" t="s">
        <v>497</v>
      </c>
      <c r="G62">
        <v>0.01</v>
      </c>
      <c r="H62">
        <v>8.2799999999999994</v>
      </c>
      <c r="I62">
        <v>0</v>
      </c>
      <c r="J62">
        <v>0</v>
      </c>
      <c r="K62">
        <v>8.2899999999999991</v>
      </c>
      <c r="L62" t="s">
        <v>487</v>
      </c>
      <c r="M62">
        <v>290</v>
      </c>
      <c r="N62">
        <v>34.97</v>
      </c>
      <c r="O62" t="s">
        <v>60</v>
      </c>
      <c r="P62" t="s">
        <v>492</v>
      </c>
      <c r="Q62">
        <v>2184</v>
      </c>
      <c r="R62">
        <v>263.36</v>
      </c>
    </row>
    <row r="63" spans="1:18" x14ac:dyDescent="0.35">
      <c r="A63" t="s">
        <v>197</v>
      </c>
      <c r="B63" t="s">
        <v>483</v>
      </c>
      <c r="C63" t="s">
        <v>484</v>
      </c>
      <c r="D63">
        <v>106488400</v>
      </c>
      <c r="E63" t="s">
        <v>524</v>
      </c>
      <c r="F63" t="s">
        <v>497</v>
      </c>
      <c r="G63">
        <v>0.01</v>
      </c>
      <c r="H63">
        <v>8.2799999999999994</v>
      </c>
      <c r="I63">
        <v>0</v>
      </c>
      <c r="J63">
        <v>0</v>
      </c>
      <c r="K63">
        <v>8.2899999999999991</v>
      </c>
      <c r="L63" t="s">
        <v>487</v>
      </c>
      <c r="M63">
        <v>290</v>
      </c>
      <c r="N63">
        <v>34.97</v>
      </c>
      <c r="O63" t="s">
        <v>81</v>
      </c>
      <c r="P63" t="s">
        <v>492</v>
      </c>
      <c r="Q63">
        <v>287</v>
      </c>
      <c r="R63">
        <v>34.61</v>
      </c>
    </row>
    <row r="64" spans="1:18" x14ac:dyDescent="0.35">
      <c r="A64" t="s">
        <v>197</v>
      </c>
      <c r="B64" t="s">
        <v>483</v>
      </c>
      <c r="C64" t="s">
        <v>484</v>
      </c>
      <c r="D64">
        <v>106488400</v>
      </c>
      <c r="E64" t="s">
        <v>524</v>
      </c>
      <c r="F64" t="s">
        <v>497</v>
      </c>
      <c r="G64">
        <v>0.01</v>
      </c>
      <c r="H64">
        <v>8.2799999999999994</v>
      </c>
      <c r="I64">
        <v>0</v>
      </c>
      <c r="J64">
        <v>0</v>
      </c>
      <c r="K64">
        <v>8.2899999999999991</v>
      </c>
      <c r="L64" t="s">
        <v>487</v>
      </c>
      <c r="M64">
        <v>290</v>
      </c>
      <c r="N64">
        <v>34.97</v>
      </c>
      <c r="O64" t="s">
        <v>85</v>
      </c>
      <c r="P64" t="s">
        <v>492</v>
      </c>
      <c r="Q64">
        <v>3</v>
      </c>
      <c r="R64">
        <v>0.36</v>
      </c>
    </row>
    <row r="65" spans="1:18" x14ac:dyDescent="0.35">
      <c r="A65" t="s">
        <v>197</v>
      </c>
      <c r="B65" t="s">
        <v>483</v>
      </c>
      <c r="C65" t="s">
        <v>493</v>
      </c>
      <c r="D65">
        <v>106513473</v>
      </c>
      <c r="E65" t="s">
        <v>525</v>
      </c>
      <c r="F65" t="s">
        <v>486</v>
      </c>
      <c r="G65">
        <v>0.48</v>
      </c>
      <c r="H65">
        <v>4.75</v>
      </c>
      <c r="I65">
        <v>0</v>
      </c>
      <c r="J65">
        <v>0</v>
      </c>
      <c r="K65">
        <v>5.23</v>
      </c>
      <c r="L65" t="s">
        <v>487</v>
      </c>
      <c r="M65">
        <v>191</v>
      </c>
      <c r="N65">
        <v>36.51</v>
      </c>
      <c r="O65" t="s">
        <v>60</v>
      </c>
      <c r="P65" t="s">
        <v>488</v>
      </c>
      <c r="Q65">
        <v>1014</v>
      </c>
      <c r="R65">
        <v>2107.62</v>
      </c>
    </row>
    <row r="66" spans="1:18" x14ac:dyDescent="0.35">
      <c r="A66" t="s">
        <v>197</v>
      </c>
      <c r="B66" t="s">
        <v>483</v>
      </c>
      <c r="C66" t="s">
        <v>493</v>
      </c>
      <c r="D66">
        <v>106513473</v>
      </c>
      <c r="E66" t="s">
        <v>525</v>
      </c>
      <c r="F66" t="s">
        <v>486</v>
      </c>
      <c r="G66">
        <v>0.48</v>
      </c>
      <c r="H66">
        <v>4.75</v>
      </c>
      <c r="I66">
        <v>0</v>
      </c>
      <c r="J66">
        <v>0</v>
      </c>
      <c r="K66">
        <v>5.23</v>
      </c>
      <c r="L66" t="s">
        <v>487</v>
      </c>
      <c r="M66">
        <v>191</v>
      </c>
      <c r="N66">
        <v>36.51</v>
      </c>
      <c r="O66" t="s">
        <v>60</v>
      </c>
      <c r="P66" t="s">
        <v>489</v>
      </c>
      <c r="Q66">
        <v>1996</v>
      </c>
      <c r="R66">
        <v>420.24</v>
      </c>
    </row>
    <row r="67" spans="1:18" x14ac:dyDescent="0.35">
      <c r="A67" t="s">
        <v>197</v>
      </c>
      <c r="B67" t="s">
        <v>483</v>
      </c>
      <c r="C67" t="s">
        <v>493</v>
      </c>
      <c r="D67">
        <v>106513473</v>
      </c>
      <c r="E67" t="s">
        <v>525</v>
      </c>
      <c r="F67" t="s">
        <v>486</v>
      </c>
      <c r="G67">
        <v>0.48</v>
      </c>
      <c r="H67">
        <v>4.75</v>
      </c>
      <c r="I67">
        <v>0</v>
      </c>
      <c r="J67">
        <v>0</v>
      </c>
      <c r="K67">
        <v>5.23</v>
      </c>
      <c r="L67" t="s">
        <v>487</v>
      </c>
      <c r="M67">
        <v>191</v>
      </c>
      <c r="N67">
        <v>36.51</v>
      </c>
      <c r="O67" t="s">
        <v>60</v>
      </c>
      <c r="P67" t="s">
        <v>490</v>
      </c>
      <c r="Q67">
        <v>0</v>
      </c>
      <c r="R67">
        <v>0</v>
      </c>
    </row>
    <row r="68" spans="1:18" x14ac:dyDescent="0.35">
      <c r="A68" t="s">
        <v>197</v>
      </c>
      <c r="B68" t="s">
        <v>483</v>
      </c>
      <c r="C68" t="s">
        <v>493</v>
      </c>
      <c r="D68">
        <v>106513473</v>
      </c>
      <c r="E68" t="s">
        <v>525</v>
      </c>
      <c r="F68" t="s">
        <v>486</v>
      </c>
      <c r="G68">
        <v>0.48</v>
      </c>
      <c r="H68">
        <v>4.75</v>
      </c>
      <c r="I68">
        <v>0</v>
      </c>
      <c r="J68">
        <v>0</v>
      </c>
      <c r="K68">
        <v>5.23</v>
      </c>
      <c r="L68" t="s">
        <v>487</v>
      </c>
      <c r="M68">
        <v>191</v>
      </c>
      <c r="N68">
        <v>36.51</v>
      </c>
      <c r="O68" t="s">
        <v>60</v>
      </c>
      <c r="P68" t="s">
        <v>491</v>
      </c>
      <c r="Q68">
        <v>0</v>
      </c>
      <c r="R68">
        <v>0</v>
      </c>
    </row>
    <row r="69" spans="1:18" x14ac:dyDescent="0.35">
      <c r="A69" t="s">
        <v>197</v>
      </c>
      <c r="B69" t="s">
        <v>483</v>
      </c>
      <c r="C69" t="s">
        <v>493</v>
      </c>
      <c r="D69">
        <v>106513473</v>
      </c>
      <c r="E69" t="s">
        <v>525</v>
      </c>
      <c r="F69" t="s">
        <v>486</v>
      </c>
      <c r="G69">
        <v>0.48</v>
      </c>
      <c r="H69">
        <v>4.75</v>
      </c>
      <c r="I69">
        <v>0</v>
      </c>
      <c r="J69">
        <v>0</v>
      </c>
      <c r="K69">
        <v>5.23</v>
      </c>
      <c r="L69" t="s">
        <v>487</v>
      </c>
      <c r="M69">
        <v>191</v>
      </c>
      <c r="N69">
        <v>36.51</v>
      </c>
      <c r="O69" t="s">
        <v>60</v>
      </c>
      <c r="P69" t="s">
        <v>492</v>
      </c>
      <c r="Q69">
        <v>3010</v>
      </c>
      <c r="R69">
        <v>575.4</v>
      </c>
    </row>
    <row r="70" spans="1:18" x14ac:dyDescent="0.35">
      <c r="A70" t="s">
        <v>197</v>
      </c>
      <c r="B70" t="s">
        <v>483</v>
      </c>
      <c r="C70" t="s">
        <v>493</v>
      </c>
      <c r="D70">
        <v>106513473</v>
      </c>
      <c r="E70" t="s">
        <v>525</v>
      </c>
      <c r="F70" t="s">
        <v>486</v>
      </c>
      <c r="G70">
        <v>0.48</v>
      </c>
      <c r="H70">
        <v>4.75</v>
      </c>
      <c r="I70">
        <v>0</v>
      </c>
      <c r="J70">
        <v>0</v>
      </c>
      <c r="K70">
        <v>5.23</v>
      </c>
      <c r="L70" t="s">
        <v>487</v>
      </c>
      <c r="M70">
        <v>191</v>
      </c>
      <c r="N70">
        <v>36.51</v>
      </c>
      <c r="O70" t="s">
        <v>81</v>
      </c>
      <c r="P70" t="s">
        <v>492</v>
      </c>
      <c r="Q70">
        <v>191</v>
      </c>
      <c r="R70">
        <v>36.51</v>
      </c>
    </row>
    <row r="71" spans="1:18" x14ac:dyDescent="0.35">
      <c r="A71" t="s">
        <v>197</v>
      </c>
      <c r="B71" t="s">
        <v>483</v>
      </c>
      <c r="C71" t="s">
        <v>493</v>
      </c>
      <c r="D71">
        <v>106513473</v>
      </c>
      <c r="E71" t="s">
        <v>525</v>
      </c>
      <c r="F71" t="s">
        <v>486</v>
      </c>
      <c r="G71">
        <v>0.48</v>
      </c>
      <c r="H71">
        <v>4.75</v>
      </c>
      <c r="I71">
        <v>0</v>
      </c>
      <c r="J71">
        <v>0</v>
      </c>
      <c r="K71">
        <v>5.23</v>
      </c>
      <c r="L71" t="s">
        <v>487</v>
      </c>
      <c r="M71">
        <v>191</v>
      </c>
      <c r="N71">
        <v>36.51</v>
      </c>
      <c r="O71" t="s">
        <v>85</v>
      </c>
      <c r="P71" t="s">
        <v>492</v>
      </c>
      <c r="Q71">
        <v>0</v>
      </c>
      <c r="R71">
        <v>0</v>
      </c>
    </row>
    <row r="72" spans="1:18" x14ac:dyDescent="0.35">
      <c r="A72" t="s">
        <v>197</v>
      </c>
      <c r="B72" t="s">
        <v>483</v>
      </c>
      <c r="C72" t="s">
        <v>484</v>
      </c>
      <c r="D72">
        <v>106550610</v>
      </c>
      <c r="E72" t="s">
        <v>639</v>
      </c>
      <c r="F72" t="s">
        <v>486</v>
      </c>
      <c r="G72">
        <v>0.13</v>
      </c>
      <c r="H72">
        <v>4.4400000000000004</v>
      </c>
      <c r="I72">
        <v>0</v>
      </c>
      <c r="J72">
        <v>0</v>
      </c>
      <c r="K72">
        <v>4.57</v>
      </c>
      <c r="L72" t="s">
        <v>487</v>
      </c>
      <c r="M72">
        <v>152</v>
      </c>
      <c r="N72">
        <v>33.28</v>
      </c>
      <c r="O72" t="s">
        <v>60</v>
      </c>
      <c r="P72" t="s">
        <v>488</v>
      </c>
      <c r="Q72">
        <v>108</v>
      </c>
      <c r="R72">
        <v>856.39</v>
      </c>
    </row>
    <row r="73" spans="1:18" x14ac:dyDescent="0.35">
      <c r="A73" t="s">
        <v>197</v>
      </c>
      <c r="B73" t="s">
        <v>483</v>
      </c>
      <c r="C73" t="s">
        <v>484</v>
      </c>
      <c r="D73">
        <v>106550610</v>
      </c>
      <c r="E73" t="s">
        <v>639</v>
      </c>
      <c r="F73" t="s">
        <v>486</v>
      </c>
      <c r="G73">
        <v>0.13</v>
      </c>
      <c r="H73">
        <v>4.4400000000000004</v>
      </c>
      <c r="I73">
        <v>0</v>
      </c>
      <c r="J73">
        <v>0</v>
      </c>
      <c r="K73">
        <v>4.57</v>
      </c>
      <c r="L73" t="s">
        <v>487</v>
      </c>
      <c r="M73">
        <v>152</v>
      </c>
      <c r="N73">
        <v>33.28</v>
      </c>
      <c r="O73" t="s">
        <v>60</v>
      </c>
      <c r="P73" t="s">
        <v>489</v>
      </c>
      <c r="Q73">
        <v>757</v>
      </c>
      <c r="R73">
        <v>170.48</v>
      </c>
    </row>
    <row r="74" spans="1:18" x14ac:dyDescent="0.35">
      <c r="A74" t="s">
        <v>197</v>
      </c>
      <c r="B74" t="s">
        <v>483</v>
      </c>
      <c r="C74" t="s">
        <v>484</v>
      </c>
      <c r="D74">
        <v>106550610</v>
      </c>
      <c r="E74" t="s">
        <v>639</v>
      </c>
      <c r="F74" t="s">
        <v>486</v>
      </c>
      <c r="G74">
        <v>0.13</v>
      </c>
      <c r="H74">
        <v>4.4400000000000004</v>
      </c>
      <c r="I74">
        <v>0</v>
      </c>
      <c r="J74">
        <v>0</v>
      </c>
      <c r="K74">
        <v>4.57</v>
      </c>
      <c r="L74" t="s">
        <v>487</v>
      </c>
      <c r="M74">
        <v>152</v>
      </c>
      <c r="N74">
        <v>33.28</v>
      </c>
      <c r="O74" t="s">
        <v>60</v>
      </c>
      <c r="P74" t="s">
        <v>490</v>
      </c>
      <c r="Q74">
        <v>0</v>
      </c>
      <c r="R74">
        <v>0</v>
      </c>
    </row>
    <row r="75" spans="1:18" x14ac:dyDescent="0.35">
      <c r="A75" t="s">
        <v>197</v>
      </c>
      <c r="B75" t="s">
        <v>483</v>
      </c>
      <c r="C75" t="s">
        <v>484</v>
      </c>
      <c r="D75">
        <v>106550610</v>
      </c>
      <c r="E75" t="s">
        <v>639</v>
      </c>
      <c r="F75" t="s">
        <v>486</v>
      </c>
      <c r="G75">
        <v>0.13</v>
      </c>
      <c r="H75">
        <v>4.4400000000000004</v>
      </c>
      <c r="I75">
        <v>0</v>
      </c>
      <c r="J75">
        <v>0</v>
      </c>
      <c r="K75">
        <v>4.57</v>
      </c>
      <c r="L75" t="s">
        <v>487</v>
      </c>
      <c r="M75">
        <v>152</v>
      </c>
      <c r="N75">
        <v>33.28</v>
      </c>
      <c r="O75" t="s">
        <v>60</v>
      </c>
      <c r="P75" t="s">
        <v>491</v>
      </c>
      <c r="Q75">
        <v>0</v>
      </c>
      <c r="R75">
        <v>0</v>
      </c>
    </row>
    <row r="76" spans="1:18" x14ac:dyDescent="0.35">
      <c r="A76" t="s">
        <v>197</v>
      </c>
      <c r="B76" t="s">
        <v>483</v>
      </c>
      <c r="C76" t="s">
        <v>484</v>
      </c>
      <c r="D76">
        <v>106550610</v>
      </c>
      <c r="E76" t="s">
        <v>639</v>
      </c>
      <c r="F76" t="s">
        <v>486</v>
      </c>
      <c r="G76">
        <v>0.13</v>
      </c>
      <c r="H76">
        <v>4.4400000000000004</v>
      </c>
      <c r="I76">
        <v>0</v>
      </c>
      <c r="J76">
        <v>0</v>
      </c>
      <c r="K76">
        <v>4.57</v>
      </c>
      <c r="L76" t="s">
        <v>487</v>
      </c>
      <c r="M76">
        <v>152</v>
      </c>
      <c r="N76">
        <v>33.28</v>
      </c>
      <c r="O76" t="s">
        <v>60</v>
      </c>
      <c r="P76" t="s">
        <v>492</v>
      </c>
      <c r="Q76">
        <v>865</v>
      </c>
      <c r="R76">
        <v>189.42</v>
      </c>
    </row>
    <row r="77" spans="1:18" x14ac:dyDescent="0.35">
      <c r="A77" t="s">
        <v>197</v>
      </c>
      <c r="B77" t="s">
        <v>483</v>
      </c>
      <c r="C77" t="s">
        <v>484</v>
      </c>
      <c r="D77">
        <v>106550610</v>
      </c>
      <c r="E77" t="s">
        <v>639</v>
      </c>
      <c r="F77" t="s">
        <v>486</v>
      </c>
      <c r="G77">
        <v>0.13</v>
      </c>
      <c r="H77">
        <v>4.4400000000000004</v>
      </c>
      <c r="I77">
        <v>0</v>
      </c>
      <c r="J77">
        <v>0</v>
      </c>
      <c r="K77">
        <v>4.57</v>
      </c>
      <c r="L77" t="s">
        <v>487</v>
      </c>
      <c r="M77">
        <v>152</v>
      </c>
      <c r="N77">
        <v>33.28</v>
      </c>
      <c r="O77" t="s">
        <v>81</v>
      </c>
      <c r="P77" t="s">
        <v>492</v>
      </c>
      <c r="Q77">
        <v>152</v>
      </c>
      <c r="R77">
        <v>33.28</v>
      </c>
    </row>
    <row r="78" spans="1:18" x14ac:dyDescent="0.35">
      <c r="A78" t="s">
        <v>197</v>
      </c>
      <c r="B78" t="s">
        <v>483</v>
      </c>
      <c r="C78" t="s">
        <v>484</v>
      </c>
      <c r="D78">
        <v>106550610</v>
      </c>
      <c r="E78" t="s">
        <v>639</v>
      </c>
      <c r="F78" t="s">
        <v>486</v>
      </c>
      <c r="G78">
        <v>0.13</v>
      </c>
      <c r="H78">
        <v>4.4400000000000004</v>
      </c>
      <c r="I78">
        <v>0</v>
      </c>
      <c r="J78">
        <v>0</v>
      </c>
      <c r="K78">
        <v>4.57</v>
      </c>
      <c r="L78" t="s">
        <v>487</v>
      </c>
      <c r="M78">
        <v>152</v>
      </c>
      <c r="N78">
        <v>33.28</v>
      </c>
      <c r="O78" t="s">
        <v>85</v>
      </c>
      <c r="P78" t="s">
        <v>492</v>
      </c>
      <c r="Q78">
        <v>0</v>
      </c>
      <c r="R78">
        <v>0</v>
      </c>
    </row>
    <row r="79" spans="1:18" x14ac:dyDescent="0.35">
      <c r="A79" t="s">
        <v>197</v>
      </c>
      <c r="B79" t="s">
        <v>483</v>
      </c>
      <c r="C79" t="s">
        <v>484</v>
      </c>
      <c r="D79">
        <v>106576075</v>
      </c>
      <c r="E79" t="s">
        <v>534</v>
      </c>
      <c r="F79" t="s">
        <v>486</v>
      </c>
      <c r="G79">
        <v>0.44</v>
      </c>
      <c r="H79">
        <v>5.57</v>
      </c>
      <c r="I79">
        <v>0.01</v>
      </c>
      <c r="J79">
        <v>0</v>
      </c>
      <c r="K79">
        <v>6.02</v>
      </c>
      <c r="L79" t="s">
        <v>487</v>
      </c>
      <c r="M79">
        <v>209</v>
      </c>
      <c r="N79">
        <v>34.74</v>
      </c>
      <c r="O79" t="s">
        <v>60</v>
      </c>
      <c r="P79" t="s">
        <v>488</v>
      </c>
      <c r="Q79">
        <v>614</v>
      </c>
      <c r="R79">
        <v>1410.59</v>
      </c>
    </row>
    <row r="80" spans="1:18" x14ac:dyDescent="0.35">
      <c r="A80" t="s">
        <v>197</v>
      </c>
      <c r="B80" t="s">
        <v>483</v>
      </c>
      <c r="C80" t="s">
        <v>484</v>
      </c>
      <c r="D80">
        <v>106576075</v>
      </c>
      <c r="E80" t="s">
        <v>534</v>
      </c>
      <c r="F80" t="s">
        <v>486</v>
      </c>
      <c r="G80">
        <v>0.44</v>
      </c>
      <c r="H80">
        <v>5.57</v>
      </c>
      <c r="I80">
        <v>0.01</v>
      </c>
      <c r="J80">
        <v>0</v>
      </c>
      <c r="K80">
        <v>6.02</v>
      </c>
      <c r="L80" t="s">
        <v>487</v>
      </c>
      <c r="M80">
        <v>209</v>
      </c>
      <c r="N80">
        <v>34.74</v>
      </c>
      <c r="O80" t="s">
        <v>60</v>
      </c>
      <c r="P80" t="s">
        <v>489</v>
      </c>
      <c r="Q80">
        <v>1567</v>
      </c>
      <c r="R80">
        <v>281.23</v>
      </c>
    </row>
    <row r="81" spans="1:18" x14ac:dyDescent="0.35">
      <c r="A81" t="s">
        <v>197</v>
      </c>
      <c r="B81" t="s">
        <v>483</v>
      </c>
      <c r="C81" t="s">
        <v>484</v>
      </c>
      <c r="D81">
        <v>106576075</v>
      </c>
      <c r="E81" t="s">
        <v>534</v>
      </c>
      <c r="F81" t="s">
        <v>486</v>
      </c>
      <c r="G81">
        <v>0.44</v>
      </c>
      <c r="H81">
        <v>5.57</v>
      </c>
      <c r="I81">
        <v>0.01</v>
      </c>
      <c r="J81">
        <v>0</v>
      </c>
      <c r="K81">
        <v>6.02</v>
      </c>
      <c r="L81" t="s">
        <v>487</v>
      </c>
      <c r="M81">
        <v>209</v>
      </c>
      <c r="N81">
        <v>34.74</v>
      </c>
      <c r="O81" t="s">
        <v>60</v>
      </c>
      <c r="P81" t="s">
        <v>490</v>
      </c>
      <c r="Q81">
        <v>2</v>
      </c>
      <c r="R81">
        <v>218.18</v>
      </c>
    </row>
    <row r="82" spans="1:18" x14ac:dyDescent="0.35">
      <c r="A82" t="s">
        <v>197</v>
      </c>
      <c r="B82" t="s">
        <v>483</v>
      </c>
      <c r="C82" t="s">
        <v>484</v>
      </c>
      <c r="D82">
        <v>106576075</v>
      </c>
      <c r="E82" t="s">
        <v>534</v>
      </c>
      <c r="F82" t="s">
        <v>486</v>
      </c>
      <c r="G82">
        <v>0.44</v>
      </c>
      <c r="H82">
        <v>5.57</v>
      </c>
      <c r="I82">
        <v>0.01</v>
      </c>
      <c r="J82">
        <v>0</v>
      </c>
      <c r="K82">
        <v>6.02</v>
      </c>
      <c r="L82" t="s">
        <v>487</v>
      </c>
      <c r="M82">
        <v>209</v>
      </c>
      <c r="N82">
        <v>34.74</v>
      </c>
      <c r="O82" t="s">
        <v>60</v>
      </c>
      <c r="P82" t="s">
        <v>491</v>
      </c>
      <c r="Q82">
        <v>0</v>
      </c>
      <c r="R82">
        <v>0</v>
      </c>
    </row>
    <row r="83" spans="1:18" x14ac:dyDescent="0.35">
      <c r="A83" t="s">
        <v>197</v>
      </c>
      <c r="B83" t="s">
        <v>483</v>
      </c>
      <c r="C83" t="s">
        <v>484</v>
      </c>
      <c r="D83">
        <v>106576075</v>
      </c>
      <c r="E83" t="s">
        <v>534</v>
      </c>
      <c r="F83" t="s">
        <v>486</v>
      </c>
      <c r="G83">
        <v>0.44</v>
      </c>
      <c r="H83">
        <v>5.57</v>
      </c>
      <c r="I83">
        <v>0.01</v>
      </c>
      <c r="J83">
        <v>0</v>
      </c>
      <c r="K83">
        <v>6.02</v>
      </c>
      <c r="L83" t="s">
        <v>487</v>
      </c>
      <c r="M83">
        <v>209</v>
      </c>
      <c r="N83">
        <v>34.74</v>
      </c>
      <c r="O83" t="s">
        <v>60</v>
      </c>
      <c r="P83" t="s">
        <v>492</v>
      </c>
      <c r="Q83">
        <v>2183</v>
      </c>
      <c r="R83">
        <v>362.83</v>
      </c>
    </row>
    <row r="84" spans="1:18" x14ac:dyDescent="0.35">
      <c r="A84" t="s">
        <v>197</v>
      </c>
      <c r="B84" t="s">
        <v>483</v>
      </c>
      <c r="C84" t="s">
        <v>484</v>
      </c>
      <c r="D84">
        <v>106576075</v>
      </c>
      <c r="E84" t="s">
        <v>534</v>
      </c>
      <c r="F84" t="s">
        <v>486</v>
      </c>
      <c r="G84">
        <v>0.44</v>
      </c>
      <c r="H84">
        <v>5.57</v>
      </c>
      <c r="I84">
        <v>0.01</v>
      </c>
      <c r="J84">
        <v>0</v>
      </c>
      <c r="K84">
        <v>6.02</v>
      </c>
      <c r="L84" t="s">
        <v>487</v>
      </c>
      <c r="M84">
        <v>209</v>
      </c>
      <c r="N84">
        <v>34.74</v>
      </c>
      <c r="O84" t="s">
        <v>81</v>
      </c>
      <c r="P84" t="s">
        <v>492</v>
      </c>
      <c r="Q84">
        <v>209</v>
      </c>
      <c r="R84">
        <v>34.74</v>
      </c>
    </row>
    <row r="85" spans="1:18" x14ac:dyDescent="0.35">
      <c r="A85" t="s">
        <v>197</v>
      </c>
      <c r="B85" t="s">
        <v>483</v>
      </c>
      <c r="C85" t="s">
        <v>484</v>
      </c>
      <c r="D85">
        <v>106576075</v>
      </c>
      <c r="E85" t="s">
        <v>534</v>
      </c>
      <c r="F85" t="s">
        <v>486</v>
      </c>
      <c r="G85">
        <v>0.44</v>
      </c>
      <c r="H85">
        <v>5.57</v>
      </c>
      <c r="I85">
        <v>0.01</v>
      </c>
      <c r="J85">
        <v>0</v>
      </c>
      <c r="K85">
        <v>6.02</v>
      </c>
      <c r="L85" t="s">
        <v>487</v>
      </c>
      <c r="M85">
        <v>209</v>
      </c>
      <c r="N85">
        <v>34.74</v>
      </c>
      <c r="O85" t="s">
        <v>85</v>
      </c>
      <c r="P85" t="s">
        <v>492</v>
      </c>
      <c r="Q85">
        <v>0</v>
      </c>
      <c r="R85">
        <v>0</v>
      </c>
    </row>
    <row r="86" spans="1:18" x14ac:dyDescent="0.35">
      <c r="A86" t="s">
        <v>197</v>
      </c>
      <c r="B86" t="s">
        <v>483</v>
      </c>
      <c r="C86" t="s">
        <v>484</v>
      </c>
      <c r="D86">
        <v>106640096</v>
      </c>
      <c r="E86" t="s">
        <v>498</v>
      </c>
      <c r="F86" t="s">
        <v>486</v>
      </c>
      <c r="G86">
        <v>0.18</v>
      </c>
      <c r="H86">
        <v>3.43</v>
      </c>
      <c r="I86">
        <v>0</v>
      </c>
      <c r="J86">
        <v>0</v>
      </c>
      <c r="K86">
        <v>3.61</v>
      </c>
      <c r="L86" t="s">
        <v>487</v>
      </c>
      <c r="M86">
        <v>153</v>
      </c>
      <c r="N86">
        <v>42.36</v>
      </c>
      <c r="O86" t="s">
        <v>60</v>
      </c>
      <c r="P86" t="s">
        <v>488</v>
      </c>
      <c r="Q86">
        <v>246</v>
      </c>
      <c r="R86">
        <v>1339.79</v>
      </c>
    </row>
    <row r="87" spans="1:18" x14ac:dyDescent="0.35">
      <c r="A87" t="s">
        <v>197</v>
      </c>
      <c r="B87" t="s">
        <v>483</v>
      </c>
      <c r="C87" t="s">
        <v>484</v>
      </c>
      <c r="D87">
        <v>106640096</v>
      </c>
      <c r="E87" t="s">
        <v>498</v>
      </c>
      <c r="F87" t="s">
        <v>486</v>
      </c>
      <c r="G87">
        <v>0.18</v>
      </c>
      <c r="H87">
        <v>3.43</v>
      </c>
      <c r="I87">
        <v>0</v>
      </c>
      <c r="J87">
        <v>0</v>
      </c>
      <c r="K87">
        <v>3.61</v>
      </c>
      <c r="L87" t="s">
        <v>487</v>
      </c>
      <c r="M87">
        <v>153</v>
      </c>
      <c r="N87">
        <v>42.36</v>
      </c>
      <c r="O87" t="s">
        <v>60</v>
      </c>
      <c r="P87" t="s">
        <v>489</v>
      </c>
      <c r="Q87">
        <v>915</v>
      </c>
      <c r="R87">
        <v>266.94</v>
      </c>
    </row>
    <row r="88" spans="1:18" x14ac:dyDescent="0.35">
      <c r="A88" t="s">
        <v>197</v>
      </c>
      <c r="B88" t="s">
        <v>483</v>
      </c>
      <c r="C88" t="s">
        <v>484</v>
      </c>
      <c r="D88">
        <v>106640096</v>
      </c>
      <c r="E88" t="s">
        <v>498</v>
      </c>
      <c r="F88" t="s">
        <v>486</v>
      </c>
      <c r="G88">
        <v>0.18</v>
      </c>
      <c r="H88">
        <v>3.43</v>
      </c>
      <c r="I88">
        <v>0</v>
      </c>
      <c r="J88">
        <v>0</v>
      </c>
      <c r="K88">
        <v>3.61</v>
      </c>
      <c r="L88" t="s">
        <v>487</v>
      </c>
      <c r="M88">
        <v>153</v>
      </c>
      <c r="N88">
        <v>42.36</v>
      </c>
      <c r="O88" t="s">
        <v>60</v>
      </c>
      <c r="P88" t="s">
        <v>490</v>
      </c>
      <c r="Q88">
        <v>0</v>
      </c>
      <c r="R88">
        <v>0</v>
      </c>
    </row>
    <row r="89" spans="1:18" x14ac:dyDescent="0.35">
      <c r="A89" t="s">
        <v>197</v>
      </c>
      <c r="B89" t="s">
        <v>483</v>
      </c>
      <c r="C89" t="s">
        <v>484</v>
      </c>
      <c r="D89">
        <v>106640096</v>
      </c>
      <c r="E89" t="s">
        <v>498</v>
      </c>
      <c r="F89" t="s">
        <v>486</v>
      </c>
      <c r="G89">
        <v>0.18</v>
      </c>
      <c r="H89">
        <v>3.43</v>
      </c>
      <c r="I89">
        <v>0</v>
      </c>
      <c r="J89">
        <v>0</v>
      </c>
      <c r="K89">
        <v>3.61</v>
      </c>
      <c r="L89" t="s">
        <v>487</v>
      </c>
      <c r="M89">
        <v>153</v>
      </c>
      <c r="N89">
        <v>42.36</v>
      </c>
      <c r="O89" t="s">
        <v>60</v>
      </c>
      <c r="P89" t="s">
        <v>491</v>
      </c>
      <c r="Q89">
        <v>0</v>
      </c>
      <c r="R89">
        <v>0</v>
      </c>
    </row>
    <row r="90" spans="1:18" x14ac:dyDescent="0.35">
      <c r="A90" t="s">
        <v>197</v>
      </c>
      <c r="B90" t="s">
        <v>483</v>
      </c>
      <c r="C90" t="s">
        <v>484</v>
      </c>
      <c r="D90">
        <v>106640096</v>
      </c>
      <c r="E90" t="s">
        <v>498</v>
      </c>
      <c r="F90" t="s">
        <v>486</v>
      </c>
      <c r="G90">
        <v>0.18</v>
      </c>
      <c r="H90">
        <v>3.43</v>
      </c>
      <c r="I90">
        <v>0</v>
      </c>
      <c r="J90">
        <v>0</v>
      </c>
      <c r="K90">
        <v>3.61</v>
      </c>
      <c r="L90" t="s">
        <v>487</v>
      </c>
      <c r="M90">
        <v>153</v>
      </c>
      <c r="N90">
        <v>42.36</v>
      </c>
      <c r="O90" t="s">
        <v>60</v>
      </c>
      <c r="P90" t="s">
        <v>492</v>
      </c>
      <c r="Q90">
        <v>1161</v>
      </c>
      <c r="R90">
        <v>321.45999999999998</v>
      </c>
    </row>
    <row r="91" spans="1:18" x14ac:dyDescent="0.35">
      <c r="A91" t="s">
        <v>197</v>
      </c>
      <c r="B91" t="s">
        <v>483</v>
      </c>
      <c r="C91" t="s">
        <v>484</v>
      </c>
      <c r="D91">
        <v>106640096</v>
      </c>
      <c r="E91" t="s">
        <v>498</v>
      </c>
      <c r="F91" t="s">
        <v>486</v>
      </c>
      <c r="G91">
        <v>0.18</v>
      </c>
      <c r="H91">
        <v>3.43</v>
      </c>
      <c r="I91">
        <v>0</v>
      </c>
      <c r="J91">
        <v>0</v>
      </c>
      <c r="K91">
        <v>3.61</v>
      </c>
      <c r="L91" t="s">
        <v>487</v>
      </c>
      <c r="M91">
        <v>153</v>
      </c>
      <c r="N91">
        <v>42.36</v>
      </c>
      <c r="O91" t="s">
        <v>81</v>
      </c>
      <c r="P91" t="s">
        <v>492</v>
      </c>
      <c r="Q91">
        <v>153</v>
      </c>
      <c r="R91">
        <v>42.36</v>
      </c>
    </row>
    <row r="92" spans="1:18" x14ac:dyDescent="0.35">
      <c r="A92" t="s">
        <v>197</v>
      </c>
      <c r="B92" t="s">
        <v>483</v>
      </c>
      <c r="C92" t="s">
        <v>484</v>
      </c>
      <c r="D92">
        <v>106640096</v>
      </c>
      <c r="E92" t="s">
        <v>498</v>
      </c>
      <c r="F92" t="s">
        <v>486</v>
      </c>
      <c r="G92">
        <v>0.18</v>
      </c>
      <c r="H92">
        <v>3.43</v>
      </c>
      <c r="I92">
        <v>0</v>
      </c>
      <c r="J92">
        <v>0</v>
      </c>
      <c r="K92">
        <v>3.61</v>
      </c>
      <c r="L92" t="s">
        <v>487</v>
      </c>
      <c r="M92">
        <v>153</v>
      </c>
      <c r="N92">
        <v>42.36</v>
      </c>
      <c r="O92" t="s">
        <v>85</v>
      </c>
      <c r="P92" t="s">
        <v>492</v>
      </c>
      <c r="Q92">
        <v>0</v>
      </c>
      <c r="R92">
        <v>0</v>
      </c>
    </row>
    <row r="93" spans="1:18" x14ac:dyDescent="0.35">
      <c r="A93" t="s">
        <v>197</v>
      </c>
      <c r="B93" t="s">
        <v>483</v>
      </c>
      <c r="C93" t="s">
        <v>493</v>
      </c>
      <c r="D93">
        <v>106655388</v>
      </c>
      <c r="E93" t="s">
        <v>640</v>
      </c>
      <c r="F93" t="s">
        <v>486</v>
      </c>
      <c r="G93">
        <v>0.26</v>
      </c>
      <c r="H93">
        <v>2.04</v>
      </c>
      <c r="I93">
        <v>0</v>
      </c>
      <c r="J93">
        <v>0</v>
      </c>
      <c r="K93">
        <v>2.2999999999999998</v>
      </c>
      <c r="L93" t="s">
        <v>487</v>
      </c>
      <c r="M93">
        <v>146</v>
      </c>
      <c r="N93">
        <v>63.37</v>
      </c>
      <c r="O93" t="s">
        <v>60</v>
      </c>
      <c r="P93" t="s">
        <v>488</v>
      </c>
      <c r="Q93">
        <v>586</v>
      </c>
      <c r="R93">
        <v>2220.63</v>
      </c>
    </row>
    <row r="94" spans="1:18" x14ac:dyDescent="0.35">
      <c r="A94" t="s">
        <v>197</v>
      </c>
      <c r="B94" t="s">
        <v>483</v>
      </c>
      <c r="C94" t="s">
        <v>493</v>
      </c>
      <c r="D94">
        <v>106655388</v>
      </c>
      <c r="E94" t="s">
        <v>640</v>
      </c>
      <c r="F94" t="s">
        <v>486</v>
      </c>
      <c r="G94">
        <v>0.26</v>
      </c>
      <c r="H94">
        <v>2.04</v>
      </c>
      <c r="I94">
        <v>0</v>
      </c>
      <c r="J94">
        <v>0</v>
      </c>
      <c r="K94">
        <v>2.2999999999999998</v>
      </c>
      <c r="L94" t="s">
        <v>487</v>
      </c>
      <c r="M94">
        <v>146</v>
      </c>
      <c r="N94">
        <v>63.37</v>
      </c>
      <c r="O94" t="s">
        <v>60</v>
      </c>
      <c r="P94" t="s">
        <v>489</v>
      </c>
      <c r="Q94">
        <v>903</v>
      </c>
      <c r="R94">
        <v>442.71</v>
      </c>
    </row>
    <row r="95" spans="1:18" x14ac:dyDescent="0.35">
      <c r="A95" t="s">
        <v>197</v>
      </c>
      <c r="B95" t="s">
        <v>483</v>
      </c>
      <c r="C95" t="s">
        <v>493</v>
      </c>
      <c r="D95">
        <v>106655388</v>
      </c>
      <c r="E95" t="s">
        <v>640</v>
      </c>
      <c r="F95" t="s">
        <v>486</v>
      </c>
      <c r="G95">
        <v>0.26</v>
      </c>
      <c r="H95">
        <v>2.04</v>
      </c>
      <c r="I95">
        <v>0</v>
      </c>
      <c r="J95">
        <v>0</v>
      </c>
      <c r="K95">
        <v>2.2999999999999998</v>
      </c>
      <c r="L95" t="s">
        <v>487</v>
      </c>
      <c r="M95">
        <v>146</v>
      </c>
      <c r="N95">
        <v>63.37</v>
      </c>
      <c r="O95" t="s">
        <v>60</v>
      </c>
      <c r="P95" t="s">
        <v>490</v>
      </c>
      <c r="Q95">
        <v>0</v>
      </c>
      <c r="R95">
        <v>0</v>
      </c>
    </row>
    <row r="96" spans="1:18" x14ac:dyDescent="0.35">
      <c r="A96" t="s">
        <v>197</v>
      </c>
      <c r="B96" t="s">
        <v>483</v>
      </c>
      <c r="C96" t="s">
        <v>493</v>
      </c>
      <c r="D96">
        <v>106655388</v>
      </c>
      <c r="E96" t="s">
        <v>640</v>
      </c>
      <c r="F96" t="s">
        <v>486</v>
      </c>
      <c r="G96">
        <v>0.26</v>
      </c>
      <c r="H96">
        <v>2.04</v>
      </c>
      <c r="I96">
        <v>0</v>
      </c>
      <c r="J96">
        <v>0</v>
      </c>
      <c r="K96">
        <v>2.2999999999999998</v>
      </c>
      <c r="L96" t="s">
        <v>487</v>
      </c>
      <c r="M96">
        <v>146</v>
      </c>
      <c r="N96">
        <v>63.37</v>
      </c>
      <c r="O96" t="s">
        <v>60</v>
      </c>
      <c r="P96" t="s">
        <v>491</v>
      </c>
      <c r="Q96">
        <v>0</v>
      </c>
      <c r="R96">
        <v>0</v>
      </c>
    </row>
    <row r="97" spans="1:18" x14ac:dyDescent="0.35">
      <c r="A97" t="s">
        <v>197</v>
      </c>
      <c r="B97" t="s">
        <v>483</v>
      </c>
      <c r="C97" t="s">
        <v>493</v>
      </c>
      <c r="D97">
        <v>106655388</v>
      </c>
      <c r="E97" t="s">
        <v>640</v>
      </c>
      <c r="F97" t="s">
        <v>486</v>
      </c>
      <c r="G97">
        <v>0.26</v>
      </c>
      <c r="H97">
        <v>2.04</v>
      </c>
      <c r="I97">
        <v>0</v>
      </c>
      <c r="J97">
        <v>0</v>
      </c>
      <c r="K97">
        <v>2.2999999999999998</v>
      </c>
      <c r="L97" t="s">
        <v>487</v>
      </c>
      <c r="M97">
        <v>146</v>
      </c>
      <c r="N97">
        <v>63.37</v>
      </c>
      <c r="O97" t="s">
        <v>60</v>
      </c>
      <c r="P97" t="s">
        <v>492</v>
      </c>
      <c r="Q97">
        <v>1489</v>
      </c>
      <c r="R97">
        <v>646.29999999999995</v>
      </c>
    </row>
    <row r="98" spans="1:18" x14ac:dyDescent="0.35">
      <c r="A98" t="s">
        <v>197</v>
      </c>
      <c r="B98" t="s">
        <v>483</v>
      </c>
      <c r="C98" t="s">
        <v>493</v>
      </c>
      <c r="D98">
        <v>106655388</v>
      </c>
      <c r="E98" t="s">
        <v>640</v>
      </c>
      <c r="F98" t="s">
        <v>486</v>
      </c>
      <c r="G98">
        <v>0.26</v>
      </c>
      <c r="H98">
        <v>2.04</v>
      </c>
      <c r="I98">
        <v>0</v>
      </c>
      <c r="J98">
        <v>0</v>
      </c>
      <c r="K98">
        <v>2.2999999999999998</v>
      </c>
      <c r="L98" t="s">
        <v>487</v>
      </c>
      <c r="M98">
        <v>146</v>
      </c>
      <c r="N98">
        <v>63.37</v>
      </c>
      <c r="O98" t="s">
        <v>81</v>
      </c>
      <c r="P98" t="s">
        <v>492</v>
      </c>
      <c r="Q98">
        <v>146</v>
      </c>
      <c r="R98">
        <v>63.37</v>
      </c>
    </row>
    <row r="99" spans="1:18" x14ac:dyDescent="0.35">
      <c r="A99" t="s">
        <v>197</v>
      </c>
      <c r="B99" t="s">
        <v>483</v>
      </c>
      <c r="C99" t="s">
        <v>493</v>
      </c>
      <c r="D99">
        <v>106655388</v>
      </c>
      <c r="E99" t="s">
        <v>640</v>
      </c>
      <c r="F99" t="s">
        <v>486</v>
      </c>
      <c r="G99">
        <v>0.26</v>
      </c>
      <c r="H99">
        <v>2.04</v>
      </c>
      <c r="I99">
        <v>0</v>
      </c>
      <c r="J99">
        <v>0</v>
      </c>
      <c r="K99">
        <v>2.2999999999999998</v>
      </c>
      <c r="L99" t="s">
        <v>487</v>
      </c>
      <c r="M99">
        <v>146</v>
      </c>
      <c r="N99">
        <v>63.37</v>
      </c>
      <c r="O99" t="s">
        <v>85</v>
      </c>
      <c r="P99" t="s">
        <v>492</v>
      </c>
      <c r="Q99">
        <v>0</v>
      </c>
      <c r="R99">
        <v>0</v>
      </c>
    </row>
    <row r="100" spans="1:18" x14ac:dyDescent="0.35">
      <c r="A100" t="s">
        <v>197</v>
      </c>
      <c r="B100" t="s">
        <v>483</v>
      </c>
      <c r="C100" t="s">
        <v>484</v>
      </c>
      <c r="D100">
        <v>106660730</v>
      </c>
      <c r="E100" t="s">
        <v>641</v>
      </c>
      <c r="F100" t="s">
        <v>486</v>
      </c>
      <c r="G100">
        <v>0.48</v>
      </c>
      <c r="H100">
        <v>4.88</v>
      </c>
      <c r="I100">
        <v>0.33</v>
      </c>
      <c r="J100">
        <v>0</v>
      </c>
      <c r="K100">
        <v>5.7</v>
      </c>
      <c r="L100" t="s">
        <v>487</v>
      </c>
      <c r="M100">
        <v>180</v>
      </c>
      <c r="N100">
        <v>31.58</v>
      </c>
      <c r="O100" t="s">
        <v>60</v>
      </c>
      <c r="P100" t="s">
        <v>488</v>
      </c>
      <c r="Q100">
        <v>418</v>
      </c>
      <c r="R100">
        <v>863.34</v>
      </c>
    </row>
    <row r="101" spans="1:18" x14ac:dyDescent="0.35">
      <c r="A101" t="s">
        <v>197</v>
      </c>
      <c r="B101" t="s">
        <v>483</v>
      </c>
      <c r="C101" t="s">
        <v>484</v>
      </c>
      <c r="D101">
        <v>106660730</v>
      </c>
      <c r="E101" t="s">
        <v>641</v>
      </c>
      <c r="F101" t="s">
        <v>486</v>
      </c>
      <c r="G101">
        <v>0.48</v>
      </c>
      <c r="H101">
        <v>4.88</v>
      </c>
      <c r="I101">
        <v>0.33</v>
      </c>
      <c r="J101">
        <v>0</v>
      </c>
      <c r="K101">
        <v>5.7</v>
      </c>
      <c r="L101" t="s">
        <v>487</v>
      </c>
      <c r="M101">
        <v>180</v>
      </c>
      <c r="N101">
        <v>31.58</v>
      </c>
      <c r="O101" t="s">
        <v>60</v>
      </c>
      <c r="P101" t="s">
        <v>489</v>
      </c>
      <c r="Q101">
        <v>840</v>
      </c>
      <c r="R101">
        <v>172.09</v>
      </c>
    </row>
    <row r="102" spans="1:18" x14ac:dyDescent="0.35">
      <c r="A102" t="s">
        <v>197</v>
      </c>
      <c r="B102" t="s">
        <v>483</v>
      </c>
      <c r="C102" t="s">
        <v>484</v>
      </c>
      <c r="D102">
        <v>106660730</v>
      </c>
      <c r="E102" t="s">
        <v>641</v>
      </c>
      <c r="F102" t="s">
        <v>486</v>
      </c>
      <c r="G102">
        <v>0.48</v>
      </c>
      <c r="H102">
        <v>4.88</v>
      </c>
      <c r="I102">
        <v>0.33</v>
      </c>
      <c r="J102">
        <v>0</v>
      </c>
      <c r="K102">
        <v>5.7</v>
      </c>
      <c r="L102" t="s">
        <v>487</v>
      </c>
      <c r="M102">
        <v>180</v>
      </c>
      <c r="N102">
        <v>31.58</v>
      </c>
      <c r="O102" t="s">
        <v>60</v>
      </c>
      <c r="P102" t="s">
        <v>490</v>
      </c>
      <c r="Q102">
        <v>44</v>
      </c>
      <c r="R102">
        <v>131.66999999999999</v>
      </c>
    </row>
    <row r="103" spans="1:18" x14ac:dyDescent="0.35">
      <c r="A103" t="s">
        <v>197</v>
      </c>
      <c r="B103" t="s">
        <v>483</v>
      </c>
      <c r="C103" t="s">
        <v>484</v>
      </c>
      <c r="D103">
        <v>106660730</v>
      </c>
      <c r="E103" t="s">
        <v>641</v>
      </c>
      <c r="F103" t="s">
        <v>486</v>
      </c>
      <c r="G103">
        <v>0.48</v>
      </c>
      <c r="H103">
        <v>4.88</v>
      </c>
      <c r="I103">
        <v>0.33</v>
      </c>
      <c r="J103">
        <v>0</v>
      </c>
      <c r="K103">
        <v>5.7</v>
      </c>
      <c r="L103" t="s">
        <v>487</v>
      </c>
      <c r="M103">
        <v>180</v>
      </c>
      <c r="N103">
        <v>31.58</v>
      </c>
      <c r="O103" t="s">
        <v>60</v>
      </c>
      <c r="P103" t="s">
        <v>491</v>
      </c>
      <c r="Q103">
        <v>0</v>
      </c>
      <c r="R103">
        <v>0</v>
      </c>
    </row>
    <row r="104" spans="1:18" x14ac:dyDescent="0.35">
      <c r="A104" t="s">
        <v>197</v>
      </c>
      <c r="B104" t="s">
        <v>483</v>
      </c>
      <c r="C104" t="s">
        <v>484</v>
      </c>
      <c r="D104">
        <v>106660730</v>
      </c>
      <c r="E104" t="s">
        <v>641</v>
      </c>
      <c r="F104" t="s">
        <v>486</v>
      </c>
      <c r="G104">
        <v>0.48</v>
      </c>
      <c r="H104">
        <v>4.88</v>
      </c>
      <c r="I104">
        <v>0.33</v>
      </c>
      <c r="J104">
        <v>0</v>
      </c>
      <c r="K104">
        <v>5.7</v>
      </c>
      <c r="L104" t="s">
        <v>487</v>
      </c>
      <c r="M104">
        <v>180</v>
      </c>
      <c r="N104">
        <v>31.58</v>
      </c>
      <c r="O104" t="s">
        <v>60</v>
      </c>
      <c r="P104" t="s">
        <v>492</v>
      </c>
      <c r="Q104">
        <v>1302</v>
      </c>
      <c r="R104">
        <v>228.42</v>
      </c>
    </row>
    <row r="105" spans="1:18" x14ac:dyDescent="0.35">
      <c r="A105" t="s">
        <v>197</v>
      </c>
      <c r="B105" t="s">
        <v>483</v>
      </c>
      <c r="C105" t="s">
        <v>484</v>
      </c>
      <c r="D105">
        <v>106660730</v>
      </c>
      <c r="E105" t="s">
        <v>641</v>
      </c>
      <c r="F105" t="s">
        <v>486</v>
      </c>
      <c r="G105">
        <v>0.48</v>
      </c>
      <c r="H105">
        <v>4.88</v>
      </c>
      <c r="I105">
        <v>0.33</v>
      </c>
      <c r="J105">
        <v>0</v>
      </c>
      <c r="K105">
        <v>5.7</v>
      </c>
      <c r="L105" t="s">
        <v>487</v>
      </c>
      <c r="M105">
        <v>180</v>
      </c>
      <c r="N105">
        <v>31.58</v>
      </c>
      <c r="O105" t="s">
        <v>81</v>
      </c>
      <c r="P105" t="s">
        <v>492</v>
      </c>
      <c r="Q105">
        <v>180</v>
      </c>
      <c r="R105">
        <v>31.58</v>
      </c>
    </row>
    <row r="106" spans="1:18" x14ac:dyDescent="0.35">
      <c r="A106" t="s">
        <v>197</v>
      </c>
      <c r="B106" t="s">
        <v>483</v>
      </c>
      <c r="C106" t="s">
        <v>484</v>
      </c>
      <c r="D106">
        <v>106660730</v>
      </c>
      <c r="E106" t="s">
        <v>641</v>
      </c>
      <c r="F106" t="s">
        <v>486</v>
      </c>
      <c r="G106">
        <v>0.48</v>
      </c>
      <c r="H106">
        <v>4.88</v>
      </c>
      <c r="I106">
        <v>0.33</v>
      </c>
      <c r="J106">
        <v>0</v>
      </c>
      <c r="K106">
        <v>5.7</v>
      </c>
      <c r="L106" t="s">
        <v>487</v>
      </c>
      <c r="M106">
        <v>180</v>
      </c>
      <c r="N106">
        <v>31.58</v>
      </c>
      <c r="O106" t="s">
        <v>85</v>
      </c>
      <c r="P106" t="s">
        <v>492</v>
      </c>
      <c r="Q106">
        <v>0</v>
      </c>
      <c r="R106">
        <v>0</v>
      </c>
    </row>
    <row r="107" spans="1:18" x14ac:dyDescent="0.35">
      <c r="A107" t="s">
        <v>197</v>
      </c>
      <c r="B107" t="s">
        <v>483</v>
      </c>
      <c r="C107" t="s">
        <v>493</v>
      </c>
      <c r="D107">
        <v>107221179</v>
      </c>
      <c r="E107" t="s">
        <v>500</v>
      </c>
      <c r="F107" t="s">
        <v>486</v>
      </c>
      <c r="G107">
        <v>0.23</v>
      </c>
      <c r="H107">
        <v>5.14</v>
      </c>
      <c r="I107">
        <v>0</v>
      </c>
      <c r="J107">
        <v>0</v>
      </c>
      <c r="K107">
        <v>5.37</v>
      </c>
      <c r="L107" t="s">
        <v>487</v>
      </c>
      <c r="M107">
        <v>226</v>
      </c>
      <c r="N107">
        <v>42.11</v>
      </c>
      <c r="O107" t="s">
        <v>60</v>
      </c>
      <c r="P107" t="s">
        <v>488</v>
      </c>
      <c r="Q107">
        <v>220</v>
      </c>
      <c r="R107">
        <v>961.17</v>
      </c>
    </row>
    <row r="108" spans="1:18" x14ac:dyDescent="0.35">
      <c r="A108" t="s">
        <v>197</v>
      </c>
      <c r="B108" t="s">
        <v>483</v>
      </c>
      <c r="C108" t="s">
        <v>493</v>
      </c>
      <c r="D108">
        <v>107221179</v>
      </c>
      <c r="E108" t="s">
        <v>500</v>
      </c>
      <c r="F108" t="s">
        <v>486</v>
      </c>
      <c r="G108">
        <v>0.23</v>
      </c>
      <c r="H108">
        <v>5.14</v>
      </c>
      <c r="I108">
        <v>0</v>
      </c>
      <c r="J108">
        <v>0</v>
      </c>
      <c r="K108">
        <v>5.37</v>
      </c>
      <c r="L108" t="s">
        <v>487</v>
      </c>
      <c r="M108">
        <v>226</v>
      </c>
      <c r="N108">
        <v>42.11</v>
      </c>
      <c r="O108" t="s">
        <v>60</v>
      </c>
      <c r="P108" t="s">
        <v>489</v>
      </c>
      <c r="Q108">
        <v>984</v>
      </c>
      <c r="R108">
        <v>191.53</v>
      </c>
    </row>
    <row r="109" spans="1:18" x14ac:dyDescent="0.35">
      <c r="A109" t="s">
        <v>197</v>
      </c>
      <c r="B109" t="s">
        <v>483</v>
      </c>
      <c r="C109" t="s">
        <v>493</v>
      </c>
      <c r="D109">
        <v>107221179</v>
      </c>
      <c r="E109" t="s">
        <v>500</v>
      </c>
      <c r="F109" t="s">
        <v>486</v>
      </c>
      <c r="G109">
        <v>0.23</v>
      </c>
      <c r="H109">
        <v>5.14</v>
      </c>
      <c r="I109">
        <v>0</v>
      </c>
      <c r="J109">
        <v>0</v>
      </c>
      <c r="K109">
        <v>5.37</v>
      </c>
      <c r="L109" t="s">
        <v>487</v>
      </c>
      <c r="M109">
        <v>226</v>
      </c>
      <c r="N109">
        <v>42.11</v>
      </c>
      <c r="O109" t="s">
        <v>60</v>
      </c>
      <c r="P109" t="s">
        <v>490</v>
      </c>
      <c r="Q109">
        <v>0</v>
      </c>
      <c r="R109">
        <v>0</v>
      </c>
    </row>
    <row r="110" spans="1:18" x14ac:dyDescent="0.35">
      <c r="A110" t="s">
        <v>197</v>
      </c>
      <c r="B110" t="s">
        <v>483</v>
      </c>
      <c r="C110" t="s">
        <v>493</v>
      </c>
      <c r="D110">
        <v>107221179</v>
      </c>
      <c r="E110" t="s">
        <v>500</v>
      </c>
      <c r="F110" t="s">
        <v>486</v>
      </c>
      <c r="G110">
        <v>0.23</v>
      </c>
      <c r="H110">
        <v>5.14</v>
      </c>
      <c r="I110">
        <v>0</v>
      </c>
      <c r="J110">
        <v>0</v>
      </c>
      <c r="K110">
        <v>5.37</v>
      </c>
      <c r="L110" t="s">
        <v>487</v>
      </c>
      <c r="M110">
        <v>226</v>
      </c>
      <c r="N110">
        <v>42.11</v>
      </c>
      <c r="O110" t="s">
        <v>60</v>
      </c>
      <c r="P110" t="s">
        <v>491</v>
      </c>
      <c r="Q110">
        <v>0</v>
      </c>
      <c r="R110">
        <v>0</v>
      </c>
    </row>
    <row r="111" spans="1:18" x14ac:dyDescent="0.35">
      <c r="A111" t="s">
        <v>197</v>
      </c>
      <c r="B111" t="s">
        <v>483</v>
      </c>
      <c r="C111" t="s">
        <v>493</v>
      </c>
      <c r="D111">
        <v>107221179</v>
      </c>
      <c r="E111" t="s">
        <v>500</v>
      </c>
      <c r="F111" t="s">
        <v>486</v>
      </c>
      <c r="G111">
        <v>0.23</v>
      </c>
      <c r="H111">
        <v>5.14</v>
      </c>
      <c r="I111">
        <v>0</v>
      </c>
      <c r="J111">
        <v>0</v>
      </c>
      <c r="K111">
        <v>5.37</v>
      </c>
      <c r="L111" t="s">
        <v>487</v>
      </c>
      <c r="M111">
        <v>226</v>
      </c>
      <c r="N111">
        <v>42.11</v>
      </c>
      <c r="O111" t="s">
        <v>60</v>
      </c>
      <c r="P111" t="s">
        <v>492</v>
      </c>
      <c r="Q111">
        <v>1204</v>
      </c>
      <c r="R111">
        <v>224.35</v>
      </c>
    </row>
    <row r="112" spans="1:18" x14ac:dyDescent="0.35">
      <c r="A112" t="s">
        <v>197</v>
      </c>
      <c r="B112" t="s">
        <v>483</v>
      </c>
      <c r="C112" t="s">
        <v>493</v>
      </c>
      <c r="D112">
        <v>107221179</v>
      </c>
      <c r="E112" t="s">
        <v>500</v>
      </c>
      <c r="F112" t="s">
        <v>486</v>
      </c>
      <c r="G112">
        <v>0.23</v>
      </c>
      <c r="H112">
        <v>5.14</v>
      </c>
      <c r="I112">
        <v>0</v>
      </c>
      <c r="J112">
        <v>0</v>
      </c>
      <c r="K112">
        <v>5.37</v>
      </c>
      <c r="L112" t="s">
        <v>487</v>
      </c>
      <c r="M112">
        <v>226</v>
      </c>
      <c r="N112">
        <v>42.11</v>
      </c>
      <c r="O112" t="s">
        <v>81</v>
      </c>
      <c r="P112" t="s">
        <v>492</v>
      </c>
      <c r="Q112">
        <v>226</v>
      </c>
      <c r="R112">
        <v>42.11</v>
      </c>
    </row>
    <row r="113" spans="1:18" x14ac:dyDescent="0.35">
      <c r="A113" t="s">
        <v>197</v>
      </c>
      <c r="B113" t="s">
        <v>483</v>
      </c>
      <c r="C113" t="s">
        <v>493</v>
      </c>
      <c r="D113">
        <v>107221179</v>
      </c>
      <c r="E113" t="s">
        <v>500</v>
      </c>
      <c r="F113" t="s">
        <v>486</v>
      </c>
      <c r="G113">
        <v>0.23</v>
      </c>
      <c r="H113">
        <v>5.14</v>
      </c>
      <c r="I113">
        <v>0</v>
      </c>
      <c r="J113">
        <v>0</v>
      </c>
      <c r="K113">
        <v>5.37</v>
      </c>
      <c r="L113" t="s">
        <v>487</v>
      </c>
      <c r="M113">
        <v>226</v>
      </c>
      <c r="N113">
        <v>42.11</v>
      </c>
      <c r="O113" t="s">
        <v>85</v>
      </c>
      <c r="P113" t="s">
        <v>492</v>
      </c>
      <c r="Q113">
        <v>0</v>
      </c>
      <c r="R113">
        <v>0</v>
      </c>
    </row>
    <row r="114" spans="1:18" x14ac:dyDescent="0.35">
      <c r="A114" t="s">
        <v>197</v>
      </c>
      <c r="B114" t="s">
        <v>483</v>
      </c>
      <c r="C114" t="s">
        <v>484</v>
      </c>
      <c r="D114">
        <v>107221222</v>
      </c>
      <c r="E114" t="s">
        <v>501</v>
      </c>
      <c r="F114" t="s">
        <v>486</v>
      </c>
      <c r="G114">
        <v>0.45</v>
      </c>
      <c r="H114">
        <v>9.44</v>
      </c>
      <c r="I114">
        <v>0.15</v>
      </c>
      <c r="J114">
        <v>0</v>
      </c>
      <c r="K114">
        <v>10.029999999999999</v>
      </c>
      <c r="L114" t="s">
        <v>487</v>
      </c>
      <c r="M114">
        <v>446</v>
      </c>
      <c r="N114">
        <v>44.45</v>
      </c>
      <c r="O114" t="s">
        <v>60</v>
      </c>
      <c r="P114" t="s">
        <v>488</v>
      </c>
      <c r="Q114">
        <v>506</v>
      </c>
      <c r="R114">
        <v>1134.25</v>
      </c>
    </row>
    <row r="115" spans="1:18" x14ac:dyDescent="0.35">
      <c r="A115" t="s">
        <v>197</v>
      </c>
      <c r="B115" t="s">
        <v>483</v>
      </c>
      <c r="C115" t="s">
        <v>484</v>
      </c>
      <c r="D115">
        <v>107221222</v>
      </c>
      <c r="E115" t="s">
        <v>501</v>
      </c>
      <c r="F115" t="s">
        <v>486</v>
      </c>
      <c r="G115">
        <v>0.45</v>
      </c>
      <c r="H115">
        <v>9.44</v>
      </c>
      <c r="I115">
        <v>0.15</v>
      </c>
      <c r="J115">
        <v>0</v>
      </c>
      <c r="K115">
        <v>10.029999999999999</v>
      </c>
      <c r="L115" t="s">
        <v>487</v>
      </c>
      <c r="M115">
        <v>446</v>
      </c>
      <c r="N115">
        <v>44.45</v>
      </c>
      <c r="O115" t="s">
        <v>60</v>
      </c>
      <c r="P115" t="s">
        <v>489</v>
      </c>
      <c r="Q115">
        <v>2134</v>
      </c>
      <c r="R115">
        <v>226.14</v>
      </c>
    </row>
    <row r="116" spans="1:18" x14ac:dyDescent="0.35">
      <c r="A116" t="s">
        <v>197</v>
      </c>
      <c r="B116" t="s">
        <v>483</v>
      </c>
      <c r="C116" t="s">
        <v>484</v>
      </c>
      <c r="D116">
        <v>107221222</v>
      </c>
      <c r="E116" t="s">
        <v>501</v>
      </c>
      <c r="F116" t="s">
        <v>486</v>
      </c>
      <c r="G116">
        <v>0.45</v>
      </c>
      <c r="H116">
        <v>9.44</v>
      </c>
      <c r="I116">
        <v>0.15</v>
      </c>
      <c r="J116">
        <v>0</v>
      </c>
      <c r="K116">
        <v>10.029999999999999</v>
      </c>
      <c r="L116" t="s">
        <v>487</v>
      </c>
      <c r="M116">
        <v>446</v>
      </c>
      <c r="N116">
        <v>44.45</v>
      </c>
      <c r="O116" t="s">
        <v>60</v>
      </c>
      <c r="P116" t="s">
        <v>490</v>
      </c>
      <c r="Q116">
        <v>26</v>
      </c>
      <c r="R116">
        <v>173.01</v>
      </c>
    </row>
    <row r="117" spans="1:18" x14ac:dyDescent="0.35">
      <c r="A117" t="s">
        <v>197</v>
      </c>
      <c r="B117" t="s">
        <v>483</v>
      </c>
      <c r="C117" t="s">
        <v>484</v>
      </c>
      <c r="D117">
        <v>107221222</v>
      </c>
      <c r="E117" t="s">
        <v>501</v>
      </c>
      <c r="F117" t="s">
        <v>486</v>
      </c>
      <c r="G117">
        <v>0.45</v>
      </c>
      <c r="H117">
        <v>9.44</v>
      </c>
      <c r="I117">
        <v>0.15</v>
      </c>
      <c r="J117">
        <v>0</v>
      </c>
      <c r="K117">
        <v>10.029999999999999</v>
      </c>
      <c r="L117" t="s">
        <v>487</v>
      </c>
      <c r="M117">
        <v>446</v>
      </c>
      <c r="N117">
        <v>44.45</v>
      </c>
      <c r="O117" t="s">
        <v>60</v>
      </c>
      <c r="P117" t="s">
        <v>491</v>
      </c>
      <c r="Q117">
        <v>0</v>
      </c>
      <c r="R117">
        <v>0</v>
      </c>
    </row>
    <row r="118" spans="1:18" x14ac:dyDescent="0.35">
      <c r="A118" t="s">
        <v>197</v>
      </c>
      <c r="B118" t="s">
        <v>483</v>
      </c>
      <c r="C118" t="s">
        <v>484</v>
      </c>
      <c r="D118">
        <v>107221222</v>
      </c>
      <c r="E118" t="s">
        <v>501</v>
      </c>
      <c r="F118" t="s">
        <v>486</v>
      </c>
      <c r="G118">
        <v>0.45</v>
      </c>
      <c r="H118">
        <v>9.44</v>
      </c>
      <c r="I118">
        <v>0.15</v>
      </c>
      <c r="J118">
        <v>0</v>
      </c>
      <c r="K118">
        <v>10.029999999999999</v>
      </c>
      <c r="L118" t="s">
        <v>487</v>
      </c>
      <c r="M118">
        <v>446</v>
      </c>
      <c r="N118">
        <v>44.45</v>
      </c>
      <c r="O118" t="s">
        <v>60</v>
      </c>
      <c r="P118" t="s">
        <v>492</v>
      </c>
      <c r="Q118">
        <v>2666</v>
      </c>
      <c r="R118">
        <v>265.70999999999998</v>
      </c>
    </row>
    <row r="119" spans="1:18" x14ac:dyDescent="0.35">
      <c r="A119" t="s">
        <v>197</v>
      </c>
      <c r="B119" t="s">
        <v>483</v>
      </c>
      <c r="C119" t="s">
        <v>484</v>
      </c>
      <c r="D119">
        <v>107221222</v>
      </c>
      <c r="E119" t="s">
        <v>501</v>
      </c>
      <c r="F119" t="s">
        <v>486</v>
      </c>
      <c r="G119">
        <v>0.45</v>
      </c>
      <c r="H119">
        <v>9.44</v>
      </c>
      <c r="I119">
        <v>0.15</v>
      </c>
      <c r="J119">
        <v>0</v>
      </c>
      <c r="K119">
        <v>10.029999999999999</v>
      </c>
      <c r="L119" t="s">
        <v>487</v>
      </c>
      <c r="M119">
        <v>446</v>
      </c>
      <c r="N119">
        <v>44.45</v>
      </c>
      <c r="O119" t="s">
        <v>81</v>
      </c>
      <c r="P119" t="s">
        <v>492</v>
      </c>
      <c r="Q119">
        <v>446</v>
      </c>
      <c r="R119">
        <v>44.45</v>
      </c>
    </row>
    <row r="120" spans="1:18" x14ac:dyDescent="0.35">
      <c r="A120" t="s">
        <v>197</v>
      </c>
      <c r="B120" t="s">
        <v>483</v>
      </c>
      <c r="C120" t="s">
        <v>484</v>
      </c>
      <c r="D120">
        <v>107221222</v>
      </c>
      <c r="E120" t="s">
        <v>501</v>
      </c>
      <c r="F120" t="s">
        <v>486</v>
      </c>
      <c r="G120">
        <v>0.45</v>
      </c>
      <c r="H120">
        <v>9.44</v>
      </c>
      <c r="I120">
        <v>0.15</v>
      </c>
      <c r="J120">
        <v>0</v>
      </c>
      <c r="K120">
        <v>10.029999999999999</v>
      </c>
      <c r="L120" t="s">
        <v>487</v>
      </c>
      <c r="M120">
        <v>446</v>
      </c>
      <c r="N120">
        <v>44.45</v>
      </c>
      <c r="O120" t="s">
        <v>85</v>
      </c>
      <c r="P120" t="s">
        <v>492</v>
      </c>
      <c r="Q120">
        <v>0</v>
      </c>
      <c r="R120">
        <v>0</v>
      </c>
    </row>
    <row r="121" spans="1:18" x14ac:dyDescent="0.35">
      <c r="A121" t="s">
        <v>197</v>
      </c>
      <c r="B121" t="s">
        <v>483</v>
      </c>
      <c r="C121" t="s">
        <v>493</v>
      </c>
      <c r="D121">
        <v>107221237</v>
      </c>
      <c r="E121" t="s">
        <v>527</v>
      </c>
      <c r="F121" t="s">
        <v>486</v>
      </c>
      <c r="G121">
        <v>0.81</v>
      </c>
      <c r="H121">
        <v>8.8699999999999992</v>
      </c>
      <c r="I121">
        <v>0</v>
      </c>
      <c r="J121">
        <v>0</v>
      </c>
      <c r="K121">
        <v>9.68</v>
      </c>
      <c r="L121" t="s">
        <v>487</v>
      </c>
      <c r="M121">
        <v>263</v>
      </c>
      <c r="N121">
        <v>27.16</v>
      </c>
      <c r="O121" t="s">
        <v>60</v>
      </c>
      <c r="P121" t="s">
        <v>488</v>
      </c>
      <c r="Q121">
        <v>970</v>
      </c>
      <c r="R121">
        <v>1192.6199999999999</v>
      </c>
    </row>
    <row r="122" spans="1:18" x14ac:dyDescent="0.35">
      <c r="A122" t="s">
        <v>197</v>
      </c>
      <c r="B122" t="s">
        <v>483</v>
      </c>
      <c r="C122" t="s">
        <v>493</v>
      </c>
      <c r="D122">
        <v>107221237</v>
      </c>
      <c r="E122" t="s">
        <v>527</v>
      </c>
      <c r="F122" t="s">
        <v>486</v>
      </c>
      <c r="G122">
        <v>0.81</v>
      </c>
      <c r="H122">
        <v>8.8699999999999992</v>
      </c>
      <c r="I122">
        <v>0</v>
      </c>
      <c r="J122">
        <v>0</v>
      </c>
      <c r="K122">
        <v>9.68</v>
      </c>
      <c r="L122" t="s">
        <v>487</v>
      </c>
      <c r="M122">
        <v>263</v>
      </c>
      <c r="N122">
        <v>27.16</v>
      </c>
      <c r="O122" t="s">
        <v>60</v>
      </c>
      <c r="P122" t="s">
        <v>489</v>
      </c>
      <c r="Q122">
        <v>2109</v>
      </c>
      <c r="R122">
        <v>237.8</v>
      </c>
    </row>
    <row r="123" spans="1:18" x14ac:dyDescent="0.35">
      <c r="A123" t="s">
        <v>197</v>
      </c>
      <c r="B123" t="s">
        <v>483</v>
      </c>
      <c r="C123" t="s">
        <v>493</v>
      </c>
      <c r="D123">
        <v>107221237</v>
      </c>
      <c r="E123" t="s">
        <v>527</v>
      </c>
      <c r="F123" t="s">
        <v>486</v>
      </c>
      <c r="G123">
        <v>0.81</v>
      </c>
      <c r="H123">
        <v>8.8699999999999992</v>
      </c>
      <c r="I123">
        <v>0</v>
      </c>
      <c r="J123">
        <v>0</v>
      </c>
      <c r="K123">
        <v>9.68</v>
      </c>
      <c r="L123" t="s">
        <v>487</v>
      </c>
      <c r="M123">
        <v>263</v>
      </c>
      <c r="N123">
        <v>27.16</v>
      </c>
      <c r="O123" t="s">
        <v>60</v>
      </c>
      <c r="P123" t="s">
        <v>490</v>
      </c>
      <c r="Q123">
        <v>0</v>
      </c>
      <c r="R123">
        <v>0</v>
      </c>
    </row>
    <row r="124" spans="1:18" x14ac:dyDescent="0.35">
      <c r="A124" t="s">
        <v>197</v>
      </c>
      <c r="B124" t="s">
        <v>483</v>
      </c>
      <c r="C124" t="s">
        <v>493</v>
      </c>
      <c r="D124">
        <v>107221237</v>
      </c>
      <c r="E124" t="s">
        <v>527</v>
      </c>
      <c r="F124" t="s">
        <v>486</v>
      </c>
      <c r="G124">
        <v>0.81</v>
      </c>
      <c r="H124">
        <v>8.8699999999999992</v>
      </c>
      <c r="I124">
        <v>0</v>
      </c>
      <c r="J124">
        <v>0</v>
      </c>
      <c r="K124">
        <v>9.68</v>
      </c>
      <c r="L124" t="s">
        <v>487</v>
      </c>
      <c r="M124">
        <v>263</v>
      </c>
      <c r="N124">
        <v>27.16</v>
      </c>
      <c r="O124" t="s">
        <v>60</v>
      </c>
      <c r="P124" t="s">
        <v>491</v>
      </c>
      <c r="Q124">
        <v>0</v>
      </c>
      <c r="R124">
        <v>0</v>
      </c>
    </row>
    <row r="125" spans="1:18" x14ac:dyDescent="0.35">
      <c r="A125" t="s">
        <v>197</v>
      </c>
      <c r="B125" t="s">
        <v>483</v>
      </c>
      <c r="C125" t="s">
        <v>493</v>
      </c>
      <c r="D125">
        <v>107221237</v>
      </c>
      <c r="E125" t="s">
        <v>527</v>
      </c>
      <c r="F125" t="s">
        <v>486</v>
      </c>
      <c r="G125">
        <v>0.81</v>
      </c>
      <c r="H125">
        <v>8.8699999999999992</v>
      </c>
      <c r="I125">
        <v>0</v>
      </c>
      <c r="J125">
        <v>0</v>
      </c>
      <c r="K125">
        <v>9.68</v>
      </c>
      <c r="L125" t="s">
        <v>487</v>
      </c>
      <c r="M125">
        <v>263</v>
      </c>
      <c r="N125">
        <v>27.16</v>
      </c>
      <c r="O125" t="s">
        <v>60</v>
      </c>
      <c r="P125" t="s">
        <v>492</v>
      </c>
      <c r="Q125">
        <v>3079</v>
      </c>
      <c r="R125">
        <v>318</v>
      </c>
    </row>
    <row r="126" spans="1:18" x14ac:dyDescent="0.35">
      <c r="A126" t="s">
        <v>197</v>
      </c>
      <c r="B126" t="s">
        <v>483</v>
      </c>
      <c r="C126" t="s">
        <v>493</v>
      </c>
      <c r="D126">
        <v>107221237</v>
      </c>
      <c r="E126" t="s">
        <v>527</v>
      </c>
      <c r="F126" t="s">
        <v>486</v>
      </c>
      <c r="G126">
        <v>0.81</v>
      </c>
      <c r="H126">
        <v>8.8699999999999992</v>
      </c>
      <c r="I126">
        <v>0</v>
      </c>
      <c r="J126">
        <v>0</v>
      </c>
      <c r="K126">
        <v>9.68</v>
      </c>
      <c r="L126" t="s">
        <v>487</v>
      </c>
      <c r="M126">
        <v>263</v>
      </c>
      <c r="N126">
        <v>27.16</v>
      </c>
      <c r="O126" t="s">
        <v>81</v>
      </c>
      <c r="P126" t="s">
        <v>492</v>
      </c>
      <c r="Q126">
        <v>263</v>
      </c>
      <c r="R126">
        <v>27.16</v>
      </c>
    </row>
    <row r="127" spans="1:18" x14ac:dyDescent="0.35">
      <c r="A127" t="s">
        <v>197</v>
      </c>
      <c r="B127" t="s">
        <v>483</v>
      </c>
      <c r="C127" t="s">
        <v>493</v>
      </c>
      <c r="D127">
        <v>107221237</v>
      </c>
      <c r="E127" t="s">
        <v>527</v>
      </c>
      <c r="F127" t="s">
        <v>486</v>
      </c>
      <c r="G127">
        <v>0.81</v>
      </c>
      <c r="H127">
        <v>8.8699999999999992</v>
      </c>
      <c r="I127">
        <v>0</v>
      </c>
      <c r="J127">
        <v>0</v>
      </c>
      <c r="K127">
        <v>9.68</v>
      </c>
      <c r="L127" t="s">
        <v>487</v>
      </c>
      <c r="M127">
        <v>263</v>
      </c>
      <c r="N127">
        <v>27.16</v>
      </c>
      <c r="O127" t="s">
        <v>85</v>
      </c>
      <c r="P127" t="s">
        <v>492</v>
      </c>
      <c r="Q127">
        <v>0</v>
      </c>
      <c r="R127">
        <v>0</v>
      </c>
    </row>
    <row r="128" spans="1:18" x14ac:dyDescent="0.35">
      <c r="A128" t="s">
        <v>197</v>
      </c>
      <c r="B128" t="s">
        <v>483</v>
      </c>
      <c r="C128" t="s">
        <v>484</v>
      </c>
      <c r="D128">
        <v>107232917</v>
      </c>
      <c r="E128" t="s">
        <v>503</v>
      </c>
      <c r="F128" t="s">
        <v>486</v>
      </c>
      <c r="G128">
        <v>0.35</v>
      </c>
      <c r="H128">
        <v>5.54</v>
      </c>
      <c r="I128">
        <v>0</v>
      </c>
      <c r="J128">
        <v>0</v>
      </c>
      <c r="K128">
        <v>5.9</v>
      </c>
      <c r="L128" t="s">
        <v>487</v>
      </c>
      <c r="M128">
        <v>269</v>
      </c>
      <c r="N128">
        <v>45.59</v>
      </c>
      <c r="O128" t="s">
        <v>60</v>
      </c>
      <c r="P128" t="s">
        <v>488</v>
      </c>
      <c r="Q128">
        <v>653</v>
      </c>
      <c r="R128">
        <v>1839.44</v>
      </c>
    </row>
    <row r="129" spans="1:18" x14ac:dyDescent="0.35">
      <c r="A129" t="s">
        <v>197</v>
      </c>
      <c r="B129" t="s">
        <v>483</v>
      </c>
      <c r="C129" t="s">
        <v>484</v>
      </c>
      <c r="D129">
        <v>107232917</v>
      </c>
      <c r="E129" t="s">
        <v>503</v>
      </c>
      <c r="F129" t="s">
        <v>486</v>
      </c>
      <c r="G129">
        <v>0.35</v>
      </c>
      <c r="H129">
        <v>5.54</v>
      </c>
      <c r="I129">
        <v>0</v>
      </c>
      <c r="J129">
        <v>0</v>
      </c>
      <c r="K129">
        <v>5.9</v>
      </c>
      <c r="L129" t="s">
        <v>487</v>
      </c>
      <c r="M129">
        <v>269</v>
      </c>
      <c r="N129">
        <v>45.59</v>
      </c>
      <c r="O129" t="s">
        <v>60</v>
      </c>
      <c r="P129" t="s">
        <v>489</v>
      </c>
      <c r="Q129">
        <v>2033</v>
      </c>
      <c r="R129">
        <v>366.65</v>
      </c>
    </row>
    <row r="130" spans="1:18" x14ac:dyDescent="0.35">
      <c r="A130" t="s">
        <v>197</v>
      </c>
      <c r="B130" t="s">
        <v>483</v>
      </c>
      <c r="C130" t="s">
        <v>484</v>
      </c>
      <c r="D130">
        <v>107232917</v>
      </c>
      <c r="E130" t="s">
        <v>503</v>
      </c>
      <c r="F130" t="s">
        <v>486</v>
      </c>
      <c r="G130">
        <v>0.35</v>
      </c>
      <c r="H130">
        <v>5.54</v>
      </c>
      <c r="I130">
        <v>0</v>
      </c>
      <c r="J130">
        <v>0</v>
      </c>
      <c r="K130">
        <v>5.9</v>
      </c>
      <c r="L130" t="s">
        <v>487</v>
      </c>
      <c r="M130">
        <v>269</v>
      </c>
      <c r="N130">
        <v>45.59</v>
      </c>
      <c r="O130" t="s">
        <v>60</v>
      </c>
      <c r="P130" t="s">
        <v>490</v>
      </c>
      <c r="Q130">
        <v>0</v>
      </c>
      <c r="R130">
        <v>0</v>
      </c>
    </row>
    <row r="131" spans="1:18" x14ac:dyDescent="0.35">
      <c r="A131" t="s">
        <v>197</v>
      </c>
      <c r="B131" t="s">
        <v>483</v>
      </c>
      <c r="C131" t="s">
        <v>484</v>
      </c>
      <c r="D131">
        <v>107232917</v>
      </c>
      <c r="E131" t="s">
        <v>503</v>
      </c>
      <c r="F131" t="s">
        <v>486</v>
      </c>
      <c r="G131">
        <v>0.35</v>
      </c>
      <c r="H131">
        <v>5.54</v>
      </c>
      <c r="I131">
        <v>0</v>
      </c>
      <c r="J131">
        <v>0</v>
      </c>
      <c r="K131">
        <v>5.9</v>
      </c>
      <c r="L131" t="s">
        <v>487</v>
      </c>
      <c r="M131">
        <v>269</v>
      </c>
      <c r="N131">
        <v>45.59</v>
      </c>
      <c r="O131" t="s">
        <v>60</v>
      </c>
      <c r="P131" t="s">
        <v>491</v>
      </c>
      <c r="Q131">
        <v>0</v>
      </c>
      <c r="R131">
        <v>0</v>
      </c>
    </row>
    <row r="132" spans="1:18" x14ac:dyDescent="0.35">
      <c r="A132" t="s">
        <v>197</v>
      </c>
      <c r="B132" t="s">
        <v>483</v>
      </c>
      <c r="C132" t="s">
        <v>484</v>
      </c>
      <c r="D132">
        <v>107232917</v>
      </c>
      <c r="E132" t="s">
        <v>503</v>
      </c>
      <c r="F132" t="s">
        <v>486</v>
      </c>
      <c r="G132">
        <v>0.35</v>
      </c>
      <c r="H132">
        <v>5.54</v>
      </c>
      <c r="I132">
        <v>0</v>
      </c>
      <c r="J132">
        <v>0</v>
      </c>
      <c r="K132">
        <v>5.9</v>
      </c>
      <c r="L132" t="s">
        <v>487</v>
      </c>
      <c r="M132">
        <v>269</v>
      </c>
      <c r="N132">
        <v>45.59</v>
      </c>
      <c r="O132" t="s">
        <v>60</v>
      </c>
      <c r="P132" t="s">
        <v>492</v>
      </c>
      <c r="Q132">
        <v>2686</v>
      </c>
      <c r="R132">
        <v>455.25</v>
      </c>
    </row>
    <row r="133" spans="1:18" x14ac:dyDescent="0.35">
      <c r="A133" t="s">
        <v>197</v>
      </c>
      <c r="B133" t="s">
        <v>483</v>
      </c>
      <c r="C133" t="s">
        <v>484</v>
      </c>
      <c r="D133">
        <v>107232917</v>
      </c>
      <c r="E133" t="s">
        <v>503</v>
      </c>
      <c r="F133" t="s">
        <v>486</v>
      </c>
      <c r="G133">
        <v>0.35</v>
      </c>
      <c r="H133">
        <v>5.54</v>
      </c>
      <c r="I133">
        <v>0</v>
      </c>
      <c r="J133">
        <v>0</v>
      </c>
      <c r="K133">
        <v>5.9</v>
      </c>
      <c r="L133" t="s">
        <v>487</v>
      </c>
      <c r="M133">
        <v>269</v>
      </c>
      <c r="N133">
        <v>45.59</v>
      </c>
      <c r="O133" t="s">
        <v>81</v>
      </c>
      <c r="P133" t="s">
        <v>492</v>
      </c>
      <c r="Q133">
        <v>270</v>
      </c>
      <c r="R133">
        <v>45.76</v>
      </c>
    </row>
    <row r="134" spans="1:18" x14ac:dyDescent="0.35">
      <c r="A134" t="s">
        <v>197</v>
      </c>
      <c r="B134" t="s">
        <v>483</v>
      </c>
      <c r="C134" t="s">
        <v>484</v>
      </c>
      <c r="D134">
        <v>107232917</v>
      </c>
      <c r="E134" t="s">
        <v>503</v>
      </c>
      <c r="F134" t="s">
        <v>486</v>
      </c>
      <c r="G134">
        <v>0.35</v>
      </c>
      <c r="H134">
        <v>5.54</v>
      </c>
      <c r="I134">
        <v>0</v>
      </c>
      <c r="J134">
        <v>0</v>
      </c>
      <c r="K134">
        <v>5.9</v>
      </c>
      <c r="L134" t="s">
        <v>487</v>
      </c>
      <c r="M134">
        <v>269</v>
      </c>
      <c r="N134">
        <v>45.59</v>
      </c>
      <c r="O134" t="s">
        <v>85</v>
      </c>
      <c r="P134" t="s">
        <v>492</v>
      </c>
      <c r="Q134">
        <v>0</v>
      </c>
      <c r="R134">
        <v>0</v>
      </c>
    </row>
    <row r="135" spans="1:18" x14ac:dyDescent="0.35">
      <c r="A135" t="s">
        <v>197</v>
      </c>
      <c r="B135" t="s">
        <v>483</v>
      </c>
      <c r="C135" t="s">
        <v>484</v>
      </c>
      <c r="D135">
        <v>107232968</v>
      </c>
      <c r="E135" t="s">
        <v>528</v>
      </c>
      <c r="F135" t="s">
        <v>486</v>
      </c>
      <c r="G135">
        <v>0.27</v>
      </c>
      <c r="H135">
        <v>4.57</v>
      </c>
      <c r="I135">
        <v>0.02</v>
      </c>
      <c r="J135">
        <v>0</v>
      </c>
      <c r="K135">
        <v>4.87</v>
      </c>
      <c r="L135" t="s">
        <v>487</v>
      </c>
      <c r="M135">
        <v>238</v>
      </c>
      <c r="N135">
        <v>48.92</v>
      </c>
      <c r="O135" t="s">
        <v>60</v>
      </c>
      <c r="P135" t="s">
        <v>488</v>
      </c>
      <c r="Q135">
        <v>457</v>
      </c>
      <c r="R135">
        <v>1677.06</v>
      </c>
    </row>
    <row r="136" spans="1:18" x14ac:dyDescent="0.35">
      <c r="A136" t="s">
        <v>197</v>
      </c>
      <c r="B136" t="s">
        <v>483</v>
      </c>
      <c r="C136" t="s">
        <v>484</v>
      </c>
      <c r="D136">
        <v>107232968</v>
      </c>
      <c r="E136" t="s">
        <v>528</v>
      </c>
      <c r="F136" t="s">
        <v>486</v>
      </c>
      <c r="G136">
        <v>0.27</v>
      </c>
      <c r="H136">
        <v>4.57</v>
      </c>
      <c r="I136">
        <v>0.02</v>
      </c>
      <c r="J136">
        <v>0</v>
      </c>
      <c r="K136">
        <v>4.87</v>
      </c>
      <c r="L136" t="s">
        <v>487</v>
      </c>
      <c r="M136">
        <v>238</v>
      </c>
      <c r="N136">
        <v>48.92</v>
      </c>
      <c r="O136" t="s">
        <v>60</v>
      </c>
      <c r="P136" t="s">
        <v>489</v>
      </c>
      <c r="Q136">
        <v>1528</v>
      </c>
      <c r="R136">
        <v>334.42</v>
      </c>
    </row>
    <row r="137" spans="1:18" x14ac:dyDescent="0.35">
      <c r="A137" t="s">
        <v>197</v>
      </c>
      <c r="B137" t="s">
        <v>483</v>
      </c>
      <c r="C137" t="s">
        <v>484</v>
      </c>
      <c r="D137">
        <v>107232968</v>
      </c>
      <c r="E137" t="s">
        <v>528</v>
      </c>
      <c r="F137" t="s">
        <v>486</v>
      </c>
      <c r="G137">
        <v>0.27</v>
      </c>
      <c r="H137">
        <v>4.57</v>
      </c>
      <c r="I137">
        <v>0.02</v>
      </c>
      <c r="J137">
        <v>0</v>
      </c>
      <c r="K137">
        <v>4.87</v>
      </c>
      <c r="L137" t="s">
        <v>487</v>
      </c>
      <c r="M137">
        <v>238</v>
      </c>
      <c r="N137">
        <v>48.92</v>
      </c>
      <c r="O137" t="s">
        <v>60</v>
      </c>
      <c r="P137" t="s">
        <v>490</v>
      </c>
      <c r="Q137">
        <v>6</v>
      </c>
      <c r="R137">
        <v>257.14</v>
      </c>
    </row>
    <row r="138" spans="1:18" x14ac:dyDescent="0.35">
      <c r="A138" t="s">
        <v>197</v>
      </c>
      <c r="B138" t="s">
        <v>483</v>
      </c>
      <c r="C138" t="s">
        <v>484</v>
      </c>
      <c r="D138">
        <v>107232968</v>
      </c>
      <c r="E138" t="s">
        <v>528</v>
      </c>
      <c r="F138" t="s">
        <v>486</v>
      </c>
      <c r="G138">
        <v>0.27</v>
      </c>
      <c r="H138">
        <v>4.57</v>
      </c>
      <c r="I138">
        <v>0.02</v>
      </c>
      <c r="J138">
        <v>0</v>
      </c>
      <c r="K138">
        <v>4.87</v>
      </c>
      <c r="L138" t="s">
        <v>487</v>
      </c>
      <c r="M138">
        <v>238</v>
      </c>
      <c r="N138">
        <v>48.92</v>
      </c>
      <c r="O138" t="s">
        <v>60</v>
      </c>
      <c r="P138" t="s">
        <v>491</v>
      </c>
      <c r="Q138">
        <v>0</v>
      </c>
      <c r="R138">
        <v>0</v>
      </c>
    </row>
    <row r="139" spans="1:18" x14ac:dyDescent="0.35">
      <c r="A139" t="s">
        <v>197</v>
      </c>
      <c r="B139" t="s">
        <v>483</v>
      </c>
      <c r="C139" t="s">
        <v>484</v>
      </c>
      <c r="D139">
        <v>107232968</v>
      </c>
      <c r="E139" t="s">
        <v>528</v>
      </c>
      <c r="F139" t="s">
        <v>486</v>
      </c>
      <c r="G139">
        <v>0.27</v>
      </c>
      <c r="H139">
        <v>4.57</v>
      </c>
      <c r="I139">
        <v>0.02</v>
      </c>
      <c r="J139">
        <v>0</v>
      </c>
      <c r="K139">
        <v>4.87</v>
      </c>
      <c r="L139" t="s">
        <v>487</v>
      </c>
      <c r="M139">
        <v>238</v>
      </c>
      <c r="N139">
        <v>48.92</v>
      </c>
      <c r="O139" t="s">
        <v>60</v>
      </c>
      <c r="P139" t="s">
        <v>492</v>
      </c>
      <c r="Q139">
        <v>1991</v>
      </c>
      <c r="R139">
        <v>409.23</v>
      </c>
    </row>
    <row r="140" spans="1:18" x14ac:dyDescent="0.35">
      <c r="A140" t="s">
        <v>197</v>
      </c>
      <c r="B140" t="s">
        <v>483</v>
      </c>
      <c r="C140" t="s">
        <v>484</v>
      </c>
      <c r="D140">
        <v>107232968</v>
      </c>
      <c r="E140" t="s">
        <v>528</v>
      </c>
      <c r="F140" t="s">
        <v>486</v>
      </c>
      <c r="G140">
        <v>0.27</v>
      </c>
      <c r="H140">
        <v>4.57</v>
      </c>
      <c r="I140">
        <v>0.02</v>
      </c>
      <c r="J140">
        <v>0</v>
      </c>
      <c r="K140">
        <v>4.87</v>
      </c>
      <c r="L140" t="s">
        <v>487</v>
      </c>
      <c r="M140">
        <v>238</v>
      </c>
      <c r="N140">
        <v>48.92</v>
      </c>
      <c r="O140" t="s">
        <v>81</v>
      </c>
      <c r="P140" t="s">
        <v>492</v>
      </c>
      <c r="Q140">
        <v>227</v>
      </c>
      <c r="R140">
        <v>46.66</v>
      </c>
    </row>
    <row r="141" spans="1:18" x14ac:dyDescent="0.35">
      <c r="A141" t="s">
        <v>197</v>
      </c>
      <c r="B141" t="s">
        <v>483</v>
      </c>
      <c r="C141" t="s">
        <v>484</v>
      </c>
      <c r="D141">
        <v>107232968</v>
      </c>
      <c r="E141" t="s">
        <v>528</v>
      </c>
      <c r="F141" t="s">
        <v>486</v>
      </c>
      <c r="G141">
        <v>0.27</v>
      </c>
      <c r="H141">
        <v>4.57</v>
      </c>
      <c r="I141">
        <v>0.02</v>
      </c>
      <c r="J141">
        <v>0</v>
      </c>
      <c r="K141">
        <v>4.87</v>
      </c>
      <c r="L141" t="s">
        <v>487</v>
      </c>
      <c r="M141">
        <v>238</v>
      </c>
      <c r="N141">
        <v>48.92</v>
      </c>
      <c r="O141" t="s">
        <v>85</v>
      </c>
      <c r="P141" t="s">
        <v>492</v>
      </c>
      <c r="Q141">
        <v>11</v>
      </c>
      <c r="R141">
        <v>2.2599999999999998</v>
      </c>
    </row>
    <row r="142" spans="1:18" x14ac:dyDescent="0.35">
      <c r="A142" t="s">
        <v>197</v>
      </c>
      <c r="B142" t="s">
        <v>483</v>
      </c>
      <c r="C142" t="s">
        <v>484</v>
      </c>
      <c r="D142">
        <v>107232971</v>
      </c>
      <c r="E142" t="s">
        <v>504</v>
      </c>
      <c r="F142" t="s">
        <v>486</v>
      </c>
      <c r="G142">
        <v>0.63</v>
      </c>
      <c r="H142">
        <v>4.79</v>
      </c>
      <c r="I142">
        <v>0</v>
      </c>
      <c r="J142">
        <v>0</v>
      </c>
      <c r="K142">
        <v>5.42</v>
      </c>
      <c r="L142" t="s">
        <v>487</v>
      </c>
      <c r="M142">
        <v>207</v>
      </c>
      <c r="N142">
        <v>38.22</v>
      </c>
      <c r="O142" t="s">
        <v>60</v>
      </c>
      <c r="P142" t="s">
        <v>488</v>
      </c>
      <c r="Q142">
        <v>490</v>
      </c>
      <c r="R142">
        <v>777.78</v>
      </c>
    </row>
    <row r="143" spans="1:18" x14ac:dyDescent="0.35">
      <c r="A143" t="s">
        <v>197</v>
      </c>
      <c r="B143" t="s">
        <v>483</v>
      </c>
      <c r="C143" t="s">
        <v>484</v>
      </c>
      <c r="D143">
        <v>107232971</v>
      </c>
      <c r="E143" t="s">
        <v>504</v>
      </c>
      <c r="F143" t="s">
        <v>486</v>
      </c>
      <c r="G143">
        <v>0.63</v>
      </c>
      <c r="H143">
        <v>4.79</v>
      </c>
      <c r="I143">
        <v>0</v>
      </c>
      <c r="J143">
        <v>0</v>
      </c>
      <c r="K143">
        <v>5.42</v>
      </c>
      <c r="L143" t="s">
        <v>487</v>
      </c>
      <c r="M143">
        <v>207</v>
      </c>
      <c r="N143">
        <v>38.22</v>
      </c>
      <c r="O143" t="s">
        <v>60</v>
      </c>
      <c r="P143" t="s">
        <v>489</v>
      </c>
      <c r="Q143">
        <v>742</v>
      </c>
      <c r="R143">
        <v>155.02000000000001</v>
      </c>
    </row>
    <row r="144" spans="1:18" x14ac:dyDescent="0.35">
      <c r="A144" t="s">
        <v>197</v>
      </c>
      <c r="B144" t="s">
        <v>483</v>
      </c>
      <c r="C144" t="s">
        <v>484</v>
      </c>
      <c r="D144">
        <v>107232971</v>
      </c>
      <c r="E144" t="s">
        <v>504</v>
      </c>
      <c r="F144" t="s">
        <v>486</v>
      </c>
      <c r="G144">
        <v>0.63</v>
      </c>
      <c r="H144">
        <v>4.79</v>
      </c>
      <c r="I144">
        <v>0</v>
      </c>
      <c r="J144">
        <v>0</v>
      </c>
      <c r="K144">
        <v>5.42</v>
      </c>
      <c r="L144" t="s">
        <v>487</v>
      </c>
      <c r="M144">
        <v>207</v>
      </c>
      <c r="N144">
        <v>38.22</v>
      </c>
      <c r="O144" t="s">
        <v>60</v>
      </c>
      <c r="P144" t="s">
        <v>490</v>
      </c>
      <c r="Q144">
        <v>0</v>
      </c>
      <c r="R144">
        <v>0</v>
      </c>
    </row>
    <row r="145" spans="1:18" x14ac:dyDescent="0.35">
      <c r="A145" t="s">
        <v>197</v>
      </c>
      <c r="B145" t="s">
        <v>483</v>
      </c>
      <c r="C145" t="s">
        <v>484</v>
      </c>
      <c r="D145">
        <v>107232971</v>
      </c>
      <c r="E145" t="s">
        <v>504</v>
      </c>
      <c r="F145" t="s">
        <v>486</v>
      </c>
      <c r="G145">
        <v>0.63</v>
      </c>
      <c r="H145">
        <v>4.79</v>
      </c>
      <c r="I145">
        <v>0</v>
      </c>
      <c r="J145">
        <v>0</v>
      </c>
      <c r="K145">
        <v>5.42</v>
      </c>
      <c r="L145" t="s">
        <v>487</v>
      </c>
      <c r="M145">
        <v>207</v>
      </c>
      <c r="N145">
        <v>38.22</v>
      </c>
      <c r="O145" t="s">
        <v>60</v>
      </c>
      <c r="P145" t="s">
        <v>491</v>
      </c>
      <c r="Q145">
        <v>0</v>
      </c>
      <c r="R145">
        <v>0</v>
      </c>
    </row>
    <row r="146" spans="1:18" x14ac:dyDescent="0.35">
      <c r="A146" t="s">
        <v>197</v>
      </c>
      <c r="B146" t="s">
        <v>483</v>
      </c>
      <c r="C146" t="s">
        <v>484</v>
      </c>
      <c r="D146">
        <v>107232971</v>
      </c>
      <c r="E146" t="s">
        <v>504</v>
      </c>
      <c r="F146" t="s">
        <v>486</v>
      </c>
      <c r="G146">
        <v>0.63</v>
      </c>
      <c r="H146">
        <v>4.79</v>
      </c>
      <c r="I146">
        <v>0</v>
      </c>
      <c r="J146">
        <v>0</v>
      </c>
      <c r="K146">
        <v>5.42</v>
      </c>
      <c r="L146" t="s">
        <v>487</v>
      </c>
      <c r="M146">
        <v>207</v>
      </c>
      <c r="N146">
        <v>38.22</v>
      </c>
      <c r="O146" t="s">
        <v>60</v>
      </c>
      <c r="P146" t="s">
        <v>492</v>
      </c>
      <c r="Q146">
        <v>1232</v>
      </c>
      <c r="R146">
        <v>227.45</v>
      </c>
    </row>
    <row r="147" spans="1:18" x14ac:dyDescent="0.35">
      <c r="A147" t="s">
        <v>197</v>
      </c>
      <c r="B147" t="s">
        <v>483</v>
      </c>
      <c r="C147" t="s">
        <v>484</v>
      </c>
      <c r="D147">
        <v>107232971</v>
      </c>
      <c r="E147" t="s">
        <v>504</v>
      </c>
      <c r="F147" t="s">
        <v>486</v>
      </c>
      <c r="G147">
        <v>0.63</v>
      </c>
      <c r="H147">
        <v>4.79</v>
      </c>
      <c r="I147">
        <v>0</v>
      </c>
      <c r="J147">
        <v>0</v>
      </c>
      <c r="K147">
        <v>5.42</v>
      </c>
      <c r="L147" t="s">
        <v>487</v>
      </c>
      <c r="M147">
        <v>207</v>
      </c>
      <c r="N147">
        <v>38.22</v>
      </c>
      <c r="O147" t="s">
        <v>81</v>
      </c>
      <c r="P147" t="s">
        <v>492</v>
      </c>
      <c r="Q147">
        <v>207</v>
      </c>
      <c r="R147">
        <v>38.22</v>
      </c>
    </row>
    <row r="148" spans="1:18" x14ac:dyDescent="0.35">
      <c r="A148" t="s">
        <v>197</v>
      </c>
      <c r="B148" t="s">
        <v>483</v>
      </c>
      <c r="C148" t="s">
        <v>484</v>
      </c>
      <c r="D148">
        <v>107232971</v>
      </c>
      <c r="E148" t="s">
        <v>504</v>
      </c>
      <c r="F148" t="s">
        <v>486</v>
      </c>
      <c r="G148">
        <v>0.63</v>
      </c>
      <c r="H148">
        <v>4.79</v>
      </c>
      <c r="I148">
        <v>0</v>
      </c>
      <c r="J148">
        <v>0</v>
      </c>
      <c r="K148">
        <v>5.42</v>
      </c>
      <c r="L148" t="s">
        <v>487</v>
      </c>
      <c r="M148">
        <v>207</v>
      </c>
      <c r="N148">
        <v>38.22</v>
      </c>
      <c r="O148" t="s">
        <v>85</v>
      </c>
      <c r="P148" t="s">
        <v>492</v>
      </c>
      <c r="Q148">
        <v>0</v>
      </c>
      <c r="R148">
        <v>0</v>
      </c>
    </row>
    <row r="149" spans="1:18" x14ac:dyDescent="0.35">
      <c r="A149" t="s">
        <v>197</v>
      </c>
      <c r="B149" t="s">
        <v>483</v>
      </c>
      <c r="C149" t="s">
        <v>484</v>
      </c>
      <c r="D149">
        <v>107233200</v>
      </c>
      <c r="E149" t="s">
        <v>506</v>
      </c>
      <c r="F149" t="s">
        <v>486</v>
      </c>
      <c r="G149">
        <v>0.57999999999999996</v>
      </c>
      <c r="H149">
        <v>6.81</v>
      </c>
      <c r="I149">
        <v>0</v>
      </c>
      <c r="J149">
        <v>0</v>
      </c>
      <c r="K149">
        <v>7.39</v>
      </c>
      <c r="L149" t="s">
        <v>487</v>
      </c>
      <c r="M149">
        <v>248</v>
      </c>
      <c r="N149">
        <v>33.56</v>
      </c>
      <c r="O149" t="s">
        <v>60</v>
      </c>
      <c r="P149" t="s">
        <v>488</v>
      </c>
      <c r="Q149">
        <v>794</v>
      </c>
      <c r="R149">
        <v>1379.54</v>
      </c>
    </row>
    <row r="150" spans="1:18" x14ac:dyDescent="0.35">
      <c r="A150" t="s">
        <v>197</v>
      </c>
      <c r="B150" t="s">
        <v>483</v>
      </c>
      <c r="C150" t="s">
        <v>484</v>
      </c>
      <c r="D150">
        <v>107233200</v>
      </c>
      <c r="E150" t="s">
        <v>506</v>
      </c>
      <c r="F150" t="s">
        <v>486</v>
      </c>
      <c r="G150">
        <v>0.57999999999999996</v>
      </c>
      <c r="H150">
        <v>6.81</v>
      </c>
      <c r="I150">
        <v>0</v>
      </c>
      <c r="J150">
        <v>0</v>
      </c>
      <c r="K150">
        <v>7.39</v>
      </c>
      <c r="L150" t="s">
        <v>487</v>
      </c>
      <c r="M150">
        <v>248</v>
      </c>
      <c r="N150">
        <v>33.56</v>
      </c>
      <c r="O150" t="s">
        <v>60</v>
      </c>
      <c r="P150" t="s">
        <v>489</v>
      </c>
      <c r="Q150">
        <v>1874</v>
      </c>
      <c r="R150">
        <v>275</v>
      </c>
    </row>
    <row r="151" spans="1:18" x14ac:dyDescent="0.35">
      <c r="A151" t="s">
        <v>197</v>
      </c>
      <c r="B151" t="s">
        <v>483</v>
      </c>
      <c r="C151" t="s">
        <v>484</v>
      </c>
      <c r="D151">
        <v>107233200</v>
      </c>
      <c r="E151" t="s">
        <v>506</v>
      </c>
      <c r="F151" t="s">
        <v>486</v>
      </c>
      <c r="G151">
        <v>0.57999999999999996</v>
      </c>
      <c r="H151">
        <v>6.81</v>
      </c>
      <c r="I151">
        <v>0</v>
      </c>
      <c r="J151">
        <v>0</v>
      </c>
      <c r="K151">
        <v>7.39</v>
      </c>
      <c r="L151" t="s">
        <v>487</v>
      </c>
      <c r="M151">
        <v>248</v>
      </c>
      <c r="N151">
        <v>33.56</v>
      </c>
      <c r="O151" t="s">
        <v>60</v>
      </c>
      <c r="P151" t="s">
        <v>490</v>
      </c>
      <c r="Q151">
        <v>0</v>
      </c>
      <c r="R151">
        <v>0</v>
      </c>
    </row>
    <row r="152" spans="1:18" x14ac:dyDescent="0.35">
      <c r="A152" t="s">
        <v>197</v>
      </c>
      <c r="B152" t="s">
        <v>483</v>
      </c>
      <c r="C152" t="s">
        <v>484</v>
      </c>
      <c r="D152">
        <v>107233200</v>
      </c>
      <c r="E152" t="s">
        <v>506</v>
      </c>
      <c r="F152" t="s">
        <v>486</v>
      </c>
      <c r="G152">
        <v>0.57999999999999996</v>
      </c>
      <c r="H152">
        <v>6.81</v>
      </c>
      <c r="I152">
        <v>0</v>
      </c>
      <c r="J152">
        <v>0</v>
      </c>
      <c r="K152">
        <v>7.39</v>
      </c>
      <c r="L152" t="s">
        <v>487</v>
      </c>
      <c r="M152">
        <v>248</v>
      </c>
      <c r="N152">
        <v>33.56</v>
      </c>
      <c r="O152" t="s">
        <v>60</v>
      </c>
      <c r="P152" t="s">
        <v>491</v>
      </c>
      <c r="Q152">
        <v>0</v>
      </c>
      <c r="R152">
        <v>0</v>
      </c>
    </row>
    <row r="153" spans="1:18" x14ac:dyDescent="0.35">
      <c r="A153" t="s">
        <v>197</v>
      </c>
      <c r="B153" t="s">
        <v>483</v>
      </c>
      <c r="C153" t="s">
        <v>484</v>
      </c>
      <c r="D153">
        <v>107233200</v>
      </c>
      <c r="E153" t="s">
        <v>506</v>
      </c>
      <c r="F153" t="s">
        <v>486</v>
      </c>
      <c r="G153">
        <v>0.57999999999999996</v>
      </c>
      <c r="H153">
        <v>6.81</v>
      </c>
      <c r="I153">
        <v>0</v>
      </c>
      <c r="J153">
        <v>0</v>
      </c>
      <c r="K153">
        <v>7.39</v>
      </c>
      <c r="L153" t="s">
        <v>487</v>
      </c>
      <c r="M153">
        <v>248</v>
      </c>
      <c r="N153">
        <v>33.56</v>
      </c>
      <c r="O153" t="s">
        <v>60</v>
      </c>
      <c r="P153" t="s">
        <v>492</v>
      </c>
      <c r="Q153">
        <v>2668</v>
      </c>
      <c r="R153">
        <v>361.01</v>
      </c>
    </row>
    <row r="154" spans="1:18" x14ac:dyDescent="0.35">
      <c r="A154" t="s">
        <v>197</v>
      </c>
      <c r="B154" t="s">
        <v>483</v>
      </c>
      <c r="C154" t="s">
        <v>484</v>
      </c>
      <c r="D154">
        <v>107233200</v>
      </c>
      <c r="E154" t="s">
        <v>506</v>
      </c>
      <c r="F154" t="s">
        <v>486</v>
      </c>
      <c r="G154">
        <v>0.57999999999999996</v>
      </c>
      <c r="H154">
        <v>6.81</v>
      </c>
      <c r="I154">
        <v>0</v>
      </c>
      <c r="J154">
        <v>0</v>
      </c>
      <c r="K154">
        <v>7.39</v>
      </c>
      <c r="L154" t="s">
        <v>487</v>
      </c>
      <c r="M154">
        <v>248</v>
      </c>
      <c r="N154">
        <v>33.56</v>
      </c>
      <c r="O154" t="s">
        <v>81</v>
      </c>
      <c r="P154" t="s">
        <v>492</v>
      </c>
      <c r="Q154">
        <v>248</v>
      </c>
      <c r="R154">
        <v>33.56</v>
      </c>
    </row>
    <row r="155" spans="1:18" x14ac:dyDescent="0.35">
      <c r="A155" t="s">
        <v>197</v>
      </c>
      <c r="B155" t="s">
        <v>483</v>
      </c>
      <c r="C155" t="s">
        <v>484</v>
      </c>
      <c r="D155">
        <v>107233200</v>
      </c>
      <c r="E155" t="s">
        <v>506</v>
      </c>
      <c r="F155" t="s">
        <v>486</v>
      </c>
      <c r="G155">
        <v>0.57999999999999996</v>
      </c>
      <c r="H155">
        <v>6.81</v>
      </c>
      <c r="I155">
        <v>0</v>
      </c>
      <c r="J155">
        <v>0</v>
      </c>
      <c r="K155">
        <v>7.39</v>
      </c>
      <c r="L155" t="s">
        <v>487</v>
      </c>
      <c r="M155">
        <v>248</v>
      </c>
      <c r="N155">
        <v>33.56</v>
      </c>
      <c r="O155" t="s">
        <v>85</v>
      </c>
      <c r="P155" t="s">
        <v>492</v>
      </c>
      <c r="Q155">
        <v>0</v>
      </c>
      <c r="R155">
        <v>0</v>
      </c>
    </row>
    <row r="156" spans="1:18" x14ac:dyDescent="0.35">
      <c r="A156" t="s">
        <v>197</v>
      </c>
      <c r="B156" t="s">
        <v>483</v>
      </c>
      <c r="C156" t="s">
        <v>484</v>
      </c>
      <c r="D156">
        <v>107264616</v>
      </c>
      <c r="E156" t="s">
        <v>507</v>
      </c>
      <c r="F156" t="s">
        <v>486</v>
      </c>
      <c r="G156">
        <v>0.19</v>
      </c>
      <c r="H156">
        <v>3.47</v>
      </c>
      <c r="I156">
        <v>0</v>
      </c>
      <c r="J156">
        <v>0</v>
      </c>
      <c r="K156">
        <v>3.66</v>
      </c>
      <c r="L156" t="s">
        <v>487</v>
      </c>
      <c r="M156">
        <v>170</v>
      </c>
      <c r="N156">
        <v>46.43</v>
      </c>
      <c r="O156" t="s">
        <v>60</v>
      </c>
      <c r="P156" t="s">
        <v>488</v>
      </c>
      <c r="Q156">
        <v>454</v>
      </c>
      <c r="R156">
        <v>2331.5300000000002</v>
      </c>
    </row>
    <row r="157" spans="1:18" x14ac:dyDescent="0.35">
      <c r="A157" t="s">
        <v>197</v>
      </c>
      <c r="B157" t="s">
        <v>483</v>
      </c>
      <c r="C157" t="s">
        <v>484</v>
      </c>
      <c r="D157">
        <v>107264616</v>
      </c>
      <c r="E157" t="s">
        <v>507</v>
      </c>
      <c r="F157" t="s">
        <v>486</v>
      </c>
      <c r="G157">
        <v>0.19</v>
      </c>
      <c r="H157">
        <v>3.47</v>
      </c>
      <c r="I157">
        <v>0</v>
      </c>
      <c r="J157">
        <v>0</v>
      </c>
      <c r="K157">
        <v>3.66</v>
      </c>
      <c r="L157" t="s">
        <v>487</v>
      </c>
      <c r="M157">
        <v>170</v>
      </c>
      <c r="N157">
        <v>46.43</v>
      </c>
      <c r="O157" t="s">
        <v>60</v>
      </c>
      <c r="P157" t="s">
        <v>489</v>
      </c>
      <c r="Q157">
        <v>1610</v>
      </c>
      <c r="R157">
        <v>464.46</v>
      </c>
    </row>
    <row r="158" spans="1:18" x14ac:dyDescent="0.35">
      <c r="A158" t="s">
        <v>197</v>
      </c>
      <c r="B158" t="s">
        <v>483</v>
      </c>
      <c r="C158" t="s">
        <v>484</v>
      </c>
      <c r="D158">
        <v>107264616</v>
      </c>
      <c r="E158" t="s">
        <v>507</v>
      </c>
      <c r="F158" t="s">
        <v>486</v>
      </c>
      <c r="G158">
        <v>0.19</v>
      </c>
      <c r="H158">
        <v>3.47</v>
      </c>
      <c r="I158">
        <v>0</v>
      </c>
      <c r="J158">
        <v>0</v>
      </c>
      <c r="K158">
        <v>3.66</v>
      </c>
      <c r="L158" t="s">
        <v>487</v>
      </c>
      <c r="M158">
        <v>170</v>
      </c>
      <c r="N158">
        <v>46.43</v>
      </c>
      <c r="O158" t="s">
        <v>60</v>
      </c>
      <c r="P158" t="s">
        <v>490</v>
      </c>
      <c r="Q158">
        <v>0</v>
      </c>
      <c r="R158">
        <v>0</v>
      </c>
    </row>
    <row r="159" spans="1:18" x14ac:dyDescent="0.35">
      <c r="A159" t="s">
        <v>197</v>
      </c>
      <c r="B159" t="s">
        <v>483</v>
      </c>
      <c r="C159" t="s">
        <v>484</v>
      </c>
      <c r="D159">
        <v>107264616</v>
      </c>
      <c r="E159" t="s">
        <v>507</v>
      </c>
      <c r="F159" t="s">
        <v>486</v>
      </c>
      <c r="G159">
        <v>0.19</v>
      </c>
      <c r="H159">
        <v>3.47</v>
      </c>
      <c r="I159">
        <v>0</v>
      </c>
      <c r="J159">
        <v>0</v>
      </c>
      <c r="K159">
        <v>3.66</v>
      </c>
      <c r="L159" t="s">
        <v>487</v>
      </c>
      <c r="M159">
        <v>170</v>
      </c>
      <c r="N159">
        <v>46.43</v>
      </c>
      <c r="O159" t="s">
        <v>60</v>
      </c>
      <c r="P159" t="s">
        <v>491</v>
      </c>
      <c r="Q159">
        <v>0</v>
      </c>
      <c r="R159">
        <v>0</v>
      </c>
    </row>
    <row r="160" spans="1:18" x14ac:dyDescent="0.35">
      <c r="A160" t="s">
        <v>197</v>
      </c>
      <c r="B160" t="s">
        <v>483</v>
      </c>
      <c r="C160" t="s">
        <v>484</v>
      </c>
      <c r="D160">
        <v>107264616</v>
      </c>
      <c r="E160" t="s">
        <v>507</v>
      </c>
      <c r="F160" t="s">
        <v>486</v>
      </c>
      <c r="G160">
        <v>0.19</v>
      </c>
      <c r="H160">
        <v>3.47</v>
      </c>
      <c r="I160">
        <v>0</v>
      </c>
      <c r="J160">
        <v>0</v>
      </c>
      <c r="K160">
        <v>3.66</v>
      </c>
      <c r="L160" t="s">
        <v>487</v>
      </c>
      <c r="M160">
        <v>170</v>
      </c>
      <c r="N160">
        <v>46.43</v>
      </c>
      <c r="O160" t="s">
        <v>60</v>
      </c>
      <c r="P160" t="s">
        <v>492</v>
      </c>
      <c r="Q160">
        <v>2064</v>
      </c>
      <c r="R160">
        <v>563.72</v>
      </c>
    </row>
    <row r="161" spans="1:18" x14ac:dyDescent="0.35">
      <c r="A161" t="s">
        <v>197</v>
      </c>
      <c r="B161" t="s">
        <v>483</v>
      </c>
      <c r="C161" t="s">
        <v>484</v>
      </c>
      <c r="D161">
        <v>107264616</v>
      </c>
      <c r="E161" t="s">
        <v>507</v>
      </c>
      <c r="F161" t="s">
        <v>486</v>
      </c>
      <c r="G161">
        <v>0.19</v>
      </c>
      <c r="H161">
        <v>3.47</v>
      </c>
      <c r="I161">
        <v>0</v>
      </c>
      <c r="J161">
        <v>0</v>
      </c>
      <c r="K161">
        <v>3.66</v>
      </c>
      <c r="L161" t="s">
        <v>487</v>
      </c>
      <c r="M161">
        <v>170</v>
      </c>
      <c r="N161">
        <v>46.43</v>
      </c>
      <c r="O161" t="s">
        <v>81</v>
      </c>
      <c r="P161" t="s">
        <v>492</v>
      </c>
      <c r="Q161">
        <v>170</v>
      </c>
      <c r="R161">
        <v>46.43</v>
      </c>
    </row>
    <row r="162" spans="1:18" x14ac:dyDescent="0.35">
      <c r="A162" t="s">
        <v>197</v>
      </c>
      <c r="B162" t="s">
        <v>483</v>
      </c>
      <c r="C162" t="s">
        <v>484</v>
      </c>
      <c r="D162">
        <v>107264616</v>
      </c>
      <c r="E162" t="s">
        <v>507</v>
      </c>
      <c r="F162" t="s">
        <v>486</v>
      </c>
      <c r="G162">
        <v>0.19</v>
      </c>
      <c r="H162">
        <v>3.47</v>
      </c>
      <c r="I162">
        <v>0</v>
      </c>
      <c r="J162">
        <v>0</v>
      </c>
      <c r="K162">
        <v>3.66</v>
      </c>
      <c r="L162" t="s">
        <v>487</v>
      </c>
      <c r="M162">
        <v>170</v>
      </c>
      <c r="N162">
        <v>46.43</v>
      </c>
      <c r="O162" t="s">
        <v>85</v>
      </c>
      <c r="P162" t="s">
        <v>492</v>
      </c>
      <c r="Q162">
        <v>0</v>
      </c>
      <c r="R162">
        <v>0</v>
      </c>
    </row>
    <row r="163" spans="1:18" x14ac:dyDescent="0.35">
      <c r="A163" t="s">
        <v>197</v>
      </c>
      <c r="B163" t="s">
        <v>483</v>
      </c>
      <c r="C163" t="s">
        <v>484</v>
      </c>
      <c r="D163">
        <v>107674648</v>
      </c>
      <c r="E163" t="s">
        <v>508</v>
      </c>
      <c r="F163" t="s">
        <v>486</v>
      </c>
      <c r="G163">
        <v>0.51</v>
      </c>
      <c r="H163">
        <v>5.09</v>
      </c>
      <c r="I163">
        <v>0</v>
      </c>
      <c r="J163">
        <v>0</v>
      </c>
      <c r="K163">
        <v>5.6</v>
      </c>
      <c r="L163" t="s">
        <v>487</v>
      </c>
      <c r="M163">
        <v>197</v>
      </c>
      <c r="N163">
        <v>35.18</v>
      </c>
      <c r="O163" t="s">
        <v>60</v>
      </c>
      <c r="P163" t="s">
        <v>488</v>
      </c>
      <c r="Q163">
        <v>611</v>
      </c>
      <c r="R163">
        <v>1206.58</v>
      </c>
    </row>
    <row r="164" spans="1:18" x14ac:dyDescent="0.35">
      <c r="A164" t="s">
        <v>197</v>
      </c>
      <c r="B164" t="s">
        <v>483</v>
      </c>
      <c r="C164" t="s">
        <v>484</v>
      </c>
      <c r="D164">
        <v>107674648</v>
      </c>
      <c r="E164" t="s">
        <v>508</v>
      </c>
      <c r="F164" t="s">
        <v>486</v>
      </c>
      <c r="G164">
        <v>0.51</v>
      </c>
      <c r="H164">
        <v>5.09</v>
      </c>
      <c r="I164">
        <v>0</v>
      </c>
      <c r="J164">
        <v>0</v>
      </c>
      <c r="K164">
        <v>5.6</v>
      </c>
      <c r="L164" t="s">
        <v>487</v>
      </c>
      <c r="M164">
        <v>197</v>
      </c>
      <c r="N164">
        <v>35.18</v>
      </c>
      <c r="O164" t="s">
        <v>60</v>
      </c>
      <c r="P164" t="s">
        <v>489</v>
      </c>
      <c r="Q164">
        <v>1225</v>
      </c>
      <c r="R164">
        <v>240.51</v>
      </c>
    </row>
    <row r="165" spans="1:18" x14ac:dyDescent="0.35">
      <c r="A165" t="s">
        <v>197</v>
      </c>
      <c r="B165" t="s">
        <v>483</v>
      </c>
      <c r="C165" t="s">
        <v>484</v>
      </c>
      <c r="D165">
        <v>107674648</v>
      </c>
      <c r="E165" t="s">
        <v>508</v>
      </c>
      <c r="F165" t="s">
        <v>486</v>
      </c>
      <c r="G165">
        <v>0.51</v>
      </c>
      <c r="H165">
        <v>5.09</v>
      </c>
      <c r="I165">
        <v>0</v>
      </c>
      <c r="J165">
        <v>0</v>
      </c>
      <c r="K165">
        <v>5.6</v>
      </c>
      <c r="L165" t="s">
        <v>487</v>
      </c>
      <c r="M165">
        <v>197</v>
      </c>
      <c r="N165">
        <v>35.18</v>
      </c>
      <c r="O165" t="s">
        <v>60</v>
      </c>
      <c r="P165" t="s">
        <v>490</v>
      </c>
      <c r="Q165">
        <v>0</v>
      </c>
      <c r="R165">
        <v>0</v>
      </c>
    </row>
    <row r="166" spans="1:18" x14ac:dyDescent="0.35">
      <c r="A166" t="s">
        <v>197</v>
      </c>
      <c r="B166" t="s">
        <v>483</v>
      </c>
      <c r="C166" t="s">
        <v>484</v>
      </c>
      <c r="D166">
        <v>107674648</v>
      </c>
      <c r="E166" t="s">
        <v>508</v>
      </c>
      <c r="F166" t="s">
        <v>486</v>
      </c>
      <c r="G166">
        <v>0.51</v>
      </c>
      <c r="H166">
        <v>5.09</v>
      </c>
      <c r="I166">
        <v>0</v>
      </c>
      <c r="J166">
        <v>0</v>
      </c>
      <c r="K166">
        <v>5.6</v>
      </c>
      <c r="L166" t="s">
        <v>487</v>
      </c>
      <c r="M166">
        <v>197</v>
      </c>
      <c r="N166">
        <v>35.18</v>
      </c>
      <c r="O166" t="s">
        <v>60</v>
      </c>
      <c r="P166" t="s">
        <v>491</v>
      </c>
      <c r="Q166">
        <v>0</v>
      </c>
      <c r="R166">
        <v>0</v>
      </c>
    </row>
    <row r="167" spans="1:18" x14ac:dyDescent="0.35">
      <c r="A167" t="s">
        <v>197</v>
      </c>
      <c r="B167" t="s">
        <v>483</v>
      </c>
      <c r="C167" t="s">
        <v>484</v>
      </c>
      <c r="D167">
        <v>107674648</v>
      </c>
      <c r="E167" t="s">
        <v>508</v>
      </c>
      <c r="F167" t="s">
        <v>486</v>
      </c>
      <c r="G167">
        <v>0.51</v>
      </c>
      <c r="H167">
        <v>5.09</v>
      </c>
      <c r="I167">
        <v>0</v>
      </c>
      <c r="J167">
        <v>0</v>
      </c>
      <c r="K167">
        <v>5.6</v>
      </c>
      <c r="L167" t="s">
        <v>487</v>
      </c>
      <c r="M167">
        <v>197</v>
      </c>
      <c r="N167">
        <v>35.18</v>
      </c>
      <c r="O167" t="s">
        <v>60</v>
      </c>
      <c r="P167" t="s">
        <v>492</v>
      </c>
      <c r="Q167">
        <v>1836</v>
      </c>
      <c r="R167">
        <v>327.86</v>
      </c>
    </row>
    <row r="168" spans="1:18" x14ac:dyDescent="0.35">
      <c r="A168" t="s">
        <v>197</v>
      </c>
      <c r="B168" t="s">
        <v>483</v>
      </c>
      <c r="C168" t="s">
        <v>484</v>
      </c>
      <c r="D168">
        <v>107674648</v>
      </c>
      <c r="E168" t="s">
        <v>508</v>
      </c>
      <c r="F168" t="s">
        <v>486</v>
      </c>
      <c r="G168">
        <v>0.51</v>
      </c>
      <c r="H168">
        <v>5.09</v>
      </c>
      <c r="I168">
        <v>0</v>
      </c>
      <c r="J168">
        <v>0</v>
      </c>
      <c r="K168">
        <v>5.6</v>
      </c>
      <c r="L168" t="s">
        <v>487</v>
      </c>
      <c r="M168">
        <v>197</v>
      </c>
      <c r="N168">
        <v>35.18</v>
      </c>
      <c r="O168" t="s">
        <v>81</v>
      </c>
      <c r="P168" t="s">
        <v>492</v>
      </c>
      <c r="Q168">
        <v>197</v>
      </c>
      <c r="R168">
        <v>35.18</v>
      </c>
    </row>
    <row r="169" spans="1:18" x14ac:dyDescent="0.35">
      <c r="A169" t="s">
        <v>197</v>
      </c>
      <c r="B169" t="s">
        <v>483</v>
      </c>
      <c r="C169" t="s">
        <v>484</v>
      </c>
      <c r="D169">
        <v>107674648</v>
      </c>
      <c r="E169" t="s">
        <v>508</v>
      </c>
      <c r="F169" t="s">
        <v>486</v>
      </c>
      <c r="G169">
        <v>0.51</v>
      </c>
      <c r="H169">
        <v>5.09</v>
      </c>
      <c r="I169">
        <v>0</v>
      </c>
      <c r="J169">
        <v>0</v>
      </c>
      <c r="K169">
        <v>5.6</v>
      </c>
      <c r="L169" t="s">
        <v>487</v>
      </c>
      <c r="M169">
        <v>197</v>
      </c>
      <c r="N169">
        <v>35.18</v>
      </c>
      <c r="O169" t="s">
        <v>85</v>
      </c>
      <c r="P169" t="s">
        <v>492</v>
      </c>
      <c r="Q169">
        <v>0</v>
      </c>
      <c r="R169">
        <v>0</v>
      </c>
    </row>
    <row r="170" spans="1:18" x14ac:dyDescent="0.35">
      <c r="A170" t="s">
        <v>197</v>
      </c>
      <c r="B170" t="s">
        <v>483</v>
      </c>
      <c r="C170" t="s">
        <v>493</v>
      </c>
      <c r="D170">
        <v>107704604</v>
      </c>
      <c r="E170" t="s">
        <v>509</v>
      </c>
      <c r="F170" t="s">
        <v>486</v>
      </c>
      <c r="G170">
        <v>0.62</v>
      </c>
      <c r="H170">
        <v>9.3699999999999992</v>
      </c>
      <c r="I170">
        <v>0.02</v>
      </c>
      <c r="J170">
        <v>0</v>
      </c>
      <c r="K170">
        <v>10</v>
      </c>
      <c r="L170" t="s">
        <v>487</v>
      </c>
      <c r="M170">
        <v>353</v>
      </c>
      <c r="N170">
        <v>35.299999999999997</v>
      </c>
      <c r="O170" t="s">
        <v>60</v>
      </c>
      <c r="P170" t="s">
        <v>488</v>
      </c>
      <c r="Q170">
        <v>852</v>
      </c>
      <c r="R170">
        <v>1384.74</v>
      </c>
    </row>
    <row r="171" spans="1:18" x14ac:dyDescent="0.35">
      <c r="A171" t="s">
        <v>197</v>
      </c>
      <c r="B171" t="s">
        <v>483</v>
      </c>
      <c r="C171" t="s">
        <v>493</v>
      </c>
      <c r="D171">
        <v>107704604</v>
      </c>
      <c r="E171" t="s">
        <v>509</v>
      </c>
      <c r="F171" t="s">
        <v>486</v>
      </c>
      <c r="G171">
        <v>0.62</v>
      </c>
      <c r="H171">
        <v>9.3699999999999992</v>
      </c>
      <c r="I171">
        <v>0.02</v>
      </c>
      <c r="J171">
        <v>0</v>
      </c>
      <c r="K171">
        <v>10</v>
      </c>
      <c r="L171" t="s">
        <v>487</v>
      </c>
      <c r="M171">
        <v>353</v>
      </c>
      <c r="N171">
        <v>35.299999999999997</v>
      </c>
      <c r="O171" t="s">
        <v>60</v>
      </c>
      <c r="P171" t="s">
        <v>489</v>
      </c>
      <c r="Q171">
        <v>2585</v>
      </c>
      <c r="R171">
        <v>276.02</v>
      </c>
    </row>
    <row r="172" spans="1:18" x14ac:dyDescent="0.35">
      <c r="A172" t="s">
        <v>197</v>
      </c>
      <c r="B172" t="s">
        <v>483</v>
      </c>
      <c r="C172" t="s">
        <v>493</v>
      </c>
      <c r="D172">
        <v>107704604</v>
      </c>
      <c r="E172" t="s">
        <v>509</v>
      </c>
      <c r="F172" t="s">
        <v>486</v>
      </c>
      <c r="G172">
        <v>0.62</v>
      </c>
      <c r="H172">
        <v>9.3699999999999992</v>
      </c>
      <c r="I172">
        <v>0.02</v>
      </c>
      <c r="J172">
        <v>0</v>
      </c>
      <c r="K172">
        <v>10</v>
      </c>
      <c r="L172" t="s">
        <v>487</v>
      </c>
      <c r="M172">
        <v>353</v>
      </c>
      <c r="N172">
        <v>35.299999999999997</v>
      </c>
      <c r="O172" t="s">
        <v>60</v>
      </c>
      <c r="P172" t="s">
        <v>490</v>
      </c>
      <c r="Q172">
        <v>4</v>
      </c>
      <c r="R172">
        <v>211.76</v>
      </c>
    </row>
    <row r="173" spans="1:18" x14ac:dyDescent="0.35">
      <c r="A173" t="s">
        <v>197</v>
      </c>
      <c r="B173" t="s">
        <v>483</v>
      </c>
      <c r="C173" t="s">
        <v>493</v>
      </c>
      <c r="D173">
        <v>107704604</v>
      </c>
      <c r="E173" t="s">
        <v>509</v>
      </c>
      <c r="F173" t="s">
        <v>486</v>
      </c>
      <c r="G173">
        <v>0.62</v>
      </c>
      <c r="H173">
        <v>9.3699999999999992</v>
      </c>
      <c r="I173">
        <v>0.02</v>
      </c>
      <c r="J173">
        <v>0</v>
      </c>
      <c r="K173">
        <v>10</v>
      </c>
      <c r="L173" t="s">
        <v>487</v>
      </c>
      <c r="M173">
        <v>353</v>
      </c>
      <c r="N173">
        <v>35.299999999999997</v>
      </c>
      <c r="O173" t="s">
        <v>60</v>
      </c>
      <c r="P173" t="s">
        <v>491</v>
      </c>
      <c r="Q173">
        <v>0</v>
      </c>
      <c r="R173">
        <v>0</v>
      </c>
    </row>
    <row r="174" spans="1:18" x14ac:dyDescent="0.35">
      <c r="A174" t="s">
        <v>197</v>
      </c>
      <c r="B174" t="s">
        <v>483</v>
      </c>
      <c r="C174" t="s">
        <v>493</v>
      </c>
      <c r="D174">
        <v>107704604</v>
      </c>
      <c r="E174" t="s">
        <v>509</v>
      </c>
      <c r="F174" t="s">
        <v>486</v>
      </c>
      <c r="G174">
        <v>0.62</v>
      </c>
      <c r="H174">
        <v>9.3699999999999992</v>
      </c>
      <c r="I174">
        <v>0.02</v>
      </c>
      <c r="J174">
        <v>0</v>
      </c>
      <c r="K174">
        <v>10</v>
      </c>
      <c r="L174" t="s">
        <v>487</v>
      </c>
      <c r="M174">
        <v>353</v>
      </c>
      <c r="N174">
        <v>35.299999999999997</v>
      </c>
      <c r="O174" t="s">
        <v>60</v>
      </c>
      <c r="P174" t="s">
        <v>492</v>
      </c>
      <c r="Q174">
        <v>3441</v>
      </c>
      <c r="R174">
        <v>344.1</v>
      </c>
    </row>
    <row r="175" spans="1:18" x14ac:dyDescent="0.35">
      <c r="A175" t="s">
        <v>197</v>
      </c>
      <c r="B175" t="s">
        <v>483</v>
      </c>
      <c r="C175" t="s">
        <v>493</v>
      </c>
      <c r="D175">
        <v>107704604</v>
      </c>
      <c r="E175" t="s">
        <v>509</v>
      </c>
      <c r="F175" t="s">
        <v>486</v>
      </c>
      <c r="G175">
        <v>0.62</v>
      </c>
      <c r="H175">
        <v>9.3699999999999992</v>
      </c>
      <c r="I175">
        <v>0.02</v>
      </c>
      <c r="J175">
        <v>0</v>
      </c>
      <c r="K175">
        <v>10</v>
      </c>
      <c r="L175" t="s">
        <v>487</v>
      </c>
      <c r="M175">
        <v>353</v>
      </c>
      <c r="N175">
        <v>35.299999999999997</v>
      </c>
      <c r="O175" t="s">
        <v>81</v>
      </c>
      <c r="P175" t="s">
        <v>492</v>
      </c>
      <c r="Q175">
        <v>353</v>
      </c>
      <c r="R175">
        <v>35.299999999999997</v>
      </c>
    </row>
    <row r="176" spans="1:18" x14ac:dyDescent="0.35">
      <c r="A176" t="s">
        <v>197</v>
      </c>
      <c r="B176" t="s">
        <v>483</v>
      </c>
      <c r="C176" t="s">
        <v>493</v>
      </c>
      <c r="D176">
        <v>107704604</v>
      </c>
      <c r="E176" t="s">
        <v>509</v>
      </c>
      <c r="F176" t="s">
        <v>486</v>
      </c>
      <c r="G176">
        <v>0.62</v>
      </c>
      <c r="H176">
        <v>9.3699999999999992</v>
      </c>
      <c r="I176">
        <v>0.02</v>
      </c>
      <c r="J176">
        <v>0</v>
      </c>
      <c r="K176">
        <v>10</v>
      </c>
      <c r="L176" t="s">
        <v>487</v>
      </c>
      <c r="M176">
        <v>353</v>
      </c>
      <c r="N176">
        <v>35.299999999999997</v>
      </c>
      <c r="O176" t="s">
        <v>85</v>
      </c>
      <c r="P176" t="s">
        <v>492</v>
      </c>
      <c r="Q176">
        <v>0</v>
      </c>
      <c r="R176">
        <v>0</v>
      </c>
    </row>
    <row r="177" spans="1:18" x14ac:dyDescent="0.35">
      <c r="A177" t="s">
        <v>197</v>
      </c>
      <c r="B177" t="s">
        <v>483</v>
      </c>
      <c r="C177" t="s">
        <v>484</v>
      </c>
      <c r="D177">
        <v>107775521</v>
      </c>
      <c r="E177" t="s">
        <v>511</v>
      </c>
      <c r="F177" t="s">
        <v>486</v>
      </c>
      <c r="G177">
        <v>0.01</v>
      </c>
      <c r="H177">
        <v>9.99</v>
      </c>
      <c r="I177">
        <v>0.1</v>
      </c>
      <c r="J177">
        <v>0</v>
      </c>
      <c r="K177">
        <v>10.1</v>
      </c>
      <c r="L177" t="s">
        <v>487</v>
      </c>
      <c r="M177">
        <v>395</v>
      </c>
      <c r="N177">
        <v>39.11</v>
      </c>
      <c r="O177" t="s">
        <v>60</v>
      </c>
      <c r="P177" t="s">
        <v>488</v>
      </c>
      <c r="Q177">
        <v>18</v>
      </c>
      <c r="R177">
        <v>1542.86</v>
      </c>
    </row>
    <row r="178" spans="1:18" x14ac:dyDescent="0.35">
      <c r="A178" t="s">
        <v>197</v>
      </c>
      <c r="B178" t="s">
        <v>483</v>
      </c>
      <c r="C178" t="s">
        <v>484</v>
      </c>
      <c r="D178">
        <v>107775521</v>
      </c>
      <c r="E178" t="s">
        <v>511</v>
      </c>
      <c r="F178" t="s">
        <v>486</v>
      </c>
      <c r="G178">
        <v>0.01</v>
      </c>
      <c r="H178">
        <v>9.99</v>
      </c>
      <c r="I178">
        <v>0.1</v>
      </c>
      <c r="J178">
        <v>0</v>
      </c>
      <c r="K178">
        <v>10.1</v>
      </c>
      <c r="L178" t="s">
        <v>487</v>
      </c>
      <c r="M178">
        <v>395</v>
      </c>
      <c r="N178">
        <v>39.11</v>
      </c>
      <c r="O178" t="s">
        <v>60</v>
      </c>
      <c r="P178" t="s">
        <v>489</v>
      </c>
      <c r="Q178">
        <v>3058</v>
      </c>
      <c r="R178">
        <v>306.24</v>
      </c>
    </row>
    <row r="179" spans="1:18" x14ac:dyDescent="0.35">
      <c r="A179" t="s">
        <v>197</v>
      </c>
      <c r="B179" t="s">
        <v>483</v>
      </c>
      <c r="C179" t="s">
        <v>484</v>
      </c>
      <c r="D179">
        <v>107775521</v>
      </c>
      <c r="E179" t="s">
        <v>511</v>
      </c>
      <c r="F179" t="s">
        <v>486</v>
      </c>
      <c r="G179">
        <v>0.01</v>
      </c>
      <c r="H179">
        <v>9.99</v>
      </c>
      <c r="I179">
        <v>0.1</v>
      </c>
      <c r="J179">
        <v>0</v>
      </c>
      <c r="K179">
        <v>10.1</v>
      </c>
      <c r="L179" t="s">
        <v>487</v>
      </c>
      <c r="M179">
        <v>395</v>
      </c>
      <c r="N179">
        <v>39.11</v>
      </c>
      <c r="O179" t="s">
        <v>60</v>
      </c>
      <c r="P179" t="s">
        <v>490</v>
      </c>
      <c r="Q179">
        <v>24</v>
      </c>
      <c r="R179">
        <v>234.78</v>
      </c>
    </row>
    <row r="180" spans="1:18" x14ac:dyDescent="0.35">
      <c r="A180" t="s">
        <v>197</v>
      </c>
      <c r="B180" t="s">
        <v>483</v>
      </c>
      <c r="C180" t="s">
        <v>484</v>
      </c>
      <c r="D180">
        <v>107775521</v>
      </c>
      <c r="E180" t="s">
        <v>511</v>
      </c>
      <c r="F180" t="s">
        <v>486</v>
      </c>
      <c r="G180">
        <v>0.01</v>
      </c>
      <c r="H180">
        <v>9.99</v>
      </c>
      <c r="I180">
        <v>0.1</v>
      </c>
      <c r="J180">
        <v>0</v>
      </c>
      <c r="K180">
        <v>10.1</v>
      </c>
      <c r="L180" t="s">
        <v>487</v>
      </c>
      <c r="M180">
        <v>395</v>
      </c>
      <c r="N180">
        <v>39.11</v>
      </c>
      <c r="O180" t="s">
        <v>60</v>
      </c>
      <c r="P180" t="s">
        <v>491</v>
      </c>
      <c r="Q180">
        <v>0</v>
      </c>
      <c r="R180">
        <v>0</v>
      </c>
    </row>
    <row r="181" spans="1:18" x14ac:dyDescent="0.35">
      <c r="A181" t="s">
        <v>197</v>
      </c>
      <c r="B181" t="s">
        <v>483</v>
      </c>
      <c r="C181" t="s">
        <v>484</v>
      </c>
      <c r="D181">
        <v>107775521</v>
      </c>
      <c r="E181" t="s">
        <v>511</v>
      </c>
      <c r="F181" t="s">
        <v>486</v>
      </c>
      <c r="G181">
        <v>0.01</v>
      </c>
      <c r="H181">
        <v>9.99</v>
      </c>
      <c r="I181">
        <v>0.1</v>
      </c>
      <c r="J181">
        <v>0</v>
      </c>
      <c r="K181">
        <v>10.1</v>
      </c>
      <c r="L181" t="s">
        <v>487</v>
      </c>
      <c r="M181">
        <v>395</v>
      </c>
      <c r="N181">
        <v>39.11</v>
      </c>
      <c r="O181" t="s">
        <v>60</v>
      </c>
      <c r="P181" t="s">
        <v>492</v>
      </c>
      <c r="Q181">
        <v>3100</v>
      </c>
      <c r="R181">
        <v>306.93</v>
      </c>
    </row>
    <row r="182" spans="1:18" x14ac:dyDescent="0.35">
      <c r="A182" t="s">
        <v>197</v>
      </c>
      <c r="B182" t="s">
        <v>483</v>
      </c>
      <c r="C182" t="s">
        <v>484</v>
      </c>
      <c r="D182">
        <v>107775521</v>
      </c>
      <c r="E182" t="s">
        <v>511</v>
      </c>
      <c r="F182" t="s">
        <v>486</v>
      </c>
      <c r="G182">
        <v>0.01</v>
      </c>
      <c r="H182">
        <v>9.99</v>
      </c>
      <c r="I182">
        <v>0.1</v>
      </c>
      <c r="J182">
        <v>0</v>
      </c>
      <c r="K182">
        <v>10.1</v>
      </c>
      <c r="L182" t="s">
        <v>487</v>
      </c>
      <c r="M182">
        <v>395</v>
      </c>
      <c r="N182">
        <v>39.11</v>
      </c>
      <c r="O182" t="s">
        <v>81</v>
      </c>
      <c r="P182" t="s">
        <v>492</v>
      </c>
      <c r="Q182">
        <v>395</v>
      </c>
      <c r="R182">
        <v>39.11</v>
      </c>
    </row>
    <row r="183" spans="1:18" x14ac:dyDescent="0.35">
      <c r="A183" t="s">
        <v>197</v>
      </c>
      <c r="B183" t="s">
        <v>483</v>
      </c>
      <c r="C183" t="s">
        <v>484</v>
      </c>
      <c r="D183">
        <v>107775521</v>
      </c>
      <c r="E183" t="s">
        <v>511</v>
      </c>
      <c r="F183" t="s">
        <v>486</v>
      </c>
      <c r="G183">
        <v>0.01</v>
      </c>
      <c r="H183">
        <v>9.99</v>
      </c>
      <c r="I183">
        <v>0.1</v>
      </c>
      <c r="J183">
        <v>0</v>
      </c>
      <c r="K183">
        <v>10.1</v>
      </c>
      <c r="L183" t="s">
        <v>487</v>
      </c>
      <c r="M183">
        <v>395</v>
      </c>
      <c r="N183">
        <v>39.11</v>
      </c>
      <c r="O183" t="s">
        <v>85</v>
      </c>
      <c r="P183" t="s">
        <v>492</v>
      </c>
      <c r="Q183">
        <v>0</v>
      </c>
      <c r="R183">
        <v>0</v>
      </c>
    </row>
    <row r="184" spans="1:18" x14ac:dyDescent="0.35">
      <c r="A184" t="s">
        <v>197</v>
      </c>
      <c r="B184" t="s">
        <v>483</v>
      </c>
      <c r="C184" t="s">
        <v>484</v>
      </c>
      <c r="D184">
        <v>107775986</v>
      </c>
      <c r="E184" t="s">
        <v>512</v>
      </c>
      <c r="F184" t="s">
        <v>486</v>
      </c>
      <c r="G184">
        <v>0.02</v>
      </c>
      <c r="H184">
        <v>4.58</v>
      </c>
      <c r="I184">
        <v>0</v>
      </c>
      <c r="J184">
        <v>0</v>
      </c>
      <c r="K184">
        <v>4.5999999999999996</v>
      </c>
      <c r="L184" t="s">
        <v>487</v>
      </c>
      <c r="M184">
        <v>226</v>
      </c>
      <c r="N184">
        <v>49.13</v>
      </c>
      <c r="O184" t="s">
        <v>60</v>
      </c>
      <c r="P184" t="s">
        <v>488</v>
      </c>
      <c r="Q184">
        <v>36</v>
      </c>
      <c r="R184">
        <v>1506.98</v>
      </c>
    </row>
    <row r="185" spans="1:18" x14ac:dyDescent="0.35">
      <c r="A185" t="s">
        <v>197</v>
      </c>
      <c r="B185" t="s">
        <v>483</v>
      </c>
      <c r="C185" t="s">
        <v>484</v>
      </c>
      <c r="D185">
        <v>107775986</v>
      </c>
      <c r="E185" t="s">
        <v>512</v>
      </c>
      <c r="F185" t="s">
        <v>486</v>
      </c>
      <c r="G185">
        <v>0.02</v>
      </c>
      <c r="H185">
        <v>4.58</v>
      </c>
      <c r="I185">
        <v>0</v>
      </c>
      <c r="J185">
        <v>0</v>
      </c>
      <c r="K185">
        <v>4.5999999999999996</v>
      </c>
      <c r="L185" t="s">
        <v>487</v>
      </c>
      <c r="M185">
        <v>226</v>
      </c>
      <c r="N185">
        <v>49.13</v>
      </c>
      <c r="O185" t="s">
        <v>60</v>
      </c>
      <c r="P185" t="s">
        <v>489</v>
      </c>
      <c r="Q185">
        <v>1369</v>
      </c>
      <c r="R185">
        <v>299.18</v>
      </c>
    </row>
    <row r="186" spans="1:18" x14ac:dyDescent="0.35">
      <c r="A186" t="s">
        <v>197</v>
      </c>
      <c r="B186" t="s">
        <v>483</v>
      </c>
      <c r="C186" t="s">
        <v>484</v>
      </c>
      <c r="D186">
        <v>107775986</v>
      </c>
      <c r="E186" t="s">
        <v>512</v>
      </c>
      <c r="F186" t="s">
        <v>486</v>
      </c>
      <c r="G186">
        <v>0.02</v>
      </c>
      <c r="H186">
        <v>4.58</v>
      </c>
      <c r="I186">
        <v>0</v>
      </c>
      <c r="J186">
        <v>0</v>
      </c>
      <c r="K186">
        <v>4.5999999999999996</v>
      </c>
      <c r="L186" t="s">
        <v>487</v>
      </c>
      <c r="M186">
        <v>226</v>
      </c>
      <c r="N186">
        <v>49.13</v>
      </c>
      <c r="O186" t="s">
        <v>60</v>
      </c>
      <c r="P186" t="s">
        <v>490</v>
      </c>
      <c r="Q186">
        <v>0</v>
      </c>
      <c r="R186">
        <v>0</v>
      </c>
    </row>
    <row r="187" spans="1:18" x14ac:dyDescent="0.35">
      <c r="A187" t="s">
        <v>197</v>
      </c>
      <c r="B187" t="s">
        <v>483</v>
      </c>
      <c r="C187" t="s">
        <v>484</v>
      </c>
      <c r="D187">
        <v>107775986</v>
      </c>
      <c r="E187" t="s">
        <v>512</v>
      </c>
      <c r="F187" t="s">
        <v>486</v>
      </c>
      <c r="G187">
        <v>0.02</v>
      </c>
      <c r="H187">
        <v>4.58</v>
      </c>
      <c r="I187">
        <v>0</v>
      </c>
      <c r="J187">
        <v>0</v>
      </c>
      <c r="K187">
        <v>4.5999999999999996</v>
      </c>
      <c r="L187" t="s">
        <v>487</v>
      </c>
      <c r="M187">
        <v>226</v>
      </c>
      <c r="N187">
        <v>49.13</v>
      </c>
      <c r="O187" t="s">
        <v>60</v>
      </c>
      <c r="P187" t="s">
        <v>491</v>
      </c>
      <c r="Q187">
        <v>0</v>
      </c>
      <c r="R187">
        <v>0</v>
      </c>
    </row>
    <row r="188" spans="1:18" x14ac:dyDescent="0.35">
      <c r="A188" t="s">
        <v>197</v>
      </c>
      <c r="B188" t="s">
        <v>483</v>
      </c>
      <c r="C188" t="s">
        <v>484</v>
      </c>
      <c r="D188">
        <v>107775986</v>
      </c>
      <c r="E188" t="s">
        <v>512</v>
      </c>
      <c r="F188" t="s">
        <v>486</v>
      </c>
      <c r="G188">
        <v>0.02</v>
      </c>
      <c r="H188">
        <v>4.58</v>
      </c>
      <c r="I188">
        <v>0</v>
      </c>
      <c r="J188">
        <v>0</v>
      </c>
      <c r="K188">
        <v>4.5999999999999996</v>
      </c>
      <c r="L188" t="s">
        <v>487</v>
      </c>
      <c r="M188">
        <v>226</v>
      </c>
      <c r="N188">
        <v>49.13</v>
      </c>
      <c r="O188" t="s">
        <v>60</v>
      </c>
      <c r="P188" t="s">
        <v>492</v>
      </c>
      <c r="Q188">
        <v>1405</v>
      </c>
      <c r="R188">
        <v>305.43</v>
      </c>
    </row>
    <row r="189" spans="1:18" x14ac:dyDescent="0.35">
      <c r="A189" t="s">
        <v>197</v>
      </c>
      <c r="B189" t="s">
        <v>483</v>
      </c>
      <c r="C189" t="s">
        <v>484</v>
      </c>
      <c r="D189">
        <v>107775986</v>
      </c>
      <c r="E189" t="s">
        <v>512</v>
      </c>
      <c r="F189" t="s">
        <v>486</v>
      </c>
      <c r="G189">
        <v>0.02</v>
      </c>
      <c r="H189">
        <v>4.58</v>
      </c>
      <c r="I189">
        <v>0</v>
      </c>
      <c r="J189">
        <v>0</v>
      </c>
      <c r="K189">
        <v>4.5999999999999996</v>
      </c>
      <c r="L189" t="s">
        <v>487</v>
      </c>
      <c r="M189">
        <v>226</v>
      </c>
      <c r="N189">
        <v>49.13</v>
      </c>
      <c r="O189" t="s">
        <v>81</v>
      </c>
      <c r="P189" t="s">
        <v>492</v>
      </c>
      <c r="Q189">
        <v>226</v>
      </c>
      <c r="R189">
        <v>49.13</v>
      </c>
    </row>
    <row r="190" spans="1:18" x14ac:dyDescent="0.35">
      <c r="A190" t="s">
        <v>197</v>
      </c>
      <c r="B190" t="s">
        <v>483</v>
      </c>
      <c r="C190" t="s">
        <v>484</v>
      </c>
      <c r="D190">
        <v>107775986</v>
      </c>
      <c r="E190" t="s">
        <v>512</v>
      </c>
      <c r="F190" t="s">
        <v>486</v>
      </c>
      <c r="G190">
        <v>0.02</v>
      </c>
      <c r="H190">
        <v>4.58</v>
      </c>
      <c r="I190">
        <v>0</v>
      </c>
      <c r="J190">
        <v>0</v>
      </c>
      <c r="K190">
        <v>4.5999999999999996</v>
      </c>
      <c r="L190" t="s">
        <v>487</v>
      </c>
      <c r="M190">
        <v>226</v>
      </c>
      <c r="N190">
        <v>49.13</v>
      </c>
      <c r="O190" t="s">
        <v>85</v>
      </c>
      <c r="P190" t="s">
        <v>492</v>
      </c>
      <c r="Q190">
        <v>0</v>
      </c>
      <c r="R190">
        <v>0</v>
      </c>
    </row>
    <row r="191" spans="1:18" x14ac:dyDescent="0.35">
      <c r="A191" t="s">
        <v>197</v>
      </c>
      <c r="B191" t="s">
        <v>483</v>
      </c>
      <c r="C191" t="s">
        <v>484</v>
      </c>
      <c r="D191">
        <v>107791373</v>
      </c>
      <c r="E191" t="s">
        <v>529</v>
      </c>
      <c r="F191" t="s">
        <v>486</v>
      </c>
      <c r="G191">
        <v>0.68</v>
      </c>
      <c r="H191">
        <v>6.89</v>
      </c>
      <c r="I191">
        <v>0</v>
      </c>
      <c r="J191">
        <v>0</v>
      </c>
      <c r="K191">
        <v>7.57</v>
      </c>
      <c r="L191" t="s">
        <v>487</v>
      </c>
      <c r="M191">
        <v>453</v>
      </c>
      <c r="N191">
        <v>59.87</v>
      </c>
      <c r="O191" t="s">
        <v>60</v>
      </c>
      <c r="P191" t="s">
        <v>488</v>
      </c>
      <c r="Q191">
        <v>1558</v>
      </c>
      <c r="R191">
        <v>2308.15</v>
      </c>
    </row>
    <row r="192" spans="1:18" x14ac:dyDescent="0.35">
      <c r="A192" t="s">
        <v>197</v>
      </c>
      <c r="B192" t="s">
        <v>483</v>
      </c>
      <c r="C192" t="s">
        <v>484</v>
      </c>
      <c r="D192">
        <v>107791373</v>
      </c>
      <c r="E192" t="s">
        <v>529</v>
      </c>
      <c r="F192" t="s">
        <v>486</v>
      </c>
      <c r="G192">
        <v>0.68</v>
      </c>
      <c r="H192">
        <v>6.89</v>
      </c>
      <c r="I192">
        <v>0</v>
      </c>
      <c r="J192">
        <v>0</v>
      </c>
      <c r="K192">
        <v>7.57</v>
      </c>
      <c r="L192" t="s">
        <v>487</v>
      </c>
      <c r="M192">
        <v>453</v>
      </c>
      <c r="N192">
        <v>59.87</v>
      </c>
      <c r="O192" t="s">
        <v>60</v>
      </c>
      <c r="P192" t="s">
        <v>489</v>
      </c>
      <c r="Q192">
        <v>3171</v>
      </c>
      <c r="R192">
        <v>460.12</v>
      </c>
    </row>
    <row r="193" spans="1:18" x14ac:dyDescent="0.35">
      <c r="A193" t="s">
        <v>197</v>
      </c>
      <c r="B193" t="s">
        <v>483</v>
      </c>
      <c r="C193" t="s">
        <v>484</v>
      </c>
      <c r="D193">
        <v>107791373</v>
      </c>
      <c r="E193" t="s">
        <v>529</v>
      </c>
      <c r="F193" t="s">
        <v>486</v>
      </c>
      <c r="G193">
        <v>0.68</v>
      </c>
      <c r="H193">
        <v>6.89</v>
      </c>
      <c r="I193">
        <v>0</v>
      </c>
      <c r="J193">
        <v>0</v>
      </c>
      <c r="K193">
        <v>7.57</v>
      </c>
      <c r="L193" t="s">
        <v>487</v>
      </c>
      <c r="M193">
        <v>453</v>
      </c>
      <c r="N193">
        <v>59.87</v>
      </c>
      <c r="O193" t="s">
        <v>60</v>
      </c>
      <c r="P193" t="s">
        <v>490</v>
      </c>
      <c r="Q193">
        <v>0</v>
      </c>
      <c r="R193">
        <v>0</v>
      </c>
    </row>
    <row r="194" spans="1:18" x14ac:dyDescent="0.35">
      <c r="A194" t="s">
        <v>197</v>
      </c>
      <c r="B194" t="s">
        <v>483</v>
      </c>
      <c r="C194" t="s">
        <v>484</v>
      </c>
      <c r="D194">
        <v>107791373</v>
      </c>
      <c r="E194" t="s">
        <v>529</v>
      </c>
      <c r="F194" t="s">
        <v>486</v>
      </c>
      <c r="G194">
        <v>0.68</v>
      </c>
      <c r="H194">
        <v>6.89</v>
      </c>
      <c r="I194">
        <v>0</v>
      </c>
      <c r="J194">
        <v>0</v>
      </c>
      <c r="K194">
        <v>7.57</v>
      </c>
      <c r="L194" t="s">
        <v>487</v>
      </c>
      <c r="M194">
        <v>453</v>
      </c>
      <c r="N194">
        <v>59.87</v>
      </c>
      <c r="O194" t="s">
        <v>60</v>
      </c>
      <c r="P194" t="s">
        <v>491</v>
      </c>
      <c r="Q194">
        <v>0</v>
      </c>
      <c r="R194">
        <v>0</v>
      </c>
    </row>
    <row r="195" spans="1:18" x14ac:dyDescent="0.35">
      <c r="A195" t="s">
        <v>197</v>
      </c>
      <c r="B195" t="s">
        <v>483</v>
      </c>
      <c r="C195" t="s">
        <v>484</v>
      </c>
      <c r="D195">
        <v>107791373</v>
      </c>
      <c r="E195" t="s">
        <v>529</v>
      </c>
      <c r="F195" t="s">
        <v>486</v>
      </c>
      <c r="G195">
        <v>0.68</v>
      </c>
      <c r="H195">
        <v>6.89</v>
      </c>
      <c r="I195">
        <v>0</v>
      </c>
      <c r="J195">
        <v>0</v>
      </c>
      <c r="K195">
        <v>7.57</v>
      </c>
      <c r="L195" t="s">
        <v>487</v>
      </c>
      <c r="M195">
        <v>453</v>
      </c>
      <c r="N195">
        <v>59.87</v>
      </c>
      <c r="O195" t="s">
        <v>60</v>
      </c>
      <c r="P195" t="s">
        <v>492</v>
      </c>
      <c r="Q195">
        <v>4729</v>
      </c>
      <c r="R195">
        <v>624.96</v>
      </c>
    </row>
    <row r="196" spans="1:18" x14ac:dyDescent="0.35">
      <c r="A196" t="s">
        <v>197</v>
      </c>
      <c r="B196" t="s">
        <v>483</v>
      </c>
      <c r="C196" t="s">
        <v>484</v>
      </c>
      <c r="D196">
        <v>107791373</v>
      </c>
      <c r="E196" t="s">
        <v>529</v>
      </c>
      <c r="F196" t="s">
        <v>486</v>
      </c>
      <c r="G196">
        <v>0.68</v>
      </c>
      <c r="H196">
        <v>6.89</v>
      </c>
      <c r="I196">
        <v>0</v>
      </c>
      <c r="J196">
        <v>0</v>
      </c>
      <c r="K196">
        <v>7.57</v>
      </c>
      <c r="L196" t="s">
        <v>487</v>
      </c>
      <c r="M196">
        <v>453</v>
      </c>
      <c r="N196">
        <v>59.87</v>
      </c>
      <c r="O196" t="s">
        <v>81</v>
      </c>
      <c r="P196" t="s">
        <v>492</v>
      </c>
      <c r="Q196">
        <v>453</v>
      </c>
      <c r="R196">
        <v>59.87</v>
      </c>
    </row>
    <row r="197" spans="1:18" x14ac:dyDescent="0.35">
      <c r="A197" t="s">
        <v>197</v>
      </c>
      <c r="B197" t="s">
        <v>483</v>
      </c>
      <c r="C197" t="s">
        <v>484</v>
      </c>
      <c r="D197">
        <v>107791373</v>
      </c>
      <c r="E197" t="s">
        <v>529</v>
      </c>
      <c r="F197" t="s">
        <v>486</v>
      </c>
      <c r="G197">
        <v>0.68</v>
      </c>
      <c r="H197">
        <v>6.89</v>
      </c>
      <c r="I197">
        <v>0</v>
      </c>
      <c r="J197">
        <v>0</v>
      </c>
      <c r="K197">
        <v>7.57</v>
      </c>
      <c r="L197" t="s">
        <v>487</v>
      </c>
      <c r="M197">
        <v>453</v>
      </c>
      <c r="N197">
        <v>59.87</v>
      </c>
      <c r="O197" t="s">
        <v>85</v>
      </c>
      <c r="P197" t="s">
        <v>492</v>
      </c>
      <c r="Q197">
        <v>0</v>
      </c>
      <c r="R197">
        <v>0</v>
      </c>
    </row>
    <row r="198" spans="1:18" x14ac:dyDescent="0.35">
      <c r="A198" t="s">
        <v>197</v>
      </c>
      <c r="B198" t="s">
        <v>483</v>
      </c>
      <c r="C198" t="s">
        <v>484</v>
      </c>
      <c r="D198">
        <v>107843844</v>
      </c>
      <c r="E198" t="s">
        <v>516</v>
      </c>
      <c r="F198" t="s">
        <v>486</v>
      </c>
      <c r="G198">
        <v>0.12</v>
      </c>
      <c r="H198">
        <v>1.53</v>
      </c>
      <c r="I198">
        <v>0</v>
      </c>
      <c r="J198">
        <v>0</v>
      </c>
      <c r="K198">
        <v>1.65</v>
      </c>
      <c r="L198" t="s">
        <v>487</v>
      </c>
      <c r="M198">
        <v>74</v>
      </c>
      <c r="N198">
        <v>44.97</v>
      </c>
      <c r="O198" t="s">
        <v>60</v>
      </c>
      <c r="P198" t="s">
        <v>488</v>
      </c>
      <c r="Q198">
        <v>348</v>
      </c>
      <c r="R198">
        <v>2913.49</v>
      </c>
    </row>
    <row r="199" spans="1:18" x14ac:dyDescent="0.35">
      <c r="A199" t="s">
        <v>197</v>
      </c>
      <c r="B199" t="s">
        <v>483</v>
      </c>
      <c r="C199" t="s">
        <v>484</v>
      </c>
      <c r="D199">
        <v>107843844</v>
      </c>
      <c r="E199" t="s">
        <v>516</v>
      </c>
      <c r="F199" t="s">
        <v>486</v>
      </c>
      <c r="G199">
        <v>0.12</v>
      </c>
      <c r="H199">
        <v>1.53</v>
      </c>
      <c r="I199">
        <v>0</v>
      </c>
      <c r="J199">
        <v>0</v>
      </c>
      <c r="K199">
        <v>1.65</v>
      </c>
      <c r="L199" t="s">
        <v>487</v>
      </c>
      <c r="M199">
        <v>74</v>
      </c>
      <c r="N199">
        <v>44.97</v>
      </c>
      <c r="O199" t="s">
        <v>60</v>
      </c>
      <c r="P199" t="s">
        <v>489</v>
      </c>
      <c r="Q199">
        <v>885</v>
      </c>
      <c r="R199">
        <v>580.01</v>
      </c>
    </row>
    <row r="200" spans="1:18" x14ac:dyDescent="0.35">
      <c r="A200" t="s">
        <v>197</v>
      </c>
      <c r="B200" t="s">
        <v>483</v>
      </c>
      <c r="C200" t="s">
        <v>484</v>
      </c>
      <c r="D200">
        <v>107843844</v>
      </c>
      <c r="E200" t="s">
        <v>516</v>
      </c>
      <c r="F200" t="s">
        <v>486</v>
      </c>
      <c r="G200">
        <v>0.12</v>
      </c>
      <c r="H200">
        <v>1.53</v>
      </c>
      <c r="I200">
        <v>0</v>
      </c>
      <c r="J200">
        <v>0</v>
      </c>
      <c r="K200">
        <v>1.65</v>
      </c>
      <c r="L200" t="s">
        <v>487</v>
      </c>
      <c r="M200">
        <v>74</v>
      </c>
      <c r="N200">
        <v>44.97</v>
      </c>
      <c r="O200" t="s">
        <v>60</v>
      </c>
      <c r="P200" t="s">
        <v>490</v>
      </c>
      <c r="Q200">
        <v>0</v>
      </c>
      <c r="R200">
        <v>0</v>
      </c>
    </row>
    <row r="201" spans="1:18" x14ac:dyDescent="0.35">
      <c r="A201" t="s">
        <v>197</v>
      </c>
      <c r="B201" t="s">
        <v>483</v>
      </c>
      <c r="C201" t="s">
        <v>484</v>
      </c>
      <c r="D201">
        <v>107843844</v>
      </c>
      <c r="E201" t="s">
        <v>516</v>
      </c>
      <c r="F201" t="s">
        <v>486</v>
      </c>
      <c r="G201">
        <v>0.12</v>
      </c>
      <c r="H201">
        <v>1.53</v>
      </c>
      <c r="I201">
        <v>0</v>
      </c>
      <c r="J201">
        <v>0</v>
      </c>
      <c r="K201">
        <v>1.65</v>
      </c>
      <c r="L201" t="s">
        <v>487</v>
      </c>
      <c r="M201">
        <v>74</v>
      </c>
      <c r="N201">
        <v>44.97</v>
      </c>
      <c r="O201" t="s">
        <v>60</v>
      </c>
      <c r="P201" t="s">
        <v>491</v>
      </c>
      <c r="Q201">
        <v>0</v>
      </c>
      <c r="R201">
        <v>0</v>
      </c>
    </row>
    <row r="202" spans="1:18" x14ac:dyDescent="0.35">
      <c r="A202" t="s">
        <v>197</v>
      </c>
      <c r="B202" t="s">
        <v>483</v>
      </c>
      <c r="C202" t="s">
        <v>484</v>
      </c>
      <c r="D202">
        <v>107843844</v>
      </c>
      <c r="E202" t="s">
        <v>516</v>
      </c>
      <c r="F202" t="s">
        <v>486</v>
      </c>
      <c r="G202">
        <v>0.12</v>
      </c>
      <c r="H202">
        <v>1.53</v>
      </c>
      <c r="I202">
        <v>0</v>
      </c>
      <c r="J202">
        <v>0</v>
      </c>
      <c r="K202">
        <v>1.65</v>
      </c>
      <c r="L202" t="s">
        <v>487</v>
      </c>
      <c r="M202">
        <v>74</v>
      </c>
      <c r="N202">
        <v>44.97</v>
      </c>
      <c r="O202" t="s">
        <v>60</v>
      </c>
      <c r="P202" t="s">
        <v>492</v>
      </c>
      <c r="Q202">
        <v>1233</v>
      </c>
      <c r="R202">
        <v>749.29</v>
      </c>
    </row>
    <row r="203" spans="1:18" x14ac:dyDescent="0.35">
      <c r="A203" t="s">
        <v>197</v>
      </c>
      <c r="B203" t="s">
        <v>483</v>
      </c>
      <c r="C203" t="s">
        <v>484</v>
      </c>
      <c r="D203">
        <v>107843844</v>
      </c>
      <c r="E203" t="s">
        <v>516</v>
      </c>
      <c r="F203" t="s">
        <v>486</v>
      </c>
      <c r="G203">
        <v>0.12</v>
      </c>
      <c r="H203">
        <v>1.53</v>
      </c>
      <c r="I203">
        <v>0</v>
      </c>
      <c r="J203">
        <v>0</v>
      </c>
      <c r="K203">
        <v>1.65</v>
      </c>
      <c r="L203" t="s">
        <v>487</v>
      </c>
      <c r="M203">
        <v>74</v>
      </c>
      <c r="N203">
        <v>44.97</v>
      </c>
      <c r="O203" t="s">
        <v>81</v>
      </c>
      <c r="P203" t="s">
        <v>492</v>
      </c>
      <c r="Q203">
        <v>74</v>
      </c>
      <c r="R203">
        <v>44.97</v>
      </c>
    </row>
    <row r="204" spans="1:18" x14ac:dyDescent="0.35">
      <c r="A204" t="s">
        <v>197</v>
      </c>
      <c r="B204" t="s">
        <v>483</v>
      </c>
      <c r="C204" t="s">
        <v>484</v>
      </c>
      <c r="D204">
        <v>107843844</v>
      </c>
      <c r="E204" t="s">
        <v>516</v>
      </c>
      <c r="F204" t="s">
        <v>486</v>
      </c>
      <c r="G204">
        <v>0.12</v>
      </c>
      <c r="H204">
        <v>1.53</v>
      </c>
      <c r="I204">
        <v>0</v>
      </c>
      <c r="J204">
        <v>0</v>
      </c>
      <c r="K204">
        <v>1.65</v>
      </c>
      <c r="L204" t="s">
        <v>487</v>
      </c>
      <c r="M204">
        <v>74</v>
      </c>
      <c r="N204">
        <v>44.97</v>
      </c>
      <c r="O204" t="s">
        <v>85</v>
      </c>
      <c r="P204" t="s">
        <v>492</v>
      </c>
      <c r="Q204">
        <v>0</v>
      </c>
      <c r="R204">
        <v>0</v>
      </c>
    </row>
    <row r="205" spans="1:18" x14ac:dyDescent="0.35">
      <c r="A205" t="s">
        <v>197</v>
      </c>
      <c r="B205" t="s">
        <v>483</v>
      </c>
      <c r="C205" t="s">
        <v>484</v>
      </c>
      <c r="D205">
        <v>107843876</v>
      </c>
      <c r="E205" t="s">
        <v>517</v>
      </c>
      <c r="F205" t="s">
        <v>486</v>
      </c>
      <c r="G205">
        <v>0.34</v>
      </c>
      <c r="H205">
        <v>4.88</v>
      </c>
      <c r="I205">
        <v>0.51</v>
      </c>
      <c r="J205">
        <v>0</v>
      </c>
      <c r="K205">
        <v>5.73</v>
      </c>
      <c r="L205" t="s">
        <v>487</v>
      </c>
      <c r="M205">
        <v>221</v>
      </c>
      <c r="N205">
        <v>38.549999999999997</v>
      </c>
      <c r="O205" t="s">
        <v>60</v>
      </c>
      <c r="P205" t="s">
        <v>488</v>
      </c>
      <c r="Q205">
        <v>388</v>
      </c>
      <c r="R205">
        <v>1130.0999999999999</v>
      </c>
    </row>
    <row r="206" spans="1:18" x14ac:dyDescent="0.35">
      <c r="A206" t="s">
        <v>197</v>
      </c>
      <c r="B206" t="s">
        <v>483</v>
      </c>
      <c r="C206" t="s">
        <v>484</v>
      </c>
      <c r="D206">
        <v>107843876</v>
      </c>
      <c r="E206" t="s">
        <v>517</v>
      </c>
      <c r="F206" t="s">
        <v>486</v>
      </c>
      <c r="G206">
        <v>0.34</v>
      </c>
      <c r="H206">
        <v>4.88</v>
      </c>
      <c r="I206">
        <v>0.51</v>
      </c>
      <c r="J206">
        <v>0</v>
      </c>
      <c r="K206">
        <v>5.73</v>
      </c>
      <c r="L206" t="s">
        <v>487</v>
      </c>
      <c r="M206">
        <v>221</v>
      </c>
      <c r="N206">
        <v>38.549999999999997</v>
      </c>
      <c r="O206" t="s">
        <v>60</v>
      </c>
      <c r="P206" t="s">
        <v>489</v>
      </c>
      <c r="Q206">
        <v>1099</v>
      </c>
      <c r="R206">
        <v>225.26</v>
      </c>
    </row>
    <row r="207" spans="1:18" x14ac:dyDescent="0.35">
      <c r="A207" t="s">
        <v>197</v>
      </c>
      <c r="B207" t="s">
        <v>483</v>
      </c>
      <c r="C207" t="s">
        <v>484</v>
      </c>
      <c r="D207">
        <v>107843876</v>
      </c>
      <c r="E207" t="s">
        <v>517</v>
      </c>
      <c r="F207" t="s">
        <v>486</v>
      </c>
      <c r="G207">
        <v>0.34</v>
      </c>
      <c r="H207">
        <v>4.88</v>
      </c>
      <c r="I207">
        <v>0.51</v>
      </c>
      <c r="J207">
        <v>0</v>
      </c>
      <c r="K207">
        <v>5.73</v>
      </c>
      <c r="L207" t="s">
        <v>487</v>
      </c>
      <c r="M207">
        <v>221</v>
      </c>
      <c r="N207">
        <v>38.549999999999997</v>
      </c>
      <c r="O207" t="s">
        <v>60</v>
      </c>
      <c r="P207" t="s">
        <v>490</v>
      </c>
      <c r="Q207">
        <v>88</v>
      </c>
      <c r="R207">
        <v>172.36</v>
      </c>
    </row>
    <row r="208" spans="1:18" x14ac:dyDescent="0.35">
      <c r="A208" t="s">
        <v>197</v>
      </c>
      <c r="B208" t="s">
        <v>483</v>
      </c>
      <c r="C208" t="s">
        <v>484</v>
      </c>
      <c r="D208">
        <v>107843876</v>
      </c>
      <c r="E208" t="s">
        <v>517</v>
      </c>
      <c r="F208" t="s">
        <v>486</v>
      </c>
      <c r="G208">
        <v>0.34</v>
      </c>
      <c r="H208">
        <v>4.88</v>
      </c>
      <c r="I208">
        <v>0.51</v>
      </c>
      <c r="J208">
        <v>0</v>
      </c>
      <c r="K208">
        <v>5.73</v>
      </c>
      <c r="L208" t="s">
        <v>487</v>
      </c>
      <c r="M208">
        <v>221</v>
      </c>
      <c r="N208">
        <v>38.549999999999997</v>
      </c>
      <c r="O208" t="s">
        <v>60</v>
      </c>
      <c r="P208" t="s">
        <v>491</v>
      </c>
      <c r="Q208">
        <v>0</v>
      </c>
      <c r="R208">
        <v>0</v>
      </c>
    </row>
    <row r="209" spans="1:18" x14ac:dyDescent="0.35">
      <c r="A209" t="s">
        <v>197</v>
      </c>
      <c r="B209" t="s">
        <v>483</v>
      </c>
      <c r="C209" t="s">
        <v>484</v>
      </c>
      <c r="D209">
        <v>107843876</v>
      </c>
      <c r="E209" t="s">
        <v>517</v>
      </c>
      <c r="F209" t="s">
        <v>486</v>
      </c>
      <c r="G209">
        <v>0.34</v>
      </c>
      <c r="H209">
        <v>4.88</v>
      </c>
      <c r="I209">
        <v>0.51</v>
      </c>
      <c r="J209">
        <v>0</v>
      </c>
      <c r="K209">
        <v>5.73</v>
      </c>
      <c r="L209" t="s">
        <v>487</v>
      </c>
      <c r="M209">
        <v>221</v>
      </c>
      <c r="N209">
        <v>38.549999999999997</v>
      </c>
      <c r="O209" t="s">
        <v>60</v>
      </c>
      <c r="P209" t="s">
        <v>492</v>
      </c>
      <c r="Q209">
        <v>1575</v>
      </c>
      <c r="R209">
        <v>274.70999999999998</v>
      </c>
    </row>
    <row r="210" spans="1:18" x14ac:dyDescent="0.35">
      <c r="A210" t="s">
        <v>197</v>
      </c>
      <c r="B210" t="s">
        <v>483</v>
      </c>
      <c r="C210" t="s">
        <v>484</v>
      </c>
      <c r="D210">
        <v>107843876</v>
      </c>
      <c r="E210" t="s">
        <v>517</v>
      </c>
      <c r="F210" t="s">
        <v>486</v>
      </c>
      <c r="G210">
        <v>0.34</v>
      </c>
      <c r="H210">
        <v>4.88</v>
      </c>
      <c r="I210">
        <v>0.51</v>
      </c>
      <c r="J210">
        <v>0</v>
      </c>
      <c r="K210">
        <v>5.73</v>
      </c>
      <c r="L210" t="s">
        <v>487</v>
      </c>
      <c r="M210">
        <v>221</v>
      </c>
      <c r="N210">
        <v>38.549999999999997</v>
      </c>
      <c r="O210" t="s">
        <v>81</v>
      </c>
      <c r="P210" t="s">
        <v>492</v>
      </c>
      <c r="Q210">
        <v>221</v>
      </c>
      <c r="R210">
        <v>38.549999999999997</v>
      </c>
    </row>
    <row r="211" spans="1:18" x14ac:dyDescent="0.35">
      <c r="A211" t="s">
        <v>197</v>
      </c>
      <c r="B211" t="s">
        <v>483</v>
      </c>
      <c r="C211" t="s">
        <v>484</v>
      </c>
      <c r="D211">
        <v>107843876</v>
      </c>
      <c r="E211" t="s">
        <v>517</v>
      </c>
      <c r="F211" t="s">
        <v>486</v>
      </c>
      <c r="G211">
        <v>0.34</v>
      </c>
      <c r="H211">
        <v>4.88</v>
      </c>
      <c r="I211">
        <v>0.51</v>
      </c>
      <c r="J211">
        <v>0</v>
      </c>
      <c r="K211">
        <v>5.73</v>
      </c>
      <c r="L211" t="s">
        <v>487</v>
      </c>
      <c r="M211">
        <v>221</v>
      </c>
      <c r="N211">
        <v>38.549999999999997</v>
      </c>
      <c r="O211" t="s">
        <v>85</v>
      </c>
      <c r="P211" t="s">
        <v>492</v>
      </c>
      <c r="Q211">
        <v>0</v>
      </c>
      <c r="R211">
        <v>0</v>
      </c>
    </row>
    <row r="212" spans="1:18" x14ac:dyDescent="0.35">
      <c r="A212" t="s">
        <v>197</v>
      </c>
      <c r="B212" t="s">
        <v>483</v>
      </c>
      <c r="C212" t="s">
        <v>484</v>
      </c>
      <c r="D212">
        <v>107843891</v>
      </c>
      <c r="E212" t="s">
        <v>518</v>
      </c>
      <c r="F212" t="s">
        <v>486</v>
      </c>
      <c r="G212">
        <v>0.45</v>
      </c>
      <c r="H212">
        <v>5.08</v>
      </c>
      <c r="I212">
        <v>0</v>
      </c>
      <c r="J212">
        <v>0</v>
      </c>
      <c r="K212">
        <v>5.53</v>
      </c>
      <c r="L212" t="s">
        <v>487</v>
      </c>
      <c r="M212">
        <v>189</v>
      </c>
      <c r="N212">
        <v>34.21</v>
      </c>
      <c r="O212" t="s">
        <v>60</v>
      </c>
      <c r="P212" t="s">
        <v>488</v>
      </c>
      <c r="Q212">
        <v>605</v>
      </c>
      <c r="R212">
        <v>1346.94</v>
      </c>
    </row>
    <row r="213" spans="1:18" x14ac:dyDescent="0.35">
      <c r="A213" t="s">
        <v>197</v>
      </c>
      <c r="B213" t="s">
        <v>483</v>
      </c>
      <c r="C213" t="s">
        <v>484</v>
      </c>
      <c r="D213">
        <v>107843891</v>
      </c>
      <c r="E213" t="s">
        <v>518</v>
      </c>
      <c r="F213" t="s">
        <v>486</v>
      </c>
      <c r="G213">
        <v>0.45</v>
      </c>
      <c r="H213">
        <v>5.08</v>
      </c>
      <c r="I213">
        <v>0</v>
      </c>
      <c r="J213">
        <v>0</v>
      </c>
      <c r="K213">
        <v>5.53</v>
      </c>
      <c r="L213" t="s">
        <v>487</v>
      </c>
      <c r="M213">
        <v>189</v>
      </c>
      <c r="N213">
        <v>34.21</v>
      </c>
      <c r="O213" t="s">
        <v>60</v>
      </c>
      <c r="P213" t="s">
        <v>489</v>
      </c>
      <c r="Q213">
        <v>1363</v>
      </c>
      <c r="R213">
        <v>268.54000000000002</v>
      </c>
    </row>
    <row r="214" spans="1:18" x14ac:dyDescent="0.35">
      <c r="A214" t="s">
        <v>197</v>
      </c>
      <c r="B214" t="s">
        <v>483</v>
      </c>
      <c r="C214" t="s">
        <v>484</v>
      </c>
      <c r="D214">
        <v>107843891</v>
      </c>
      <c r="E214" t="s">
        <v>518</v>
      </c>
      <c r="F214" t="s">
        <v>486</v>
      </c>
      <c r="G214">
        <v>0.45</v>
      </c>
      <c r="H214">
        <v>5.08</v>
      </c>
      <c r="I214">
        <v>0</v>
      </c>
      <c r="J214">
        <v>0</v>
      </c>
      <c r="K214">
        <v>5.53</v>
      </c>
      <c r="L214" t="s">
        <v>487</v>
      </c>
      <c r="M214">
        <v>189</v>
      </c>
      <c r="N214">
        <v>34.21</v>
      </c>
      <c r="O214" t="s">
        <v>60</v>
      </c>
      <c r="P214" t="s">
        <v>490</v>
      </c>
      <c r="Q214">
        <v>0</v>
      </c>
      <c r="R214">
        <v>0</v>
      </c>
    </row>
    <row r="215" spans="1:18" x14ac:dyDescent="0.35">
      <c r="A215" t="s">
        <v>197</v>
      </c>
      <c r="B215" t="s">
        <v>483</v>
      </c>
      <c r="C215" t="s">
        <v>484</v>
      </c>
      <c r="D215">
        <v>107843891</v>
      </c>
      <c r="E215" t="s">
        <v>518</v>
      </c>
      <c r="F215" t="s">
        <v>486</v>
      </c>
      <c r="G215">
        <v>0.45</v>
      </c>
      <c r="H215">
        <v>5.08</v>
      </c>
      <c r="I215">
        <v>0</v>
      </c>
      <c r="J215">
        <v>0</v>
      </c>
      <c r="K215">
        <v>5.53</v>
      </c>
      <c r="L215" t="s">
        <v>487</v>
      </c>
      <c r="M215">
        <v>189</v>
      </c>
      <c r="N215">
        <v>34.21</v>
      </c>
      <c r="O215" t="s">
        <v>60</v>
      </c>
      <c r="P215" t="s">
        <v>491</v>
      </c>
      <c r="Q215">
        <v>0</v>
      </c>
      <c r="R215">
        <v>0</v>
      </c>
    </row>
    <row r="216" spans="1:18" x14ac:dyDescent="0.35">
      <c r="A216" t="s">
        <v>197</v>
      </c>
      <c r="B216" t="s">
        <v>483</v>
      </c>
      <c r="C216" t="s">
        <v>484</v>
      </c>
      <c r="D216">
        <v>107843891</v>
      </c>
      <c r="E216" t="s">
        <v>518</v>
      </c>
      <c r="F216" t="s">
        <v>486</v>
      </c>
      <c r="G216">
        <v>0.45</v>
      </c>
      <c r="H216">
        <v>5.08</v>
      </c>
      <c r="I216">
        <v>0</v>
      </c>
      <c r="J216">
        <v>0</v>
      </c>
      <c r="K216">
        <v>5.53</v>
      </c>
      <c r="L216" t="s">
        <v>487</v>
      </c>
      <c r="M216">
        <v>189</v>
      </c>
      <c r="N216">
        <v>34.21</v>
      </c>
      <c r="O216" t="s">
        <v>60</v>
      </c>
      <c r="P216" t="s">
        <v>492</v>
      </c>
      <c r="Q216">
        <v>1968</v>
      </c>
      <c r="R216">
        <v>356.2</v>
      </c>
    </row>
    <row r="217" spans="1:18" x14ac:dyDescent="0.35">
      <c r="A217" t="s">
        <v>197</v>
      </c>
      <c r="B217" t="s">
        <v>483</v>
      </c>
      <c r="C217" t="s">
        <v>484</v>
      </c>
      <c r="D217">
        <v>107843891</v>
      </c>
      <c r="E217" t="s">
        <v>518</v>
      </c>
      <c r="F217" t="s">
        <v>486</v>
      </c>
      <c r="G217">
        <v>0.45</v>
      </c>
      <c r="H217">
        <v>5.08</v>
      </c>
      <c r="I217">
        <v>0</v>
      </c>
      <c r="J217">
        <v>0</v>
      </c>
      <c r="K217">
        <v>5.53</v>
      </c>
      <c r="L217" t="s">
        <v>487</v>
      </c>
      <c r="M217">
        <v>189</v>
      </c>
      <c r="N217">
        <v>34.21</v>
      </c>
      <c r="O217" t="s">
        <v>81</v>
      </c>
      <c r="P217" t="s">
        <v>492</v>
      </c>
      <c r="Q217">
        <v>189</v>
      </c>
      <c r="R217">
        <v>34.21</v>
      </c>
    </row>
    <row r="218" spans="1:18" x14ac:dyDescent="0.35">
      <c r="A218" t="s">
        <v>197</v>
      </c>
      <c r="B218" t="s">
        <v>483</v>
      </c>
      <c r="C218" t="s">
        <v>484</v>
      </c>
      <c r="D218">
        <v>107843891</v>
      </c>
      <c r="E218" t="s">
        <v>518</v>
      </c>
      <c r="F218" t="s">
        <v>486</v>
      </c>
      <c r="G218">
        <v>0.45</v>
      </c>
      <c r="H218">
        <v>5.08</v>
      </c>
      <c r="I218">
        <v>0</v>
      </c>
      <c r="J218">
        <v>0</v>
      </c>
      <c r="K218">
        <v>5.53</v>
      </c>
      <c r="L218" t="s">
        <v>487</v>
      </c>
      <c r="M218">
        <v>189</v>
      </c>
      <c r="N218">
        <v>34.21</v>
      </c>
      <c r="O218" t="s">
        <v>85</v>
      </c>
      <c r="P218" t="s">
        <v>492</v>
      </c>
      <c r="Q218">
        <v>0</v>
      </c>
      <c r="R218">
        <v>0</v>
      </c>
    </row>
    <row r="219" spans="1:18" x14ac:dyDescent="0.35">
      <c r="A219" t="s">
        <v>197</v>
      </c>
      <c r="B219" t="s">
        <v>483</v>
      </c>
      <c r="C219" t="s">
        <v>484</v>
      </c>
      <c r="D219">
        <v>107844157</v>
      </c>
      <c r="E219" t="s">
        <v>519</v>
      </c>
      <c r="F219" t="s">
        <v>486</v>
      </c>
      <c r="G219">
        <v>0.25</v>
      </c>
      <c r="H219">
        <v>4.5</v>
      </c>
      <c r="I219">
        <v>0</v>
      </c>
      <c r="J219">
        <v>0</v>
      </c>
      <c r="K219">
        <v>4.75</v>
      </c>
      <c r="L219" t="s">
        <v>487</v>
      </c>
      <c r="M219">
        <v>145</v>
      </c>
      <c r="N219">
        <v>30.52</v>
      </c>
      <c r="O219" t="s">
        <v>60</v>
      </c>
      <c r="P219" t="s">
        <v>488</v>
      </c>
      <c r="Q219">
        <v>272</v>
      </c>
      <c r="R219">
        <v>1070.1600000000001</v>
      </c>
    </row>
    <row r="220" spans="1:18" x14ac:dyDescent="0.35">
      <c r="A220" t="s">
        <v>197</v>
      </c>
      <c r="B220" t="s">
        <v>483</v>
      </c>
      <c r="C220" t="s">
        <v>484</v>
      </c>
      <c r="D220">
        <v>107844157</v>
      </c>
      <c r="E220" t="s">
        <v>519</v>
      </c>
      <c r="F220" t="s">
        <v>486</v>
      </c>
      <c r="G220">
        <v>0.25</v>
      </c>
      <c r="H220">
        <v>4.5</v>
      </c>
      <c r="I220">
        <v>0</v>
      </c>
      <c r="J220">
        <v>0</v>
      </c>
      <c r="K220">
        <v>4.75</v>
      </c>
      <c r="L220" t="s">
        <v>487</v>
      </c>
      <c r="M220">
        <v>145</v>
      </c>
      <c r="N220">
        <v>30.52</v>
      </c>
      <c r="O220" t="s">
        <v>60</v>
      </c>
      <c r="P220" t="s">
        <v>489</v>
      </c>
      <c r="Q220">
        <v>959</v>
      </c>
      <c r="R220">
        <v>213.31</v>
      </c>
    </row>
    <row r="221" spans="1:18" x14ac:dyDescent="0.35">
      <c r="A221" t="s">
        <v>197</v>
      </c>
      <c r="B221" t="s">
        <v>483</v>
      </c>
      <c r="C221" t="s">
        <v>484</v>
      </c>
      <c r="D221">
        <v>107844157</v>
      </c>
      <c r="E221" t="s">
        <v>519</v>
      </c>
      <c r="F221" t="s">
        <v>486</v>
      </c>
      <c r="G221">
        <v>0.25</v>
      </c>
      <c r="H221">
        <v>4.5</v>
      </c>
      <c r="I221">
        <v>0</v>
      </c>
      <c r="J221">
        <v>0</v>
      </c>
      <c r="K221">
        <v>4.75</v>
      </c>
      <c r="L221" t="s">
        <v>487</v>
      </c>
      <c r="M221">
        <v>145</v>
      </c>
      <c r="N221">
        <v>30.52</v>
      </c>
      <c r="O221" t="s">
        <v>60</v>
      </c>
      <c r="P221" t="s">
        <v>490</v>
      </c>
      <c r="Q221">
        <v>0</v>
      </c>
      <c r="R221">
        <v>0</v>
      </c>
    </row>
    <row r="222" spans="1:18" x14ac:dyDescent="0.35">
      <c r="A222" t="s">
        <v>197</v>
      </c>
      <c r="B222" t="s">
        <v>483</v>
      </c>
      <c r="C222" t="s">
        <v>484</v>
      </c>
      <c r="D222">
        <v>107844157</v>
      </c>
      <c r="E222" t="s">
        <v>519</v>
      </c>
      <c r="F222" t="s">
        <v>486</v>
      </c>
      <c r="G222">
        <v>0.25</v>
      </c>
      <c r="H222">
        <v>4.5</v>
      </c>
      <c r="I222">
        <v>0</v>
      </c>
      <c r="J222">
        <v>0</v>
      </c>
      <c r="K222">
        <v>4.75</v>
      </c>
      <c r="L222" t="s">
        <v>487</v>
      </c>
      <c r="M222">
        <v>145</v>
      </c>
      <c r="N222">
        <v>30.52</v>
      </c>
      <c r="O222" t="s">
        <v>60</v>
      </c>
      <c r="P222" t="s">
        <v>491</v>
      </c>
      <c r="Q222">
        <v>0</v>
      </c>
      <c r="R222">
        <v>0</v>
      </c>
    </row>
    <row r="223" spans="1:18" x14ac:dyDescent="0.35">
      <c r="A223" t="s">
        <v>197</v>
      </c>
      <c r="B223" t="s">
        <v>483</v>
      </c>
      <c r="C223" t="s">
        <v>484</v>
      </c>
      <c r="D223">
        <v>107844157</v>
      </c>
      <c r="E223" t="s">
        <v>519</v>
      </c>
      <c r="F223" t="s">
        <v>486</v>
      </c>
      <c r="G223">
        <v>0.25</v>
      </c>
      <c r="H223">
        <v>4.5</v>
      </c>
      <c r="I223">
        <v>0</v>
      </c>
      <c r="J223">
        <v>0</v>
      </c>
      <c r="K223">
        <v>4.75</v>
      </c>
      <c r="L223" t="s">
        <v>487</v>
      </c>
      <c r="M223">
        <v>145</v>
      </c>
      <c r="N223">
        <v>30.52</v>
      </c>
      <c r="O223" t="s">
        <v>60</v>
      </c>
      <c r="P223" t="s">
        <v>492</v>
      </c>
      <c r="Q223">
        <v>1231</v>
      </c>
      <c r="R223">
        <v>259.14</v>
      </c>
    </row>
    <row r="224" spans="1:18" x14ac:dyDescent="0.35">
      <c r="A224" t="s">
        <v>197</v>
      </c>
      <c r="B224" t="s">
        <v>483</v>
      </c>
      <c r="C224" t="s">
        <v>484</v>
      </c>
      <c r="D224">
        <v>107844157</v>
      </c>
      <c r="E224" t="s">
        <v>519</v>
      </c>
      <c r="F224" t="s">
        <v>486</v>
      </c>
      <c r="G224">
        <v>0.25</v>
      </c>
      <c r="H224">
        <v>4.5</v>
      </c>
      <c r="I224">
        <v>0</v>
      </c>
      <c r="J224">
        <v>0</v>
      </c>
      <c r="K224">
        <v>4.75</v>
      </c>
      <c r="L224" t="s">
        <v>487</v>
      </c>
      <c r="M224">
        <v>145</v>
      </c>
      <c r="N224">
        <v>30.52</v>
      </c>
      <c r="O224" t="s">
        <v>81</v>
      </c>
      <c r="P224" t="s">
        <v>492</v>
      </c>
      <c r="Q224">
        <v>145</v>
      </c>
      <c r="R224">
        <v>30.52</v>
      </c>
    </row>
    <row r="225" spans="1:18" x14ac:dyDescent="0.35">
      <c r="A225" t="s">
        <v>197</v>
      </c>
      <c r="B225" t="s">
        <v>483</v>
      </c>
      <c r="C225" t="s">
        <v>484</v>
      </c>
      <c r="D225">
        <v>107844157</v>
      </c>
      <c r="E225" t="s">
        <v>519</v>
      </c>
      <c r="F225" t="s">
        <v>486</v>
      </c>
      <c r="G225">
        <v>0.25</v>
      </c>
      <c r="H225">
        <v>4.5</v>
      </c>
      <c r="I225">
        <v>0</v>
      </c>
      <c r="J225">
        <v>0</v>
      </c>
      <c r="K225">
        <v>4.75</v>
      </c>
      <c r="L225" t="s">
        <v>487</v>
      </c>
      <c r="M225">
        <v>145</v>
      </c>
      <c r="N225">
        <v>30.52</v>
      </c>
      <c r="O225" t="s">
        <v>85</v>
      </c>
      <c r="P225" t="s">
        <v>492</v>
      </c>
      <c r="Q225">
        <v>0</v>
      </c>
      <c r="R225">
        <v>0</v>
      </c>
    </row>
    <row r="226" spans="1:18" x14ac:dyDescent="0.35">
      <c r="A226" t="s">
        <v>197</v>
      </c>
      <c r="B226" t="s">
        <v>483</v>
      </c>
      <c r="C226" t="s">
        <v>493</v>
      </c>
      <c r="D226">
        <v>107868365</v>
      </c>
      <c r="E226" t="s">
        <v>521</v>
      </c>
      <c r="F226" t="s">
        <v>486</v>
      </c>
      <c r="G226">
        <v>0.25</v>
      </c>
      <c r="H226">
        <v>4.07</v>
      </c>
      <c r="I226">
        <v>0.35</v>
      </c>
      <c r="J226">
        <v>0</v>
      </c>
      <c r="K226">
        <v>4.67</v>
      </c>
      <c r="L226" t="s">
        <v>487</v>
      </c>
      <c r="M226">
        <v>222</v>
      </c>
      <c r="N226">
        <v>47.54</v>
      </c>
      <c r="O226" t="s">
        <v>60</v>
      </c>
      <c r="P226" t="s">
        <v>488</v>
      </c>
      <c r="Q226">
        <v>309</v>
      </c>
      <c r="R226">
        <v>1244.3</v>
      </c>
    </row>
    <row r="227" spans="1:18" x14ac:dyDescent="0.35">
      <c r="A227" t="s">
        <v>197</v>
      </c>
      <c r="B227" t="s">
        <v>483</v>
      </c>
      <c r="C227" t="s">
        <v>493</v>
      </c>
      <c r="D227">
        <v>107868365</v>
      </c>
      <c r="E227" t="s">
        <v>521</v>
      </c>
      <c r="F227" t="s">
        <v>486</v>
      </c>
      <c r="G227">
        <v>0.25</v>
      </c>
      <c r="H227">
        <v>4.07</v>
      </c>
      <c r="I227">
        <v>0.35</v>
      </c>
      <c r="J227">
        <v>0</v>
      </c>
      <c r="K227">
        <v>4.67</v>
      </c>
      <c r="L227" t="s">
        <v>487</v>
      </c>
      <c r="M227">
        <v>222</v>
      </c>
      <c r="N227">
        <v>47.54</v>
      </c>
      <c r="O227" t="s">
        <v>60</v>
      </c>
      <c r="P227" t="s">
        <v>489</v>
      </c>
      <c r="Q227">
        <v>1010</v>
      </c>
      <c r="R227">
        <v>247.97</v>
      </c>
    </row>
    <row r="228" spans="1:18" x14ac:dyDescent="0.35">
      <c r="A228" t="s">
        <v>197</v>
      </c>
      <c r="B228" t="s">
        <v>483</v>
      </c>
      <c r="C228" t="s">
        <v>493</v>
      </c>
      <c r="D228">
        <v>107868365</v>
      </c>
      <c r="E228" t="s">
        <v>521</v>
      </c>
      <c r="F228" t="s">
        <v>486</v>
      </c>
      <c r="G228">
        <v>0.25</v>
      </c>
      <c r="H228">
        <v>4.07</v>
      </c>
      <c r="I228">
        <v>0.35</v>
      </c>
      <c r="J228">
        <v>0</v>
      </c>
      <c r="K228">
        <v>4.67</v>
      </c>
      <c r="L228" t="s">
        <v>487</v>
      </c>
      <c r="M228">
        <v>222</v>
      </c>
      <c r="N228">
        <v>47.54</v>
      </c>
      <c r="O228" t="s">
        <v>60</v>
      </c>
      <c r="P228" t="s">
        <v>490</v>
      </c>
      <c r="Q228">
        <v>66</v>
      </c>
      <c r="R228">
        <v>189.78</v>
      </c>
    </row>
    <row r="229" spans="1:18" x14ac:dyDescent="0.35">
      <c r="A229" t="s">
        <v>197</v>
      </c>
      <c r="B229" t="s">
        <v>483</v>
      </c>
      <c r="C229" t="s">
        <v>493</v>
      </c>
      <c r="D229">
        <v>107868365</v>
      </c>
      <c r="E229" t="s">
        <v>521</v>
      </c>
      <c r="F229" t="s">
        <v>486</v>
      </c>
      <c r="G229">
        <v>0.25</v>
      </c>
      <c r="H229">
        <v>4.07</v>
      </c>
      <c r="I229">
        <v>0.35</v>
      </c>
      <c r="J229">
        <v>0</v>
      </c>
      <c r="K229">
        <v>4.67</v>
      </c>
      <c r="L229" t="s">
        <v>487</v>
      </c>
      <c r="M229">
        <v>222</v>
      </c>
      <c r="N229">
        <v>47.54</v>
      </c>
      <c r="O229" t="s">
        <v>60</v>
      </c>
      <c r="P229" t="s">
        <v>491</v>
      </c>
      <c r="Q229">
        <v>0</v>
      </c>
      <c r="R229">
        <v>0</v>
      </c>
    </row>
    <row r="230" spans="1:18" x14ac:dyDescent="0.35">
      <c r="A230" t="s">
        <v>197</v>
      </c>
      <c r="B230" t="s">
        <v>483</v>
      </c>
      <c r="C230" t="s">
        <v>493</v>
      </c>
      <c r="D230">
        <v>107868365</v>
      </c>
      <c r="E230" t="s">
        <v>521</v>
      </c>
      <c r="F230" t="s">
        <v>486</v>
      </c>
      <c r="G230">
        <v>0.25</v>
      </c>
      <c r="H230">
        <v>4.07</v>
      </c>
      <c r="I230">
        <v>0.35</v>
      </c>
      <c r="J230">
        <v>0</v>
      </c>
      <c r="K230">
        <v>4.67</v>
      </c>
      <c r="L230" t="s">
        <v>487</v>
      </c>
      <c r="M230">
        <v>222</v>
      </c>
      <c r="N230">
        <v>47.54</v>
      </c>
      <c r="O230" t="s">
        <v>60</v>
      </c>
      <c r="P230" t="s">
        <v>492</v>
      </c>
      <c r="Q230">
        <v>1385</v>
      </c>
      <c r="R230">
        <v>296.58999999999997</v>
      </c>
    </row>
    <row r="231" spans="1:18" x14ac:dyDescent="0.35">
      <c r="A231" t="s">
        <v>197</v>
      </c>
      <c r="B231" t="s">
        <v>483</v>
      </c>
      <c r="C231" t="s">
        <v>493</v>
      </c>
      <c r="D231">
        <v>107868365</v>
      </c>
      <c r="E231" t="s">
        <v>521</v>
      </c>
      <c r="F231" t="s">
        <v>486</v>
      </c>
      <c r="G231">
        <v>0.25</v>
      </c>
      <c r="H231">
        <v>4.07</v>
      </c>
      <c r="I231">
        <v>0.35</v>
      </c>
      <c r="J231">
        <v>0</v>
      </c>
      <c r="K231">
        <v>4.67</v>
      </c>
      <c r="L231" t="s">
        <v>487</v>
      </c>
      <c r="M231">
        <v>222</v>
      </c>
      <c r="N231">
        <v>47.54</v>
      </c>
      <c r="O231" t="s">
        <v>81</v>
      </c>
      <c r="P231" t="s">
        <v>492</v>
      </c>
      <c r="Q231">
        <v>222</v>
      </c>
      <c r="R231">
        <v>47.54</v>
      </c>
    </row>
    <row r="232" spans="1:18" x14ac:dyDescent="0.35">
      <c r="A232" t="s">
        <v>197</v>
      </c>
      <c r="B232" t="s">
        <v>483</v>
      </c>
      <c r="C232" t="s">
        <v>493</v>
      </c>
      <c r="D232">
        <v>107868365</v>
      </c>
      <c r="E232" t="s">
        <v>521</v>
      </c>
      <c r="F232" t="s">
        <v>486</v>
      </c>
      <c r="G232">
        <v>0.25</v>
      </c>
      <c r="H232">
        <v>4.07</v>
      </c>
      <c r="I232">
        <v>0.35</v>
      </c>
      <c r="J232">
        <v>0</v>
      </c>
      <c r="K232">
        <v>4.67</v>
      </c>
      <c r="L232" t="s">
        <v>487</v>
      </c>
      <c r="M232">
        <v>222</v>
      </c>
      <c r="N232">
        <v>47.54</v>
      </c>
      <c r="O232" t="s">
        <v>85</v>
      </c>
      <c r="P232" t="s">
        <v>492</v>
      </c>
      <c r="Q232">
        <v>0</v>
      </c>
      <c r="R232">
        <v>0</v>
      </c>
    </row>
    <row r="233" spans="1:18" x14ac:dyDescent="0.35">
      <c r="A233" t="s">
        <v>34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I141"/>
  <sheetViews>
    <sheetView workbookViewId="0">
      <selection sqref="A1:A1048576"/>
    </sheetView>
  </sheetViews>
  <sheetFormatPr defaultRowHeight="14.5" x14ac:dyDescent="0.35"/>
  <cols>
    <col min="1" max="1" width="9.90625" bestFit="1" customWidth="1"/>
    <col min="2" max="2" width="11.08984375" bestFit="1" customWidth="1"/>
    <col min="3" max="3" width="24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>
    <row r="1" spans="1:9" x14ac:dyDescent="0.35">
      <c r="A1" t="s">
        <v>462</v>
      </c>
      <c r="B1" t="s">
        <v>454</v>
      </c>
      <c r="C1" t="s">
        <v>468</v>
      </c>
      <c r="D1" t="s">
        <v>469</v>
      </c>
      <c r="E1" t="s">
        <v>453</v>
      </c>
      <c r="F1" t="s">
        <v>470</v>
      </c>
      <c r="G1" t="s">
        <v>41</v>
      </c>
      <c r="H1" t="s">
        <v>471</v>
      </c>
      <c r="I1" t="s">
        <v>472</v>
      </c>
    </row>
    <row r="2" spans="1:9" x14ac:dyDescent="0.35">
      <c r="A2" t="s">
        <v>487</v>
      </c>
      <c r="B2">
        <v>105611852</v>
      </c>
      <c r="C2" t="s">
        <v>637</v>
      </c>
      <c r="D2" t="s">
        <v>486</v>
      </c>
      <c r="E2" t="s">
        <v>484</v>
      </c>
      <c r="F2">
        <v>218</v>
      </c>
      <c r="G2" t="s">
        <v>60</v>
      </c>
      <c r="H2" t="s">
        <v>492</v>
      </c>
      <c r="I2">
        <v>2705</v>
      </c>
    </row>
    <row r="3" spans="1:9" x14ac:dyDescent="0.35">
      <c r="A3" t="s">
        <v>487</v>
      </c>
      <c r="B3">
        <v>105611852</v>
      </c>
      <c r="C3" t="s">
        <v>637</v>
      </c>
      <c r="D3" t="s">
        <v>486</v>
      </c>
      <c r="E3" t="s">
        <v>484</v>
      </c>
      <c r="F3">
        <v>218</v>
      </c>
      <c r="G3" t="s">
        <v>60</v>
      </c>
      <c r="H3" t="s">
        <v>488</v>
      </c>
      <c r="I3">
        <v>906</v>
      </c>
    </row>
    <row r="4" spans="1:9" x14ac:dyDescent="0.35">
      <c r="A4" t="s">
        <v>487</v>
      </c>
      <c r="B4">
        <v>105611852</v>
      </c>
      <c r="C4" t="s">
        <v>637</v>
      </c>
      <c r="D4" t="s">
        <v>486</v>
      </c>
      <c r="E4" t="s">
        <v>484</v>
      </c>
      <c r="F4">
        <v>218</v>
      </c>
      <c r="G4" t="s">
        <v>60</v>
      </c>
      <c r="H4" t="s">
        <v>489</v>
      </c>
      <c r="I4">
        <v>1799</v>
      </c>
    </row>
    <row r="5" spans="1:9" x14ac:dyDescent="0.35">
      <c r="A5" t="s">
        <v>487</v>
      </c>
      <c r="B5">
        <v>105611852</v>
      </c>
      <c r="C5" t="s">
        <v>637</v>
      </c>
      <c r="D5" t="s">
        <v>486</v>
      </c>
      <c r="E5" t="s">
        <v>484</v>
      </c>
      <c r="F5">
        <v>218</v>
      </c>
      <c r="G5" t="s">
        <v>81</v>
      </c>
      <c r="H5" t="s">
        <v>492</v>
      </c>
      <c r="I5">
        <v>218</v>
      </c>
    </row>
    <row r="6" spans="1:9" x14ac:dyDescent="0.35">
      <c r="A6" t="s">
        <v>487</v>
      </c>
      <c r="B6">
        <v>106640096</v>
      </c>
      <c r="C6" t="s">
        <v>498</v>
      </c>
      <c r="D6" t="s">
        <v>486</v>
      </c>
      <c r="E6" t="s">
        <v>484</v>
      </c>
      <c r="F6">
        <v>153</v>
      </c>
      <c r="G6" t="s">
        <v>60</v>
      </c>
      <c r="H6" t="s">
        <v>492</v>
      </c>
      <c r="I6">
        <v>1161</v>
      </c>
    </row>
    <row r="7" spans="1:9" x14ac:dyDescent="0.35">
      <c r="A7" t="s">
        <v>487</v>
      </c>
      <c r="B7">
        <v>106640096</v>
      </c>
      <c r="C7" t="s">
        <v>498</v>
      </c>
      <c r="D7" t="s">
        <v>486</v>
      </c>
      <c r="E7" t="s">
        <v>484</v>
      </c>
      <c r="F7">
        <v>153</v>
      </c>
      <c r="G7" t="s">
        <v>60</v>
      </c>
      <c r="H7" t="s">
        <v>488</v>
      </c>
      <c r="I7">
        <v>246</v>
      </c>
    </row>
    <row r="8" spans="1:9" x14ac:dyDescent="0.35">
      <c r="A8" t="s">
        <v>487</v>
      </c>
      <c r="B8">
        <v>106640096</v>
      </c>
      <c r="C8" t="s">
        <v>498</v>
      </c>
      <c r="D8" t="s">
        <v>486</v>
      </c>
      <c r="E8" t="s">
        <v>484</v>
      </c>
      <c r="F8">
        <v>153</v>
      </c>
      <c r="G8" t="s">
        <v>60</v>
      </c>
      <c r="H8" t="s">
        <v>489</v>
      </c>
      <c r="I8">
        <v>915</v>
      </c>
    </row>
    <row r="9" spans="1:9" x14ac:dyDescent="0.35">
      <c r="A9" t="s">
        <v>487</v>
      </c>
      <c r="B9">
        <v>106640096</v>
      </c>
      <c r="C9" t="s">
        <v>498</v>
      </c>
      <c r="D9" t="s">
        <v>486</v>
      </c>
      <c r="E9" t="s">
        <v>484</v>
      </c>
      <c r="F9">
        <v>153</v>
      </c>
      <c r="G9" t="s">
        <v>81</v>
      </c>
      <c r="H9" t="s">
        <v>492</v>
      </c>
      <c r="I9">
        <v>153</v>
      </c>
    </row>
    <row r="10" spans="1:9" x14ac:dyDescent="0.35">
      <c r="A10" t="s">
        <v>487</v>
      </c>
      <c r="B10">
        <v>105583964</v>
      </c>
      <c r="C10" t="s">
        <v>636</v>
      </c>
      <c r="D10" t="s">
        <v>499</v>
      </c>
      <c r="E10" t="s">
        <v>484</v>
      </c>
      <c r="F10">
        <v>39</v>
      </c>
      <c r="G10" t="s">
        <v>60</v>
      </c>
      <c r="H10" t="s">
        <v>492</v>
      </c>
      <c r="I10">
        <v>503</v>
      </c>
    </row>
    <row r="11" spans="1:9" x14ac:dyDescent="0.35">
      <c r="A11" t="s">
        <v>487</v>
      </c>
      <c r="B11">
        <v>105583964</v>
      </c>
      <c r="C11" t="s">
        <v>636</v>
      </c>
      <c r="D11" t="s">
        <v>499</v>
      </c>
      <c r="E11" t="s">
        <v>484</v>
      </c>
      <c r="F11">
        <v>39</v>
      </c>
      <c r="G11" t="s">
        <v>81</v>
      </c>
      <c r="H11" t="s">
        <v>492</v>
      </c>
      <c r="I11">
        <v>39</v>
      </c>
    </row>
    <row r="12" spans="1:9" x14ac:dyDescent="0.35">
      <c r="A12" t="s">
        <v>487</v>
      </c>
      <c r="B12">
        <v>107844157</v>
      </c>
      <c r="C12" t="s">
        <v>519</v>
      </c>
      <c r="D12" t="s">
        <v>486</v>
      </c>
      <c r="E12" t="s">
        <v>484</v>
      </c>
      <c r="F12">
        <v>145</v>
      </c>
      <c r="G12" t="s">
        <v>60</v>
      </c>
      <c r="H12" t="s">
        <v>492</v>
      </c>
      <c r="I12">
        <v>1231</v>
      </c>
    </row>
    <row r="13" spans="1:9" x14ac:dyDescent="0.35">
      <c r="A13" t="s">
        <v>487</v>
      </c>
      <c r="B13">
        <v>107844157</v>
      </c>
      <c r="C13" t="s">
        <v>519</v>
      </c>
      <c r="D13" t="s">
        <v>486</v>
      </c>
      <c r="E13" t="s">
        <v>484</v>
      </c>
      <c r="F13">
        <v>145</v>
      </c>
      <c r="G13" t="s">
        <v>60</v>
      </c>
      <c r="H13" t="s">
        <v>488</v>
      </c>
      <c r="I13">
        <v>272</v>
      </c>
    </row>
    <row r="14" spans="1:9" x14ac:dyDescent="0.35">
      <c r="A14" t="s">
        <v>487</v>
      </c>
      <c r="B14">
        <v>107844157</v>
      </c>
      <c r="C14" t="s">
        <v>519</v>
      </c>
      <c r="D14" t="s">
        <v>486</v>
      </c>
      <c r="E14" t="s">
        <v>484</v>
      </c>
      <c r="F14">
        <v>145</v>
      </c>
      <c r="G14" t="s">
        <v>60</v>
      </c>
      <c r="H14" t="s">
        <v>489</v>
      </c>
      <c r="I14">
        <v>959</v>
      </c>
    </row>
    <row r="15" spans="1:9" x14ac:dyDescent="0.35">
      <c r="A15" t="s">
        <v>487</v>
      </c>
      <c r="B15">
        <v>107844157</v>
      </c>
      <c r="C15" t="s">
        <v>519</v>
      </c>
      <c r="D15" t="s">
        <v>486</v>
      </c>
      <c r="E15" t="s">
        <v>484</v>
      </c>
      <c r="F15">
        <v>145</v>
      </c>
      <c r="G15" t="s">
        <v>81</v>
      </c>
      <c r="H15" t="s">
        <v>492</v>
      </c>
      <c r="I15">
        <v>145</v>
      </c>
    </row>
    <row r="16" spans="1:9" x14ac:dyDescent="0.35">
      <c r="A16" t="s">
        <v>487</v>
      </c>
      <c r="B16">
        <v>107843891</v>
      </c>
      <c r="C16" t="s">
        <v>518</v>
      </c>
      <c r="D16" t="s">
        <v>486</v>
      </c>
      <c r="E16" t="s">
        <v>484</v>
      </c>
      <c r="F16">
        <v>189</v>
      </c>
      <c r="G16" t="s">
        <v>60</v>
      </c>
      <c r="H16" t="s">
        <v>492</v>
      </c>
      <c r="I16">
        <v>1968</v>
      </c>
    </row>
    <row r="17" spans="1:9" x14ac:dyDescent="0.35">
      <c r="A17" t="s">
        <v>487</v>
      </c>
      <c r="B17">
        <v>107843891</v>
      </c>
      <c r="C17" t="s">
        <v>518</v>
      </c>
      <c r="D17" t="s">
        <v>486</v>
      </c>
      <c r="E17" t="s">
        <v>484</v>
      </c>
      <c r="F17">
        <v>189</v>
      </c>
      <c r="G17" t="s">
        <v>60</v>
      </c>
      <c r="H17" t="s">
        <v>488</v>
      </c>
      <c r="I17">
        <v>605</v>
      </c>
    </row>
    <row r="18" spans="1:9" x14ac:dyDescent="0.35">
      <c r="A18" t="s">
        <v>487</v>
      </c>
      <c r="B18">
        <v>107843891</v>
      </c>
      <c r="C18" t="s">
        <v>518</v>
      </c>
      <c r="D18" t="s">
        <v>486</v>
      </c>
      <c r="E18" t="s">
        <v>484</v>
      </c>
      <c r="F18">
        <v>189</v>
      </c>
      <c r="G18" t="s">
        <v>60</v>
      </c>
      <c r="H18" t="s">
        <v>489</v>
      </c>
      <c r="I18">
        <v>1363</v>
      </c>
    </row>
    <row r="19" spans="1:9" x14ac:dyDescent="0.35">
      <c r="A19" t="s">
        <v>487</v>
      </c>
      <c r="B19">
        <v>107843891</v>
      </c>
      <c r="C19" t="s">
        <v>518</v>
      </c>
      <c r="D19" t="s">
        <v>486</v>
      </c>
      <c r="E19" t="s">
        <v>484</v>
      </c>
      <c r="F19">
        <v>189</v>
      </c>
      <c r="G19" t="s">
        <v>81</v>
      </c>
      <c r="H19" t="s">
        <v>492</v>
      </c>
      <c r="I19">
        <v>189</v>
      </c>
    </row>
    <row r="20" spans="1:9" x14ac:dyDescent="0.35">
      <c r="A20" t="s">
        <v>487</v>
      </c>
      <c r="B20">
        <v>106140648</v>
      </c>
      <c r="C20" t="s">
        <v>638</v>
      </c>
      <c r="D20" t="s">
        <v>497</v>
      </c>
      <c r="E20" t="s">
        <v>484</v>
      </c>
      <c r="F20">
        <v>363</v>
      </c>
      <c r="G20" t="s">
        <v>60</v>
      </c>
      <c r="H20" t="s">
        <v>492</v>
      </c>
      <c r="I20">
        <v>3806</v>
      </c>
    </row>
    <row r="21" spans="1:9" x14ac:dyDescent="0.35">
      <c r="A21" t="s">
        <v>487</v>
      </c>
      <c r="B21">
        <v>106140648</v>
      </c>
      <c r="C21" t="s">
        <v>638</v>
      </c>
      <c r="D21" t="s">
        <v>497</v>
      </c>
      <c r="E21" t="s">
        <v>484</v>
      </c>
      <c r="F21">
        <v>363</v>
      </c>
      <c r="G21" t="s">
        <v>60</v>
      </c>
      <c r="H21" t="s">
        <v>488</v>
      </c>
      <c r="I21">
        <v>1922</v>
      </c>
    </row>
    <row r="22" spans="1:9" x14ac:dyDescent="0.35">
      <c r="A22" t="s">
        <v>487</v>
      </c>
      <c r="B22">
        <v>106140648</v>
      </c>
      <c r="C22" t="s">
        <v>638</v>
      </c>
      <c r="D22" t="s">
        <v>497</v>
      </c>
      <c r="E22" t="s">
        <v>484</v>
      </c>
      <c r="F22">
        <v>363</v>
      </c>
      <c r="G22" t="s">
        <v>60</v>
      </c>
      <c r="H22" t="s">
        <v>489</v>
      </c>
      <c r="I22">
        <v>1884</v>
      </c>
    </row>
    <row r="23" spans="1:9" x14ac:dyDescent="0.35">
      <c r="A23" t="s">
        <v>487</v>
      </c>
      <c r="B23">
        <v>106140648</v>
      </c>
      <c r="C23" t="s">
        <v>638</v>
      </c>
      <c r="D23" t="s">
        <v>497</v>
      </c>
      <c r="E23" t="s">
        <v>484</v>
      </c>
      <c r="F23">
        <v>363</v>
      </c>
      <c r="G23" t="s">
        <v>81</v>
      </c>
      <c r="H23" t="s">
        <v>492</v>
      </c>
      <c r="I23">
        <v>363</v>
      </c>
    </row>
    <row r="24" spans="1:9" x14ac:dyDescent="0.35">
      <c r="A24" t="s">
        <v>487</v>
      </c>
      <c r="B24">
        <v>107221237</v>
      </c>
      <c r="C24" t="s">
        <v>527</v>
      </c>
      <c r="D24" t="s">
        <v>486</v>
      </c>
      <c r="E24" t="s">
        <v>493</v>
      </c>
      <c r="F24">
        <v>263</v>
      </c>
      <c r="G24" t="s">
        <v>60</v>
      </c>
      <c r="H24" t="s">
        <v>492</v>
      </c>
      <c r="I24">
        <v>3079</v>
      </c>
    </row>
    <row r="25" spans="1:9" x14ac:dyDescent="0.35">
      <c r="A25" t="s">
        <v>487</v>
      </c>
      <c r="B25">
        <v>107221237</v>
      </c>
      <c r="C25" t="s">
        <v>527</v>
      </c>
      <c r="D25" t="s">
        <v>486</v>
      </c>
      <c r="E25" t="s">
        <v>493</v>
      </c>
      <c r="F25">
        <v>263</v>
      </c>
      <c r="G25" t="s">
        <v>60</v>
      </c>
      <c r="H25" t="s">
        <v>488</v>
      </c>
      <c r="I25">
        <v>970</v>
      </c>
    </row>
    <row r="26" spans="1:9" x14ac:dyDescent="0.35">
      <c r="A26" t="s">
        <v>487</v>
      </c>
      <c r="B26">
        <v>107221237</v>
      </c>
      <c r="C26" t="s">
        <v>527</v>
      </c>
      <c r="D26" t="s">
        <v>486</v>
      </c>
      <c r="E26" t="s">
        <v>493</v>
      </c>
      <c r="F26">
        <v>263</v>
      </c>
      <c r="G26" t="s">
        <v>60</v>
      </c>
      <c r="H26" t="s">
        <v>489</v>
      </c>
      <c r="I26">
        <v>2109</v>
      </c>
    </row>
    <row r="27" spans="1:9" x14ac:dyDescent="0.35">
      <c r="A27" t="s">
        <v>487</v>
      </c>
      <c r="B27">
        <v>107221237</v>
      </c>
      <c r="C27" t="s">
        <v>527</v>
      </c>
      <c r="D27" t="s">
        <v>486</v>
      </c>
      <c r="E27" t="s">
        <v>493</v>
      </c>
      <c r="F27">
        <v>263</v>
      </c>
      <c r="G27" t="s">
        <v>81</v>
      </c>
      <c r="H27" t="s">
        <v>492</v>
      </c>
      <c r="I27">
        <v>263</v>
      </c>
    </row>
    <row r="28" spans="1:9" x14ac:dyDescent="0.35">
      <c r="A28" t="s">
        <v>487</v>
      </c>
      <c r="B28">
        <v>107791373</v>
      </c>
      <c r="C28" t="s">
        <v>529</v>
      </c>
      <c r="D28" t="s">
        <v>486</v>
      </c>
      <c r="E28" t="s">
        <v>484</v>
      </c>
      <c r="F28">
        <v>453</v>
      </c>
      <c r="G28" t="s">
        <v>60</v>
      </c>
      <c r="H28" t="s">
        <v>492</v>
      </c>
      <c r="I28">
        <v>4729</v>
      </c>
    </row>
    <row r="29" spans="1:9" x14ac:dyDescent="0.35">
      <c r="A29" t="s">
        <v>487</v>
      </c>
      <c r="B29">
        <v>107791373</v>
      </c>
      <c r="C29" t="s">
        <v>529</v>
      </c>
      <c r="D29" t="s">
        <v>486</v>
      </c>
      <c r="E29" t="s">
        <v>484</v>
      </c>
      <c r="F29">
        <v>453</v>
      </c>
      <c r="G29" t="s">
        <v>60</v>
      </c>
      <c r="H29" t="s">
        <v>488</v>
      </c>
      <c r="I29">
        <v>1558</v>
      </c>
    </row>
    <row r="30" spans="1:9" x14ac:dyDescent="0.35">
      <c r="A30" t="s">
        <v>487</v>
      </c>
      <c r="B30">
        <v>107791373</v>
      </c>
      <c r="C30" t="s">
        <v>529</v>
      </c>
      <c r="D30" t="s">
        <v>486</v>
      </c>
      <c r="E30" t="s">
        <v>484</v>
      </c>
      <c r="F30">
        <v>453</v>
      </c>
      <c r="G30" t="s">
        <v>60</v>
      </c>
      <c r="H30" t="s">
        <v>489</v>
      </c>
      <c r="I30">
        <v>3171</v>
      </c>
    </row>
    <row r="31" spans="1:9" x14ac:dyDescent="0.35">
      <c r="A31" t="s">
        <v>487</v>
      </c>
      <c r="B31">
        <v>107791373</v>
      </c>
      <c r="C31" t="s">
        <v>529</v>
      </c>
      <c r="D31" t="s">
        <v>486</v>
      </c>
      <c r="E31" t="s">
        <v>484</v>
      </c>
      <c r="F31">
        <v>453</v>
      </c>
      <c r="G31" t="s">
        <v>81</v>
      </c>
      <c r="H31" t="s">
        <v>492</v>
      </c>
      <c r="I31">
        <v>453</v>
      </c>
    </row>
    <row r="32" spans="1:9" x14ac:dyDescent="0.35">
      <c r="A32" t="s">
        <v>487</v>
      </c>
      <c r="B32">
        <v>105785229</v>
      </c>
      <c r="C32" t="s">
        <v>588</v>
      </c>
      <c r="D32" t="s">
        <v>497</v>
      </c>
      <c r="E32" t="s">
        <v>484</v>
      </c>
      <c r="F32">
        <v>179</v>
      </c>
      <c r="G32" t="s">
        <v>60</v>
      </c>
      <c r="H32" t="s">
        <v>492</v>
      </c>
      <c r="I32">
        <v>780</v>
      </c>
    </row>
    <row r="33" spans="1:9" x14ac:dyDescent="0.35">
      <c r="A33" t="s">
        <v>487</v>
      </c>
      <c r="B33">
        <v>105785229</v>
      </c>
      <c r="C33" t="s">
        <v>588</v>
      </c>
      <c r="D33" t="s">
        <v>497</v>
      </c>
      <c r="E33" t="s">
        <v>484</v>
      </c>
      <c r="F33">
        <v>179</v>
      </c>
      <c r="G33" t="s">
        <v>81</v>
      </c>
      <c r="H33" t="s">
        <v>492</v>
      </c>
      <c r="I33">
        <v>179</v>
      </c>
    </row>
    <row r="34" spans="1:9" x14ac:dyDescent="0.35">
      <c r="A34" t="s">
        <v>487</v>
      </c>
      <c r="B34">
        <v>107221222</v>
      </c>
      <c r="C34" t="s">
        <v>501</v>
      </c>
      <c r="D34" t="s">
        <v>486</v>
      </c>
      <c r="E34" t="s">
        <v>484</v>
      </c>
      <c r="F34">
        <v>446</v>
      </c>
      <c r="G34" t="s">
        <v>60</v>
      </c>
      <c r="H34" t="s">
        <v>492</v>
      </c>
      <c r="I34">
        <v>2666</v>
      </c>
    </row>
    <row r="35" spans="1:9" x14ac:dyDescent="0.35">
      <c r="A35" t="s">
        <v>487</v>
      </c>
      <c r="B35">
        <v>107221222</v>
      </c>
      <c r="C35" t="s">
        <v>501</v>
      </c>
      <c r="D35" t="s">
        <v>486</v>
      </c>
      <c r="E35" t="s">
        <v>484</v>
      </c>
      <c r="F35">
        <v>446</v>
      </c>
      <c r="G35" t="s">
        <v>60</v>
      </c>
      <c r="H35" t="s">
        <v>488</v>
      </c>
      <c r="I35">
        <v>506</v>
      </c>
    </row>
    <row r="36" spans="1:9" x14ac:dyDescent="0.35">
      <c r="A36" t="s">
        <v>487</v>
      </c>
      <c r="B36">
        <v>107221222</v>
      </c>
      <c r="C36" t="s">
        <v>501</v>
      </c>
      <c r="D36" t="s">
        <v>486</v>
      </c>
      <c r="E36" t="s">
        <v>484</v>
      </c>
      <c r="F36">
        <v>446</v>
      </c>
      <c r="G36" t="s">
        <v>60</v>
      </c>
      <c r="H36" t="s">
        <v>489</v>
      </c>
      <c r="I36">
        <v>2134</v>
      </c>
    </row>
    <row r="37" spans="1:9" x14ac:dyDescent="0.35">
      <c r="A37" t="s">
        <v>487</v>
      </c>
      <c r="B37">
        <v>107221222</v>
      </c>
      <c r="C37" t="s">
        <v>501</v>
      </c>
      <c r="D37" t="s">
        <v>486</v>
      </c>
      <c r="E37" t="s">
        <v>484</v>
      </c>
      <c r="F37">
        <v>446</v>
      </c>
      <c r="G37" t="s">
        <v>60</v>
      </c>
      <c r="H37" t="s">
        <v>490</v>
      </c>
      <c r="I37">
        <v>26</v>
      </c>
    </row>
    <row r="38" spans="1:9" x14ac:dyDescent="0.35">
      <c r="A38" t="s">
        <v>487</v>
      </c>
      <c r="B38">
        <v>107221222</v>
      </c>
      <c r="C38" t="s">
        <v>501</v>
      </c>
      <c r="D38" t="s">
        <v>486</v>
      </c>
      <c r="E38" t="s">
        <v>484</v>
      </c>
      <c r="F38">
        <v>446</v>
      </c>
      <c r="G38" t="s">
        <v>81</v>
      </c>
      <c r="H38" t="s">
        <v>492</v>
      </c>
      <c r="I38">
        <v>446</v>
      </c>
    </row>
    <row r="39" spans="1:9" x14ac:dyDescent="0.35">
      <c r="A39" t="s">
        <v>487</v>
      </c>
      <c r="B39">
        <v>107843844</v>
      </c>
      <c r="C39" t="s">
        <v>516</v>
      </c>
      <c r="D39" t="s">
        <v>486</v>
      </c>
      <c r="E39" t="s">
        <v>484</v>
      </c>
      <c r="F39">
        <v>74</v>
      </c>
      <c r="G39" t="s">
        <v>60</v>
      </c>
      <c r="H39" t="s">
        <v>492</v>
      </c>
      <c r="I39">
        <v>1233</v>
      </c>
    </row>
    <row r="40" spans="1:9" x14ac:dyDescent="0.35">
      <c r="A40" t="s">
        <v>487</v>
      </c>
      <c r="B40">
        <v>107843844</v>
      </c>
      <c r="C40" t="s">
        <v>516</v>
      </c>
      <c r="D40" t="s">
        <v>486</v>
      </c>
      <c r="E40" t="s">
        <v>484</v>
      </c>
      <c r="F40">
        <v>74</v>
      </c>
      <c r="G40" t="s">
        <v>60</v>
      </c>
      <c r="H40" t="s">
        <v>488</v>
      </c>
      <c r="I40">
        <v>348</v>
      </c>
    </row>
    <row r="41" spans="1:9" x14ac:dyDescent="0.35">
      <c r="A41" t="s">
        <v>487</v>
      </c>
      <c r="B41">
        <v>107843844</v>
      </c>
      <c r="C41" t="s">
        <v>516</v>
      </c>
      <c r="D41" t="s">
        <v>486</v>
      </c>
      <c r="E41" t="s">
        <v>484</v>
      </c>
      <c r="F41">
        <v>74</v>
      </c>
      <c r="G41" t="s">
        <v>60</v>
      </c>
      <c r="H41" t="s">
        <v>489</v>
      </c>
      <c r="I41">
        <v>885</v>
      </c>
    </row>
    <row r="42" spans="1:9" x14ac:dyDescent="0.35">
      <c r="A42" t="s">
        <v>487</v>
      </c>
      <c r="B42">
        <v>107843844</v>
      </c>
      <c r="C42" t="s">
        <v>516</v>
      </c>
      <c r="D42" t="s">
        <v>486</v>
      </c>
      <c r="E42" t="s">
        <v>484</v>
      </c>
      <c r="F42">
        <v>74</v>
      </c>
      <c r="G42" t="s">
        <v>81</v>
      </c>
      <c r="H42" t="s">
        <v>492</v>
      </c>
      <c r="I42">
        <v>74</v>
      </c>
    </row>
    <row r="43" spans="1:9" x14ac:dyDescent="0.35">
      <c r="A43" t="s">
        <v>487</v>
      </c>
      <c r="B43">
        <v>107704604</v>
      </c>
      <c r="C43" t="s">
        <v>509</v>
      </c>
      <c r="D43" t="s">
        <v>486</v>
      </c>
      <c r="E43" t="s">
        <v>493</v>
      </c>
      <c r="F43">
        <v>353</v>
      </c>
      <c r="G43" t="s">
        <v>60</v>
      </c>
      <c r="H43" t="s">
        <v>492</v>
      </c>
      <c r="I43">
        <v>3441</v>
      </c>
    </row>
    <row r="44" spans="1:9" x14ac:dyDescent="0.35">
      <c r="A44" t="s">
        <v>487</v>
      </c>
      <c r="B44">
        <v>107704604</v>
      </c>
      <c r="C44" t="s">
        <v>509</v>
      </c>
      <c r="D44" t="s">
        <v>486</v>
      </c>
      <c r="E44" t="s">
        <v>493</v>
      </c>
      <c r="F44">
        <v>353</v>
      </c>
      <c r="G44" t="s">
        <v>60</v>
      </c>
      <c r="H44" t="s">
        <v>488</v>
      </c>
      <c r="I44">
        <v>852</v>
      </c>
    </row>
    <row r="45" spans="1:9" x14ac:dyDescent="0.35">
      <c r="A45" t="s">
        <v>487</v>
      </c>
      <c r="B45">
        <v>107704604</v>
      </c>
      <c r="C45" t="s">
        <v>509</v>
      </c>
      <c r="D45" t="s">
        <v>486</v>
      </c>
      <c r="E45" t="s">
        <v>493</v>
      </c>
      <c r="F45">
        <v>353</v>
      </c>
      <c r="G45" t="s">
        <v>60</v>
      </c>
      <c r="H45" t="s">
        <v>489</v>
      </c>
      <c r="I45">
        <v>2585</v>
      </c>
    </row>
    <row r="46" spans="1:9" x14ac:dyDescent="0.35">
      <c r="A46" t="s">
        <v>487</v>
      </c>
      <c r="B46">
        <v>107704604</v>
      </c>
      <c r="C46" t="s">
        <v>509</v>
      </c>
      <c r="D46" t="s">
        <v>486</v>
      </c>
      <c r="E46" t="s">
        <v>493</v>
      </c>
      <c r="F46">
        <v>353</v>
      </c>
      <c r="G46" t="s">
        <v>60</v>
      </c>
      <c r="H46" t="s">
        <v>490</v>
      </c>
      <c r="I46">
        <v>4</v>
      </c>
    </row>
    <row r="47" spans="1:9" x14ac:dyDescent="0.35">
      <c r="A47" t="s">
        <v>487</v>
      </c>
      <c r="B47">
        <v>107704604</v>
      </c>
      <c r="C47" t="s">
        <v>509</v>
      </c>
      <c r="D47" t="s">
        <v>486</v>
      </c>
      <c r="E47" t="s">
        <v>493</v>
      </c>
      <c r="F47">
        <v>353</v>
      </c>
      <c r="G47" t="s">
        <v>81</v>
      </c>
      <c r="H47" t="s">
        <v>492</v>
      </c>
      <c r="I47">
        <v>353</v>
      </c>
    </row>
    <row r="48" spans="1:9" x14ac:dyDescent="0.35">
      <c r="A48" t="s">
        <v>487</v>
      </c>
      <c r="B48">
        <v>107232917</v>
      </c>
      <c r="C48" t="s">
        <v>503</v>
      </c>
      <c r="D48" t="s">
        <v>486</v>
      </c>
      <c r="E48" t="s">
        <v>484</v>
      </c>
      <c r="F48">
        <v>269</v>
      </c>
      <c r="G48" t="s">
        <v>60</v>
      </c>
      <c r="H48" t="s">
        <v>492</v>
      </c>
      <c r="I48">
        <v>2686</v>
      </c>
    </row>
    <row r="49" spans="1:9" x14ac:dyDescent="0.35">
      <c r="A49" t="s">
        <v>487</v>
      </c>
      <c r="B49">
        <v>107232917</v>
      </c>
      <c r="C49" t="s">
        <v>503</v>
      </c>
      <c r="D49" t="s">
        <v>486</v>
      </c>
      <c r="E49" t="s">
        <v>484</v>
      </c>
      <c r="F49">
        <v>269</v>
      </c>
      <c r="G49" t="s">
        <v>60</v>
      </c>
      <c r="H49" t="s">
        <v>488</v>
      </c>
      <c r="I49">
        <v>653</v>
      </c>
    </row>
    <row r="50" spans="1:9" x14ac:dyDescent="0.35">
      <c r="A50" t="s">
        <v>487</v>
      </c>
      <c r="B50">
        <v>107232917</v>
      </c>
      <c r="C50" t="s">
        <v>503</v>
      </c>
      <c r="D50" t="s">
        <v>486</v>
      </c>
      <c r="E50" t="s">
        <v>484</v>
      </c>
      <c r="F50">
        <v>269</v>
      </c>
      <c r="G50" t="s">
        <v>60</v>
      </c>
      <c r="H50" t="s">
        <v>489</v>
      </c>
      <c r="I50">
        <v>2033</v>
      </c>
    </row>
    <row r="51" spans="1:9" x14ac:dyDescent="0.35">
      <c r="A51" t="s">
        <v>487</v>
      </c>
      <c r="B51">
        <v>107232917</v>
      </c>
      <c r="C51" t="s">
        <v>503</v>
      </c>
      <c r="D51" t="s">
        <v>486</v>
      </c>
      <c r="E51" t="s">
        <v>484</v>
      </c>
      <c r="F51">
        <v>269</v>
      </c>
      <c r="G51" t="s">
        <v>81</v>
      </c>
      <c r="H51" t="s">
        <v>492</v>
      </c>
      <c r="I51">
        <v>270</v>
      </c>
    </row>
    <row r="52" spans="1:9" x14ac:dyDescent="0.35">
      <c r="A52" t="s">
        <v>487</v>
      </c>
      <c r="B52">
        <v>107843876</v>
      </c>
      <c r="C52" t="s">
        <v>517</v>
      </c>
      <c r="D52" t="s">
        <v>486</v>
      </c>
      <c r="E52" t="s">
        <v>484</v>
      </c>
      <c r="F52">
        <v>221</v>
      </c>
      <c r="G52" t="s">
        <v>60</v>
      </c>
      <c r="H52" t="s">
        <v>492</v>
      </c>
      <c r="I52">
        <v>1575</v>
      </c>
    </row>
    <row r="53" spans="1:9" x14ac:dyDescent="0.35">
      <c r="A53" t="s">
        <v>487</v>
      </c>
      <c r="B53">
        <v>107843876</v>
      </c>
      <c r="C53" t="s">
        <v>517</v>
      </c>
      <c r="D53" t="s">
        <v>486</v>
      </c>
      <c r="E53" t="s">
        <v>484</v>
      </c>
      <c r="F53">
        <v>221</v>
      </c>
      <c r="G53" t="s">
        <v>60</v>
      </c>
      <c r="H53" t="s">
        <v>488</v>
      </c>
      <c r="I53">
        <v>388</v>
      </c>
    </row>
    <row r="54" spans="1:9" x14ac:dyDescent="0.35">
      <c r="A54" t="s">
        <v>487</v>
      </c>
      <c r="B54">
        <v>107843876</v>
      </c>
      <c r="C54" t="s">
        <v>517</v>
      </c>
      <c r="D54" t="s">
        <v>486</v>
      </c>
      <c r="E54" t="s">
        <v>484</v>
      </c>
      <c r="F54">
        <v>221</v>
      </c>
      <c r="G54" t="s">
        <v>60</v>
      </c>
      <c r="H54" t="s">
        <v>489</v>
      </c>
      <c r="I54">
        <v>1099</v>
      </c>
    </row>
    <row r="55" spans="1:9" x14ac:dyDescent="0.35">
      <c r="A55" t="s">
        <v>487</v>
      </c>
      <c r="B55">
        <v>107843876</v>
      </c>
      <c r="C55" t="s">
        <v>517</v>
      </c>
      <c r="D55" t="s">
        <v>486</v>
      </c>
      <c r="E55" t="s">
        <v>484</v>
      </c>
      <c r="F55">
        <v>221</v>
      </c>
      <c r="G55" t="s">
        <v>60</v>
      </c>
      <c r="H55" t="s">
        <v>490</v>
      </c>
      <c r="I55">
        <v>88</v>
      </c>
    </row>
    <row r="56" spans="1:9" x14ac:dyDescent="0.35">
      <c r="A56" t="s">
        <v>487</v>
      </c>
      <c r="B56">
        <v>107843876</v>
      </c>
      <c r="C56" t="s">
        <v>517</v>
      </c>
      <c r="D56" t="s">
        <v>486</v>
      </c>
      <c r="E56" t="s">
        <v>484</v>
      </c>
      <c r="F56">
        <v>221</v>
      </c>
      <c r="G56" t="s">
        <v>81</v>
      </c>
      <c r="H56" t="s">
        <v>492</v>
      </c>
      <c r="I56">
        <v>221</v>
      </c>
    </row>
    <row r="57" spans="1:9" x14ac:dyDescent="0.35">
      <c r="A57" t="s">
        <v>487</v>
      </c>
      <c r="B57">
        <v>101750120</v>
      </c>
      <c r="C57" t="s">
        <v>591</v>
      </c>
      <c r="D57" t="s">
        <v>486</v>
      </c>
      <c r="E57" t="s">
        <v>484</v>
      </c>
      <c r="F57">
        <v>211</v>
      </c>
      <c r="G57" t="s">
        <v>60</v>
      </c>
      <c r="H57" t="s">
        <v>492</v>
      </c>
      <c r="I57">
        <v>1753</v>
      </c>
    </row>
    <row r="58" spans="1:9" x14ac:dyDescent="0.35">
      <c r="A58" t="s">
        <v>487</v>
      </c>
      <c r="B58">
        <v>101750120</v>
      </c>
      <c r="C58" t="s">
        <v>591</v>
      </c>
      <c r="D58" t="s">
        <v>486</v>
      </c>
      <c r="E58" t="s">
        <v>484</v>
      </c>
      <c r="F58">
        <v>211</v>
      </c>
      <c r="G58" t="s">
        <v>60</v>
      </c>
      <c r="H58" t="s">
        <v>488</v>
      </c>
      <c r="I58">
        <v>682</v>
      </c>
    </row>
    <row r="59" spans="1:9" x14ac:dyDescent="0.35">
      <c r="A59" t="s">
        <v>487</v>
      </c>
      <c r="B59">
        <v>101750120</v>
      </c>
      <c r="C59" t="s">
        <v>591</v>
      </c>
      <c r="D59" t="s">
        <v>486</v>
      </c>
      <c r="E59" t="s">
        <v>484</v>
      </c>
      <c r="F59">
        <v>211</v>
      </c>
      <c r="G59" t="s">
        <v>60</v>
      </c>
      <c r="H59" t="s">
        <v>489</v>
      </c>
      <c r="I59">
        <v>1071</v>
      </c>
    </row>
    <row r="60" spans="1:9" x14ac:dyDescent="0.35">
      <c r="A60" t="s">
        <v>487</v>
      </c>
      <c r="B60">
        <v>101750120</v>
      </c>
      <c r="C60" t="s">
        <v>591</v>
      </c>
      <c r="D60" t="s">
        <v>486</v>
      </c>
      <c r="E60" t="s">
        <v>484</v>
      </c>
      <c r="F60">
        <v>211</v>
      </c>
      <c r="G60" t="s">
        <v>81</v>
      </c>
      <c r="H60" t="s">
        <v>492</v>
      </c>
      <c r="I60">
        <v>211</v>
      </c>
    </row>
    <row r="61" spans="1:9" x14ac:dyDescent="0.35">
      <c r="A61" t="s">
        <v>487</v>
      </c>
      <c r="B61">
        <v>106660730</v>
      </c>
      <c r="C61" t="s">
        <v>641</v>
      </c>
      <c r="D61" t="s">
        <v>486</v>
      </c>
      <c r="E61" t="s">
        <v>484</v>
      </c>
      <c r="F61">
        <v>180</v>
      </c>
      <c r="G61" t="s">
        <v>60</v>
      </c>
      <c r="H61" t="s">
        <v>492</v>
      </c>
      <c r="I61">
        <v>1302</v>
      </c>
    </row>
    <row r="62" spans="1:9" x14ac:dyDescent="0.35">
      <c r="A62" t="s">
        <v>487</v>
      </c>
      <c r="B62">
        <v>106660730</v>
      </c>
      <c r="C62" t="s">
        <v>641</v>
      </c>
      <c r="D62" t="s">
        <v>486</v>
      </c>
      <c r="E62" t="s">
        <v>484</v>
      </c>
      <c r="F62">
        <v>180</v>
      </c>
      <c r="G62" t="s">
        <v>60</v>
      </c>
      <c r="H62" t="s">
        <v>488</v>
      </c>
      <c r="I62">
        <v>418</v>
      </c>
    </row>
    <row r="63" spans="1:9" x14ac:dyDescent="0.35">
      <c r="A63" t="s">
        <v>487</v>
      </c>
      <c r="B63">
        <v>106660730</v>
      </c>
      <c r="C63" t="s">
        <v>641</v>
      </c>
      <c r="D63" t="s">
        <v>486</v>
      </c>
      <c r="E63" t="s">
        <v>484</v>
      </c>
      <c r="F63">
        <v>180</v>
      </c>
      <c r="G63" t="s">
        <v>60</v>
      </c>
      <c r="H63" t="s">
        <v>489</v>
      </c>
      <c r="I63">
        <v>840</v>
      </c>
    </row>
    <row r="64" spans="1:9" x14ac:dyDescent="0.35">
      <c r="A64" t="s">
        <v>487</v>
      </c>
      <c r="B64">
        <v>106660730</v>
      </c>
      <c r="C64" t="s">
        <v>641</v>
      </c>
      <c r="D64" t="s">
        <v>486</v>
      </c>
      <c r="E64" t="s">
        <v>484</v>
      </c>
      <c r="F64">
        <v>180</v>
      </c>
      <c r="G64" t="s">
        <v>60</v>
      </c>
      <c r="H64" t="s">
        <v>490</v>
      </c>
      <c r="I64">
        <v>44</v>
      </c>
    </row>
    <row r="65" spans="1:9" x14ac:dyDescent="0.35">
      <c r="A65" t="s">
        <v>487</v>
      </c>
      <c r="B65">
        <v>106660730</v>
      </c>
      <c r="C65" t="s">
        <v>641</v>
      </c>
      <c r="D65" t="s">
        <v>486</v>
      </c>
      <c r="E65" t="s">
        <v>484</v>
      </c>
      <c r="F65">
        <v>180</v>
      </c>
      <c r="G65" t="s">
        <v>81</v>
      </c>
      <c r="H65" t="s">
        <v>492</v>
      </c>
      <c r="I65">
        <v>180</v>
      </c>
    </row>
    <row r="66" spans="1:9" x14ac:dyDescent="0.35">
      <c r="A66" t="s">
        <v>487</v>
      </c>
      <c r="B66">
        <v>106064826</v>
      </c>
      <c r="C66" t="s">
        <v>589</v>
      </c>
      <c r="D66" t="s">
        <v>486</v>
      </c>
      <c r="E66" t="s">
        <v>484</v>
      </c>
      <c r="F66">
        <v>271</v>
      </c>
      <c r="G66" t="s">
        <v>60</v>
      </c>
      <c r="H66" t="s">
        <v>492</v>
      </c>
      <c r="I66">
        <v>1700</v>
      </c>
    </row>
    <row r="67" spans="1:9" x14ac:dyDescent="0.35">
      <c r="A67" t="s">
        <v>487</v>
      </c>
      <c r="B67">
        <v>106064826</v>
      </c>
      <c r="C67" t="s">
        <v>589</v>
      </c>
      <c r="D67" t="s">
        <v>486</v>
      </c>
      <c r="E67" t="s">
        <v>484</v>
      </c>
      <c r="F67">
        <v>271</v>
      </c>
      <c r="G67" t="s">
        <v>60</v>
      </c>
      <c r="H67" t="s">
        <v>488</v>
      </c>
      <c r="I67">
        <v>208</v>
      </c>
    </row>
    <row r="68" spans="1:9" x14ac:dyDescent="0.35">
      <c r="A68" t="s">
        <v>487</v>
      </c>
      <c r="B68">
        <v>106064826</v>
      </c>
      <c r="C68" t="s">
        <v>589</v>
      </c>
      <c r="D68" t="s">
        <v>486</v>
      </c>
      <c r="E68" t="s">
        <v>484</v>
      </c>
      <c r="F68">
        <v>271</v>
      </c>
      <c r="G68" t="s">
        <v>60</v>
      </c>
      <c r="H68" t="s">
        <v>489</v>
      </c>
      <c r="I68">
        <v>1492</v>
      </c>
    </row>
    <row r="69" spans="1:9" x14ac:dyDescent="0.35">
      <c r="A69" t="s">
        <v>487</v>
      </c>
      <c r="B69">
        <v>106064826</v>
      </c>
      <c r="C69" t="s">
        <v>589</v>
      </c>
      <c r="D69" t="s">
        <v>486</v>
      </c>
      <c r="E69" t="s">
        <v>484</v>
      </c>
      <c r="F69">
        <v>271</v>
      </c>
      <c r="G69" t="s">
        <v>81</v>
      </c>
      <c r="H69" t="s">
        <v>492</v>
      </c>
      <c r="I69">
        <v>271</v>
      </c>
    </row>
    <row r="70" spans="1:9" x14ac:dyDescent="0.35">
      <c r="A70" t="s">
        <v>487</v>
      </c>
      <c r="B70">
        <v>100753604</v>
      </c>
      <c r="C70" t="s">
        <v>485</v>
      </c>
      <c r="D70" t="s">
        <v>486</v>
      </c>
      <c r="E70" t="s">
        <v>484</v>
      </c>
      <c r="F70">
        <v>268</v>
      </c>
      <c r="G70" t="s">
        <v>60</v>
      </c>
      <c r="H70" t="s">
        <v>492</v>
      </c>
      <c r="I70">
        <v>1792</v>
      </c>
    </row>
    <row r="71" spans="1:9" x14ac:dyDescent="0.35">
      <c r="A71" t="s">
        <v>487</v>
      </c>
      <c r="B71">
        <v>100753604</v>
      </c>
      <c r="C71" t="s">
        <v>485</v>
      </c>
      <c r="D71" t="s">
        <v>486</v>
      </c>
      <c r="E71" t="s">
        <v>484</v>
      </c>
      <c r="F71">
        <v>268</v>
      </c>
      <c r="G71" t="s">
        <v>60</v>
      </c>
      <c r="H71" t="s">
        <v>488</v>
      </c>
      <c r="I71">
        <v>364</v>
      </c>
    </row>
    <row r="72" spans="1:9" x14ac:dyDescent="0.35">
      <c r="A72" t="s">
        <v>487</v>
      </c>
      <c r="B72">
        <v>100753604</v>
      </c>
      <c r="C72" t="s">
        <v>485</v>
      </c>
      <c r="D72" t="s">
        <v>486</v>
      </c>
      <c r="E72" t="s">
        <v>484</v>
      </c>
      <c r="F72">
        <v>268</v>
      </c>
      <c r="G72" t="s">
        <v>60</v>
      </c>
      <c r="H72" t="s">
        <v>489</v>
      </c>
      <c r="I72">
        <v>1366</v>
      </c>
    </row>
    <row r="73" spans="1:9" x14ac:dyDescent="0.35">
      <c r="A73" t="s">
        <v>487</v>
      </c>
      <c r="B73">
        <v>100753604</v>
      </c>
      <c r="C73" t="s">
        <v>485</v>
      </c>
      <c r="D73" t="s">
        <v>486</v>
      </c>
      <c r="E73" t="s">
        <v>484</v>
      </c>
      <c r="F73">
        <v>268</v>
      </c>
      <c r="G73" t="s">
        <v>60</v>
      </c>
      <c r="H73" t="s">
        <v>490</v>
      </c>
      <c r="I73">
        <v>62</v>
      </c>
    </row>
    <row r="74" spans="1:9" x14ac:dyDescent="0.35">
      <c r="A74" t="s">
        <v>487</v>
      </c>
      <c r="B74">
        <v>100753604</v>
      </c>
      <c r="C74" t="s">
        <v>485</v>
      </c>
      <c r="D74" t="s">
        <v>486</v>
      </c>
      <c r="E74" t="s">
        <v>484</v>
      </c>
      <c r="F74">
        <v>268</v>
      </c>
      <c r="G74" t="s">
        <v>81</v>
      </c>
      <c r="H74" t="s">
        <v>492</v>
      </c>
      <c r="I74">
        <v>268</v>
      </c>
    </row>
    <row r="75" spans="1:9" x14ac:dyDescent="0.35">
      <c r="A75" t="s">
        <v>487</v>
      </c>
      <c r="B75">
        <v>106513473</v>
      </c>
      <c r="C75" t="s">
        <v>525</v>
      </c>
      <c r="D75" t="s">
        <v>486</v>
      </c>
      <c r="E75" t="s">
        <v>493</v>
      </c>
      <c r="F75">
        <v>191</v>
      </c>
      <c r="G75" t="s">
        <v>60</v>
      </c>
      <c r="H75" t="s">
        <v>492</v>
      </c>
      <c r="I75">
        <v>3010</v>
      </c>
    </row>
    <row r="76" spans="1:9" x14ac:dyDescent="0.35">
      <c r="A76" t="s">
        <v>487</v>
      </c>
      <c r="B76">
        <v>106513473</v>
      </c>
      <c r="C76" t="s">
        <v>525</v>
      </c>
      <c r="D76" t="s">
        <v>486</v>
      </c>
      <c r="E76" t="s">
        <v>493</v>
      </c>
      <c r="F76">
        <v>191</v>
      </c>
      <c r="G76" t="s">
        <v>60</v>
      </c>
      <c r="H76" t="s">
        <v>488</v>
      </c>
      <c r="I76">
        <v>1014</v>
      </c>
    </row>
    <row r="77" spans="1:9" x14ac:dyDescent="0.35">
      <c r="A77" t="s">
        <v>487</v>
      </c>
      <c r="B77">
        <v>106513473</v>
      </c>
      <c r="C77" t="s">
        <v>525</v>
      </c>
      <c r="D77" t="s">
        <v>486</v>
      </c>
      <c r="E77" t="s">
        <v>493</v>
      </c>
      <c r="F77">
        <v>191</v>
      </c>
      <c r="G77" t="s">
        <v>60</v>
      </c>
      <c r="H77" t="s">
        <v>489</v>
      </c>
      <c r="I77">
        <v>1996</v>
      </c>
    </row>
    <row r="78" spans="1:9" x14ac:dyDescent="0.35">
      <c r="A78" t="s">
        <v>487</v>
      </c>
      <c r="B78">
        <v>106513473</v>
      </c>
      <c r="C78" t="s">
        <v>525</v>
      </c>
      <c r="D78" t="s">
        <v>486</v>
      </c>
      <c r="E78" t="s">
        <v>493</v>
      </c>
      <c r="F78">
        <v>191</v>
      </c>
      <c r="G78" t="s">
        <v>81</v>
      </c>
      <c r="H78" t="s">
        <v>492</v>
      </c>
      <c r="I78">
        <v>191</v>
      </c>
    </row>
    <row r="79" spans="1:9" x14ac:dyDescent="0.35">
      <c r="A79" t="s">
        <v>487</v>
      </c>
      <c r="B79">
        <v>107674648</v>
      </c>
      <c r="C79" t="s">
        <v>508</v>
      </c>
      <c r="D79" t="s">
        <v>486</v>
      </c>
      <c r="E79" t="s">
        <v>484</v>
      </c>
      <c r="F79">
        <v>197</v>
      </c>
      <c r="G79" t="s">
        <v>60</v>
      </c>
      <c r="H79" t="s">
        <v>492</v>
      </c>
      <c r="I79">
        <v>1836</v>
      </c>
    </row>
    <row r="80" spans="1:9" x14ac:dyDescent="0.35">
      <c r="A80" t="s">
        <v>487</v>
      </c>
      <c r="B80">
        <v>107674648</v>
      </c>
      <c r="C80" t="s">
        <v>508</v>
      </c>
      <c r="D80" t="s">
        <v>486</v>
      </c>
      <c r="E80" t="s">
        <v>484</v>
      </c>
      <c r="F80">
        <v>197</v>
      </c>
      <c r="G80" t="s">
        <v>60</v>
      </c>
      <c r="H80" t="s">
        <v>488</v>
      </c>
      <c r="I80">
        <v>611</v>
      </c>
    </row>
    <row r="81" spans="1:9" x14ac:dyDescent="0.35">
      <c r="A81" t="s">
        <v>487</v>
      </c>
      <c r="B81">
        <v>107674648</v>
      </c>
      <c r="C81" t="s">
        <v>508</v>
      </c>
      <c r="D81" t="s">
        <v>486</v>
      </c>
      <c r="E81" t="s">
        <v>484</v>
      </c>
      <c r="F81">
        <v>197</v>
      </c>
      <c r="G81" t="s">
        <v>60</v>
      </c>
      <c r="H81" t="s">
        <v>489</v>
      </c>
      <c r="I81">
        <v>1225</v>
      </c>
    </row>
    <row r="82" spans="1:9" x14ac:dyDescent="0.35">
      <c r="A82" t="s">
        <v>487</v>
      </c>
      <c r="B82">
        <v>107674648</v>
      </c>
      <c r="C82" t="s">
        <v>508</v>
      </c>
      <c r="D82" t="s">
        <v>486</v>
      </c>
      <c r="E82" t="s">
        <v>484</v>
      </c>
      <c r="F82">
        <v>197</v>
      </c>
      <c r="G82" t="s">
        <v>81</v>
      </c>
      <c r="H82" t="s">
        <v>492</v>
      </c>
      <c r="I82">
        <v>197</v>
      </c>
    </row>
    <row r="83" spans="1:9" x14ac:dyDescent="0.35">
      <c r="A83" t="s">
        <v>487</v>
      </c>
      <c r="B83">
        <v>107232968</v>
      </c>
      <c r="C83" t="s">
        <v>528</v>
      </c>
      <c r="D83" t="s">
        <v>486</v>
      </c>
      <c r="E83" t="s">
        <v>484</v>
      </c>
      <c r="F83">
        <v>11</v>
      </c>
      <c r="G83" t="s">
        <v>60</v>
      </c>
      <c r="H83" t="s">
        <v>492</v>
      </c>
      <c r="I83">
        <v>1991</v>
      </c>
    </row>
    <row r="84" spans="1:9" x14ac:dyDescent="0.35">
      <c r="A84" t="s">
        <v>487</v>
      </c>
      <c r="B84">
        <v>107232968</v>
      </c>
      <c r="C84" t="s">
        <v>528</v>
      </c>
      <c r="D84" t="s">
        <v>486</v>
      </c>
      <c r="E84" t="s">
        <v>484</v>
      </c>
      <c r="F84">
        <v>11</v>
      </c>
      <c r="G84" t="s">
        <v>60</v>
      </c>
      <c r="H84" t="s">
        <v>488</v>
      </c>
      <c r="I84">
        <v>457</v>
      </c>
    </row>
    <row r="85" spans="1:9" x14ac:dyDescent="0.35">
      <c r="A85" t="s">
        <v>487</v>
      </c>
      <c r="B85">
        <v>107232968</v>
      </c>
      <c r="C85" t="s">
        <v>528</v>
      </c>
      <c r="D85" t="s">
        <v>486</v>
      </c>
      <c r="E85" t="s">
        <v>484</v>
      </c>
      <c r="F85">
        <v>11</v>
      </c>
      <c r="G85" t="s">
        <v>60</v>
      </c>
      <c r="H85" t="s">
        <v>489</v>
      </c>
      <c r="I85">
        <v>1528</v>
      </c>
    </row>
    <row r="86" spans="1:9" x14ac:dyDescent="0.35">
      <c r="A86" t="s">
        <v>487</v>
      </c>
      <c r="B86">
        <v>107232968</v>
      </c>
      <c r="C86" t="s">
        <v>528</v>
      </c>
      <c r="D86" t="s">
        <v>486</v>
      </c>
      <c r="E86" t="s">
        <v>484</v>
      </c>
      <c r="F86">
        <v>11</v>
      </c>
      <c r="G86" t="s">
        <v>60</v>
      </c>
      <c r="H86" t="s">
        <v>490</v>
      </c>
      <c r="I86">
        <v>6</v>
      </c>
    </row>
    <row r="87" spans="1:9" x14ac:dyDescent="0.35">
      <c r="A87" t="s">
        <v>487</v>
      </c>
      <c r="B87">
        <v>107232968</v>
      </c>
      <c r="C87" t="s">
        <v>528</v>
      </c>
      <c r="D87" t="s">
        <v>486</v>
      </c>
      <c r="E87" t="s">
        <v>484</v>
      </c>
      <c r="F87">
        <v>11</v>
      </c>
      <c r="G87" t="s">
        <v>81</v>
      </c>
      <c r="H87" t="s">
        <v>492</v>
      </c>
      <c r="I87">
        <v>227</v>
      </c>
    </row>
    <row r="88" spans="1:9" x14ac:dyDescent="0.35">
      <c r="A88" t="s">
        <v>487</v>
      </c>
      <c r="B88">
        <v>107232968</v>
      </c>
      <c r="C88" t="s">
        <v>528</v>
      </c>
      <c r="D88" t="s">
        <v>486</v>
      </c>
      <c r="E88" t="s">
        <v>484</v>
      </c>
      <c r="F88">
        <v>11</v>
      </c>
      <c r="G88" t="s">
        <v>85</v>
      </c>
      <c r="H88" t="s">
        <v>492</v>
      </c>
      <c r="I88">
        <v>11</v>
      </c>
    </row>
    <row r="89" spans="1:9" x14ac:dyDescent="0.35">
      <c r="A89" t="s">
        <v>487</v>
      </c>
      <c r="B89">
        <v>106276317</v>
      </c>
      <c r="C89" t="s">
        <v>523</v>
      </c>
      <c r="D89" t="s">
        <v>486</v>
      </c>
      <c r="E89" t="s">
        <v>484</v>
      </c>
      <c r="F89">
        <v>566</v>
      </c>
      <c r="G89" t="s">
        <v>60</v>
      </c>
      <c r="H89" t="s">
        <v>492</v>
      </c>
      <c r="I89">
        <v>4668</v>
      </c>
    </row>
    <row r="90" spans="1:9" x14ac:dyDescent="0.35">
      <c r="A90" t="s">
        <v>487</v>
      </c>
      <c r="B90">
        <v>106276317</v>
      </c>
      <c r="C90" t="s">
        <v>523</v>
      </c>
      <c r="D90" t="s">
        <v>486</v>
      </c>
      <c r="E90" t="s">
        <v>484</v>
      </c>
      <c r="F90">
        <v>566</v>
      </c>
      <c r="G90" t="s">
        <v>60</v>
      </c>
      <c r="H90" t="s">
        <v>488</v>
      </c>
      <c r="I90">
        <v>1673</v>
      </c>
    </row>
    <row r="91" spans="1:9" x14ac:dyDescent="0.35">
      <c r="A91" t="s">
        <v>487</v>
      </c>
      <c r="B91">
        <v>106276317</v>
      </c>
      <c r="C91" t="s">
        <v>523</v>
      </c>
      <c r="D91" t="s">
        <v>486</v>
      </c>
      <c r="E91" t="s">
        <v>484</v>
      </c>
      <c r="F91">
        <v>566</v>
      </c>
      <c r="G91" t="s">
        <v>60</v>
      </c>
      <c r="H91" t="s">
        <v>489</v>
      </c>
      <c r="I91">
        <v>2995</v>
      </c>
    </row>
    <row r="92" spans="1:9" x14ac:dyDescent="0.35">
      <c r="A92" t="s">
        <v>487</v>
      </c>
      <c r="B92">
        <v>106276317</v>
      </c>
      <c r="C92" t="s">
        <v>523</v>
      </c>
      <c r="D92" t="s">
        <v>486</v>
      </c>
      <c r="E92" t="s">
        <v>484</v>
      </c>
      <c r="F92">
        <v>566</v>
      </c>
      <c r="G92" t="s">
        <v>81</v>
      </c>
      <c r="H92" t="s">
        <v>492</v>
      </c>
      <c r="I92">
        <v>566</v>
      </c>
    </row>
    <row r="93" spans="1:9" x14ac:dyDescent="0.35">
      <c r="A93" t="s">
        <v>487</v>
      </c>
      <c r="B93">
        <v>107775521</v>
      </c>
      <c r="C93" t="s">
        <v>511</v>
      </c>
      <c r="D93" t="s">
        <v>486</v>
      </c>
      <c r="E93" t="s">
        <v>484</v>
      </c>
      <c r="F93">
        <v>395</v>
      </c>
      <c r="G93" t="s">
        <v>60</v>
      </c>
      <c r="H93" t="s">
        <v>492</v>
      </c>
      <c r="I93">
        <v>3100</v>
      </c>
    </row>
    <row r="94" spans="1:9" x14ac:dyDescent="0.35">
      <c r="A94" t="s">
        <v>487</v>
      </c>
      <c r="B94">
        <v>107775521</v>
      </c>
      <c r="C94" t="s">
        <v>511</v>
      </c>
      <c r="D94" t="s">
        <v>486</v>
      </c>
      <c r="E94" t="s">
        <v>484</v>
      </c>
      <c r="F94">
        <v>395</v>
      </c>
      <c r="G94" t="s">
        <v>60</v>
      </c>
      <c r="H94" t="s">
        <v>488</v>
      </c>
      <c r="I94">
        <v>18</v>
      </c>
    </row>
    <row r="95" spans="1:9" x14ac:dyDescent="0.35">
      <c r="A95" t="s">
        <v>487</v>
      </c>
      <c r="B95">
        <v>107775521</v>
      </c>
      <c r="C95" t="s">
        <v>511</v>
      </c>
      <c r="D95" t="s">
        <v>486</v>
      </c>
      <c r="E95" t="s">
        <v>484</v>
      </c>
      <c r="F95">
        <v>395</v>
      </c>
      <c r="G95" t="s">
        <v>60</v>
      </c>
      <c r="H95" t="s">
        <v>489</v>
      </c>
      <c r="I95">
        <v>3058</v>
      </c>
    </row>
    <row r="96" spans="1:9" x14ac:dyDescent="0.35">
      <c r="A96" t="s">
        <v>487</v>
      </c>
      <c r="B96">
        <v>107775521</v>
      </c>
      <c r="C96" t="s">
        <v>511</v>
      </c>
      <c r="D96" t="s">
        <v>486</v>
      </c>
      <c r="E96" t="s">
        <v>484</v>
      </c>
      <c r="F96">
        <v>395</v>
      </c>
      <c r="G96" t="s">
        <v>60</v>
      </c>
      <c r="H96" t="s">
        <v>490</v>
      </c>
      <c r="I96">
        <v>24</v>
      </c>
    </row>
    <row r="97" spans="1:9" x14ac:dyDescent="0.35">
      <c r="A97" t="s">
        <v>487</v>
      </c>
      <c r="B97">
        <v>107775521</v>
      </c>
      <c r="C97" t="s">
        <v>511</v>
      </c>
      <c r="D97" t="s">
        <v>486</v>
      </c>
      <c r="E97" t="s">
        <v>484</v>
      </c>
      <c r="F97">
        <v>395</v>
      </c>
      <c r="G97" t="s">
        <v>81</v>
      </c>
      <c r="H97" t="s">
        <v>492</v>
      </c>
      <c r="I97">
        <v>395</v>
      </c>
    </row>
    <row r="98" spans="1:9" x14ac:dyDescent="0.35">
      <c r="A98" t="s">
        <v>487</v>
      </c>
      <c r="B98">
        <v>106655388</v>
      </c>
      <c r="C98" t="s">
        <v>640</v>
      </c>
      <c r="D98" t="s">
        <v>486</v>
      </c>
      <c r="E98" t="s">
        <v>493</v>
      </c>
      <c r="F98">
        <v>146</v>
      </c>
      <c r="G98" t="s">
        <v>60</v>
      </c>
      <c r="H98" t="s">
        <v>492</v>
      </c>
      <c r="I98">
        <v>1489</v>
      </c>
    </row>
    <row r="99" spans="1:9" x14ac:dyDescent="0.35">
      <c r="A99" t="s">
        <v>487</v>
      </c>
      <c r="B99">
        <v>106655388</v>
      </c>
      <c r="C99" t="s">
        <v>640</v>
      </c>
      <c r="D99" t="s">
        <v>486</v>
      </c>
      <c r="E99" t="s">
        <v>493</v>
      </c>
      <c r="F99">
        <v>146</v>
      </c>
      <c r="G99" t="s">
        <v>60</v>
      </c>
      <c r="H99" t="s">
        <v>488</v>
      </c>
      <c r="I99">
        <v>586</v>
      </c>
    </row>
    <row r="100" spans="1:9" x14ac:dyDescent="0.35">
      <c r="A100" t="s">
        <v>487</v>
      </c>
      <c r="B100">
        <v>106655388</v>
      </c>
      <c r="C100" t="s">
        <v>640</v>
      </c>
      <c r="D100" t="s">
        <v>486</v>
      </c>
      <c r="E100" t="s">
        <v>493</v>
      </c>
      <c r="F100">
        <v>146</v>
      </c>
      <c r="G100" t="s">
        <v>60</v>
      </c>
      <c r="H100" t="s">
        <v>489</v>
      </c>
      <c r="I100">
        <v>903</v>
      </c>
    </row>
    <row r="101" spans="1:9" x14ac:dyDescent="0.35">
      <c r="A101" t="s">
        <v>487</v>
      </c>
      <c r="B101">
        <v>106655388</v>
      </c>
      <c r="C101" t="s">
        <v>640</v>
      </c>
      <c r="D101" t="s">
        <v>486</v>
      </c>
      <c r="E101" t="s">
        <v>493</v>
      </c>
      <c r="F101">
        <v>146</v>
      </c>
      <c r="G101" t="s">
        <v>81</v>
      </c>
      <c r="H101" t="s">
        <v>492</v>
      </c>
      <c r="I101">
        <v>146</v>
      </c>
    </row>
    <row r="102" spans="1:9" x14ac:dyDescent="0.35">
      <c r="A102" t="s">
        <v>487</v>
      </c>
      <c r="B102">
        <v>107775986</v>
      </c>
      <c r="C102" t="s">
        <v>512</v>
      </c>
      <c r="D102" t="s">
        <v>486</v>
      </c>
      <c r="E102" t="s">
        <v>484</v>
      </c>
      <c r="F102">
        <v>226</v>
      </c>
      <c r="G102" t="s">
        <v>60</v>
      </c>
      <c r="H102" t="s">
        <v>492</v>
      </c>
      <c r="I102">
        <v>1405</v>
      </c>
    </row>
    <row r="103" spans="1:9" x14ac:dyDescent="0.35">
      <c r="A103" t="s">
        <v>487</v>
      </c>
      <c r="B103">
        <v>107775986</v>
      </c>
      <c r="C103" t="s">
        <v>512</v>
      </c>
      <c r="D103" t="s">
        <v>486</v>
      </c>
      <c r="E103" t="s">
        <v>484</v>
      </c>
      <c r="F103">
        <v>226</v>
      </c>
      <c r="G103" t="s">
        <v>60</v>
      </c>
      <c r="H103" t="s">
        <v>488</v>
      </c>
      <c r="I103">
        <v>36</v>
      </c>
    </row>
    <row r="104" spans="1:9" x14ac:dyDescent="0.35">
      <c r="A104" t="s">
        <v>487</v>
      </c>
      <c r="B104">
        <v>107775986</v>
      </c>
      <c r="C104" t="s">
        <v>512</v>
      </c>
      <c r="D104" t="s">
        <v>486</v>
      </c>
      <c r="E104" t="s">
        <v>484</v>
      </c>
      <c r="F104">
        <v>226</v>
      </c>
      <c r="G104" t="s">
        <v>60</v>
      </c>
      <c r="H104" t="s">
        <v>489</v>
      </c>
      <c r="I104">
        <v>1369</v>
      </c>
    </row>
    <row r="105" spans="1:9" x14ac:dyDescent="0.35">
      <c r="A105" t="s">
        <v>487</v>
      </c>
      <c r="B105">
        <v>107775986</v>
      </c>
      <c r="C105" t="s">
        <v>512</v>
      </c>
      <c r="D105" t="s">
        <v>486</v>
      </c>
      <c r="E105" t="s">
        <v>484</v>
      </c>
      <c r="F105">
        <v>226</v>
      </c>
      <c r="G105" t="s">
        <v>81</v>
      </c>
      <c r="H105" t="s">
        <v>492</v>
      </c>
      <c r="I105">
        <v>226</v>
      </c>
    </row>
    <row r="106" spans="1:9" x14ac:dyDescent="0.35">
      <c r="A106" t="s">
        <v>487</v>
      </c>
      <c r="B106">
        <v>107233200</v>
      </c>
      <c r="C106" t="s">
        <v>506</v>
      </c>
      <c r="D106" t="s">
        <v>486</v>
      </c>
      <c r="E106" t="s">
        <v>484</v>
      </c>
      <c r="F106">
        <v>248</v>
      </c>
      <c r="G106" t="s">
        <v>60</v>
      </c>
      <c r="H106" t="s">
        <v>492</v>
      </c>
      <c r="I106">
        <v>2668</v>
      </c>
    </row>
    <row r="107" spans="1:9" x14ac:dyDescent="0.35">
      <c r="A107" t="s">
        <v>487</v>
      </c>
      <c r="B107">
        <v>107233200</v>
      </c>
      <c r="C107" t="s">
        <v>506</v>
      </c>
      <c r="D107" t="s">
        <v>486</v>
      </c>
      <c r="E107" t="s">
        <v>484</v>
      </c>
      <c r="F107">
        <v>248</v>
      </c>
      <c r="G107" t="s">
        <v>60</v>
      </c>
      <c r="H107" t="s">
        <v>488</v>
      </c>
      <c r="I107">
        <v>794</v>
      </c>
    </row>
    <row r="108" spans="1:9" x14ac:dyDescent="0.35">
      <c r="A108" t="s">
        <v>487</v>
      </c>
      <c r="B108">
        <v>107233200</v>
      </c>
      <c r="C108" t="s">
        <v>506</v>
      </c>
      <c r="D108" t="s">
        <v>486</v>
      </c>
      <c r="E108" t="s">
        <v>484</v>
      </c>
      <c r="F108">
        <v>248</v>
      </c>
      <c r="G108" t="s">
        <v>60</v>
      </c>
      <c r="H108" t="s">
        <v>489</v>
      </c>
      <c r="I108">
        <v>1874</v>
      </c>
    </row>
    <row r="109" spans="1:9" x14ac:dyDescent="0.35">
      <c r="A109" t="s">
        <v>487</v>
      </c>
      <c r="B109">
        <v>107233200</v>
      </c>
      <c r="C109" t="s">
        <v>506</v>
      </c>
      <c r="D109" t="s">
        <v>486</v>
      </c>
      <c r="E109" t="s">
        <v>484</v>
      </c>
      <c r="F109">
        <v>248</v>
      </c>
      <c r="G109" t="s">
        <v>81</v>
      </c>
      <c r="H109" t="s">
        <v>492</v>
      </c>
      <c r="I109">
        <v>248</v>
      </c>
    </row>
    <row r="110" spans="1:9" x14ac:dyDescent="0.35">
      <c r="A110" t="s">
        <v>487</v>
      </c>
      <c r="B110">
        <v>107264616</v>
      </c>
      <c r="C110" t="s">
        <v>507</v>
      </c>
      <c r="D110" t="s">
        <v>486</v>
      </c>
      <c r="E110" t="s">
        <v>484</v>
      </c>
      <c r="F110">
        <v>170</v>
      </c>
      <c r="G110" t="s">
        <v>60</v>
      </c>
      <c r="H110" t="s">
        <v>492</v>
      </c>
      <c r="I110">
        <v>2064</v>
      </c>
    </row>
    <row r="111" spans="1:9" x14ac:dyDescent="0.35">
      <c r="A111" t="s">
        <v>487</v>
      </c>
      <c r="B111">
        <v>107264616</v>
      </c>
      <c r="C111" t="s">
        <v>507</v>
      </c>
      <c r="D111" t="s">
        <v>486</v>
      </c>
      <c r="E111" t="s">
        <v>484</v>
      </c>
      <c r="F111">
        <v>170</v>
      </c>
      <c r="G111" t="s">
        <v>60</v>
      </c>
      <c r="H111" t="s">
        <v>488</v>
      </c>
      <c r="I111">
        <v>454</v>
      </c>
    </row>
    <row r="112" spans="1:9" x14ac:dyDescent="0.35">
      <c r="A112" t="s">
        <v>487</v>
      </c>
      <c r="B112">
        <v>107264616</v>
      </c>
      <c r="C112" t="s">
        <v>507</v>
      </c>
      <c r="D112" t="s">
        <v>486</v>
      </c>
      <c r="E112" t="s">
        <v>484</v>
      </c>
      <c r="F112">
        <v>170</v>
      </c>
      <c r="G112" t="s">
        <v>60</v>
      </c>
      <c r="H112" t="s">
        <v>489</v>
      </c>
      <c r="I112">
        <v>1610</v>
      </c>
    </row>
    <row r="113" spans="1:9" x14ac:dyDescent="0.35">
      <c r="A113" t="s">
        <v>487</v>
      </c>
      <c r="B113">
        <v>107264616</v>
      </c>
      <c r="C113" t="s">
        <v>507</v>
      </c>
      <c r="D113" t="s">
        <v>486</v>
      </c>
      <c r="E113" t="s">
        <v>484</v>
      </c>
      <c r="F113">
        <v>170</v>
      </c>
      <c r="G113" t="s">
        <v>81</v>
      </c>
      <c r="H113" t="s">
        <v>492</v>
      </c>
      <c r="I113">
        <v>170</v>
      </c>
    </row>
    <row r="114" spans="1:9" x14ac:dyDescent="0.35">
      <c r="A114" t="s">
        <v>487</v>
      </c>
      <c r="B114">
        <v>106550610</v>
      </c>
      <c r="C114" t="s">
        <v>639</v>
      </c>
      <c r="D114" t="s">
        <v>486</v>
      </c>
      <c r="E114" t="s">
        <v>484</v>
      </c>
      <c r="F114">
        <v>152</v>
      </c>
      <c r="G114" t="s">
        <v>60</v>
      </c>
      <c r="H114" t="s">
        <v>492</v>
      </c>
      <c r="I114">
        <v>865</v>
      </c>
    </row>
    <row r="115" spans="1:9" x14ac:dyDescent="0.35">
      <c r="A115" t="s">
        <v>487</v>
      </c>
      <c r="B115">
        <v>106550610</v>
      </c>
      <c r="C115" t="s">
        <v>639</v>
      </c>
      <c r="D115" t="s">
        <v>486</v>
      </c>
      <c r="E115" t="s">
        <v>484</v>
      </c>
      <c r="F115">
        <v>152</v>
      </c>
      <c r="G115" t="s">
        <v>60</v>
      </c>
      <c r="H115" t="s">
        <v>488</v>
      </c>
      <c r="I115">
        <v>108</v>
      </c>
    </row>
    <row r="116" spans="1:9" x14ac:dyDescent="0.35">
      <c r="A116" t="s">
        <v>487</v>
      </c>
      <c r="B116">
        <v>106550610</v>
      </c>
      <c r="C116" t="s">
        <v>639</v>
      </c>
      <c r="D116" t="s">
        <v>486</v>
      </c>
      <c r="E116" t="s">
        <v>484</v>
      </c>
      <c r="F116">
        <v>152</v>
      </c>
      <c r="G116" t="s">
        <v>60</v>
      </c>
      <c r="H116" t="s">
        <v>489</v>
      </c>
      <c r="I116">
        <v>757</v>
      </c>
    </row>
    <row r="117" spans="1:9" x14ac:dyDescent="0.35">
      <c r="A117" t="s">
        <v>487</v>
      </c>
      <c r="B117">
        <v>106550610</v>
      </c>
      <c r="C117" t="s">
        <v>639</v>
      </c>
      <c r="D117" t="s">
        <v>486</v>
      </c>
      <c r="E117" t="s">
        <v>484</v>
      </c>
      <c r="F117">
        <v>152</v>
      </c>
      <c r="G117" t="s">
        <v>81</v>
      </c>
      <c r="H117" t="s">
        <v>492</v>
      </c>
      <c r="I117">
        <v>152</v>
      </c>
    </row>
    <row r="118" spans="1:9" x14ac:dyDescent="0.35">
      <c r="A118" t="s">
        <v>487</v>
      </c>
      <c r="B118">
        <v>107232971</v>
      </c>
      <c r="C118" t="s">
        <v>504</v>
      </c>
      <c r="D118" t="s">
        <v>486</v>
      </c>
      <c r="E118" t="s">
        <v>484</v>
      </c>
      <c r="F118">
        <v>207</v>
      </c>
      <c r="G118" t="s">
        <v>60</v>
      </c>
      <c r="H118" t="s">
        <v>492</v>
      </c>
      <c r="I118">
        <v>1232</v>
      </c>
    </row>
    <row r="119" spans="1:9" x14ac:dyDescent="0.35">
      <c r="A119" t="s">
        <v>487</v>
      </c>
      <c r="B119">
        <v>107232971</v>
      </c>
      <c r="C119" t="s">
        <v>504</v>
      </c>
      <c r="D119" t="s">
        <v>486</v>
      </c>
      <c r="E119" t="s">
        <v>484</v>
      </c>
      <c r="F119">
        <v>207</v>
      </c>
      <c r="G119" t="s">
        <v>60</v>
      </c>
      <c r="H119" t="s">
        <v>488</v>
      </c>
      <c r="I119">
        <v>490</v>
      </c>
    </row>
    <row r="120" spans="1:9" x14ac:dyDescent="0.35">
      <c r="A120" t="s">
        <v>487</v>
      </c>
      <c r="B120">
        <v>107232971</v>
      </c>
      <c r="C120" t="s">
        <v>504</v>
      </c>
      <c r="D120" t="s">
        <v>486</v>
      </c>
      <c r="E120" t="s">
        <v>484</v>
      </c>
      <c r="F120">
        <v>207</v>
      </c>
      <c r="G120" t="s">
        <v>60</v>
      </c>
      <c r="H120" t="s">
        <v>489</v>
      </c>
      <c r="I120">
        <v>742</v>
      </c>
    </row>
    <row r="121" spans="1:9" x14ac:dyDescent="0.35">
      <c r="A121" t="s">
        <v>487</v>
      </c>
      <c r="B121">
        <v>107232971</v>
      </c>
      <c r="C121" t="s">
        <v>504</v>
      </c>
      <c r="D121" t="s">
        <v>486</v>
      </c>
      <c r="E121" t="s">
        <v>484</v>
      </c>
      <c r="F121">
        <v>207</v>
      </c>
      <c r="G121" t="s">
        <v>81</v>
      </c>
      <c r="H121" t="s">
        <v>492</v>
      </c>
      <c r="I121">
        <v>207</v>
      </c>
    </row>
    <row r="122" spans="1:9" x14ac:dyDescent="0.35">
      <c r="A122" t="s">
        <v>487</v>
      </c>
      <c r="B122">
        <v>107221179</v>
      </c>
      <c r="C122" t="s">
        <v>500</v>
      </c>
      <c r="D122" t="s">
        <v>486</v>
      </c>
      <c r="E122" t="s">
        <v>493</v>
      </c>
      <c r="F122">
        <v>226</v>
      </c>
      <c r="G122" t="s">
        <v>60</v>
      </c>
      <c r="H122" t="s">
        <v>492</v>
      </c>
      <c r="I122">
        <v>1204</v>
      </c>
    </row>
    <row r="123" spans="1:9" x14ac:dyDescent="0.35">
      <c r="A123" t="s">
        <v>487</v>
      </c>
      <c r="B123">
        <v>107221179</v>
      </c>
      <c r="C123" t="s">
        <v>500</v>
      </c>
      <c r="D123" t="s">
        <v>486</v>
      </c>
      <c r="E123" t="s">
        <v>493</v>
      </c>
      <c r="F123">
        <v>226</v>
      </c>
      <c r="G123" t="s">
        <v>60</v>
      </c>
      <c r="H123" t="s">
        <v>488</v>
      </c>
      <c r="I123">
        <v>220</v>
      </c>
    </row>
    <row r="124" spans="1:9" x14ac:dyDescent="0.35">
      <c r="A124" t="s">
        <v>487</v>
      </c>
      <c r="B124">
        <v>107221179</v>
      </c>
      <c r="C124" t="s">
        <v>500</v>
      </c>
      <c r="D124" t="s">
        <v>486</v>
      </c>
      <c r="E124" t="s">
        <v>493</v>
      </c>
      <c r="F124">
        <v>226</v>
      </c>
      <c r="G124" t="s">
        <v>60</v>
      </c>
      <c r="H124" t="s">
        <v>489</v>
      </c>
      <c r="I124">
        <v>984</v>
      </c>
    </row>
    <row r="125" spans="1:9" x14ac:dyDescent="0.35">
      <c r="A125" t="s">
        <v>487</v>
      </c>
      <c r="B125">
        <v>107221179</v>
      </c>
      <c r="C125" t="s">
        <v>500</v>
      </c>
      <c r="D125" t="s">
        <v>486</v>
      </c>
      <c r="E125" t="s">
        <v>493</v>
      </c>
      <c r="F125">
        <v>226</v>
      </c>
      <c r="G125" t="s">
        <v>81</v>
      </c>
      <c r="H125" t="s">
        <v>492</v>
      </c>
      <c r="I125">
        <v>226</v>
      </c>
    </row>
    <row r="126" spans="1:9" x14ac:dyDescent="0.35">
      <c r="A126" t="s">
        <v>487</v>
      </c>
      <c r="B126">
        <v>107868365</v>
      </c>
      <c r="C126" t="s">
        <v>521</v>
      </c>
      <c r="D126" t="s">
        <v>486</v>
      </c>
      <c r="E126" t="s">
        <v>493</v>
      </c>
      <c r="F126">
        <v>222</v>
      </c>
      <c r="G126" t="s">
        <v>60</v>
      </c>
      <c r="H126" t="s">
        <v>492</v>
      </c>
      <c r="I126">
        <v>1385</v>
      </c>
    </row>
    <row r="127" spans="1:9" x14ac:dyDescent="0.35">
      <c r="A127" t="s">
        <v>487</v>
      </c>
      <c r="B127">
        <v>107868365</v>
      </c>
      <c r="C127" t="s">
        <v>521</v>
      </c>
      <c r="D127" t="s">
        <v>486</v>
      </c>
      <c r="E127" t="s">
        <v>493</v>
      </c>
      <c r="F127">
        <v>222</v>
      </c>
      <c r="G127" t="s">
        <v>60</v>
      </c>
      <c r="H127" t="s">
        <v>488</v>
      </c>
      <c r="I127">
        <v>309</v>
      </c>
    </row>
    <row r="128" spans="1:9" x14ac:dyDescent="0.35">
      <c r="A128" t="s">
        <v>487</v>
      </c>
      <c r="B128">
        <v>107868365</v>
      </c>
      <c r="C128" t="s">
        <v>521</v>
      </c>
      <c r="D128" t="s">
        <v>486</v>
      </c>
      <c r="E128" t="s">
        <v>493</v>
      </c>
      <c r="F128">
        <v>222</v>
      </c>
      <c r="G128" t="s">
        <v>60</v>
      </c>
      <c r="H128" t="s">
        <v>489</v>
      </c>
      <c r="I128">
        <v>1010</v>
      </c>
    </row>
    <row r="129" spans="1:9" x14ac:dyDescent="0.35">
      <c r="A129" t="s">
        <v>487</v>
      </c>
      <c r="B129">
        <v>107868365</v>
      </c>
      <c r="C129" t="s">
        <v>521</v>
      </c>
      <c r="D129" t="s">
        <v>486</v>
      </c>
      <c r="E129" t="s">
        <v>493</v>
      </c>
      <c r="F129">
        <v>222</v>
      </c>
      <c r="G129" t="s">
        <v>60</v>
      </c>
      <c r="H129" t="s">
        <v>490</v>
      </c>
      <c r="I129">
        <v>66</v>
      </c>
    </row>
    <row r="130" spans="1:9" x14ac:dyDescent="0.35">
      <c r="A130" t="s">
        <v>487</v>
      </c>
      <c r="B130">
        <v>107868365</v>
      </c>
      <c r="C130" t="s">
        <v>521</v>
      </c>
      <c r="D130" t="s">
        <v>486</v>
      </c>
      <c r="E130" t="s">
        <v>493</v>
      </c>
      <c r="F130">
        <v>222</v>
      </c>
      <c r="G130" t="s">
        <v>81</v>
      </c>
      <c r="H130" t="s">
        <v>492</v>
      </c>
      <c r="I130">
        <v>222</v>
      </c>
    </row>
    <row r="131" spans="1:9" x14ac:dyDescent="0.35">
      <c r="A131" t="s">
        <v>487</v>
      </c>
      <c r="B131">
        <v>106576075</v>
      </c>
      <c r="C131" t="s">
        <v>534</v>
      </c>
      <c r="D131" t="s">
        <v>486</v>
      </c>
      <c r="E131" t="s">
        <v>484</v>
      </c>
      <c r="F131">
        <v>209</v>
      </c>
      <c r="G131" t="s">
        <v>60</v>
      </c>
      <c r="H131" t="s">
        <v>492</v>
      </c>
      <c r="I131">
        <v>2183</v>
      </c>
    </row>
    <row r="132" spans="1:9" x14ac:dyDescent="0.35">
      <c r="A132" t="s">
        <v>487</v>
      </c>
      <c r="B132">
        <v>106576075</v>
      </c>
      <c r="C132" t="s">
        <v>534</v>
      </c>
      <c r="D132" t="s">
        <v>486</v>
      </c>
      <c r="E132" t="s">
        <v>484</v>
      </c>
      <c r="F132">
        <v>209</v>
      </c>
      <c r="G132" t="s">
        <v>60</v>
      </c>
      <c r="H132" t="s">
        <v>488</v>
      </c>
      <c r="I132">
        <v>614</v>
      </c>
    </row>
    <row r="133" spans="1:9" x14ac:dyDescent="0.35">
      <c r="A133" t="s">
        <v>487</v>
      </c>
      <c r="B133">
        <v>106576075</v>
      </c>
      <c r="C133" t="s">
        <v>534</v>
      </c>
      <c r="D133" t="s">
        <v>486</v>
      </c>
      <c r="E133" t="s">
        <v>484</v>
      </c>
      <c r="F133">
        <v>209</v>
      </c>
      <c r="G133" t="s">
        <v>60</v>
      </c>
      <c r="H133" t="s">
        <v>489</v>
      </c>
      <c r="I133">
        <v>1567</v>
      </c>
    </row>
    <row r="134" spans="1:9" x14ac:dyDescent="0.35">
      <c r="A134" t="s">
        <v>487</v>
      </c>
      <c r="B134">
        <v>106576075</v>
      </c>
      <c r="C134" t="s">
        <v>534</v>
      </c>
      <c r="D134" t="s">
        <v>486</v>
      </c>
      <c r="E134" t="s">
        <v>484</v>
      </c>
      <c r="F134">
        <v>209</v>
      </c>
      <c r="G134" t="s">
        <v>60</v>
      </c>
      <c r="H134" t="s">
        <v>490</v>
      </c>
      <c r="I134">
        <v>2</v>
      </c>
    </row>
    <row r="135" spans="1:9" x14ac:dyDescent="0.35">
      <c r="A135" t="s">
        <v>487</v>
      </c>
      <c r="B135">
        <v>106576075</v>
      </c>
      <c r="C135" t="s">
        <v>534</v>
      </c>
      <c r="D135" t="s">
        <v>486</v>
      </c>
      <c r="E135" t="s">
        <v>484</v>
      </c>
      <c r="F135">
        <v>209</v>
      </c>
      <c r="G135" t="s">
        <v>81</v>
      </c>
      <c r="H135" t="s">
        <v>492</v>
      </c>
      <c r="I135">
        <v>209</v>
      </c>
    </row>
    <row r="136" spans="1:9" x14ac:dyDescent="0.35">
      <c r="A136" t="s">
        <v>487</v>
      </c>
      <c r="B136">
        <v>106488400</v>
      </c>
      <c r="C136" t="s">
        <v>524</v>
      </c>
      <c r="D136" t="s">
        <v>497</v>
      </c>
      <c r="E136" t="s">
        <v>484</v>
      </c>
      <c r="F136">
        <v>3</v>
      </c>
      <c r="G136" t="s">
        <v>60</v>
      </c>
      <c r="H136" t="s">
        <v>492</v>
      </c>
      <c r="I136">
        <v>2184</v>
      </c>
    </row>
    <row r="137" spans="1:9" x14ac:dyDescent="0.35">
      <c r="A137" t="s">
        <v>487</v>
      </c>
      <c r="B137">
        <v>106488400</v>
      </c>
      <c r="C137" t="s">
        <v>524</v>
      </c>
      <c r="D137" t="s">
        <v>497</v>
      </c>
      <c r="E137" t="s">
        <v>484</v>
      </c>
      <c r="F137">
        <v>3</v>
      </c>
      <c r="G137" t="s">
        <v>60</v>
      </c>
      <c r="H137" t="s">
        <v>488</v>
      </c>
      <c r="I137">
        <v>18</v>
      </c>
    </row>
    <row r="138" spans="1:9" x14ac:dyDescent="0.35">
      <c r="A138" t="s">
        <v>487</v>
      </c>
      <c r="B138">
        <v>106488400</v>
      </c>
      <c r="C138" t="s">
        <v>524</v>
      </c>
      <c r="D138" t="s">
        <v>497</v>
      </c>
      <c r="E138" t="s">
        <v>484</v>
      </c>
      <c r="F138">
        <v>3</v>
      </c>
      <c r="G138" t="s">
        <v>60</v>
      </c>
      <c r="H138" t="s">
        <v>489</v>
      </c>
      <c r="I138">
        <v>2166</v>
      </c>
    </row>
    <row r="139" spans="1:9" x14ac:dyDescent="0.35">
      <c r="A139" t="s">
        <v>487</v>
      </c>
      <c r="B139">
        <v>106488400</v>
      </c>
      <c r="C139" t="s">
        <v>524</v>
      </c>
      <c r="D139" t="s">
        <v>497</v>
      </c>
      <c r="E139" t="s">
        <v>484</v>
      </c>
      <c r="F139">
        <v>3</v>
      </c>
      <c r="G139" t="s">
        <v>81</v>
      </c>
      <c r="H139" t="s">
        <v>492</v>
      </c>
      <c r="I139">
        <v>287</v>
      </c>
    </row>
    <row r="140" spans="1:9" x14ac:dyDescent="0.35">
      <c r="A140" t="s">
        <v>487</v>
      </c>
      <c r="B140">
        <v>106488400</v>
      </c>
      <c r="C140" t="s">
        <v>524</v>
      </c>
      <c r="D140" t="s">
        <v>497</v>
      </c>
      <c r="E140" t="s">
        <v>484</v>
      </c>
      <c r="F140">
        <v>3</v>
      </c>
      <c r="G140" t="s">
        <v>85</v>
      </c>
      <c r="H140" t="s">
        <v>492</v>
      </c>
      <c r="I140">
        <v>3</v>
      </c>
    </row>
    <row r="141" spans="1:9" x14ac:dyDescent="0.35">
      <c r="A141" t="s">
        <v>34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S186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>
    <row r="1" spans="1:19" x14ac:dyDescent="0.35">
      <c r="A1" t="s">
        <v>35</v>
      </c>
      <c r="B1" t="s">
        <v>36</v>
      </c>
      <c r="C1" t="s">
        <v>37</v>
      </c>
      <c r="D1" t="s">
        <v>38</v>
      </c>
      <c r="E1" t="s">
        <v>39</v>
      </c>
      <c r="F1" t="s">
        <v>40</v>
      </c>
      <c r="G1" t="s">
        <v>41</v>
      </c>
      <c r="H1" t="s">
        <v>42</v>
      </c>
      <c r="I1" t="s">
        <v>43</v>
      </c>
      <c r="J1" t="s">
        <v>44</v>
      </c>
      <c r="K1" t="s">
        <v>45</v>
      </c>
      <c r="L1" t="s">
        <v>46</v>
      </c>
      <c r="M1" t="s">
        <v>47</v>
      </c>
      <c r="N1" t="s">
        <v>48</v>
      </c>
      <c r="O1" t="s">
        <v>49</v>
      </c>
      <c r="P1" t="s">
        <v>50</v>
      </c>
      <c r="Q1" t="s">
        <v>51</v>
      </c>
      <c r="R1" t="s">
        <v>52</v>
      </c>
      <c r="S1" t="s">
        <v>53</v>
      </c>
    </row>
    <row r="2" spans="1:19" x14ac:dyDescent="0.35">
      <c r="A2" t="s">
        <v>54</v>
      </c>
      <c r="B2">
        <v>1</v>
      </c>
      <c r="C2" t="s">
        <v>55</v>
      </c>
      <c r="D2" t="s">
        <v>6</v>
      </c>
      <c r="E2" t="s">
        <v>13</v>
      </c>
      <c r="F2" t="s">
        <v>56</v>
      </c>
      <c r="G2" t="s">
        <v>57</v>
      </c>
      <c r="H2">
        <v>114468</v>
      </c>
      <c r="I2">
        <v>77.039166666666603</v>
      </c>
      <c r="J2">
        <v>1485.8416173591299</v>
      </c>
      <c r="K2">
        <v>995.00000399999999</v>
      </c>
      <c r="L2">
        <v>115.043215617916</v>
      </c>
      <c r="M2">
        <v>38.004048951249999</v>
      </c>
      <c r="N2">
        <v>1.49330815214663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35">
      <c r="A3" t="s">
        <v>54</v>
      </c>
      <c r="B3">
        <v>2</v>
      </c>
      <c r="C3" t="s">
        <v>58</v>
      </c>
      <c r="D3" t="s">
        <v>59</v>
      </c>
      <c r="E3" t="s">
        <v>13</v>
      </c>
      <c r="F3" t="s">
        <v>56</v>
      </c>
      <c r="G3" t="s">
        <v>60</v>
      </c>
      <c r="H3">
        <v>705</v>
      </c>
      <c r="I3">
        <v>0.33833333333333299</v>
      </c>
      <c r="J3">
        <v>2083.7438423645299</v>
      </c>
      <c r="K3">
        <v>275.00000399999999</v>
      </c>
      <c r="L3">
        <v>2.5636363263470998</v>
      </c>
      <c r="M3">
        <v>2.22530299301377</v>
      </c>
      <c r="N3">
        <v>7.5772502256564698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35">
      <c r="A4" t="s">
        <v>54</v>
      </c>
      <c r="B4">
        <v>3</v>
      </c>
      <c r="C4" t="s">
        <v>61</v>
      </c>
      <c r="D4" t="s">
        <v>62</v>
      </c>
      <c r="E4" t="s">
        <v>13</v>
      </c>
      <c r="F4" t="s">
        <v>56</v>
      </c>
      <c r="G4" t="s">
        <v>60</v>
      </c>
      <c r="H4">
        <v>6253</v>
      </c>
      <c r="I4">
        <v>18.796388888888799</v>
      </c>
      <c r="J4">
        <v>332.67028241240098</v>
      </c>
      <c r="K4">
        <v>101.999988</v>
      </c>
      <c r="L4">
        <v>61.303928780854299</v>
      </c>
      <c r="M4">
        <v>42.507539891965401</v>
      </c>
      <c r="N4">
        <v>3.2614737406871201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35">
      <c r="A5" t="s">
        <v>54</v>
      </c>
      <c r="B5">
        <v>4</v>
      </c>
      <c r="C5" t="s">
        <v>63</v>
      </c>
      <c r="D5" t="s">
        <v>64</v>
      </c>
      <c r="E5" t="s">
        <v>13</v>
      </c>
      <c r="F5" t="s">
        <v>56</v>
      </c>
      <c r="G5" t="s">
        <v>60</v>
      </c>
      <c r="H5">
        <v>54</v>
      </c>
      <c r="I5">
        <v>0.34638888888888802</v>
      </c>
      <c r="J5">
        <v>155.89414595028001</v>
      </c>
      <c r="K5">
        <v>52.999991999999999</v>
      </c>
      <c r="L5">
        <v>1.0188680783197099</v>
      </c>
      <c r="M5">
        <v>0.67247918943082097</v>
      </c>
      <c r="N5">
        <v>2.94139942417879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35">
      <c r="A6" t="s">
        <v>54</v>
      </c>
      <c r="B6">
        <v>5</v>
      </c>
      <c r="C6" t="s">
        <v>65</v>
      </c>
      <c r="D6" t="s">
        <v>66</v>
      </c>
      <c r="E6" t="s">
        <v>13</v>
      </c>
      <c r="F6" t="s">
        <v>56</v>
      </c>
      <c r="G6" t="s">
        <v>60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35">
      <c r="A7" t="s">
        <v>54</v>
      </c>
      <c r="B7">
        <v>6</v>
      </c>
      <c r="C7" t="s">
        <v>67</v>
      </c>
      <c r="D7" t="s">
        <v>68</v>
      </c>
      <c r="E7" t="s">
        <v>13</v>
      </c>
      <c r="F7" t="s">
        <v>56</v>
      </c>
      <c r="G7" t="s">
        <v>60</v>
      </c>
      <c r="H7">
        <v>7012</v>
      </c>
      <c r="I7">
        <v>19.481111111111101</v>
      </c>
      <c r="J7">
        <v>359.93840187075699</v>
      </c>
      <c r="K7">
        <v>108.065733555603</v>
      </c>
      <c r="L7">
        <v>64.886433185521099</v>
      </c>
      <c r="M7">
        <v>45.405322074410002</v>
      </c>
      <c r="N7">
        <v>3.33073574784515</v>
      </c>
      <c r="P7">
        <v>0</v>
      </c>
      <c r="Q7">
        <v>0</v>
      </c>
      <c r="R7">
        <v>0</v>
      </c>
      <c r="S7">
        <v>0</v>
      </c>
    </row>
    <row r="8" spans="1:19" x14ac:dyDescent="0.35">
      <c r="A8" t="s">
        <v>54</v>
      </c>
      <c r="B8">
        <v>7</v>
      </c>
      <c r="C8" t="s">
        <v>69</v>
      </c>
      <c r="D8" t="s">
        <v>70</v>
      </c>
      <c r="E8" t="s">
        <v>13</v>
      </c>
      <c r="F8" t="s">
        <v>56</v>
      </c>
      <c r="G8" t="s">
        <v>60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35">
      <c r="A9" t="s">
        <v>54</v>
      </c>
      <c r="B9">
        <v>8</v>
      </c>
      <c r="C9" t="s">
        <v>71</v>
      </c>
      <c r="D9" t="s">
        <v>72</v>
      </c>
      <c r="E9" t="s">
        <v>13</v>
      </c>
      <c r="F9" t="s">
        <v>56</v>
      </c>
      <c r="G9" t="s">
        <v>60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35">
      <c r="A10" t="s">
        <v>54</v>
      </c>
      <c r="B10">
        <v>9</v>
      </c>
      <c r="C10" t="s">
        <v>73</v>
      </c>
      <c r="D10" t="s">
        <v>74</v>
      </c>
      <c r="E10" t="s">
        <v>13</v>
      </c>
      <c r="F10" t="s">
        <v>56</v>
      </c>
      <c r="G10" t="s">
        <v>60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35">
      <c r="A11" t="s">
        <v>54</v>
      </c>
      <c r="B11">
        <v>10</v>
      </c>
      <c r="C11" t="s">
        <v>75</v>
      </c>
      <c r="D11" t="s">
        <v>76</v>
      </c>
      <c r="E11" t="s">
        <v>13</v>
      </c>
      <c r="F11" t="s">
        <v>56</v>
      </c>
      <c r="G11" t="s">
        <v>60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35">
      <c r="A12" t="s">
        <v>54</v>
      </c>
      <c r="B12">
        <v>11</v>
      </c>
      <c r="C12" t="s">
        <v>77</v>
      </c>
      <c r="D12" t="s">
        <v>78</v>
      </c>
      <c r="E12" t="s">
        <v>13</v>
      </c>
      <c r="F12" t="s">
        <v>56</v>
      </c>
      <c r="G12" t="s">
        <v>60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0</v>
      </c>
      <c r="Q12">
        <v>0</v>
      </c>
      <c r="R12">
        <v>0</v>
      </c>
      <c r="S12">
        <v>0</v>
      </c>
    </row>
    <row r="13" spans="1:19" x14ac:dyDescent="0.35">
      <c r="A13" t="s">
        <v>54</v>
      </c>
      <c r="B13">
        <v>12</v>
      </c>
      <c r="C13" t="s">
        <v>79</v>
      </c>
      <c r="D13" t="s">
        <v>80</v>
      </c>
      <c r="E13" t="s">
        <v>13</v>
      </c>
      <c r="F13" t="s">
        <v>56</v>
      </c>
      <c r="G13" t="s">
        <v>81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35">
      <c r="A14" t="s">
        <v>54</v>
      </c>
      <c r="B14">
        <v>13</v>
      </c>
      <c r="C14" t="s">
        <v>82</v>
      </c>
      <c r="D14" t="s">
        <v>7</v>
      </c>
      <c r="E14" t="s">
        <v>13</v>
      </c>
      <c r="F14" t="s">
        <v>56</v>
      </c>
      <c r="G14" t="s">
        <v>81</v>
      </c>
      <c r="H14">
        <v>16981</v>
      </c>
      <c r="I14">
        <v>13.1808333333333</v>
      </c>
      <c r="J14">
        <v>1288.31004615287</v>
      </c>
      <c r="K14">
        <v>524.99998800000003</v>
      </c>
      <c r="L14">
        <v>32.344762644070698</v>
      </c>
      <c r="M14">
        <v>19.163929310737402</v>
      </c>
      <c r="N14">
        <v>2.4539239535237298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35">
      <c r="A15" t="s">
        <v>54</v>
      </c>
      <c r="B15">
        <v>14</v>
      </c>
      <c r="C15" t="s">
        <v>83</v>
      </c>
      <c r="D15" t="s">
        <v>84</v>
      </c>
      <c r="E15" t="s">
        <v>13</v>
      </c>
      <c r="F15" t="s">
        <v>56</v>
      </c>
      <c r="G15" t="s">
        <v>85</v>
      </c>
      <c r="H15">
        <v>0</v>
      </c>
      <c r="I15">
        <v>0</v>
      </c>
      <c r="J15">
        <v>0</v>
      </c>
      <c r="K15">
        <v>11.999988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35">
      <c r="A16" t="s">
        <v>54</v>
      </c>
      <c r="B16">
        <v>15</v>
      </c>
      <c r="C16" t="s">
        <v>86</v>
      </c>
      <c r="D16" t="s">
        <v>87</v>
      </c>
      <c r="E16" t="s">
        <v>13</v>
      </c>
      <c r="F16" t="s">
        <v>56</v>
      </c>
      <c r="G16" t="s">
        <v>57</v>
      </c>
      <c r="H16">
        <v>114468</v>
      </c>
      <c r="I16">
        <v>47.876388888888798</v>
      </c>
      <c r="J16">
        <v>2390.9071393345098</v>
      </c>
      <c r="K16">
        <v>2000.00001599999</v>
      </c>
      <c r="L16">
        <v>57.233999542127997</v>
      </c>
      <c r="M16">
        <v>9.3576106532391208</v>
      </c>
      <c r="N16">
        <v>1.19545356010362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35">
      <c r="A17" t="s">
        <v>54</v>
      </c>
      <c r="B17">
        <v>16</v>
      </c>
      <c r="C17" t="s">
        <v>88</v>
      </c>
      <c r="D17" t="s">
        <v>89</v>
      </c>
      <c r="E17" t="s">
        <v>13</v>
      </c>
      <c r="F17" t="s">
        <v>56</v>
      </c>
      <c r="G17" t="s">
        <v>60</v>
      </c>
      <c r="H17">
        <v>114468</v>
      </c>
      <c r="I17">
        <v>157.57749999999999</v>
      </c>
      <c r="J17">
        <v>726.42350589392504</v>
      </c>
      <c r="K17">
        <v>424.728859406178</v>
      </c>
      <c r="L17">
        <v>269.50841098963599</v>
      </c>
      <c r="M17">
        <v>111.930910989636</v>
      </c>
      <c r="N17">
        <v>1.71032292674802</v>
      </c>
      <c r="P17">
        <v>0</v>
      </c>
      <c r="Q17">
        <v>0</v>
      </c>
      <c r="R17">
        <v>0</v>
      </c>
      <c r="S17">
        <v>0</v>
      </c>
    </row>
    <row r="18" spans="1:19" x14ac:dyDescent="0.35">
      <c r="A18" t="s">
        <v>54</v>
      </c>
      <c r="B18">
        <v>17</v>
      </c>
      <c r="C18" t="s">
        <v>90</v>
      </c>
      <c r="D18" t="s">
        <v>91</v>
      </c>
      <c r="E18" t="s">
        <v>13</v>
      </c>
      <c r="F18" t="s">
        <v>92</v>
      </c>
      <c r="G18" t="s">
        <v>81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35">
      <c r="A19" t="s">
        <v>54</v>
      </c>
      <c r="B19">
        <v>18</v>
      </c>
      <c r="C19" t="s">
        <v>93</v>
      </c>
      <c r="D19" t="s">
        <v>94</v>
      </c>
      <c r="E19" t="s">
        <v>13</v>
      </c>
      <c r="F19" t="s">
        <v>92</v>
      </c>
      <c r="G19" t="s">
        <v>60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35">
      <c r="A20" t="s">
        <v>54</v>
      </c>
      <c r="B20">
        <v>19</v>
      </c>
      <c r="C20" t="s">
        <v>95</v>
      </c>
      <c r="D20" t="s">
        <v>96</v>
      </c>
      <c r="E20" t="s">
        <v>13</v>
      </c>
      <c r="F20" t="s">
        <v>92</v>
      </c>
      <c r="G20" t="s">
        <v>60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35">
      <c r="A21" t="s">
        <v>54</v>
      </c>
      <c r="B21">
        <v>20</v>
      </c>
      <c r="C21" t="s">
        <v>97</v>
      </c>
      <c r="D21" t="s">
        <v>98</v>
      </c>
      <c r="E21" t="s">
        <v>13</v>
      </c>
      <c r="F21" t="s">
        <v>92</v>
      </c>
      <c r="G21" t="s">
        <v>60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35">
      <c r="A22" t="s">
        <v>54</v>
      </c>
      <c r="B22">
        <v>21</v>
      </c>
      <c r="C22" t="s">
        <v>99</v>
      </c>
      <c r="D22" t="s">
        <v>100</v>
      </c>
      <c r="E22" t="s">
        <v>13</v>
      </c>
      <c r="F22" t="s">
        <v>92</v>
      </c>
      <c r="G22" t="s">
        <v>60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 x14ac:dyDescent="0.35">
      <c r="A23" t="s">
        <v>54</v>
      </c>
      <c r="B23">
        <v>22</v>
      </c>
      <c r="C23" t="s">
        <v>101</v>
      </c>
      <c r="D23" t="s">
        <v>102</v>
      </c>
      <c r="E23" t="s">
        <v>13</v>
      </c>
      <c r="F23" t="s">
        <v>92</v>
      </c>
      <c r="G23" t="s">
        <v>60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P23">
        <v>0</v>
      </c>
      <c r="Q23">
        <v>0</v>
      </c>
      <c r="R23">
        <v>0</v>
      </c>
      <c r="S23">
        <v>0</v>
      </c>
    </row>
    <row r="24" spans="1:19" x14ac:dyDescent="0.35">
      <c r="A24" t="s">
        <v>54</v>
      </c>
      <c r="B24">
        <v>23</v>
      </c>
      <c r="C24" t="s">
        <v>103</v>
      </c>
      <c r="D24" t="s">
        <v>104</v>
      </c>
      <c r="E24" t="s">
        <v>13</v>
      </c>
      <c r="F24" t="s">
        <v>92</v>
      </c>
      <c r="G24" t="s">
        <v>81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35">
      <c r="A25" t="s">
        <v>54</v>
      </c>
      <c r="B25">
        <v>24</v>
      </c>
      <c r="C25" t="s">
        <v>105</v>
      </c>
      <c r="D25" t="s">
        <v>106</v>
      </c>
      <c r="E25" t="s">
        <v>13</v>
      </c>
      <c r="F25" t="s">
        <v>92</v>
      </c>
      <c r="G25" t="s">
        <v>85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35">
      <c r="A26" t="s">
        <v>54</v>
      </c>
      <c r="B26">
        <v>25</v>
      </c>
      <c r="C26" t="s">
        <v>107</v>
      </c>
      <c r="D26" t="s">
        <v>108</v>
      </c>
      <c r="E26" t="s">
        <v>13</v>
      </c>
      <c r="F26" t="s">
        <v>92</v>
      </c>
      <c r="G26" t="s">
        <v>57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35">
      <c r="A27" t="s">
        <v>54</v>
      </c>
      <c r="B27">
        <v>26</v>
      </c>
      <c r="C27" t="s">
        <v>109</v>
      </c>
      <c r="D27" t="s">
        <v>110</v>
      </c>
      <c r="E27" t="s">
        <v>13</v>
      </c>
      <c r="F27" t="s">
        <v>92</v>
      </c>
      <c r="G27" t="s">
        <v>60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P27">
        <v>0</v>
      </c>
      <c r="Q27">
        <v>0</v>
      </c>
      <c r="R27">
        <v>0</v>
      </c>
      <c r="S27">
        <v>0</v>
      </c>
    </row>
    <row r="28" spans="1:19" x14ac:dyDescent="0.35">
      <c r="A28" t="s">
        <v>54</v>
      </c>
      <c r="B28">
        <v>27</v>
      </c>
      <c r="C28" t="s">
        <v>111</v>
      </c>
      <c r="D28" t="s">
        <v>112</v>
      </c>
      <c r="E28" t="s">
        <v>13</v>
      </c>
      <c r="F28" t="s">
        <v>113</v>
      </c>
      <c r="G28" t="s">
        <v>60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 x14ac:dyDescent="0.35">
      <c r="A29" t="s">
        <v>54</v>
      </c>
      <c r="B29">
        <v>28</v>
      </c>
      <c r="C29" t="s">
        <v>114</v>
      </c>
      <c r="D29" t="s">
        <v>115</v>
      </c>
      <c r="E29" t="s">
        <v>13</v>
      </c>
      <c r="F29" t="s">
        <v>113</v>
      </c>
      <c r="G29" t="s">
        <v>60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35">
      <c r="A30" t="s">
        <v>54</v>
      </c>
      <c r="B30">
        <v>29</v>
      </c>
      <c r="C30" t="s">
        <v>116</v>
      </c>
      <c r="D30" t="s">
        <v>117</v>
      </c>
      <c r="E30" t="s">
        <v>13</v>
      </c>
      <c r="F30" t="s">
        <v>113</v>
      </c>
      <c r="G30" t="s">
        <v>60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35">
      <c r="A31" t="s">
        <v>54</v>
      </c>
      <c r="B31">
        <v>30</v>
      </c>
      <c r="C31" t="s">
        <v>118</v>
      </c>
      <c r="D31" t="s">
        <v>119</v>
      </c>
      <c r="E31" t="s">
        <v>13</v>
      </c>
      <c r="F31" t="s">
        <v>113</v>
      </c>
      <c r="G31" t="s">
        <v>60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35">
      <c r="A32" t="s">
        <v>54</v>
      </c>
      <c r="B32">
        <v>31</v>
      </c>
      <c r="C32" t="s">
        <v>120</v>
      </c>
      <c r="D32" t="s">
        <v>121</v>
      </c>
      <c r="E32" t="s">
        <v>13</v>
      </c>
      <c r="F32" t="s">
        <v>113</v>
      </c>
      <c r="G32" t="s">
        <v>60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35">
      <c r="A33" t="s">
        <v>54</v>
      </c>
      <c r="B33">
        <v>32</v>
      </c>
      <c r="C33" t="s">
        <v>122</v>
      </c>
      <c r="D33" t="s">
        <v>123</v>
      </c>
      <c r="E33" t="s">
        <v>13</v>
      </c>
      <c r="F33" t="s">
        <v>113</v>
      </c>
      <c r="G33" t="s">
        <v>60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35">
      <c r="A34" t="s">
        <v>54</v>
      </c>
      <c r="B34">
        <v>33</v>
      </c>
      <c r="C34" t="s">
        <v>124</v>
      </c>
      <c r="D34" t="s">
        <v>125</v>
      </c>
      <c r="E34" t="s">
        <v>13</v>
      </c>
      <c r="F34" t="s">
        <v>113</v>
      </c>
      <c r="G34" t="s">
        <v>60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P34">
        <v>0</v>
      </c>
      <c r="Q34">
        <v>0</v>
      </c>
      <c r="R34">
        <v>0</v>
      </c>
      <c r="S34">
        <v>0</v>
      </c>
    </row>
    <row r="35" spans="1:19" x14ac:dyDescent="0.35">
      <c r="A35" t="s">
        <v>54</v>
      </c>
      <c r="B35">
        <v>34</v>
      </c>
      <c r="C35" t="s">
        <v>126</v>
      </c>
      <c r="D35" t="s">
        <v>127</v>
      </c>
      <c r="E35" t="s">
        <v>13</v>
      </c>
      <c r="F35" t="s">
        <v>113</v>
      </c>
      <c r="G35" t="s">
        <v>57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35">
      <c r="A36" t="s">
        <v>54</v>
      </c>
      <c r="B36">
        <v>35</v>
      </c>
      <c r="C36" t="s">
        <v>128</v>
      </c>
      <c r="D36" t="s">
        <v>129</v>
      </c>
      <c r="E36" t="s">
        <v>13</v>
      </c>
      <c r="F36" t="s">
        <v>113</v>
      </c>
      <c r="G36" t="s">
        <v>57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P36">
        <v>0</v>
      </c>
      <c r="Q36">
        <v>0</v>
      </c>
      <c r="R36">
        <v>0</v>
      </c>
      <c r="S36">
        <v>0</v>
      </c>
    </row>
    <row r="37" spans="1:19" x14ac:dyDescent="0.35">
      <c r="A37" t="s">
        <v>54</v>
      </c>
      <c r="B37">
        <v>36</v>
      </c>
      <c r="C37" t="s">
        <v>130</v>
      </c>
      <c r="D37" t="s">
        <v>131</v>
      </c>
      <c r="E37" t="s">
        <v>13</v>
      </c>
      <c r="F37" t="s">
        <v>132</v>
      </c>
      <c r="G37" t="s">
        <v>60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 x14ac:dyDescent="0.35">
      <c r="A38" t="s">
        <v>54</v>
      </c>
      <c r="B38">
        <v>37</v>
      </c>
      <c r="C38" t="s">
        <v>133</v>
      </c>
      <c r="D38" t="s">
        <v>134</v>
      </c>
      <c r="E38" t="s">
        <v>13</v>
      </c>
      <c r="F38" t="s">
        <v>132</v>
      </c>
      <c r="G38" t="s">
        <v>60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1:19" x14ac:dyDescent="0.35">
      <c r="A39" t="s">
        <v>54</v>
      </c>
      <c r="B39">
        <v>38</v>
      </c>
      <c r="C39" t="s">
        <v>135</v>
      </c>
      <c r="D39" t="s">
        <v>136</v>
      </c>
      <c r="E39" t="s">
        <v>13</v>
      </c>
      <c r="F39" t="s">
        <v>132</v>
      </c>
      <c r="G39" t="s">
        <v>60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 x14ac:dyDescent="0.35">
      <c r="A40" t="s">
        <v>54</v>
      </c>
      <c r="B40">
        <v>39</v>
      </c>
      <c r="C40" t="s">
        <v>137</v>
      </c>
      <c r="D40" t="s">
        <v>138</v>
      </c>
      <c r="E40" t="s">
        <v>13</v>
      </c>
      <c r="F40" t="s">
        <v>132</v>
      </c>
      <c r="G40" t="s">
        <v>60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35">
      <c r="A41" t="s">
        <v>54</v>
      </c>
      <c r="B41">
        <v>40</v>
      </c>
      <c r="C41" t="s">
        <v>139</v>
      </c>
      <c r="D41" t="s">
        <v>140</v>
      </c>
      <c r="E41" t="s">
        <v>13</v>
      </c>
      <c r="F41" t="s">
        <v>132</v>
      </c>
      <c r="G41" t="s">
        <v>60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P41">
        <v>0</v>
      </c>
      <c r="Q41">
        <v>0</v>
      </c>
      <c r="R41">
        <v>0</v>
      </c>
      <c r="S41">
        <v>0</v>
      </c>
    </row>
    <row r="42" spans="1:19" x14ac:dyDescent="0.35">
      <c r="A42" t="s">
        <v>54</v>
      </c>
      <c r="B42">
        <v>41</v>
      </c>
      <c r="C42" t="s">
        <v>141</v>
      </c>
      <c r="D42" t="s">
        <v>142</v>
      </c>
      <c r="E42" t="s">
        <v>13</v>
      </c>
      <c r="F42" t="s">
        <v>132</v>
      </c>
      <c r="G42" t="s">
        <v>81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1:19" x14ac:dyDescent="0.35">
      <c r="A43" t="s">
        <v>54</v>
      </c>
      <c r="B43">
        <v>42</v>
      </c>
      <c r="C43" t="s">
        <v>143</v>
      </c>
      <c r="D43" t="s">
        <v>144</v>
      </c>
      <c r="E43" t="s">
        <v>13</v>
      </c>
      <c r="F43" t="s">
        <v>132</v>
      </c>
      <c r="G43" t="s">
        <v>85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19" x14ac:dyDescent="0.35">
      <c r="A44" t="s">
        <v>54</v>
      </c>
      <c r="B44">
        <v>43</v>
      </c>
      <c r="C44" t="s">
        <v>145</v>
      </c>
      <c r="D44" t="s">
        <v>146</v>
      </c>
      <c r="E44" t="s">
        <v>13</v>
      </c>
      <c r="F44" t="s">
        <v>132</v>
      </c>
      <c r="G44" t="s">
        <v>60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 x14ac:dyDescent="0.35">
      <c r="A45" t="s">
        <v>54</v>
      </c>
      <c r="B45">
        <v>44</v>
      </c>
      <c r="C45" t="s">
        <v>147</v>
      </c>
      <c r="D45" t="s">
        <v>148</v>
      </c>
      <c r="E45" t="s">
        <v>13</v>
      </c>
      <c r="F45" t="s">
        <v>132</v>
      </c>
      <c r="G45" t="s">
        <v>60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P45">
        <v>0</v>
      </c>
      <c r="Q45">
        <v>0</v>
      </c>
      <c r="R45">
        <v>0</v>
      </c>
      <c r="S45">
        <v>0</v>
      </c>
    </row>
    <row r="46" spans="1:19" x14ac:dyDescent="0.35">
      <c r="A46" t="s">
        <v>54</v>
      </c>
      <c r="B46">
        <v>45</v>
      </c>
      <c r="C46" t="s">
        <v>149</v>
      </c>
      <c r="D46" t="s">
        <v>150</v>
      </c>
      <c r="E46" t="s">
        <v>13</v>
      </c>
      <c r="F46" t="s">
        <v>151</v>
      </c>
      <c r="G46" t="s">
        <v>81</v>
      </c>
      <c r="H46">
        <v>17930</v>
      </c>
      <c r="I46">
        <v>199.398333333333</v>
      </c>
      <c r="J46">
        <v>89.920510870201099</v>
      </c>
      <c r="K46">
        <v>86.000004000000004</v>
      </c>
      <c r="L46">
        <v>208.48836239588999</v>
      </c>
      <c r="M46">
        <v>9.0900290625567894</v>
      </c>
      <c r="N46">
        <v>1.04558728706804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 x14ac:dyDescent="0.35">
      <c r="A47" t="s">
        <v>54</v>
      </c>
      <c r="B47">
        <v>46</v>
      </c>
      <c r="C47" t="s">
        <v>152</v>
      </c>
      <c r="D47" t="s">
        <v>153</v>
      </c>
      <c r="E47" t="s">
        <v>13</v>
      </c>
      <c r="F47" t="s">
        <v>151</v>
      </c>
      <c r="G47" t="s">
        <v>154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 x14ac:dyDescent="0.35">
      <c r="A48" t="s">
        <v>54</v>
      </c>
      <c r="B48">
        <v>47</v>
      </c>
      <c r="C48" t="s">
        <v>155</v>
      </c>
      <c r="D48" t="s">
        <v>156</v>
      </c>
      <c r="E48" t="s">
        <v>13</v>
      </c>
      <c r="F48" t="s">
        <v>151</v>
      </c>
      <c r="G48" t="s">
        <v>85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35">
      <c r="A49" t="s">
        <v>54</v>
      </c>
      <c r="B49">
        <v>48</v>
      </c>
      <c r="C49" t="s">
        <v>157</v>
      </c>
      <c r="D49" t="s">
        <v>158</v>
      </c>
      <c r="E49" t="s">
        <v>13</v>
      </c>
      <c r="F49" t="s">
        <v>151</v>
      </c>
      <c r="G49" t="s">
        <v>159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35">
      <c r="A50" t="s">
        <v>54</v>
      </c>
      <c r="B50">
        <v>49</v>
      </c>
      <c r="C50" t="s">
        <v>160</v>
      </c>
      <c r="D50" t="s">
        <v>161</v>
      </c>
      <c r="E50" t="s">
        <v>13</v>
      </c>
      <c r="F50" t="s">
        <v>151</v>
      </c>
      <c r="G50" t="s">
        <v>57</v>
      </c>
      <c r="H50">
        <v>189791</v>
      </c>
      <c r="I50">
        <v>37.716111111111097</v>
      </c>
      <c r="J50">
        <v>5032.0935644949795</v>
      </c>
      <c r="K50">
        <v>15000.0000119999</v>
      </c>
      <c r="L50">
        <v>12.6527333232111</v>
      </c>
      <c r="M50">
        <v>-25.063377787899899</v>
      </c>
      <c r="N50">
        <v>0.33547290403128699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1:19" x14ac:dyDescent="0.35">
      <c r="A51" t="s">
        <v>54</v>
      </c>
      <c r="B51">
        <v>50</v>
      </c>
      <c r="C51" t="s">
        <v>162</v>
      </c>
      <c r="D51" t="s">
        <v>163</v>
      </c>
      <c r="E51" t="s">
        <v>13</v>
      </c>
      <c r="F51" t="s">
        <v>151</v>
      </c>
      <c r="G51" t="s">
        <v>57</v>
      </c>
      <c r="H51">
        <v>189791</v>
      </c>
      <c r="I51">
        <v>237.11444444444399</v>
      </c>
      <c r="J51">
        <v>800.41939429155104</v>
      </c>
      <c r="K51">
        <v>858.23487209757297</v>
      </c>
      <c r="L51">
        <v>221.141095719101</v>
      </c>
      <c r="M51">
        <v>-15.973348725343101</v>
      </c>
      <c r="N51">
        <v>0.93263443413256197</v>
      </c>
      <c r="P51">
        <v>0</v>
      </c>
      <c r="Q51">
        <v>0</v>
      </c>
      <c r="R51">
        <v>0</v>
      </c>
      <c r="S51">
        <v>0</v>
      </c>
    </row>
    <row r="52" spans="1:19" x14ac:dyDescent="0.35">
      <c r="A52" t="s">
        <v>54</v>
      </c>
      <c r="B52">
        <v>51</v>
      </c>
      <c r="C52" t="s">
        <v>164</v>
      </c>
      <c r="D52" t="s">
        <v>165</v>
      </c>
      <c r="E52" t="s">
        <v>13</v>
      </c>
      <c r="F52" t="s">
        <v>165</v>
      </c>
      <c r="G52" t="s">
        <v>57</v>
      </c>
      <c r="H52">
        <v>114468</v>
      </c>
      <c r="I52">
        <v>21.966666666666601</v>
      </c>
      <c r="J52">
        <v>5210.9863429438501</v>
      </c>
      <c r="K52">
        <v>4500</v>
      </c>
      <c r="L52">
        <v>25.437333333333299</v>
      </c>
      <c r="M52">
        <v>3.4706666666666601</v>
      </c>
      <c r="N52">
        <v>1.1579969650986299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x14ac:dyDescent="0.35">
      <c r="A53" t="s">
        <v>54</v>
      </c>
      <c r="B53">
        <v>52</v>
      </c>
      <c r="C53" t="s">
        <v>166</v>
      </c>
      <c r="D53" t="s">
        <v>167</v>
      </c>
      <c r="E53" t="s">
        <v>13</v>
      </c>
      <c r="F53" t="s">
        <v>168</v>
      </c>
      <c r="G53" t="s">
        <v>57</v>
      </c>
      <c r="H53">
        <v>114468</v>
      </c>
      <c r="I53">
        <v>19.952222222222201</v>
      </c>
      <c r="J53">
        <v>5737.1053071225697</v>
      </c>
      <c r="K53">
        <v>1850.000004</v>
      </c>
      <c r="L53">
        <v>61.874594460811601</v>
      </c>
      <c r="M53">
        <v>41.922372238589404</v>
      </c>
      <c r="N53">
        <v>3.1011379971448698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35">
      <c r="A54" t="s">
        <v>54</v>
      </c>
      <c r="B54">
        <v>53</v>
      </c>
      <c r="C54" t="s">
        <v>169</v>
      </c>
      <c r="D54" t="s">
        <v>11</v>
      </c>
      <c r="E54" t="s">
        <v>13</v>
      </c>
      <c r="F54" t="s">
        <v>170</v>
      </c>
      <c r="G54" t="s">
        <v>60</v>
      </c>
      <c r="H54">
        <v>114468</v>
      </c>
      <c r="I54">
        <v>436.61083333333301</v>
      </c>
      <c r="J54">
        <v>262.17398026083401</v>
      </c>
      <c r="K54">
        <v>198.05473716158301</v>
      </c>
      <c r="L54">
        <v>577.96143450288298</v>
      </c>
      <c r="M54">
        <v>141.35060116954901</v>
      </c>
      <c r="N54">
        <v>1.32374506168433</v>
      </c>
      <c r="P54">
        <v>0</v>
      </c>
      <c r="Q54">
        <v>0</v>
      </c>
      <c r="R54">
        <v>0</v>
      </c>
      <c r="S54">
        <v>0</v>
      </c>
    </row>
    <row r="55" spans="1:19" x14ac:dyDescent="0.35">
      <c r="A55" t="s">
        <v>54</v>
      </c>
      <c r="B55">
        <v>54</v>
      </c>
      <c r="C55" t="s">
        <v>171</v>
      </c>
      <c r="D55" t="s">
        <v>172</v>
      </c>
      <c r="E55" t="s">
        <v>173</v>
      </c>
      <c r="F55" t="s">
        <v>174</v>
      </c>
      <c r="G55" t="s">
        <v>81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35">
      <c r="A56" t="s">
        <v>54</v>
      </c>
      <c r="B56">
        <v>55</v>
      </c>
      <c r="C56" t="s">
        <v>175</v>
      </c>
      <c r="D56" t="s">
        <v>176</v>
      </c>
      <c r="E56" t="s">
        <v>173</v>
      </c>
      <c r="F56" t="s">
        <v>174</v>
      </c>
      <c r="G56" t="s">
        <v>85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35">
      <c r="A57" t="s">
        <v>54</v>
      </c>
      <c r="B57">
        <v>56</v>
      </c>
      <c r="C57" t="s">
        <v>177</v>
      </c>
      <c r="D57" t="s">
        <v>178</v>
      </c>
      <c r="E57" t="s">
        <v>173</v>
      </c>
      <c r="F57" t="s">
        <v>179</v>
      </c>
      <c r="G57" t="s">
        <v>81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 x14ac:dyDescent="0.35">
      <c r="A58" t="s">
        <v>54</v>
      </c>
      <c r="B58">
        <v>57</v>
      </c>
      <c r="C58" t="s">
        <v>180</v>
      </c>
      <c r="D58" t="s">
        <v>181</v>
      </c>
      <c r="E58" t="s">
        <v>173</v>
      </c>
      <c r="F58" t="s">
        <v>179</v>
      </c>
      <c r="G58" t="s">
        <v>81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 x14ac:dyDescent="0.35">
      <c r="A59" t="s">
        <v>54</v>
      </c>
      <c r="B59">
        <v>58</v>
      </c>
      <c r="C59" t="s">
        <v>182</v>
      </c>
      <c r="D59" t="s">
        <v>183</v>
      </c>
      <c r="E59" t="s">
        <v>173</v>
      </c>
      <c r="F59" t="s">
        <v>184</v>
      </c>
      <c r="G59" t="s">
        <v>81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 x14ac:dyDescent="0.35">
      <c r="A60" t="s">
        <v>54</v>
      </c>
      <c r="B60">
        <v>59</v>
      </c>
      <c r="C60" t="s">
        <v>185</v>
      </c>
      <c r="D60" t="s">
        <v>186</v>
      </c>
      <c r="E60" t="s">
        <v>173</v>
      </c>
      <c r="F60" t="s">
        <v>184</v>
      </c>
      <c r="G60" t="s">
        <v>60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 x14ac:dyDescent="0.35">
      <c r="A61" t="s">
        <v>54</v>
      </c>
      <c r="B61">
        <v>60</v>
      </c>
      <c r="C61" t="s">
        <v>187</v>
      </c>
      <c r="D61" t="s">
        <v>188</v>
      </c>
      <c r="E61" t="s">
        <v>173</v>
      </c>
      <c r="F61" t="s">
        <v>184</v>
      </c>
      <c r="G61" t="s">
        <v>60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35">
      <c r="A62" t="s">
        <v>54</v>
      </c>
      <c r="B62">
        <v>61</v>
      </c>
      <c r="C62" t="s">
        <v>189</v>
      </c>
      <c r="D62" t="s">
        <v>190</v>
      </c>
      <c r="E62" t="s">
        <v>173</v>
      </c>
      <c r="F62" t="s">
        <v>184</v>
      </c>
      <c r="G62" t="s">
        <v>60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19" x14ac:dyDescent="0.35">
      <c r="A63" t="s">
        <v>54</v>
      </c>
      <c r="B63">
        <v>62</v>
      </c>
      <c r="C63" t="s">
        <v>191</v>
      </c>
      <c r="D63" t="s">
        <v>192</v>
      </c>
      <c r="E63" t="s">
        <v>173</v>
      </c>
      <c r="F63" t="s">
        <v>184</v>
      </c>
      <c r="G63" t="s">
        <v>60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35">
      <c r="A64" t="s">
        <v>54</v>
      </c>
      <c r="B64">
        <v>63</v>
      </c>
      <c r="C64" t="s">
        <v>193</v>
      </c>
      <c r="D64" t="s">
        <v>194</v>
      </c>
      <c r="E64" t="s">
        <v>173</v>
      </c>
      <c r="F64" t="s">
        <v>184</v>
      </c>
      <c r="G64" t="s">
        <v>57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P64">
        <v>0</v>
      </c>
      <c r="Q64">
        <v>0</v>
      </c>
      <c r="R64">
        <v>0</v>
      </c>
      <c r="S64">
        <v>0</v>
      </c>
    </row>
    <row r="65" spans="1:19" x14ac:dyDescent="0.35">
      <c r="A65" t="s">
        <v>54</v>
      </c>
      <c r="B65">
        <v>64</v>
      </c>
      <c r="C65" t="s">
        <v>195</v>
      </c>
      <c r="D65" t="s">
        <v>196</v>
      </c>
      <c r="E65" t="s">
        <v>173</v>
      </c>
      <c r="F65" t="s">
        <v>197</v>
      </c>
      <c r="G65" t="s">
        <v>60</v>
      </c>
      <c r="H65">
        <v>14825</v>
      </c>
      <c r="I65">
        <v>9.6555555555555497</v>
      </c>
      <c r="J65">
        <v>1535.3855005753701</v>
      </c>
      <c r="K65">
        <v>1244.000016</v>
      </c>
      <c r="L65">
        <v>11.9172024190713</v>
      </c>
      <c r="M65">
        <v>2.2616468635157898</v>
      </c>
      <c r="N65">
        <v>1.2342327016299399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35">
      <c r="A66" t="s">
        <v>54</v>
      </c>
      <c r="B66">
        <v>65</v>
      </c>
      <c r="C66" t="s">
        <v>198</v>
      </c>
      <c r="D66" t="s">
        <v>199</v>
      </c>
      <c r="E66" t="s">
        <v>173</v>
      </c>
      <c r="F66" t="s">
        <v>197</v>
      </c>
      <c r="G66" t="s">
        <v>60</v>
      </c>
      <c r="H66">
        <v>56204</v>
      </c>
      <c r="I66">
        <v>200.685277777777</v>
      </c>
      <c r="J66">
        <v>280.06040414302601</v>
      </c>
      <c r="K66">
        <v>288</v>
      </c>
      <c r="L66">
        <v>195.152777777777</v>
      </c>
      <c r="M66">
        <v>-5.5324999999999998</v>
      </c>
      <c r="N66">
        <v>0.97243195882995304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35">
      <c r="A67" t="s">
        <v>54</v>
      </c>
      <c r="B67">
        <v>66</v>
      </c>
      <c r="C67" t="s">
        <v>200</v>
      </c>
      <c r="D67" t="s">
        <v>201</v>
      </c>
      <c r="E67" t="s">
        <v>173</v>
      </c>
      <c r="F67" t="s">
        <v>197</v>
      </c>
      <c r="G67" t="s">
        <v>60</v>
      </c>
      <c r="H67">
        <v>390</v>
      </c>
      <c r="I67">
        <v>2.9238888888888801</v>
      </c>
      <c r="J67">
        <v>133.38400152004499</v>
      </c>
      <c r="K67">
        <v>117</v>
      </c>
      <c r="L67">
        <v>3.3333333333333299</v>
      </c>
      <c r="M67" s="84">
        <v>0.409444444444444</v>
      </c>
      <c r="N67">
        <v>1.14003420102603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35">
      <c r="A68" t="s">
        <v>54</v>
      </c>
      <c r="B68">
        <v>67</v>
      </c>
      <c r="C68" t="s">
        <v>202</v>
      </c>
      <c r="D68" t="s">
        <v>203</v>
      </c>
      <c r="E68" t="s">
        <v>173</v>
      </c>
      <c r="F68" t="s">
        <v>197</v>
      </c>
      <c r="G68" t="s">
        <v>60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35">
      <c r="A69" t="s">
        <v>54</v>
      </c>
      <c r="B69">
        <v>68</v>
      </c>
      <c r="C69" t="s">
        <v>204</v>
      </c>
      <c r="D69" t="s">
        <v>205</v>
      </c>
      <c r="E69" t="s">
        <v>173</v>
      </c>
      <c r="F69" t="s">
        <v>197</v>
      </c>
      <c r="G69" t="s">
        <v>60</v>
      </c>
      <c r="H69">
        <v>71419</v>
      </c>
      <c r="I69">
        <v>213.26472222222199</v>
      </c>
      <c r="J69">
        <v>334.88426616372698</v>
      </c>
      <c r="K69">
        <v>339.43857062761901</v>
      </c>
      <c r="L69">
        <v>210.403313530182</v>
      </c>
      <c r="M69">
        <v>-2.8614086920397401</v>
      </c>
      <c r="N69">
        <v>0.98658283159903803</v>
      </c>
      <c r="P69">
        <v>0</v>
      </c>
      <c r="Q69">
        <v>0</v>
      </c>
      <c r="R69">
        <v>0</v>
      </c>
      <c r="S69">
        <v>0</v>
      </c>
    </row>
    <row r="70" spans="1:19" x14ac:dyDescent="0.35">
      <c r="A70" t="s">
        <v>54</v>
      </c>
      <c r="B70">
        <v>69</v>
      </c>
      <c r="C70" t="s">
        <v>206</v>
      </c>
      <c r="D70" t="s">
        <v>207</v>
      </c>
      <c r="E70" t="s">
        <v>173</v>
      </c>
      <c r="F70" t="s">
        <v>207</v>
      </c>
      <c r="G70" t="s">
        <v>60</v>
      </c>
      <c r="H70">
        <v>75323</v>
      </c>
      <c r="I70">
        <v>16.264444444444401</v>
      </c>
      <c r="J70">
        <v>4631.1449651591702</v>
      </c>
      <c r="K70">
        <v>3465</v>
      </c>
      <c r="L70">
        <v>21.738239538239501</v>
      </c>
      <c r="M70">
        <v>5.4737950937950899</v>
      </c>
      <c r="N70">
        <v>1.33654977349471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35">
      <c r="A71" t="s">
        <v>54</v>
      </c>
      <c r="B71">
        <v>70</v>
      </c>
      <c r="C71" t="s">
        <v>208</v>
      </c>
      <c r="D71" t="s">
        <v>209</v>
      </c>
      <c r="E71" t="s">
        <v>173</v>
      </c>
      <c r="F71" t="s">
        <v>209</v>
      </c>
      <c r="G71" t="s">
        <v>57</v>
      </c>
      <c r="H71">
        <v>75323</v>
      </c>
      <c r="I71">
        <v>43.0075</v>
      </c>
      <c r="J71">
        <v>1751.39219903505</v>
      </c>
      <c r="K71">
        <v>1524.999996</v>
      </c>
      <c r="L71">
        <v>49.392131277094101</v>
      </c>
      <c r="M71">
        <v>6.38463127709411</v>
      </c>
      <c r="N71">
        <v>1.1484539040189199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35">
      <c r="A72" t="s">
        <v>54</v>
      </c>
      <c r="B72">
        <v>71</v>
      </c>
      <c r="C72" t="s">
        <v>210</v>
      </c>
      <c r="D72" t="s">
        <v>211</v>
      </c>
      <c r="E72" t="s">
        <v>173</v>
      </c>
      <c r="F72" t="s">
        <v>211</v>
      </c>
      <c r="G72" t="s">
        <v>57</v>
      </c>
      <c r="H72">
        <v>75323</v>
      </c>
      <c r="I72">
        <v>9.7658333333333296</v>
      </c>
      <c r="J72">
        <v>7712.9106579059599</v>
      </c>
      <c r="K72">
        <v>3499.999992</v>
      </c>
      <c r="L72">
        <v>21.5208571920476</v>
      </c>
      <c r="M72">
        <v>11.755023858714299</v>
      </c>
      <c r="N72">
        <v>2.2036887644387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35">
      <c r="A73" t="s">
        <v>54</v>
      </c>
      <c r="B73">
        <v>72</v>
      </c>
      <c r="C73" t="s">
        <v>212</v>
      </c>
      <c r="D73" t="s">
        <v>213</v>
      </c>
      <c r="E73" t="s">
        <v>173</v>
      </c>
      <c r="F73" t="s">
        <v>214</v>
      </c>
      <c r="G73" t="s">
        <v>57</v>
      </c>
      <c r="H73">
        <v>75323</v>
      </c>
      <c r="I73">
        <v>4.6333333333333302</v>
      </c>
      <c r="J73">
        <v>16256.762589927999</v>
      </c>
      <c r="K73">
        <v>5000.0000040000004</v>
      </c>
      <c r="L73">
        <v>15.0645999879483</v>
      </c>
      <c r="M73">
        <v>10.4312666546149</v>
      </c>
      <c r="N73">
        <v>3.2513525153845202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35">
      <c r="A74" t="s">
        <v>54</v>
      </c>
      <c r="B74">
        <v>73</v>
      </c>
      <c r="C74" t="s">
        <v>215</v>
      </c>
      <c r="D74" t="s">
        <v>216</v>
      </c>
      <c r="E74" t="s">
        <v>173</v>
      </c>
      <c r="F74" t="s">
        <v>170</v>
      </c>
      <c r="G74" t="s">
        <v>57</v>
      </c>
      <c r="H74">
        <v>75323</v>
      </c>
      <c r="I74">
        <v>286.93583333333299</v>
      </c>
      <c r="J74">
        <v>262.50816820252999</v>
      </c>
      <c r="K74">
        <v>236.77606961591499</v>
      </c>
      <c r="L74">
        <v>318.11914152551202</v>
      </c>
      <c r="M74">
        <v>31.1833081921787</v>
      </c>
      <c r="N74">
        <v>1.1086769394743099</v>
      </c>
      <c r="P74">
        <v>0</v>
      </c>
      <c r="Q74">
        <v>0</v>
      </c>
      <c r="R74">
        <v>0</v>
      </c>
      <c r="S74">
        <v>0</v>
      </c>
    </row>
    <row r="75" spans="1:19" x14ac:dyDescent="0.35">
      <c r="A75" t="s">
        <v>54</v>
      </c>
      <c r="B75">
        <v>74</v>
      </c>
      <c r="C75" t="s">
        <v>217</v>
      </c>
      <c r="D75" t="s">
        <v>218</v>
      </c>
      <c r="E75" t="s">
        <v>219</v>
      </c>
      <c r="F75" t="s">
        <v>9</v>
      </c>
      <c r="G75" t="s">
        <v>60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 x14ac:dyDescent="0.35">
      <c r="A76" t="s">
        <v>54</v>
      </c>
      <c r="B76">
        <v>75</v>
      </c>
      <c r="C76" t="s">
        <v>220</v>
      </c>
      <c r="D76" t="s">
        <v>221</v>
      </c>
      <c r="E76" t="s">
        <v>219</v>
      </c>
      <c r="F76" t="s">
        <v>9</v>
      </c>
      <c r="G76" t="s">
        <v>60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 x14ac:dyDescent="0.35">
      <c r="A77" t="s">
        <v>54</v>
      </c>
      <c r="B77">
        <v>76</v>
      </c>
      <c r="C77" t="s">
        <v>222</v>
      </c>
      <c r="D77" t="s">
        <v>223</v>
      </c>
      <c r="E77" t="s">
        <v>219</v>
      </c>
      <c r="F77" t="s">
        <v>9</v>
      </c>
      <c r="G77" t="s">
        <v>60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35">
      <c r="A78" t="s">
        <v>54</v>
      </c>
      <c r="B78">
        <v>77</v>
      </c>
      <c r="C78" t="s">
        <v>224</v>
      </c>
      <c r="D78" t="s">
        <v>225</v>
      </c>
      <c r="E78" t="s">
        <v>219</v>
      </c>
      <c r="F78" t="s">
        <v>9</v>
      </c>
      <c r="G78" t="s">
        <v>60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35">
      <c r="A79" t="s">
        <v>54</v>
      </c>
      <c r="B79">
        <v>78</v>
      </c>
      <c r="C79" t="s">
        <v>226</v>
      </c>
      <c r="D79" t="s">
        <v>227</v>
      </c>
      <c r="E79" t="s">
        <v>219</v>
      </c>
      <c r="F79" t="s">
        <v>9</v>
      </c>
      <c r="G79" t="s">
        <v>60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P79">
        <v>0</v>
      </c>
      <c r="Q79">
        <v>0</v>
      </c>
      <c r="R79">
        <v>0</v>
      </c>
      <c r="S79">
        <v>0</v>
      </c>
    </row>
    <row r="80" spans="1:19" x14ac:dyDescent="0.35">
      <c r="A80" t="s">
        <v>54</v>
      </c>
      <c r="B80">
        <v>79</v>
      </c>
      <c r="C80" t="s">
        <v>228</v>
      </c>
      <c r="D80" t="s">
        <v>229</v>
      </c>
      <c r="E80" t="s">
        <v>219</v>
      </c>
      <c r="F80" t="s">
        <v>9</v>
      </c>
      <c r="G80" t="s">
        <v>57</v>
      </c>
      <c r="H80">
        <v>71419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35">
      <c r="A81" t="s">
        <v>54</v>
      </c>
      <c r="B81">
        <v>80</v>
      </c>
      <c r="C81" t="s">
        <v>230</v>
      </c>
      <c r="D81" t="s">
        <v>231</v>
      </c>
      <c r="E81" t="s">
        <v>219</v>
      </c>
      <c r="F81" t="s">
        <v>9</v>
      </c>
      <c r="G81" t="s">
        <v>57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P81">
        <v>0</v>
      </c>
      <c r="Q81">
        <v>0</v>
      </c>
      <c r="R81">
        <v>0</v>
      </c>
      <c r="S81">
        <v>0</v>
      </c>
    </row>
    <row r="82" spans="1:19" x14ac:dyDescent="0.35">
      <c r="A82" t="s">
        <v>54</v>
      </c>
      <c r="B82">
        <v>81</v>
      </c>
      <c r="C82" t="s">
        <v>232</v>
      </c>
      <c r="D82" t="s">
        <v>233</v>
      </c>
      <c r="E82" t="s">
        <v>219</v>
      </c>
      <c r="F82" t="s">
        <v>234</v>
      </c>
      <c r="G82" t="s">
        <v>60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35">
      <c r="A83" t="s">
        <v>54</v>
      </c>
      <c r="B83">
        <v>82</v>
      </c>
      <c r="C83" t="s">
        <v>235</v>
      </c>
      <c r="D83" t="s">
        <v>236</v>
      </c>
      <c r="E83" t="s">
        <v>219</v>
      </c>
      <c r="F83" t="s">
        <v>234</v>
      </c>
      <c r="G83" t="s">
        <v>60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35">
      <c r="A84" t="s">
        <v>54</v>
      </c>
      <c r="B84">
        <v>83</v>
      </c>
      <c r="C84" t="s">
        <v>237</v>
      </c>
      <c r="D84" t="s">
        <v>238</v>
      </c>
      <c r="E84" t="s">
        <v>219</v>
      </c>
      <c r="F84" t="s">
        <v>234</v>
      </c>
      <c r="G84" t="s">
        <v>60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x14ac:dyDescent="0.35">
      <c r="A85" t="s">
        <v>54</v>
      </c>
      <c r="B85">
        <v>84</v>
      </c>
      <c r="C85" t="s">
        <v>239</v>
      </c>
      <c r="D85" t="s">
        <v>240</v>
      </c>
      <c r="E85" t="s">
        <v>219</v>
      </c>
      <c r="F85" t="s">
        <v>234</v>
      </c>
      <c r="G85" t="s">
        <v>60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1:19" x14ac:dyDescent="0.35">
      <c r="A86" t="s">
        <v>54</v>
      </c>
      <c r="B86">
        <v>85</v>
      </c>
      <c r="C86" t="s">
        <v>241</v>
      </c>
      <c r="D86" t="s">
        <v>242</v>
      </c>
      <c r="E86" t="s">
        <v>219</v>
      </c>
      <c r="F86" t="s">
        <v>234</v>
      </c>
      <c r="G86" t="s">
        <v>60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P86">
        <v>0</v>
      </c>
      <c r="Q86">
        <v>0</v>
      </c>
      <c r="R86">
        <v>0</v>
      </c>
      <c r="S86">
        <v>0</v>
      </c>
    </row>
    <row r="87" spans="1:19" x14ac:dyDescent="0.35">
      <c r="A87" t="s">
        <v>54</v>
      </c>
      <c r="B87">
        <v>86</v>
      </c>
      <c r="C87" t="s">
        <v>243</v>
      </c>
      <c r="D87" t="s">
        <v>244</v>
      </c>
      <c r="E87" t="s">
        <v>219</v>
      </c>
      <c r="F87" t="s">
        <v>234</v>
      </c>
      <c r="G87" t="s">
        <v>60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1:19" x14ac:dyDescent="0.35">
      <c r="A88" t="s">
        <v>54</v>
      </c>
      <c r="B88">
        <v>87</v>
      </c>
      <c r="C88" t="s">
        <v>245</v>
      </c>
      <c r="D88" t="s">
        <v>246</v>
      </c>
      <c r="E88" t="s">
        <v>219</v>
      </c>
      <c r="F88" t="s">
        <v>234</v>
      </c>
      <c r="G88" t="s">
        <v>60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1:19" x14ac:dyDescent="0.35">
      <c r="A89" t="s">
        <v>54</v>
      </c>
      <c r="B89">
        <v>88</v>
      </c>
      <c r="C89" t="s">
        <v>247</v>
      </c>
      <c r="D89" t="s">
        <v>248</v>
      </c>
      <c r="E89" t="s">
        <v>219</v>
      </c>
      <c r="F89" t="s">
        <v>234</v>
      </c>
      <c r="G89" t="s">
        <v>60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1:19" x14ac:dyDescent="0.35">
      <c r="A90" t="s">
        <v>54</v>
      </c>
      <c r="B90">
        <v>89</v>
      </c>
      <c r="C90" t="s">
        <v>249</v>
      </c>
      <c r="D90" t="s">
        <v>250</v>
      </c>
      <c r="E90" t="s">
        <v>219</v>
      </c>
      <c r="F90" t="s">
        <v>234</v>
      </c>
      <c r="G90" t="s">
        <v>60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1:19" x14ac:dyDescent="0.35">
      <c r="A91" t="s">
        <v>54</v>
      </c>
      <c r="B91">
        <v>90</v>
      </c>
      <c r="C91" t="s">
        <v>251</v>
      </c>
      <c r="D91" t="s">
        <v>252</v>
      </c>
      <c r="E91" t="s">
        <v>219</v>
      </c>
      <c r="F91" t="s">
        <v>234</v>
      </c>
      <c r="G91" t="s">
        <v>60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P91">
        <v>0</v>
      </c>
      <c r="Q91">
        <v>0</v>
      </c>
      <c r="R91">
        <v>0</v>
      </c>
      <c r="S91">
        <v>0</v>
      </c>
    </row>
    <row r="92" spans="1:19" x14ac:dyDescent="0.35">
      <c r="A92" t="s">
        <v>54</v>
      </c>
      <c r="B92">
        <v>91</v>
      </c>
      <c r="C92" t="s">
        <v>253</v>
      </c>
      <c r="D92" t="s">
        <v>254</v>
      </c>
      <c r="E92" t="s">
        <v>219</v>
      </c>
      <c r="F92" t="s">
        <v>234</v>
      </c>
      <c r="G92" t="s">
        <v>57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1:19" x14ac:dyDescent="0.35">
      <c r="A93" t="s">
        <v>54</v>
      </c>
      <c r="B93">
        <v>92</v>
      </c>
      <c r="C93" t="s">
        <v>255</v>
      </c>
      <c r="D93" t="s">
        <v>256</v>
      </c>
      <c r="E93" t="s">
        <v>219</v>
      </c>
      <c r="F93" t="s">
        <v>234</v>
      </c>
      <c r="G93" t="s">
        <v>60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P93">
        <v>0</v>
      </c>
      <c r="Q93">
        <v>0</v>
      </c>
      <c r="R93">
        <v>0</v>
      </c>
      <c r="S93">
        <v>0</v>
      </c>
    </row>
    <row r="94" spans="1:19" x14ac:dyDescent="0.35">
      <c r="A94" t="s">
        <v>54</v>
      </c>
      <c r="B94">
        <v>93</v>
      </c>
      <c r="C94" t="s">
        <v>257</v>
      </c>
      <c r="D94" t="s">
        <v>258</v>
      </c>
      <c r="E94" t="s">
        <v>219</v>
      </c>
      <c r="F94" t="s">
        <v>259</v>
      </c>
      <c r="G94" t="s">
        <v>60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1:19" x14ac:dyDescent="0.35">
      <c r="A95" t="s">
        <v>54</v>
      </c>
      <c r="B95">
        <v>94</v>
      </c>
      <c r="C95" t="s">
        <v>260</v>
      </c>
      <c r="D95" t="s">
        <v>261</v>
      </c>
      <c r="E95" t="s">
        <v>219</v>
      </c>
      <c r="F95" t="s">
        <v>259</v>
      </c>
      <c r="G95" t="s">
        <v>60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1:19" x14ac:dyDescent="0.35">
      <c r="A96" t="s">
        <v>54</v>
      </c>
      <c r="B96">
        <v>95</v>
      </c>
      <c r="C96" t="s">
        <v>262</v>
      </c>
      <c r="D96" t="s">
        <v>263</v>
      </c>
      <c r="E96" t="s">
        <v>219</v>
      </c>
      <c r="F96" t="s">
        <v>259</v>
      </c>
      <c r="G96" t="s">
        <v>60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 x14ac:dyDescent="0.35">
      <c r="A97" t="s">
        <v>54</v>
      </c>
      <c r="B97">
        <v>96</v>
      </c>
      <c r="C97" t="s">
        <v>264</v>
      </c>
      <c r="D97" t="s">
        <v>265</v>
      </c>
      <c r="E97" t="s">
        <v>219</v>
      </c>
      <c r="F97" t="s">
        <v>259</v>
      </c>
      <c r="G97" t="s">
        <v>60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1:19" x14ac:dyDescent="0.35">
      <c r="A98" t="s">
        <v>54</v>
      </c>
      <c r="B98">
        <v>97</v>
      </c>
      <c r="C98" t="s">
        <v>266</v>
      </c>
      <c r="D98" t="s">
        <v>267</v>
      </c>
      <c r="E98" t="s">
        <v>219</v>
      </c>
      <c r="F98" t="s">
        <v>259</v>
      </c>
      <c r="G98" t="s">
        <v>60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P98">
        <v>0</v>
      </c>
      <c r="Q98">
        <v>0</v>
      </c>
      <c r="R98">
        <v>0</v>
      </c>
      <c r="S98">
        <v>0</v>
      </c>
    </row>
    <row r="99" spans="1:19" x14ac:dyDescent="0.35">
      <c r="A99" t="s">
        <v>54</v>
      </c>
      <c r="B99">
        <v>98</v>
      </c>
      <c r="C99" t="s">
        <v>268</v>
      </c>
      <c r="D99" t="s">
        <v>269</v>
      </c>
      <c r="E99" t="s">
        <v>219</v>
      </c>
      <c r="F99" t="s">
        <v>259</v>
      </c>
      <c r="G99" t="s">
        <v>270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 x14ac:dyDescent="0.35">
      <c r="A100" t="s">
        <v>54</v>
      </c>
      <c r="B100">
        <v>99</v>
      </c>
      <c r="C100" t="s">
        <v>271</v>
      </c>
      <c r="D100" t="s">
        <v>272</v>
      </c>
      <c r="E100" t="s">
        <v>219</v>
      </c>
      <c r="F100" t="s">
        <v>259</v>
      </c>
      <c r="G100" t="s">
        <v>60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1:19" x14ac:dyDescent="0.35">
      <c r="A101" t="s">
        <v>54</v>
      </c>
      <c r="B101">
        <v>100</v>
      </c>
      <c r="C101" t="s">
        <v>273</v>
      </c>
      <c r="D101" t="s">
        <v>274</v>
      </c>
      <c r="E101" t="s">
        <v>219</v>
      </c>
      <c r="F101" t="s">
        <v>259</v>
      </c>
      <c r="G101" t="s">
        <v>60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1:19" x14ac:dyDescent="0.35">
      <c r="A102" t="s">
        <v>54</v>
      </c>
      <c r="B102">
        <v>101</v>
      </c>
      <c r="C102" t="s">
        <v>275</v>
      </c>
      <c r="D102" t="s">
        <v>276</v>
      </c>
      <c r="E102" t="s">
        <v>219</v>
      </c>
      <c r="F102" t="s">
        <v>259</v>
      </c>
      <c r="G102" t="s">
        <v>60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1:19" x14ac:dyDescent="0.35">
      <c r="A103" t="s">
        <v>54</v>
      </c>
      <c r="B103">
        <v>102</v>
      </c>
      <c r="C103" t="s">
        <v>277</v>
      </c>
      <c r="D103" t="s">
        <v>278</v>
      </c>
      <c r="E103" t="s">
        <v>219</v>
      </c>
      <c r="F103" t="s">
        <v>259</v>
      </c>
      <c r="G103" t="s">
        <v>60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1:19" x14ac:dyDescent="0.35">
      <c r="A104" t="s">
        <v>54</v>
      </c>
      <c r="B104">
        <v>103</v>
      </c>
      <c r="C104" t="s">
        <v>279</v>
      </c>
      <c r="D104" t="s">
        <v>280</v>
      </c>
      <c r="E104" t="s">
        <v>219</v>
      </c>
      <c r="F104" t="s">
        <v>259</v>
      </c>
      <c r="G104" t="s">
        <v>60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1:19" x14ac:dyDescent="0.35">
      <c r="A105" t="s">
        <v>54</v>
      </c>
      <c r="B105">
        <v>104</v>
      </c>
      <c r="C105" t="s">
        <v>281</v>
      </c>
      <c r="D105" t="s">
        <v>282</v>
      </c>
      <c r="E105" t="s">
        <v>219</v>
      </c>
      <c r="F105" t="s">
        <v>259</v>
      </c>
      <c r="G105" t="s">
        <v>60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1:19" x14ac:dyDescent="0.35">
      <c r="A106" t="s">
        <v>54</v>
      </c>
      <c r="B106">
        <v>105</v>
      </c>
      <c r="C106" t="s">
        <v>283</v>
      </c>
      <c r="D106" t="s">
        <v>284</v>
      </c>
      <c r="E106" t="s">
        <v>219</v>
      </c>
      <c r="F106" t="s">
        <v>259</v>
      </c>
      <c r="G106" t="s">
        <v>60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P106">
        <v>0</v>
      </c>
      <c r="Q106">
        <v>0</v>
      </c>
      <c r="R106">
        <v>0</v>
      </c>
      <c r="S106">
        <v>0</v>
      </c>
    </row>
    <row r="107" spans="1:19" x14ac:dyDescent="0.35">
      <c r="A107" t="s">
        <v>54</v>
      </c>
      <c r="B107">
        <v>106</v>
      </c>
      <c r="C107" t="s">
        <v>285</v>
      </c>
      <c r="D107" t="s">
        <v>286</v>
      </c>
      <c r="E107" t="s">
        <v>219</v>
      </c>
      <c r="F107" t="s">
        <v>259</v>
      </c>
      <c r="G107" t="s">
        <v>60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1:19" x14ac:dyDescent="0.35">
      <c r="A108" t="s">
        <v>54</v>
      </c>
      <c r="B108">
        <v>107</v>
      </c>
      <c r="C108" t="s">
        <v>287</v>
      </c>
      <c r="D108" t="s">
        <v>288</v>
      </c>
      <c r="E108" t="s">
        <v>219</v>
      </c>
      <c r="F108" t="s">
        <v>259</v>
      </c>
      <c r="G108" t="s">
        <v>60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1:19" x14ac:dyDescent="0.35">
      <c r="A109" t="s">
        <v>54</v>
      </c>
      <c r="B109">
        <v>108</v>
      </c>
      <c r="C109" t="s">
        <v>289</v>
      </c>
      <c r="D109" t="s">
        <v>290</v>
      </c>
      <c r="E109" t="s">
        <v>219</v>
      </c>
      <c r="F109" t="s">
        <v>259</v>
      </c>
      <c r="G109" t="s">
        <v>60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1:19" x14ac:dyDescent="0.35">
      <c r="A110" t="s">
        <v>54</v>
      </c>
      <c r="B110">
        <v>109</v>
      </c>
      <c r="C110" t="s">
        <v>291</v>
      </c>
      <c r="D110" t="s">
        <v>292</v>
      </c>
      <c r="E110" t="s">
        <v>219</v>
      </c>
      <c r="F110" t="s">
        <v>259</v>
      </c>
      <c r="G110" t="s">
        <v>60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1:19" x14ac:dyDescent="0.35">
      <c r="A111" t="s">
        <v>54</v>
      </c>
      <c r="B111">
        <v>110</v>
      </c>
      <c r="C111" t="s">
        <v>293</v>
      </c>
      <c r="D111" t="s">
        <v>294</v>
      </c>
      <c r="E111" t="s">
        <v>219</v>
      </c>
      <c r="F111" t="s">
        <v>259</v>
      </c>
      <c r="G111" t="s">
        <v>60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P111">
        <v>0</v>
      </c>
      <c r="Q111">
        <v>0</v>
      </c>
      <c r="R111">
        <v>0</v>
      </c>
      <c r="S111">
        <v>0</v>
      </c>
    </row>
    <row r="112" spans="1:19" x14ac:dyDescent="0.35">
      <c r="A112" t="s">
        <v>54</v>
      </c>
      <c r="B112">
        <v>111</v>
      </c>
      <c r="C112" t="s">
        <v>295</v>
      </c>
      <c r="D112" t="s">
        <v>296</v>
      </c>
      <c r="E112" t="s">
        <v>219</v>
      </c>
      <c r="F112" t="s">
        <v>259</v>
      </c>
      <c r="G112" t="s">
        <v>57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1:19" x14ac:dyDescent="0.35">
      <c r="A113" t="s">
        <v>54</v>
      </c>
      <c r="B113">
        <v>112</v>
      </c>
      <c r="C113" t="s">
        <v>297</v>
      </c>
      <c r="D113" t="s">
        <v>298</v>
      </c>
      <c r="E113" t="s">
        <v>219</v>
      </c>
      <c r="F113" t="s">
        <v>299</v>
      </c>
      <c r="G113" t="s">
        <v>60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1:19" x14ac:dyDescent="0.35">
      <c r="A114" t="s">
        <v>54</v>
      </c>
      <c r="B114">
        <v>113</v>
      </c>
      <c r="C114" t="s">
        <v>300</v>
      </c>
      <c r="D114" t="s">
        <v>301</v>
      </c>
      <c r="E114" t="s">
        <v>219</v>
      </c>
      <c r="F114" t="s">
        <v>299</v>
      </c>
      <c r="G114" t="s">
        <v>60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1:19" x14ac:dyDescent="0.35">
      <c r="A115" t="s">
        <v>54</v>
      </c>
      <c r="B115">
        <v>114</v>
      </c>
      <c r="C115" t="s">
        <v>302</v>
      </c>
      <c r="D115" t="s">
        <v>303</v>
      </c>
      <c r="E115" t="s">
        <v>219</v>
      </c>
      <c r="F115" t="s">
        <v>299</v>
      </c>
      <c r="G115" t="s">
        <v>60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1:19" x14ac:dyDescent="0.35">
      <c r="A116" t="s">
        <v>54</v>
      </c>
      <c r="B116">
        <v>115</v>
      </c>
      <c r="C116" t="s">
        <v>304</v>
      </c>
      <c r="D116" t="s">
        <v>305</v>
      </c>
      <c r="E116" t="s">
        <v>219</v>
      </c>
      <c r="F116" t="s">
        <v>299</v>
      </c>
      <c r="G116" t="s">
        <v>60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1:19" x14ac:dyDescent="0.35">
      <c r="A117" t="s">
        <v>54</v>
      </c>
      <c r="B117">
        <v>116</v>
      </c>
      <c r="C117" t="s">
        <v>306</v>
      </c>
      <c r="D117" t="s">
        <v>307</v>
      </c>
      <c r="E117" t="s">
        <v>219</v>
      </c>
      <c r="F117" t="s">
        <v>299</v>
      </c>
      <c r="G117" t="s">
        <v>60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P117">
        <v>0</v>
      </c>
      <c r="Q117">
        <v>0</v>
      </c>
      <c r="R117">
        <v>0</v>
      </c>
      <c r="S117">
        <v>0</v>
      </c>
    </row>
    <row r="118" spans="1:19" x14ac:dyDescent="0.35">
      <c r="A118" t="s">
        <v>54</v>
      </c>
      <c r="B118">
        <v>117</v>
      </c>
      <c r="C118" t="s">
        <v>308</v>
      </c>
      <c r="D118" t="s">
        <v>309</v>
      </c>
      <c r="E118" t="s">
        <v>219</v>
      </c>
      <c r="F118" t="s">
        <v>309</v>
      </c>
      <c r="G118" t="s">
        <v>60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1:19" x14ac:dyDescent="0.35">
      <c r="A119" t="s">
        <v>54</v>
      </c>
      <c r="B119">
        <v>118</v>
      </c>
      <c r="C119" t="s">
        <v>310</v>
      </c>
      <c r="D119" t="s">
        <v>311</v>
      </c>
      <c r="E119" t="s">
        <v>219</v>
      </c>
      <c r="F119" t="s">
        <v>312</v>
      </c>
      <c r="G119" t="s">
        <v>60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1:19" x14ac:dyDescent="0.35">
      <c r="A120" t="s">
        <v>54</v>
      </c>
      <c r="B120">
        <v>119</v>
      </c>
      <c r="C120" t="s">
        <v>313</v>
      </c>
      <c r="D120" t="s">
        <v>314</v>
      </c>
      <c r="E120" t="s">
        <v>219</v>
      </c>
      <c r="F120" t="s">
        <v>315</v>
      </c>
      <c r="G120" t="s">
        <v>60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</row>
    <row r="121" spans="1:19" x14ac:dyDescent="0.35">
      <c r="A121" t="s">
        <v>54</v>
      </c>
      <c r="B121">
        <v>120</v>
      </c>
      <c r="C121" t="s">
        <v>316</v>
      </c>
      <c r="D121" t="s">
        <v>317</v>
      </c>
      <c r="E121" t="s">
        <v>219</v>
      </c>
      <c r="F121" t="s">
        <v>170</v>
      </c>
      <c r="G121" t="s">
        <v>60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P121">
        <v>0</v>
      </c>
      <c r="Q121">
        <v>0</v>
      </c>
      <c r="R121">
        <v>0</v>
      </c>
      <c r="S121">
        <v>0</v>
      </c>
    </row>
    <row r="122" spans="1:19" x14ac:dyDescent="0.35">
      <c r="A122" t="s">
        <v>54</v>
      </c>
      <c r="B122">
        <v>121</v>
      </c>
      <c r="C122" t="s">
        <v>318</v>
      </c>
      <c r="D122" t="s">
        <v>319</v>
      </c>
      <c r="E122" t="s">
        <v>320</v>
      </c>
      <c r="F122" t="s">
        <v>321</v>
      </c>
      <c r="G122" t="s">
        <v>60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1:19" x14ac:dyDescent="0.35">
      <c r="A123" t="s">
        <v>54</v>
      </c>
      <c r="B123">
        <v>122</v>
      </c>
      <c r="C123" t="s">
        <v>322</v>
      </c>
      <c r="D123" t="s">
        <v>323</v>
      </c>
      <c r="E123" t="s">
        <v>320</v>
      </c>
      <c r="F123" t="s">
        <v>321</v>
      </c>
      <c r="G123" t="s">
        <v>60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1:19" x14ac:dyDescent="0.35">
      <c r="A124" t="s">
        <v>54</v>
      </c>
      <c r="B124">
        <v>123</v>
      </c>
      <c r="C124" t="s">
        <v>324</v>
      </c>
      <c r="D124" t="s">
        <v>325</v>
      </c>
      <c r="E124" t="s">
        <v>320</v>
      </c>
      <c r="F124" t="s">
        <v>321</v>
      </c>
      <c r="G124" t="s">
        <v>60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1:19" x14ac:dyDescent="0.35">
      <c r="A125" t="s">
        <v>54</v>
      </c>
      <c r="B125">
        <v>124</v>
      </c>
      <c r="C125" t="s">
        <v>326</v>
      </c>
      <c r="D125" t="s">
        <v>327</v>
      </c>
      <c r="E125" t="s">
        <v>320</v>
      </c>
      <c r="F125" t="s">
        <v>321</v>
      </c>
      <c r="G125" t="s">
        <v>60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1:19" x14ac:dyDescent="0.35">
      <c r="A126" t="s">
        <v>54</v>
      </c>
      <c r="B126">
        <v>125</v>
      </c>
      <c r="C126" t="s">
        <v>328</v>
      </c>
      <c r="D126" t="s">
        <v>329</v>
      </c>
      <c r="E126" t="s">
        <v>320</v>
      </c>
      <c r="F126" t="s">
        <v>321</v>
      </c>
      <c r="G126" t="s">
        <v>57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P126">
        <v>0</v>
      </c>
      <c r="Q126">
        <v>0</v>
      </c>
      <c r="R126">
        <v>0</v>
      </c>
      <c r="S126">
        <v>0</v>
      </c>
    </row>
    <row r="127" spans="1:19" x14ac:dyDescent="0.35">
      <c r="A127" t="s">
        <v>54</v>
      </c>
      <c r="B127">
        <v>126</v>
      </c>
      <c r="C127" t="s">
        <v>330</v>
      </c>
      <c r="D127" t="s">
        <v>331</v>
      </c>
      <c r="E127" t="s">
        <v>320</v>
      </c>
      <c r="F127" t="s">
        <v>321</v>
      </c>
      <c r="G127" t="s">
        <v>60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</row>
    <row r="128" spans="1:19" x14ac:dyDescent="0.35">
      <c r="A128" t="s">
        <v>54</v>
      </c>
      <c r="B128">
        <v>127</v>
      </c>
      <c r="C128" t="s">
        <v>332</v>
      </c>
      <c r="D128" t="s">
        <v>333</v>
      </c>
      <c r="E128" t="s">
        <v>320</v>
      </c>
      <c r="F128" t="s">
        <v>321</v>
      </c>
      <c r="G128" t="s">
        <v>60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1:19" x14ac:dyDescent="0.35">
      <c r="A129" t="s">
        <v>54</v>
      </c>
      <c r="B129">
        <v>128</v>
      </c>
      <c r="C129" t="s">
        <v>334</v>
      </c>
      <c r="D129" t="s">
        <v>335</v>
      </c>
      <c r="E129" t="s">
        <v>320</v>
      </c>
      <c r="F129" t="s">
        <v>321</v>
      </c>
      <c r="G129" t="s">
        <v>60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1:19" x14ac:dyDescent="0.35">
      <c r="A130" t="s">
        <v>54</v>
      </c>
      <c r="B130">
        <v>129</v>
      </c>
      <c r="C130" t="s">
        <v>336</v>
      </c>
      <c r="D130" t="s">
        <v>337</v>
      </c>
      <c r="E130" t="s">
        <v>320</v>
      </c>
      <c r="F130" t="s">
        <v>321</v>
      </c>
      <c r="G130" t="s">
        <v>60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1:19" x14ac:dyDescent="0.35">
      <c r="A131" t="s">
        <v>54</v>
      </c>
      <c r="B131">
        <v>130</v>
      </c>
      <c r="C131" t="s">
        <v>338</v>
      </c>
      <c r="D131" t="s">
        <v>339</v>
      </c>
      <c r="E131" t="s">
        <v>320</v>
      </c>
      <c r="F131" t="s">
        <v>321</v>
      </c>
      <c r="G131" t="s">
        <v>57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P131">
        <v>0</v>
      </c>
      <c r="Q131">
        <v>0</v>
      </c>
      <c r="R131">
        <v>0</v>
      </c>
      <c r="S131">
        <v>0</v>
      </c>
    </row>
    <row r="132" spans="1:19" x14ac:dyDescent="0.35">
      <c r="A132" t="s">
        <v>54</v>
      </c>
      <c r="B132">
        <v>131</v>
      </c>
      <c r="C132" t="s">
        <v>340</v>
      </c>
      <c r="D132" t="s">
        <v>341</v>
      </c>
      <c r="E132" t="s">
        <v>320</v>
      </c>
      <c r="F132" t="s">
        <v>321</v>
      </c>
      <c r="G132" t="s">
        <v>57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1:19" x14ac:dyDescent="0.35">
      <c r="A133" t="s">
        <v>54</v>
      </c>
      <c r="B133">
        <v>132</v>
      </c>
      <c r="C133" t="s">
        <v>342</v>
      </c>
      <c r="D133" t="s">
        <v>343</v>
      </c>
      <c r="E133" t="s">
        <v>320</v>
      </c>
      <c r="F133" t="s">
        <v>321</v>
      </c>
      <c r="G133" t="s">
        <v>57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P133">
        <v>0</v>
      </c>
      <c r="Q133">
        <v>0</v>
      </c>
      <c r="R133">
        <v>0</v>
      </c>
      <c r="S133">
        <v>0</v>
      </c>
    </row>
    <row r="134" spans="1:19" x14ac:dyDescent="0.35">
      <c r="A134" t="s">
        <v>54</v>
      </c>
      <c r="B134">
        <v>133</v>
      </c>
      <c r="C134" t="s">
        <v>344</v>
      </c>
      <c r="D134" t="s">
        <v>345</v>
      </c>
      <c r="E134" t="s">
        <v>320</v>
      </c>
      <c r="F134" t="s">
        <v>346</v>
      </c>
      <c r="G134" t="s">
        <v>60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</row>
    <row r="135" spans="1:19" x14ac:dyDescent="0.35">
      <c r="A135" t="s">
        <v>54</v>
      </c>
      <c r="B135">
        <v>134</v>
      </c>
      <c r="C135" t="s">
        <v>347</v>
      </c>
      <c r="D135" t="s">
        <v>348</v>
      </c>
      <c r="E135" t="s">
        <v>320</v>
      </c>
      <c r="F135" t="s">
        <v>346</v>
      </c>
      <c r="G135" t="s">
        <v>60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1:19" x14ac:dyDescent="0.35">
      <c r="A136" t="s">
        <v>54</v>
      </c>
      <c r="B136">
        <v>135</v>
      </c>
      <c r="C136" t="s">
        <v>349</v>
      </c>
      <c r="D136" t="s">
        <v>350</v>
      </c>
      <c r="E136" t="s">
        <v>320</v>
      </c>
      <c r="F136" t="s">
        <v>346</v>
      </c>
      <c r="G136" t="s">
        <v>60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1:19" x14ac:dyDescent="0.35">
      <c r="A137" t="s">
        <v>54</v>
      </c>
      <c r="B137">
        <v>136</v>
      </c>
      <c r="C137" t="s">
        <v>351</v>
      </c>
      <c r="D137" t="s">
        <v>352</v>
      </c>
      <c r="E137" t="s">
        <v>320</v>
      </c>
      <c r="F137" t="s">
        <v>346</v>
      </c>
      <c r="G137" t="s">
        <v>60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1:19" x14ac:dyDescent="0.35">
      <c r="A138" t="s">
        <v>54</v>
      </c>
      <c r="B138">
        <v>137</v>
      </c>
      <c r="C138" t="s">
        <v>353</v>
      </c>
      <c r="D138" t="s">
        <v>354</v>
      </c>
      <c r="E138" t="s">
        <v>320</v>
      </c>
      <c r="F138" t="s">
        <v>346</v>
      </c>
      <c r="G138" t="s">
        <v>60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P138">
        <v>0</v>
      </c>
      <c r="Q138">
        <v>0</v>
      </c>
      <c r="R138">
        <v>0</v>
      </c>
      <c r="S138">
        <v>0</v>
      </c>
    </row>
    <row r="139" spans="1:19" x14ac:dyDescent="0.35">
      <c r="A139" t="s">
        <v>54</v>
      </c>
      <c r="B139">
        <v>138</v>
      </c>
      <c r="C139" t="s">
        <v>355</v>
      </c>
      <c r="D139" t="s">
        <v>356</v>
      </c>
      <c r="E139" t="s">
        <v>320</v>
      </c>
      <c r="F139" t="s">
        <v>346</v>
      </c>
      <c r="G139" t="s">
        <v>60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1:19" x14ac:dyDescent="0.35">
      <c r="A140" t="s">
        <v>54</v>
      </c>
      <c r="B140">
        <v>139</v>
      </c>
      <c r="C140" t="s">
        <v>357</v>
      </c>
      <c r="D140" t="s">
        <v>358</v>
      </c>
      <c r="E140" t="s">
        <v>320</v>
      </c>
      <c r="F140" t="s">
        <v>346</v>
      </c>
      <c r="G140" t="s">
        <v>60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1:19" x14ac:dyDescent="0.35">
      <c r="A141" t="s">
        <v>54</v>
      </c>
      <c r="B141">
        <v>140</v>
      </c>
      <c r="C141" t="s">
        <v>359</v>
      </c>
      <c r="D141" t="s">
        <v>360</v>
      </c>
      <c r="E141" t="s">
        <v>320</v>
      </c>
      <c r="F141" t="s">
        <v>346</v>
      </c>
      <c r="G141" t="s">
        <v>60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1:19" x14ac:dyDescent="0.35">
      <c r="A142" t="s">
        <v>54</v>
      </c>
      <c r="B142">
        <v>141</v>
      </c>
      <c r="C142" t="s">
        <v>361</v>
      </c>
      <c r="D142" t="s">
        <v>362</v>
      </c>
      <c r="E142" t="s">
        <v>320</v>
      </c>
      <c r="F142" t="s">
        <v>346</v>
      </c>
      <c r="G142" t="s">
        <v>60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</row>
    <row r="143" spans="1:19" x14ac:dyDescent="0.35">
      <c r="A143" t="s">
        <v>54</v>
      </c>
      <c r="B143">
        <v>142</v>
      </c>
      <c r="C143" t="s">
        <v>363</v>
      </c>
      <c r="D143" t="s">
        <v>364</v>
      </c>
      <c r="E143" t="s">
        <v>320</v>
      </c>
      <c r="F143" t="s">
        <v>346</v>
      </c>
      <c r="G143" t="s">
        <v>60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P143">
        <v>0</v>
      </c>
      <c r="Q143">
        <v>0</v>
      </c>
      <c r="R143">
        <v>0</v>
      </c>
      <c r="S143">
        <v>0</v>
      </c>
    </row>
    <row r="144" spans="1:19" x14ac:dyDescent="0.35">
      <c r="A144" t="s">
        <v>54</v>
      </c>
      <c r="B144">
        <v>143</v>
      </c>
      <c r="C144" t="s">
        <v>365</v>
      </c>
      <c r="D144" t="s">
        <v>366</v>
      </c>
      <c r="E144" t="s">
        <v>320</v>
      </c>
      <c r="F144" t="s">
        <v>346</v>
      </c>
      <c r="G144" t="s">
        <v>57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1:19" x14ac:dyDescent="0.35">
      <c r="A145" t="s">
        <v>54</v>
      </c>
      <c r="B145">
        <v>144</v>
      </c>
      <c r="C145" t="s">
        <v>367</v>
      </c>
      <c r="D145" t="s">
        <v>368</v>
      </c>
      <c r="E145" t="s">
        <v>320</v>
      </c>
      <c r="F145" t="s">
        <v>346</v>
      </c>
      <c r="G145" t="s">
        <v>60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P145">
        <v>0</v>
      </c>
      <c r="Q145">
        <v>0</v>
      </c>
      <c r="R145">
        <v>0</v>
      </c>
      <c r="S145">
        <v>0</v>
      </c>
    </row>
    <row r="146" spans="1:19" x14ac:dyDescent="0.35">
      <c r="A146" t="s">
        <v>54</v>
      </c>
      <c r="B146">
        <v>145</v>
      </c>
      <c r="C146" t="s">
        <v>369</v>
      </c>
      <c r="D146" t="s">
        <v>370</v>
      </c>
      <c r="E146" t="s">
        <v>320</v>
      </c>
      <c r="F146" t="s">
        <v>371</v>
      </c>
      <c r="G146" t="s">
        <v>60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1:19" x14ac:dyDescent="0.35">
      <c r="A147" t="s">
        <v>54</v>
      </c>
      <c r="B147">
        <v>146</v>
      </c>
      <c r="C147" t="s">
        <v>372</v>
      </c>
      <c r="D147" t="s">
        <v>373</v>
      </c>
      <c r="E147" t="s">
        <v>320</v>
      </c>
      <c r="F147" t="s">
        <v>371</v>
      </c>
      <c r="G147" t="s">
        <v>60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1:19" x14ac:dyDescent="0.35">
      <c r="A148" t="s">
        <v>54</v>
      </c>
      <c r="B148">
        <v>147</v>
      </c>
      <c r="C148" t="s">
        <v>374</v>
      </c>
      <c r="D148" t="s">
        <v>375</v>
      </c>
      <c r="E148" t="s">
        <v>320</v>
      </c>
      <c r="F148" t="s">
        <v>371</v>
      </c>
      <c r="G148" t="s">
        <v>57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1:19" x14ac:dyDescent="0.35">
      <c r="A149" t="s">
        <v>54</v>
      </c>
      <c r="B149">
        <v>148</v>
      </c>
      <c r="C149" t="s">
        <v>376</v>
      </c>
      <c r="D149" t="s">
        <v>377</v>
      </c>
      <c r="E149" t="s">
        <v>320</v>
      </c>
      <c r="F149" t="s">
        <v>371</v>
      </c>
      <c r="G149" t="s">
        <v>57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P149">
        <v>0</v>
      </c>
      <c r="Q149">
        <v>0</v>
      </c>
      <c r="R149">
        <v>0</v>
      </c>
      <c r="S149">
        <v>0</v>
      </c>
    </row>
    <row r="150" spans="1:19" x14ac:dyDescent="0.35">
      <c r="A150" t="s">
        <v>54</v>
      </c>
      <c r="B150">
        <v>149</v>
      </c>
      <c r="C150" t="s">
        <v>378</v>
      </c>
      <c r="D150" t="s">
        <v>379</v>
      </c>
      <c r="E150" t="s">
        <v>320</v>
      </c>
      <c r="F150" t="s">
        <v>380</v>
      </c>
      <c r="G150" t="s">
        <v>60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</row>
    <row r="151" spans="1:19" x14ac:dyDescent="0.35">
      <c r="A151" t="s">
        <v>54</v>
      </c>
      <c r="B151">
        <v>150</v>
      </c>
      <c r="C151" t="s">
        <v>381</v>
      </c>
      <c r="D151" t="s">
        <v>382</v>
      </c>
      <c r="E151" t="s">
        <v>320</v>
      </c>
      <c r="F151" t="s">
        <v>380</v>
      </c>
      <c r="G151" t="s">
        <v>57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</row>
    <row r="152" spans="1:19" x14ac:dyDescent="0.35">
      <c r="A152" t="s">
        <v>54</v>
      </c>
      <c r="B152">
        <v>151</v>
      </c>
      <c r="C152" t="s">
        <v>383</v>
      </c>
      <c r="D152" t="s">
        <v>384</v>
      </c>
      <c r="E152" t="s">
        <v>320</v>
      </c>
      <c r="F152" t="s">
        <v>380</v>
      </c>
      <c r="G152" t="s">
        <v>57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P152">
        <v>0</v>
      </c>
      <c r="Q152">
        <v>0</v>
      </c>
      <c r="R152">
        <v>0</v>
      </c>
      <c r="S152">
        <v>0</v>
      </c>
    </row>
    <row r="153" spans="1:19" x14ac:dyDescent="0.35">
      <c r="A153" t="s">
        <v>54</v>
      </c>
      <c r="B153">
        <v>152</v>
      </c>
      <c r="C153" t="s">
        <v>385</v>
      </c>
      <c r="D153" t="s">
        <v>386</v>
      </c>
      <c r="E153" t="s">
        <v>320</v>
      </c>
      <c r="F153" t="s">
        <v>387</v>
      </c>
      <c r="G153" t="s">
        <v>60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</row>
    <row r="154" spans="1:19" x14ac:dyDescent="0.35">
      <c r="A154" t="s">
        <v>54</v>
      </c>
      <c r="B154">
        <v>153</v>
      </c>
      <c r="C154" t="s">
        <v>388</v>
      </c>
      <c r="D154" t="s">
        <v>389</v>
      </c>
      <c r="E154" t="s">
        <v>320</v>
      </c>
      <c r="F154" t="s">
        <v>387</v>
      </c>
      <c r="G154" t="s">
        <v>57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1:19" x14ac:dyDescent="0.35">
      <c r="A155" t="s">
        <v>54</v>
      </c>
      <c r="B155">
        <v>154</v>
      </c>
      <c r="C155" t="s">
        <v>390</v>
      </c>
      <c r="D155" t="s">
        <v>391</v>
      </c>
      <c r="E155" t="s">
        <v>320</v>
      </c>
      <c r="F155" t="s">
        <v>387</v>
      </c>
      <c r="G155" t="s">
        <v>57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P155">
        <v>0</v>
      </c>
      <c r="Q155">
        <v>0</v>
      </c>
      <c r="R155">
        <v>0</v>
      </c>
      <c r="S155">
        <v>0</v>
      </c>
    </row>
    <row r="156" spans="1:19" x14ac:dyDescent="0.35">
      <c r="A156" t="s">
        <v>54</v>
      </c>
      <c r="B156">
        <v>155</v>
      </c>
      <c r="C156" t="s">
        <v>392</v>
      </c>
      <c r="D156" t="s">
        <v>393</v>
      </c>
      <c r="E156" t="s">
        <v>320</v>
      </c>
      <c r="F156" t="s">
        <v>393</v>
      </c>
      <c r="G156" t="s">
        <v>60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1:19" x14ac:dyDescent="0.35">
      <c r="A157" t="s">
        <v>54</v>
      </c>
      <c r="B157">
        <v>156</v>
      </c>
      <c r="C157" t="s">
        <v>394</v>
      </c>
      <c r="D157" t="s">
        <v>395</v>
      </c>
      <c r="E157" t="s">
        <v>320</v>
      </c>
      <c r="F157" t="s">
        <v>170</v>
      </c>
      <c r="G157" t="s">
        <v>57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P157">
        <v>0</v>
      </c>
      <c r="Q157">
        <v>0</v>
      </c>
      <c r="R157">
        <v>0</v>
      </c>
      <c r="S157">
        <v>0</v>
      </c>
    </row>
    <row r="158" spans="1:19" x14ac:dyDescent="0.35">
      <c r="A158" t="s">
        <v>54</v>
      </c>
      <c r="B158">
        <v>157</v>
      </c>
      <c r="C158" t="s">
        <v>396</v>
      </c>
      <c r="D158" t="s">
        <v>397</v>
      </c>
      <c r="E158" t="s">
        <v>398</v>
      </c>
      <c r="F158" t="s">
        <v>399</v>
      </c>
      <c r="G158" t="s">
        <v>60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</row>
    <row r="159" spans="1:19" x14ac:dyDescent="0.35">
      <c r="A159" t="s">
        <v>54</v>
      </c>
      <c r="B159">
        <v>158</v>
      </c>
      <c r="C159" t="s">
        <v>400</v>
      </c>
      <c r="D159" t="s">
        <v>401</v>
      </c>
      <c r="E159" t="s">
        <v>398</v>
      </c>
      <c r="F159" t="s">
        <v>399</v>
      </c>
      <c r="G159" t="s">
        <v>60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1:19" x14ac:dyDescent="0.35">
      <c r="A160" t="s">
        <v>54</v>
      </c>
      <c r="B160">
        <v>159</v>
      </c>
      <c r="C160" t="s">
        <v>402</v>
      </c>
      <c r="D160" t="s">
        <v>403</v>
      </c>
      <c r="E160" t="s">
        <v>398</v>
      </c>
      <c r="F160" t="s">
        <v>399</v>
      </c>
      <c r="G160" t="s">
        <v>60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1:19" x14ac:dyDescent="0.35">
      <c r="A161" t="s">
        <v>54</v>
      </c>
      <c r="B161">
        <v>160</v>
      </c>
      <c r="C161" t="s">
        <v>404</v>
      </c>
      <c r="D161" t="s">
        <v>405</v>
      </c>
      <c r="E161" t="s">
        <v>406</v>
      </c>
      <c r="F161" t="s">
        <v>406</v>
      </c>
      <c r="G161" t="s">
        <v>57</v>
      </c>
      <c r="H161">
        <v>75323</v>
      </c>
      <c r="I161">
        <v>126.88055555555501</v>
      </c>
      <c r="J161">
        <v>593.652823083827</v>
      </c>
      <c r="K161">
        <v>999.64167219641604</v>
      </c>
      <c r="L161">
        <v>75.349999999999994</v>
      </c>
      <c r="M161">
        <v>-51.530555555555502</v>
      </c>
      <c r="N161">
        <v>0.59386562164765599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1:19" x14ac:dyDescent="0.35">
      <c r="A162" t="s">
        <v>54</v>
      </c>
      <c r="B162">
        <v>161</v>
      </c>
      <c r="C162" t="s">
        <v>407</v>
      </c>
      <c r="D162" t="s">
        <v>408</v>
      </c>
      <c r="E162" t="s">
        <v>406</v>
      </c>
      <c r="F162" t="s">
        <v>406</v>
      </c>
      <c r="G162" t="s">
        <v>57</v>
      </c>
      <c r="H162">
        <v>75323</v>
      </c>
      <c r="I162">
        <v>0</v>
      </c>
      <c r="J162">
        <v>0</v>
      </c>
      <c r="K162">
        <v>11125.9970457902</v>
      </c>
      <c r="L162">
        <v>6.77</v>
      </c>
      <c r="M162">
        <v>6.77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1:19" x14ac:dyDescent="0.35">
      <c r="A163" t="s">
        <v>54</v>
      </c>
      <c r="B163">
        <v>162</v>
      </c>
      <c r="C163" t="s">
        <v>409</v>
      </c>
      <c r="D163" t="s">
        <v>410</v>
      </c>
      <c r="E163" t="s">
        <v>406</v>
      </c>
      <c r="F163" t="s">
        <v>406</v>
      </c>
      <c r="G163" t="s">
        <v>57</v>
      </c>
      <c r="H163">
        <v>75323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1:19" x14ac:dyDescent="0.35">
      <c r="A164" t="s">
        <v>54</v>
      </c>
      <c r="B164">
        <v>163</v>
      </c>
      <c r="C164" t="s">
        <v>411</v>
      </c>
      <c r="D164" t="s">
        <v>412</v>
      </c>
      <c r="E164" t="s">
        <v>406</v>
      </c>
      <c r="F164" t="s">
        <v>406</v>
      </c>
      <c r="G164" t="s">
        <v>57</v>
      </c>
      <c r="H164">
        <v>75323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1:19" x14ac:dyDescent="0.35">
      <c r="A165" t="s">
        <v>54</v>
      </c>
      <c r="B165">
        <v>164</v>
      </c>
      <c r="C165" t="s">
        <v>413</v>
      </c>
      <c r="D165" t="s">
        <v>414</v>
      </c>
      <c r="E165" t="s">
        <v>406</v>
      </c>
      <c r="F165" t="s">
        <v>406</v>
      </c>
      <c r="G165" t="s">
        <v>57</v>
      </c>
      <c r="H165">
        <v>189791</v>
      </c>
      <c r="I165">
        <v>75.933333333333294</v>
      </c>
      <c r="J165">
        <v>2499.4424934152698</v>
      </c>
      <c r="K165">
        <v>2499.999984</v>
      </c>
      <c r="L165">
        <v>75.916400485864898</v>
      </c>
      <c r="M165">
        <v>-1.6932847468382899E-2</v>
      </c>
      <c r="N165">
        <v>0.99977700376468304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1:19" x14ac:dyDescent="0.35">
      <c r="A166" t="s">
        <v>54</v>
      </c>
      <c r="B166">
        <v>165</v>
      </c>
      <c r="C166" t="s">
        <v>415</v>
      </c>
      <c r="D166" t="s">
        <v>416</v>
      </c>
      <c r="E166" t="s">
        <v>406</v>
      </c>
      <c r="F166" t="s">
        <v>406</v>
      </c>
      <c r="G166" t="s">
        <v>57</v>
      </c>
      <c r="H166">
        <v>75323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1:19" x14ac:dyDescent="0.35">
      <c r="A167" t="s">
        <v>54</v>
      </c>
      <c r="B167">
        <v>166</v>
      </c>
      <c r="C167" t="s">
        <v>417</v>
      </c>
      <c r="D167" t="s">
        <v>418</v>
      </c>
      <c r="E167" t="s">
        <v>419</v>
      </c>
      <c r="F167" t="s">
        <v>420</v>
      </c>
      <c r="G167" t="s">
        <v>270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</row>
    <row r="168" spans="1:19" x14ac:dyDescent="0.35">
      <c r="A168" t="s">
        <v>54</v>
      </c>
      <c r="B168">
        <v>167</v>
      </c>
      <c r="C168" t="s">
        <v>421</v>
      </c>
      <c r="D168" t="s">
        <v>422</v>
      </c>
      <c r="E168" t="s">
        <v>419</v>
      </c>
      <c r="F168" t="s">
        <v>420</v>
      </c>
      <c r="G168" t="s">
        <v>270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1:19" x14ac:dyDescent="0.35">
      <c r="A169" t="s">
        <v>54</v>
      </c>
      <c r="B169">
        <v>168</v>
      </c>
      <c r="C169" t="s">
        <v>423</v>
      </c>
      <c r="D169" t="s">
        <v>424</v>
      </c>
      <c r="E169" t="s">
        <v>419</v>
      </c>
      <c r="F169" t="s">
        <v>420</v>
      </c>
      <c r="G169" t="s">
        <v>270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1:19" x14ac:dyDescent="0.35">
      <c r="A170" t="s">
        <v>425</v>
      </c>
      <c r="B170">
        <v>1</v>
      </c>
      <c r="C170" t="s">
        <v>426</v>
      </c>
      <c r="D170" t="s">
        <v>427</v>
      </c>
      <c r="E170" t="s">
        <v>428</v>
      </c>
      <c r="F170" t="s">
        <v>428</v>
      </c>
      <c r="G170" t="s">
        <v>60</v>
      </c>
      <c r="H170">
        <v>114468</v>
      </c>
      <c r="I170">
        <v>436.61083333333301</v>
      </c>
      <c r="J170">
        <v>262.17398026083401</v>
      </c>
      <c r="K170">
        <v>198.05473716158301</v>
      </c>
      <c r="L170">
        <v>577.96143450288298</v>
      </c>
      <c r="M170">
        <v>141.35060116954901</v>
      </c>
      <c r="N170">
        <v>1.32374506168433</v>
      </c>
      <c r="P170">
        <v>0</v>
      </c>
      <c r="Q170">
        <v>0</v>
      </c>
      <c r="R170">
        <v>0</v>
      </c>
      <c r="S170">
        <v>0</v>
      </c>
    </row>
    <row r="171" spans="1:19" x14ac:dyDescent="0.35">
      <c r="A171" t="s">
        <v>425</v>
      </c>
      <c r="B171">
        <v>2</v>
      </c>
      <c r="C171" t="s">
        <v>429</v>
      </c>
      <c r="D171" t="s">
        <v>430</v>
      </c>
      <c r="E171" t="s">
        <v>428</v>
      </c>
      <c r="F171" t="s">
        <v>428</v>
      </c>
      <c r="G171" t="s">
        <v>60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P171">
        <v>0</v>
      </c>
      <c r="Q171">
        <v>0</v>
      </c>
      <c r="R171">
        <v>0</v>
      </c>
      <c r="S171">
        <v>0</v>
      </c>
    </row>
    <row r="172" spans="1:19" x14ac:dyDescent="0.35">
      <c r="A172" t="s">
        <v>425</v>
      </c>
      <c r="B172">
        <v>3</v>
      </c>
      <c r="C172" t="s">
        <v>431</v>
      </c>
      <c r="D172" t="s">
        <v>432</v>
      </c>
      <c r="E172" t="s">
        <v>428</v>
      </c>
      <c r="F172" t="s">
        <v>428</v>
      </c>
      <c r="G172" t="s">
        <v>60</v>
      </c>
      <c r="H172">
        <v>114468</v>
      </c>
      <c r="I172">
        <v>436.61083333333301</v>
      </c>
      <c r="J172">
        <v>262.17398026083401</v>
      </c>
      <c r="K172">
        <v>198.05473716158301</v>
      </c>
      <c r="L172">
        <v>577.96143450288298</v>
      </c>
      <c r="M172">
        <v>141.35060116954901</v>
      </c>
      <c r="N172">
        <v>1.32374506168433</v>
      </c>
      <c r="P172">
        <v>0</v>
      </c>
      <c r="Q172">
        <v>0</v>
      </c>
      <c r="R172">
        <v>0</v>
      </c>
      <c r="S172">
        <v>0</v>
      </c>
    </row>
    <row r="173" spans="1:19" x14ac:dyDescent="0.35">
      <c r="A173" t="s">
        <v>425</v>
      </c>
      <c r="B173">
        <v>4</v>
      </c>
      <c r="C173" t="s">
        <v>433</v>
      </c>
      <c r="D173" t="s">
        <v>219</v>
      </c>
      <c r="E173" t="s">
        <v>428</v>
      </c>
      <c r="F173" t="s">
        <v>428</v>
      </c>
      <c r="G173" t="s">
        <v>60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P173">
        <v>0</v>
      </c>
      <c r="Q173">
        <v>0</v>
      </c>
      <c r="R173">
        <v>0</v>
      </c>
      <c r="S173">
        <v>0</v>
      </c>
    </row>
    <row r="174" spans="1:19" x14ac:dyDescent="0.35">
      <c r="A174" t="s">
        <v>425</v>
      </c>
      <c r="B174">
        <v>5</v>
      </c>
      <c r="C174" t="s">
        <v>434</v>
      </c>
      <c r="D174" t="s">
        <v>435</v>
      </c>
      <c r="E174" t="s">
        <v>428</v>
      </c>
      <c r="F174" t="s">
        <v>428</v>
      </c>
      <c r="G174" t="s">
        <v>60</v>
      </c>
      <c r="H174">
        <v>75323</v>
      </c>
      <c r="I174">
        <v>286.93583333333299</v>
      </c>
      <c r="J174">
        <v>262.50816820252999</v>
      </c>
      <c r="K174">
        <v>236.77606961591499</v>
      </c>
      <c r="L174">
        <v>318.11914152551202</v>
      </c>
      <c r="M174">
        <v>31.1833081921787</v>
      </c>
      <c r="N174">
        <v>1.1086769394743099</v>
      </c>
      <c r="P174">
        <v>0</v>
      </c>
      <c r="Q174">
        <v>0</v>
      </c>
      <c r="R174">
        <v>0</v>
      </c>
      <c r="S174">
        <v>0</v>
      </c>
    </row>
    <row r="175" spans="1:19" x14ac:dyDescent="0.35">
      <c r="A175" t="s">
        <v>425</v>
      </c>
      <c r="B175">
        <v>6</v>
      </c>
      <c r="C175" t="s">
        <v>436</v>
      </c>
      <c r="D175" t="s">
        <v>320</v>
      </c>
      <c r="E175" t="s">
        <v>428</v>
      </c>
      <c r="F175" t="s">
        <v>428</v>
      </c>
      <c r="G175" t="s">
        <v>60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P175">
        <v>0</v>
      </c>
      <c r="Q175">
        <v>0</v>
      </c>
      <c r="R175">
        <v>0</v>
      </c>
      <c r="S175">
        <v>0</v>
      </c>
    </row>
    <row r="176" spans="1:19" x14ac:dyDescent="0.35">
      <c r="A176" t="s">
        <v>425</v>
      </c>
      <c r="B176">
        <v>7</v>
      </c>
      <c r="C176" t="s">
        <v>437</v>
      </c>
      <c r="D176" t="s">
        <v>399</v>
      </c>
      <c r="E176" t="s">
        <v>428</v>
      </c>
      <c r="F176" t="s">
        <v>428</v>
      </c>
      <c r="G176" t="s">
        <v>60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P176">
        <v>0</v>
      </c>
      <c r="Q176">
        <v>0</v>
      </c>
      <c r="R176">
        <v>0</v>
      </c>
      <c r="S176">
        <v>0</v>
      </c>
    </row>
    <row r="177" spans="1:19" x14ac:dyDescent="0.35">
      <c r="A177" t="s">
        <v>425</v>
      </c>
      <c r="B177">
        <v>8</v>
      </c>
      <c r="C177" t="s">
        <v>438</v>
      </c>
      <c r="D177" t="s">
        <v>406</v>
      </c>
      <c r="E177" t="s">
        <v>428</v>
      </c>
      <c r="F177" t="s">
        <v>428</v>
      </c>
      <c r="G177" t="s">
        <v>60</v>
      </c>
      <c r="H177">
        <v>75323</v>
      </c>
      <c r="I177">
        <v>202.81388888888799</v>
      </c>
      <c r="J177">
        <v>371.38975250982702</v>
      </c>
      <c r="K177">
        <v>476.61804349142301</v>
      </c>
      <c r="L177">
        <v>158.03640048586399</v>
      </c>
      <c r="M177">
        <v>-44.777488403023902</v>
      </c>
      <c r="N177">
        <v>0.77921882644065199</v>
      </c>
      <c r="P177">
        <v>0</v>
      </c>
      <c r="Q177">
        <v>0</v>
      </c>
      <c r="R177">
        <v>0</v>
      </c>
      <c r="S177">
        <v>0</v>
      </c>
    </row>
    <row r="178" spans="1:19" x14ac:dyDescent="0.35">
      <c r="A178" t="s">
        <v>425</v>
      </c>
      <c r="B178">
        <v>9</v>
      </c>
      <c r="C178" t="s">
        <v>439</v>
      </c>
      <c r="D178" t="s">
        <v>419</v>
      </c>
      <c r="E178" t="s">
        <v>428</v>
      </c>
      <c r="F178" t="s">
        <v>428</v>
      </c>
      <c r="G178" t="s">
        <v>270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P178">
        <v>0</v>
      </c>
      <c r="Q178">
        <v>0</v>
      </c>
      <c r="R178">
        <v>0</v>
      </c>
      <c r="S178">
        <v>0</v>
      </c>
    </row>
    <row r="179" spans="1:19" x14ac:dyDescent="0.35">
      <c r="A179" t="s">
        <v>425</v>
      </c>
      <c r="B179">
        <v>10</v>
      </c>
      <c r="C179" t="s">
        <v>440</v>
      </c>
      <c r="D179" t="s">
        <v>441</v>
      </c>
      <c r="E179" t="s">
        <v>428</v>
      </c>
      <c r="F179" t="s">
        <v>428</v>
      </c>
      <c r="G179" t="s">
        <v>60</v>
      </c>
      <c r="H179">
        <v>189791</v>
      </c>
      <c r="I179">
        <v>926.36055555555504</v>
      </c>
      <c r="J179">
        <v>204.87811021506499</v>
      </c>
      <c r="K179">
        <v>180.04738015660999</v>
      </c>
      <c r="L179">
        <v>1054.1169765142599</v>
      </c>
      <c r="M179">
        <v>127.756420958704</v>
      </c>
      <c r="N179">
        <v>1.1379121986493499</v>
      </c>
      <c r="P179">
        <v>0</v>
      </c>
      <c r="Q179">
        <v>0</v>
      </c>
      <c r="R179">
        <v>0</v>
      </c>
      <c r="S179">
        <v>0</v>
      </c>
    </row>
    <row r="180" spans="1:19" x14ac:dyDescent="0.35">
      <c r="A180" t="s">
        <v>442</v>
      </c>
      <c r="B180">
        <v>1</v>
      </c>
      <c r="C180" t="s">
        <v>443</v>
      </c>
      <c r="D180" t="s">
        <v>13</v>
      </c>
      <c r="E180" t="s">
        <v>444</v>
      </c>
      <c r="F180" t="s">
        <v>444</v>
      </c>
      <c r="G180" t="s">
        <v>60</v>
      </c>
      <c r="H180">
        <v>114468</v>
      </c>
      <c r="I180">
        <v>436.61083333333301</v>
      </c>
      <c r="J180">
        <v>262.17398026083401</v>
      </c>
      <c r="K180">
        <v>198.05473716158301</v>
      </c>
      <c r="L180">
        <v>577.96143450288298</v>
      </c>
      <c r="M180">
        <v>141.35060116954901</v>
      </c>
      <c r="N180">
        <v>1.32374506168433</v>
      </c>
      <c r="P180">
        <v>0</v>
      </c>
      <c r="Q180">
        <v>0</v>
      </c>
      <c r="R180">
        <v>0</v>
      </c>
      <c r="S180">
        <v>0</v>
      </c>
    </row>
    <row r="181" spans="1:19" x14ac:dyDescent="0.35">
      <c r="A181" t="s">
        <v>442</v>
      </c>
      <c r="B181">
        <v>2</v>
      </c>
      <c r="C181" t="s">
        <v>445</v>
      </c>
      <c r="D181" t="s">
        <v>446</v>
      </c>
      <c r="E181" t="s">
        <v>444</v>
      </c>
      <c r="F181" t="s">
        <v>444</v>
      </c>
      <c r="G181" t="s">
        <v>60</v>
      </c>
      <c r="H181">
        <v>75323</v>
      </c>
      <c r="I181">
        <v>286.93583333333299</v>
      </c>
      <c r="J181">
        <v>262.50816820252999</v>
      </c>
      <c r="K181">
        <v>236.77606961591499</v>
      </c>
      <c r="L181">
        <v>318.11914152551202</v>
      </c>
      <c r="M181">
        <v>31.1833081921787</v>
      </c>
      <c r="N181">
        <v>1.1086769394743099</v>
      </c>
      <c r="P181">
        <v>0</v>
      </c>
      <c r="Q181">
        <v>0</v>
      </c>
      <c r="R181">
        <v>0</v>
      </c>
      <c r="S181">
        <v>0</v>
      </c>
    </row>
    <row r="182" spans="1:19" x14ac:dyDescent="0.35">
      <c r="A182" t="s">
        <v>442</v>
      </c>
      <c r="B182">
        <v>3</v>
      </c>
      <c r="C182" t="s">
        <v>447</v>
      </c>
      <c r="D182" t="s">
        <v>320</v>
      </c>
      <c r="E182" t="s">
        <v>444</v>
      </c>
      <c r="F182" t="s">
        <v>444</v>
      </c>
      <c r="G182" t="s">
        <v>60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P182">
        <v>0</v>
      </c>
      <c r="Q182">
        <v>0</v>
      </c>
      <c r="R182">
        <v>0</v>
      </c>
      <c r="S182">
        <v>0</v>
      </c>
    </row>
    <row r="183" spans="1:19" x14ac:dyDescent="0.35">
      <c r="A183" t="s">
        <v>442</v>
      </c>
      <c r="B183">
        <v>4</v>
      </c>
      <c r="C183" t="s">
        <v>448</v>
      </c>
      <c r="D183" t="s">
        <v>406</v>
      </c>
      <c r="E183" t="s">
        <v>444</v>
      </c>
      <c r="F183" t="s">
        <v>444</v>
      </c>
      <c r="G183" t="s">
        <v>60</v>
      </c>
      <c r="H183">
        <v>75323</v>
      </c>
      <c r="I183">
        <v>202.81388888888799</v>
      </c>
      <c r="J183">
        <v>371.38975250982702</v>
      </c>
      <c r="K183">
        <v>476.61804349142301</v>
      </c>
      <c r="L183">
        <v>158.03640048586399</v>
      </c>
      <c r="M183">
        <v>-44.777488403023902</v>
      </c>
      <c r="N183">
        <v>0.77921882644065199</v>
      </c>
      <c r="P183">
        <v>0</v>
      </c>
      <c r="Q183">
        <v>0</v>
      </c>
      <c r="R183">
        <v>0</v>
      </c>
      <c r="S183">
        <v>0</v>
      </c>
    </row>
    <row r="184" spans="1:19" x14ac:dyDescent="0.35">
      <c r="A184" t="s">
        <v>442</v>
      </c>
      <c r="B184">
        <v>5</v>
      </c>
      <c r="C184" t="s">
        <v>449</v>
      </c>
      <c r="D184" t="s">
        <v>419</v>
      </c>
      <c r="E184" t="s">
        <v>444</v>
      </c>
      <c r="F184" t="s">
        <v>444</v>
      </c>
      <c r="G184" t="s">
        <v>270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P184">
        <v>0</v>
      </c>
      <c r="Q184">
        <v>0</v>
      </c>
      <c r="R184">
        <v>0</v>
      </c>
      <c r="S184">
        <v>0</v>
      </c>
    </row>
    <row r="185" spans="1:19" x14ac:dyDescent="0.35">
      <c r="A185" t="s">
        <v>442</v>
      </c>
      <c r="B185">
        <v>6</v>
      </c>
      <c r="C185" t="s">
        <v>450</v>
      </c>
      <c r="D185" t="s">
        <v>441</v>
      </c>
      <c r="E185" t="s">
        <v>444</v>
      </c>
      <c r="F185" t="s">
        <v>444</v>
      </c>
      <c r="G185" t="s">
        <v>60</v>
      </c>
      <c r="H185">
        <v>189791</v>
      </c>
      <c r="I185">
        <v>926.36055555555504</v>
      </c>
      <c r="J185">
        <v>204.87811021506499</v>
      </c>
      <c r="K185">
        <v>180.04738015660999</v>
      </c>
      <c r="L185">
        <v>1054.1169765142599</v>
      </c>
      <c r="M185">
        <v>127.756420958704</v>
      </c>
      <c r="N185">
        <v>1.1379121986493499</v>
      </c>
      <c r="P185">
        <v>0</v>
      </c>
      <c r="Q185">
        <v>0</v>
      </c>
      <c r="R185">
        <v>0</v>
      </c>
      <c r="S185">
        <v>0</v>
      </c>
    </row>
    <row r="186" spans="1:19" x14ac:dyDescent="0.35">
      <c r="A186" t="s">
        <v>34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B18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  <col min="3" max="3" width="36" bestFit="1" customWidth="1"/>
  </cols>
  <sheetData>
    <row r="1" spans="1:2" x14ac:dyDescent="0.35">
      <c r="A1" t="s">
        <v>475</v>
      </c>
      <c r="B1" t="s">
        <v>476</v>
      </c>
    </row>
    <row r="2" spans="1:2" x14ac:dyDescent="0.35">
      <c r="A2" t="s">
        <v>477</v>
      </c>
      <c r="B2" t="s">
        <v>612</v>
      </c>
    </row>
    <row r="3" spans="1:2" x14ac:dyDescent="0.35">
      <c r="A3" t="s">
        <v>478</v>
      </c>
      <c r="B3" t="s">
        <v>479</v>
      </c>
    </row>
    <row r="4" spans="1:2" x14ac:dyDescent="0.35">
      <c r="A4" t="s">
        <v>480</v>
      </c>
      <c r="B4">
        <v>754</v>
      </c>
    </row>
    <row r="5" spans="1:2" x14ac:dyDescent="0.35">
      <c r="A5" t="s">
        <v>481</v>
      </c>
      <c r="B5">
        <v>1595.8181818181799</v>
      </c>
    </row>
    <row r="6" spans="1:2" x14ac:dyDescent="0.35">
      <c r="A6" t="s">
        <v>482</v>
      </c>
      <c r="B6">
        <v>2835</v>
      </c>
    </row>
    <row r="7" spans="1:2" x14ac:dyDescent="0.35">
      <c r="A7" t="s">
        <v>613</v>
      </c>
      <c r="B7">
        <v>1662</v>
      </c>
    </row>
    <row r="8" spans="1:2" x14ac:dyDescent="0.35">
      <c r="A8" t="s">
        <v>614</v>
      </c>
      <c r="B8">
        <v>2835</v>
      </c>
    </row>
    <row r="9" spans="1:2" x14ac:dyDescent="0.35">
      <c r="A9" t="s">
        <v>615</v>
      </c>
      <c r="B9">
        <v>1064</v>
      </c>
    </row>
    <row r="10" spans="1:2" x14ac:dyDescent="0.35">
      <c r="A10" t="s">
        <v>616</v>
      </c>
      <c r="B10">
        <v>1994</v>
      </c>
    </row>
    <row r="11" spans="1:2" x14ac:dyDescent="0.35">
      <c r="A11" t="s">
        <v>617</v>
      </c>
      <c r="B11">
        <v>754</v>
      </c>
    </row>
    <row r="12" spans="1:2" x14ac:dyDescent="0.35">
      <c r="A12" t="s">
        <v>618</v>
      </c>
      <c r="B12">
        <v>1647</v>
      </c>
    </row>
    <row r="13" spans="1:2" x14ac:dyDescent="0.35">
      <c r="A13" t="s">
        <v>619</v>
      </c>
      <c r="B13">
        <v>1798</v>
      </c>
    </row>
    <row r="14" spans="1:2" x14ac:dyDescent="0.35">
      <c r="A14" t="s">
        <v>620</v>
      </c>
      <c r="B14">
        <v>917</v>
      </c>
    </row>
    <row r="15" spans="1:2" x14ac:dyDescent="0.35">
      <c r="A15" t="s">
        <v>621</v>
      </c>
      <c r="B15">
        <v>1946</v>
      </c>
    </row>
    <row r="16" spans="1:2" x14ac:dyDescent="0.35">
      <c r="A16" t="s">
        <v>622</v>
      </c>
      <c r="B16">
        <v>1917</v>
      </c>
    </row>
    <row r="17" spans="1:2" x14ac:dyDescent="0.35">
      <c r="A17" t="s">
        <v>623</v>
      </c>
      <c r="B17">
        <v>1020</v>
      </c>
    </row>
    <row r="18" spans="1:2" x14ac:dyDescent="0.35">
      <c r="A18" t="s">
        <v>34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R194"/>
  <sheetViews>
    <sheetView workbookViewId="0">
      <selection sqref="A1:A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3.90625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5.81640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>
    <row r="1" spans="1:18" x14ac:dyDescent="0.35">
      <c r="A1" t="s">
        <v>451</v>
      </c>
      <c r="B1" t="s">
        <v>452</v>
      </c>
      <c r="C1" t="s">
        <v>453</v>
      </c>
      <c r="D1" t="s">
        <v>454</v>
      </c>
      <c r="E1" t="s">
        <v>455</v>
      </c>
      <c r="F1" t="s">
        <v>456</v>
      </c>
      <c r="G1" t="s">
        <v>457</v>
      </c>
      <c r="H1" t="s">
        <v>458</v>
      </c>
      <c r="I1" t="s">
        <v>459</v>
      </c>
      <c r="J1" t="s">
        <v>460</v>
      </c>
      <c r="K1" t="s">
        <v>461</v>
      </c>
      <c r="L1" t="s">
        <v>462</v>
      </c>
      <c r="M1" t="s">
        <v>463</v>
      </c>
      <c r="N1" t="s">
        <v>464</v>
      </c>
      <c r="O1" t="s">
        <v>41</v>
      </c>
      <c r="P1" t="s">
        <v>465</v>
      </c>
      <c r="Q1" t="s">
        <v>466</v>
      </c>
      <c r="R1" t="s">
        <v>467</v>
      </c>
    </row>
    <row r="2" spans="1:18" x14ac:dyDescent="0.35">
      <c r="A2" t="s">
        <v>197</v>
      </c>
      <c r="B2" t="s">
        <v>483</v>
      </c>
      <c r="C2" t="s">
        <v>484</v>
      </c>
      <c r="D2">
        <v>100753604</v>
      </c>
      <c r="E2" t="s">
        <v>485</v>
      </c>
      <c r="F2" t="s">
        <v>486</v>
      </c>
      <c r="G2">
        <v>0.63</v>
      </c>
      <c r="H2">
        <v>8.5</v>
      </c>
      <c r="I2">
        <v>0.2</v>
      </c>
      <c r="J2">
        <v>0</v>
      </c>
      <c r="K2">
        <v>9.32</v>
      </c>
      <c r="L2" t="s">
        <v>487</v>
      </c>
      <c r="M2">
        <v>376</v>
      </c>
      <c r="N2">
        <v>40.33</v>
      </c>
      <c r="O2" t="s">
        <v>60</v>
      </c>
      <c r="P2" t="s">
        <v>488</v>
      </c>
      <c r="Q2">
        <v>1022</v>
      </c>
      <c r="R2">
        <v>1630.85</v>
      </c>
    </row>
    <row r="3" spans="1:18" x14ac:dyDescent="0.35">
      <c r="A3" t="s">
        <v>197</v>
      </c>
      <c r="B3" t="s">
        <v>483</v>
      </c>
      <c r="C3" t="s">
        <v>484</v>
      </c>
      <c r="D3">
        <v>100753604</v>
      </c>
      <c r="E3" t="s">
        <v>485</v>
      </c>
      <c r="F3" t="s">
        <v>486</v>
      </c>
      <c r="G3">
        <v>0.63</v>
      </c>
      <c r="H3">
        <v>8.5</v>
      </c>
      <c r="I3">
        <v>0.2</v>
      </c>
      <c r="J3">
        <v>0</v>
      </c>
      <c r="K3">
        <v>9.32</v>
      </c>
      <c r="L3" t="s">
        <v>487</v>
      </c>
      <c r="M3">
        <v>376</v>
      </c>
      <c r="N3">
        <v>40.33</v>
      </c>
      <c r="O3" t="s">
        <v>60</v>
      </c>
      <c r="P3" t="s">
        <v>489</v>
      </c>
      <c r="Q3">
        <v>2528</v>
      </c>
      <c r="R3">
        <v>297.44</v>
      </c>
    </row>
    <row r="4" spans="1:18" x14ac:dyDescent="0.35">
      <c r="A4" t="s">
        <v>197</v>
      </c>
      <c r="B4" t="s">
        <v>483</v>
      </c>
      <c r="C4" t="s">
        <v>484</v>
      </c>
      <c r="D4">
        <v>100753604</v>
      </c>
      <c r="E4" t="s">
        <v>485</v>
      </c>
      <c r="F4" t="s">
        <v>486</v>
      </c>
      <c r="G4">
        <v>0.63</v>
      </c>
      <c r="H4">
        <v>8.5</v>
      </c>
      <c r="I4">
        <v>0.2</v>
      </c>
      <c r="J4">
        <v>0</v>
      </c>
      <c r="K4">
        <v>9.32</v>
      </c>
      <c r="L4" t="s">
        <v>487</v>
      </c>
      <c r="M4">
        <v>376</v>
      </c>
      <c r="N4">
        <v>40.33</v>
      </c>
      <c r="O4" t="s">
        <v>60</v>
      </c>
      <c r="P4" t="s">
        <v>490</v>
      </c>
      <c r="Q4">
        <v>28</v>
      </c>
      <c r="R4">
        <v>141.77000000000001</v>
      </c>
    </row>
    <row r="5" spans="1:18" x14ac:dyDescent="0.35">
      <c r="A5" t="s">
        <v>197</v>
      </c>
      <c r="B5" t="s">
        <v>483</v>
      </c>
      <c r="C5" t="s">
        <v>484</v>
      </c>
      <c r="D5">
        <v>100753604</v>
      </c>
      <c r="E5" t="s">
        <v>485</v>
      </c>
      <c r="F5" t="s">
        <v>486</v>
      </c>
      <c r="G5">
        <v>0.63</v>
      </c>
      <c r="H5">
        <v>8.5</v>
      </c>
      <c r="I5">
        <v>0.2</v>
      </c>
      <c r="J5">
        <v>0</v>
      </c>
      <c r="K5">
        <v>9.32</v>
      </c>
      <c r="L5" t="s">
        <v>487</v>
      </c>
      <c r="M5">
        <v>376</v>
      </c>
      <c r="N5">
        <v>40.33</v>
      </c>
      <c r="O5" t="s">
        <v>60</v>
      </c>
      <c r="P5" t="s">
        <v>491</v>
      </c>
      <c r="Q5">
        <v>0</v>
      </c>
      <c r="R5">
        <v>0</v>
      </c>
    </row>
    <row r="6" spans="1:18" x14ac:dyDescent="0.35">
      <c r="A6" t="s">
        <v>197</v>
      </c>
      <c r="B6" t="s">
        <v>483</v>
      </c>
      <c r="C6" t="s">
        <v>484</v>
      </c>
      <c r="D6">
        <v>100753604</v>
      </c>
      <c r="E6" t="s">
        <v>485</v>
      </c>
      <c r="F6" t="s">
        <v>486</v>
      </c>
      <c r="G6">
        <v>0.63</v>
      </c>
      <c r="H6">
        <v>8.5</v>
      </c>
      <c r="I6">
        <v>0.2</v>
      </c>
      <c r="J6">
        <v>0</v>
      </c>
      <c r="K6">
        <v>9.32</v>
      </c>
      <c r="L6" t="s">
        <v>487</v>
      </c>
      <c r="M6">
        <v>376</v>
      </c>
      <c r="N6">
        <v>40.33</v>
      </c>
      <c r="O6" t="s">
        <v>60</v>
      </c>
      <c r="P6" t="s">
        <v>492</v>
      </c>
      <c r="Q6">
        <v>3578</v>
      </c>
      <c r="R6">
        <v>383.76</v>
      </c>
    </row>
    <row r="7" spans="1:18" x14ac:dyDescent="0.35">
      <c r="A7" t="s">
        <v>197</v>
      </c>
      <c r="B7" t="s">
        <v>483</v>
      </c>
      <c r="C7" t="s">
        <v>484</v>
      </c>
      <c r="D7">
        <v>100753604</v>
      </c>
      <c r="E7" t="s">
        <v>485</v>
      </c>
      <c r="F7" t="s">
        <v>486</v>
      </c>
      <c r="G7">
        <v>0.63</v>
      </c>
      <c r="H7">
        <v>8.5</v>
      </c>
      <c r="I7">
        <v>0.2</v>
      </c>
      <c r="J7">
        <v>0</v>
      </c>
      <c r="K7">
        <v>9.32</v>
      </c>
      <c r="L7" t="s">
        <v>487</v>
      </c>
      <c r="M7">
        <v>376</v>
      </c>
      <c r="N7">
        <v>40.33</v>
      </c>
      <c r="O7" t="s">
        <v>81</v>
      </c>
      <c r="P7" t="s">
        <v>492</v>
      </c>
      <c r="Q7">
        <v>376</v>
      </c>
      <c r="R7">
        <v>40.33</v>
      </c>
    </row>
    <row r="8" spans="1:18" x14ac:dyDescent="0.35">
      <c r="A8" t="s">
        <v>197</v>
      </c>
      <c r="B8" t="s">
        <v>483</v>
      </c>
      <c r="C8" t="s">
        <v>484</v>
      </c>
      <c r="D8">
        <v>101750120</v>
      </c>
      <c r="E8" t="s">
        <v>591</v>
      </c>
      <c r="F8" t="s">
        <v>486</v>
      </c>
      <c r="G8">
        <v>0.16</v>
      </c>
      <c r="H8">
        <v>7.1</v>
      </c>
      <c r="I8">
        <v>0.02</v>
      </c>
      <c r="J8">
        <v>0</v>
      </c>
      <c r="K8">
        <v>7.27</v>
      </c>
      <c r="L8" t="s">
        <v>487</v>
      </c>
      <c r="M8">
        <v>320</v>
      </c>
      <c r="N8">
        <v>44.04</v>
      </c>
      <c r="O8" t="s">
        <v>60</v>
      </c>
      <c r="P8" t="s">
        <v>488</v>
      </c>
      <c r="Q8">
        <v>227</v>
      </c>
      <c r="R8">
        <v>1461.9</v>
      </c>
    </row>
    <row r="9" spans="1:18" x14ac:dyDescent="0.35">
      <c r="A9" t="s">
        <v>197</v>
      </c>
      <c r="B9" t="s">
        <v>483</v>
      </c>
      <c r="C9" t="s">
        <v>484</v>
      </c>
      <c r="D9">
        <v>101750120</v>
      </c>
      <c r="E9" t="s">
        <v>591</v>
      </c>
      <c r="F9" t="s">
        <v>486</v>
      </c>
      <c r="G9">
        <v>0.16</v>
      </c>
      <c r="H9">
        <v>7.1</v>
      </c>
      <c r="I9">
        <v>0.02</v>
      </c>
      <c r="J9">
        <v>0</v>
      </c>
      <c r="K9">
        <v>7.27</v>
      </c>
      <c r="L9" t="s">
        <v>487</v>
      </c>
      <c r="M9">
        <v>320</v>
      </c>
      <c r="N9">
        <v>44.04</v>
      </c>
      <c r="O9" t="s">
        <v>60</v>
      </c>
      <c r="P9" t="s">
        <v>489</v>
      </c>
      <c r="Q9">
        <v>1889</v>
      </c>
      <c r="R9">
        <v>266.23</v>
      </c>
    </row>
    <row r="10" spans="1:18" x14ac:dyDescent="0.35">
      <c r="A10" t="s">
        <v>197</v>
      </c>
      <c r="B10" t="s">
        <v>483</v>
      </c>
      <c r="C10" t="s">
        <v>484</v>
      </c>
      <c r="D10">
        <v>101750120</v>
      </c>
      <c r="E10" t="s">
        <v>591</v>
      </c>
      <c r="F10" t="s">
        <v>486</v>
      </c>
      <c r="G10">
        <v>0.16</v>
      </c>
      <c r="H10">
        <v>7.1</v>
      </c>
      <c r="I10">
        <v>0.02</v>
      </c>
      <c r="J10">
        <v>0</v>
      </c>
      <c r="K10">
        <v>7.27</v>
      </c>
      <c r="L10" t="s">
        <v>487</v>
      </c>
      <c r="M10">
        <v>320</v>
      </c>
      <c r="N10">
        <v>44.04</v>
      </c>
      <c r="O10" t="s">
        <v>60</v>
      </c>
      <c r="P10" t="s">
        <v>490</v>
      </c>
      <c r="Q10">
        <v>2</v>
      </c>
      <c r="R10">
        <v>128.57</v>
      </c>
    </row>
    <row r="11" spans="1:18" x14ac:dyDescent="0.35">
      <c r="A11" t="s">
        <v>197</v>
      </c>
      <c r="B11" t="s">
        <v>483</v>
      </c>
      <c r="C11" t="s">
        <v>484</v>
      </c>
      <c r="D11">
        <v>101750120</v>
      </c>
      <c r="E11" t="s">
        <v>591</v>
      </c>
      <c r="F11" t="s">
        <v>486</v>
      </c>
      <c r="G11">
        <v>0.16</v>
      </c>
      <c r="H11">
        <v>7.1</v>
      </c>
      <c r="I11">
        <v>0.02</v>
      </c>
      <c r="J11">
        <v>0</v>
      </c>
      <c r="K11">
        <v>7.27</v>
      </c>
      <c r="L11" t="s">
        <v>487</v>
      </c>
      <c r="M11">
        <v>320</v>
      </c>
      <c r="N11">
        <v>44.04</v>
      </c>
      <c r="O11" t="s">
        <v>60</v>
      </c>
      <c r="P11" t="s">
        <v>491</v>
      </c>
      <c r="Q11">
        <v>0</v>
      </c>
      <c r="R11">
        <v>0</v>
      </c>
    </row>
    <row r="12" spans="1:18" x14ac:dyDescent="0.35">
      <c r="A12" t="s">
        <v>197</v>
      </c>
      <c r="B12" t="s">
        <v>483</v>
      </c>
      <c r="C12" t="s">
        <v>484</v>
      </c>
      <c r="D12">
        <v>101750120</v>
      </c>
      <c r="E12" t="s">
        <v>591</v>
      </c>
      <c r="F12" t="s">
        <v>486</v>
      </c>
      <c r="G12">
        <v>0.16</v>
      </c>
      <c r="H12">
        <v>7.1</v>
      </c>
      <c r="I12">
        <v>0.02</v>
      </c>
      <c r="J12">
        <v>0</v>
      </c>
      <c r="K12">
        <v>7.27</v>
      </c>
      <c r="L12" t="s">
        <v>487</v>
      </c>
      <c r="M12">
        <v>320</v>
      </c>
      <c r="N12">
        <v>44.04</v>
      </c>
      <c r="O12" t="s">
        <v>60</v>
      </c>
      <c r="P12" t="s">
        <v>492</v>
      </c>
      <c r="Q12">
        <v>2118</v>
      </c>
      <c r="R12">
        <v>291.47000000000003</v>
      </c>
    </row>
    <row r="13" spans="1:18" x14ac:dyDescent="0.35">
      <c r="A13" t="s">
        <v>197</v>
      </c>
      <c r="B13" t="s">
        <v>483</v>
      </c>
      <c r="C13" t="s">
        <v>484</v>
      </c>
      <c r="D13">
        <v>101750120</v>
      </c>
      <c r="E13" t="s">
        <v>591</v>
      </c>
      <c r="F13" t="s">
        <v>486</v>
      </c>
      <c r="G13">
        <v>0.16</v>
      </c>
      <c r="H13">
        <v>7.1</v>
      </c>
      <c r="I13">
        <v>0.02</v>
      </c>
      <c r="J13">
        <v>0</v>
      </c>
      <c r="K13">
        <v>7.27</v>
      </c>
      <c r="L13" t="s">
        <v>487</v>
      </c>
      <c r="M13">
        <v>320</v>
      </c>
      <c r="N13">
        <v>44.04</v>
      </c>
      <c r="O13" t="s">
        <v>81</v>
      </c>
      <c r="P13" t="s">
        <v>492</v>
      </c>
      <c r="Q13">
        <v>320</v>
      </c>
      <c r="R13">
        <v>44.04</v>
      </c>
    </row>
    <row r="14" spans="1:18" x14ac:dyDescent="0.35">
      <c r="A14" t="s">
        <v>197</v>
      </c>
      <c r="B14" t="s">
        <v>483</v>
      </c>
      <c r="C14" t="s">
        <v>484</v>
      </c>
      <c r="D14">
        <v>103223305</v>
      </c>
      <c r="E14" t="s">
        <v>642</v>
      </c>
      <c r="F14" t="s">
        <v>486</v>
      </c>
      <c r="G14">
        <v>0.2</v>
      </c>
      <c r="H14">
        <v>7.05</v>
      </c>
      <c r="I14">
        <v>0.11</v>
      </c>
      <c r="J14">
        <v>0</v>
      </c>
      <c r="K14">
        <v>7.37</v>
      </c>
      <c r="L14" t="s">
        <v>487</v>
      </c>
      <c r="M14">
        <v>295</v>
      </c>
      <c r="N14">
        <v>40.049999999999997</v>
      </c>
      <c r="O14" t="s">
        <v>60</v>
      </c>
      <c r="P14" t="s">
        <v>488</v>
      </c>
      <c r="Q14">
        <v>442</v>
      </c>
      <c r="R14">
        <v>2206.9299999999998</v>
      </c>
    </row>
    <row r="15" spans="1:18" x14ac:dyDescent="0.35">
      <c r="A15" t="s">
        <v>197</v>
      </c>
      <c r="B15" t="s">
        <v>483</v>
      </c>
      <c r="C15" t="s">
        <v>484</v>
      </c>
      <c r="D15">
        <v>103223305</v>
      </c>
      <c r="E15" t="s">
        <v>642</v>
      </c>
      <c r="F15" t="s">
        <v>486</v>
      </c>
      <c r="G15">
        <v>0.2</v>
      </c>
      <c r="H15">
        <v>7.05</v>
      </c>
      <c r="I15">
        <v>0.11</v>
      </c>
      <c r="J15">
        <v>0</v>
      </c>
      <c r="K15">
        <v>7.37</v>
      </c>
      <c r="L15" t="s">
        <v>487</v>
      </c>
      <c r="M15">
        <v>295</v>
      </c>
      <c r="N15">
        <v>40.049999999999997</v>
      </c>
      <c r="O15" t="s">
        <v>60</v>
      </c>
      <c r="P15" t="s">
        <v>489</v>
      </c>
      <c r="Q15">
        <v>2837</v>
      </c>
      <c r="R15">
        <v>402.33</v>
      </c>
    </row>
    <row r="16" spans="1:18" x14ac:dyDescent="0.35">
      <c r="A16" t="s">
        <v>197</v>
      </c>
      <c r="B16" t="s">
        <v>483</v>
      </c>
      <c r="C16" t="s">
        <v>484</v>
      </c>
      <c r="D16">
        <v>103223305</v>
      </c>
      <c r="E16" t="s">
        <v>642</v>
      </c>
      <c r="F16" t="s">
        <v>486</v>
      </c>
      <c r="G16">
        <v>0.2</v>
      </c>
      <c r="H16">
        <v>7.05</v>
      </c>
      <c r="I16">
        <v>0.11</v>
      </c>
      <c r="J16">
        <v>0</v>
      </c>
      <c r="K16">
        <v>7.37</v>
      </c>
      <c r="L16" t="s">
        <v>487</v>
      </c>
      <c r="M16">
        <v>295</v>
      </c>
      <c r="N16">
        <v>40.049999999999997</v>
      </c>
      <c r="O16" t="s">
        <v>60</v>
      </c>
      <c r="P16" t="s">
        <v>490</v>
      </c>
      <c r="Q16">
        <v>22</v>
      </c>
      <c r="R16">
        <v>191.77</v>
      </c>
    </row>
    <row r="17" spans="1:18" x14ac:dyDescent="0.35">
      <c r="A17" t="s">
        <v>197</v>
      </c>
      <c r="B17" t="s">
        <v>483</v>
      </c>
      <c r="C17" t="s">
        <v>484</v>
      </c>
      <c r="D17">
        <v>103223305</v>
      </c>
      <c r="E17" t="s">
        <v>642</v>
      </c>
      <c r="F17" t="s">
        <v>486</v>
      </c>
      <c r="G17">
        <v>0.2</v>
      </c>
      <c r="H17">
        <v>7.05</v>
      </c>
      <c r="I17">
        <v>0.11</v>
      </c>
      <c r="J17">
        <v>0</v>
      </c>
      <c r="K17">
        <v>7.37</v>
      </c>
      <c r="L17" t="s">
        <v>487</v>
      </c>
      <c r="M17">
        <v>295</v>
      </c>
      <c r="N17">
        <v>40.049999999999997</v>
      </c>
      <c r="O17" t="s">
        <v>60</v>
      </c>
      <c r="P17" t="s">
        <v>491</v>
      </c>
      <c r="Q17">
        <v>0</v>
      </c>
      <c r="R17">
        <v>0</v>
      </c>
    </row>
    <row r="18" spans="1:18" x14ac:dyDescent="0.35">
      <c r="A18" t="s">
        <v>197</v>
      </c>
      <c r="B18" t="s">
        <v>483</v>
      </c>
      <c r="C18" t="s">
        <v>484</v>
      </c>
      <c r="D18">
        <v>103223305</v>
      </c>
      <c r="E18" t="s">
        <v>642</v>
      </c>
      <c r="F18" t="s">
        <v>486</v>
      </c>
      <c r="G18">
        <v>0.2</v>
      </c>
      <c r="H18">
        <v>7.05</v>
      </c>
      <c r="I18">
        <v>0.11</v>
      </c>
      <c r="J18">
        <v>0</v>
      </c>
      <c r="K18">
        <v>7.37</v>
      </c>
      <c r="L18" t="s">
        <v>487</v>
      </c>
      <c r="M18">
        <v>295</v>
      </c>
      <c r="N18">
        <v>40.049999999999997</v>
      </c>
      <c r="O18" t="s">
        <v>60</v>
      </c>
      <c r="P18" t="s">
        <v>492</v>
      </c>
      <c r="Q18">
        <v>3301</v>
      </c>
      <c r="R18">
        <v>448.1</v>
      </c>
    </row>
    <row r="19" spans="1:18" x14ac:dyDescent="0.35">
      <c r="A19" t="s">
        <v>197</v>
      </c>
      <c r="B19" t="s">
        <v>483</v>
      </c>
      <c r="C19" t="s">
        <v>484</v>
      </c>
      <c r="D19">
        <v>103223305</v>
      </c>
      <c r="E19" t="s">
        <v>642</v>
      </c>
      <c r="F19" t="s">
        <v>486</v>
      </c>
      <c r="G19">
        <v>0.2</v>
      </c>
      <c r="H19">
        <v>7.05</v>
      </c>
      <c r="I19">
        <v>0.11</v>
      </c>
      <c r="J19">
        <v>0</v>
      </c>
      <c r="K19">
        <v>7.37</v>
      </c>
      <c r="L19" t="s">
        <v>487</v>
      </c>
      <c r="M19">
        <v>295</v>
      </c>
      <c r="N19">
        <v>40.049999999999997</v>
      </c>
      <c r="O19" t="s">
        <v>81</v>
      </c>
      <c r="P19" t="s">
        <v>492</v>
      </c>
      <c r="Q19">
        <v>295</v>
      </c>
      <c r="R19">
        <v>40.049999999999997</v>
      </c>
    </row>
    <row r="20" spans="1:18" x14ac:dyDescent="0.35">
      <c r="A20" t="s">
        <v>197</v>
      </c>
      <c r="B20" t="s">
        <v>483</v>
      </c>
      <c r="C20" t="s">
        <v>484</v>
      </c>
      <c r="D20">
        <v>104378003</v>
      </c>
      <c r="E20" t="s">
        <v>495</v>
      </c>
      <c r="F20" t="s">
        <v>486</v>
      </c>
      <c r="G20">
        <v>0.5</v>
      </c>
      <c r="H20">
        <v>6.54</v>
      </c>
      <c r="I20">
        <v>0.13</v>
      </c>
      <c r="J20">
        <v>0</v>
      </c>
      <c r="K20">
        <v>7.17</v>
      </c>
      <c r="L20" t="s">
        <v>487</v>
      </c>
      <c r="M20">
        <v>288</v>
      </c>
      <c r="N20">
        <v>40.19</v>
      </c>
      <c r="O20" t="s">
        <v>60</v>
      </c>
      <c r="P20" t="s">
        <v>488</v>
      </c>
      <c r="Q20">
        <v>620</v>
      </c>
      <c r="R20">
        <v>1246.23</v>
      </c>
    </row>
    <row r="21" spans="1:18" x14ac:dyDescent="0.35">
      <c r="A21" t="s">
        <v>197</v>
      </c>
      <c r="B21" t="s">
        <v>483</v>
      </c>
      <c r="C21" t="s">
        <v>484</v>
      </c>
      <c r="D21">
        <v>104378003</v>
      </c>
      <c r="E21" t="s">
        <v>495</v>
      </c>
      <c r="F21" t="s">
        <v>486</v>
      </c>
      <c r="G21">
        <v>0.5</v>
      </c>
      <c r="H21">
        <v>6.54</v>
      </c>
      <c r="I21">
        <v>0.13</v>
      </c>
      <c r="J21">
        <v>0</v>
      </c>
      <c r="K21">
        <v>7.17</v>
      </c>
      <c r="L21" t="s">
        <v>487</v>
      </c>
      <c r="M21">
        <v>288</v>
      </c>
      <c r="N21">
        <v>40.19</v>
      </c>
      <c r="O21" t="s">
        <v>60</v>
      </c>
      <c r="P21" t="s">
        <v>489</v>
      </c>
      <c r="Q21">
        <v>1486</v>
      </c>
      <c r="R21">
        <v>227.24</v>
      </c>
    </row>
    <row r="22" spans="1:18" x14ac:dyDescent="0.35">
      <c r="A22" t="s">
        <v>197</v>
      </c>
      <c r="B22" t="s">
        <v>483</v>
      </c>
      <c r="C22" t="s">
        <v>484</v>
      </c>
      <c r="D22">
        <v>104378003</v>
      </c>
      <c r="E22" t="s">
        <v>495</v>
      </c>
      <c r="F22" t="s">
        <v>486</v>
      </c>
      <c r="G22">
        <v>0.5</v>
      </c>
      <c r="H22">
        <v>6.54</v>
      </c>
      <c r="I22">
        <v>0.13</v>
      </c>
      <c r="J22">
        <v>0</v>
      </c>
      <c r="K22">
        <v>7.17</v>
      </c>
      <c r="L22" t="s">
        <v>487</v>
      </c>
      <c r="M22">
        <v>288</v>
      </c>
      <c r="N22">
        <v>40.19</v>
      </c>
      <c r="O22" t="s">
        <v>60</v>
      </c>
      <c r="P22" t="s">
        <v>490</v>
      </c>
      <c r="Q22">
        <v>14</v>
      </c>
      <c r="R22">
        <v>108.39</v>
      </c>
    </row>
    <row r="23" spans="1:18" x14ac:dyDescent="0.35">
      <c r="A23" t="s">
        <v>197</v>
      </c>
      <c r="B23" t="s">
        <v>483</v>
      </c>
      <c r="C23" t="s">
        <v>484</v>
      </c>
      <c r="D23">
        <v>104378003</v>
      </c>
      <c r="E23" t="s">
        <v>495</v>
      </c>
      <c r="F23" t="s">
        <v>486</v>
      </c>
      <c r="G23">
        <v>0.5</v>
      </c>
      <c r="H23">
        <v>6.54</v>
      </c>
      <c r="I23">
        <v>0.13</v>
      </c>
      <c r="J23">
        <v>0</v>
      </c>
      <c r="K23">
        <v>7.17</v>
      </c>
      <c r="L23" t="s">
        <v>487</v>
      </c>
      <c r="M23">
        <v>288</v>
      </c>
      <c r="N23">
        <v>40.19</v>
      </c>
      <c r="O23" t="s">
        <v>60</v>
      </c>
      <c r="P23" t="s">
        <v>491</v>
      </c>
      <c r="Q23">
        <v>0</v>
      </c>
      <c r="R23">
        <v>0</v>
      </c>
    </row>
    <row r="24" spans="1:18" x14ac:dyDescent="0.35">
      <c r="A24" t="s">
        <v>197</v>
      </c>
      <c r="B24" t="s">
        <v>483</v>
      </c>
      <c r="C24" t="s">
        <v>484</v>
      </c>
      <c r="D24">
        <v>104378003</v>
      </c>
      <c r="E24" t="s">
        <v>495</v>
      </c>
      <c r="F24" t="s">
        <v>486</v>
      </c>
      <c r="G24">
        <v>0.5</v>
      </c>
      <c r="H24">
        <v>6.54</v>
      </c>
      <c r="I24">
        <v>0.13</v>
      </c>
      <c r="J24">
        <v>0</v>
      </c>
      <c r="K24">
        <v>7.17</v>
      </c>
      <c r="L24" t="s">
        <v>487</v>
      </c>
      <c r="M24">
        <v>288</v>
      </c>
      <c r="N24">
        <v>40.19</v>
      </c>
      <c r="O24" t="s">
        <v>60</v>
      </c>
      <c r="P24" t="s">
        <v>492</v>
      </c>
      <c r="Q24">
        <v>2120</v>
      </c>
      <c r="R24">
        <v>295.81</v>
      </c>
    </row>
    <row r="25" spans="1:18" x14ac:dyDescent="0.35">
      <c r="A25" t="s">
        <v>197</v>
      </c>
      <c r="B25" t="s">
        <v>483</v>
      </c>
      <c r="C25" t="s">
        <v>484</v>
      </c>
      <c r="D25">
        <v>104378003</v>
      </c>
      <c r="E25" t="s">
        <v>495</v>
      </c>
      <c r="F25" t="s">
        <v>486</v>
      </c>
      <c r="G25">
        <v>0.5</v>
      </c>
      <c r="H25">
        <v>6.54</v>
      </c>
      <c r="I25">
        <v>0.13</v>
      </c>
      <c r="J25">
        <v>0</v>
      </c>
      <c r="K25">
        <v>7.17</v>
      </c>
      <c r="L25" t="s">
        <v>487</v>
      </c>
      <c r="M25">
        <v>288</v>
      </c>
      <c r="N25">
        <v>40.19</v>
      </c>
      <c r="O25" t="s">
        <v>81</v>
      </c>
      <c r="P25" t="s">
        <v>492</v>
      </c>
      <c r="Q25">
        <v>288</v>
      </c>
      <c r="R25">
        <v>40.19</v>
      </c>
    </row>
    <row r="26" spans="1:18" x14ac:dyDescent="0.35">
      <c r="A26" t="s">
        <v>197</v>
      </c>
      <c r="B26" t="s">
        <v>483</v>
      </c>
      <c r="C26" t="s">
        <v>484</v>
      </c>
      <c r="D26">
        <v>104385509</v>
      </c>
      <c r="E26" t="s">
        <v>643</v>
      </c>
      <c r="F26" t="s">
        <v>486</v>
      </c>
      <c r="G26">
        <v>0.08</v>
      </c>
      <c r="H26">
        <v>3.71</v>
      </c>
      <c r="I26">
        <v>0.02</v>
      </c>
      <c r="J26">
        <v>0</v>
      </c>
      <c r="K26">
        <v>3.81</v>
      </c>
      <c r="L26" t="s">
        <v>487</v>
      </c>
      <c r="M26">
        <v>252</v>
      </c>
      <c r="N26">
        <v>66.19</v>
      </c>
      <c r="O26" t="s">
        <v>60</v>
      </c>
      <c r="P26" t="s">
        <v>488</v>
      </c>
      <c r="Q26">
        <v>152</v>
      </c>
      <c r="R26">
        <v>1947.33</v>
      </c>
    </row>
    <row r="27" spans="1:18" x14ac:dyDescent="0.35">
      <c r="A27" t="s">
        <v>197</v>
      </c>
      <c r="B27" t="s">
        <v>483</v>
      </c>
      <c r="C27" t="s">
        <v>484</v>
      </c>
      <c r="D27">
        <v>104385509</v>
      </c>
      <c r="E27" t="s">
        <v>643</v>
      </c>
      <c r="F27" t="s">
        <v>486</v>
      </c>
      <c r="G27">
        <v>0.08</v>
      </c>
      <c r="H27">
        <v>3.71</v>
      </c>
      <c r="I27">
        <v>0.02</v>
      </c>
      <c r="J27">
        <v>0</v>
      </c>
      <c r="K27">
        <v>3.81</v>
      </c>
      <c r="L27" t="s">
        <v>487</v>
      </c>
      <c r="M27">
        <v>252</v>
      </c>
      <c r="N27">
        <v>66.19</v>
      </c>
      <c r="O27" t="s">
        <v>60</v>
      </c>
      <c r="P27" t="s">
        <v>489</v>
      </c>
      <c r="Q27">
        <v>1314</v>
      </c>
      <c r="R27">
        <v>354.66</v>
      </c>
    </row>
    <row r="28" spans="1:18" x14ac:dyDescent="0.35">
      <c r="A28" t="s">
        <v>197</v>
      </c>
      <c r="B28" t="s">
        <v>483</v>
      </c>
      <c r="C28" t="s">
        <v>484</v>
      </c>
      <c r="D28">
        <v>104385509</v>
      </c>
      <c r="E28" t="s">
        <v>643</v>
      </c>
      <c r="F28" t="s">
        <v>486</v>
      </c>
      <c r="G28">
        <v>0.08</v>
      </c>
      <c r="H28">
        <v>3.71</v>
      </c>
      <c r="I28">
        <v>0.02</v>
      </c>
      <c r="J28">
        <v>0</v>
      </c>
      <c r="K28">
        <v>3.81</v>
      </c>
      <c r="L28" t="s">
        <v>487</v>
      </c>
      <c r="M28">
        <v>252</v>
      </c>
      <c r="N28">
        <v>66.19</v>
      </c>
      <c r="O28" t="s">
        <v>60</v>
      </c>
      <c r="P28" t="s">
        <v>490</v>
      </c>
      <c r="Q28">
        <v>4</v>
      </c>
      <c r="R28">
        <v>169.41</v>
      </c>
    </row>
    <row r="29" spans="1:18" x14ac:dyDescent="0.35">
      <c r="A29" t="s">
        <v>197</v>
      </c>
      <c r="B29" t="s">
        <v>483</v>
      </c>
      <c r="C29" t="s">
        <v>484</v>
      </c>
      <c r="D29">
        <v>104385509</v>
      </c>
      <c r="E29" t="s">
        <v>643</v>
      </c>
      <c r="F29" t="s">
        <v>486</v>
      </c>
      <c r="G29">
        <v>0.08</v>
      </c>
      <c r="H29">
        <v>3.71</v>
      </c>
      <c r="I29">
        <v>0.02</v>
      </c>
      <c r="J29">
        <v>0</v>
      </c>
      <c r="K29">
        <v>3.81</v>
      </c>
      <c r="L29" t="s">
        <v>487</v>
      </c>
      <c r="M29">
        <v>252</v>
      </c>
      <c r="N29">
        <v>66.19</v>
      </c>
      <c r="O29" t="s">
        <v>60</v>
      </c>
      <c r="P29" t="s">
        <v>491</v>
      </c>
      <c r="Q29">
        <v>0</v>
      </c>
      <c r="R29">
        <v>0</v>
      </c>
    </row>
    <row r="30" spans="1:18" x14ac:dyDescent="0.35">
      <c r="A30" t="s">
        <v>197</v>
      </c>
      <c r="B30" t="s">
        <v>483</v>
      </c>
      <c r="C30" t="s">
        <v>484</v>
      </c>
      <c r="D30">
        <v>104385509</v>
      </c>
      <c r="E30" t="s">
        <v>643</v>
      </c>
      <c r="F30" t="s">
        <v>486</v>
      </c>
      <c r="G30">
        <v>0.08</v>
      </c>
      <c r="H30">
        <v>3.71</v>
      </c>
      <c r="I30">
        <v>0.02</v>
      </c>
      <c r="J30">
        <v>0</v>
      </c>
      <c r="K30">
        <v>3.81</v>
      </c>
      <c r="L30" t="s">
        <v>487</v>
      </c>
      <c r="M30">
        <v>252</v>
      </c>
      <c r="N30">
        <v>66.19</v>
      </c>
      <c r="O30" t="s">
        <v>60</v>
      </c>
      <c r="P30" t="s">
        <v>492</v>
      </c>
      <c r="Q30">
        <v>1470</v>
      </c>
      <c r="R30">
        <v>386.14</v>
      </c>
    </row>
    <row r="31" spans="1:18" x14ac:dyDescent="0.35">
      <c r="A31" t="s">
        <v>197</v>
      </c>
      <c r="B31" t="s">
        <v>483</v>
      </c>
      <c r="C31" t="s">
        <v>484</v>
      </c>
      <c r="D31">
        <v>104385509</v>
      </c>
      <c r="E31" t="s">
        <v>643</v>
      </c>
      <c r="F31" t="s">
        <v>486</v>
      </c>
      <c r="G31">
        <v>0.08</v>
      </c>
      <c r="H31">
        <v>3.71</v>
      </c>
      <c r="I31">
        <v>0.02</v>
      </c>
      <c r="J31">
        <v>0</v>
      </c>
      <c r="K31">
        <v>3.81</v>
      </c>
      <c r="L31" t="s">
        <v>487</v>
      </c>
      <c r="M31">
        <v>252</v>
      </c>
      <c r="N31">
        <v>66.19</v>
      </c>
      <c r="O31" t="s">
        <v>81</v>
      </c>
      <c r="P31" t="s">
        <v>492</v>
      </c>
      <c r="Q31">
        <v>252</v>
      </c>
      <c r="R31">
        <v>66.19</v>
      </c>
    </row>
    <row r="32" spans="1:18" x14ac:dyDescent="0.35">
      <c r="A32" t="s">
        <v>197</v>
      </c>
      <c r="B32" t="s">
        <v>483</v>
      </c>
      <c r="C32" t="s">
        <v>484</v>
      </c>
      <c r="D32">
        <v>105583964</v>
      </c>
      <c r="E32" t="s">
        <v>636</v>
      </c>
      <c r="F32" t="s">
        <v>499</v>
      </c>
      <c r="G32">
        <v>0.12</v>
      </c>
      <c r="H32">
        <v>7.39</v>
      </c>
      <c r="I32">
        <v>0.11</v>
      </c>
      <c r="J32">
        <v>0</v>
      </c>
      <c r="K32">
        <v>7.62</v>
      </c>
      <c r="L32" t="s">
        <v>487</v>
      </c>
      <c r="M32">
        <v>277</v>
      </c>
      <c r="N32">
        <v>36.35</v>
      </c>
      <c r="O32" t="s">
        <v>60</v>
      </c>
      <c r="P32" t="s">
        <v>488</v>
      </c>
      <c r="Q32">
        <v>190</v>
      </c>
      <c r="R32">
        <v>1547.51</v>
      </c>
    </row>
    <row r="33" spans="1:18" x14ac:dyDescent="0.35">
      <c r="A33" t="s">
        <v>197</v>
      </c>
      <c r="B33" t="s">
        <v>483</v>
      </c>
      <c r="C33" t="s">
        <v>484</v>
      </c>
      <c r="D33">
        <v>105583964</v>
      </c>
      <c r="E33" t="s">
        <v>636</v>
      </c>
      <c r="F33" t="s">
        <v>499</v>
      </c>
      <c r="G33">
        <v>0.12</v>
      </c>
      <c r="H33">
        <v>7.39</v>
      </c>
      <c r="I33">
        <v>0.11</v>
      </c>
      <c r="J33">
        <v>0</v>
      </c>
      <c r="K33">
        <v>7.62</v>
      </c>
      <c r="L33" t="s">
        <v>487</v>
      </c>
      <c r="M33">
        <v>277</v>
      </c>
      <c r="N33">
        <v>36.35</v>
      </c>
      <c r="O33" t="s">
        <v>60</v>
      </c>
      <c r="P33" t="s">
        <v>489</v>
      </c>
      <c r="Q33">
        <v>2082</v>
      </c>
      <c r="R33">
        <v>281.87</v>
      </c>
    </row>
    <row r="34" spans="1:18" x14ac:dyDescent="0.35">
      <c r="A34" t="s">
        <v>197</v>
      </c>
      <c r="B34" t="s">
        <v>483</v>
      </c>
      <c r="C34" t="s">
        <v>484</v>
      </c>
      <c r="D34">
        <v>105583964</v>
      </c>
      <c r="E34" t="s">
        <v>636</v>
      </c>
      <c r="F34" t="s">
        <v>499</v>
      </c>
      <c r="G34">
        <v>0.12</v>
      </c>
      <c r="H34">
        <v>7.39</v>
      </c>
      <c r="I34">
        <v>0.11</v>
      </c>
      <c r="J34">
        <v>0</v>
      </c>
      <c r="K34">
        <v>7.62</v>
      </c>
      <c r="L34" t="s">
        <v>487</v>
      </c>
      <c r="M34">
        <v>277</v>
      </c>
      <c r="N34">
        <v>36.35</v>
      </c>
      <c r="O34" t="s">
        <v>60</v>
      </c>
      <c r="P34" t="s">
        <v>490</v>
      </c>
      <c r="Q34">
        <v>15</v>
      </c>
      <c r="R34">
        <v>134.33000000000001</v>
      </c>
    </row>
    <row r="35" spans="1:18" x14ac:dyDescent="0.35">
      <c r="A35" t="s">
        <v>197</v>
      </c>
      <c r="B35" t="s">
        <v>483</v>
      </c>
      <c r="C35" t="s">
        <v>484</v>
      </c>
      <c r="D35">
        <v>105583964</v>
      </c>
      <c r="E35" t="s">
        <v>636</v>
      </c>
      <c r="F35" t="s">
        <v>499</v>
      </c>
      <c r="G35">
        <v>0.12</v>
      </c>
      <c r="H35">
        <v>7.39</v>
      </c>
      <c r="I35">
        <v>0.11</v>
      </c>
      <c r="J35">
        <v>0</v>
      </c>
      <c r="K35">
        <v>7.62</v>
      </c>
      <c r="L35" t="s">
        <v>487</v>
      </c>
      <c r="M35">
        <v>277</v>
      </c>
      <c r="N35">
        <v>36.35</v>
      </c>
      <c r="O35" t="s">
        <v>60</v>
      </c>
      <c r="P35" t="s">
        <v>491</v>
      </c>
      <c r="Q35">
        <v>0</v>
      </c>
      <c r="R35">
        <v>0</v>
      </c>
    </row>
    <row r="36" spans="1:18" x14ac:dyDescent="0.35">
      <c r="A36" t="s">
        <v>197</v>
      </c>
      <c r="B36" t="s">
        <v>483</v>
      </c>
      <c r="C36" t="s">
        <v>484</v>
      </c>
      <c r="D36">
        <v>105583964</v>
      </c>
      <c r="E36" t="s">
        <v>636</v>
      </c>
      <c r="F36" t="s">
        <v>499</v>
      </c>
      <c r="G36">
        <v>0.12</v>
      </c>
      <c r="H36">
        <v>7.39</v>
      </c>
      <c r="I36">
        <v>0.11</v>
      </c>
      <c r="J36">
        <v>0</v>
      </c>
      <c r="K36">
        <v>7.62</v>
      </c>
      <c r="L36" t="s">
        <v>487</v>
      </c>
      <c r="M36">
        <v>277</v>
      </c>
      <c r="N36">
        <v>36.35</v>
      </c>
      <c r="O36" t="s">
        <v>60</v>
      </c>
      <c r="P36" t="s">
        <v>492</v>
      </c>
      <c r="Q36">
        <v>2287</v>
      </c>
      <c r="R36">
        <v>300.08999999999997</v>
      </c>
    </row>
    <row r="37" spans="1:18" x14ac:dyDescent="0.35">
      <c r="A37" t="s">
        <v>197</v>
      </c>
      <c r="B37" t="s">
        <v>483</v>
      </c>
      <c r="C37" t="s">
        <v>484</v>
      </c>
      <c r="D37">
        <v>105583964</v>
      </c>
      <c r="E37" t="s">
        <v>636</v>
      </c>
      <c r="F37" t="s">
        <v>499</v>
      </c>
      <c r="G37">
        <v>0.12</v>
      </c>
      <c r="H37">
        <v>7.39</v>
      </c>
      <c r="I37">
        <v>0.11</v>
      </c>
      <c r="J37">
        <v>0</v>
      </c>
      <c r="K37">
        <v>7.62</v>
      </c>
      <c r="L37" t="s">
        <v>487</v>
      </c>
      <c r="M37">
        <v>277</v>
      </c>
      <c r="N37">
        <v>36.35</v>
      </c>
      <c r="O37" t="s">
        <v>81</v>
      </c>
      <c r="P37" t="s">
        <v>492</v>
      </c>
      <c r="Q37">
        <v>277</v>
      </c>
      <c r="R37">
        <v>36.35</v>
      </c>
    </row>
    <row r="38" spans="1:18" x14ac:dyDescent="0.35">
      <c r="A38" t="s">
        <v>197</v>
      </c>
      <c r="B38" t="s">
        <v>483</v>
      </c>
      <c r="C38" t="s">
        <v>484</v>
      </c>
      <c r="D38">
        <v>105785229</v>
      </c>
      <c r="E38" t="s">
        <v>588</v>
      </c>
      <c r="F38" t="s">
        <v>497</v>
      </c>
      <c r="G38">
        <v>0</v>
      </c>
      <c r="H38">
        <v>4.92</v>
      </c>
      <c r="I38">
        <v>0.09</v>
      </c>
      <c r="J38">
        <v>0</v>
      </c>
      <c r="K38">
        <v>5.0199999999999996</v>
      </c>
      <c r="L38" t="s">
        <v>487</v>
      </c>
      <c r="M38">
        <v>207</v>
      </c>
      <c r="N38">
        <v>41.26</v>
      </c>
      <c r="O38" t="s">
        <v>60</v>
      </c>
      <c r="P38" t="s">
        <v>488</v>
      </c>
      <c r="Q38">
        <v>0</v>
      </c>
      <c r="R38">
        <v>0</v>
      </c>
    </row>
    <row r="39" spans="1:18" x14ac:dyDescent="0.35">
      <c r="A39" t="s">
        <v>197</v>
      </c>
      <c r="B39" t="s">
        <v>483</v>
      </c>
      <c r="C39" t="s">
        <v>484</v>
      </c>
      <c r="D39">
        <v>105785229</v>
      </c>
      <c r="E39" t="s">
        <v>588</v>
      </c>
      <c r="F39" t="s">
        <v>497</v>
      </c>
      <c r="G39">
        <v>0</v>
      </c>
      <c r="H39">
        <v>4.92</v>
      </c>
      <c r="I39">
        <v>0.09</v>
      </c>
      <c r="J39">
        <v>0</v>
      </c>
      <c r="K39">
        <v>5.0199999999999996</v>
      </c>
      <c r="L39" t="s">
        <v>487</v>
      </c>
      <c r="M39">
        <v>207</v>
      </c>
      <c r="N39">
        <v>41.26</v>
      </c>
      <c r="O39" t="s">
        <v>60</v>
      </c>
      <c r="P39" t="s">
        <v>489</v>
      </c>
      <c r="Q39">
        <v>1326</v>
      </c>
      <c r="R39">
        <v>269.33999999999997</v>
      </c>
    </row>
    <row r="40" spans="1:18" x14ac:dyDescent="0.35">
      <c r="A40" t="s">
        <v>197</v>
      </c>
      <c r="B40" t="s">
        <v>483</v>
      </c>
      <c r="C40" t="s">
        <v>484</v>
      </c>
      <c r="D40">
        <v>105785229</v>
      </c>
      <c r="E40" t="s">
        <v>588</v>
      </c>
      <c r="F40" t="s">
        <v>497</v>
      </c>
      <c r="G40">
        <v>0</v>
      </c>
      <c r="H40">
        <v>4.92</v>
      </c>
      <c r="I40">
        <v>0.09</v>
      </c>
      <c r="J40">
        <v>0</v>
      </c>
      <c r="K40">
        <v>5.0199999999999996</v>
      </c>
      <c r="L40" t="s">
        <v>487</v>
      </c>
      <c r="M40">
        <v>207</v>
      </c>
      <c r="N40">
        <v>41.26</v>
      </c>
      <c r="O40" t="s">
        <v>60</v>
      </c>
      <c r="P40" t="s">
        <v>490</v>
      </c>
      <c r="Q40">
        <v>12</v>
      </c>
      <c r="R40">
        <v>128.57</v>
      </c>
    </row>
    <row r="41" spans="1:18" x14ac:dyDescent="0.35">
      <c r="A41" t="s">
        <v>197</v>
      </c>
      <c r="B41" t="s">
        <v>483</v>
      </c>
      <c r="C41" t="s">
        <v>484</v>
      </c>
      <c r="D41">
        <v>105785229</v>
      </c>
      <c r="E41" t="s">
        <v>588</v>
      </c>
      <c r="F41" t="s">
        <v>497</v>
      </c>
      <c r="G41">
        <v>0</v>
      </c>
      <c r="H41">
        <v>4.92</v>
      </c>
      <c r="I41">
        <v>0.09</v>
      </c>
      <c r="J41">
        <v>0</v>
      </c>
      <c r="K41">
        <v>5.0199999999999996</v>
      </c>
      <c r="L41" t="s">
        <v>487</v>
      </c>
      <c r="M41">
        <v>207</v>
      </c>
      <c r="N41">
        <v>41.26</v>
      </c>
      <c r="O41" t="s">
        <v>60</v>
      </c>
      <c r="P41" t="s">
        <v>491</v>
      </c>
      <c r="Q41">
        <v>0</v>
      </c>
      <c r="R41">
        <v>0</v>
      </c>
    </row>
    <row r="42" spans="1:18" x14ac:dyDescent="0.35">
      <c r="A42" t="s">
        <v>197</v>
      </c>
      <c r="B42" t="s">
        <v>483</v>
      </c>
      <c r="C42" t="s">
        <v>484</v>
      </c>
      <c r="D42">
        <v>105785229</v>
      </c>
      <c r="E42" t="s">
        <v>588</v>
      </c>
      <c r="F42" t="s">
        <v>497</v>
      </c>
      <c r="G42">
        <v>0</v>
      </c>
      <c r="H42">
        <v>4.92</v>
      </c>
      <c r="I42">
        <v>0.09</v>
      </c>
      <c r="J42">
        <v>0</v>
      </c>
      <c r="K42">
        <v>5.0199999999999996</v>
      </c>
      <c r="L42" t="s">
        <v>487</v>
      </c>
      <c r="M42">
        <v>207</v>
      </c>
      <c r="N42">
        <v>41.26</v>
      </c>
      <c r="O42" t="s">
        <v>60</v>
      </c>
      <c r="P42" t="s">
        <v>492</v>
      </c>
      <c r="Q42">
        <v>1338</v>
      </c>
      <c r="R42">
        <v>266.70999999999998</v>
      </c>
    </row>
    <row r="43" spans="1:18" x14ac:dyDescent="0.35">
      <c r="A43" t="s">
        <v>197</v>
      </c>
      <c r="B43" t="s">
        <v>483</v>
      </c>
      <c r="C43" t="s">
        <v>484</v>
      </c>
      <c r="D43">
        <v>105785229</v>
      </c>
      <c r="E43" t="s">
        <v>588</v>
      </c>
      <c r="F43" t="s">
        <v>497</v>
      </c>
      <c r="G43">
        <v>0</v>
      </c>
      <c r="H43">
        <v>4.92</v>
      </c>
      <c r="I43">
        <v>0.09</v>
      </c>
      <c r="J43">
        <v>0</v>
      </c>
      <c r="K43">
        <v>5.0199999999999996</v>
      </c>
      <c r="L43" t="s">
        <v>487</v>
      </c>
      <c r="M43">
        <v>207</v>
      </c>
      <c r="N43">
        <v>41.26</v>
      </c>
      <c r="O43" t="s">
        <v>81</v>
      </c>
      <c r="P43" t="s">
        <v>492</v>
      </c>
      <c r="Q43">
        <v>207</v>
      </c>
      <c r="R43">
        <v>41.26</v>
      </c>
    </row>
    <row r="44" spans="1:18" x14ac:dyDescent="0.35">
      <c r="A44" t="s">
        <v>197</v>
      </c>
      <c r="B44" t="s">
        <v>483</v>
      </c>
      <c r="C44" t="s">
        <v>484</v>
      </c>
      <c r="D44">
        <v>105833593</v>
      </c>
      <c r="E44" t="s">
        <v>522</v>
      </c>
      <c r="F44" t="s">
        <v>497</v>
      </c>
      <c r="G44">
        <v>0.23</v>
      </c>
      <c r="H44">
        <v>7.66</v>
      </c>
      <c r="I44">
        <v>0</v>
      </c>
      <c r="J44">
        <v>0</v>
      </c>
      <c r="K44">
        <v>7.89</v>
      </c>
      <c r="L44" t="s">
        <v>487</v>
      </c>
      <c r="M44">
        <v>223</v>
      </c>
      <c r="N44">
        <v>28.27</v>
      </c>
      <c r="O44" t="s">
        <v>60</v>
      </c>
      <c r="P44" t="s">
        <v>488</v>
      </c>
      <c r="Q44">
        <v>249</v>
      </c>
      <c r="R44">
        <v>1091.8399999999999</v>
      </c>
    </row>
    <row r="45" spans="1:18" x14ac:dyDescent="0.35">
      <c r="A45" t="s">
        <v>197</v>
      </c>
      <c r="B45" t="s">
        <v>483</v>
      </c>
      <c r="C45" t="s">
        <v>484</v>
      </c>
      <c r="D45">
        <v>105833593</v>
      </c>
      <c r="E45" t="s">
        <v>522</v>
      </c>
      <c r="F45" t="s">
        <v>497</v>
      </c>
      <c r="G45">
        <v>0.23</v>
      </c>
      <c r="H45">
        <v>7.66</v>
      </c>
      <c r="I45">
        <v>0</v>
      </c>
      <c r="J45">
        <v>0</v>
      </c>
      <c r="K45">
        <v>7.89</v>
      </c>
      <c r="L45" t="s">
        <v>487</v>
      </c>
      <c r="M45">
        <v>223</v>
      </c>
      <c r="N45">
        <v>28.27</v>
      </c>
      <c r="O45" t="s">
        <v>60</v>
      </c>
      <c r="P45" t="s">
        <v>489</v>
      </c>
      <c r="Q45">
        <v>1524</v>
      </c>
      <c r="R45">
        <v>198.95</v>
      </c>
    </row>
    <row r="46" spans="1:18" x14ac:dyDescent="0.35">
      <c r="A46" t="s">
        <v>197</v>
      </c>
      <c r="B46" t="s">
        <v>483</v>
      </c>
      <c r="C46" t="s">
        <v>484</v>
      </c>
      <c r="D46">
        <v>105833593</v>
      </c>
      <c r="E46" t="s">
        <v>522</v>
      </c>
      <c r="F46" t="s">
        <v>497</v>
      </c>
      <c r="G46">
        <v>0.23</v>
      </c>
      <c r="H46">
        <v>7.66</v>
      </c>
      <c r="I46">
        <v>0</v>
      </c>
      <c r="J46">
        <v>0</v>
      </c>
      <c r="K46">
        <v>7.89</v>
      </c>
      <c r="L46" t="s">
        <v>487</v>
      </c>
      <c r="M46">
        <v>223</v>
      </c>
      <c r="N46">
        <v>28.27</v>
      </c>
      <c r="O46" t="s">
        <v>60</v>
      </c>
      <c r="P46" t="s">
        <v>490</v>
      </c>
      <c r="Q46">
        <v>0</v>
      </c>
      <c r="R46">
        <v>0</v>
      </c>
    </row>
    <row r="47" spans="1:18" x14ac:dyDescent="0.35">
      <c r="A47" t="s">
        <v>197</v>
      </c>
      <c r="B47" t="s">
        <v>483</v>
      </c>
      <c r="C47" t="s">
        <v>484</v>
      </c>
      <c r="D47">
        <v>105833593</v>
      </c>
      <c r="E47" t="s">
        <v>522</v>
      </c>
      <c r="F47" t="s">
        <v>497</v>
      </c>
      <c r="G47">
        <v>0.23</v>
      </c>
      <c r="H47">
        <v>7.66</v>
      </c>
      <c r="I47">
        <v>0</v>
      </c>
      <c r="J47">
        <v>0</v>
      </c>
      <c r="K47">
        <v>7.89</v>
      </c>
      <c r="L47" t="s">
        <v>487</v>
      </c>
      <c r="M47">
        <v>223</v>
      </c>
      <c r="N47">
        <v>28.27</v>
      </c>
      <c r="O47" t="s">
        <v>60</v>
      </c>
      <c r="P47" t="s">
        <v>491</v>
      </c>
      <c r="Q47">
        <v>0</v>
      </c>
      <c r="R47">
        <v>0</v>
      </c>
    </row>
    <row r="48" spans="1:18" x14ac:dyDescent="0.35">
      <c r="A48" t="s">
        <v>197</v>
      </c>
      <c r="B48" t="s">
        <v>483</v>
      </c>
      <c r="C48" t="s">
        <v>484</v>
      </c>
      <c r="D48">
        <v>105833593</v>
      </c>
      <c r="E48" t="s">
        <v>522</v>
      </c>
      <c r="F48" t="s">
        <v>497</v>
      </c>
      <c r="G48">
        <v>0.23</v>
      </c>
      <c r="H48">
        <v>7.66</v>
      </c>
      <c r="I48">
        <v>0</v>
      </c>
      <c r="J48">
        <v>0</v>
      </c>
      <c r="K48">
        <v>7.89</v>
      </c>
      <c r="L48" t="s">
        <v>487</v>
      </c>
      <c r="M48">
        <v>223</v>
      </c>
      <c r="N48">
        <v>28.27</v>
      </c>
      <c r="O48" t="s">
        <v>60</v>
      </c>
      <c r="P48" t="s">
        <v>492</v>
      </c>
      <c r="Q48">
        <v>1773</v>
      </c>
      <c r="R48">
        <v>224.75</v>
      </c>
    </row>
    <row r="49" spans="1:18" x14ac:dyDescent="0.35">
      <c r="A49" t="s">
        <v>197</v>
      </c>
      <c r="B49" t="s">
        <v>483</v>
      </c>
      <c r="C49" t="s">
        <v>484</v>
      </c>
      <c r="D49">
        <v>105833593</v>
      </c>
      <c r="E49" t="s">
        <v>522</v>
      </c>
      <c r="F49" t="s">
        <v>497</v>
      </c>
      <c r="G49">
        <v>0.23</v>
      </c>
      <c r="H49">
        <v>7.66</v>
      </c>
      <c r="I49">
        <v>0</v>
      </c>
      <c r="J49">
        <v>0</v>
      </c>
      <c r="K49">
        <v>7.89</v>
      </c>
      <c r="L49" t="s">
        <v>487</v>
      </c>
      <c r="M49">
        <v>223</v>
      </c>
      <c r="N49">
        <v>28.27</v>
      </c>
      <c r="O49" t="s">
        <v>81</v>
      </c>
      <c r="P49" t="s">
        <v>492</v>
      </c>
      <c r="Q49">
        <v>223</v>
      </c>
      <c r="R49">
        <v>28.27</v>
      </c>
    </row>
    <row r="50" spans="1:18" x14ac:dyDescent="0.35">
      <c r="A50" t="s">
        <v>197</v>
      </c>
      <c r="B50" t="s">
        <v>483</v>
      </c>
      <c r="C50" t="s">
        <v>484</v>
      </c>
      <c r="D50">
        <v>106064826</v>
      </c>
      <c r="E50" t="s">
        <v>589</v>
      </c>
      <c r="F50" t="s">
        <v>486</v>
      </c>
      <c r="G50">
        <v>0.12</v>
      </c>
      <c r="H50">
        <v>0.85</v>
      </c>
      <c r="I50">
        <v>0</v>
      </c>
      <c r="J50">
        <v>0</v>
      </c>
      <c r="K50">
        <v>0.97</v>
      </c>
      <c r="L50" t="s">
        <v>487</v>
      </c>
      <c r="M50">
        <v>39</v>
      </c>
      <c r="N50">
        <v>40.11</v>
      </c>
      <c r="O50" t="s">
        <v>60</v>
      </c>
      <c r="P50" t="s">
        <v>488</v>
      </c>
      <c r="Q50">
        <v>234</v>
      </c>
      <c r="R50">
        <v>1923.29</v>
      </c>
    </row>
    <row r="51" spans="1:18" x14ac:dyDescent="0.35">
      <c r="A51" t="s">
        <v>197</v>
      </c>
      <c r="B51" t="s">
        <v>483</v>
      </c>
      <c r="C51" t="s">
        <v>484</v>
      </c>
      <c r="D51">
        <v>106064826</v>
      </c>
      <c r="E51" t="s">
        <v>589</v>
      </c>
      <c r="F51" t="s">
        <v>486</v>
      </c>
      <c r="G51">
        <v>0.12</v>
      </c>
      <c r="H51">
        <v>0.85</v>
      </c>
      <c r="I51">
        <v>0</v>
      </c>
      <c r="J51">
        <v>0</v>
      </c>
      <c r="K51">
        <v>0.97</v>
      </c>
      <c r="L51" t="s">
        <v>487</v>
      </c>
      <c r="M51">
        <v>39</v>
      </c>
      <c r="N51">
        <v>40.11</v>
      </c>
      <c r="O51" t="s">
        <v>60</v>
      </c>
      <c r="P51" t="s">
        <v>489</v>
      </c>
      <c r="Q51">
        <v>298</v>
      </c>
      <c r="R51">
        <v>350.47</v>
      </c>
    </row>
    <row r="52" spans="1:18" x14ac:dyDescent="0.35">
      <c r="A52" t="s">
        <v>197</v>
      </c>
      <c r="B52" t="s">
        <v>483</v>
      </c>
      <c r="C52" t="s">
        <v>484</v>
      </c>
      <c r="D52">
        <v>106064826</v>
      </c>
      <c r="E52" t="s">
        <v>589</v>
      </c>
      <c r="F52" t="s">
        <v>486</v>
      </c>
      <c r="G52">
        <v>0.12</v>
      </c>
      <c r="H52">
        <v>0.85</v>
      </c>
      <c r="I52">
        <v>0</v>
      </c>
      <c r="J52">
        <v>0</v>
      </c>
      <c r="K52">
        <v>0.97</v>
      </c>
      <c r="L52" t="s">
        <v>487</v>
      </c>
      <c r="M52">
        <v>39</v>
      </c>
      <c r="N52">
        <v>40.11</v>
      </c>
      <c r="O52" t="s">
        <v>60</v>
      </c>
      <c r="P52" t="s">
        <v>490</v>
      </c>
      <c r="Q52">
        <v>0</v>
      </c>
      <c r="R52">
        <v>0</v>
      </c>
    </row>
    <row r="53" spans="1:18" x14ac:dyDescent="0.35">
      <c r="A53" t="s">
        <v>197</v>
      </c>
      <c r="B53" t="s">
        <v>483</v>
      </c>
      <c r="C53" t="s">
        <v>484</v>
      </c>
      <c r="D53">
        <v>106064826</v>
      </c>
      <c r="E53" t="s">
        <v>589</v>
      </c>
      <c r="F53" t="s">
        <v>486</v>
      </c>
      <c r="G53">
        <v>0.12</v>
      </c>
      <c r="H53">
        <v>0.85</v>
      </c>
      <c r="I53">
        <v>0</v>
      </c>
      <c r="J53">
        <v>0</v>
      </c>
      <c r="K53">
        <v>0.97</v>
      </c>
      <c r="L53" t="s">
        <v>487</v>
      </c>
      <c r="M53">
        <v>39</v>
      </c>
      <c r="N53">
        <v>40.11</v>
      </c>
      <c r="O53" t="s">
        <v>60</v>
      </c>
      <c r="P53" t="s">
        <v>491</v>
      </c>
      <c r="Q53">
        <v>0</v>
      </c>
      <c r="R53">
        <v>0</v>
      </c>
    </row>
    <row r="54" spans="1:18" x14ac:dyDescent="0.35">
      <c r="A54" t="s">
        <v>197</v>
      </c>
      <c r="B54" t="s">
        <v>483</v>
      </c>
      <c r="C54" t="s">
        <v>484</v>
      </c>
      <c r="D54">
        <v>106064826</v>
      </c>
      <c r="E54" t="s">
        <v>589</v>
      </c>
      <c r="F54" t="s">
        <v>486</v>
      </c>
      <c r="G54">
        <v>0.12</v>
      </c>
      <c r="H54">
        <v>0.85</v>
      </c>
      <c r="I54">
        <v>0</v>
      </c>
      <c r="J54">
        <v>0</v>
      </c>
      <c r="K54">
        <v>0.97</v>
      </c>
      <c r="L54" t="s">
        <v>487</v>
      </c>
      <c r="M54">
        <v>39</v>
      </c>
      <c r="N54">
        <v>40.11</v>
      </c>
      <c r="O54" t="s">
        <v>60</v>
      </c>
      <c r="P54" t="s">
        <v>492</v>
      </c>
      <c r="Q54">
        <v>532</v>
      </c>
      <c r="R54">
        <v>547.20000000000005</v>
      </c>
    </row>
    <row r="55" spans="1:18" x14ac:dyDescent="0.35">
      <c r="A55" t="s">
        <v>197</v>
      </c>
      <c r="B55" t="s">
        <v>483</v>
      </c>
      <c r="C55" t="s">
        <v>484</v>
      </c>
      <c r="D55">
        <v>106064826</v>
      </c>
      <c r="E55" t="s">
        <v>589</v>
      </c>
      <c r="F55" t="s">
        <v>486</v>
      </c>
      <c r="G55">
        <v>0.12</v>
      </c>
      <c r="H55">
        <v>0.85</v>
      </c>
      <c r="I55">
        <v>0</v>
      </c>
      <c r="J55">
        <v>0</v>
      </c>
      <c r="K55">
        <v>0.97</v>
      </c>
      <c r="L55" t="s">
        <v>487</v>
      </c>
      <c r="M55">
        <v>39</v>
      </c>
      <c r="N55">
        <v>40.11</v>
      </c>
      <c r="O55" t="s">
        <v>81</v>
      </c>
      <c r="P55" t="s">
        <v>492</v>
      </c>
      <c r="Q55">
        <v>39</v>
      </c>
      <c r="R55">
        <v>40.11</v>
      </c>
    </row>
    <row r="56" spans="1:18" x14ac:dyDescent="0.35">
      <c r="A56" t="s">
        <v>197</v>
      </c>
      <c r="B56" t="s">
        <v>483</v>
      </c>
      <c r="C56" t="s">
        <v>484</v>
      </c>
      <c r="D56">
        <v>106276317</v>
      </c>
      <c r="E56" t="s">
        <v>523</v>
      </c>
      <c r="F56" t="s">
        <v>486</v>
      </c>
      <c r="G56">
        <v>0.23</v>
      </c>
      <c r="H56">
        <v>7.79</v>
      </c>
      <c r="I56">
        <v>0.14000000000000001</v>
      </c>
      <c r="J56">
        <v>0</v>
      </c>
      <c r="K56">
        <v>8.16</v>
      </c>
      <c r="L56" t="s">
        <v>487</v>
      </c>
      <c r="M56">
        <v>354</v>
      </c>
      <c r="N56">
        <v>43.38</v>
      </c>
      <c r="O56" t="s">
        <v>60</v>
      </c>
      <c r="P56" t="s">
        <v>488</v>
      </c>
      <c r="Q56">
        <v>399</v>
      </c>
      <c r="R56">
        <v>1773.33</v>
      </c>
    </row>
    <row r="57" spans="1:18" x14ac:dyDescent="0.35">
      <c r="A57" t="s">
        <v>197</v>
      </c>
      <c r="B57" t="s">
        <v>483</v>
      </c>
      <c r="C57" t="s">
        <v>484</v>
      </c>
      <c r="D57">
        <v>106276317</v>
      </c>
      <c r="E57" t="s">
        <v>523</v>
      </c>
      <c r="F57" t="s">
        <v>486</v>
      </c>
      <c r="G57">
        <v>0.23</v>
      </c>
      <c r="H57">
        <v>7.79</v>
      </c>
      <c r="I57">
        <v>0.14000000000000001</v>
      </c>
      <c r="J57">
        <v>0</v>
      </c>
      <c r="K57">
        <v>8.16</v>
      </c>
      <c r="L57" t="s">
        <v>487</v>
      </c>
      <c r="M57">
        <v>354</v>
      </c>
      <c r="N57">
        <v>43.38</v>
      </c>
      <c r="O57" t="s">
        <v>60</v>
      </c>
      <c r="P57" t="s">
        <v>489</v>
      </c>
      <c r="Q57">
        <v>2518</v>
      </c>
      <c r="R57">
        <v>323.13</v>
      </c>
    </row>
    <row r="58" spans="1:18" x14ac:dyDescent="0.35">
      <c r="A58" t="s">
        <v>197</v>
      </c>
      <c r="B58" t="s">
        <v>483</v>
      </c>
      <c r="C58" t="s">
        <v>484</v>
      </c>
      <c r="D58">
        <v>106276317</v>
      </c>
      <c r="E58" t="s">
        <v>523</v>
      </c>
      <c r="F58" t="s">
        <v>486</v>
      </c>
      <c r="G58">
        <v>0.23</v>
      </c>
      <c r="H58">
        <v>7.79</v>
      </c>
      <c r="I58">
        <v>0.14000000000000001</v>
      </c>
      <c r="J58">
        <v>0</v>
      </c>
      <c r="K58">
        <v>8.16</v>
      </c>
      <c r="L58" t="s">
        <v>487</v>
      </c>
      <c r="M58">
        <v>354</v>
      </c>
      <c r="N58">
        <v>43.38</v>
      </c>
      <c r="O58" t="s">
        <v>60</v>
      </c>
      <c r="P58" t="s">
        <v>490</v>
      </c>
      <c r="Q58">
        <v>22</v>
      </c>
      <c r="R58">
        <v>154.09</v>
      </c>
    </row>
    <row r="59" spans="1:18" x14ac:dyDescent="0.35">
      <c r="A59" t="s">
        <v>197</v>
      </c>
      <c r="B59" t="s">
        <v>483</v>
      </c>
      <c r="C59" t="s">
        <v>484</v>
      </c>
      <c r="D59">
        <v>106276317</v>
      </c>
      <c r="E59" t="s">
        <v>523</v>
      </c>
      <c r="F59" t="s">
        <v>486</v>
      </c>
      <c r="G59">
        <v>0.23</v>
      </c>
      <c r="H59">
        <v>7.79</v>
      </c>
      <c r="I59">
        <v>0.14000000000000001</v>
      </c>
      <c r="J59">
        <v>0</v>
      </c>
      <c r="K59">
        <v>8.16</v>
      </c>
      <c r="L59" t="s">
        <v>487</v>
      </c>
      <c r="M59">
        <v>354</v>
      </c>
      <c r="N59">
        <v>43.38</v>
      </c>
      <c r="O59" t="s">
        <v>60</v>
      </c>
      <c r="P59" t="s">
        <v>491</v>
      </c>
      <c r="Q59">
        <v>0</v>
      </c>
      <c r="R59">
        <v>0</v>
      </c>
    </row>
    <row r="60" spans="1:18" x14ac:dyDescent="0.35">
      <c r="A60" t="s">
        <v>197</v>
      </c>
      <c r="B60" t="s">
        <v>483</v>
      </c>
      <c r="C60" t="s">
        <v>484</v>
      </c>
      <c r="D60">
        <v>106276317</v>
      </c>
      <c r="E60" t="s">
        <v>523</v>
      </c>
      <c r="F60" t="s">
        <v>486</v>
      </c>
      <c r="G60">
        <v>0.23</v>
      </c>
      <c r="H60">
        <v>7.79</v>
      </c>
      <c r="I60">
        <v>0.14000000000000001</v>
      </c>
      <c r="J60">
        <v>0</v>
      </c>
      <c r="K60">
        <v>8.16</v>
      </c>
      <c r="L60" t="s">
        <v>487</v>
      </c>
      <c r="M60">
        <v>354</v>
      </c>
      <c r="N60">
        <v>43.38</v>
      </c>
      <c r="O60" t="s">
        <v>60</v>
      </c>
      <c r="P60" t="s">
        <v>492</v>
      </c>
      <c r="Q60">
        <v>2939</v>
      </c>
      <c r="R60">
        <v>360.13</v>
      </c>
    </row>
    <row r="61" spans="1:18" x14ac:dyDescent="0.35">
      <c r="A61" t="s">
        <v>197</v>
      </c>
      <c r="B61" t="s">
        <v>483</v>
      </c>
      <c r="C61" t="s">
        <v>484</v>
      </c>
      <c r="D61">
        <v>106276317</v>
      </c>
      <c r="E61" t="s">
        <v>523</v>
      </c>
      <c r="F61" t="s">
        <v>486</v>
      </c>
      <c r="G61">
        <v>0.23</v>
      </c>
      <c r="H61">
        <v>7.79</v>
      </c>
      <c r="I61">
        <v>0.14000000000000001</v>
      </c>
      <c r="J61">
        <v>0</v>
      </c>
      <c r="K61">
        <v>8.16</v>
      </c>
      <c r="L61" t="s">
        <v>487</v>
      </c>
      <c r="M61">
        <v>354</v>
      </c>
      <c r="N61">
        <v>43.38</v>
      </c>
      <c r="O61" t="s">
        <v>81</v>
      </c>
      <c r="P61" t="s">
        <v>492</v>
      </c>
      <c r="Q61">
        <v>354</v>
      </c>
      <c r="R61">
        <v>43.38</v>
      </c>
    </row>
    <row r="62" spans="1:18" x14ac:dyDescent="0.35">
      <c r="A62" t="s">
        <v>197</v>
      </c>
      <c r="B62" t="s">
        <v>483</v>
      </c>
      <c r="C62" t="s">
        <v>484</v>
      </c>
      <c r="D62">
        <v>106488400</v>
      </c>
      <c r="E62" t="s">
        <v>524</v>
      </c>
      <c r="F62" t="s">
        <v>497</v>
      </c>
      <c r="G62">
        <v>0</v>
      </c>
      <c r="H62">
        <v>5.96</v>
      </c>
      <c r="I62">
        <v>0.01</v>
      </c>
      <c r="J62">
        <v>0</v>
      </c>
      <c r="K62">
        <v>5.97</v>
      </c>
      <c r="L62" t="s">
        <v>487</v>
      </c>
      <c r="M62">
        <v>226</v>
      </c>
      <c r="N62">
        <v>37.840000000000003</v>
      </c>
      <c r="O62" t="s">
        <v>60</v>
      </c>
      <c r="P62" t="s">
        <v>488</v>
      </c>
      <c r="Q62">
        <v>0</v>
      </c>
      <c r="R62">
        <v>0</v>
      </c>
    </row>
    <row r="63" spans="1:18" x14ac:dyDescent="0.35">
      <c r="A63" t="s">
        <v>197</v>
      </c>
      <c r="B63" t="s">
        <v>483</v>
      </c>
      <c r="C63" t="s">
        <v>484</v>
      </c>
      <c r="D63">
        <v>106488400</v>
      </c>
      <c r="E63" t="s">
        <v>524</v>
      </c>
      <c r="F63" t="s">
        <v>497</v>
      </c>
      <c r="G63">
        <v>0</v>
      </c>
      <c r="H63">
        <v>5.96</v>
      </c>
      <c r="I63">
        <v>0.01</v>
      </c>
      <c r="J63">
        <v>0</v>
      </c>
      <c r="K63">
        <v>5.97</v>
      </c>
      <c r="L63" t="s">
        <v>487</v>
      </c>
      <c r="M63">
        <v>226</v>
      </c>
      <c r="N63">
        <v>37.840000000000003</v>
      </c>
      <c r="O63" t="s">
        <v>60</v>
      </c>
      <c r="P63" t="s">
        <v>489</v>
      </c>
      <c r="Q63">
        <v>1729</v>
      </c>
      <c r="R63">
        <v>289.87</v>
      </c>
    </row>
    <row r="64" spans="1:18" x14ac:dyDescent="0.35">
      <c r="A64" t="s">
        <v>197</v>
      </c>
      <c r="B64" t="s">
        <v>483</v>
      </c>
      <c r="C64" t="s">
        <v>484</v>
      </c>
      <c r="D64">
        <v>106488400</v>
      </c>
      <c r="E64" t="s">
        <v>524</v>
      </c>
      <c r="F64" t="s">
        <v>497</v>
      </c>
      <c r="G64">
        <v>0</v>
      </c>
      <c r="H64">
        <v>5.96</v>
      </c>
      <c r="I64">
        <v>0.01</v>
      </c>
      <c r="J64">
        <v>0</v>
      </c>
      <c r="K64">
        <v>5.97</v>
      </c>
      <c r="L64" t="s">
        <v>487</v>
      </c>
      <c r="M64">
        <v>226</v>
      </c>
      <c r="N64">
        <v>37.840000000000003</v>
      </c>
      <c r="O64" t="s">
        <v>60</v>
      </c>
      <c r="P64" t="s">
        <v>490</v>
      </c>
      <c r="Q64">
        <v>1</v>
      </c>
      <c r="R64">
        <v>138.46</v>
      </c>
    </row>
    <row r="65" spans="1:18" x14ac:dyDescent="0.35">
      <c r="A65" t="s">
        <v>197</v>
      </c>
      <c r="B65" t="s">
        <v>483</v>
      </c>
      <c r="C65" t="s">
        <v>484</v>
      </c>
      <c r="D65">
        <v>106488400</v>
      </c>
      <c r="E65" t="s">
        <v>524</v>
      </c>
      <c r="F65" t="s">
        <v>497</v>
      </c>
      <c r="G65">
        <v>0</v>
      </c>
      <c r="H65">
        <v>5.96</v>
      </c>
      <c r="I65">
        <v>0.01</v>
      </c>
      <c r="J65">
        <v>0</v>
      </c>
      <c r="K65">
        <v>5.97</v>
      </c>
      <c r="L65" t="s">
        <v>487</v>
      </c>
      <c r="M65">
        <v>226</v>
      </c>
      <c r="N65">
        <v>37.840000000000003</v>
      </c>
      <c r="O65" t="s">
        <v>60</v>
      </c>
      <c r="P65" t="s">
        <v>491</v>
      </c>
      <c r="Q65">
        <v>0</v>
      </c>
      <c r="R65">
        <v>0</v>
      </c>
    </row>
    <row r="66" spans="1:18" x14ac:dyDescent="0.35">
      <c r="A66" t="s">
        <v>197</v>
      </c>
      <c r="B66" t="s">
        <v>483</v>
      </c>
      <c r="C66" t="s">
        <v>484</v>
      </c>
      <c r="D66">
        <v>106488400</v>
      </c>
      <c r="E66" t="s">
        <v>524</v>
      </c>
      <c r="F66" t="s">
        <v>497</v>
      </c>
      <c r="G66">
        <v>0</v>
      </c>
      <c r="H66">
        <v>5.96</v>
      </c>
      <c r="I66">
        <v>0.01</v>
      </c>
      <c r="J66">
        <v>0</v>
      </c>
      <c r="K66">
        <v>5.97</v>
      </c>
      <c r="L66" t="s">
        <v>487</v>
      </c>
      <c r="M66">
        <v>226</v>
      </c>
      <c r="N66">
        <v>37.840000000000003</v>
      </c>
      <c r="O66" t="s">
        <v>60</v>
      </c>
      <c r="P66" t="s">
        <v>492</v>
      </c>
      <c r="Q66">
        <v>1730</v>
      </c>
      <c r="R66">
        <v>289.67</v>
      </c>
    </row>
    <row r="67" spans="1:18" x14ac:dyDescent="0.35">
      <c r="A67" t="s">
        <v>197</v>
      </c>
      <c r="B67" t="s">
        <v>483</v>
      </c>
      <c r="C67" t="s">
        <v>484</v>
      </c>
      <c r="D67">
        <v>106488400</v>
      </c>
      <c r="E67" t="s">
        <v>524</v>
      </c>
      <c r="F67" t="s">
        <v>497</v>
      </c>
      <c r="G67">
        <v>0</v>
      </c>
      <c r="H67">
        <v>5.96</v>
      </c>
      <c r="I67">
        <v>0.01</v>
      </c>
      <c r="J67">
        <v>0</v>
      </c>
      <c r="K67">
        <v>5.97</v>
      </c>
      <c r="L67" t="s">
        <v>487</v>
      </c>
      <c r="M67">
        <v>226</v>
      </c>
      <c r="N67">
        <v>37.840000000000003</v>
      </c>
      <c r="O67" t="s">
        <v>81</v>
      </c>
      <c r="P67" t="s">
        <v>492</v>
      </c>
      <c r="Q67">
        <v>226</v>
      </c>
      <c r="R67">
        <v>37.840000000000003</v>
      </c>
    </row>
    <row r="68" spans="1:18" x14ac:dyDescent="0.35">
      <c r="A68" t="s">
        <v>197</v>
      </c>
      <c r="B68" t="s">
        <v>483</v>
      </c>
      <c r="C68" t="s">
        <v>493</v>
      </c>
      <c r="D68">
        <v>106513473</v>
      </c>
      <c r="E68" t="s">
        <v>525</v>
      </c>
      <c r="F68" t="s">
        <v>486</v>
      </c>
      <c r="G68">
        <v>0.23</v>
      </c>
      <c r="H68">
        <v>0.6</v>
      </c>
      <c r="I68">
        <v>0</v>
      </c>
      <c r="J68">
        <v>0</v>
      </c>
      <c r="K68">
        <v>0.83</v>
      </c>
      <c r="L68" t="s">
        <v>487</v>
      </c>
      <c r="M68">
        <v>32</v>
      </c>
      <c r="N68">
        <v>38.71</v>
      </c>
      <c r="O68" t="s">
        <v>60</v>
      </c>
      <c r="P68" t="s">
        <v>488</v>
      </c>
      <c r="Q68">
        <v>310</v>
      </c>
      <c r="R68">
        <v>1364.3</v>
      </c>
    </row>
    <row r="69" spans="1:18" x14ac:dyDescent="0.35">
      <c r="A69" t="s">
        <v>197</v>
      </c>
      <c r="B69" t="s">
        <v>483</v>
      </c>
      <c r="C69" t="s">
        <v>493</v>
      </c>
      <c r="D69">
        <v>106513473</v>
      </c>
      <c r="E69" t="s">
        <v>525</v>
      </c>
      <c r="F69" t="s">
        <v>486</v>
      </c>
      <c r="G69">
        <v>0.23</v>
      </c>
      <c r="H69">
        <v>0.6</v>
      </c>
      <c r="I69">
        <v>0</v>
      </c>
      <c r="J69">
        <v>0</v>
      </c>
      <c r="K69">
        <v>0.83</v>
      </c>
      <c r="L69" t="s">
        <v>487</v>
      </c>
      <c r="M69">
        <v>32</v>
      </c>
      <c r="N69">
        <v>38.71</v>
      </c>
      <c r="O69" t="s">
        <v>60</v>
      </c>
      <c r="P69" t="s">
        <v>489</v>
      </c>
      <c r="Q69">
        <v>149</v>
      </c>
      <c r="R69">
        <v>248.68</v>
      </c>
    </row>
    <row r="70" spans="1:18" x14ac:dyDescent="0.35">
      <c r="A70" t="s">
        <v>197</v>
      </c>
      <c r="B70" t="s">
        <v>483</v>
      </c>
      <c r="C70" t="s">
        <v>493</v>
      </c>
      <c r="D70">
        <v>106513473</v>
      </c>
      <c r="E70" t="s">
        <v>525</v>
      </c>
      <c r="F70" t="s">
        <v>486</v>
      </c>
      <c r="G70">
        <v>0.23</v>
      </c>
      <c r="H70">
        <v>0.6</v>
      </c>
      <c r="I70">
        <v>0</v>
      </c>
      <c r="J70">
        <v>0</v>
      </c>
      <c r="K70">
        <v>0.83</v>
      </c>
      <c r="L70" t="s">
        <v>487</v>
      </c>
      <c r="M70">
        <v>32</v>
      </c>
      <c r="N70">
        <v>38.71</v>
      </c>
      <c r="O70" t="s">
        <v>60</v>
      </c>
      <c r="P70" t="s">
        <v>490</v>
      </c>
      <c r="Q70">
        <v>0</v>
      </c>
      <c r="R70">
        <v>0</v>
      </c>
    </row>
    <row r="71" spans="1:18" x14ac:dyDescent="0.35">
      <c r="A71" t="s">
        <v>197</v>
      </c>
      <c r="B71" t="s">
        <v>483</v>
      </c>
      <c r="C71" t="s">
        <v>493</v>
      </c>
      <c r="D71">
        <v>106513473</v>
      </c>
      <c r="E71" t="s">
        <v>525</v>
      </c>
      <c r="F71" t="s">
        <v>486</v>
      </c>
      <c r="G71">
        <v>0.23</v>
      </c>
      <c r="H71">
        <v>0.6</v>
      </c>
      <c r="I71">
        <v>0</v>
      </c>
      <c r="J71">
        <v>0</v>
      </c>
      <c r="K71">
        <v>0.83</v>
      </c>
      <c r="L71" t="s">
        <v>487</v>
      </c>
      <c r="M71">
        <v>32</v>
      </c>
      <c r="N71">
        <v>38.71</v>
      </c>
      <c r="O71" t="s">
        <v>60</v>
      </c>
      <c r="P71" t="s">
        <v>491</v>
      </c>
      <c r="Q71">
        <v>0</v>
      </c>
      <c r="R71">
        <v>0</v>
      </c>
    </row>
    <row r="72" spans="1:18" x14ac:dyDescent="0.35">
      <c r="A72" t="s">
        <v>197</v>
      </c>
      <c r="B72" t="s">
        <v>483</v>
      </c>
      <c r="C72" t="s">
        <v>493</v>
      </c>
      <c r="D72">
        <v>106513473</v>
      </c>
      <c r="E72" t="s">
        <v>525</v>
      </c>
      <c r="F72" t="s">
        <v>486</v>
      </c>
      <c r="G72">
        <v>0.23</v>
      </c>
      <c r="H72">
        <v>0.6</v>
      </c>
      <c r="I72">
        <v>0</v>
      </c>
      <c r="J72">
        <v>0</v>
      </c>
      <c r="K72">
        <v>0.83</v>
      </c>
      <c r="L72" t="s">
        <v>487</v>
      </c>
      <c r="M72">
        <v>32</v>
      </c>
      <c r="N72">
        <v>38.71</v>
      </c>
      <c r="O72" t="s">
        <v>60</v>
      </c>
      <c r="P72" t="s">
        <v>492</v>
      </c>
      <c r="Q72">
        <v>459</v>
      </c>
      <c r="R72">
        <v>555.24</v>
      </c>
    </row>
    <row r="73" spans="1:18" x14ac:dyDescent="0.35">
      <c r="A73" t="s">
        <v>197</v>
      </c>
      <c r="B73" t="s">
        <v>483</v>
      </c>
      <c r="C73" t="s">
        <v>493</v>
      </c>
      <c r="D73">
        <v>106513473</v>
      </c>
      <c r="E73" t="s">
        <v>525</v>
      </c>
      <c r="F73" t="s">
        <v>486</v>
      </c>
      <c r="G73">
        <v>0.23</v>
      </c>
      <c r="H73">
        <v>0.6</v>
      </c>
      <c r="I73">
        <v>0</v>
      </c>
      <c r="J73">
        <v>0</v>
      </c>
      <c r="K73">
        <v>0.83</v>
      </c>
      <c r="L73" t="s">
        <v>487</v>
      </c>
      <c r="M73">
        <v>32</v>
      </c>
      <c r="N73">
        <v>38.71</v>
      </c>
      <c r="O73" t="s">
        <v>81</v>
      </c>
      <c r="P73" t="s">
        <v>492</v>
      </c>
      <c r="Q73">
        <v>32</v>
      </c>
      <c r="R73">
        <v>38.71</v>
      </c>
    </row>
    <row r="74" spans="1:18" x14ac:dyDescent="0.35">
      <c r="A74" t="s">
        <v>197</v>
      </c>
      <c r="B74" t="s">
        <v>483</v>
      </c>
      <c r="C74" t="s">
        <v>484</v>
      </c>
      <c r="D74">
        <v>106616226</v>
      </c>
      <c r="E74" t="s">
        <v>526</v>
      </c>
      <c r="F74" t="s">
        <v>486</v>
      </c>
      <c r="G74">
        <v>0.09</v>
      </c>
      <c r="H74">
        <v>2.38</v>
      </c>
      <c r="I74">
        <v>0</v>
      </c>
      <c r="J74">
        <v>0</v>
      </c>
      <c r="K74">
        <v>2.4700000000000002</v>
      </c>
      <c r="L74" t="s">
        <v>487</v>
      </c>
      <c r="M74">
        <v>122</v>
      </c>
      <c r="N74">
        <v>49.31</v>
      </c>
      <c r="O74" t="s">
        <v>60</v>
      </c>
      <c r="P74" t="s">
        <v>488</v>
      </c>
      <c r="Q74">
        <v>260</v>
      </c>
      <c r="R74">
        <v>2862.39</v>
      </c>
    </row>
    <row r="75" spans="1:18" x14ac:dyDescent="0.35">
      <c r="A75" t="s">
        <v>197</v>
      </c>
      <c r="B75" t="s">
        <v>483</v>
      </c>
      <c r="C75" t="s">
        <v>484</v>
      </c>
      <c r="D75">
        <v>106616226</v>
      </c>
      <c r="E75" t="s">
        <v>526</v>
      </c>
      <c r="F75" t="s">
        <v>486</v>
      </c>
      <c r="G75">
        <v>0.09</v>
      </c>
      <c r="H75">
        <v>2.38</v>
      </c>
      <c r="I75">
        <v>0</v>
      </c>
      <c r="J75">
        <v>0</v>
      </c>
      <c r="K75">
        <v>2.4700000000000002</v>
      </c>
      <c r="L75" t="s">
        <v>487</v>
      </c>
      <c r="M75">
        <v>122</v>
      </c>
      <c r="N75">
        <v>49.31</v>
      </c>
      <c r="O75" t="s">
        <v>60</v>
      </c>
      <c r="P75" t="s">
        <v>489</v>
      </c>
      <c r="Q75">
        <v>1244</v>
      </c>
      <c r="R75">
        <v>522.02</v>
      </c>
    </row>
    <row r="76" spans="1:18" x14ac:dyDescent="0.35">
      <c r="A76" t="s">
        <v>197</v>
      </c>
      <c r="B76" t="s">
        <v>483</v>
      </c>
      <c r="C76" t="s">
        <v>484</v>
      </c>
      <c r="D76">
        <v>106616226</v>
      </c>
      <c r="E76" t="s">
        <v>526</v>
      </c>
      <c r="F76" t="s">
        <v>486</v>
      </c>
      <c r="G76">
        <v>0.09</v>
      </c>
      <c r="H76">
        <v>2.38</v>
      </c>
      <c r="I76">
        <v>0</v>
      </c>
      <c r="J76">
        <v>0</v>
      </c>
      <c r="K76">
        <v>2.4700000000000002</v>
      </c>
      <c r="L76" t="s">
        <v>487</v>
      </c>
      <c r="M76">
        <v>122</v>
      </c>
      <c r="N76">
        <v>49.31</v>
      </c>
      <c r="O76" t="s">
        <v>60</v>
      </c>
      <c r="P76" t="s">
        <v>490</v>
      </c>
      <c r="Q76">
        <v>0</v>
      </c>
      <c r="R76">
        <v>0</v>
      </c>
    </row>
    <row r="77" spans="1:18" x14ac:dyDescent="0.35">
      <c r="A77" t="s">
        <v>197</v>
      </c>
      <c r="B77" t="s">
        <v>483</v>
      </c>
      <c r="C77" t="s">
        <v>484</v>
      </c>
      <c r="D77">
        <v>106616226</v>
      </c>
      <c r="E77" t="s">
        <v>526</v>
      </c>
      <c r="F77" t="s">
        <v>486</v>
      </c>
      <c r="G77">
        <v>0.09</v>
      </c>
      <c r="H77">
        <v>2.38</v>
      </c>
      <c r="I77">
        <v>0</v>
      </c>
      <c r="J77">
        <v>0</v>
      </c>
      <c r="K77">
        <v>2.4700000000000002</v>
      </c>
      <c r="L77" t="s">
        <v>487</v>
      </c>
      <c r="M77">
        <v>122</v>
      </c>
      <c r="N77">
        <v>49.31</v>
      </c>
      <c r="O77" t="s">
        <v>60</v>
      </c>
      <c r="P77" t="s">
        <v>491</v>
      </c>
      <c r="Q77">
        <v>0</v>
      </c>
      <c r="R77">
        <v>0</v>
      </c>
    </row>
    <row r="78" spans="1:18" x14ac:dyDescent="0.35">
      <c r="A78" t="s">
        <v>197</v>
      </c>
      <c r="B78" t="s">
        <v>483</v>
      </c>
      <c r="C78" t="s">
        <v>484</v>
      </c>
      <c r="D78">
        <v>106616226</v>
      </c>
      <c r="E78" t="s">
        <v>526</v>
      </c>
      <c r="F78" t="s">
        <v>486</v>
      </c>
      <c r="G78">
        <v>0.09</v>
      </c>
      <c r="H78">
        <v>2.38</v>
      </c>
      <c r="I78">
        <v>0</v>
      </c>
      <c r="J78">
        <v>0</v>
      </c>
      <c r="K78">
        <v>2.4700000000000002</v>
      </c>
      <c r="L78" t="s">
        <v>487</v>
      </c>
      <c r="M78">
        <v>122</v>
      </c>
      <c r="N78">
        <v>49.31</v>
      </c>
      <c r="O78" t="s">
        <v>60</v>
      </c>
      <c r="P78" t="s">
        <v>492</v>
      </c>
      <c r="Q78">
        <v>1504</v>
      </c>
      <c r="R78">
        <v>607.88</v>
      </c>
    </row>
    <row r="79" spans="1:18" x14ac:dyDescent="0.35">
      <c r="A79" t="s">
        <v>197</v>
      </c>
      <c r="B79" t="s">
        <v>483</v>
      </c>
      <c r="C79" t="s">
        <v>484</v>
      </c>
      <c r="D79">
        <v>106616226</v>
      </c>
      <c r="E79" t="s">
        <v>526</v>
      </c>
      <c r="F79" t="s">
        <v>486</v>
      </c>
      <c r="G79">
        <v>0.09</v>
      </c>
      <c r="H79">
        <v>2.38</v>
      </c>
      <c r="I79">
        <v>0</v>
      </c>
      <c r="J79">
        <v>0</v>
      </c>
      <c r="K79">
        <v>2.4700000000000002</v>
      </c>
      <c r="L79" t="s">
        <v>487</v>
      </c>
      <c r="M79">
        <v>122</v>
      </c>
      <c r="N79">
        <v>49.31</v>
      </c>
      <c r="O79" t="s">
        <v>81</v>
      </c>
      <c r="P79" t="s">
        <v>492</v>
      </c>
      <c r="Q79">
        <v>122</v>
      </c>
      <c r="R79">
        <v>49.31</v>
      </c>
    </row>
    <row r="80" spans="1:18" x14ac:dyDescent="0.35">
      <c r="A80" t="s">
        <v>197</v>
      </c>
      <c r="B80" t="s">
        <v>483</v>
      </c>
      <c r="C80" t="s">
        <v>493</v>
      </c>
      <c r="D80">
        <v>106636925</v>
      </c>
      <c r="E80" t="s">
        <v>557</v>
      </c>
      <c r="F80" t="s">
        <v>486</v>
      </c>
      <c r="G80">
        <v>0.09</v>
      </c>
      <c r="H80">
        <v>1.87</v>
      </c>
      <c r="I80">
        <v>0</v>
      </c>
      <c r="J80">
        <v>0</v>
      </c>
      <c r="K80">
        <v>1.96</v>
      </c>
      <c r="L80" t="s">
        <v>487</v>
      </c>
      <c r="M80">
        <v>69</v>
      </c>
      <c r="N80">
        <v>35.19</v>
      </c>
      <c r="O80" t="s">
        <v>60</v>
      </c>
      <c r="P80" t="s">
        <v>488</v>
      </c>
      <c r="Q80">
        <v>148</v>
      </c>
      <c r="R80">
        <v>1614.55</v>
      </c>
    </row>
    <row r="81" spans="1:18" x14ac:dyDescent="0.35">
      <c r="A81" t="s">
        <v>197</v>
      </c>
      <c r="B81" t="s">
        <v>483</v>
      </c>
      <c r="C81" t="s">
        <v>493</v>
      </c>
      <c r="D81">
        <v>106636925</v>
      </c>
      <c r="E81" t="s">
        <v>557</v>
      </c>
      <c r="F81" t="s">
        <v>486</v>
      </c>
      <c r="G81">
        <v>0.09</v>
      </c>
      <c r="H81">
        <v>1.87</v>
      </c>
      <c r="I81">
        <v>0</v>
      </c>
      <c r="J81">
        <v>0</v>
      </c>
      <c r="K81">
        <v>1.96</v>
      </c>
      <c r="L81" t="s">
        <v>487</v>
      </c>
      <c r="M81">
        <v>69</v>
      </c>
      <c r="N81">
        <v>35.19</v>
      </c>
      <c r="O81" t="s">
        <v>60</v>
      </c>
      <c r="P81" t="s">
        <v>489</v>
      </c>
      <c r="Q81">
        <v>550</v>
      </c>
      <c r="R81">
        <v>294.33999999999997</v>
      </c>
    </row>
    <row r="82" spans="1:18" x14ac:dyDescent="0.35">
      <c r="A82" t="s">
        <v>197</v>
      </c>
      <c r="B82" t="s">
        <v>483</v>
      </c>
      <c r="C82" t="s">
        <v>493</v>
      </c>
      <c r="D82">
        <v>106636925</v>
      </c>
      <c r="E82" t="s">
        <v>557</v>
      </c>
      <c r="F82" t="s">
        <v>486</v>
      </c>
      <c r="G82">
        <v>0.09</v>
      </c>
      <c r="H82">
        <v>1.87</v>
      </c>
      <c r="I82">
        <v>0</v>
      </c>
      <c r="J82">
        <v>0</v>
      </c>
      <c r="K82">
        <v>1.96</v>
      </c>
      <c r="L82" t="s">
        <v>487</v>
      </c>
      <c r="M82">
        <v>69</v>
      </c>
      <c r="N82">
        <v>35.19</v>
      </c>
      <c r="O82" t="s">
        <v>60</v>
      </c>
      <c r="P82" t="s">
        <v>490</v>
      </c>
      <c r="Q82">
        <v>0</v>
      </c>
      <c r="R82">
        <v>0</v>
      </c>
    </row>
    <row r="83" spans="1:18" x14ac:dyDescent="0.35">
      <c r="A83" t="s">
        <v>197</v>
      </c>
      <c r="B83" t="s">
        <v>483</v>
      </c>
      <c r="C83" t="s">
        <v>493</v>
      </c>
      <c r="D83">
        <v>106636925</v>
      </c>
      <c r="E83" t="s">
        <v>557</v>
      </c>
      <c r="F83" t="s">
        <v>486</v>
      </c>
      <c r="G83">
        <v>0.09</v>
      </c>
      <c r="H83">
        <v>1.87</v>
      </c>
      <c r="I83">
        <v>0</v>
      </c>
      <c r="J83">
        <v>0</v>
      </c>
      <c r="K83">
        <v>1.96</v>
      </c>
      <c r="L83" t="s">
        <v>487</v>
      </c>
      <c r="M83">
        <v>69</v>
      </c>
      <c r="N83">
        <v>35.19</v>
      </c>
      <c r="O83" t="s">
        <v>60</v>
      </c>
      <c r="P83" t="s">
        <v>491</v>
      </c>
      <c r="Q83">
        <v>0</v>
      </c>
      <c r="R83">
        <v>0</v>
      </c>
    </row>
    <row r="84" spans="1:18" x14ac:dyDescent="0.35">
      <c r="A84" t="s">
        <v>197</v>
      </c>
      <c r="B84" t="s">
        <v>483</v>
      </c>
      <c r="C84" t="s">
        <v>493</v>
      </c>
      <c r="D84">
        <v>106636925</v>
      </c>
      <c r="E84" t="s">
        <v>557</v>
      </c>
      <c r="F84" t="s">
        <v>486</v>
      </c>
      <c r="G84">
        <v>0.09</v>
      </c>
      <c r="H84">
        <v>1.87</v>
      </c>
      <c r="I84">
        <v>0</v>
      </c>
      <c r="J84">
        <v>0</v>
      </c>
      <c r="K84">
        <v>1.96</v>
      </c>
      <c r="L84" t="s">
        <v>487</v>
      </c>
      <c r="M84">
        <v>69</v>
      </c>
      <c r="N84">
        <v>35.19</v>
      </c>
      <c r="O84" t="s">
        <v>60</v>
      </c>
      <c r="P84" t="s">
        <v>492</v>
      </c>
      <c r="Q84">
        <v>698</v>
      </c>
      <c r="R84">
        <v>356.02</v>
      </c>
    </row>
    <row r="85" spans="1:18" x14ac:dyDescent="0.35">
      <c r="A85" t="s">
        <v>197</v>
      </c>
      <c r="B85" t="s">
        <v>483</v>
      </c>
      <c r="C85" t="s">
        <v>493</v>
      </c>
      <c r="D85">
        <v>106636925</v>
      </c>
      <c r="E85" t="s">
        <v>557</v>
      </c>
      <c r="F85" t="s">
        <v>486</v>
      </c>
      <c r="G85">
        <v>0.09</v>
      </c>
      <c r="H85">
        <v>1.87</v>
      </c>
      <c r="I85">
        <v>0</v>
      </c>
      <c r="J85">
        <v>0</v>
      </c>
      <c r="K85">
        <v>1.96</v>
      </c>
      <c r="L85" t="s">
        <v>487</v>
      </c>
      <c r="M85">
        <v>69</v>
      </c>
      <c r="N85">
        <v>35.19</v>
      </c>
      <c r="O85" t="s">
        <v>81</v>
      </c>
      <c r="P85" t="s">
        <v>492</v>
      </c>
      <c r="Q85">
        <v>69</v>
      </c>
      <c r="R85">
        <v>35.19</v>
      </c>
    </row>
    <row r="86" spans="1:18" x14ac:dyDescent="0.35">
      <c r="A86" t="s">
        <v>197</v>
      </c>
      <c r="B86" t="s">
        <v>483</v>
      </c>
      <c r="C86" t="s">
        <v>493</v>
      </c>
      <c r="D86">
        <v>106686591</v>
      </c>
      <c r="E86" t="s">
        <v>587</v>
      </c>
      <c r="F86" t="s">
        <v>486</v>
      </c>
      <c r="G86">
        <v>0.46</v>
      </c>
      <c r="H86">
        <v>5.56</v>
      </c>
      <c r="I86">
        <v>0.13</v>
      </c>
      <c r="J86">
        <v>0</v>
      </c>
      <c r="K86">
        <v>6.15</v>
      </c>
      <c r="L86" t="s">
        <v>487</v>
      </c>
      <c r="M86">
        <v>197</v>
      </c>
      <c r="N86">
        <v>32.04</v>
      </c>
      <c r="O86" t="s">
        <v>60</v>
      </c>
      <c r="P86" t="s">
        <v>488</v>
      </c>
      <c r="Q86">
        <v>501</v>
      </c>
      <c r="R86">
        <v>1079.3499999999999</v>
      </c>
    </row>
    <row r="87" spans="1:18" x14ac:dyDescent="0.35">
      <c r="A87" t="s">
        <v>197</v>
      </c>
      <c r="B87" t="s">
        <v>483</v>
      </c>
      <c r="C87" t="s">
        <v>493</v>
      </c>
      <c r="D87">
        <v>106686591</v>
      </c>
      <c r="E87" t="s">
        <v>587</v>
      </c>
      <c r="F87" t="s">
        <v>486</v>
      </c>
      <c r="G87">
        <v>0.46</v>
      </c>
      <c r="H87">
        <v>5.56</v>
      </c>
      <c r="I87">
        <v>0.13</v>
      </c>
      <c r="J87">
        <v>0</v>
      </c>
      <c r="K87">
        <v>6.15</v>
      </c>
      <c r="L87" t="s">
        <v>487</v>
      </c>
      <c r="M87">
        <v>197</v>
      </c>
      <c r="N87">
        <v>32.04</v>
      </c>
      <c r="O87" t="s">
        <v>60</v>
      </c>
      <c r="P87" t="s">
        <v>489</v>
      </c>
      <c r="Q87">
        <v>1094</v>
      </c>
      <c r="R87">
        <v>196.86</v>
      </c>
    </row>
    <row r="88" spans="1:18" x14ac:dyDescent="0.35">
      <c r="A88" t="s">
        <v>197</v>
      </c>
      <c r="B88" t="s">
        <v>483</v>
      </c>
      <c r="C88" t="s">
        <v>493</v>
      </c>
      <c r="D88">
        <v>106686591</v>
      </c>
      <c r="E88" t="s">
        <v>587</v>
      </c>
      <c r="F88" t="s">
        <v>486</v>
      </c>
      <c r="G88">
        <v>0.46</v>
      </c>
      <c r="H88">
        <v>5.56</v>
      </c>
      <c r="I88">
        <v>0.13</v>
      </c>
      <c r="J88">
        <v>0</v>
      </c>
      <c r="K88">
        <v>6.15</v>
      </c>
      <c r="L88" t="s">
        <v>487</v>
      </c>
      <c r="M88">
        <v>197</v>
      </c>
      <c r="N88">
        <v>32.04</v>
      </c>
      <c r="O88" t="s">
        <v>60</v>
      </c>
      <c r="P88" t="s">
        <v>490</v>
      </c>
      <c r="Q88">
        <v>12</v>
      </c>
      <c r="R88">
        <v>93.91</v>
      </c>
    </row>
    <row r="89" spans="1:18" x14ac:dyDescent="0.35">
      <c r="A89" t="s">
        <v>197</v>
      </c>
      <c r="B89" t="s">
        <v>483</v>
      </c>
      <c r="C89" t="s">
        <v>493</v>
      </c>
      <c r="D89">
        <v>106686591</v>
      </c>
      <c r="E89" t="s">
        <v>587</v>
      </c>
      <c r="F89" t="s">
        <v>486</v>
      </c>
      <c r="G89">
        <v>0.46</v>
      </c>
      <c r="H89">
        <v>5.56</v>
      </c>
      <c r="I89">
        <v>0.13</v>
      </c>
      <c r="J89">
        <v>0</v>
      </c>
      <c r="K89">
        <v>6.15</v>
      </c>
      <c r="L89" t="s">
        <v>487</v>
      </c>
      <c r="M89">
        <v>197</v>
      </c>
      <c r="N89">
        <v>32.04</v>
      </c>
      <c r="O89" t="s">
        <v>60</v>
      </c>
      <c r="P89" t="s">
        <v>491</v>
      </c>
      <c r="Q89">
        <v>0</v>
      </c>
      <c r="R89">
        <v>0</v>
      </c>
    </row>
    <row r="90" spans="1:18" x14ac:dyDescent="0.35">
      <c r="A90" t="s">
        <v>197</v>
      </c>
      <c r="B90" t="s">
        <v>483</v>
      </c>
      <c r="C90" t="s">
        <v>493</v>
      </c>
      <c r="D90">
        <v>106686591</v>
      </c>
      <c r="E90" t="s">
        <v>587</v>
      </c>
      <c r="F90" t="s">
        <v>486</v>
      </c>
      <c r="G90">
        <v>0.46</v>
      </c>
      <c r="H90">
        <v>5.56</v>
      </c>
      <c r="I90">
        <v>0.13</v>
      </c>
      <c r="J90">
        <v>0</v>
      </c>
      <c r="K90">
        <v>6.15</v>
      </c>
      <c r="L90" t="s">
        <v>487</v>
      </c>
      <c r="M90">
        <v>197</v>
      </c>
      <c r="N90">
        <v>32.04</v>
      </c>
      <c r="O90" t="s">
        <v>60</v>
      </c>
      <c r="P90" t="s">
        <v>492</v>
      </c>
      <c r="Q90">
        <v>1607</v>
      </c>
      <c r="R90">
        <v>261.32</v>
      </c>
    </row>
    <row r="91" spans="1:18" x14ac:dyDescent="0.35">
      <c r="A91" t="s">
        <v>197</v>
      </c>
      <c r="B91" t="s">
        <v>483</v>
      </c>
      <c r="C91" t="s">
        <v>493</v>
      </c>
      <c r="D91">
        <v>106686591</v>
      </c>
      <c r="E91" t="s">
        <v>587</v>
      </c>
      <c r="F91" t="s">
        <v>486</v>
      </c>
      <c r="G91">
        <v>0.46</v>
      </c>
      <c r="H91">
        <v>5.56</v>
      </c>
      <c r="I91">
        <v>0.13</v>
      </c>
      <c r="J91">
        <v>0</v>
      </c>
      <c r="K91">
        <v>6.15</v>
      </c>
      <c r="L91" t="s">
        <v>487</v>
      </c>
      <c r="M91">
        <v>197</v>
      </c>
      <c r="N91">
        <v>32.04</v>
      </c>
      <c r="O91" t="s">
        <v>81</v>
      </c>
      <c r="P91" t="s">
        <v>492</v>
      </c>
      <c r="Q91">
        <v>197</v>
      </c>
      <c r="R91">
        <v>32.04</v>
      </c>
    </row>
    <row r="92" spans="1:18" x14ac:dyDescent="0.35">
      <c r="A92" t="s">
        <v>197</v>
      </c>
      <c r="B92" t="s">
        <v>483</v>
      </c>
      <c r="C92" t="s">
        <v>493</v>
      </c>
      <c r="D92">
        <v>107221179</v>
      </c>
      <c r="E92" t="s">
        <v>500</v>
      </c>
      <c r="F92" t="s">
        <v>486</v>
      </c>
      <c r="G92">
        <v>0.14000000000000001</v>
      </c>
      <c r="H92">
        <v>4.97</v>
      </c>
      <c r="I92">
        <v>0</v>
      </c>
      <c r="J92">
        <v>0</v>
      </c>
      <c r="K92">
        <v>5.0999999999999996</v>
      </c>
      <c r="L92" t="s">
        <v>487</v>
      </c>
      <c r="M92">
        <v>227</v>
      </c>
      <c r="N92">
        <v>44.49</v>
      </c>
      <c r="O92" t="s">
        <v>60</v>
      </c>
      <c r="P92" t="s">
        <v>488</v>
      </c>
      <c r="Q92">
        <v>200</v>
      </c>
      <c r="R92">
        <v>1478.44</v>
      </c>
    </row>
    <row r="93" spans="1:18" x14ac:dyDescent="0.35">
      <c r="A93" t="s">
        <v>197</v>
      </c>
      <c r="B93" t="s">
        <v>483</v>
      </c>
      <c r="C93" t="s">
        <v>493</v>
      </c>
      <c r="D93">
        <v>107221179</v>
      </c>
      <c r="E93" t="s">
        <v>500</v>
      </c>
      <c r="F93" t="s">
        <v>486</v>
      </c>
      <c r="G93">
        <v>0.14000000000000001</v>
      </c>
      <c r="H93">
        <v>4.97</v>
      </c>
      <c r="I93">
        <v>0</v>
      </c>
      <c r="J93">
        <v>0</v>
      </c>
      <c r="K93">
        <v>5.0999999999999996</v>
      </c>
      <c r="L93" t="s">
        <v>487</v>
      </c>
      <c r="M93">
        <v>227</v>
      </c>
      <c r="N93">
        <v>44.49</v>
      </c>
      <c r="O93" t="s">
        <v>60</v>
      </c>
      <c r="P93" t="s">
        <v>489</v>
      </c>
      <c r="Q93">
        <v>1338</v>
      </c>
      <c r="R93">
        <v>269.38</v>
      </c>
    </row>
    <row r="94" spans="1:18" x14ac:dyDescent="0.35">
      <c r="A94" t="s">
        <v>197</v>
      </c>
      <c r="B94" t="s">
        <v>483</v>
      </c>
      <c r="C94" t="s">
        <v>493</v>
      </c>
      <c r="D94">
        <v>107221179</v>
      </c>
      <c r="E94" t="s">
        <v>500</v>
      </c>
      <c r="F94" t="s">
        <v>486</v>
      </c>
      <c r="G94">
        <v>0.14000000000000001</v>
      </c>
      <c r="H94">
        <v>4.97</v>
      </c>
      <c r="I94">
        <v>0</v>
      </c>
      <c r="J94">
        <v>0</v>
      </c>
      <c r="K94">
        <v>5.0999999999999996</v>
      </c>
      <c r="L94" t="s">
        <v>487</v>
      </c>
      <c r="M94">
        <v>227</v>
      </c>
      <c r="N94">
        <v>44.49</v>
      </c>
      <c r="O94" t="s">
        <v>60</v>
      </c>
      <c r="P94" t="s">
        <v>490</v>
      </c>
      <c r="Q94">
        <v>0</v>
      </c>
      <c r="R94">
        <v>0</v>
      </c>
    </row>
    <row r="95" spans="1:18" x14ac:dyDescent="0.35">
      <c r="A95" t="s">
        <v>197</v>
      </c>
      <c r="B95" t="s">
        <v>483</v>
      </c>
      <c r="C95" t="s">
        <v>493</v>
      </c>
      <c r="D95">
        <v>107221179</v>
      </c>
      <c r="E95" t="s">
        <v>500</v>
      </c>
      <c r="F95" t="s">
        <v>486</v>
      </c>
      <c r="G95">
        <v>0.14000000000000001</v>
      </c>
      <c r="H95">
        <v>4.97</v>
      </c>
      <c r="I95">
        <v>0</v>
      </c>
      <c r="J95">
        <v>0</v>
      </c>
      <c r="K95">
        <v>5.0999999999999996</v>
      </c>
      <c r="L95" t="s">
        <v>487</v>
      </c>
      <c r="M95">
        <v>227</v>
      </c>
      <c r="N95">
        <v>44.49</v>
      </c>
      <c r="O95" t="s">
        <v>60</v>
      </c>
      <c r="P95" t="s">
        <v>491</v>
      </c>
      <c r="Q95">
        <v>0</v>
      </c>
      <c r="R95">
        <v>0</v>
      </c>
    </row>
    <row r="96" spans="1:18" x14ac:dyDescent="0.35">
      <c r="A96" t="s">
        <v>197</v>
      </c>
      <c r="B96" t="s">
        <v>483</v>
      </c>
      <c r="C96" t="s">
        <v>493</v>
      </c>
      <c r="D96">
        <v>107221179</v>
      </c>
      <c r="E96" t="s">
        <v>500</v>
      </c>
      <c r="F96" t="s">
        <v>486</v>
      </c>
      <c r="G96">
        <v>0.14000000000000001</v>
      </c>
      <c r="H96">
        <v>4.97</v>
      </c>
      <c r="I96">
        <v>0</v>
      </c>
      <c r="J96">
        <v>0</v>
      </c>
      <c r="K96">
        <v>5.0999999999999996</v>
      </c>
      <c r="L96" t="s">
        <v>487</v>
      </c>
      <c r="M96">
        <v>227</v>
      </c>
      <c r="N96">
        <v>44.49</v>
      </c>
      <c r="O96" t="s">
        <v>60</v>
      </c>
      <c r="P96" t="s">
        <v>492</v>
      </c>
      <c r="Q96">
        <v>1538</v>
      </c>
      <c r="R96">
        <v>301.42</v>
      </c>
    </row>
    <row r="97" spans="1:18" x14ac:dyDescent="0.35">
      <c r="A97" t="s">
        <v>197</v>
      </c>
      <c r="B97" t="s">
        <v>483</v>
      </c>
      <c r="C97" t="s">
        <v>493</v>
      </c>
      <c r="D97">
        <v>107221179</v>
      </c>
      <c r="E97" t="s">
        <v>500</v>
      </c>
      <c r="F97" t="s">
        <v>486</v>
      </c>
      <c r="G97">
        <v>0.14000000000000001</v>
      </c>
      <c r="H97">
        <v>4.97</v>
      </c>
      <c r="I97">
        <v>0</v>
      </c>
      <c r="J97">
        <v>0</v>
      </c>
      <c r="K97">
        <v>5.0999999999999996</v>
      </c>
      <c r="L97" t="s">
        <v>487</v>
      </c>
      <c r="M97">
        <v>227</v>
      </c>
      <c r="N97">
        <v>44.49</v>
      </c>
      <c r="O97" t="s">
        <v>81</v>
      </c>
      <c r="P97" t="s">
        <v>492</v>
      </c>
      <c r="Q97">
        <v>227</v>
      </c>
      <c r="R97">
        <v>44.49</v>
      </c>
    </row>
    <row r="98" spans="1:18" x14ac:dyDescent="0.35">
      <c r="A98" t="s">
        <v>197</v>
      </c>
      <c r="B98" t="s">
        <v>483</v>
      </c>
      <c r="C98" t="s">
        <v>484</v>
      </c>
      <c r="D98">
        <v>107221222</v>
      </c>
      <c r="E98" t="s">
        <v>501</v>
      </c>
      <c r="F98" t="s">
        <v>486</v>
      </c>
      <c r="G98">
        <v>0.52</v>
      </c>
      <c r="H98">
        <v>9.5399999999999991</v>
      </c>
      <c r="I98">
        <v>0.04</v>
      </c>
      <c r="J98">
        <v>0</v>
      </c>
      <c r="K98">
        <v>10.1</v>
      </c>
      <c r="L98" t="s">
        <v>487</v>
      </c>
      <c r="M98">
        <v>464</v>
      </c>
      <c r="N98">
        <v>45.94</v>
      </c>
      <c r="O98" t="s">
        <v>60</v>
      </c>
      <c r="P98" t="s">
        <v>488</v>
      </c>
      <c r="Q98">
        <v>913</v>
      </c>
      <c r="R98">
        <v>1762.36</v>
      </c>
    </row>
    <row r="99" spans="1:18" x14ac:dyDescent="0.35">
      <c r="A99" t="s">
        <v>197</v>
      </c>
      <c r="B99" t="s">
        <v>483</v>
      </c>
      <c r="C99" t="s">
        <v>484</v>
      </c>
      <c r="D99">
        <v>107221222</v>
      </c>
      <c r="E99" t="s">
        <v>501</v>
      </c>
      <c r="F99" t="s">
        <v>486</v>
      </c>
      <c r="G99">
        <v>0.52</v>
      </c>
      <c r="H99">
        <v>9.5399999999999991</v>
      </c>
      <c r="I99">
        <v>0.04</v>
      </c>
      <c r="J99">
        <v>0</v>
      </c>
      <c r="K99">
        <v>10.1</v>
      </c>
      <c r="L99" t="s">
        <v>487</v>
      </c>
      <c r="M99">
        <v>464</v>
      </c>
      <c r="N99">
        <v>45.94</v>
      </c>
      <c r="O99" t="s">
        <v>60</v>
      </c>
      <c r="P99" t="s">
        <v>489</v>
      </c>
      <c r="Q99">
        <v>3066</v>
      </c>
      <c r="R99">
        <v>321.31</v>
      </c>
    </row>
    <row r="100" spans="1:18" x14ac:dyDescent="0.35">
      <c r="A100" t="s">
        <v>197</v>
      </c>
      <c r="B100" t="s">
        <v>483</v>
      </c>
      <c r="C100" t="s">
        <v>484</v>
      </c>
      <c r="D100">
        <v>107221222</v>
      </c>
      <c r="E100" t="s">
        <v>501</v>
      </c>
      <c r="F100" t="s">
        <v>486</v>
      </c>
      <c r="G100">
        <v>0.52</v>
      </c>
      <c r="H100">
        <v>9.5399999999999991</v>
      </c>
      <c r="I100">
        <v>0.04</v>
      </c>
      <c r="J100">
        <v>0</v>
      </c>
      <c r="K100">
        <v>10.1</v>
      </c>
      <c r="L100" t="s">
        <v>487</v>
      </c>
      <c r="M100">
        <v>464</v>
      </c>
      <c r="N100">
        <v>45.94</v>
      </c>
      <c r="O100" t="s">
        <v>60</v>
      </c>
      <c r="P100" t="s">
        <v>490</v>
      </c>
      <c r="Q100">
        <v>6</v>
      </c>
      <c r="R100">
        <v>153.19</v>
      </c>
    </row>
    <row r="101" spans="1:18" x14ac:dyDescent="0.35">
      <c r="A101" t="s">
        <v>197</v>
      </c>
      <c r="B101" t="s">
        <v>483</v>
      </c>
      <c r="C101" t="s">
        <v>484</v>
      </c>
      <c r="D101">
        <v>107221222</v>
      </c>
      <c r="E101" t="s">
        <v>501</v>
      </c>
      <c r="F101" t="s">
        <v>486</v>
      </c>
      <c r="G101">
        <v>0.52</v>
      </c>
      <c r="H101">
        <v>9.5399999999999991</v>
      </c>
      <c r="I101">
        <v>0.04</v>
      </c>
      <c r="J101">
        <v>0</v>
      </c>
      <c r="K101">
        <v>10.1</v>
      </c>
      <c r="L101" t="s">
        <v>487</v>
      </c>
      <c r="M101">
        <v>464</v>
      </c>
      <c r="N101">
        <v>45.94</v>
      </c>
      <c r="O101" t="s">
        <v>60</v>
      </c>
      <c r="P101" t="s">
        <v>491</v>
      </c>
      <c r="Q101">
        <v>0</v>
      </c>
      <c r="R101">
        <v>0</v>
      </c>
    </row>
    <row r="102" spans="1:18" x14ac:dyDescent="0.35">
      <c r="A102" t="s">
        <v>197</v>
      </c>
      <c r="B102" t="s">
        <v>483</v>
      </c>
      <c r="C102" t="s">
        <v>484</v>
      </c>
      <c r="D102">
        <v>107221222</v>
      </c>
      <c r="E102" t="s">
        <v>501</v>
      </c>
      <c r="F102" t="s">
        <v>486</v>
      </c>
      <c r="G102">
        <v>0.52</v>
      </c>
      <c r="H102">
        <v>9.5399999999999991</v>
      </c>
      <c r="I102">
        <v>0.04</v>
      </c>
      <c r="J102">
        <v>0</v>
      </c>
      <c r="K102">
        <v>10.1</v>
      </c>
      <c r="L102" t="s">
        <v>487</v>
      </c>
      <c r="M102">
        <v>464</v>
      </c>
      <c r="N102">
        <v>45.94</v>
      </c>
      <c r="O102" t="s">
        <v>60</v>
      </c>
      <c r="P102" t="s">
        <v>492</v>
      </c>
      <c r="Q102">
        <v>3985</v>
      </c>
      <c r="R102">
        <v>394.55</v>
      </c>
    </row>
    <row r="103" spans="1:18" x14ac:dyDescent="0.35">
      <c r="A103" t="s">
        <v>197</v>
      </c>
      <c r="B103" t="s">
        <v>483</v>
      </c>
      <c r="C103" t="s">
        <v>484</v>
      </c>
      <c r="D103">
        <v>107221222</v>
      </c>
      <c r="E103" t="s">
        <v>501</v>
      </c>
      <c r="F103" t="s">
        <v>486</v>
      </c>
      <c r="G103">
        <v>0.52</v>
      </c>
      <c r="H103">
        <v>9.5399999999999991</v>
      </c>
      <c r="I103">
        <v>0.04</v>
      </c>
      <c r="J103">
        <v>0</v>
      </c>
      <c r="K103">
        <v>10.1</v>
      </c>
      <c r="L103" t="s">
        <v>487</v>
      </c>
      <c r="M103">
        <v>464</v>
      </c>
      <c r="N103">
        <v>45.94</v>
      </c>
      <c r="O103" t="s">
        <v>81</v>
      </c>
      <c r="P103" t="s">
        <v>492</v>
      </c>
      <c r="Q103">
        <v>464</v>
      </c>
      <c r="R103">
        <v>45.94</v>
      </c>
    </row>
    <row r="104" spans="1:18" x14ac:dyDescent="0.35">
      <c r="A104" t="s">
        <v>197</v>
      </c>
      <c r="B104" t="s">
        <v>483</v>
      </c>
      <c r="C104" t="s">
        <v>493</v>
      </c>
      <c r="D104">
        <v>107221237</v>
      </c>
      <c r="E104" t="s">
        <v>527</v>
      </c>
      <c r="F104" t="s">
        <v>486</v>
      </c>
      <c r="G104">
        <v>0.2</v>
      </c>
      <c r="H104">
        <v>6.71</v>
      </c>
      <c r="I104">
        <v>0.14000000000000001</v>
      </c>
      <c r="J104">
        <v>0</v>
      </c>
      <c r="K104">
        <v>7.05</v>
      </c>
      <c r="L104" t="s">
        <v>487</v>
      </c>
      <c r="M104">
        <v>254</v>
      </c>
      <c r="N104">
        <v>36.03</v>
      </c>
      <c r="O104" t="s">
        <v>60</v>
      </c>
      <c r="P104" t="s">
        <v>488</v>
      </c>
      <c r="Q104">
        <v>254</v>
      </c>
      <c r="R104">
        <v>1254.32</v>
      </c>
    </row>
    <row r="105" spans="1:18" x14ac:dyDescent="0.35">
      <c r="A105" t="s">
        <v>197</v>
      </c>
      <c r="B105" t="s">
        <v>483</v>
      </c>
      <c r="C105" t="s">
        <v>493</v>
      </c>
      <c r="D105">
        <v>107221237</v>
      </c>
      <c r="E105" t="s">
        <v>527</v>
      </c>
      <c r="F105" t="s">
        <v>486</v>
      </c>
      <c r="G105">
        <v>0.2</v>
      </c>
      <c r="H105">
        <v>6.71</v>
      </c>
      <c r="I105">
        <v>0.14000000000000001</v>
      </c>
      <c r="J105">
        <v>0</v>
      </c>
      <c r="K105">
        <v>7.05</v>
      </c>
      <c r="L105" t="s">
        <v>487</v>
      </c>
      <c r="M105">
        <v>254</v>
      </c>
      <c r="N105">
        <v>36.03</v>
      </c>
      <c r="O105" t="s">
        <v>60</v>
      </c>
      <c r="P105" t="s">
        <v>489</v>
      </c>
      <c r="Q105">
        <v>1533</v>
      </c>
      <c r="R105">
        <v>228.49</v>
      </c>
    </row>
    <row r="106" spans="1:18" x14ac:dyDescent="0.35">
      <c r="A106" t="s">
        <v>197</v>
      </c>
      <c r="B106" t="s">
        <v>483</v>
      </c>
      <c r="C106" t="s">
        <v>493</v>
      </c>
      <c r="D106">
        <v>107221237</v>
      </c>
      <c r="E106" t="s">
        <v>527</v>
      </c>
      <c r="F106" t="s">
        <v>486</v>
      </c>
      <c r="G106">
        <v>0.2</v>
      </c>
      <c r="H106">
        <v>6.71</v>
      </c>
      <c r="I106">
        <v>0.14000000000000001</v>
      </c>
      <c r="J106">
        <v>0</v>
      </c>
      <c r="K106">
        <v>7.05</v>
      </c>
      <c r="L106" t="s">
        <v>487</v>
      </c>
      <c r="M106">
        <v>254</v>
      </c>
      <c r="N106">
        <v>36.03</v>
      </c>
      <c r="O106" t="s">
        <v>60</v>
      </c>
      <c r="P106" t="s">
        <v>490</v>
      </c>
      <c r="Q106">
        <v>15</v>
      </c>
      <c r="R106">
        <v>108.87</v>
      </c>
    </row>
    <row r="107" spans="1:18" x14ac:dyDescent="0.35">
      <c r="A107" t="s">
        <v>197</v>
      </c>
      <c r="B107" t="s">
        <v>483</v>
      </c>
      <c r="C107" t="s">
        <v>493</v>
      </c>
      <c r="D107">
        <v>107221237</v>
      </c>
      <c r="E107" t="s">
        <v>527</v>
      </c>
      <c r="F107" t="s">
        <v>486</v>
      </c>
      <c r="G107">
        <v>0.2</v>
      </c>
      <c r="H107">
        <v>6.71</v>
      </c>
      <c r="I107">
        <v>0.14000000000000001</v>
      </c>
      <c r="J107">
        <v>0</v>
      </c>
      <c r="K107">
        <v>7.05</v>
      </c>
      <c r="L107" t="s">
        <v>487</v>
      </c>
      <c r="M107">
        <v>254</v>
      </c>
      <c r="N107">
        <v>36.03</v>
      </c>
      <c r="O107" t="s">
        <v>60</v>
      </c>
      <c r="P107" t="s">
        <v>491</v>
      </c>
      <c r="Q107">
        <v>0</v>
      </c>
      <c r="R107">
        <v>0</v>
      </c>
    </row>
    <row r="108" spans="1:18" x14ac:dyDescent="0.35">
      <c r="A108" t="s">
        <v>197</v>
      </c>
      <c r="B108" t="s">
        <v>483</v>
      </c>
      <c r="C108" t="s">
        <v>493</v>
      </c>
      <c r="D108">
        <v>107221237</v>
      </c>
      <c r="E108" t="s">
        <v>527</v>
      </c>
      <c r="F108" t="s">
        <v>486</v>
      </c>
      <c r="G108">
        <v>0.2</v>
      </c>
      <c r="H108">
        <v>6.71</v>
      </c>
      <c r="I108">
        <v>0.14000000000000001</v>
      </c>
      <c r="J108">
        <v>0</v>
      </c>
      <c r="K108">
        <v>7.05</v>
      </c>
      <c r="L108" t="s">
        <v>487</v>
      </c>
      <c r="M108">
        <v>254</v>
      </c>
      <c r="N108">
        <v>36.03</v>
      </c>
      <c r="O108" t="s">
        <v>60</v>
      </c>
      <c r="P108" t="s">
        <v>492</v>
      </c>
      <c r="Q108">
        <v>1802</v>
      </c>
      <c r="R108">
        <v>255.6</v>
      </c>
    </row>
    <row r="109" spans="1:18" x14ac:dyDescent="0.35">
      <c r="A109" t="s">
        <v>197</v>
      </c>
      <c r="B109" t="s">
        <v>483</v>
      </c>
      <c r="C109" t="s">
        <v>493</v>
      </c>
      <c r="D109">
        <v>107221237</v>
      </c>
      <c r="E109" t="s">
        <v>527</v>
      </c>
      <c r="F109" t="s">
        <v>486</v>
      </c>
      <c r="G109">
        <v>0.2</v>
      </c>
      <c r="H109">
        <v>6.71</v>
      </c>
      <c r="I109">
        <v>0.14000000000000001</v>
      </c>
      <c r="J109">
        <v>0</v>
      </c>
      <c r="K109">
        <v>7.05</v>
      </c>
      <c r="L109" t="s">
        <v>487</v>
      </c>
      <c r="M109">
        <v>254</v>
      </c>
      <c r="N109">
        <v>36.03</v>
      </c>
      <c r="O109" t="s">
        <v>81</v>
      </c>
      <c r="P109" t="s">
        <v>492</v>
      </c>
      <c r="Q109">
        <v>254</v>
      </c>
      <c r="R109">
        <v>36.03</v>
      </c>
    </row>
    <row r="110" spans="1:18" x14ac:dyDescent="0.35">
      <c r="A110" t="s">
        <v>197</v>
      </c>
      <c r="B110" t="s">
        <v>483</v>
      </c>
      <c r="C110" t="s">
        <v>484</v>
      </c>
      <c r="D110">
        <v>107232971</v>
      </c>
      <c r="E110" t="s">
        <v>504</v>
      </c>
      <c r="F110" t="s">
        <v>486</v>
      </c>
      <c r="G110">
        <v>0.28999999999999998</v>
      </c>
      <c r="H110">
        <v>6.64</v>
      </c>
      <c r="I110">
        <v>0</v>
      </c>
      <c r="J110">
        <v>0</v>
      </c>
      <c r="K110">
        <v>6.93</v>
      </c>
      <c r="L110" t="s">
        <v>487</v>
      </c>
      <c r="M110">
        <v>287</v>
      </c>
      <c r="N110">
        <v>41.39</v>
      </c>
      <c r="O110" t="s">
        <v>60</v>
      </c>
      <c r="P110" t="s">
        <v>488</v>
      </c>
      <c r="Q110">
        <v>396</v>
      </c>
      <c r="R110">
        <v>1342.37</v>
      </c>
    </row>
    <row r="111" spans="1:18" x14ac:dyDescent="0.35">
      <c r="A111" t="s">
        <v>197</v>
      </c>
      <c r="B111" t="s">
        <v>483</v>
      </c>
      <c r="C111" t="s">
        <v>484</v>
      </c>
      <c r="D111">
        <v>107232971</v>
      </c>
      <c r="E111" t="s">
        <v>504</v>
      </c>
      <c r="F111" t="s">
        <v>486</v>
      </c>
      <c r="G111">
        <v>0.28999999999999998</v>
      </c>
      <c r="H111">
        <v>6.64</v>
      </c>
      <c r="I111">
        <v>0</v>
      </c>
      <c r="J111">
        <v>0</v>
      </c>
      <c r="K111">
        <v>6.93</v>
      </c>
      <c r="L111" t="s">
        <v>487</v>
      </c>
      <c r="M111">
        <v>287</v>
      </c>
      <c r="N111">
        <v>41.39</v>
      </c>
      <c r="O111" t="s">
        <v>60</v>
      </c>
      <c r="P111" t="s">
        <v>489</v>
      </c>
      <c r="Q111">
        <v>1624</v>
      </c>
      <c r="R111">
        <v>244.65</v>
      </c>
    </row>
    <row r="112" spans="1:18" x14ac:dyDescent="0.35">
      <c r="A112" t="s">
        <v>197</v>
      </c>
      <c r="B112" t="s">
        <v>483</v>
      </c>
      <c r="C112" t="s">
        <v>484</v>
      </c>
      <c r="D112">
        <v>107232971</v>
      </c>
      <c r="E112" t="s">
        <v>504</v>
      </c>
      <c r="F112" t="s">
        <v>486</v>
      </c>
      <c r="G112">
        <v>0.28999999999999998</v>
      </c>
      <c r="H112">
        <v>6.64</v>
      </c>
      <c r="I112">
        <v>0</v>
      </c>
      <c r="J112">
        <v>0</v>
      </c>
      <c r="K112">
        <v>6.93</v>
      </c>
      <c r="L112" t="s">
        <v>487</v>
      </c>
      <c r="M112">
        <v>287</v>
      </c>
      <c r="N112">
        <v>41.39</v>
      </c>
      <c r="O112" t="s">
        <v>60</v>
      </c>
      <c r="P112" t="s">
        <v>490</v>
      </c>
      <c r="Q112">
        <v>0</v>
      </c>
      <c r="R112">
        <v>0</v>
      </c>
    </row>
    <row r="113" spans="1:18" x14ac:dyDescent="0.35">
      <c r="A113" t="s">
        <v>197</v>
      </c>
      <c r="B113" t="s">
        <v>483</v>
      </c>
      <c r="C113" t="s">
        <v>484</v>
      </c>
      <c r="D113">
        <v>107232971</v>
      </c>
      <c r="E113" t="s">
        <v>504</v>
      </c>
      <c r="F113" t="s">
        <v>486</v>
      </c>
      <c r="G113">
        <v>0.28999999999999998</v>
      </c>
      <c r="H113">
        <v>6.64</v>
      </c>
      <c r="I113">
        <v>0</v>
      </c>
      <c r="J113">
        <v>0</v>
      </c>
      <c r="K113">
        <v>6.93</v>
      </c>
      <c r="L113" t="s">
        <v>487</v>
      </c>
      <c r="M113">
        <v>287</v>
      </c>
      <c r="N113">
        <v>41.39</v>
      </c>
      <c r="O113" t="s">
        <v>60</v>
      </c>
      <c r="P113" t="s">
        <v>491</v>
      </c>
      <c r="Q113">
        <v>0</v>
      </c>
      <c r="R113">
        <v>0</v>
      </c>
    </row>
    <row r="114" spans="1:18" x14ac:dyDescent="0.35">
      <c r="A114" t="s">
        <v>197</v>
      </c>
      <c r="B114" t="s">
        <v>483</v>
      </c>
      <c r="C114" t="s">
        <v>484</v>
      </c>
      <c r="D114">
        <v>107232971</v>
      </c>
      <c r="E114" t="s">
        <v>504</v>
      </c>
      <c r="F114" t="s">
        <v>486</v>
      </c>
      <c r="G114">
        <v>0.28999999999999998</v>
      </c>
      <c r="H114">
        <v>6.64</v>
      </c>
      <c r="I114">
        <v>0</v>
      </c>
      <c r="J114">
        <v>0</v>
      </c>
      <c r="K114">
        <v>6.93</v>
      </c>
      <c r="L114" t="s">
        <v>487</v>
      </c>
      <c r="M114">
        <v>287</v>
      </c>
      <c r="N114">
        <v>41.39</v>
      </c>
      <c r="O114" t="s">
        <v>60</v>
      </c>
      <c r="P114" t="s">
        <v>492</v>
      </c>
      <c r="Q114">
        <v>2020</v>
      </c>
      <c r="R114">
        <v>291.35000000000002</v>
      </c>
    </row>
    <row r="115" spans="1:18" x14ac:dyDescent="0.35">
      <c r="A115" t="s">
        <v>197</v>
      </c>
      <c r="B115" t="s">
        <v>483</v>
      </c>
      <c r="C115" t="s">
        <v>484</v>
      </c>
      <c r="D115">
        <v>107232971</v>
      </c>
      <c r="E115" t="s">
        <v>504</v>
      </c>
      <c r="F115" t="s">
        <v>486</v>
      </c>
      <c r="G115">
        <v>0.28999999999999998</v>
      </c>
      <c r="H115">
        <v>6.64</v>
      </c>
      <c r="I115">
        <v>0</v>
      </c>
      <c r="J115">
        <v>0</v>
      </c>
      <c r="K115">
        <v>6.93</v>
      </c>
      <c r="L115" t="s">
        <v>487</v>
      </c>
      <c r="M115">
        <v>287</v>
      </c>
      <c r="N115">
        <v>41.39</v>
      </c>
      <c r="O115" t="s">
        <v>81</v>
      </c>
      <c r="P115" t="s">
        <v>492</v>
      </c>
      <c r="Q115">
        <v>287</v>
      </c>
      <c r="R115">
        <v>41.39</v>
      </c>
    </row>
    <row r="116" spans="1:18" x14ac:dyDescent="0.35">
      <c r="A116" t="s">
        <v>197</v>
      </c>
      <c r="B116" t="s">
        <v>483</v>
      </c>
      <c r="C116" t="s">
        <v>484</v>
      </c>
      <c r="D116">
        <v>107233183</v>
      </c>
      <c r="E116" t="s">
        <v>505</v>
      </c>
      <c r="F116" t="s">
        <v>486</v>
      </c>
      <c r="G116">
        <v>0.36</v>
      </c>
      <c r="H116">
        <v>9.52</v>
      </c>
      <c r="I116">
        <v>0.23</v>
      </c>
      <c r="J116">
        <v>0</v>
      </c>
      <c r="K116">
        <v>10.1</v>
      </c>
      <c r="L116" t="s">
        <v>487</v>
      </c>
      <c r="M116">
        <v>323</v>
      </c>
      <c r="N116">
        <v>31.98</v>
      </c>
      <c r="O116" t="s">
        <v>60</v>
      </c>
      <c r="P116" t="s">
        <v>488</v>
      </c>
      <c r="Q116">
        <v>346</v>
      </c>
      <c r="R116">
        <v>966.33</v>
      </c>
    </row>
    <row r="117" spans="1:18" x14ac:dyDescent="0.35">
      <c r="A117" t="s">
        <v>197</v>
      </c>
      <c r="B117" t="s">
        <v>483</v>
      </c>
      <c r="C117" t="s">
        <v>484</v>
      </c>
      <c r="D117">
        <v>107233183</v>
      </c>
      <c r="E117" t="s">
        <v>505</v>
      </c>
      <c r="F117" t="s">
        <v>486</v>
      </c>
      <c r="G117">
        <v>0.36</v>
      </c>
      <c r="H117">
        <v>9.52</v>
      </c>
      <c r="I117">
        <v>0.23</v>
      </c>
      <c r="J117">
        <v>0</v>
      </c>
      <c r="K117">
        <v>10.1</v>
      </c>
      <c r="L117" t="s">
        <v>487</v>
      </c>
      <c r="M117">
        <v>323</v>
      </c>
      <c r="N117">
        <v>31.98</v>
      </c>
      <c r="O117" t="s">
        <v>60</v>
      </c>
      <c r="P117" t="s">
        <v>489</v>
      </c>
      <c r="Q117">
        <v>1676</v>
      </c>
      <c r="R117">
        <v>176.14</v>
      </c>
    </row>
    <row r="118" spans="1:18" x14ac:dyDescent="0.35">
      <c r="A118" t="s">
        <v>197</v>
      </c>
      <c r="B118" t="s">
        <v>483</v>
      </c>
      <c r="C118" t="s">
        <v>484</v>
      </c>
      <c r="D118">
        <v>107233183</v>
      </c>
      <c r="E118" t="s">
        <v>505</v>
      </c>
      <c r="F118" t="s">
        <v>486</v>
      </c>
      <c r="G118">
        <v>0.36</v>
      </c>
      <c r="H118">
        <v>9.52</v>
      </c>
      <c r="I118">
        <v>0.23</v>
      </c>
      <c r="J118">
        <v>0</v>
      </c>
      <c r="K118">
        <v>10.1</v>
      </c>
      <c r="L118" t="s">
        <v>487</v>
      </c>
      <c r="M118">
        <v>323</v>
      </c>
      <c r="N118">
        <v>31.98</v>
      </c>
      <c r="O118" t="s">
        <v>60</v>
      </c>
      <c r="P118" t="s">
        <v>490</v>
      </c>
      <c r="Q118">
        <v>19</v>
      </c>
      <c r="R118">
        <v>83.93</v>
      </c>
    </row>
    <row r="119" spans="1:18" x14ac:dyDescent="0.35">
      <c r="A119" t="s">
        <v>197</v>
      </c>
      <c r="B119" t="s">
        <v>483</v>
      </c>
      <c r="C119" t="s">
        <v>484</v>
      </c>
      <c r="D119">
        <v>107233183</v>
      </c>
      <c r="E119" t="s">
        <v>505</v>
      </c>
      <c r="F119" t="s">
        <v>486</v>
      </c>
      <c r="G119">
        <v>0.36</v>
      </c>
      <c r="H119">
        <v>9.52</v>
      </c>
      <c r="I119">
        <v>0.23</v>
      </c>
      <c r="J119">
        <v>0</v>
      </c>
      <c r="K119">
        <v>10.1</v>
      </c>
      <c r="L119" t="s">
        <v>487</v>
      </c>
      <c r="M119">
        <v>323</v>
      </c>
      <c r="N119">
        <v>31.98</v>
      </c>
      <c r="O119" t="s">
        <v>60</v>
      </c>
      <c r="P119" t="s">
        <v>491</v>
      </c>
      <c r="Q119">
        <v>0</v>
      </c>
      <c r="R119">
        <v>0</v>
      </c>
    </row>
    <row r="120" spans="1:18" x14ac:dyDescent="0.35">
      <c r="A120" t="s">
        <v>197</v>
      </c>
      <c r="B120" t="s">
        <v>483</v>
      </c>
      <c r="C120" t="s">
        <v>484</v>
      </c>
      <c r="D120">
        <v>107233183</v>
      </c>
      <c r="E120" t="s">
        <v>505</v>
      </c>
      <c r="F120" t="s">
        <v>486</v>
      </c>
      <c r="G120">
        <v>0.36</v>
      </c>
      <c r="H120">
        <v>9.52</v>
      </c>
      <c r="I120">
        <v>0.23</v>
      </c>
      <c r="J120">
        <v>0</v>
      </c>
      <c r="K120">
        <v>10.1</v>
      </c>
      <c r="L120" t="s">
        <v>487</v>
      </c>
      <c r="M120">
        <v>323</v>
      </c>
      <c r="N120">
        <v>31.98</v>
      </c>
      <c r="O120" t="s">
        <v>60</v>
      </c>
      <c r="P120" t="s">
        <v>492</v>
      </c>
      <c r="Q120">
        <v>2041</v>
      </c>
      <c r="R120">
        <v>202.08</v>
      </c>
    </row>
    <row r="121" spans="1:18" x14ac:dyDescent="0.35">
      <c r="A121" t="s">
        <v>197</v>
      </c>
      <c r="B121" t="s">
        <v>483</v>
      </c>
      <c r="C121" t="s">
        <v>484</v>
      </c>
      <c r="D121">
        <v>107233183</v>
      </c>
      <c r="E121" t="s">
        <v>505</v>
      </c>
      <c r="F121" t="s">
        <v>486</v>
      </c>
      <c r="G121">
        <v>0.36</v>
      </c>
      <c r="H121">
        <v>9.52</v>
      </c>
      <c r="I121">
        <v>0.23</v>
      </c>
      <c r="J121">
        <v>0</v>
      </c>
      <c r="K121">
        <v>10.1</v>
      </c>
      <c r="L121" t="s">
        <v>487</v>
      </c>
      <c r="M121">
        <v>323</v>
      </c>
      <c r="N121">
        <v>31.98</v>
      </c>
      <c r="O121" t="s">
        <v>81</v>
      </c>
      <c r="P121" t="s">
        <v>492</v>
      </c>
      <c r="Q121">
        <v>323</v>
      </c>
      <c r="R121">
        <v>31.98</v>
      </c>
    </row>
    <row r="122" spans="1:18" x14ac:dyDescent="0.35">
      <c r="A122" t="s">
        <v>197</v>
      </c>
      <c r="B122" t="s">
        <v>483</v>
      </c>
      <c r="C122" t="s">
        <v>484</v>
      </c>
      <c r="D122">
        <v>107233200</v>
      </c>
      <c r="E122" t="s">
        <v>506</v>
      </c>
      <c r="F122" t="s">
        <v>486</v>
      </c>
      <c r="G122">
        <v>0.23</v>
      </c>
      <c r="H122">
        <v>7.18</v>
      </c>
      <c r="I122">
        <v>0.39</v>
      </c>
      <c r="J122">
        <v>0</v>
      </c>
      <c r="K122">
        <v>7.8</v>
      </c>
      <c r="L122" t="s">
        <v>487</v>
      </c>
      <c r="M122">
        <v>335</v>
      </c>
      <c r="N122">
        <v>42.92</v>
      </c>
      <c r="O122" t="s">
        <v>60</v>
      </c>
      <c r="P122" t="s">
        <v>488</v>
      </c>
      <c r="Q122">
        <v>356</v>
      </c>
      <c r="R122">
        <v>1520.28</v>
      </c>
    </row>
    <row r="123" spans="1:18" x14ac:dyDescent="0.35">
      <c r="A123" t="s">
        <v>197</v>
      </c>
      <c r="B123" t="s">
        <v>483</v>
      </c>
      <c r="C123" t="s">
        <v>484</v>
      </c>
      <c r="D123">
        <v>107233200</v>
      </c>
      <c r="E123" t="s">
        <v>506</v>
      </c>
      <c r="F123" t="s">
        <v>486</v>
      </c>
      <c r="G123">
        <v>0.23</v>
      </c>
      <c r="H123">
        <v>7.18</v>
      </c>
      <c r="I123">
        <v>0.39</v>
      </c>
      <c r="J123">
        <v>0</v>
      </c>
      <c r="K123">
        <v>7.8</v>
      </c>
      <c r="L123" t="s">
        <v>487</v>
      </c>
      <c r="M123">
        <v>335</v>
      </c>
      <c r="N123">
        <v>42.92</v>
      </c>
      <c r="O123" t="s">
        <v>60</v>
      </c>
      <c r="P123" t="s">
        <v>489</v>
      </c>
      <c r="Q123">
        <v>1992</v>
      </c>
      <c r="R123">
        <v>277.27999999999997</v>
      </c>
    </row>
    <row r="124" spans="1:18" x14ac:dyDescent="0.35">
      <c r="A124" t="s">
        <v>197</v>
      </c>
      <c r="B124" t="s">
        <v>483</v>
      </c>
      <c r="C124" t="s">
        <v>484</v>
      </c>
      <c r="D124">
        <v>107233200</v>
      </c>
      <c r="E124" t="s">
        <v>506</v>
      </c>
      <c r="F124" t="s">
        <v>486</v>
      </c>
      <c r="G124">
        <v>0.23</v>
      </c>
      <c r="H124">
        <v>7.18</v>
      </c>
      <c r="I124">
        <v>0.39</v>
      </c>
      <c r="J124">
        <v>0</v>
      </c>
      <c r="K124">
        <v>7.8</v>
      </c>
      <c r="L124" t="s">
        <v>487</v>
      </c>
      <c r="M124">
        <v>335</v>
      </c>
      <c r="N124">
        <v>42.92</v>
      </c>
      <c r="O124" t="s">
        <v>60</v>
      </c>
      <c r="P124" t="s">
        <v>490</v>
      </c>
      <c r="Q124">
        <v>51</v>
      </c>
      <c r="R124">
        <v>132.09</v>
      </c>
    </row>
    <row r="125" spans="1:18" x14ac:dyDescent="0.35">
      <c r="A125" t="s">
        <v>197</v>
      </c>
      <c r="B125" t="s">
        <v>483</v>
      </c>
      <c r="C125" t="s">
        <v>484</v>
      </c>
      <c r="D125">
        <v>107233200</v>
      </c>
      <c r="E125" t="s">
        <v>506</v>
      </c>
      <c r="F125" t="s">
        <v>486</v>
      </c>
      <c r="G125">
        <v>0.23</v>
      </c>
      <c r="H125">
        <v>7.18</v>
      </c>
      <c r="I125">
        <v>0.39</v>
      </c>
      <c r="J125">
        <v>0</v>
      </c>
      <c r="K125">
        <v>7.8</v>
      </c>
      <c r="L125" t="s">
        <v>487</v>
      </c>
      <c r="M125">
        <v>335</v>
      </c>
      <c r="N125">
        <v>42.92</v>
      </c>
      <c r="O125" t="s">
        <v>60</v>
      </c>
      <c r="P125" t="s">
        <v>491</v>
      </c>
      <c r="Q125">
        <v>0</v>
      </c>
      <c r="R125">
        <v>0</v>
      </c>
    </row>
    <row r="126" spans="1:18" x14ac:dyDescent="0.35">
      <c r="A126" t="s">
        <v>197</v>
      </c>
      <c r="B126" t="s">
        <v>483</v>
      </c>
      <c r="C126" t="s">
        <v>484</v>
      </c>
      <c r="D126">
        <v>107233200</v>
      </c>
      <c r="E126" t="s">
        <v>506</v>
      </c>
      <c r="F126" t="s">
        <v>486</v>
      </c>
      <c r="G126">
        <v>0.23</v>
      </c>
      <c r="H126">
        <v>7.18</v>
      </c>
      <c r="I126">
        <v>0.39</v>
      </c>
      <c r="J126">
        <v>0</v>
      </c>
      <c r="K126">
        <v>7.8</v>
      </c>
      <c r="L126" t="s">
        <v>487</v>
      </c>
      <c r="M126">
        <v>335</v>
      </c>
      <c r="N126">
        <v>42.92</v>
      </c>
      <c r="O126" t="s">
        <v>60</v>
      </c>
      <c r="P126" t="s">
        <v>492</v>
      </c>
      <c r="Q126">
        <v>2399</v>
      </c>
      <c r="R126">
        <v>307.38</v>
      </c>
    </row>
    <row r="127" spans="1:18" x14ac:dyDescent="0.35">
      <c r="A127" t="s">
        <v>197</v>
      </c>
      <c r="B127" t="s">
        <v>483</v>
      </c>
      <c r="C127" t="s">
        <v>484</v>
      </c>
      <c r="D127">
        <v>107233200</v>
      </c>
      <c r="E127" t="s">
        <v>506</v>
      </c>
      <c r="F127" t="s">
        <v>486</v>
      </c>
      <c r="G127">
        <v>0.23</v>
      </c>
      <c r="H127">
        <v>7.18</v>
      </c>
      <c r="I127">
        <v>0.39</v>
      </c>
      <c r="J127">
        <v>0</v>
      </c>
      <c r="K127">
        <v>7.8</v>
      </c>
      <c r="L127" t="s">
        <v>487</v>
      </c>
      <c r="M127">
        <v>335</v>
      </c>
      <c r="N127">
        <v>42.92</v>
      </c>
      <c r="O127" t="s">
        <v>81</v>
      </c>
      <c r="P127" t="s">
        <v>492</v>
      </c>
      <c r="Q127">
        <v>335</v>
      </c>
      <c r="R127">
        <v>42.92</v>
      </c>
    </row>
    <row r="128" spans="1:18" x14ac:dyDescent="0.35">
      <c r="A128" t="s">
        <v>197</v>
      </c>
      <c r="B128" t="s">
        <v>483</v>
      </c>
      <c r="C128" t="s">
        <v>484</v>
      </c>
      <c r="D128">
        <v>107264616</v>
      </c>
      <c r="E128" t="s">
        <v>507</v>
      </c>
      <c r="F128" t="s">
        <v>486</v>
      </c>
      <c r="G128">
        <v>0.03</v>
      </c>
      <c r="H128">
        <v>1.79</v>
      </c>
      <c r="I128">
        <v>0.01</v>
      </c>
      <c r="J128">
        <v>0</v>
      </c>
      <c r="K128">
        <v>1.83</v>
      </c>
      <c r="L128" t="s">
        <v>487</v>
      </c>
      <c r="M128">
        <v>94</v>
      </c>
      <c r="N128">
        <v>51.32</v>
      </c>
      <c r="O128" t="s">
        <v>60</v>
      </c>
      <c r="P128" t="s">
        <v>488</v>
      </c>
      <c r="Q128">
        <v>72</v>
      </c>
      <c r="R128">
        <v>2618.1799999999998</v>
      </c>
    </row>
    <row r="129" spans="1:18" x14ac:dyDescent="0.35">
      <c r="A129" t="s">
        <v>197</v>
      </c>
      <c r="B129" t="s">
        <v>483</v>
      </c>
      <c r="C129" t="s">
        <v>484</v>
      </c>
      <c r="D129">
        <v>107264616</v>
      </c>
      <c r="E129" t="s">
        <v>507</v>
      </c>
      <c r="F129" t="s">
        <v>486</v>
      </c>
      <c r="G129">
        <v>0.03</v>
      </c>
      <c r="H129">
        <v>1.79</v>
      </c>
      <c r="I129">
        <v>0.01</v>
      </c>
      <c r="J129">
        <v>0</v>
      </c>
      <c r="K129">
        <v>1.83</v>
      </c>
      <c r="L129" t="s">
        <v>487</v>
      </c>
      <c r="M129">
        <v>94</v>
      </c>
      <c r="N129">
        <v>51.32</v>
      </c>
      <c r="O129" t="s">
        <v>60</v>
      </c>
      <c r="P129" t="s">
        <v>489</v>
      </c>
      <c r="Q129">
        <v>852</v>
      </c>
      <c r="R129">
        <v>475.83</v>
      </c>
    </row>
    <row r="130" spans="1:18" x14ac:dyDescent="0.35">
      <c r="A130" t="s">
        <v>197</v>
      </c>
      <c r="B130" t="s">
        <v>483</v>
      </c>
      <c r="C130" t="s">
        <v>484</v>
      </c>
      <c r="D130">
        <v>107264616</v>
      </c>
      <c r="E130" t="s">
        <v>507</v>
      </c>
      <c r="F130" t="s">
        <v>486</v>
      </c>
      <c r="G130">
        <v>0.03</v>
      </c>
      <c r="H130">
        <v>1.79</v>
      </c>
      <c r="I130">
        <v>0.01</v>
      </c>
      <c r="J130">
        <v>0</v>
      </c>
      <c r="K130">
        <v>1.83</v>
      </c>
      <c r="L130" t="s">
        <v>487</v>
      </c>
      <c r="M130">
        <v>94</v>
      </c>
      <c r="N130">
        <v>51.32</v>
      </c>
      <c r="O130" t="s">
        <v>60</v>
      </c>
      <c r="P130" t="s">
        <v>490</v>
      </c>
      <c r="Q130">
        <v>3</v>
      </c>
      <c r="R130">
        <v>229.79</v>
      </c>
    </row>
    <row r="131" spans="1:18" x14ac:dyDescent="0.35">
      <c r="A131" t="s">
        <v>197</v>
      </c>
      <c r="B131" t="s">
        <v>483</v>
      </c>
      <c r="C131" t="s">
        <v>484</v>
      </c>
      <c r="D131">
        <v>107264616</v>
      </c>
      <c r="E131" t="s">
        <v>507</v>
      </c>
      <c r="F131" t="s">
        <v>486</v>
      </c>
      <c r="G131">
        <v>0.03</v>
      </c>
      <c r="H131">
        <v>1.79</v>
      </c>
      <c r="I131">
        <v>0.01</v>
      </c>
      <c r="J131">
        <v>0</v>
      </c>
      <c r="K131">
        <v>1.83</v>
      </c>
      <c r="L131" t="s">
        <v>487</v>
      </c>
      <c r="M131">
        <v>94</v>
      </c>
      <c r="N131">
        <v>51.32</v>
      </c>
      <c r="O131" t="s">
        <v>60</v>
      </c>
      <c r="P131" t="s">
        <v>491</v>
      </c>
      <c r="Q131">
        <v>0</v>
      </c>
      <c r="R131">
        <v>0</v>
      </c>
    </row>
    <row r="132" spans="1:18" x14ac:dyDescent="0.35">
      <c r="A132" t="s">
        <v>197</v>
      </c>
      <c r="B132" t="s">
        <v>483</v>
      </c>
      <c r="C132" t="s">
        <v>484</v>
      </c>
      <c r="D132">
        <v>107264616</v>
      </c>
      <c r="E132" t="s">
        <v>507</v>
      </c>
      <c r="F132" t="s">
        <v>486</v>
      </c>
      <c r="G132">
        <v>0.03</v>
      </c>
      <c r="H132">
        <v>1.79</v>
      </c>
      <c r="I132">
        <v>0.01</v>
      </c>
      <c r="J132">
        <v>0</v>
      </c>
      <c r="K132">
        <v>1.83</v>
      </c>
      <c r="L132" t="s">
        <v>487</v>
      </c>
      <c r="M132">
        <v>94</v>
      </c>
      <c r="N132">
        <v>51.32</v>
      </c>
      <c r="O132" t="s">
        <v>60</v>
      </c>
      <c r="P132" t="s">
        <v>492</v>
      </c>
      <c r="Q132">
        <v>927</v>
      </c>
      <c r="R132">
        <v>506.1</v>
      </c>
    </row>
    <row r="133" spans="1:18" x14ac:dyDescent="0.35">
      <c r="A133" t="s">
        <v>197</v>
      </c>
      <c r="B133" t="s">
        <v>483</v>
      </c>
      <c r="C133" t="s">
        <v>484</v>
      </c>
      <c r="D133">
        <v>107264616</v>
      </c>
      <c r="E133" t="s">
        <v>507</v>
      </c>
      <c r="F133" t="s">
        <v>486</v>
      </c>
      <c r="G133">
        <v>0.03</v>
      </c>
      <c r="H133">
        <v>1.79</v>
      </c>
      <c r="I133">
        <v>0.01</v>
      </c>
      <c r="J133">
        <v>0</v>
      </c>
      <c r="K133">
        <v>1.83</v>
      </c>
      <c r="L133" t="s">
        <v>487</v>
      </c>
      <c r="M133">
        <v>94</v>
      </c>
      <c r="N133">
        <v>51.32</v>
      </c>
      <c r="O133" t="s">
        <v>81</v>
      </c>
      <c r="P133" t="s">
        <v>492</v>
      </c>
      <c r="Q133">
        <v>94</v>
      </c>
      <c r="R133">
        <v>51.32</v>
      </c>
    </row>
    <row r="134" spans="1:18" x14ac:dyDescent="0.35">
      <c r="A134" t="s">
        <v>197</v>
      </c>
      <c r="B134" t="s">
        <v>483</v>
      </c>
      <c r="C134" t="s">
        <v>484</v>
      </c>
      <c r="D134">
        <v>107674648</v>
      </c>
      <c r="E134" t="s">
        <v>508</v>
      </c>
      <c r="F134" t="s">
        <v>486</v>
      </c>
      <c r="G134">
        <v>0.36</v>
      </c>
      <c r="H134">
        <v>6.88</v>
      </c>
      <c r="I134">
        <v>0.19</v>
      </c>
      <c r="J134">
        <v>0</v>
      </c>
      <c r="K134">
        <v>7.43</v>
      </c>
      <c r="L134" t="s">
        <v>487</v>
      </c>
      <c r="M134">
        <v>270</v>
      </c>
      <c r="N134">
        <v>36.32</v>
      </c>
      <c r="O134" t="s">
        <v>60</v>
      </c>
      <c r="P134" t="s">
        <v>488</v>
      </c>
      <c r="Q134">
        <v>376</v>
      </c>
      <c r="R134">
        <v>1034.8599999999999</v>
      </c>
    </row>
    <row r="135" spans="1:18" x14ac:dyDescent="0.35">
      <c r="A135" t="s">
        <v>197</v>
      </c>
      <c r="B135" t="s">
        <v>483</v>
      </c>
      <c r="C135" t="s">
        <v>484</v>
      </c>
      <c r="D135">
        <v>107674648</v>
      </c>
      <c r="E135" t="s">
        <v>508</v>
      </c>
      <c r="F135" t="s">
        <v>486</v>
      </c>
      <c r="G135">
        <v>0.36</v>
      </c>
      <c r="H135">
        <v>6.88</v>
      </c>
      <c r="I135">
        <v>0.19</v>
      </c>
      <c r="J135">
        <v>0</v>
      </c>
      <c r="K135">
        <v>7.43</v>
      </c>
      <c r="L135" t="s">
        <v>487</v>
      </c>
      <c r="M135">
        <v>270</v>
      </c>
      <c r="N135">
        <v>36.32</v>
      </c>
      <c r="O135" t="s">
        <v>60</v>
      </c>
      <c r="P135" t="s">
        <v>489</v>
      </c>
      <c r="Q135">
        <v>1298</v>
      </c>
      <c r="R135">
        <v>188.65</v>
      </c>
    </row>
    <row r="136" spans="1:18" x14ac:dyDescent="0.35">
      <c r="A136" t="s">
        <v>197</v>
      </c>
      <c r="B136" t="s">
        <v>483</v>
      </c>
      <c r="C136" t="s">
        <v>484</v>
      </c>
      <c r="D136">
        <v>107674648</v>
      </c>
      <c r="E136" t="s">
        <v>508</v>
      </c>
      <c r="F136" t="s">
        <v>486</v>
      </c>
      <c r="G136">
        <v>0.36</v>
      </c>
      <c r="H136">
        <v>6.88</v>
      </c>
      <c r="I136">
        <v>0.19</v>
      </c>
      <c r="J136">
        <v>0</v>
      </c>
      <c r="K136">
        <v>7.43</v>
      </c>
      <c r="L136" t="s">
        <v>487</v>
      </c>
      <c r="M136">
        <v>270</v>
      </c>
      <c r="N136">
        <v>36.32</v>
      </c>
      <c r="O136" t="s">
        <v>60</v>
      </c>
      <c r="P136" t="s">
        <v>490</v>
      </c>
      <c r="Q136">
        <v>17</v>
      </c>
      <c r="R136">
        <v>89.87</v>
      </c>
    </row>
    <row r="137" spans="1:18" x14ac:dyDescent="0.35">
      <c r="A137" t="s">
        <v>197</v>
      </c>
      <c r="B137" t="s">
        <v>483</v>
      </c>
      <c r="C137" t="s">
        <v>484</v>
      </c>
      <c r="D137">
        <v>107674648</v>
      </c>
      <c r="E137" t="s">
        <v>508</v>
      </c>
      <c r="F137" t="s">
        <v>486</v>
      </c>
      <c r="G137">
        <v>0.36</v>
      </c>
      <c r="H137">
        <v>6.88</v>
      </c>
      <c r="I137">
        <v>0.19</v>
      </c>
      <c r="J137">
        <v>0</v>
      </c>
      <c r="K137">
        <v>7.43</v>
      </c>
      <c r="L137" t="s">
        <v>487</v>
      </c>
      <c r="M137">
        <v>270</v>
      </c>
      <c r="N137">
        <v>36.32</v>
      </c>
      <c r="O137" t="s">
        <v>60</v>
      </c>
      <c r="P137" t="s">
        <v>491</v>
      </c>
      <c r="Q137">
        <v>0</v>
      </c>
      <c r="R137">
        <v>0</v>
      </c>
    </row>
    <row r="138" spans="1:18" x14ac:dyDescent="0.35">
      <c r="A138" t="s">
        <v>197</v>
      </c>
      <c r="B138" t="s">
        <v>483</v>
      </c>
      <c r="C138" t="s">
        <v>484</v>
      </c>
      <c r="D138">
        <v>107674648</v>
      </c>
      <c r="E138" t="s">
        <v>508</v>
      </c>
      <c r="F138" t="s">
        <v>486</v>
      </c>
      <c r="G138">
        <v>0.36</v>
      </c>
      <c r="H138">
        <v>6.88</v>
      </c>
      <c r="I138">
        <v>0.19</v>
      </c>
      <c r="J138">
        <v>0</v>
      </c>
      <c r="K138">
        <v>7.43</v>
      </c>
      <c r="L138" t="s">
        <v>487</v>
      </c>
      <c r="M138">
        <v>270</v>
      </c>
      <c r="N138">
        <v>36.32</v>
      </c>
      <c r="O138" t="s">
        <v>60</v>
      </c>
      <c r="P138" t="s">
        <v>492</v>
      </c>
      <c r="Q138">
        <v>1691</v>
      </c>
      <c r="R138">
        <v>227.49</v>
      </c>
    </row>
    <row r="139" spans="1:18" x14ac:dyDescent="0.35">
      <c r="A139" t="s">
        <v>197</v>
      </c>
      <c r="B139" t="s">
        <v>483</v>
      </c>
      <c r="C139" t="s">
        <v>484</v>
      </c>
      <c r="D139">
        <v>107674648</v>
      </c>
      <c r="E139" t="s">
        <v>508</v>
      </c>
      <c r="F139" t="s">
        <v>486</v>
      </c>
      <c r="G139">
        <v>0.36</v>
      </c>
      <c r="H139">
        <v>6.88</v>
      </c>
      <c r="I139">
        <v>0.19</v>
      </c>
      <c r="J139">
        <v>0</v>
      </c>
      <c r="K139">
        <v>7.43</v>
      </c>
      <c r="L139" t="s">
        <v>487</v>
      </c>
      <c r="M139">
        <v>270</v>
      </c>
      <c r="N139">
        <v>36.32</v>
      </c>
      <c r="O139" t="s">
        <v>81</v>
      </c>
      <c r="P139" t="s">
        <v>492</v>
      </c>
      <c r="Q139">
        <v>270</v>
      </c>
      <c r="R139">
        <v>36.32</v>
      </c>
    </row>
    <row r="140" spans="1:18" x14ac:dyDescent="0.35">
      <c r="A140" t="s">
        <v>197</v>
      </c>
      <c r="B140" t="s">
        <v>483</v>
      </c>
      <c r="C140" t="s">
        <v>493</v>
      </c>
      <c r="D140">
        <v>107704604</v>
      </c>
      <c r="E140" t="s">
        <v>509</v>
      </c>
      <c r="F140" t="s">
        <v>486</v>
      </c>
      <c r="G140">
        <v>0.69</v>
      </c>
      <c r="H140">
        <v>8.52</v>
      </c>
      <c r="I140">
        <v>0.05</v>
      </c>
      <c r="J140">
        <v>0</v>
      </c>
      <c r="K140">
        <v>9.26</v>
      </c>
      <c r="L140" t="s">
        <v>487</v>
      </c>
      <c r="M140">
        <v>391</v>
      </c>
      <c r="N140">
        <v>42.22</v>
      </c>
      <c r="O140" t="s">
        <v>60</v>
      </c>
      <c r="P140" t="s">
        <v>488</v>
      </c>
      <c r="Q140">
        <v>1364</v>
      </c>
      <c r="R140">
        <v>1980.8</v>
      </c>
    </row>
    <row r="141" spans="1:18" x14ac:dyDescent="0.35">
      <c r="A141" t="s">
        <v>197</v>
      </c>
      <c r="B141" t="s">
        <v>483</v>
      </c>
      <c r="C141" t="s">
        <v>493</v>
      </c>
      <c r="D141">
        <v>107704604</v>
      </c>
      <c r="E141" t="s">
        <v>509</v>
      </c>
      <c r="F141" t="s">
        <v>486</v>
      </c>
      <c r="G141">
        <v>0.69</v>
      </c>
      <c r="H141">
        <v>8.52</v>
      </c>
      <c r="I141">
        <v>0.05</v>
      </c>
      <c r="J141">
        <v>0</v>
      </c>
      <c r="K141">
        <v>9.26</v>
      </c>
      <c r="L141" t="s">
        <v>487</v>
      </c>
      <c r="M141">
        <v>391</v>
      </c>
      <c r="N141">
        <v>42.22</v>
      </c>
      <c r="O141" t="s">
        <v>60</v>
      </c>
      <c r="P141" t="s">
        <v>489</v>
      </c>
      <c r="Q141">
        <v>3079</v>
      </c>
      <c r="R141">
        <v>361.2</v>
      </c>
    </row>
    <row r="142" spans="1:18" x14ac:dyDescent="0.35">
      <c r="A142" t="s">
        <v>197</v>
      </c>
      <c r="B142" t="s">
        <v>483</v>
      </c>
      <c r="C142" t="s">
        <v>493</v>
      </c>
      <c r="D142">
        <v>107704604</v>
      </c>
      <c r="E142" t="s">
        <v>509</v>
      </c>
      <c r="F142" t="s">
        <v>486</v>
      </c>
      <c r="G142">
        <v>0.69</v>
      </c>
      <c r="H142">
        <v>8.52</v>
      </c>
      <c r="I142">
        <v>0.05</v>
      </c>
      <c r="J142">
        <v>0</v>
      </c>
      <c r="K142">
        <v>9.26</v>
      </c>
      <c r="L142" t="s">
        <v>487</v>
      </c>
      <c r="M142">
        <v>391</v>
      </c>
      <c r="N142">
        <v>42.22</v>
      </c>
      <c r="O142" t="s">
        <v>60</v>
      </c>
      <c r="P142" t="s">
        <v>490</v>
      </c>
      <c r="Q142">
        <v>8</v>
      </c>
      <c r="R142">
        <v>172.46</v>
      </c>
    </row>
    <row r="143" spans="1:18" x14ac:dyDescent="0.35">
      <c r="A143" t="s">
        <v>197</v>
      </c>
      <c r="B143" t="s">
        <v>483</v>
      </c>
      <c r="C143" t="s">
        <v>493</v>
      </c>
      <c r="D143">
        <v>107704604</v>
      </c>
      <c r="E143" t="s">
        <v>509</v>
      </c>
      <c r="F143" t="s">
        <v>486</v>
      </c>
      <c r="G143">
        <v>0.69</v>
      </c>
      <c r="H143">
        <v>8.52</v>
      </c>
      <c r="I143">
        <v>0.05</v>
      </c>
      <c r="J143">
        <v>0</v>
      </c>
      <c r="K143">
        <v>9.26</v>
      </c>
      <c r="L143" t="s">
        <v>487</v>
      </c>
      <c r="M143">
        <v>391</v>
      </c>
      <c r="N143">
        <v>42.22</v>
      </c>
      <c r="O143" t="s">
        <v>60</v>
      </c>
      <c r="P143" t="s">
        <v>491</v>
      </c>
      <c r="Q143">
        <v>0</v>
      </c>
      <c r="R143">
        <v>0</v>
      </c>
    </row>
    <row r="144" spans="1:18" x14ac:dyDescent="0.35">
      <c r="A144" t="s">
        <v>197</v>
      </c>
      <c r="B144" t="s">
        <v>483</v>
      </c>
      <c r="C144" t="s">
        <v>493</v>
      </c>
      <c r="D144">
        <v>107704604</v>
      </c>
      <c r="E144" t="s">
        <v>509</v>
      </c>
      <c r="F144" t="s">
        <v>486</v>
      </c>
      <c r="G144">
        <v>0.69</v>
      </c>
      <c r="H144">
        <v>8.52</v>
      </c>
      <c r="I144">
        <v>0.05</v>
      </c>
      <c r="J144">
        <v>0</v>
      </c>
      <c r="K144">
        <v>9.26</v>
      </c>
      <c r="L144" t="s">
        <v>487</v>
      </c>
      <c r="M144">
        <v>391</v>
      </c>
      <c r="N144">
        <v>42.22</v>
      </c>
      <c r="O144" t="s">
        <v>60</v>
      </c>
      <c r="P144" t="s">
        <v>492</v>
      </c>
      <c r="Q144">
        <v>4451</v>
      </c>
      <c r="R144">
        <v>480.67</v>
      </c>
    </row>
    <row r="145" spans="1:18" x14ac:dyDescent="0.35">
      <c r="A145" t="s">
        <v>197</v>
      </c>
      <c r="B145" t="s">
        <v>483</v>
      </c>
      <c r="C145" t="s">
        <v>493</v>
      </c>
      <c r="D145">
        <v>107704604</v>
      </c>
      <c r="E145" t="s">
        <v>509</v>
      </c>
      <c r="F145" t="s">
        <v>486</v>
      </c>
      <c r="G145">
        <v>0.69</v>
      </c>
      <c r="H145">
        <v>8.52</v>
      </c>
      <c r="I145">
        <v>0.05</v>
      </c>
      <c r="J145">
        <v>0</v>
      </c>
      <c r="K145">
        <v>9.26</v>
      </c>
      <c r="L145" t="s">
        <v>487</v>
      </c>
      <c r="M145">
        <v>391</v>
      </c>
      <c r="N145">
        <v>42.22</v>
      </c>
      <c r="O145" t="s">
        <v>81</v>
      </c>
      <c r="P145" t="s">
        <v>492</v>
      </c>
      <c r="Q145">
        <v>391</v>
      </c>
      <c r="R145">
        <v>42.22</v>
      </c>
    </row>
    <row r="146" spans="1:18" x14ac:dyDescent="0.35">
      <c r="A146" t="s">
        <v>197</v>
      </c>
      <c r="B146" t="s">
        <v>483</v>
      </c>
      <c r="C146" t="s">
        <v>493</v>
      </c>
      <c r="D146">
        <v>107775413</v>
      </c>
      <c r="E146" t="s">
        <v>510</v>
      </c>
      <c r="F146" t="s">
        <v>486</v>
      </c>
      <c r="G146">
        <v>0.91</v>
      </c>
      <c r="H146">
        <v>6.06</v>
      </c>
      <c r="I146">
        <v>0.28000000000000003</v>
      </c>
      <c r="J146">
        <v>0</v>
      </c>
      <c r="K146">
        <v>7.25</v>
      </c>
      <c r="L146" t="s">
        <v>487</v>
      </c>
      <c r="M146">
        <v>228</v>
      </c>
      <c r="N146">
        <v>31.45</v>
      </c>
      <c r="O146" t="s">
        <v>60</v>
      </c>
      <c r="P146" t="s">
        <v>488</v>
      </c>
      <c r="Q146">
        <v>872</v>
      </c>
      <c r="R146">
        <v>957.07</v>
      </c>
    </row>
    <row r="147" spans="1:18" x14ac:dyDescent="0.35">
      <c r="A147" t="s">
        <v>197</v>
      </c>
      <c r="B147" t="s">
        <v>483</v>
      </c>
      <c r="C147" t="s">
        <v>493</v>
      </c>
      <c r="D147">
        <v>107775413</v>
      </c>
      <c r="E147" t="s">
        <v>510</v>
      </c>
      <c r="F147" t="s">
        <v>486</v>
      </c>
      <c r="G147">
        <v>0.91</v>
      </c>
      <c r="H147">
        <v>6.06</v>
      </c>
      <c r="I147">
        <v>0.28000000000000003</v>
      </c>
      <c r="J147">
        <v>0</v>
      </c>
      <c r="K147">
        <v>7.25</v>
      </c>
      <c r="L147" t="s">
        <v>487</v>
      </c>
      <c r="M147">
        <v>228</v>
      </c>
      <c r="N147">
        <v>31.45</v>
      </c>
      <c r="O147" t="s">
        <v>60</v>
      </c>
      <c r="P147" t="s">
        <v>489</v>
      </c>
      <c r="Q147">
        <v>1058</v>
      </c>
      <c r="R147">
        <v>174.53</v>
      </c>
    </row>
    <row r="148" spans="1:18" x14ac:dyDescent="0.35">
      <c r="A148" t="s">
        <v>197</v>
      </c>
      <c r="B148" t="s">
        <v>483</v>
      </c>
      <c r="C148" t="s">
        <v>493</v>
      </c>
      <c r="D148">
        <v>107775413</v>
      </c>
      <c r="E148" t="s">
        <v>510</v>
      </c>
      <c r="F148" t="s">
        <v>486</v>
      </c>
      <c r="G148">
        <v>0.91</v>
      </c>
      <c r="H148">
        <v>6.06</v>
      </c>
      <c r="I148">
        <v>0.28000000000000003</v>
      </c>
      <c r="J148">
        <v>0</v>
      </c>
      <c r="K148">
        <v>7.25</v>
      </c>
      <c r="L148" t="s">
        <v>487</v>
      </c>
      <c r="M148">
        <v>228</v>
      </c>
      <c r="N148">
        <v>31.45</v>
      </c>
      <c r="O148" t="s">
        <v>60</v>
      </c>
      <c r="P148" t="s">
        <v>490</v>
      </c>
      <c r="Q148">
        <v>23</v>
      </c>
      <c r="R148">
        <v>83.13</v>
      </c>
    </row>
    <row r="149" spans="1:18" x14ac:dyDescent="0.35">
      <c r="A149" t="s">
        <v>197</v>
      </c>
      <c r="B149" t="s">
        <v>483</v>
      </c>
      <c r="C149" t="s">
        <v>493</v>
      </c>
      <c r="D149">
        <v>107775413</v>
      </c>
      <c r="E149" t="s">
        <v>510</v>
      </c>
      <c r="F149" t="s">
        <v>486</v>
      </c>
      <c r="G149">
        <v>0.91</v>
      </c>
      <c r="H149">
        <v>6.06</v>
      </c>
      <c r="I149">
        <v>0.28000000000000003</v>
      </c>
      <c r="J149">
        <v>0</v>
      </c>
      <c r="K149">
        <v>7.25</v>
      </c>
      <c r="L149" t="s">
        <v>487</v>
      </c>
      <c r="M149">
        <v>228</v>
      </c>
      <c r="N149">
        <v>31.45</v>
      </c>
      <c r="O149" t="s">
        <v>60</v>
      </c>
      <c r="P149" t="s">
        <v>491</v>
      </c>
      <c r="Q149">
        <v>0</v>
      </c>
      <c r="R149">
        <v>0</v>
      </c>
    </row>
    <row r="150" spans="1:18" x14ac:dyDescent="0.35">
      <c r="A150" t="s">
        <v>197</v>
      </c>
      <c r="B150" t="s">
        <v>483</v>
      </c>
      <c r="C150" t="s">
        <v>493</v>
      </c>
      <c r="D150">
        <v>107775413</v>
      </c>
      <c r="E150" t="s">
        <v>510</v>
      </c>
      <c r="F150" t="s">
        <v>486</v>
      </c>
      <c r="G150">
        <v>0.91</v>
      </c>
      <c r="H150">
        <v>6.06</v>
      </c>
      <c r="I150">
        <v>0.28000000000000003</v>
      </c>
      <c r="J150">
        <v>0</v>
      </c>
      <c r="K150">
        <v>7.25</v>
      </c>
      <c r="L150" t="s">
        <v>487</v>
      </c>
      <c r="M150">
        <v>228</v>
      </c>
      <c r="N150">
        <v>31.45</v>
      </c>
      <c r="O150" t="s">
        <v>60</v>
      </c>
      <c r="P150" t="s">
        <v>492</v>
      </c>
      <c r="Q150">
        <v>1953</v>
      </c>
      <c r="R150">
        <v>269.38</v>
      </c>
    </row>
    <row r="151" spans="1:18" x14ac:dyDescent="0.35">
      <c r="A151" t="s">
        <v>197</v>
      </c>
      <c r="B151" t="s">
        <v>483</v>
      </c>
      <c r="C151" t="s">
        <v>493</v>
      </c>
      <c r="D151">
        <v>107775413</v>
      </c>
      <c r="E151" t="s">
        <v>510</v>
      </c>
      <c r="F151" t="s">
        <v>486</v>
      </c>
      <c r="G151">
        <v>0.91</v>
      </c>
      <c r="H151">
        <v>6.06</v>
      </c>
      <c r="I151">
        <v>0.28000000000000003</v>
      </c>
      <c r="J151">
        <v>0</v>
      </c>
      <c r="K151">
        <v>7.25</v>
      </c>
      <c r="L151" t="s">
        <v>487</v>
      </c>
      <c r="M151">
        <v>228</v>
      </c>
      <c r="N151">
        <v>31.45</v>
      </c>
      <c r="O151" t="s">
        <v>81</v>
      </c>
      <c r="P151" t="s">
        <v>492</v>
      </c>
      <c r="Q151">
        <v>228</v>
      </c>
      <c r="R151">
        <v>31.45</v>
      </c>
    </row>
    <row r="152" spans="1:18" x14ac:dyDescent="0.35">
      <c r="A152" t="s">
        <v>197</v>
      </c>
      <c r="B152" t="s">
        <v>483</v>
      </c>
      <c r="C152" t="s">
        <v>484</v>
      </c>
      <c r="D152">
        <v>107775521</v>
      </c>
      <c r="E152" t="s">
        <v>511</v>
      </c>
      <c r="F152" t="s">
        <v>486</v>
      </c>
      <c r="G152">
        <v>0.28999999999999998</v>
      </c>
      <c r="H152">
        <v>7.96</v>
      </c>
      <c r="I152">
        <v>0</v>
      </c>
      <c r="J152">
        <v>0</v>
      </c>
      <c r="K152">
        <v>8.25</v>
      </c>
      <c r="L152" t="s">
        <v>487</v>
      </c>
      <c r="M152">
        <v>318</v>
      </c>
      <c r="N152">
        <v>38.549999999999997</v>
      </c>
      <c r="O152" t="s">
        <v>60</v>
      </c>
      <c r="P152" t="s">
        <v>488</v>
      </c>
      <c r="Q152">
        <v>366</v>
      </c>
      <c r="R152">
        <v>1264.49</v>
      </c>
    </row>
    <row r="153" spans="1:18" x14ac:dyDescent="0.35">
      <c r="A153" t="s">
        <v>197</v>
      </c>
      <c r="B153" t="s">
        <v>483</v>
      </c>
      <c r="C153" t="s">
        <v>484</v>
      </c>
      <c r="D153">
        <v>107775521</v>
      </c>
      <c r="E153" t="s">
        <v>511</v>
      </c>
      <c r="F153" t="s">
        <v>486</v>
      </c>
      <c r="G153">
        <v>0.28999999999999998</v>
      </c>
      <c r="H153">
        <v>7.96</v>
      </c>
      <c r="I153">
        <v>0</v>
      </c>
      <c r="J153">
        <v>0</v>
      </c>
      <c r="K153">
        <v>8.25</v>
      </c>
      <c r="L153" t="s">
        <v>487</v>
      </c>
      <c r="M153">
        <v>318</v>
      </c>
      <c r="N153">
        <v>38.549999999999997</v>
      </c>
      <c r="O153" t="s">
        <v>60</v>
      </c>
      <c r="P153" t="s">
        <v>489</v>
      </c>
      <c r="Q153">
        <v>1835</v>
      </c>
      <c r="R153">
        <v>230.52</v>
      </c>
    </row>
    <row r="154" spans="1:18" x14ac:dyDescent="0.35">
      <c r="A154" t="s">
        <v>197</v>
      </c>
      <c r="B154" t="s">
        <v>483</v>
      </c>
      <c r="C154" t="s">
        <v>484</v>
      </c>
      <c r="D154">
        <v>107775521</v>
      </c>
      <c r="E154" t="s">
        <v>511</v>
      </c>
      <c r="F154" t="s">
        <v>486</v>
      </c>
      <c r="G154">
        <v>0.28999999999999998</v>
      </c>
      <c r="H154">
        <v>7.96</v>
      </c>
      <c r="I154">
        <v>0</v>
      </c>
      <c r="J154">
        <v>0</v>
      </c>
      <c r="K154">
        <v>8.25</v>
      </c>
      <c r="L154" t="s">
        <v>487</v>
      </c>
      <c r="M154">
        <v>318</v>
      </c>
      <c r="N154">
        <v>38.549999999999997</v>
      </c>
      <c r="O154" t="s">
        <v>60</v>
      </c>
      <c r="P154" t="s">
        <v>490</v>
      </c>
      <c r="Q154">
        <v>0</v>
      </c>
      <c r="R154">
        <v>0</v>
      </c>
    </row>
    <row r="155" spans="1:18" x14ac:dyDescent="0.35">
      <c r="A155" t="s">
        <v>197</v>
      </c>
      <c r="B155" t="s">
        <v>483</v>
      </c>
      <c r="C155" t="s">
        <v>484</v>
      </c>
      <c r="D155">
        <v>107775521</v>
      </c>
      <c r="E155" t="s">
        <v>511</v>
      </c>
      <c r="F155" t="s">
        <v>486</v>
      </c>
      <c r="G155">
        <v>0.28999999999999998</v>
      </c>
      <c r="H155">
        <v>7.96</v>
      </c>
      <c r="I155">
        <v>0</v>
      </c>
      <c r="J155">
        <v>0</v>
      </c>
      <c r="K155">
        <v>8.25</v>
      </c>
      <c r="L155" t="s">
        <v>487</v>
      </c>
      <c r="M155">
        <v>318</v>
      </c>
      <c r="N155">
        <v>38.549999999999997</v>
      </c>
      <c r="O155" t="s">
        <v>60</v>
      </c>
      <c r="P155" t="s">
        <v>491</v>
      </c>
      <c r="Q155">
        <v>0</v>
      </c>
      <c r="R155">
        <v>0</v>
      </c>
    </row>
    <row r="156" spans="1:18" x14ac:dyDescent="0.35">
      <c r="A156" t="s">
        <v>197</v>
      </c>
      <c r="B156" t="s">
        <v>483</v>
      </c>
      <c r="C156" t="s">
        <v>484</v>
      </c>
      <c r="D156">
        <v>107775521</v>
      </c>
      <c r="E156" t="s">
        <v>511</v>
      </c>
      <c r="F156" t="s">
        <v>486</v>
      </c>
      <c r="G156">
        <v>0.28999999999999998</v>
      </c>
      <c r="H156">
        <v>7.96</v>
      </c>
      <c r="I156">
        <v>0</v>
      </c>
      <c r="J156">
        <v>0</v>
      </c>
      <c r="K156">
        <v>8.25</v>
      </c>
      <c r="L156" t="s">
        <v>487</v>
      </c>
      <c r="M156">
        <v>318</v>
      </c>
      <c r="N156">
        <v>38.549999999999997</v>
      </c>
      <c r="O156" t="s">
        <v>60</v>
      </c>
      <c r="P156" t="s">
        <v>492</v>
      </c>
      <c r="Q156">
        <v>2201</v>
      </c>
      <c r="R156">
        <v>266.79000000000002</v>
      </c>
    </row>
    <row r="157" spans="1:18" x14ac:dyDescent="0.35">
      <c r="A157" t="s">
        <v>197</v>
      </c>
      <c r="B157" t="s">
        <v>483</v>
      </c>
      <c r="C157" t="s">
        <v>484</v>
      </c>
      <c r="D157">
        <v>107775521</v>
      </c>
      <c r="E157" t="s">
        <v>511</v>
      </c>
      <c r="F157" t="s">
        <v>486</v>
      </c>
      <c r="G157">
        <v>0.28999999999999998</v>
      </c>
      <c r="H157">
        <v>7.96</v>
      </c>
      <c r="I157">
        <v>0</v>
      </c>
      <c r="J157">
        <v>0</v>
      </c>
      <c r="K157">
        <v>8.25</v>
      </c>
      <c r="L157" t="s">
        <v>487</v>
      </c>
      <c r="M157">
        <v>318</v>
      </c>
      <c r="N157">
        <v>38.549999999999997</v>
      </c>
      <c r="O157" t="s">
        <v>81</v>
      </c>
      <c r="P157" t="s">
        <v>492</v>
      </c>
      <c r="Q157">
        <v>318</v>
      </c>
      <c r="R157">
        <v>38.549999999999997</v>
      </c>
    </row>
    <row r="158" spans="1:18" x14ac:dyDescent="0.35">
      <c r="A158" t="s">
        <v>197</v>
      </c>
      <c r="B158" t="s">
        <v>483</v>
      </c>
      <c r="C158" t="s">
        <v>484</v>
      </c>
      <c r="D158">
        <v>107775986</v>
      </c>
      <c r="E158" t="s">
        <v>512</v>
      </c>
      <c r="F158" t="s">
        <v>486</v>
      </c>
      <c r="G158">
        <v>0.28999999999999998</v>
      </c>
      <c r="H158">
        <v>9.44</v>
      </c>
      <c r="I158">
        <v>0.3</v>
      </c>
      <c r="J158">
        <v>0</v>
      </c>
      <c r="K158">
        <v>10.029999999999999</v>
      </c>
      <c r="L158" t="s">
        <v>487</v>
      </c>
      <c r="M158">
        <v>519</v>
      </c>
      <c r="N158">
        <v>51.73</v>
      </c>
      <c r="O158" t="s">
        <v>60</v>
      </c>
      <c r="P158" t="s">
        <v>488</v>
      </c>
      <c r="Q158">
        <v>386</v>
      </c>
      <c r="R158">
        <v>1313.42</v>
      </c>
    </row>
    <row r="159" spans="1:18" x14ac:dyDescent="0.35">
      <c r="A159" t="s">
        <v>197</v>
      </c>
      <c r="B159" t="s">
        <v>483</v>
      </c>
      <c r="C159" t="s">
        <v>484</v>
      </c>
      <c r="D159">
        <v>107775986</v>
      </c>
      <c r="E159" t="s">
        <v>512</v>
      </c>
      <c r="F159" t="s">
        <v>486</v>
      </c>
      <c r="G159">
        <v>0.28999999999999998</v>
      </c>
      <c r="H159">
        <v>9.44</v>
      </c>
      <c r="I159">
        <v>0.3</v>
      </c>
      <c r="J159">
        <v>0</v>
      </c>
      <c r="K159">
        <v>10.029999999999999</v>
      </c>
      <c r="L159" t="s">
        <v>487</v>
      </c>
      <c r="M159">
        <v>519</v>
      </c>
      <c r="N159">
        <v>51.73</v>
      </c>
      <c r="O159" t="s">
        <v>60</v>
      </c>
      <c r="P159" t="s">
        <v>489</v>
      </c>
      <c r="Q159">
        <v>2260</v>
      </c>
      <c r="R159">
        <v>239.39</v>
      </c>
    </row>
    <row r="160" spans="1:18" x14ac:dyDescent="0.35">
      <c r="A160" t="s">
        <v>197</v>
      </c>
      <c r="B160" t="s">
        <v>483</v>
      </c>
      <c r="C160" t="s">
        <v>484</v>
      </c>
      <c r="D160">
        <v>107775986</v>
      </c>
      <c r="E160" t="s">
        <v>512</v>
      </c>
      <c r="F160" t="s">
        <v>486</v>
      </c>
      <c r="G160">
        <v>0.28999999999999998</v>
      </c>
      <c r="H160">
        <v>9.44</v>
      </c>
      <c r="I160">
        <v>0.3</v>
      </c>
      <c r="J160">
        <v>0</v>
      </c>
      <c r="K160">
        <v>10.029999999999999</v>
      </c>
      <c r="L160" t="s">
        <v>487</v>
      </c>
      <c r="M160">
        <v>519</v>
      </c>
      <c r="N160">
        <v>51.73</v>
      </c>
      <c r="O160" t="s">
        <v>60</v>
      </c>
      <c r="P160" t="s">
        <v>490</v>
      </c>
      <c r="Q160">
        <v>34</v>
      </c>
      <c r="R160">
        <v>114.07</v>
      </c>
    </row>
    <row r="161" spans="1:18" x14ac:dyDescent="0.35">
      <c r="A161" t="s">
        <v>197</v>
      </c>
      <c r="B161" t="s">
        <v>483</v>
      </c>
      <c r="C161" t="s">
        <v>484</v>
      </c>
      <c r="D161">
        <v>107775986</v>
      </c>
      <c r="E161" t="s">
        <v>512</v>
      </c>
      <c r="F161" t="s">
        <v>486</v>
      </c>
      <c r="G161">
        <v>0.28999999999999998</v>
      </c>
      <c r="H161">
        <v>9.44</v>
      </c>
      <c r="I161">
        <v>0.3</v>
      </c>
      <c r="J161">
        <v>0</v>
      </c>
      <c r="K161">
        <v>10.029999999999999</v>
      </c>
      <c r="L161" t="s">
        <v>487</v>
      </c>
      <c r="M161">
        <v>519</v>
      </c>
      <c r="N161">
        <v>51.73</v>
      </c>
      <c r="O161" t="s">
        <v>60</v>
      </c>
      <c r="P161" t="s">
        <v>491</v>
      </c>
      <c r="Q161">
        <v>0</v>
      </c>
      <c r="R161">
        <v>0</v>
      </c>
    </row>
    <row r="162" spans="1:18" x14ac:dyDescent="0.35">
      <c r="A162" t="s">
        <v>197</v>
      </c>
      <c r="B162" t="s">
        <v>483</v>
      </c>
      <c r="C162" t="s">
        <v>484</v>
      </c>
      <c r="D162">
        <v>107775986</v>
      </c>
      <c r="E162" t="s">
        <v>512</v>
      </c>
      <c r="F162" t="s">
        <v>486</v>
      </c>
      <c r="G162">
        <v>0.28999999999999998</v>
      </c>
      <c r="H162">
        <v>9.44</v>
      </c>
      <c r="I162">
        <v>0.3</v>
      </c>
      <c r="J162">
        <v>0</v>
      </c>
      <c r="K162">
        <v>10.029999999999999</v>
      </c>
      <c r="L162" t="s">
        <v>487</v>
      </c>
      <c r="M162">
        <v>519</v>
      </c>
      <c r="N162">
        <v>51.73</v>
      </c>
      <c r="O162" t="s">
        <v>60</v>
      </c>
      <c r="P162" t="s">
        <v>492</v>
      </c>
      <c r="Q162">
        <v>2680</v>
      </c>
      <c r="R162">
        <v>267.11</v>
      </c>
    </row>
    <row r="163" spans="1:18" x14ac:dyDescent="0.35">
      <c r="A163" t="s">
        <v>197</v>
      </c>
      <c r="B163" t="s">
        <v>483</v>
      </c>
      <c r="C163" t="s">
        <v>484</v>
      </c>
      <c r="D163">
        <v>107775986</v>
      </c>
      <c r="E163" t="s">
        <v>512</v>
      </c>
      <c r="F163" t="s">
        <v>486</v>
      </c>
      <c r="G163">
        <v>0.28999999999999998</v>
      </c>
      <c r="H163">
        <v>9.44</v>
      </c>
      <c r="I163">
        <v>0.3</v>
      </c>
      <c r="J163">
        <v>0</v>
      </c>
      <c r="K163">
        <v>10.029999999999999</v>
      </c>
      <c r="L163" t="s">
        <v>487</v>
      </c>
      <c r="M163">
        <v>519</v>
      </c>
      <c r="N163">
        <v>51.73</v>
      </c>
      <c r="O163" t="s">
        <v>81</v>
      </c>
      <c r="P163" t="s">
        <v>492</v>
      </c>
      <c r="Q163">
        <v>519</v>
      </c>
      <c r="R163">
        <v>51.73</v>
      </c>
    </row>
    <row r="164" spans="1:18" x14ac:dyDescent="0.35">
      <c r="A164" t="s">
        <v>197</v>
      </c>
      <c r="B164" t="s">
        <v>483</v>
      </c>
      <c r="C164" t="s">
        <v>484</v>
      </c>
      <c r="D164">
        <v>107791373</v>
      </c>
      <c r="E164" t="s">
        <v>529</v>
      </c>
      <c r="F164" t="s">
        <v>486</v>
      </c>
      <c r="G164">
        <v>0.34</v>
      </c>
      <c r="H164">
        <v>7.64</v>
      </c>
      <c r="I164">
        <v>0.25</v>
      </c>
      <c r="J164">
        <v>0</v>
      </c>
      <c r="K164">
        <v>8.2200000000000006</v>
      </c>
      <c r="L164" t="s">
        <v>487</v>
      </c>
      <c r="M164">
        <v>435</v>
      </c>
      <c r="N164">
        <v>52.89</v>
      </c>
      <c r="O164" t="s">
        <v>60</v>
      </c>
      <c r="P164" t="s">
        <v>488</v>
      </c>
      <c r="Q164">
        <v>502</v>
      </c>
      <c r="R164">
        <v>1491.09</v>
      </c>
    </row>
    <row r="165" spans="1:18" x14ac:dyDescent="0.35">
      <c r="A165" t="s">
        <v>197</v>
      </c>
      <c r="B165" t="s">
        <v>483</v>
      </c>
      <c r="C165" t="s">
        <v>484</v>
      </c>
      <c r="D165">
        <v>107791373</v>
      </c>
      <c r="E165" t="s">
        <v>529</v>
      </c>
      <c r="F165" t="s">
        <v>486</v>
      </c>
      <c r="G165">
        <v>0.34</v>
      </c>
      <c r="H165">
        <v>7.64</v>
      </c>
      <c r="I165">
        <v>0.25</v>
      </c>
      <c r="J165">
        <v>0</v>
      </c>
      <c r="K165">
        <v>8.2200000000000006</v>
      </c>
      <c r="L165" t="s">
        <v>487</v>
      </c>
      <c r="M165">
        <v>435</v>
      </c>
      <c r="N165">
        <v>52.89</v>
      </c>
      <c r="O165" t="s">
        <v>60</v>
      </c>
      <c r="P165" t="s">
        <v>489</v>
      </c>
      <c r="Q165">
        <v>2078</v>
      </c>
      <c r="R165">
        <v>271.95999999999998</v>
      </c>
    </row>
    <row r="166" spans="1:18" x14ac:dyDescent="0.35">
      <c r="A166" t="s">
        <v>197</v>
      </c>
      <c r="B166" t="s">
        <v>483</v>
      </c>
      <c r="C166" t="s">
        <v>484</v>
      </c>
      <c r="D166">
        <v>107791373</v>
      </c>
      <c r="E166" t="s">
        <v>529</v>
      </c>
      <c r="F166" t="s">
        <v>486</v>
      </c>
      <c r="G166">
        <v>0.34</v>
      </c>
      <c r="H166">
        <v>7.64</v>
      </c>
      <c r="I166">
        <v>0.25</v>
      </c>
      <c r="J166">
        <v>0</v>
      </c>
      <c r="K166">
        <v>8.2200000000000006</v>
      </c>
      <c r="L166" t="s">
        <v>487</v>
      </c>
      <c r="M166">
        <v>435</v>
      </c>
      <c r="N166">
        <v>52.89</v>
      </c>
      <c r="O166" t="s">
        <v>60</v>
      </c>
      <c r="P166" t="s">
        <v>490</v>
      </c>
      <c r="Q166">
        <v>32</v>
      </c>
      <c r="R166">
        <v>129.58000000000001</v>
      </c>
    </row>
    <row r="167" spans="1:18" x14ac:dyDescent="0.35">
      <c r="A167" t="s">
        <v>197</v>
      </c>
      <c r="B167" t="s">
        <v>483</v>
      </c>
      <c r="C167" t="s">
        <v>484</v>
      </c>
      <c r="D167">
        <v>107791373</v>
      </c>
      <c r="E167" t="s">
        <v>529</v>
      </c>
      <c r="F167" t="s">
        <v>486</v>
      </c>
      <c r="G167">
        <v>0.34</v>
      </c>
      <c r="H167">
        <v>7.64</v>
      </c>
      <c r="I167">
        <v>0.25</v>
      </c>
      <c r="J167">
        <v>0</v>
      </c>
      <c r="K167">
        <v>8.2200000000000006</v>
      </c>
      <c r="L167" t="s">
        <v>487</v>
      </c>
      <c r="M167">
        <v>435</v>
      </c>
      <c r="N167">
        <v>52.89</v>
      </c>
      <c r="O167" t="s">
        <v>60</v>
      </c>
      <c r="P167" t="s">
        <v>491</v>
      </c>
      <c r="Q167">
        <v>0</v>
      </c>
      <c r="R167">
        <v>0</v>
      </c>
    </row>
    <row r="168" spans="1:18" x14ac:dyDescent="0.35">
      <c r="A168" t="s">
        <v>197</v>
      </c>
      <c r="B168" t="s">
        <v>483</v>
      </c>
      <c r="C168" t="s">
        <v>484</v>
      </c>
      <c r="D168">
        <v>107791373</v>
      </c>
      <c r="E168" t="s">
        <v>529</v>
      </c>
      <c r="F168" t="s">
        <v>486</v>
      </c>
      <c r="G168">
        <v>0.34</v>
      </c>
      <c r="H168">
        <v>7.64</v>
      </c>
      <c r="I168">
        <v>0.25</v>
      </c>
      <c r="J168">
        <v>0</v>
      </c>
      <c r="K168">
        <v>8.2200000000000006</v>
      </c>
      <c r="L168" t="s">
        <v>487</v>
      </c>
      <c r="M168">
        <v>435</v>
      </c>
      <c r="N168">
        <v>52.89</v>
      </c>
      <c r="O168" t="s">
        <v>60</v>
      </c>
      <c r="P168" t="s">
        <v>492</v>
      </c>
      <c r="Q168">
        <v>2612</v>
      </c>
      <c r="R168">
        <v>317.58</v>
      </c>
    </row>
    <row r="169" spans="1:18" x14ac:dyDescent="0.35">
      <c r="A169" t="s">
        <v>197</v>
      </c>
      <c r="B169" t="s">
        <v>483</v>
      </c>
      <c r="C169" t="s">
        <v>484</v>
      </c>
      <c r="D169">
        <v>107791373</v>
      </c>
      <c r="E169" t="s">
        <v>529</v>
      </c>
      <c r="F169" t="s">
        <v>486</v>
      </c>
      <c r="G169">
        <v>0.34</v>
      </c>
      <c r="H169">
        <v>7.64</v>
      </c>
      <c r="I169">
        <v>0.25</v>
      </c>
      <c r="J169">
        <v>0</v>
      </c>
      <c r="K169">
        <v>8.2200000000000006</v>
      </c>
      <c r="L169" t="s">
        <v>487</v>
      </c>
      <c r="M169">
        <v>435</v>
      </c>
      <c r="N169">
        <v>52.89</v>
      </c>
      <c r="O169" t="s">
        <v>81</v>
      </c>
      <c r="P169" t="s">
        <v>492</v>
      </c>
      <c r="Q169">
        <v>435</v>
      </c>
      <c r="R169">
        <v>52.89</v>
      </c>
    </row>
    <row r="170" spans="1:18" x14ac:dyDescent="0.35">
      <c r="A170" t="s">
        <v>197</v>
      </c>
      <c r="B170" t="s">
        <v>483</v>
      </c>
      <c r="C170" t="s">
        <v>484</v>
      </c>
      <c r="D170">
        <v>107843844</v>
      </c>
      <c r="E170" t="s">
        <v>516</v>
      </c>
      <c r="F170" t="s">
        <v>486</v>
      </c>
      <c r="G170">
        <v>0.41</v>
      </c>
      <c r="H170">
        <v>6.87</v>
      </c>
      <c r="I170">
        <v>0.2</v>
      </c>
      <c r="J170">
        <v>0</v>
      </c>
      <c r="K170">
        <v>7.48</v>
      </c>
      <c r="L170" t="s">
        <v>487</v>
      </c>
      <c r="M170">
        <v>375</v>
      </c>
      <c r="N170">
        <v>50.11</v>
      </c>
      <c r="O170" t="s">
        <v>60</v>
      </c>
      <c r="P170" t="s">
        <v>488</v>
      </c>
      <c r="Q170">
        <v>601</v>
      </c>
      <c r="R170">
        <v>1466.85</v>
      </c>
    </row>
    <row r="171" spans="1:18" x14ac:dyDescent="0.35">
      <c r="A171" t="s">
        <v>197</v>
      </c>
      <c r="B171" t="s">
        <v>483</v>
      </c>
      <c r="C171" t="s">
        <v>484</v>
      </c>
      <c r="D171">
        <v>107843844</v>
      </c>
      <c r="E171" t="s">
        <v>516</v>
      </c>
      <c r="F171" t="s">
        <v>486</v>
      </c>
      <c r="G171">
        <v>0.41</v>
      </c>
      <c r="H171">
        <v>6.87</v>
      </c>
      <c r="I171">
        <v>0.2</v>
      </c>
      <c r="J171">
        <v>0</v>
      </c>
      <c r="K171">
        <v>7.48</v>
      </c>
      <c r="L171" t="s">
        <v>487</v>
      </c>
      <c r="M171">
        <v>375</v>
      </c>
      <c r="N171">
        <v>50.11</v>
      </c>
      <c r="O171" t="s">
        <v>60</v>
      </c>
      <c r="P171" t="s">
        <v>489</v>
      </c>
      <c r="Q171">
        <v>1838</v>
      </c>
      <c r="R171">
        <v>267.56</v>
      </c>
    </row>
    <row r="172" spans="1:18" x14ac:dyDescent="0.35">
      <c r="A172" t="s">
        <v>197</v>
      </c>
      <c r="B172" t="s">
        <v>483</v>
      </c>
      <c r="C172" t="s">
        <v>484</v>
      </c>
      <c r="D172">
        <v>107843844</v>
      </c>
      <c r="E172" t="s">
        <v>516</v>
      </c>
      <c r="F172" t="s">
        <v>486</v>
      </c>
      <c r="G172">
        <v>0.41</v>
      </c>
      <c r="H172">
        <v>6.87</v>
      </c>
      <c r="I172">
        <v>0.2</v>
      </c>
      <c r="J172">
        <v>0</v>
      </c>
      <c r="K172">
        <v>7.48</v>
      </c>
      <c r="L172" t="s">
        <v>487</v>
      </c>
      <c r="M172">
        <v>375</v>
      </c>
      <c r="N172">
        <v>50.11</v>
      </c>
      <c r="O172" t="s">
        <v>60</v>
      </c>
      <c r="P172" t="s">
        <v>490</v>
      </c>
      <c r="Q172">
        <v>26</v>
      </c>
      <c r="R172">
        <v>127.52</v>
      </c>
    </row>
    <row r="173" spans="1:18" x14ac:dyDescent="0.35">
      <c r="A173" t="s">
        <v>197</v>
      </c>
      <c r="B173" t="s">
        <v>483</v>
      </c>
      <c r="C173" t="s">
        <v>484</v>
      </c>
      <c r="D173">
        <v>107843844</v>
      </c>
      <c r="E173" t="s">
        <v>516</v>
      </c>
      <c r="F173" t="s">
        <v>486</v>
      </c>
      <c r="G173">
        <v>0.41</v>
      </c>
      <c r="H173">
        <v>6.87</v>
      </c>
      <c r="I173">
        <v>0.2</v>
      </c>
      <c r="J173">
        <v>0</v>
      </c>
      <c r="K173">
        <v>7.48</v>
      </c>
      <c r="L173" t="s">
        <v>487</v>
      </c>
      <c r="M173">
        <v>375</v>
      </c>
      <c r="N173">
        <v>50.11</v>
      </c>
      <c r="O173" t="s">
        <v>60</v>
      </c>
      <c r="P173" t="s">
        <v>491</v>
      </c>
      <c r="Q173">
        <v>0</v>
      </c>
      <c r="R173">
        <v>0</v>
      </c>
    </row>
    <row r="174" spans="1:18" x14ac:dyDescent="0.35">
      <c r="A174" t="s">
        <v>197</v>
      </c>
      <c r="B174" t="s">
        <v>483</v>
      </c>
      <c r="C174" t="s">
        <v>484</v>
      </c>
      <c r="D174">
        <v>107843844</v>
      </c>
      <c r="E174" t="s">
        <v>516</v>
      </c>
      <c r="F174" t="s">
        <v>486</v>
      </c>
      <c r="G174">
        <v>0.41</v>
      </c>
      <c r="H174">
        <v>6.87</v>
      </c>
      <c r="I174">
        <v>0.2</v>
      </c>
      <c r="J174">
        <v>0</v>
      </c>
      <c r="K174">
        <v>7.48</v>
      </c>
      <c r="L174" t="s">
        <v>487</v>
      </c>
      <c r="M174">
        <v>375</v>
      </c>
      <c r="N174">
        <v>50.11</v>
      </c>
      <c r="O174" t="s">
        <v>60</v>
      </c>
      <c r="P174" t="s">
        <v>492</v>
      </c>
      <c r="Q174">
        <v>2465</v>
      </c>
      <c r="R174">
        <v>329.4</v>
      </c>
    </row>
    <row r="175" spans="1:18" x14ac:dyDescent="0.35">
      <c r="A175" t="s">
        <v>197</v>
      </c>
      <c r="B175" t="s">
        <v>483</v>
      </c>
      <c r="C175" t="s">
        <v>484</v>
      </c>
      <c r="D175">
        <v>107843844</v>
      </c>
      <c r="E175" t="s">
        <v>516</v>
      </c>
      <c r="F175" t="s">
        <v>486</v>
      </c>
      <c r="G175">
        <v>0.41</v>
      </c>
      <c r="H175">
        <v>6.87</v>
      </c>
      <c r="I175">
        <v>0.2</v>
      </c>
      <c r="J175">
        <v>0</v>
      </c>
      <c r="K175">
        <v>7.48</v>
      </c>
      <c r="L175" t="s">
        <v>487</v>
      </c>
      <c r="M175">
        <v>375</v>
      </c>
      <c r="N175">
        <v>50.11</v>
      </c>
      <c r="O175" t="s">
        <v>81</v>
      </c>
      <c r="P175" t="s">
        <v>492</v>
      </c>
      <c r="Q175">
        <v>375</v>
      </c>
      <c r="R175">
        <v>50.11</v>
      </c>
    </row>
    <row r="176" spans="1:18" x14ac:dyDescent="0.35">
      <c r="A176" t="s">
        <v>197</v>
      </c>
      <c r="B176" t="s">
        <v>483</v>
      </c>
      <c r="C176" t="s">
        <v>484</v>
      </c>
      <c r="D176">
        <v>107843876</v>
      </c>
      <c r="E176" t="s">
        <v>517</v>
      </c>
      <c r="F176" t="s">
        <v>486</v>
      </c>
      <c r="G176">
        <v>0.56000000000000005</v>
      </c>
      <c r="H176">
        <v>6.79</v>
      </c>
      <c r="I176">
        <v>0.14000000000000001</v>
      </c>
      <c r="J176">
        <v>0</v>
      </c>
      <c r="K176">
        <v>7.5</v>
      </c>
      <c r="L176" t="s">
        <v>487</v>
      </c>
      <c r="M176">
        <v>377</v>
      </c>
      <c r="N176">
        <v>50.27</v>
      </c>
      <c r="O176" t="s">
        <v>60</v>
      </c>
      <c r="P176" t="s">
        <v>488</v>
      </c>
      <c r="Q176">
        <v>1078</v>
      </c>
      <c r="R176">
        <v>1912.67</v>
      </c>
    </row>
    <row r="177" spans="1:18" x14ac:dyDescent="0.35">
      <c r="A177" t="s">
        <v>197</v>
      </c>
      <c r="B177" t="s">
        <v>483</v>
      </c>
      <c r="C177" t="s">
        <v>484</v>
      </c>
      <c r="D177">
        <v>107843876</v>
      </c>
      <c r="E177" t="s">
        <v>517</v>
      </c>
      <c r="F177" t="s">
        <v>486</v>
      </c>
      <c r="G177">
        <v>0.56000000000000005</v>
      </c>
      <c r="H177">
        <v>6.79</v>
      </c>
      <c r="I177">
        <v>0.14000000000000001</v>
      </c>
      <c r="J177">
        <v>0</v>
      </c>
      <c r="K177">
        <v>7.5</v>
      </c>
      <c r="L177" t="s">
        <v>487</v>
      </c>
      <c r="M177">
        <v>377</v>
      </c>
      <c r="N177">
        <v>50.27</v>
      </c>
      <c r="O177" t="s">
        <v>60</v>
      </c>
      <c r="P177" t="s">
        <v>489</v>
      </c>
      <c r="Q177">
        <v>2369</v>
      </c>
      <c r="R177">
        <v>348.81</v>
      </c>
    </row>
    <row r="178" spans="1:18" x14ac:dyDescent="0.35">
      <c r="A178" t="s">
        <v>197</v>
      </c>
      <c r="B178" t="s">
        <v>483</v>
      </c>
      <c r="C178" t="s">
        <v>484</v>
      </c>
      <c r="D178">
        <v>107843876</v>
      </c>
      <c r="E178" t="s">
        <v>517</v>
      </c>
      <c r="F178" t="s">
        <v>486</v>
      </c>
      <c r="G178">
        <v>0.56000000000000005</v>
      </c>
      <c r="H178">
        <v>6.79</v>
      </c>
      <c r="I178">
        <v>0.14000000000000001</v>
      </c>
      <c r="J178">
        <v>0</v>
      </c>
      <c r="K178">
        <v>7.5</v>
      </c>
      <c r="L178" t="s">
        <v>487</v>
      </c>
      <c r="M178">
        <v>377</v>
      </c>
      <c r="N178">
        <v>50.27</v>
      </c>
      <c r="O178" t="s">
        <v>60</v>
      </c>
      <c r="P178" t="s">
        <v>490</v>
      </c>
      <c r="Q178">
        <v>24</v>
      </c>
      <c r="R178">
        <v>166.15</v>
      </c>
    </row>
    <row r="179" spans="1:18" x14ac:dyDescent="0.35">
      <c r="A179" t="s">
        <v>197</v>
      </c>
      <c r="B179" t="s">
        <v>483</v>
      </c>
      <c r="C179" t="s">
        <v>484</v>
      </c>
      <c r="D179">
        <v>107843876</v>
      </c>
      <c r="E179" t="s">
        <v>517</v>
      </c>
      <c r="F179" t="s">
        <v>486</v>
      </c>
      <c r="G179">
        <v>0.56000000000000005</v>
      </c>
      <c r="H179">
        <v>6.79</v>
      </c>
      <c r="I179">
        <v>0.14000000000000001</v>
      </c>
      <c r="J179">
        <v>0</v>
      </c>
      <c r="K179">
        <v>7.5</v>
      </c>
      <c r="L179" t="s">
        <v>487</v>
      </c>
      <c r="M179">
        <v>377</v>
      </c>
      <c r="N179">
        <v>50.27</v>
      </c>
      <c r="O179" t="s">
        <v>60</v>
      </c>
      <c r="P179" t="s">
        <v>491</v>
      </c>
      <c r="Q179">
        <v>0</v>
      </c>
      <c r="R179">
        <v>0</v>
      </c>
    </row>
    <row r="180" spans="1:18" x14ac:dyDescent="0.35">
      <c r="A180" t="s">
        <v>197</v>
      </c>
      <c r="B180" t="s">
        <v>483</v>
      </c>
      <c r="C180" t="s">
        <v>484</v>
      </c>
      <c r="D180">
        <v>107843876</v>
      </c>
      <c r="E180" t="s">
        <v>517</v>
      </c>
      <c r="F180" t="s">
        <v>486</v>
      </c>
      <c r="G180">
        <v>0.56000000000000005</v>
      </c>
      <c r="H180">
        <v>6.79</v>
      </c>
      <c r="I180">
        <v>0.14000000000000001</v>
      </c>
      <c r="J180">
        <v>0</v>
      </c>
      <c r="K180">
        <v>7.5</v>
      </c>
      <c r="L180" t="s">
        <v>487</v>
      </c>
      <c r="M180">
        <v>377</v>
      </c>
      <c r="N180">
        <v>50.27</v>
      </c>
      <c r="O180" t="s">
        <v>60</v>
      </c>
      <c r="P180" t="s">
        <v>492</v>
      </c>
      <c r="Q180">
        <v>3471</v>
      </c>
      <c r="R180">
        <v>462.8</v>
      </c>
    </row>
    <row r="181" spans="1:18" x14ac:dyDescent="0.35">
      <c r="A181" t="s">
        <v>197</v>
      </c>
      <c r="B181" t="s">
        <v>483</v>
      </c>
      <c r="C181" t="s">
        <v>484</v>
      </c>
      <c r="D181">
        <v>107843876</v>
      </c>
      <c r="E181" t="s">
        <v>517</v>
      </c>
      <c r="F181" t="s">
        <v>486</v>
      </c>
      <c r="G181">
        <v>0.56000000000000005</v>
      </c>
      <c r="H181">
        <v>6.79</v>
      </c>
      <c r="I181">
        <v>0.14000000000000001</v>
      </c>
      <c r="J181">
        <v>0</v>
      </c>
      <c r="K181">
        <v>7.5</v>
      </c>
      <c r="L181" t="s">
        <v>487</v>
      </c>
      <c r="M181">
        <v>377</v>
      </c>
      <c r="N181">
        <v>50.27</v>
      </c>
      <c r="O181" t="s">
        <v>81</v>
      </c>
      <c r="P181" t="s">
        <v>492</v>
      </c>
      <c r="Q181">
        <v>377</v>
      </c>
      <c r="R181">
        <v>50.27</v>
      </c>
    </row>
    <row r="182" spans="1:18" x14ac:dyDescent="0.35">
      <c r="A182" t="s">
        <v>197</v>
      </c>
      <c r="B182" t="s">
        <v>483</v>
      </c>
      <c r="C182" t="s">
        <v>484</v>
      </c>
      <c r="D182">
        <v>107843891</v>
      </c>
      <c r="E182" t="s">
        <v>518</v>
      </c>
      <c r="F182" t="s">
        <v>486</v>
      </c>
      <c r="G182">
        <v>0.51</v>
      </c>
      <c r="H182">
        <v>9.57</v>
      </c>
      <c r="I182">
        <v>0</v>
      </c>
      <c r="J182">
        <v>0</v>
      </c>
      <c r="K182">
        <v>10.08</v>
      </c>
      <c r="L182" t="s">
        <v>487</v>
      </c>
      <c r="M182">
        <v>406</v>
      </c>
      <c r="N182">
        <v>40.26</v>
      </c>
      <c r="O182" t="s">
        <v>60</v>
      </c>
      <c r="P182" t="s">
        <v>488</v>
      </c>
      <c r="Q182">
        <v>969</v>
      </c>
      <c r="R182">
        <v>1906.23</v>
      </c>
    </row>
    <row r="183" spans="1:18" x14ac:dyDescent="0.35">
      <c r="A183" t="s">
        <v>197</v>
      </c>
      <c r="B183" t="s">
        <v>483</v>
      </c>
      <c r="C183" t="s">
        <v>484</v>
      </c>
      <c r="D183">
        <v>107843891</v>
      </c>
      <c r="E183" t="s">
        <v>518</v>
      </c>
      <c r="F183" t="s">
        <v>486</v>
      </c>
      <c r="G183">
        <v>0.51</v>
      </c>
      <c r="H183">
        <v>9.57</v>
      </c>
      <c r="I183">
        <v>0</v>
      </c>
      <c r="J183">
        <v>0</v>
      </c>
      <c r="K183">
        <v>10.08</v>
      </c>
      <c r="L183" t="s">
        <v>487</v>
      </c>
      <c r="M183">
        <v>406</v>
      </c>
      <c r="N183">
        <v>40.26</v>
      </c>
      <c r="O183" t="s">
        <v>60</v>
      </c>
      <c r="P183" t="s">
        <v>489</v>
      </c>
      <c r="Q183">
        <v>3329</v>
      </c>
      <c r="R183">
        <v>347.69</v>
      </c>
    </row>
    <row r="184" spans="1:18" x14ac:dyDescent="0.35">
      <c r="A184" t="s">
        <v>197</v>
      </c>
      <c r="B184" t="s">
        <v>483</v>
      </c>
      <c r="C184" t="s">
        <v>484</v>
      </c>
      <c r="D184">
        <v>107843891</v>
      </c>
      <c r="E184" t="s">
        <v>518</v>
      </c>
      <c r="F184" t="s">
        <v>486</v>
      </c>
      <c r="G184">
        <v>0.51</v>
      </c>
      <c r="H184">
        <v>9.57</v>
      </c>
      <c r="I184">
        <v>0</v>
      </c>
      <c r="J184">
        <v>0</v>
      </c>
      <c r="K184">
        <v>10.08</v>
      </c>
      <c r="L184" t="s">
        <v>487</v>
      </c>
      <c r="M184">
        <v>406</v>
      </c>
      <c r="N184">
        <v>40.26</v>
      </c>
      <c r="O184" t="s">
        <v>60</v>
      </c>
      <c r="P184" t="s">
        <v>490</v>
      </c>
      <c r="Q184">
        <v>0</v>
      </c>
      <c r="R184">
        <v>0</v>
      </c>
    </row>
    <row r="185" spans="1:18" x14ac:dyDescent="0.35">
      <c r="A185" t="s">
        <v>197</v>
      </c>
      <c r="B185" t="s">
        <v>483</v>
      </c>
      <c r="C185" t="s">
        <v>484</v>
      </c>
      <c r="D185">
        <v>107843891</v>
      </c>
      <c r="E185" t="s">
        <v>518</v>
      </c>
      <c r="F185" t="s">
        <v>486</v>
      </c>
      <c r="G185">
        <v>0.51</v>
      </c>
      <c r="H185">
        <v>9.57</v>
      </c>
      <c r="I185">
        <v>0</v>
      </c>
      <c r="J185">
        <v>0</v>
      </c>
      <c r="K185">
        <v>10.08</v>
      </c>
      <c r="L185" t="s">
        <v>487</v>
      </c>
      <c r="M185">
        <v>406</v>
      </c>
      <c r="N185">
        <v>40.26</v>
      </c>
      <c r="O185" t="s">
        <v>60</v>
      </c>
      <c r="P185" t="s">
        <v>491</v>
      </c>
      <c r="Q185">
        <v>0</v>
      </c>
      <c r="R185">
        <v>0</v>
      </c>
    </row>
    <row r="186" spans="1:18" x14ac:dyDescent="0.35">
      <c r="A186" t="s">
        <v>197</v>
      </c>
      <c r="B186" t="s">
        <v>483</v>
      </c>
      <c r="C186" t="s">
        <v>484</v>
      </c>
      <c r="D186">
        <v>107843891</v>
      </c>
      <c r="E186" t="s">
        <v>518</v>
      </c>
      <c r="F186" t="s">
        <v>486</v>
      </c>
      <c r="G186">
        <v>0.51</v>
      </c>
      <c r="H186">
        <v>9.57</v>
      </c>
      <c r="I186">
        <v>0</v>
      </c>
      <c r="J186">
        <v>0</v>
      </c>
      <c r="K186">
        <v>10.08</v>
      </c>
      <c r="L186" t="s">
        <v>487</v>
      </c>
      <c r="M186">
        <v>406</v>
      </c>
      <c r="N186">
        <v>40.26</v>
      </c>
      <c r="O186" t="s">
        <v>60</v>
      </c>
      <c r="P186" t="s">
        <v>492</v>
      </c>
      <c r="Q186">
        <v>4298</v>
      </c>
      <c r="R186">
        <v>426.25</v>
      </c>
    </row>
    <row r="187" spans="1:18" x14ac:dyDescent="0.35">
      <c r="A187" t="s">
        <v>197</v>
      </c>
      <c r="B187" t="s">
        <v>483</v>
      </c>
      <c r="C187" t="s">
        <v>484</v>
      </c>
      <c r="D187">
        <v>107843891</v>
      </c>
      <c r="E187" t="s">
        <v>518</v>
      </c>
      <c r="F187" t="s">
        <v>486</v>
      </c>
      <c r="G187">
        <v>0.51</v>
      </c>
      <c r="H187">
        <v>9.57</v>
      </c>
      <c r="I187">
        <v>0</v>
      </c>
      <c r="J187">
        <v>0</v>
      </c>
      <c r="K187">
        <v>10.08</v>
      </c>
      <c r="L187" t="s">
        <v>487</v>
      </c>
      <c r="M187">
        <v>406</v>
      </c>
      <c r="N187">
        <v>40.26</v>
      </c>
      <c r="O187" t="s">
        <v>81</v>
      </c>
      <c r="P187" t="s">
        <v>492</v>
      </c>
      <c r="Q187">
        <v>406</v>
      </c>
      <c r="R187">
        <v>40.26</v>
      </c>
    </row>
    <row r="188" spans="1:18" x14ac:dyDescent="0.35">
      <c r="A188" t="s">
        <v>197</v>
      </c>
      <c r="B188" t="s">
        <v>483</v>
      </c>
      <c r="C188" t="s">
        <v>484</v>
      </c>
      <c r="D188">
        <v>107844158</v>
      </c>
      <c r="E188" t="s">
        <v>520</v>
      </c>
      <c r="F188" t="s">
        <v>486</v>
      </c>
      <c r="G188">
        <v>0.49</v>
      </c>
      <c r="H188">
        <v>6.36</v>
      </c>
      <c r="I188">
        <v>0</v>
      </c>
      <c r="J188">
        <v>0</v>
      </c>
      <c r="K188">
        <v>6.85</v>
      </c>
      <c r="L188" t="s">
        <v>487</v>
      </c>
      <c r="M188">
        <v>379</v>
      </c>
      <c r="N188">
        <v>55.32</v>
      </c>
      <c r="O188" t="s">
        <v>60</v>
      </c>
      <c r="P188" t="s">
        <v>488</v>
      </c>
      <c r="Q188">
        <v>1020</v>
      </c>
      <c r="R188">
        <v>2078.1</v>
      </c>
    </row>
    <row r="189" spans="1:18" x14ac:dyDescent="0.35">
      <c r="A189" t="s">
        <v>197</v>
      </c>
      <c r="B189" t="s">
        <v>483</v>
      </c>
      <c r="C189" t="s">
        <v>484</v>
      </c>
      <c r="D189">
        <v>107844158</v>
      </c>
      <c r="E189" t="s">
        <v>520</v>
      </c>
      <c r="F189" t="s">
        <v>486</v>
      </c>
      <c r="G189">
        <v>0.49</v>
      </c>
      <c r="H189">
        <v>6.36</v>
      </c>
      <c r="I189">
        <v>0</v>
      </c>
      <c r="J189">
        <v>0</v>
      </c>
      <c r="K189">
        <v>6.85</v>
      </c>
      <c r="L189" t="s">
        <v>487</v>
      </c>
      <c r="M189">
        <v>379</v>
      </c>
      <c r="N189">
        <v>55.32</v>
      </c>
      <c r="O189" t="s">
        <v>60</v>
      </c>
      <c r="P189" t="s">
        <v>489</v>
      </c>
      <c r="Q189">
        <v>2411</v>
      </c>
      <c r="R189">
        <v>379.07</v>
      </c>
    </row>
    <row r="190" spans="1:18" x14ac:dyDescent="0.35">
      <c r="A190" t="s">
        <v>197</v>
      </c>
      <c r="B190" t="s">
        <v>483</v>
      </c>
      <c r="C190" t="s">
        <v>484</v>
      </c>
      <c r="D190">
        <v>107844158</v>
      </c>
      <c r="E190" t="s">
        <v>520</v>
      </c>
      <c r="F190" t="s">
        <v>486</v>
      </c>
      <c r="G190">
        <v>0.49</v>
      </c>
      <c r="H190">
        <v>6.36</v>
      </c>
      <c r="I190">
        <v>0</v>
      </c>
      <c r="J190">
        <v>0</v>
      </c>
      <c r="K190">
        <v>6.85</v>
      </c>
      <c r="L190" t="s">
        <v>487</v>
      </c>
      <c r="M190">
        <v>379</v>
      </c>
      <c r="N190">
        <v>55.32</v>
      </c>
      <c r="O190" t="s">
        <v>60</v>
      </c>
      <c r="P190" t="s">
        <v>490</v>
      </c>
      <c r="Q190">
        <v>0</v>
      </c>
      <c r="R190">
        <v>0</v>
      </c>
    </row>
    <row r="191" spans="1:18" x14ac:dyDescent="0.35">
      <c r="A191" t="s">
        <v>197</v>
      </c>
      <c r="B191" t="s">
        <v>483</v>
      </c>
      <c r="C191" t="s">
        <v>484</v>
      </c>
      <c r="D191">
        <v>107844158</v>
      </c>
      <c r="E191" t="s">
        <v>520</v>
      </c>
      <c r="F191" t="s">
        <v>486</v>
      </c>
      <c r="G191">
        <v>0.49</v>
      </c>
      <c r="H191">
        <v>6.36</v>
      </c>
      <c r="I191">
        <v>0</v>
      </c>
      <c r="J191">
        <v>0</v>
      </c>
      <c r="K191">
        <v>6.85</v>
      </c>
      <c r="L191" t="s">
        <v>487</v>
      </c>
      <c r="M191">
        <v>379</v>
      </c>
      <c r="N191">
        <v>55.32</v>
      </c>
      <c r="O191" t="s">
        <v>60</v>
      </c>
      <c r="P191" t="s">
        <v>491</v>
      </c>
      <c r="Q191">
        <v>0</v>
      </c>
      <c r="R191">
        <v>0</v>
      </c>
    </row>
    <row r="192" spans="1:18" x14ac:dyDescent="0.35">
      <c r="A192" t="s">
        <v>197</v>
      </c>
      <c r="B192" t="s">
        <v>483</v>
      </c>
      <c r="C192" t="s">
        <v>484</v>
      </c>
      <c r="D192">
        <v>107844158</v>
      </c>
      <c r="E192" t="s">
        <v>520</v>
      </c>
      <c r="F192" t="s">
        <v>486</v>
      </c>
      <c r="G192">
        <v>0.49</v>
      </c>
      <c r="H192">
        <v>6.36</v>
      </c>
      <c r="I192">
        <v>0</v>
      </c>
      <c r="J192">
        <v>0</v>
      </c>
      <c r="K192">
        <v>6.85</v>
      </c>
      <c r="L192" t="s">
        <v>487</v>
      </c>
      <c r="M192">
        <v>379</v>
      </c>
      <c r="N192">
        <v>55.32</v>
      </c>
      <c r="O192" t="s">
        <v>60</v>
      </c>
      <c r="P192" t="s">
        <v>492</v>
      </c>
      <c r="Q192">
        <v>3431</v>
      </c>
      <c r="R192">
        <v>500.77</v>
      </c>
    </row>
    <row r="193" spans="1:18" x14ac:dyDescent="0.35">
      <c r="A193" t="s">
        <v>197</v>
      </c>
      <c r="B193" t="s">
        <v>483</v>
      </c>
      <c r="C193" t="s">
        <v>484</v>
      </c>
      <c r="D193">
        <v>107844158</v>
      </c>
      <c r="E193" t="s">
        <v>520</v>
      </c>
      <c r="F193" t="s">
        <v>486</v>
      </c>
      <c r="G193">
        <v>0.49</v>
      </c>
      <c r="H193">
        <v>6.36</v>
      </c>
      <c r="I193">
        <v>0</v>
      </c>
      <c r="J193">
        <v>0</v>
      </c>
      <c r="K193">
        <v>6.85</v>
      </c>
      <c r="L193" t="s">
        <v>487</v>
      </c>
      <c r="M193">
        <v>379</v>
      </c>
      <c r="N193">
        <v>55.32</v>
      </c>
      <c r="O193" t="s">
        <v>81</v>
      </c>
      <c r="P193" t="s">
        <v>492</v>
      </c>
      <c r="Q193">
        <v>379</v>
      </c>
      <c r="R193">
        <v>55.32</v>
      </c>
    </row>
    <row r="194" spans="1:18" x14ac:dyDescent="0.35">
      <c r="A194" t="s">
        <v>34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I146"/>
  <sheetViews>
    <sheetView workbookViewId="0">
      <selection sqref="A1:A1048576"/>
    </sheetView>
  </sheetViews>
  <sheetFormatPr defaultRowHeight="14.5" x14ac:dyDescent="0.35"/>
  <cols>
    <col min="1" max="1" width="9.90625" bestFit="1" customWidth="1"/>
    <col min="2" max="2" width="11.08984375" bestFit="1" customWidth="1"/>
    <col min="3" max="3" width="23.90625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>
    <row r="1" spans="1:9" x14ac:dyDescent="0.35">
      <c r="A1" t="s">
        <v>462</v>
      </c>
      <c r="B1" t="s">
        <v>454</v>
      </c>
      <c r="C1" t="s">
        <v>468</v>
      </c>
      <c r="D1" t="s">
        <v>469</v>
      </c>
      <c r="E1" t="s">
        <v>453</v>
      </c>
      <c r="F1" t="s">
        <v>470</v>
      </c>
      <c r="G1" t="s">
        <v>41</v>
      </c>
      <c r="H1" t="s">
        <v>471</v>
      </c>
      <c r="I1" t="s">
        <v>472</v>
      </c>
    </row>
    <row r="2" spans="1:9" x14ac:dyDescent="0.35">
      <c r="A2" t="s">
        <v>487</v>
      </c>
      <c r="B2">
        <v>106636925</v>
      </c>
      <c r="C2" t="s">
        <v>557</v>
      </c>
      <c r="D2" t="s">
        <v>486</v>
      </c>
      <c r="E2" t="s">
        <v>493</v>
      </c>
      <c r="F2">
        <v>69</v>
      </c>
      <c r="G2" t="s">
        <v>60</v>
      </c>
      <c r="H2" t="s">
        <v>492</v>
      </c>
      <c r="I2">
        <v>698</v>
      </c>
    </row>
    <row r="3" spans="1:9" x14ac:dyDescent="0.35">
      <c r="A3" t="s">
        <v>487</v>
      </c>
      <c r="B3">
        <v>106636925</v>
      </c>
      <c r="C3" t="s">
        <v>557</v>
      </c>
      <c r="D3" t="s">
        <v>486</v>
      </c>
      <c r="E3" t="s">
        <v>493</v>
      </c>
      <c r="F3">
        <v>69</v>
      </c>
      <c r="G3" t="s">
        <v>60</v>
      </c>
      <c r="H3" t="s">
        <v>488</v>
      </c>
      <c r="I3">
        <v>148</v>
      </c>
    </row>
    <row r="4" spans="1:9" x14ac:dyDescent="0.35">
      <c r="A4" t="s">
        <v>487</v>
      </c>
      <c r="B4">
        <v>106636925</v>
      </c>
      <c r="C4" t="s">
        <v>557</v>
      </c>
      <c r="D4" t="s">
        <v>486</v>
      </c>
      <c r="E4" t="s">
        <v>493</v>
      </c>
      <c r="F4">
        <v>69</v>
      </c>
      <c r="G4" t="s">
        <v>60</v>
      </c>
      <c r="H4" t="s">
        <v>489</v>
      </c>
      <c r="I4">
        <v>550</v>
      </c>
    </row>
    <row r="5" spans="1:9" x14ac:dyDescent="0.35">
      <c r="A5" t="s">
        <v>487</v>
      </c>
      <c r="B5">
        <v>106636925</v>
      </c>
      <c r="C5" t="s">
        <v>557</v>
      </c>
      <c r="D5" t="s">
        <v>486</v>
      </c>
      <c r="E5" t="s">
        <v>493</v>
      </c>
      <c r="F5">
        <v>69</v>
      </c>
      <c r="G5" t="s">
        <v>81</v>
      </c>
      <c r="H5" t="s">
        <v>492</v>
      </c>
      <c r="I5">
        <v>69</v>
      </c>
    </row>
    <row r="6" spans="1:9" x14ac:dyDescent="0.35">
      <c r="A6" t="s">
        <v>487</v>
      </c>
      <c r="B6">
        <v>107233183</v>
      </c>
      <c r="C6" t="s">
        <v>505</v>
      </c>
      <c r="D6" t="s">
        <v>486</v>
      </c>
      <c r="E6" t="s">
        <v>484</v>
      </c>
      <c r="F6">
        <v>323</v>
      </c>
      <c r="G6" t="s">
        <v>60</v>
      </c>
      <c r="H6" t="s">
        <v>492</v>
      </c>
      <c r="I6">
        <v>2041</v>
      </c>
    </row>
    <row r="7" spans="1:9" x14ac:dyDescent="0.35">
      <c r="A7" t="s">
        <v>487</v>
      </c>
      <c r="B7">
        <v>107233183</v>
      </c>
      <c r="C7" t="s">
        <v>505</v>
      </c>
      <c r="D7" t="s">
        <v>486</v>
      </c>
      <c r="E7" t="s">
        <v>484</v>
      </c>
      <c r="F7">
        <v>323</v>
      </c>
      <c r="G7" t="s">
        <v>60</v>
      </c>
      <c r="H7" t="s">
        <v>488</v>
      </c>
      <c r="I7">
        <v>346</v>
      </c>
    </row>
    <row r="8" spans="1:9" x14ac:dyDescent="0.35">
      <c r="A8" t="s">
        <v>487</v>
      </c>
      <c r="B8">
        <v>107233183</v>
      </c>
      <c r="C8" t="s">
        <v>505</v>
      </c>
      <c r="D8" t="s">
        <v>486</v>
      </c>
      <c r="E8" t="s">
        <v>484</v>
      </c>
      <c r="F8">
        <v>323</v>
      </c>
      <c r="G8" t="s">
        <v>60</v>
      </c>
      <c r="H8" t="s">
        <v>489</v>
      </c>
      <c r="I8">
        <v>1676</v>
      </c>
    </row>
    <row r="9" spans="1:9" x14ac:dyDescent="0.35">
      <c r="A9" t="s">
        <v>487</v>
      </c>
      <c r="B9">
        <v>107233183</v>
      </c>
      <c r="C9" t="s">
        <v>505</v>
      </c>
      <c r="D9" t="s">
        <v>486</v>
      </c>
      <c r="E9" t="s">
        <v>484</v>
      </c>
      <c r="F9">
        <v>323</v>
      </c>
      <c r="G9" t="s">
        <v>60</v>
      </c>
      <c r="H9" t="s">
        <v>490</v>
      </c>
      <c r="I9">
        <v>19</v>
      </c>
    </row>
    <row r="10" spans="1:9" x14ac:dyDescent="0.35">
      <c r="A10" t="s">
        <v>487</v>
      </c>
      <c r="B10">
        <v>107233183</v>
      </c>
      <c r="C10" t="s">
        <v>505</v>
      </c>
      <c r="D10" t="s">
        <v>486</v>
      </c>
      <c r="E10" t="s">
        <v>484</v>
      </c>
      <c r="F10">
        <v>323</v>
      </c>
      <c r="G10" t="s">
        <v>81</v>
      </c>
      <c r="H10" t="s">
        <v>492</v>
      </c>
      <c r="I10">
        <v>323</v>
      </c>
    </row>
    <row r="11" spans="1:9" x14ac:dyDescent="0.35">
      <c r="A11" t="s">
        <v>487</v>
      </c>
      <c r="B11">
        <v>105583964</v>
      </c>
      <c r="C11" t="s">
        <v>636</v>
      </c>
      <c r="D11" t="s">
        <v>499</v>
      </c>
      <c r="E11" t="s">
        <v>484</v>
      </c>
      <c r="F11">
        <v>277</v>
      </c>
      <c r="G11" t="s">
        <v>60</v>
      </c>
      <c r="H11" t="s">
        <v>492</v>
      </c>
      <c r="I11">
        <v>2287</v>
      </c>
    </row>
    <row r="12" spans="1:9" x14ac:dyDescent="0.35">
      <c r="A12" t="s">
        <v>487</v>
      </c>
      <c r="B12">
        <v>105583964</v>
      </c>
      <c r="C12" t="s">
        <v>636</v>
      </c>
      <c r="D12" t="s">
        <v>499</v>
      </c>
      <c r="E12" t="s">
        <v>484</v>
      </c>
      <c r="F12">
        <v>277</v>
      </c>
      <c r="G12" t="s">
        <v>60</v>
      </c>
      <c r="H12" t="s">
        <v>488</v>
      </c>
      <c r="I12">
        <v>190</v>
      </c>
    </row>
    <row r="13" spans="1:9" x14ac:dyDescent="0.35">
      <c r="A13" t="s">
        <v>487</v>
      </c>
      <c r="B13">
        <v>105583964</v>
      </c>
      <c r="C13" t="s">
        <v>636</v>
      </c>
      <c r="D13" t="s">
        <v>499</v>
      </c>
      <c r="E13" t="s">
        <v>484</v>
      </c>
      <c r="F13">
        <v>277</v>
      </c>
      <c r="G13" t="s">
        <v>60</v>
      </c>
      <c r="H13" t="s">
        <v>489</v>
      </c>
      <c r="I13">
        <v>2082</v>
      </c>
    </row>
    <row r="14" spans="1:9" x14ac:dyDescent="0.35">
      <c r="A14" t="s">
        <v>487</v>
      </c>
      <c r="B14">
        <v>105583964</v>
      </c>
      <c r="C14" t="s">
        <v>636</v>
      </c>
      <c r="D14" t="s">
        <v>499</v>
      </c>
      <c r="E14" t="s">
        <v>484</v>
      </c>
      <c r="F14">
        <v>277</v>
      </c>
      <c r="G14" t="s">
        <v>60</v>
      </c>
      <c r="H14" t="s">
        <v>490</v>
      </c>
      <c r="I14">
        <v>15</v>
      </c>
    </row>
    <row r="15" spans="1:9" x14ac:dyDescent="0.35">
      <c r="A15" t="s">
        <v>487</v>
      </c>
      <c r="B15">
        <v>105583964</v>
      </c>
      <c r="C15" t="s">
        <v>636</v>
      </c>
      <c r="D15" t="s">
        <v>499</v>
      </c>
      <c r="E15" t="s">
        <v>484</v>
      </c>
      <c r="F15">
        <v>277</v>
      </c>
      <c r="G15" t="s">
        <v>81</v>
      </c>
      <c r="H15" t="s">
        <v>492</v>
      </c>
      <c r="I15">
        <v>277</v>
      </c>
    </row>
    <row r="16" spans="1:9" x14ac:dyDescent="0.35">
      <c r="A16" t="s">
        <v>487</v>
      </c>
      <c r="B16">
        <v>107843891</v>
      </c>
      <c r="C16" t="s">
        <v>518</v>
      </c>
      <c r="D16" t="s">
        <v>486</v>
      </c>
      <c r="E16" t="s">
        <v>484</v>
      </c>
      <c r="F16">
        <v>406</v>
      </c>
      <c r="G16" t="s">
        <v>60</v>
      </c>
      <c r="H16" t="s">
        <v>492</v>
      </c>
      <c r="I16">
        <v>4298</v>
      </c>
    </row>
    <row r="17" spans="1:9" x14ac:dyDescent="0.35">
      <c r="A17" t="s">
        <v>487</v>
      </c>
      <c r="B17">
        <v>107843891</v>
      </c>
      <c r="C17" t="s">
        <v>518</v>
      </c>
      <c r="D17" t="s">
        <v>486</v>
      </c>
      <c r="E17" t="s">
        <v>484</v>
      </c>
      <c r="F17">
        <v>406</v>
      </c>
      <c r="G17" t="s">
        <v>60</v>
      </c>
      <c r="H17" t="s">
        <v>488</v>
      </c>
      <c r="I17">
        <v>969</v>
      </c>
    </row>
    <row r="18" spans="1:9" x14ac:dyDescent="0.35">
      <c r="A18" t="s">
        <v>487</v>
      </c>
      <c r="B18">
        <v>107843891</v>
      </c>
      <c r="C18" t="s">
        <v>518</v>
      </c>
      <c r="D18" t="s">
        <v>486</v>
      </c>
      <c r="E18" t="s">
        <v>484</v>
      </c>
      <c r="F18">
        <v>406</v>
      </c>
      <c r="G18" t="s">
        <v>60</v>
      </c>
      <c r="H18" t="s">
        <v>489</v>
      </c>
      <c r="I18">
        <v>3329</v>
      </c>
    </row>
    <row r="19" spans="1:9" x14ac:dyDescent="0.35">
      <c r="A19" t="s">
        <v>487</v>
      </c>
      <c r="B19">
        <v>107843891</v>
      </c>
      <c r="C19" t="s">
        <v>518</v>
      </c>
      <c r="D19" t="s">
        <v>486</v>
      </c>
      <c r="E19" t="s">
        <v>484</v>
      </c>
      <c r="F19">
        <v>406</v>
      </c>
      <c r="G19" t="s">
        <v>81</v>
      </c>
      <c r="H19" t="s">
        <v>492</v>
      </c>
      <c r="I19">
        <v>406</v>
      </c>
    </row>
    <row r="20" spans="1:9" x14ac:dyDescent="0.35">
      <c r="A20" t="s">
        <v>487</v>
      </c>
      <c r="B20">
        <v>107221237</v>
      </c>
      <c r="C20" t="s">
        <v>527</v>
      </c>
      <c r="D20" t="s">
        <v>486</v>
      </c>
      <c r="E20" t="s">
        <v>493</v>
      </c>
      <c r="F20">
        <v>254</v>
      </c>
      <c r="G20" t="s">
        <v>60</v>
      </c>
      <c r="H20" t="s">
        <v>492</v>
      </c>
      <c r="I20">
        <v>1802</v>
      </c>
    </row>
    <row r="21" spans="1:9" x14ac:dyDescent="0.35">
      <c r="A21" t="s">
        <v>487</v>
      </c>
      <c r="B21">
        <v>107221237</v>
      </c>
      <c r="C21" t="s">
        <v>527</v>
      </c>
      <c r="D21" t="s">
        <v>486</v>
      </c>
      <c r="E21" t="s">
        <v>493</v>
      </c>
      <c r="F21">
        <v>254</v>
      </c>
      <c r="G21" t="s">
        <v>60</v>
      </c>
      <c r="H21" t="s">
        <v>488</v>
      </c>
      <c r="I21">
        <v>254</v>
      </c>
    </row>
    <row r="22" spans="1:9" x14ac:dyDescent="0.35">
      <c r="A22" t="s">
        <v>487</v>
      </c>
      <c r="B22">
        <v>107221237</v>
      </c>
      <c r="C22" t="s">
        <v>527</v>
      </c>
      <c r="D22" t="s">
        <v>486</v>
      </c>
      <c r="E22" t="s">
        <v>493</v>
      </c>
      <c r="F22">
        <v>254</v>
      </c>
      <c r="G22" t="s">
        <v>60</v>
      </c>
      <c r="H22" t="s">
        <v>489</v>
      </c>
      <c r="I22">
        <v>1533</v>
      </c>
    </row>
    <row r="23" spans="1:9" x14ac:dyDescent="0.35">
      <c r="A23" t="s">
        <v>487</v>
      </c>
      <c r="B23">
        <v>107221237</v>
      </c>
      <c r="C23" t="s">
        <v>527</v>
      </c>
      <c r="D23" t="s">
        <v>486</v>
      </c>
      <c r="E23" t="s">
        <v>493</v>
      </c>
      <c r="F23">
        <v>254</v>
      </c>
      <c r="G23" t="s">
        <v>60</v>
      </c>
      <c r="H23" t="s">
        <v>490</v>
      </c>
      <c r="I23">
        <v>15</v>
      </c>
    </row>
    <row r="24" spans="1:9" x14ac:dyDescent="0.35">
      <c r="A24" t="s">
        <v>487</v>
      </c>
      <c r="B24">
        <v>107221237</v>
      </c>
      <c r="C24" t="s">
        <v>527</v>
      </c>
      <c r="D24" t="s">
        <v>486</v>
      </c>
      <c r="E24" t="s">
        <v>493</v>
      </c>
      <c r="F24">
        <v>254</v>
      </c>
      <c r="G24" t="s">
        <v>81</v>
      </c>
      <c r="H24" t="s">
        <v>492</v>
      </c>
      <c r="I24">
        <v>254</v>
      </c>
    </row>
    <row r="25" spans="1:9" x14ac:dyDescent="0.35">
      <c r="A25" t="s">
        <v>487</v>
      </c>
      <c r="B25">
        <v>107791373</v>
      </c>
      <c r="C25" t="s">
        <v>529</v>
      </c>
      <c r="D25" t="s">
        <v>486</v>
      </c>
      <c r="E25" t="s">
        <v>484</v>
      </c>
      <c r="F25">
        <v>435</v>
      </c>
      <c r="G25" t="s">
        <v>60</v>
      </c>
      <c r="H25" t="s">
        <v>492</v>
      </c>
      <c r="I25">
        <v>2612</v>
      </c>
    </row>
    <row r="26" spans="1:9" x14ac:dyDescent="0.35">
      <c r="A26" t="s">
        <v>487</v>
      </c>
      <c r="B26">
        <v>107791373</v>
      </c>
      <c r="C26" t="s">
        <v>529</v>
      </c>
      <c r="D26" t="s">
        <v>486</v>
      </c>
      <c r="E26" t="s">
        <v>484</v>
      </c>
      <c r="F26">
        <v>435</v>
      </c>
      <c r="G26" t="s">
        <v>60</v>
      </c>
      <c r="H26" t="s">
        <v>488</v>
      </c>
      <c r="I26">
        <v>502</v>
      </c>
    </row>
    <row r="27" spans="1:9" x14ac:dyDescent="0.35">
      <c r="A27" t="s">
        <v>487</v>
      </c>
      <c r="B27">
        <v>107791373</v>
      </c>
      <c r="C27" t="s">
        <v>529</v>
      </c>
      <c r="D27" t="s">
        <v>486</v>
      </c>
      <c r="E27" t="s">
        <v>484</v>
      </c>
      <c r="F27">
        <v>435</v>
      </c>
      <c r="G27" t="s">
        <v>60</v>
      </c>
      <c r="H27" t="s">
        <v>489</v>
      </c>
      <c r="I27">
        <v>2078</v>
      </c>
    </row>
    <row r="28" spans="1:9" x14ac:dyDescent="0.35">
      <c r="A28" t="s">
        <v>487</v>
      </c>
      <c r="B28">
        <v>107791373</v>
      </c>
      <c r="C28" t="s">
        <v>529</v>
      </c>
      <c r="D28" t="s">
        <v>486</v>
      </c>
      <c r="E28" t="s">
        <v>484</v>
      </c>
      <c r="F28">
        <v>435</v>
      </c>
      <c r="G28" t="s">
        <v>60</v>
      </c>
      <c r="H28" t="s">
        <v>490</v>
      </c>
      <c r="I28">
        <v>32</v>
      </c>
    </row>
    <row r="29" spans="1:9" x14ac:dyDescent="0.35">
      <c r="A29" t="s">
        <v>487</v>
      </c>
      <c r="B29">
        <v>107791373</v>
      </c>
      <c r="C29" t="s">
        <v>529</v>
      </c>
      <c r="D29" t="s">
        <v>486</v>
      </c>
      <c r="E29" t="s">
        <v>484</v>
      </c>
      <c r="F29">
        <v>435</v>
      </c>
      <c r="G29" t="s">
        <v>81</v>
      </c>
      <c r="H29" t="s">
        <v>492</v>
      </c>
      <c r="I29">
        <v>435</v>
      </c>
    </row>
    <row r="30" spans="1:9" x14ac:dyDescent="0.35">
      <c r="A30" t="s">
        <v>487</v>
      </c>
      <c r="B30">
        <v>105785229</v>
      </c>
      <c r="C30" t="s">
        <v>588</v>
      </c>
      <c r="D30" t="s">
        <v>497</v>
      </c>
      <c r="E30" t="s">
        <v>484</v>
      </c>
      <c r="F30">
        <v>207</v>
      </c>
      <c r="G30" t="s">
        <v>60</v>
      </c>
      <c r="H30" t="s">
        <v>492</v>
      </c>
      <c r="I30">
        <v>1338</v>
      </c>
    </row>
    <row r="31" spans="1:9" x14ac:dyDescent="0.35">
      <c r="A31" t="s">
        <v>487</v>
      </c>
      <c r="B31">
        <v>105785229</v>
      </c>
      <c r="C31" t="s">
        <v>588</v>
      </c>
      <c r="D31" t="s">
        <v>497</v>
      </c>
      <c r="E31" t="s">
        <v>484</v>
      </c>
      <c r="F31">
        <v>207</v>
      </c>
      <c r="G31" t="s">
        <v>81</v>
      </c>
      <c r="H31" t="s">
        <v>492</v>
      </c>
      <c r="I31">
        <v>207</v>
      </c>
    </row>
    <row r="32" spans="1:9" x14ac:dyDescent="0.35">
      <c r="A32" t="s">
        <v>487</v>
      </c>
      <c r="B32">
        <v>107221222</v>
      </c>
      <c r="C32" t="s">
        <v>501</v>
      </c>
      <c r="D32" t="s">
        <v>486</v>
      </c>
      <c r="E32" t="s">
        <v>484</v>
      </c>
      <c r="F32">
        <v>464</v>
      </c>
      <c r="G32" t="s">
        <v>60</v>
      </c>
      <c r="H32" t="s">
        <v>492</v>
      </c>
      <c r="I32">
        <v>3985</v>
      </c>
    </row>
    <row r="33" spans="1:9" x14ac:dyDescent="0.35">
      <c r="A33" t="s">
        <v>487</v>
      </c>
      <c r="B33">
        <v>107221222</v>
      </c>
      <c r="C33" t="s">
        <v>501</v>
      </c>
      <c r="D33" t="s">
        <v>486</v>
      </c>
      <c r="E33" t="s">
        <v>484</v>
      </c>
      <c r="F33">
        <v>464</v>
      </c>
      <c r="G33" t="s">
        <v>60</v>
      </c>
      <c r="H33" t="s">
        <v>488</v>
      </c>
      <c r="I33">
        <v>913</v>
      </c>
    </row>
    <row r="34" spans="1:9" x14ac:dyDescent="0.35">
      <c r="A34" t="s">
        <v>487</v>
      </c>
      <c r="B34">
        <v>107221222</v>
      </c>
      <c r="C34" t="s">
        <v>501</v>
      </c>
      <c r="D34" t="s">
        <v>486</v>
      </c>
      <c r="E34" t="s">
        <v>484</v>
      </c>
      <c r="F34">
        <v>464</v>
      </c>
      <c r="G34" t="s">
        <v>60</v>
      </c>
      <c r="H34" t="s">
        <v>489</v>
      </c>
      <c r="I34">
        <v>3066</v>
      </c>
    </row>
    <row r="35" spans="1:9" x14ac:dyDescent="0.35">
      <c r="A35" t="s">
        <v>487</v>
      </c>
      <c r="B35">
        <v>107221222</v>
      </c>
      <c r="C35" t="s">
        <v>501</v>
      </c>
      <c r="D35" t="s">
        <v>486</v>
      </c>
      <c r="E35" t="s">
        <v>484</v>
      </c>
      <c r="F35">
        <v>464</v>
      </c>
      <c r="G35" t="s">
        <v>60</v>
      </c>
      <c r="H35" t="s">
        <v>490</v>
      </c>
      <c r="I35">
        <v>6</v>
      </c>
    </row>
    <row r="36" spans="1:9" x14ac:dyDescent="0.35">
      <c r="A36" t="s">
        <v>487</v>
      </c>
      <c r="B36">
        <v>107221222</v>
      </c>
      <c r="C36" t="s">
        <v>501</v>
      </c>
      <c r="D36" t="s">
        <v>486</v>
      </c>
      <c r="E36" t="s">
        <v>484</v>
      </c>
      <c r="F36">
        <v>464</v>
      </c>
      <c r="G36" t="s">
        <v>81</v>
      </c>
      <c r="H36" t="s">
        <v>492</v>
      </c>
      <c r="I36">
        <v>464</v>
      </c>
    </row>
    <row r="37" spans="1:9" x14ac:dyDescent="0.35">
      <c r="A37" t="s">
        <v>487</v>
      </c>
      <c r="B37">
        <v>107843844</v>
      </c>
      <c r="C37" t="s">
        <v>516</v>
      </c>
      <c r="D37" t="s">
        <v>486</v>
      </c>
      <c r="E37" t="s">
        <v>484</v>
      </c>
      <c r="F37">
        <v>375</v>
      </c>
      <c r="G37" t="s">
        <v>60</v>
      </c>
      <c r="H37" t="s">
        <v>492</v>
      </c>
      <c r="I37">
        <v>2465</v>
      </c>
    </row>
    <row r="38" spans="1:9" x14ac:dyDescent="0.35">
      <c r="A38" t="s">
        <v>487</v>
      </c>
      <c r="B38">
        <v>107843844</v>
      </c>
      <c r="C38" t="s">
        <v>516</v>
      </c>
      <c r="D38" t="s">
        <v>486</v>
      </c>
      <c r="E38" t="s">
        <v>484</v>
      </c>
      <c r="F38">
        <v>375</v>
      </c>
      <c r="G38" t="s">
        <v>60</v>
      </c>
      <c r="H38" t="s">
        <v>488</v>
      </c>
      <c r="I38">
        <v>601</v>
      </c>
    </row>
    <row r="39" spans="1:9" x14ac:dyDescent="0.35">
      <c r="A39" t="s">
        <v>487</v>
      </c>
      <c r="B39">
        <v>107843844</v>
      </c>
      <c r="C39" t="s">
        <v>516</v>
      </c>
      <c r="D39" t="s">
        <v>486</v>
      </c>
      <c r="E39" t="s">
        <v>484</v>
      </c>
      <c r="F39">
        <v>375</v>
      </c>
      <c r="G39" t="s">
        <v>60</v>
      </c>
      <c r="H39" t="s">
        <v>489</v>
      </c>
      <c r="I39">
        <v>1838</v>
      </c>
    </row>
    <row r="40" spans="1:9" x14ac:dyDescent="0.35">
      <c r="A40" t="s">
        <v>487</v>
      </c>
      <c r="B40">
        <v>107843844</v>
      </c>
      <c r="C40" t="s">
        <v>516</v>
      </c>
      <c r="D40" t="s">
        <v>486</v>
      </c>
      <c r="E40" t="s">
        <v>484</v>
      </c>
      <c r="F40">
        <v>375</v>
      </c>
      <c r="G40" t="s">
        <v>60</v>
      </c>
      <c r="H40" t="s">
        <v>490</v>
      </c>
      <c r="I40">
        <v>26</v>
      </c>
    </row>
    <row r="41" spans="1:9" x14ac:dyDescent="0.35">
      <c r="A41" t="s">
        <v>487</v>
      </c>
      <c r="B41">
        <v>107843844</v>
      </c>
      <c r="C41" t="s">
        <v>516</v>
      </c>
      <c r="D41" t="s">
        <v>486</v>
      </c>
      <c r="E41" t="s">
        <v>484</v>
      </c>
      <c r="F41">
        <v>375</v>
      </c>
      <c r="G41" t="s">
        <v>81</v>
      </c>
      <c r="H41" t="s">
        <v>492</v>
      </c>
      <c r="I41">
        <v>375</v>
      </c>
    </row>
    <row r="42" spans="1:9" x14ac:dyDescent="0.35">
      <c r="A42" t="s">
        <v>487</v>
      </c>
      <c r="B42">
        <v>107704604</v>
      </c>
      <c r="C42" t="s">
        <v>509</v>
      </c>
      <c r="D42" t="s">
        <v>486</v>
      </c>
      <c r="E42" t="s">
        <v>493</v>
      </c>
      <c r="F42">
        <v>391</v>
      </c>
      <c r="G42" t="s">
        <v>60</v>
      </c>
      <c r="H42" t="s">
        <v>492</v>
      </c>
      <c r="I42">
        <v>4451</v>
      </c>
    </row>
    <row r="43" spans="1:9" x14ac:dyDescent="0.35">
      <c r="A43" t="s">
        <v>487</v>
      </c>
      <c r="B43">
        <v>107704604</v>
      </c>
      <c r="C43" t="s">
        <v>509</v>
      </c>
      <c r="D43" t="s">
        <v>486</v>
      </c>
      <c r="E43" t="s">
        <v>493</v>
      </c>
      <c r="F43">
        <v>391</v>
      </c>
      <c r="G43" t="s">
        <v>60</v>
      </c>
      <c r="H43" t="s">
        <v>488</v>
      </c>
      <c r="I43">
        <v>1364</v>
      </c>
    </row>
    <row r="44" spans="1:9" x14ac:dyDescent="0.35">
      <c r="A44" t="s">
        <v>487</v>
      </c>
      <c r="B44">
        <v>107704604</v>
      </c>
      <c r="C44" t="s">
        <v>509</v>
      </c>
      <c r="D44" t="s">
        <v>486</v>
      </c>
      <c r="E44" t="s">
        <v>493</v>
      </c>
      <c r="F44">
        <v>391</v>
      </c>
      <c r="G44" t="s">
        <v>60</v>
      </c>
      <c r="H44" t="s">
        <v>489</v>
      </c>
      <c r="I44">
        <v>3079</v>
      </c>
    </row>
    <row r="45" spans="1:9" x14ac:dyDescent="0.35">
      <c r="A45" t="s">
        <v>487</v>
      </c>
      <c r="B45">
        <v>107704604</v>
      </c>
      <c r="C45" t="s">
        <v>509</v>
      </c>
      <c r="D45" t="s">
        <v>486</v>
      </c>
      <c r="E45" t="s">
        <v>493</v>
      </c>
      <c r="F45">
        <v>391</v>
      </c>
      <c r="G45" t="s">
        <v>60</v>
      </c>
      <c r="H45" t="s">
        <v>490</v>
      </c>
      <c r="I45">
        <v>8</v>
      </c>
    </row>
    <row r="46" spans="1:9" x14ac:dyDescent="0.35">
      <c r="A46" t="s">
        <v>487</v>
      </c>
      <c r="B46">
        <v>107704604</v>
      </c>
      <c r="C46" t="s">
        <v>509</v>
      </c>
      <c r="D46" t="s">
        <v>486</v>
      </c>
      <c r="E46" t="s">
        <v>493</v>
      </c>
      <c r="F46">
        <v>391</v>
      </c>
      <c r="G46" t="s">
        <v>81</v>
      </c>
      <c r="H46" t="s">
        <v>492</v>
      </c>
      <c r="I46">
        <v>391</v>
      </c>
    </row>
    <row r="47" spans="1:9" x14ac:dyDescent="0.35">
      <c r="A47" t="s">
        <v>487</v>
      </c>
      <c r="B47">
        <v>103223305</v>
      </c>
      <c r="C47" t="s">
        <v>642</v>
      </c>
      <c r="D47" t="s">
        <v>486</v>
      </c>
      <c r="E47" t="s">
        <v>484</v>
      </c>
      <c r="F47">
        <v>295</v>
      </c>
      <c r="G47" t="s">
        <v>60</v>
      </c>
      <c r="H47" t="s">
        <v>492</v>
      </c>
      <c r="I47">
        <v>3301</v>
      </c>
    </row>
    <row r="48" spans="1:9" x14ac:dyDescent="0.35">
      <c r="A48" t="s">
        <v>487</v>
      </c>
      <c r="B48">
        <v>103223305</v>
      </c>
      <c r="C48" t="s">
        <v>642</v>
      </c>
      <c r="D48" t="s">
        <v>486</v>
      </c>
      <c r="E48" t="s">
        <v>484</v>
      </c>
      <c r="F48">
        <v>295</v>
      </c>
      <c r="G48" t="s">
        <v>60</v>
      </c>
      <c r="H48" t="s">
        <v>488</v>
      </c>
      <c r="I48">
        <v>442</v>
      </c>
    </row>
    <row r="49" spans="1:9" x14ac:dyDescent="0.35">
      <c r="A49" t="s">
        <v>487</v>
      </c>
      <c r="B49">
        <v>103223305</v>
      </c>
      <c r="C49" t="s">
        <v>642</v>
      </c>
      <c r="D49" t="s">
        <v>486</v>
      </c>
      <c r="E49" t="s">
        <v>484</v>
      </c>
      <c r="F49">
        <v>295</v>
      </c>
      <c r="G49" t="s">
        <v>60</v>
      </c>
      <c r="H49" t="s">
        <v>489</v>
      </c>
      <c r="I49">
        <v>2837</v>
      </c>
    </row>
    <row r="50" spans="1:9" x14ac:dyDescent="0.35">
      <c r="A50" t="s">
        <v>487</v>
      </c>
      <c r="B50">
        <v>103223305</v>
      </c>
      <c r="C50" t="s">
        <v>642</v>
      </c>
      <c r="D50" t="s">
        <v>486</v>
      </c>
      <c r="E50" t="s">
        <v>484</v>
      </c>
      <c r="F50">
        <v>295</v>
      </c>
      <c r="G50" t="s">
        <v>60</v>
      </c>
      <c r="H50" t="s">
        <v>490</v>
      </c>
      <c r="I50">
        <v>22</v>
      </c>
    </row>
    <row r="51" spans="1:9" x14ac:dyDescent="0.35">
      <c r="A51" t="s">
        <v>487</v>
      </c>
      <c r="B51">
        <v>103223305</v>
      </c>
      <c r="C51" t="s">
        <v>642</v>
      </c>
      <c r="D51" t="s">
        <v>486</v>
      </c>
      <c r="E51" t="s">
        <v>484</v>
      </c>
      <c r="F51">
        <v>295</v>
      </c>
      <c r="G51" t="s">
        <v>81</v>
      </c>
      <c r="H51" t="s">
        <v>492</v>
      </c>
      <c r="I51">
        <v>295</v>
      </c>
    </row>
    <row r="52" spans="1:9" x14ac:dyDescent="0.35">
      <c r="A52" t="s">
        <v>487</v>
      </c>
      <c r="B52">
        <v>107843876</v>
      </c>
      <c r="C52" t="s">
        <v>517</v>
      </c>
      <c r="D52" t="s">
        <v>486</v>
      </c>
      <c r="E52" t="s">
        <v>484</v>
      </c>
      <c r="F52">
        <v>377</v>
      </c>
      <c r="G52" t="s">
        <v>60</v>
      </c>
      <c r="H52" t="s">
        <v>492</v>
      </c>
      <c r="I52">
        <v>3471</v>
      </c>
    </row>
    <row r="53" spans="1:9" x14ac:dyDescent="0.35">
      <c r="A53" t="s">
        <v>487</v>
      </c>
      <c r="B53">
        <v>107843876</v>
      </c>
      <c r="C53" t="s">
        <v>517</v>
      </c>
      <c r="D53" t="s">
        <v>486</v>
      </c>
      <c r="E53" t="s">
        <v>484</v>
      </c>
      <c r="F53">
        <v>377</v>
      </c>
      <c r="G53" t="s">
        <v>60</v>
      </c>
      <c r="H53" t="s">
        <v>488</v>
      </c>
      <c r="I53">
        <v>1078</v>
      </c>
    </row>
    <row r="54" spans="1:9" x14ac:dyDescent="0.35">
      <c r="A54" t="s">
        <v>487</v>
      </c>
      <c r="B54">
        <v>107843876</v>
      </c>
      <c r="C54" t="s">
        <v>517</v>
      </c>
      <c r="D54" t="s">
        <v>486</v>
      </c>
      <c r="E54" t="s">
        <v>484</v>
      </c>
      <c r="F54">
        <v>377</v>
      </c>
      <c r="G54" t="s">
        <v>60</v>
      </c>
      <c r="H54" t="s">
        <v>489</v>
      </c>
      <c r="I54">
        <v>2369</v>
      </c>
    </row>
    <row r="55" spans="1:9" x14ac:dyDescent="0.35">
      <c r="A55" t="s">
        <v>487</v>
      </c>
      <c r="B55">
        <v>107843876</v>
      </c>
      <c r="C55" t="s">
        <v>517</v>
      </c>
      <c r="D55" t="s">
        <v>486</v>
      </c>
      <c r="E55" t="s">
        <v>484</v>
      </c>
      <c r="F55">
        <v>377</v>
      </c>
      <c r="G55" t="s">
        <v>60</v>
      </c>
      <c r="H55" t="s">
        <v>490</v>
      </c>
      <c r="I55">
        <v>24</v>
      </c>
    </row>
    <row r="56" spans="1:9" x14ac:dyDescent="0.35">
      <c r="A56" t="s">
        <v>487</v>
      </c>
      <c r="B56">
        <v>107843876</v>
      </c>
      <c r="C56" t="s">
        <v>517</v>
      </c>
      <c r="D56" t="s">
        <v>486</v>
      </c>
      <c r="E56" t="s">
        <v>484</v>
      </c>
      <c r="F56">
        <v>377</v>
      </c>
      <c r="G56" t="s">
        <v>81</v>
      </c>
      <c r="H56" t="s">
        <v>492</v>
      </c>
      <c r="I56">
        <v>377</v>
      </c>
    </row>
    <row r="57" spans="1:9" x14ac:dyDescent="0.35">
      <c r="A57" t="s">
        <v>487</v>
      </c>
      <c r="B57">
        <v>101750120</v>
      </c>
      <c r="C57" t="s">
        <v>591</v>
      </c>
      <c r="D57" t="s">
        <v>486</v>
      </c>
      <c r="E57" t="s">
        <v>484</v>
      </c>
      <c r="F57">
        <v>320</v>
      </c>
      <c r="G57" t="s">
        <v>60</v>
      </c>
      <c r="H57" t="s">
        <v>492</v>
      </c>
      <c r="I57">
        <v>2118</v>
      </c>
    </row>
    <row r="58" spans="1:9" x14ac:dyDescent="0.35">
      <c r="A58" t="s">
        <v>487</v>
      </c>
      <c r="B58">
        <v>101750120</v>
      </c>
      <c r="C58" t="s">
        <v>591</v>
      </c>
      <c r="D58" t="s">
        <v>486</v>
      </c>
      <c r="E58" t="s">
        <v>484</v>
      </c>
      <c r="F58">
        <v>320</v>
      </c>
      <c r="G58" t="s">
        <v>60</v>
      </c>
      <c r="H58" t="s">
        <v>488</v>
      </c>
      <c r="I58">
        <v>227</v>
      </c>
    </row>
    <row r="59" spans="1:9" x14ac:dyDescent="0.35">
      <c r="A59" t="s">
        <v>487</v>
      </c>
      <c r="B59">
        <v>101750120</v>
      </c>
      <c r="C59" t="s">
        <v>591</v>
      </c>
      <c r="D59" t="s">
        <v>486</v>
      </c>
      <c r="E59" t="s">
        <v>484</v>
      </c>
      <c r="F59">
        <v>320</v>
      </c>
      <c r="G59" t="s">
        <v>60</v>
      </c>
      <c r="H59" t="s">
        <v>489</v>
      </c>
      <c r="I59">
        <v>1889</v>
      </c>
    </row>
    <row r="60" spans="1:9" x14ac:dyDescent="0.35">
      <c r="A60" t="s">
        <v>487</v>
      </c>
      <c r="B60">
        <v>101750120</v>
      </c>
      <c r="C60" t="s">
        <v>591</v>
      </c>
      <c r="D60" t="s">
        <v>486</v>
      </c>
      <c r="E60" t="s">
        <v>484</v>
      </c>
      <c r="F60">
        <v>320</v>
      </c>
      <c r="G60" t="s">
        <v>60</v>
      </c>
      <c r="H60" t="s">
        <v>490</v>
      </c>
      <c r="I60">
        <v>2</v>
      </c>
    </row>
    <row r="61" spans="1:9" x14ac:dyDescent="0.35">
      <c r="A61" t="s">
        <v>487</v>
      </c>
      <c r="B61">
        <v>101750120</v>
      </c>
      <c r="C61" t="s">
        <v>591</v>
      </c>
      <c r="D61" t="s">
        <v>486</v>
      </c>
      <c r="E61" t="s">
        <v>484</v>
      </c>
      <c r="F61">
        <v>320</v>
      </c>
      <c r="G61" t="s">
        <v>81</v>
      </c>
      <c r="H61" t="s">
        <v>492</v>
      </c>
      <c r="I61">
        <v>320</v>
      </c>
    </row>
    <row r="62" spans="1:9" x14ac:dyDescent="0.35">
      <c r="A62" t="s">
        <v>487</v>
      </c>
      <c r="B62">
        <v>106064826</v>
      </c>
      <c r="C62" t="s">
        <v>589</v>
      </c>
      <c r="D62" t="s">
        <v>486</v>
      </c>
      <c r="E62" t="s">
        <v>484</v>
      </c>
      <c r="F62">
        <v>39</v>
      </c>
      <c r="G62" t="s">
        <v>60</v>
      </c>
      <c r="H62" t="s">
        <v>492</v>
      </c>
      <c r="I62">
        <v>532</v>
      </c>
    </row>
    <row r="63" spans="1:9" x14ac:dyDescent="0.35">
      <c r="A63" t="s">
        <v>487</v>
      </c>
      <c r="B63">
        <v>106064826</v>
      </c>
      <c r="C63" t="s">
        <v>589</v>
      </c>
      <c r="D63" t="s">
        <v>486</v>
      </c>
      <c r="E63" t="s">
        <v>484</v>
      </c>
      <c r="F63">
        <v>39</v>
      </c>
      <c r="G63" t="s">
        <v>60</v>
      </c>
      <c r="H63" t="s">
        <v>488</v>
      </c>
      <c r="I63">
        <v>234</v>
      </c>
    </row>
    <row r="64" spans="1:9" x14ac:dyDescent="0.35">
      <c r="A64" t="s">
        <v>487</v>
      </c>
      <c r="B64">
        <v>106064826</v>
      </c>
      <c r="C64" t="s">
        <v>589</v>
      </c>
      <c r="D64" t="s">
        <v>486</v>
      </c>
      <c r="E64" t="s">
        <v>484</v>
      </c>
      <c r="F64">
        <v>39</v>
      </c>
      <c r="G64" t="s">
        <v>60</v>
      </c>
      <c r="H64" t="s">
        <v>489</v>
      </c>
      <c r="I64">
        <v>298</v>
      </c>
    </row>
    <row r="65" spans="1:9" x14ac:dyDescent="0.35">
      <c r="A65" t="s">
        <v>487</v>
      </c>
      <c r="B65">
        <v>106064826</v>
      </c>
      <c r="C65" t="s">
        <v>589</v>
      </c>
      <c r="D65" t="s">
        <v>486</v>
      </c>
      <c r="E65" t="s">
        <v>484</v>
      </c>
      <c r="F65">
        <v>39</v>
      </c>
      <c r="G65" t="s">
        <v>81</v>
      </c>
      <c r="H65" t="s">
        <v>492</v>
      </c>
      <c r="I65">
        <v>39</v>
      </c>
    </row>
    <row r="66" spans="1:9" x14ac:dyDescent="0.35">
      <c r="A66" t="s">
        <v>487</v>
      </c>
      <c r="B66">
        <v>100753604</v>
      </c>
      <c r="C66" t="s">
        <v>485</v>
      </c>
      <c r="D66" t="s">
        <v>486</v>
      </c>
      <c r="E66" t="s">
        <v>484</v>
      </c>
      <c r="F66">
        <v>376</v>
      </c>
      <c r="G66" t="s">
        <v>60</v>
      </c>
      <c r="H66" t="s">
        <v>492</v>
      </c>
      <c r="I66">
        <v>3578</v>
      </c>
    </row>
    <row r="67" spans="1:9" x14ac:dyDescent="0.35">
      <c r="A67" t="s">
        <v>487</v>
      </c>
      <c r="B67">
        <v>100753604</v>
      </c>
      <c r="C67" t="s">
        <v>485</v>
      </c>
      <c r="D67" t="s">
        <v>486</v>
      </c>
      <c r="E67" t="s">
        <v>484</v>
      </c>
      <c r="F67">
        <v>376</v>
      </c>
      <c r="G67" t="s">
        <v>60</v>
      </c>
      <c r="H67" t="s">
        <v>488</v>
      </c>
      <c r="I67">
        <v>1022</v>
      </c>
    </row>
    <row r="68" spans="1:9" x14ac:dyDescent="0.35">
      <c r="A68" t="s">
        <v>487</v>
      </c>
      <c r="B68">
        <v>100753604</v>
      </c>
      <c r="C68" t="s">
        <v>485</v>
      </c>
      <c r="D68" t="s">
        <v>486</v>
      </c>
      <c r="E68" t="s">
        <v>484</v>
      </c>
      <c r="F68">
        <v>376</v>
      </c>
      <c r="G68" t="s">
        <v>60</v>
      </c>
      <c r="H68" t="s">
        <v>489</v>
      </c>
      <c r="I68">
        <v>2528</v>
      </c>
    </row>
    <row r="69" spans="1:9" x14ac:dyDescent="0.35">
      <c r="A69" t="s">
        <v>487</v>
      </c>
      <c r="B69">
        <v>100753604</v>
      </c>
      <c r="C69" t="s">
        <v>485</v>
      </c>
      <c r="D69" t="s">
        <v>486</v>
      </c>
      <c r="E69" t="s">
        <v>484</v>
      </c>
      <c r="F69">
        <v>376</v>
      </c>
      <c r="G69" t="s">
        <v>60</v>
      </c>
      <c r="H69" t="s">
        <v>490</v>
      </c>
      <c r="I69">
        <v>28</v>
      </c>
    </row>
    <row r="70" spans="1:9" x14ac:dyDescent="0.35">
      <c r="A70" t="s">
        <v>487</v>
      </c>
      <c r="B70">
        <v>100753604</v>
      </c>
      <c r="C70" t="s">
        <v>485</v>
      </c>
      <c r="D70" t="s">
        <v>486</v>
      </c>
      <c r="E70" t="s">
        <v>484</v>
      </c>
      <c r="F70">
        <v>376</v>
      </c>
      <c r="G70" t="s">
        <v>81</v>
      </c>
      <c r="H70" t="s">
        <v>492</v>
      </c>
      <c r="I70">
        <v>376</v>
      </c>
    </row>
    <row r="71" spans="1:9" x14ac:dyDescent="0.35">
      <c r="A71" t="s">
        <v>487</v>
      </c>
      <c r="B71">
        <v>106513473</v>
      </c>
      <c r="C71" t="s">
        <v>525</v>
      </c>
      <c r="D71" t="s">
        <v>486</v>
      </c>
      <c r="E71" t="s">
        <v>493</v>
      </c>
      <c r="F71">
        <v>32</v>
      </c>
      <c r="G71" t="s">
        <v>60</v>
      </c>
      <c r="H71" t="s">
        <v>492</v>
      </c>
      <c r="I71">
        <v>459</v>
      </c>
    </row>
    <row r="72" spans="1:9" x14ac:dyDescent="0.35">
      <c r="A72" t="s">
        <v>487</v>
      </c>
      <c r="B72">
        <v>106513473</v>
      </c>
      <c r="C72" t="s">
        <v>525</v>
      </c>
      <c r="D72" t="s">
        <v>486</v>
      </c>
      <c r="E72" t="s">
        <v>493</v>
      </c>
      <c r="F72">
        <v>32</v>
      </c>
      <c r="G72" t="s">
        <v>60</v>
      </c>
      <c r="H72" t="s">
        <v>488</v>
      </c>
      <c r="I72">
        <v>310</v>
      </c>
    </row>
    <row r="73" spans="1:9" x14ac:dyDescent="0.35">
      <c r="A73" t="s">
        <v>487</v>
      </c>
      <c r="B73">
        <v>106513473</v>
      </c>
      <c r="C73" t="s">
        <v>525</v>
      </c>
      <c r="D73" t="s">
        <v>486</v>
      </c>
      <c r="E73" t="s">
        <v>493</v>
      </c>
      <c r="F73">
        <v>32</v>
      </c>
      <c r="G73" t="s">
        <v>60</v>
      </c>
      <c r="H73" t="s">
        <v>489</v>
      </c>
      <c r="I73">
        <v>149</v>
      </c>
    </row>
    <row r="74" spans="1:9" x14ac:dyDescent="0.35">
      <c r="A74" t="s">
        <v>487</v>
      </c>
      <c r="B74">
        <v>106513473</v>
      </c>
      <c r="C74" t="s">
        <v>525</v>
      </c>
      <c r="D74" t="s">
        <v>486</v>
      </c>
      <c r="E74" t="s">
        <v>493</v>
      </c>
      <c r="F74">
        <v>32</v>
      </c>
      <c r="G74" t="s">
        <v>81</v>
      </c>
      <c r="H74" t="s">
        <v>492</v>
      </c>
      <c r="I74">
        <v>32</v>
      </c>
    </row>
    <row r="75" spans="1:9" x14ac:dyDescent="0.35">
      <c r="A75" t="s">
        <v>487</v>
      </c>
      <c r="B75">
        <v>107674648</v>
      </c>
      <c r="C75" t="s">
        <v>508</v>
      </c>
      <c r="D75" t="s">
        <v>486</v>
      </c>
      <c r="E75" t="s">
        <v>484</v>
      </c>
      <c r="F75">
        <v>270</v>
      </c>
      <c r="G75" t="s">
        <v>60</v>
      </c>
      <c r="H75" t="s">
        <v>492</v>
      </c>
      <c r="I75">
        <v>1691</v>
      </c>
    </row>
    <row r="76" spans="1:9" x14ac:dyDescent="0.35">
      <c r="A76" t="s">
        <v>487</v>
      </c>
      <c r="B76">
        <v>107674648</v>
      </c>
      <c r="C76" t="s">
        <v>508</v>
      </c>
      <c r="D76" t="s">
        <v>486</v>
      </c>
      <c r="E76" t="s">
        <v>484</v>
      </c>
      <c r="F76">
        <v>270</v>
      </c>
      <c r="G76" t="s">
        <v>60</v>
      </c>
      <c r="H76" t="s">
        <v>488</v>
      </c>
      <c r="I76">
        <v>376</v>
      </c>
    </row>
    <row r="77" spans="1:9" x14ac:dyDescent="0.35">
      <c r="A77" t="s">
        <v>487</v>
      </c>
      <c r="B77">
        <v>107674648</v>
      </c>
      <c r="C77" t="s">
        <v>508</v>
      </c>
      <c r="D77" t="s">
        <v>486</v>
      </c>
      <c r="E77" t="s">
        <v>484</v>
      </c>
      <c r="F77">
        <v>270</v>
      </c>
      <c r="G77" t="s">
        <v>60</v>
      </c>
      <c r="H77" t="s">
        <v>489</v>
      </c>
      <c r="I77">
        <v>1298</v>
      </c>
    </row>
    <row r="78" spans="1:9" x14ac:dyDescent="0.35">
      <c r="A78" t="s">
        <v>487</v>
      </c>
      <c r="B78">
        <v>107674648</v>
      </c>
      <c r="C78" t="s">
        <v>508</v>
      </c>
      <c r="D78" t="s">
        <v>486</v>
      </c>
      <c r="E78" t="s">
        <v>484</v>
      </c>
      <c r="F78">
        <v>270</v>
      </c>
      <c r="G78" t="s">
        <v>60</v>
      </c>
      <c r="H78" t="s">
        <v>490</v>
      </c>
      <c r="I78">
        <v>17</v>
      </c>
    </row>
    <row r="79" spans="1:9" x14ac:dyDescent="0.35">
      <c r="A79" t="s">
        <v>487</v>
      </c>
      <c r="B79">
        <v>107674648</v>
      </c>
      <c r="C79" t="s">
        <v>508</v>
      </c>
      <c r="D79" t="s">
        <v>486</v>
      </c>
      <c r="E79" t="s">
        <v>484</v>
      </c>
      <c r="F79">
        <v>270</v>
      </c>
      <c r="G79" t="s">
        <v>81</v>
      </c>
      <c r="H79" t="s">
        <v>492</v>
      </c>
      <c r="I79">
        <v>270</v>
      </c>
    </row>
    <row r="80" spans="1:9" x14ac:dyDescent="0.35">
      <c r="A80" t="s">
        <v>487</v>
      </c>
      <c r="B80">
        <v>106276317</v>
      </c>
      <c r="C80" t="s">
        <v>523</v>
      </c>
      <c r="D80" t="s">
        <v>486</v>
      </c>
      <c r="E80" t="s">
        <v>484</v>
      </c>
      <c r="F80">
        <v>354</v>
      </c>
      <c r="G80" t="s">
        <v>60</v>
      </c>
      <c r="H80" t="s">
        <v>492</v>
      </c>
      <c r="I80">
        <v>2939</v>
      </c>
    </row>
    <row r="81" spans="1:9" x14ac:dyDescent="0.35">
      <c r="A81" t="s">
        <v>487</v>
      </c>
      <c r="B81">
        <v>106276317</v>
      </c>
      <c r="C81" t="s">
        <v>523</v>
      </c>
      <c r="D81" t="s">
        <v>486</v>
      </c>
      <c r="E81" t="s">
        <v>484</v>
      </c>
      <c r="F81">
        <v>354</v>
      </c>
      <c r="G81" t="s">
        <v>60</v>
      </c>
      <c r="H81" t="s">
        <v>488</v>
      </c>
      <c r="I81">
        <v>399</v>
      </c>
    </row>
    <row r="82" spans="1:9" x14ac:dyDescent="0.35">
      <c r="A82" t="s">
        <v>487</v>
      </c>
      <c r="B82">
        <v>106276317</v>
      </c>
      <c r="C82" t="s">
        <v>523</v>
      </c>
      <c r="D82" t="s">
        <v>486</v>
      </c>
      <c r="E82" t="s">
        <v>484</v>
      </c>
      <c r="F82">
        <v>354</v>
      </c>
      <c r="G82" t="s">
        <v>60</v>
      </c>
      <c r="H82" t="s">
        <v>489</v>
      </c>
      <c r="I82">
        <v>2518</v>
      </c>
    </row>
    <row r="83" spans="1:9" x14ac:dyDescent="0.35">
      <c r="A83" t="s">
        <v>487</v>
      </c>
      <c r="B83">
        <v>106276317</v>
      </c>
      <c r="C83" t="s">
        <v>523</v>
      </c>
      <c r="D83" t="s">
        <v>486</v>
      </c>
      <c r="E83" t="s">
        <v>484</v>
      </c>
      <c r="F83">
        <v>354</v>
      </c>
      <c r="G83" t="s">
        <v>60</v>
      </c>
      <c r="H83" t="s">
        <v>490</v>
      </c>
      <c r="I83">
        <v>22</v>
      </c>
    </row>
    <row r="84" spans="1:9" x14ac:dyDescent="0.35">
      <c r="A84" t="s">
        <v>487</v>
      </c>
      <c r="B84">
        <v>106276317</v>
      </c>
      <c r="C84" t="s">
        <v>523</v>
      </c>
      <c r="D84" t="s">
        <v>486</v>
      </c>
      <c r="E84" t="s">
        <v>484</v>
      </c>
      <c r="F84">
        <v>354</v>
      </c>
      <c r="G84" t="s">
        <v>81</v>
      </c>
      <c r="H84" t="s">
        <v>492</v>
      </c>
      <c r="I84">
        <v>354</v>
      </c>
    </row>
    <row r="85" spans="1:9" x14ac:dyDescent="0.35">
      <c r="A85" t="s">
        <v>487</v>
      </c>
      <c r="B85">
        <v>107775521</v>
      </c>
      <c r="C85" t="s">
        <v>511</v>
      </c>
      <c r="D85" t="s">
        <v>486</v>
      </c>
      <c r="E85" t="s">
        <v>484</v>
      </c>
      <c r="F85">
        <v>318</v>
      </c>
      <c r="G85" t="s">
        <v>60</v>
      </c>
      <c r="H85" t="s">
        <v>492</v>
      </c>
      <c r="I85">
        <v>2201</v>
      </c>
    </row>
    <row r="86" spans="1:9" x14ac:dyDescent="0.35">
      <c r="A86" t="s">
        <v>487</v>
      </c>
      <c r="B86">
        <v>107775521</v>
      </c>
      <c r="C86" t="s">
        <v>511</v>
      </c>
      <c r="D86" t="s">
        <v>486</v>
      </c>
      <c r="E86" t="s">
        <v>484</v>
      </c>
      <c r="F86">
        <v>318</v>
      </c>
      <c r="G86" t="s">
        <v>60</v>
      </c>
      <c r="H86" t="s">
        <v>488</v>
      </c>
      <c r="I86">
        <v>366</v>
      </c>
    </row>
    <row r="87" spans="1:9" x14ac:dyDescent="0.35">
      <c r="A87" t="s">
        <v>487</v>
      </c>
      <c r="B87">
        <v>107775521</v>
      </c>
      <c r="C87" t="s">
        <v>511</v>
      </c>
      <c r="D87" t="s">
        <v>486</v>
      </c>
      <c r="E87" t="s">
        <v>484</v>
      </c>
      <c r="F87">
        <v>318</v>
      </c>
      <c r="G87" t="s">
        <v>60</v>
      </c>
      <c r="H87" t="s">
        <v>489</v>
      </c>
      <c r="I87">
        <v>1835</v>
      </c>
    </row>
    <row r="88" spans="1:9" x14ac:dyDescent="0.35">
      <c r="A88" t="s">
        <v>487</v>
      </c>
      <c r="B88">
        <v>107775521</v>
      </c>
      <c r="C88" t="s">
        <v>511</v>
      </c>
      <c r="D88" t="s">
        <v>486</v>
      </c>
      <c r="E88" t="s">
        <v>484</v>
      </c>
      <c r="F88">
        <v>318</v>
      </c>
      <c r="G88" t="s">
        <v>81</v>
      </c>
      <c r="H88" t="s">
        <v>492</v>
      </c>
      <c r="I88">
        <v>318</v>
      </c>
    </row>
    <row r="89" spans="1:9" x14ac:dyDescent="0.35">
      <c r="A89" t="s">
        <v>487</v>
      </c>
      <c r="B89">
        <v>107775986</v>
      </c>
      <c r="C89" t="s">
        <v>512</v>
      </c>
      <c r="D89" t="s">
        <v>486</v>
      </c>
      <c r="E89" t="s">
        <v>484</v>
      </c>
      <c r="F89">
        <v>519</v>
      </c>
      <c r="G89" t="s">
        <v>60</v>
      </c>
      <c r="H89" t="s">
        <v>492</v>
      </c>
      <c r="I89">
        <v>2680</v>
      </c>
    </row>
    <row r="90" spans="1:9" x14ac:dyDescent="0.35">
      <c r="A90" t="s">
        <v>487</v>
      </c>
      <c r="B90">
        <v>107775986</v>
      </c>
      <c r="C90" t="s">
        <v>512</v>
      </c>
      <c r="D90" t="s">
        <v>486</v>
      </c>
      <c r="E90" t="s">
        <v>484</v>
      </c>
      <c r="F90">
        <v>519</v>
      </c>
      <c r="G90" t="s">
        <v>60</v>
      </c>
      <c r="H90" t="s">
        <v>488</v>
      </c>
      <c r="I90">
        <v>386</v>
      </c>
    </row>
    <row r="91" spans="1:9" x14ac:dyDescent="0.35">
      <c r="A91" t="s">
        <v>487</v>
      </c>
      <c r="B91">
        <v>107775986</v>
      </c>
      <c r="C91" t="s">
        <v>512</v>
      </c>
      <c r="D91" t="s">
        <v>486</v>
      </c>
      <c r="E91" t="s">
        <v>484</v>
      </c>
      <c r="F91">
        <v>519</v>
      </c>
      <c r="G91" t="s">
        <v>60</v>
      </c>
      <c r="H91" t="s">
        <v>489</v>
      </c>
      <c r="I91">
        <v>2260</v>
      </c>
    </row>
    <row r="92" spans="1:9" x14ac:dyDescent="0.35">
      <c r="A92" t="s">
        <v>487</v>
      </c>
      <c r="B92">
        <v>107775986</v>
      </c>
      <c r="C92" t="s">
        <v>512</v>
      </c>
      <c r="D92" t="s">
        <v>486</v>
      </c>
      <c r="E92" t="s">
        <v>484</v>
      </c>
      <c r="F92">
        <v>519</v>
      </c>
      <c r="G92" t="s">
        <v>60</v>
      </c>
      <c r="H92" t="s">
        <v>490</v>
      </c>
      <c r="I92">
        <v>34</v>
      </c>
    </row>
    <row r="93" spans="1:9" x14ac:dyDescent="0.35">
      <c r="A93" t="s">
        <v>487</v>
      </c>
      <c r="B93">
        <v>107775986</v>
      </c>
      <c r="C93" t="s">
        <v>512</v>
      </c>
      <c r="D93" t="s">
        <v>486</v>
      </c>
      <c r="E93" t="s">
        <v>484</v>
      </c>
      <c r="F93">
        <v>519</v>
      </c>
      <c r="G93" t="s">
        <v>81</v>
      </c>
      <c r="H93" t="s">
        <v>492</v>
      </c>
      <c r="I93">
        <v>519</v>
      </c>
    </row>
    <row r="94" spans="1:9" x14ac:dyDescent="0.35">
      <c r="A94" t="s">
        <v>487</v>
      </c>
      <c r="B94">
        <v>107775413</v>
      </c>
      <c r="C94" t="s">
        <v>510</v>
      </c>
      <c r="D94" t="s">
        <v>486</v>
      </c>
      <c r="E94" t="s">
        <v>493</v>
      </c>
      <c r="F94">
        <v>228</v>
      </c>
      <c r="G94" t="s">
        <v>60</v>
      </c>
      <c r="H94" t="s">
        <v>492</v>
      </c>
      <c r="I94">
        <v>1953</v>
      </c>
    </row>
    <row r="95" spans="1:9" x14ac:dyDescent="0.35">
      <c r="A95" t="s">
        <v>487</v>
      </c>
      <c r="B95">
        <v>107775413</v>
      </c>
      <c r="C95" t="s">
        <v>510</v>
      </c>
      <c r="D95" t="s">
        <v>486</v>
      </c>
      <c r="E95" t="s">
        <v>493</v>
      </c>
      <c r="F95">
        <v>228</v>
      </c>
      <c r="G95" t="s">
        <v>60</v>
      </c>
      <c r="H95" t="s">
        <v>488</v>
      </c>
      <c r="I95">
        <v>872</v>
      </c>
    </row>
    <row r="96" spans="1:9" x14ac:dyDescent="0.35">
      <c r="A96" t="s">
        <v>487</v>
      </c>
      <c r="B96">
        <v>107775413</v>
      </c>
      <c r="C96" t="s">
        <v>510</v>
      </c>
      <c r="D96" t="s">
        <v>486</v>
      </c>
      <c r="E96" t="s">
        <v>493</v>
      </c>
      <c r="F96">
        <v>228</v>
      </c>
      <c r="G96" t="s">
        <v>60</v>
      </c>
      <c r="H96" t="s">
        <v>489</v>
      </c>
      <c r="I96">
        <v>1058</v>
      </c>
    </row>
    <row r="97" spans="1:9" x14ac:dyDescent="0.35">
      <c r="A97" t="s">
        <v>487</v>
      </c>
      <c r="B97">
        <v>107775413</v>
      </c>
      <c r="C97" t="s">
        <v>510</v>
      </c>
      <c r="D97" t="s">
        <v>486</v>
      </c>
      <c r="E97" t="s">
        <v>493</v>
      </c>
      <c r="F97">
        <v>228</v>
      </c>
      <c r="G97" t="s">
        <v>60</v>
      </c>
      <c r="H97" t="s">
        <v>490</v>
      </c>
      <c r="I97">
        <v>23</v>
      </c>
    </row>
    <row r="98" spans="1:9" x14ac:dyDescent="0.35">
      <c r="A98" t="s">
        <v>487</v>
      </c>
      <c r="B98">
        <v>107775413</v>
      </c>
      <c r="C98" t="s">
        <v>510</v>
      </c>
      <c r="D98" t="s">
        <v>486</v>
      </c>
      <c r="E98" t="s">
        <v>493</v>
      </c>
      <c r="F98">
        <v>228</v>
      </c>
      <c r="G98" t="s">
        <v>81</v>
      </c>
      <c r="H98" t="s">
        <v>492</v>
      </c>
      <c r="I98">
        <v>228</v>
      </c>
    </row>
    <row r="99" spans="1:9" x14ac:dyDescent="0.35">
      <c r="A99" t="s">
        <v>487</v>
      </c>
      <c r="B99">
        <v>105833593</v>
      </c>
      <c r="C99" t="s">
        <v>522</v>
      </c>
      <c r="D99" t="s">
        <v>497</v>
      </c>
      <c r="E99" t="s">
        <v>484</v>
      </c>
      <c r="F99">
        <v>223</v>
      </c>
      <c r="G99" t="s">
        <v>60</v>
      </c>
      <c r="H99" t="s">
        <v>492</v>
      </c>
      <c r="I99">
        <v>1773</v>
      </c>
    </row>
    <row r="100" spans="1:9" x14ac:dyDescent="0.35">
      <c r="A100" t="s">
        <v>487</v>
      </c>
      <c r="B100">
        <v>105833593</v>
      </c>
      <c r="C100" t="s">
        <v>522</v>
      </c>
      <c r="D100" t="s">
        <v>497</v>
      </c>
      <c r="E100" t="s">
        <v>484</v>
      </c>
      <c r="F100">
        <v>223</v>
      </c>
      <c r="G100" t="s">
        <v>60</v>
      </c>
      <c r="H100" t="s">
        <v>488</v>
      </c>
      <c r="I100">
        <v>249</v>
      </c>
    </row>
    <row r="101" spans="1:9" x14ac:dyDescent="0.35">
      <c r="A101" t="s">
        <v>487</v>
      </c>
      <c r="B101">
        <v>105833593</v>
      </c>
      <c r="C101" t="s">
        <v>522</v>
      </c>
      <c r="D101" t="s">
        <v>497</v>
      </c>
      <c r="E101" t="s">
        <v>484</v>
      </c>
      <c r="F101">
        <v>223</v>
      </c>
      <c r="G101" t="s">
        <v>60</v>
      </c>
      <c r="H101" t="s">
        <v>489</v>
      </c>
      <c r="I101">
        <v>1524</v>
      </c>
    </row>
    <row r="102" spans="1:9" x14ac:dyDescent="0.35">
      <c r="A102" t="s">
        <v>487</v>
      </c>
      <c r="B102">
        <v>105833593</v>
      </c>
      <c r="C102" t="s">
        <v>522</v>
      </c>
      <c r="D102" t="s">
        <v>497</v>
      </c>
      <c r="E102" t="s">
        <v>484</v>
      </c>
      <c r="F102">
        <v>223</v>
      </c>
      <c r="G102" t="s">
        <v>81</v>
      </c>
      <c r="H102" t="s">
        <v>492</v>
      </c>
      <c r="I102">
        <v>223</v>
      </c>
    </row>
    <row r="103" spans="1:9" x14ac:dyDescent="0.35">
      <c r="A103" t="s">
        <v>487</v>
      </c>
      <c r="B103">
        <v>107233200</v>
      </c>
      <c r="C103" t="s">
        <v>506</v>
      </c>
      <c r="D103" t="s">
        <v>486</v>
      </c>
      <c r="E103" t="s">
        <v>484</v>
      </c>
      <c r="F103">
        <v>335</v>
      </c>
      <c r="G103" t="s">
        <v>60</v>
      </c>
      <c r="H103" t="s">
        <v>492</v>
      </c>
      <c r="I103">
        <v>2399</v>
      </c>
    </row>
    <row r="104" spans="1:9" x14ac:dyDescent="0.35">
      <c r="A104" t="s">
        <v>487</v>
      </c>
      <c r="B104">
        <v>107233200</v>
      </c>
      <c r="C104" t="s">
        <v>506</v>
      </c>
      <c r="D104" t="s">
        <v>486</v>
      </c>
      <c r="E104" t="s">
        <v>484</v>
      </c>
      <c r="F104">
        <v>335</v>
      </c>
      <c r="G104" t="s">
        <v>60</v>
      </c>
      <c r="H104" t="s">
        <v>488</v>
      </c>
      <c r="I104">
        <v>356</v>
      </c>
    </row>
    <row r="105" spans="1:9" x14ac:dyDescent="0.35">
      <c r="A105" t="s">
        <v>487</v>
      </c>
      <c r="B105">
        <v>107233200</v>
      </c>
      <c r="C105" t="s">
        <v>506</v>
      </c>
      <c r="D105" t="s">
        <v>486</v>
      </c>
      <c r="E105" t="s">
        <v>484</v>
      </c>
      <c r="F105">
        <v>335</v>
      </c>
      <c r="G105" t="s">
        <v>60</v>
      </c>
      <c r="H105" t="s">
        <v>489</v>
      </c>
      <c r="I105">
        <v>1992</v>
      </c>
    </row>
    <row r="106" spans="1:9" x14ac:dyDescent="0.35">
      <c r="A106" t="s">
        <v>487</v>
      </c>
      <c r="B106">
        <v>107233200</v>
      </c>
      <c r="C106" t="s">
        <v>506</v>
      </c>
      <c r="D106" t="s">
        <v>486</v>
      </c>
      <c r="E106" t="s">
        <v>484</v>
      </c>
      <c r="F106">
        <v>335</v>
      </c>
      <c r="G106" t="s">
        <v>60</v>
      </c>
      <c r="H106" t="s">
        <v>490</v>
      </c>
      <c r="I106">
        <v>51</v>
      </c>
    </row>
    <row r="107" spans="1:9" x14ac:dyDescent="0.35">
      <c r="A107" t="s">
        <v>487</v>
      </c>
      <c r="B107">
        <v>107233200</v>
      </c>
      <c r="C107" t="s">
        <v>506</v>
      </c>
      <c r="D107" t="s">
        <v>486</v>
      </c>
      <c r="E107" t="s">
        <v>484</v>
      </c>
      <c r="F107">
        <v>335</v>
      </c>
      <c r="G107" t="s">
        <v>81</v>
      </c>
      <c r="H107" t="s">
        <v>492</v>
      </c>
      <c r="I107">
        <v>335</v>
      </c>
    </row>
    <row r="108" spans="1:9" x14ac:dyDescent="0.35">
      <c r="A108" t="s">
        <v>487</v>
      </c>
      <c r="B108">
        <v>104378003</v>
      </c>
      <c r="C108" t="s">
        <v>495</v>
      </c>
      <c r="D108" t="s">
        <v>486</v>
      </c>
      <c r="E108" t="s">
        <v>484</v>
      </c>
      <c r="F108">
        <v>288</v>
      </c>
      <c r="G108" t="s">
        <v>60</v>
      </c>
      <c r="H108" t="s">
        <v>492</v>
      </c>
      <c r="I108">
        <v>2120</v>
      </c>
    </row>
    <row r="109" spans="1:9" x14ac:dyDescent="0.35">
      <c r="A109" t="s">
        <v>487</v>
      </c>
      <c r="B109">
        <v>104378003</v>
      </c>
      <c r="C109" t="s">
        <v>495</v>
      </c>
      <c r="D109" t="s">
        <v>486</v>
      </c>
      <c r="E109" t="s">
        <v>484</v>
      </c>
      <c r="F109">
        <v>288</v>
      </c>
      <c r="G109" t="s">
        <v>60</v>
      </c>
      <c r="H109" t="s">
        <v>488</v>
      </c>
      <c r="I109">
        <v>620</v>
      </c>
    </row>
    <row r="110" spans="1:9" x14ac:dyDescent="0.35">
      <c r="A110" t="s">
        <v>487</v>
      </c>
      <c r="B110">
        <v>104378003</v>
      </c>
      <c r="C110" t="s">
        <v>495</v>
      </c>
      <c r="D110" t="s">
        <v>486</v>
      </c>
      <c r="E110" t="s">
        <v>484</v>
      </c>
      <c r="F110">
        <v>288</v>
      </c>
      <c r="G110" t="s">
        <v>60</v>
      </c>
      <c r="H110" t="s">
        <v>489</v>
      </c>
      <c r="I110">
        <v>1486</v>
      </c>
    </row>
    <row r="111" spans="1:9" x14ac:dyDescent="0.35">
      <c r="A111" t="s">
        <v>487</v>
      </c>
      <c r="B111">
        <v>104378003</v>
      </c>
      <c r="C111" t="s">
        <v>495</v>
      </c>
      <c r="D111" t="s">
        <v>486</v>
      </c>
      <c r="E111" t="s">
        <v>484</v>
      </c>
      <c r="F111">
        <v>288</v>
      </c>
      <c r="G111" t="s">
        <v>60</v>
      </c>
      <c r="H111" t="s">
        <v>490</v>
      </c>
      <c r="I111">
        <v>14</v>
      </c>
    </row>
    <row r="112" spans="1:9" x14ac:dyDescent="0.35">
      <c r="A112" t="s">
        <v>487</v>
      </c>
      <c r="B112">
        <v>104378003</v>
      </c>
      <c r="C112" t="s">
        <v>495</v>
      </c>
      <c r="D112" t="s">
        <v>486</v>
      </c>
      <c r="E112" t="s">
        <v>484</v>
      </c>
      <c r="F112">
        <v>288</v>
      </c>
      <c r="G112" t="s">
        <v>81</v>
      </c>
      <c r="H112" t="s">
        <v>492</v>
      </c>
      <c r="I112">
        <v>288</v>
      </c>
    </row>
    <row r="113" spans="1:9" x14ac:dyDescent="0.35">
      <c r="A113" t="s">
        <v>487</v>
      </c>
      <c r="B113">
        <v>106686591</v>
      </c>
      <c r="C113" t="s">
        <v>587</v>
      </c>
      <c r="D113" t="s">
        <v>486</v>
      </c>
      <c r="E113" t="s">
        <v>493</v>
      </c>
      <c r="F113">
        <v>197</v>
      </c>
      <c r="G113" t="s">
        <v>60</v>
      </c>
      <c r="H113" t="s">
        <v>492</v>
      </c>
      <c r="I113">
        <v>1607</v>
      </c>
    </row>
    <row r="114" spans="1:9" x14ac:dyDescent="0.35">
      <c r="A114" t="s">
        <v>487</v>
      </c>
      <c r="B114">
        <v>106686591</v>
      </c>
      <c r="C114" t="s">
        <v>587</v>
      </c>
      <c r="D114" t="s">
        <v>486</v>
      </c>
      <c r="E114" t="s">
        <v>493</v>
      </c>
      <c r="F114">
        <v>197</v>
      </c>
      <c r="G114" t="s">
        <v>60</v>
      </c>
      <c r="H114" t="s">
        <v>488</v>
      </c>
      <c r="I114">
        <v>501</v>
      </c>
    </row>
    <row r="115" spans="1:9" x14ac:dyDescent="0.35">
      <c r="A115" t="s">
        <v>487</v>
      </c>
      <c r="B115">
        <v>106686591</v>
      </c>
      <c r="C115" t="s">
        <v>587</v>
      </c>
      <c r="D115" t="s">
        <v>486</v>
      </c>
      <c r="E115" t="s">
        <v>493</v>
      </c>
      <c r="F115">
        <v>197</v>
      </c>
      <c r="G115" t="s">
        <v>60</v>
      </c>
      <c r="H115" t="s">
        <v>489</v>
      </c>
      <c r="I115">
        <v>1094</v>
      </c>
    </row>
    <row r="116" spans="1:9" x14ac:dyDescent="0.35">
      <c r="A116" t="s">
        <v>487</v>
      </c>
      <c r="B116">
        <v>106686591</v>
      </c>
      <c r="C116" t="s">
        <v>587</v>
      </c>
      <c r="D116" t="s">
        <v>486</v>
      </c>
      <c r="E116" t="s">
        <v>493</v>
      </c>
      <c r="F116">
        <v>197</v>
      </c>
      <c r="G116" t="s">
        <v>60</v>
      </c>
      <c r="H116" t="s">
        <v>490</v>
      </c>
      <c r="I116">
        <v>12</v>
      </c>
    </row>
    <row r="117" spans="1:9" x14ac:dyDescent="0.35">
      <c r="A117" t="s">
        <v>487</v>
      </c>
      <c r="B117">
        <v>106686591</v>
      </c>
      <c r="C117" t="s">
        <v>587</v>
      </c>
      <c r="D117" t="s">
        <v>486</v>
      </c>
      <c r="E117" t="s">
        <v>493</v>
      </c>
      <c r="F117">
        <v>197</v>
      </c>
      <c r="G117" t="s">
        <v>81</v>
      </c>
      <c r="H117" t="s">
        <v>492</v>
      </c>
      <c r="I117">
        <v>197</v>
      </c>
    </row>
    <row r="118" spans="1:9" x14ac:dyDescent="0.35">
      <c r="A118" t="s">
        <v>487</v>
      </c>
      <c r="B118">
        <v>107264616</v>
      </c>
      <c r="C118" t="s">
        <v>507</v>
      </c>
      <c r="D118" t="s">
        <v>486</v>
      </c>
      <c r="E118" t="s">
        <v>484</v>
      </c>
      <c r="F118">
        <v>94</v>
      </c>
      <c r="G118" t="s">
        <v>60</v>
      </c>
      <c r="H118" t="s">
        <v>492</v>
      </c>
      <c r="I118">
        <v>927</v>
      </c>
    </row>
    <row r="119" spans="1:9" x14ac:dyDescent="0.35">
      <c r="A119" t="s">
        <v>487</v>
      </c>
      <c r="B119">
        <v>107264616</v>
      </c>
      <c r="C119" t="s">
        <v>507</v>
      </c>
      <c r="D119" t="s">
        <v>486</v>
      </c>
      <c r="E119" t="s">
        <v>484</v>
      </c>
      <c r="F119">
        <v>94</v>
      </c>
      <c r="G119" t="s">
        <v>60</v>
      </c>
      <c r="H119" t="s">
        <v>488</v>
      </c>
      <c r="I119">
        <v>72</v>
      </c>
    </row>
    <row r="120" spans="1:9" x14ac:dyDescent="0.35">
      <c r="A120" t="s">
        <v>487</v>
      </c>
      <c r="B120">
        <v>107264616</v>
      </c>
      <c r="C120" t="s">
        <v>507</v>
      </c>
      <c r="D120" t="s">
        <v>486</v>
      </c>
      <c r="E120" t="s">
        <v>484</v>
      </c>
      <c r="F120">
        <v>94</v>
      </c>
      <c r="G120" t="s">
        <v>60</v>
      </c>
      <c r="H120" t="s">
        <v>489</v>
      </c>
      <c r="I120">
        <v>852</v>
      </c>
    </row>
    <row r="121" spans="1:9" x14ac:dyDescent="0.35">
      <c r="A121" t="s">
        <v>487</v>
      </c>
      <c r="B121">
        <v>107264616</v>
      </c>
      <c r="C121" t="s">
        <v>507</v>
      </c>
      <c r="D121" t="s">
        <v>486</v>
      </c>
      <c r="E121" t="s">
        <v>484</v>
      </c>
      <c r="F121">
        <v>94</v>
      </c>
      <c r="G121" t="s">
        <v>60</v>
      </c>
      <c r="H121" t="s">
        <v>490</v>
      </c>
      <c r="I121">
        <v>3</v>
      </c>
    </row>
    <row r="122" spans="1:9" x14ac:dyDescent="0.35">
      <c r="A122" t="s">
        <v>487</v>
      </c>
      <c r="B122">
        <v>107264616</v>
      </c>
      <c r="C122" t="s">
        <v>507</v>
      </c>
      <c r="D122" t="s">
        <v>486</v>
      </c>
      <c r="E122" t="s">
        <v>484</v>
      </c>
      <c r="F122">
        <v>94</v>
      </c>
      <c r="G122" t="s">
        <v>81</v>
      </c>
      <c r="H122" t="s">
        <v>492</v>
      </c>
      <c r="I122">
        <v>94</v>
      </c>
    </row>
    <row r="123" spans="1:9" x14ac:dyDescent="0.35">
      <c r="A123" t="s">
        <v>487</v>
      </c>
      <c r="B123">
        <v>107232971</v>
      </c>
      <c r="C123" t="s">
        <v>504</v>
      </c>
      <c r="D123" t="s">
        <v>486</v>
      </c>
      <c r="E123" t="s">
        <v>484</v>
      </c>
      <c r="F123">
        <v>287</v>
      </c>
      <c r="G123" t="s">
        <v>60</v>
      </c>
      <c r="H123" t="s">
        <v>492</v>
      </c>
      <c r="I123">
        <v>2020</v>
      </c>
    </row>
    <row r="124" spans="1:9" x14ac:dyDescent="0.35">
      <c r="A124" t="s">
        <v>487</v>
      </c>
      <c r="B124">
        <v>107232971</v>
      </c>
      <c r="C124" t="s">
        <v>504</v>
      </c>
      <c r="D124" t="s">
        <v>486</v>
      </c>
      <c r="E124" t="s">
        <v>484</v>
      </c>
      <c r="F124">
        <v>287</v>
      </c>
      <c r="G124" t="s">
        <v>60</v>
      </c>
      <c r="H124" t="s">
        <v>488</v>
      </c>
      <c r="I124">
        <v>396</v>
      </c>
    </row>
    <row r="125" spans="1:9" x14ac:dyDescent="0.35">
      <c r="A125" t="s">
        <v>487</v>
      </c>
      <c r="B125">
        <v>107232971</v>
      </c>
      <c r="C125" t="s">
        <v>504</v>
      </c>
      <c r="D125" t="s">
        <v>486</v>
      </c>
      <c r="E125" t="s">
        <v>484</v>
      </c>
      <c r="F125">
        <v>287</v>
      </c>
      <c r="G125" t="s">
        <v>60</v>
      </c>
      <c r="H125" t="s">
        <v>489</v>
      </c>
      <c r="I125">
        <v>1624</v>
      </c>
    </row>
    <row r="126" spans="1:9" x14ac:dyDescent="0.35">
      <c r="A126" t="s">
        <v>487</v>
      </c>
      <c r="B126">
        <v>107232971</v>
      </c>
      <c r="C126" t="s">
        <v>504</v>
      </c>
      <c r="D126" t="s">
        <v>486</v>
      </c>
      <c r="E126" t="s">
        <v>484</v>
      </c>
      <c r="F126">
        <v>287</v>
      </c>
      <c r="G126" t="s">
        <v>81</v>
      </c>
      <c r="H126" t="s">
        <v>492</v>
      </c>
      <c r="I126">
        <v>287</v>
      </c>
    </row>
    <row r="127" spans="1:9" x14ac:dyDescent="0.35">
      <c r="A127" t="s">
        <v>487</v>
      </c>
      <c r="B127">
        <v>107221179</v>
      </c>
      <c r="C127" t="s">
        <v>500</v>
      </c>
      <c r="D127" t="s">
        <v>486</v>
      </c>
      <c r="E127" t="s">
        <v>493</v>
      </c>
      <c r="F127">
        <v>227</v>
      </c>
      <c r="G127" t="s">
        <v>60</v>
      </c>
      <c r="H127" t="s">
        <v>492</v>
      </c>
      <c r="I127">
        <v>1538</v>
      </c>
    </row>
    <row r="128" spans="1:9" x14ac:dyDescent="0.35">
      <c r="A128" t="s">
        <v>487</v>
      </c>
      <c r="B128">
        <v>107221179</v>
      </c>
      <c r="C128" t="s">
        <v>500</v>
      </c>
      <c r="D128" t="s">
        <v>486</v>
      </c>
      <c r="E128" t="s">
        <v>493</v>
      </c>
      <c r="F128">
        <v>227</v>
      </c>
      <c r="G128" t="s">
        <v>60</v>
      </c>
      <c r="H128" t="s">
        <v>488</v>
      </c>
      <c r="I128">
        <v>200</v>
      </c>
    </row>
    <row r="129" spans="1:9" x14ac:dyDescent="0.35">
      <c r="A129" t="s">
        <v>487</v>
      </c>
      <c r="B129">
        <v>107221179</v>
      </c>
      <c r="C129" t="s">
        <v>500</v>
      </c>
      <c r="D129" t="s">
        <v>486</v>
      </c>
      <c r="E129" t="s">
        <v>493</v>
      </c>
      <c r="F129">
        <v>227</v>
      </c>
      <c r="G129" t="s">
        <v>60</v>
      </c>
      <c r="H129" t="s">
        <v>489</v>
      </c>
      <c r="I129">
        <v>1338</v>
      </c>
    </row>
    <row r="130" spans="1:9" x14ac:dyDescent="0.35">
      <c r="A130" t="s">
        <v>487</v>
      </c>
      <c r="B130">
        <v>107221179</v>
      </c>
      <c r="C130" t="s">
        <v>500</v>
      </c>
      <c r="D130" t="s">
        <v>486</v>
      </c>
      <c r="E130" t="s">
        <v>493</v>
      </c>
      <c r="F130">
        <v>227</v>
      </c>
      <c r="G130" t="s">
        <v>81</v>
      </c>
      <c r="H130" t="s">
        <v>492</v>
      </c>
      <c r="I130">
        <v>227</v>
      </c>
    </row>
    <row r="131" spans="1:9" x14ac:dyDescent="0.35">
      <c r="A131" t="s">
        <v>487</v>
      </c>
      <c r="B131">
        <v>106616226</v>
      </c>
      <c r="C131" t="s">
        <v>526</v>
      </c>
      <c r="D131" t="s">
        <v>486</v>
      </c>
      <c r="E131" t="s">
        <v>484</v>
      </c>
      <c r="F131">
        <v>122</v>
      </c>
      <c r="G131" t="s">
        <v>60</v>
      </c>
      <c r="H131" t="s">
        <v>492</v>
      </c>
      <c r="I131">
        <v>1504</v>
      </c>
    </row>
    <row r="132" spans="1:9" x14ac:dyDescent="0.35">
      <c r="A132" t="s">
        <v>487</v>
      </c>
      <c r="B132">
        <v>106616226</v>
      </c>
      <c r="C132" t="s">
        <v>526</v>
      </c>
      <c r="D132" t="s">
        <v>486</v>
      </c>
      <c r="E132" t="s">
        <v>484</v>
      </c>
      <c r="F132">
        <v>122</v>
      </c>
      <c r="G132" t="s">
        <v>60</v>
      </c>
      <c r="H132" t="s">
        <v>488</v>
      </c>
      <c r="I132">
        <v>260</v>
      </c>
    </row>
    <row r="133" spans="1:9" x14ac:dyDescent="0.35">
      <c r="A133" t="s">
        <v>487</v>
      </c>
      <c r="B133">
        <v>106616226</v>
      </c>
      <c r="C133" t="s">
        <v>526</v>
      </c>
      <c r="D133" t="s">
        <v>486</v>
      </c>
      <c r="E133" t="s">
        <v>484</v>
      </c>
      <c r="F133">
        <v>122</v>
      </c>
      <c r="G133" t="s">
        <v>60</v>
      </c>
      <c r="H133" t="s">
        <v>489</v>
      </c>
      <c r="I133">
        <v>1244</v>
      </c>
    </row>
    <row r="134" spans="1:9" x14ac:dyDescent="0.35">
      <c r="A134" t="s">
        <v>487</v>
      </c>
      <c r="B134">
        <v>106616226</v>
      </c>
      <c r="C134" t="s">
        <v>526</v>
      </c>
      <c r="D134" t="s">
        <v>486</v>
      </c>
      <c r="E134" t="s">
        <v>484</v>
      </c>
      <c r="F134">
        <v>122</v>
      </c>
      <c r="G134" t="s">
        <v>81</v>
      </c>
      <c r="H134" t="s">
        <v>492</v>
      </c>
      <c r="I134">
        <v>122</v>
      </c>
    </row>
    <row r="135" spans="1:9" x14ac:dyDescent="0.35">
      <c r="A135" t="s">
        <v>487</v>
      </c>
      <c r="B135">
        <v>104385509</v>
      </c>
      <c r="C135" t="s">
        <v>643</v>
      </c>
      <c r="D135" t="s">
        <v>486</v>
      </c>
      <c r="E135" t="s">
        <v>484</v>
      </c>
      <c r="F135">
        <v>252</v>
      </c>
      <c r="G135" t="s">
        <v>60</v>
      </c>
      <c r="H135" t="s">
        <v>492</v>
      </c>
      <c r="I135">
        <v>1470</v>
      </c>
    </row>
    <row r="136" spans="1:9" x14ac:dyDescent="0.35">
      <c r="A136" t="s">
        <v>487</v>
      </c>
      <c r="B136">
        <v>104385509</v>
      </c>
      <c r="C136" t="s">
        <v>643</v>
      </c>
      <c r="D136" t="s">
        <v>486</v>
      </c>
      <c r="E136" t="s">
        <v>484</v>
      </c>
      <c r="F136">
        <v>252</v>
      </c>
      <c r="G136" t="s">
        <v>60</v>
      </c>
      <c r="H136" t="s">
        <v>488</v>
      </c>
      <c r="I136">
        <v>152</v>
      </c>
    </row>
    <row r="137" spans="1:9" x14ac:dyDescent="0.35">
      <c r="A137" t="s">
        <v>487</v>
      </c>
      <c r="B137">
        <v>104385509</v>
      </c>
      <c r="C137" t="s">
        <v>643</v>
      </c>
      <c r="D137" t="s">
        <v>486</v>
      </c>
      <c r="E137" t="s">
        <v>484</v>
      </c>
      <c r="F137">
        <v>252</v>
      </c>
      <c r="G137" t="s">
        <v>60</v>
      </c>
      <c r="H137" t="s">
        <v>489</v>
      </c>
      <c r="I137">
        <v>1314</v>
      </c>
    </row>
    <row r="138" spans="1:9" x14ac:dyDescent="0.35">
      <c r="A138" t="s">
        <v>487</v>
      </c>
      <c r="B138">
        <v>104385509</v>
      </c>
      <c r="C138" t="s">
        <v>643</v>
      </c>
      <c r="D138" t="s">
        <v>486</v>
      </c>
      <c r="E138" t="s">
        <v>484</v>
      </c>
      <c r="F138">
        <v>252</v>
      </c>
      <c r="G138" t="s">
        <v>60</v>
      </c>
      <c r="H138" t="s">
        <v>490</v>
      </c>
      <c r="I138">
        <v>4</v>
      </c>
    </row>
    <row r="139" spans="1:9" x14ac:dyDescent="0.35">
      <c r="A139" t="s">
        <v>487</v>
      </c>
      <c r="B139">
        <v>104385509</v>
      </c>
      <c r="C139" t="s">
        <v>643</v>
      </c>
      <c r="D139" t="s">
        <v>486</v>
      </c>
      <c r="E139" t="s">
        <v>484</v>
      </c>
      <c r="F139">
        <v>252</v>
      </c>
      <c r="G139" t="s">
        <v>81</v>
      </c>
      <c r="H139" t="s">
        <v>492</v>
      </c>
      <c r="I139">
        <v>252</v>
      </c>
    </row>
    <row r="140" spans="1:9" x14ac:dyDescent="0.35">
      <c r="A140" t="s">
        <v>487</v>
      </c>
      <c r="B140">
        <v>106488400</v>
      </c>
      <c r="C140" t="s">
        <v>524</v>
      </c>
      <c r="D140" t="s">
        <v>497</v>
      </c>
      <c r="E140" t="s">
        <v>484</v>
      </c>
      <c r="F140">
        <v>226</v>
      </c>
      <c r="G140" t="s">
        <v>60</v>
      </c>
      <c r="H140" t="s">
        <v>492</v>
      </c>
      <c r="I140">
        <v>1730</v>
      </c>
    </row>
    <row r="141" spans="1:9" x14ac:dyDescent="0.35">
      <c r="A141" t="s">
        <v>487</v>
      </c>
      <c r="B141">
        <v>106488400</v>
      </c>
      <c r="C141" t="s">
        <v>524</v>
      </c>
      <c r="D141" t="s">
        <v>497</v>
      </c>
      <c r="E141" t="s">
        <v>484</v>
      </c>
      <c r="F141">
        <v>226</v>
      </c>
      <c r="G141" t="s">
        <v>81</v>
      </c>
      <c r="H141" t="s">
        <v>492</v>
      </c>
      <c r="I141">
        <v>226</v>
      </c>
    </row>
    <row r="142" spans="1:9" x14ac:dyDescent="0.35">
      <c r="A142" t="s">
        <v>487</v>
      </c>
      <c r="B142">
        <v>107844158</v>
      </c>
      <c r="C142" t="s">
        <v>520</v>
      </c>
      <c r="D142" t="s">
        <v>486</v>
      </c>
      <c r="E142" t="s">
        <v>484</v>
      </c>
      <c r="F142">
        <v>379</v>
      </c>
      <c r="G142" t="s">
        <v>60</v>
      </c>
      <c r="H142" t="s">
        <v>492</v>
      </c>
      <c r="I142">
        <v>3431</v>
      </c>
    </row>
    <row r="143" spans="1:9" x14ac:dyDescent="0.35">
      <c r="A143" t="s">
        <v>487</v>
      </c>
      <c r="B143">
        <v>107844158</v>
      </c>
      <c r="C143" t="s">
        <v>520</v>
      </c>
      <c r="D143" t="s">
        <v>486</v>
      </c>
      <c r="E143" t="s">
        <v>484</v>
      </c>
      <c r="F143">
        <v>379</v>
      </c>
      <c r="G143" t="s">
        <v>60</v>
      </c>
      <c r="H143" t="s">
        <v>488</v>
      </c>
      <c r="I143">
        <v>1020</v>
      </c>
    </row>
    <row r="144" spans="1:9" x14ac:dyDescent="0.35">
      <c r="A144" t="s">
        <v>487</v>
      </c>
      <c r="B144">
        <v>107844158</v>
      </c>
      <c r="C144" t="s">
        <v>520</v>
      </c>
      <c r="D144" t="s">
        <v>486</v>
      </c>
      <c r="E144" t="s">
        <v>484</v>
      </c>
      <c r="F144">
        <v>379</v>
      </c>
      <c r="G144" t="s">
        <v>60</v>
      </c>
      <c r="H144" t="s">
        <v>489</v>
      </c>
      <c r="I144">
        <v>2411</v>
      </c>
    </row>
    <row r="145" spans="1:9" x14ac:dyDescent="0.35">
      <c r="A145" t="s">
        <v>487</v>
      </c>
      <c r="B145">
        <v>107844158</v>
      </c>
      <c r="C145" t="s">
        <v>520</v>
      </c>
      <c r="D145" t="s">
        <v>486</v>
      </c>
      <c r="E145" t="s">
        <v>484</v>
      </c>
      <c r="F145">
        <v>379</v>
      </c>
      <c r="G145" t="s">
        <v>81</v>
      </c>
      <c r="H145" t="s">
        <v>492</v>
      </c>
      <c r="I145">
        <v>379</v>
      </c>
    </row>
    <row r="146" spans="1:9" x14ac:dyDescent="0.35">
      <c r="A146" t="s">
        <v>34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S186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>
    <row r="1" spans="1:19" x14ac:dyDescent="0.35">
      <c r="A1" t="s">
        <v>35</v>
      </c>
      <c r="B1" t="s">
        <v>36</v>
      </c>
      <c r="C1" t="s">
        <v>37</v>
      </c>
      <c r="D1" t="s">
        <v>38</v>
      </c>
      <c r="E1" t="s">
        <v>39</v>
      </c>
      <c r="F1" t="s">
        <v>40</v>
      </c>
      <c r="G1" t="s">
        <v>41</v>
      </c>
      <c r="H1" t="s">
        <v>42</v>
      </c>
      <c r="I1" t="s">
        <v>43</v>
      </c>
      <c r="J1" t="s">
        <v>44</v>
      </c>
      <c r="K1" t="s">
        <v>45</v>
      </c>
      <c r="L1" t="s">
        <v>46</v>
      </c>
      <c r="M1" t="s">
        <v>47</v>
      </c>
      <c r="N1" t="s">
        <v>48</v>
      </c>
      <c r="O1" t="s">
        <v>49</v>
      </c>
      <c r="P1" t="s">
        <v>50</v>
      </c>
      <c r="Q1" t="s">
        <v>51</v>
      </c>
      <c r="R1" t="s">
        <v>52</v>
      </c>
      <c r="S1" t="s">
        <v>53</v>
      </c>
    </row>
    <row r="2" spans="1:19" x14ac:dyDescent="0.35">
      <c r="A2" t="s">
        <v>54</v>
      </c>
      <c r="B2">
        <v>1</v>
      </c>
      <c r="C2" t="s">
        <v>55</v>
      </c>
      <c r="D2" t="s">
        <v>6</v>
      </c>
      <c r="E2" t="s">
        <v>13</v>
      </c>
      <c r="F2" t="s">
        <v>56</v>
      </c>
      <c r="G2" t="s">
        <v>57</v>
      </c>
      <c r="H2">
        <v>91603</v>
      </c>
      <c r="I2">
        <v>38.091666666666598</v>
      </c>
      <c r="J2">
        <v>2404.8042003937799</v>
      </c>
      <c r="K2">
        <v>995.00000399999999</v>
      </c>
      <c r="L2">
        <v>92.063316212810705</v>
      </c>
      <c r="M2">
        <v>53.9716495461441</v>
      </c>
      <c r="N2">
        <v>2.4168886338957098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35">
      <c r="A3" t="s">
        <v>54</v>
      </c>
      <c r="B3">
        <v>2</v>
      </c>
      <c r="C3" t="s">
        <v>58</v>
      </c>
      <c r="D3" t="s">
        <v>59</v>
      </c>
      <c r="E3" t="s">
        <v>13</v>
      </c>
      <c r="F3" t="s">
        <v>56</v>
      </c>
      <c r="G3" t="s">
        <v>60</v>
      </c>
      <c r="H3">
        <v>1111</v>
      </c>
      <c r="I3">
        <v>0.74972222222222196</v>
      </c>
      <c r="J3">
        <v>1481.8821785846601</v>
      </c>
      <c r="K3">
        <v>275.00000399999999</v>
      </c>
      <c r="L3">
        <v>4.0399999412363599</v>
      </c>
      <c r="M3">
        <v>3.2902777190141399</v>
      </c>
      <c r="N3">
        <v>5.3886623892000403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35">
      <c r="A4" t="s">
        <v>54</v>
      </c>
      <c r="B4">
        <v>3</v>
      </c>
      <c r="C4" t="s">
        <v>61</v>
      </c>
      <c r="D4" t="s">
        <v>62</v>
      </c>
      <c r="E4" t="s">
        <v>13</v>
      </c>
      <c r="F4" t="s">
        <v>56</v>
      </c>
      <c r="G4" t="s">
        <v>60</v>
      </c>
      <c r="H4">
        <v>2621</v>
      </c>
      <c r="I4">
        <v>11.8177777777777</v>
      </c>
      <c r="J4">
        <v>221.78450545317699</v>
      </c>
      <c r="K4">
        <v>101.999988</v>
      </c>
      <c r="L4">
        <v>25.6960814544409</v>
      </c>
      <c r="M4">
        <v>13.8783036766631</v>
      </c>
      <c r="N4">
        <v>2.17435815240662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35">
      <c r="A5" t="s">
        <v>54</v>
      </c>
      <c r="B5">
        <v>4</v>
      </c>
      <c r="C5" t="s">
        <v>63</v>
      </c>
      <c r="D5" t="s">
        <v>64</v>
      </c>
      <c r="E5" t="s">
        <v>13</v>
      </c>
      <c r="F5" t="s">
        <v>56</v>
      </c>
      <c r="G5" t="s">
        <v>60</v>
      </c>
      <c r="H5">
        <v>0</v>
      </c>
      <c r="I5">
        <v>0</v>
      </c>
      <c r="J5">
        <v>0</v>
      </c>
      <c r="K5">
        <v>52.999991999999999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35">
      <c r="A6" t="s">
        <v>54</v>
      </c>
      <c r="B6">
        <v>5</v>
      </c>
      <c r="C6" t="s">
        <v>65</v>
      </c>
      <c r="D6" t="s">
        <v>66</v>
      </c>
      <c r="E6" t="s">
        <v>13</v>
      </c>
      <c r="F6" t="s">
        <v>56</v>
      </c>
      <c r="G6" t="s">
        <v>60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35">
      <c r="A7" t="s">
        <v>54</v>
      </c>
      <c r="B7">
        <v>6</v>
      </c>
      <c r="C7" t="s">
        <v>67</v>
      </c>
      <c r="D7" t="s">
        <v>68</v>
      </c>
      <c r="E7" t="s">
        <v>13</v>
      </c>
      <c r="F7" t="s">
        <v>56</v>
      </c>
      <c r="G7" t="s">
        <v>60</v>
      </c>
      <c r="H7">
        <v>3732</v>
      </c>
      <c r="I7">
        <v>12.567500000000001</v>
      </c>
      <c r="J7">
        <v>296.95643524965101</v>
      </c>
      <c r="K7">
        <v>125.504095524251</v>
      </c>
      <c r="L7">
        <v>29.736081395677299</v>
      </c>
      <c r="M7">
        <v>17.1685813956773</v>
      </c>
      <c r="N7">
        <v>2.3661095202448599</v>
      </c>
      <c r="P7">
        <v>0</v>
      </c>
      <c r="Q7">
        <v>0</v>
      </c>
      <c r="R7">
        <v>0</v>
      </c>
      <c r="S7">
        <v>0</v>
      </c>
    </row>
    <row r="8" spans="1:19" x14ac:dyDescent="0.35">
      <c r="A8" t="s">
        <v>54</v>
      </c>
      <c r="B8">
        <v>7</v>
      </c>
      <c r="C8" t="s">
        <v>69</v>
      </c>
      <c r="D8" t="s">
        <v>70</v>
      </c>
      <c r="E8" t="s">
        <v>13</v>
      </c>
      <c r="F8" t="s">
        <v>56</v>
      </c>
      <c r="G8" t="s">
        <v>60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35">
      <c r="A9" t="s">
        <v>54</v>
      </c>
      <c r="B9">
        <v>8</v>
      </c>
      <c r="C9" t="s">
        <v>71</v>
      </c>
      <c r="D9" t="s">
        <v>72</v>
      </c>
      <c r="E9" t="s">
        <v>13</v>
      </c>
      <c r="F9" t="s">
        <v>56</v>
      </c>
      <c r="G9" t="s">
        <v>60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35">
      <c r="A10" t="s">
        <v>54</v>
      </c>
      <c r="B10">
        <v>9</v>
      </c>
      <c r="C10" t="s">
        <v>73</v>
      </c>
      <c r="D10" t="s">
        <v>74</v>
      </c>
      <c r="E10" t="s">
        <v>13</v>
      </c>
      <c r="F10" t="s">
        <v>56</v>
      </c>
      <c r="G10" t="s">
        <v>60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35">
      <c r="A11" t="s">
        <v>54</v>
      </c>
      <c r="B11">
        <v>10</v>
      </c>
      <c r="C11" t="s">
        <v>75</v>
      </c>
      <c r="D11" t="s">
        <v>76</v>
      </c>
      <c r="E11" t="s">
        <v>13</v>
      </c>
      <c r="F11" t="s">
        <v>56</v>
      </c>
      <c r="G11" t="s">
        <v>60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35">
      <c r="A12" t="s">
        <v>54</v>
      </c>
      <c r="B12">
        <v>11</v>
      </c>
      <c r="C12" t="s">
        <v>77</v>
      </c>
      <c r="D12" t="s">
        <v>78</v>
      </c>
      <c r="E12" t="s">
        <v>13</v>
      </c>
      <c r="F12" t="s">
        <v>56</v>
      </c>
      <c r="G12" t="s">
        <v>60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0</v>
      </c>
      <c r="Q12">
        <v>0</v>
      </c>
      <c r="R12">
        <v>0</v>
      </c>
      <c r="S12">
        <v>0</v>
      </c>
    </row>
    <row r="13" spans="1:19" x14ac:dyDescent="0.35">
      <c r="A13" t="s">
        <v>54</v>
      </c>
      <c r="B13">
        <v>12</v>
      </c>
      <c r="C13" t="s">
        <v>79</v>
      </c>
      <c r="D13" t="s">
        <v>80</v>
      </c>
      <c r="E13" t="s">
        <v>13</v>
      </c>
      <c r="F13" t="s">
        <v>56</v>
      </c>
      <c r="G13" t="s">
        <v>81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35">
      <c r="A14" t="s">
        <v>54</v>
      </c>
      <c r="B14">
        <v>13</v>
      </c>
      <c r="C14" t="s">
        <v>82</v>
      </c>
      <c r="D14" t="s">
        <v>7</v>
      </c>
      <c r="E14" t="s">
        <v>13</v>
      </c>
      <c r="F14" t="s">
        <v>56</v>
      </c>
      <c r="G14" t="s">
        <v>81</v>
      </c>
      <c r="H14">
        <v>12100</v>
      </c>
      <c r="I14">
        <v>7.4874999999999998</v>
      </c>
      <c r="J14">
        <v>1616.0267111853</v>
      </c>
      <c r="K14">
        <v>524.99998800000003</v>
      </c>
      <c r="L14">
        <v>23.047619574421699</v>
      </c>
      <c r="M14">
        <v>15.5601195744217</v>
      </c>
      <c r="N14">
        <v>3.07814618690107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35">
      <c r="A15" t="s">
        <v>54</v>
      </c>
      <c r="B15">
        <v>14</v>
      </c>
      <c r="C15" t="s">
        <v>83</v>
      </c>
      <c r="D15" t="s">
        <v>84</v>
      </c>
      <c r="E15" t="s">
        <v>13</v>
      </c>
      <c r="F15" t="s">
        <v>56</v>
      </c>
      <c r="G15" t="s">
        <v>85</v>
      </c>
      <c r="H15">
        <v>19</v>
      </c>
      <c r="I15">
        <v>2.9794444444444399</v>
      </c>
      <c r="J15">
        <v>6.3770277829572999</v>
      </c>
      <c r="K15">
        <v>11.999988</v>
      </c>
      <c r="L15">
        <v>1.58333491666825</v>
      </c>
      <c r="M15">
        <v>-1.3961095277761899</v>
      </c>
      <c r="N15">
        <v>0.53141951333262105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35">
      <c r="A16" t="s">
        <v>54</v>
      </c>
      <c r="B16">
        <v>15</v>
      </c>
      <c r="C16" t="s">
        <v>86</v>
      </c>
      <c r="D16" t="s">
        <v>87</v>
      </c>
      <c r="E16" t="s">
        <v>13</v>
      </c>
      <c r="F16" t="s">
        <v>56</v>
      </c>
      <c r="G16" t="s">
        <v>57</v>
      </c>
      <c r="H16">
        <v>91603</v>
      </c>
      <c r="I16">
        <v>38.608888888888799</v>
      </c>
      <c r="J16">
        <v>2372.5883504086501</v>
      </c>
      <c r="K16">
        <v>2000.00001599999</v>
      </c>
      <c r="L16">
        <v>45.801499633588001</v>
      </c>
      <c r="M16">
        <v>7.1926107446991097</v>
      </c>
      <c r="N16">
        <v>1.1862941657139701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35">
      <c r="A17" t="s">
        <v>54</v>
      </c>
      <c r="B17">
        <v>16</v>
      </c>
      <c r="C17" t="s">
        <v>88</v>
      </c>
      <c r="D17" t="s">
        <v>89</v>
      </c>
      <c r="E17" t="s">
        <v>13</v>
      </c>
      <c r="F17" t="s">
        <v>56</v>
      </c>
      <c r="G17" t="s">
        <v>60</v>
      </c>
      <c r="H17">
        <v>91603</v>
      </c>
      <c r="I17">
        <v>99.734999999999999</v>
      </c>
      <c r="J17">
        <v>918.46392941294403</v>
      </c>
      <c r="K17">
        <v>476.52352705394799</v>
      </c>
      <c r="L17">
        <v>192.231851733166</v>
      </c>
      <c r="M17">
        <v>92.496851733166096</v>
      </c>
      <c r="N17">
        <v>1.9274261967530499</v>
      </c>
      <c r="P17">
        <v>0</v>
      </c>
      <c r="Q17">
        <v>0</v>
      </c>
      <c r="R17">
        <v>0</v>
      </c>
      <c r="S17">
        <v>0</v>
      </c>
    </row>
    <row r="18" spans="1:19" x14ac:dyDescent="0.35">
      <c r="A18" t="s">
        <v>54</v>
      </c>
      <c r="B18">
        <v>17</v>
      </c>
      <c r="C18" t="s">
        <v>90</v>
      </c>
      <c r="D18" t="s">
        <v>91</v>
      </c>
      <c r="E18" t="s">
        <v>13</v>
      </c>
      <c r="F18" t="s">
        <v>92</v>
      </c>
      <c r="G18" t="s">
        <v>81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35">
      <c r="A19" t="s">
        <v>54</v>
      </c>
      <c r="B19">
        <v>18</v>
      </c>
      <c r="C19" t="s">
        <v>93</v>
      </c>
      <c r="D19" t="s">
        <v>94</v>
      </c>
      <c r="E19" t="s">
        <v>13</v>
      </c>
      <c r="F19" t="s">
        <v>92</v>
      </c>
      <c r="G19" t="s">
        <v>60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35">
      <c r="A20" t="s">
        <v>54</v>
      </c>
      <c r="B20">
        <v>19</v>
      </c>
      <c r="C20" t="s">
        <v>95</v>
      </c>
      <c r="D20" t="s">
        <v>96</v>
      </c>
      <c r="E20" t="s">
        <v>13</v>
      </c>
      <c r="F20" t="s">
        <v>92</v>
      </c>
      <c r="G20" t="s">
        <v>60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35">
      <c r="A21" t="s">
        <v>54</v>
      </c>
      <c r="B21">
        <v>20</v>
      </c>
      <c r="C21" t="s">
        <v>97</v>
      </c>
      <c r="D21" t="s">
        <v>98</v>
      </c>
      <c r="E21" t="s">
        <v>13</v>
      </c>
      <c r="F21" t="s">
        <v>92</v>
      </c>
      <c r="G21" t="s">
        <v>60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35">
      <c r="A22" t="s">
        <v>54</v>
      </c>
      <c r="B22">
        <v>21</v>
      </c>
      <c r="C22" t="s">
        <v>99</v>
      </c>
      <c r="D22" t="s">
        <v>100</v>
      </c>
      <c r="E22" t="s">
        <v>13</v>
      </c>
      <c r="F22" t="s">
        <v>92</v>
      </c>
      <c r="G22" t="s">
        <v>60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 x14ac:dyDescent="0.35">
      <c r="A23" t="s">
        <v>54</v>
      </c>
      <c r="B23">
        <v>22</v>
      </c>
      <c r="C23" t="s">
        <v>101</v>
      </c>
      <c r="D23" t="s">
        <v>102</v>
      </c>
      <c r="E23" t="s">
        <v>13</v>
      </c>
      <c r="F23" t="s">
        <v>92</v>
      </c>
      <c r="G23" t="s">
        <v>60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P23">
        <v>0</v>
      </c>
      <c r="Q23">
        <v>0</v>
      </c>
      <c r="R23">
        <v>0</v>
      </c>
      <c r="S23">
        <v>0</v>
      </c>
    </row>
    <row r="24" spans="1:19" x14ac:dyDescent="0.35">
      <c r="A24" t="s">
        <v>54</v>
      </c>
      <c r="B24">
        <v>23</v>
      </c>
      <c r="C24" t="s">
        <v>103</v>
      </c>
      <c r="D24" t="s">
        <v>104</v>
      </c>
      <c r="E24" t="s">
        <v>13</v>
      </c>
      <c r="F24" t="s">
        <v>92</v>
      </c>
      <c r="G24" t="s">
        <v>81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35">
      <c r="A25" t="s">
        <v>54</v>
      </c>
      <c r="B25">
        <v>24</v>
      </c>
      <c r="C25" t="s">
        <v>105</v>
      </c>
      <c r="D25" t="s">
        <v>106</v>
      </c>
      <c r="E25" t="s">
        <v>13</v>
      </c>
      <c r="F25" t="s">
        <v>92</v>
      </c>
      <c r="G25" t="s">
        <v>85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35">
      <c r="A26" t="s">
        <v>54</v>
      </c>
      <c r="B26">
        <v>25</v>
      </c>
      <c r="C26" t="s">
        <v>107</v>
      </c>
      <c r="D26" t="s">
        <v>108</v>
      </c>
      <c r="E26" t="s">
        <v>13</v>
      </c>
      <c r="F26" t="s">
        <v>92</v>
      </c>
      <c r="G26" t="s">
        <v>57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35">
      <c r="A27" t="s">
        <v>54</v>
      </c>
      <c r="B27">
        <v>26</v>
      </c>
      <c r="C27" t="s">
        <v>109</v>
      </c>
      <c r="D27" t="s">
        <v>110</v>
      </c>
      <c r="E27" t="s">
        <v>13</v>
      </c>
      <c r="F27" t="s">
        <v>92</v>
      </c>
      <c r="G27" t="s">
        <v>60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P27">
        <v>0</v>
      </c>
      <c r="Q27">
        <v>0</v>
      </c>
      <c r="R27">
        <v>0</v>
      </c>
      <c r="S27">
        <v>0</v>
      </c>
    </row>
    <row r="28" spans="1:19" x14ac:dyDescent="0.35">
      <c r="A28" t="s">
        <v>54</v>
      </c>
      <c r="B28">
        <v>27</v>
      </c>
      <c r="C28" t="s">
        <v>111</v>
      </c>
      <c r="D28" t="s">
        <v>112</v>
      </c>
      <c r="E28" t="s">
        <v>13</v>
      </c>
      <c r="F28" t="s">
        <v>113</v>
      </c>
      <c r="G28" t="s">
        <v>60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 x14ac:dyDescent="0.35">
      <c r="A29" t="s">
        <v>54</v>
      </c>
      <c r="B29">
        <v>28</v>
      </c>
      <c r="C29" t="s">
        <v>114</v>
      </c>
      <c r="D29" t="s">
        <v>115</v>
      </c>
      <c r="E29" t="s">
        <v>13</v>
      </c>
      <c r="F29" t="s">
        <v>113</v>
      </c>
      <c r="G29" t="s">
        <v>60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35">
      <c r="A30" t="s">
        <v>54</v>
      </c>
      <c r="B30">
        <v>29</v>
      </c>
      <c r="C30" t="s">
        <v>116</v>
      </c>
      <c r="D30" t="s">
        <v>117</v>
      </c>
      <c r="E30" t="s">
        <v>13</v>
      </c>
      <c r="F30" t="s">
        <v>113</v>
      </c>
      <c r="G30" t="s">
        <v>60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35">
      <c r="A31" t="s">
        <v>54</v>
      </c>
      <c r="B31">
        <v>30</v>
      </c>
      <c r="C31" t="s">
        <v>118</v>
      </c>
      <c r="D31" t="s">
        <v>119</v>
      </c>
      <c r="E31" t="s">
        <v>13</v>
      </c>
      <c r="F31" t="s">
        <v>113</v>
      </c>
      <c r="G31" t="s">
        <v>60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35">
      <c r="A32" t="s">
        <v>54</v>
      </c>
      <c r="B32">
        <v>31</v>
      </c>
      <c r="C32" t="s">
        <v>120</v>
      </c>
      <c r="D32" t="s">
        <v>121</v>
      </c>
      <c r="E32" t="s">
        <v>13</v>
      </c>
      <c r="F32" t="s">
        <v>113</v>
      </c>
      <c r="G32" t="s">
        <v>60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35">
      <c r="A33" t="s">
        <v>54</v>
      </c>
      <c r="B33">
        <v>32</v>
      </c>
      <c r="C33" t="s">
        <v>122</v>
      </c>
      <c r="D33" t="s">
        <v>123</v>
      </c>
      <c r="E33" t="s">
        <v>13</v>
      </c>
      <c r="F33" t="s">
        <v>113</v>
      </c>
      <c r="G33" t="s">
        <v>60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35">
      <c r="A34" t="s">
        <v>54</v>
      </c>
      <c r="B34">
        <v>33</v>
      </c>
      <c r="C34" t="s">
        <v>124</v>
      </c>
      <c r="D34" t="s">
        <v>125</v>
      </c>
      <c r="E34" t="s">
        <v>13</v>
      </c>
      <c r="F34" t="s">
        <v>113</v>
      </c>
      <c r="G34" t="s">
        <v>60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P34">
        <v>0</v>
      </c>
      <c r="Q34">
        <v>0</v>
      </c>
      <c r="R34">
        <v>0</v>
      </c>
      <c r="S34">
        <v>0</v>
      </c>
    </row>
    <row r="35" spans="1:19" x14ac:dyDescent="0.35">
      <c r="A35" t="s">
        <v>54</v>
      </c>
      <c r="B35">
        <v>34</v>
      </c>
      <c r="C35" t="s">
        <v>126</v>
      </c>
      <c r="D35" t="s">
        <v>127</v>
      </c>
      <c r="E35" t="s">
        <v>13</v>
      </c>
      <c r="F35" t="s">
        <v>113</v>
      </c>
      <c r="G35" t="s">
        <v>57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35">
      <c r="A36" t="s">
        <v>54</v>
      </c>
      <c r="B36">
        <v>35</v>
      </c>
      <c r="C36" t="s">
        <v>128</v>
      </c>
      <c r="D36" t="s">
        <v>129</v>
      </c>
      <c r="E36" t="s">
        <v>13</v>
      </c>
      <c r="F36" t="s">
        <v>113</v>
      </c>
      <c r="G36" t="s">
        <v>57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P36">
        <v>0</v>
      </c>
      <c r="Q36">
        <v>0</v>
      </c>
      <c r="R36">
        <v>0</v>
      </c>
      <c r="S36">
        <v>0</v>
      </c>
    </row>
    <row r="37" spans="1:19" x14ac:dyDescent="0.35">
      <c r="A37" t="s">
        <v>54</v>
      </c>
      <c r="B37">
        <v>36</v>
      </c>
      <c r="C37" t="s">
        <v>130</v>
      </c>
      <c r="D37" t="s">
        <v>131</v>
      </c>
      <c r="E37" t="s">
        <v>13</v>
      </c>
      <c r="F37" t="s">
        <v>132</v>
      </c>
      <c r="G37" t="s">
        <v>60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 x14ac:dyDescent="0.35">
      <c r="A38" t="s">
        <v>54</v>
      </c>
      <c r="B38">
        <v>37</v>
      </c>
      <c r="C38" t="s">
        <v>133</v>
      </c>
      <c r="D38" t="s">
        <v>134</v>
      </c>
      <c r="E38" t="s">
        <v>13</v>
      </c>
      <c r="F38" t="s">
        <v>132</v>
      </c>
      <c r="G38" t="s">
        <v>60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1:19" x14ac:dyDescent="0.35">
      <c r="A39" t="s">
        <v>54</v>
      </c>
      <c r="B39">
        <v>38</v>
      </c>
      <c r="C39" t="s">
        <v>135</v>
      </c>
      <c r="D39" t="s">
        <v>136</v>
      </c>
      <c r="E39" t="s">
        <v>13</v>
      </c>
      <c r="F39" t="s">
        <v>132</v>
      </c>
      <c r="G39" t="s">
        <v>60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 x14ac:dyDescent="0.35">
      <c r="A40" t="s">
        <v>54</v>
      </c>
      <c r="B40">
        <v>39</v>
      </c>
      <c r="C40" t="s">
        <v>137</v>
      </c>
      <c r="D40" t="s">
        <v>138</v>
      </c>
      <c r="E40" t="s">
        <v>13</v>
      </c>
      <c r="F40" t="s">
        <v>132</v>
      </c>
      <c r="G40" t="s">
        <v>60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35">
      <c r="A41" t="s">
        <v>54</v>
      </c>
      <c r="B41">
        <v>40</v>
      </c>
      <c r="C41" t="s">
        <v>139</v>
      </c>
      <c r="D41" t="s">
        <v>140</v>
      </c>
      <c r="E41" t="s">
        <v>13</v>
      </c>
      <c r="F41" t="s">
        <v>132</v>
      </c>
      <c r="G41" t="s">
        <v>60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P41">
        <v>0</v>
      </c>
      <c r="Q41">
        <v>0</v>
      </c>
      <c r="R41">
        <v>0</v>
      </c>
      <c r="S41">
        <v>0</v>
      </c>
    </row>
    <row r="42" spans="1:19" x14ac:dyDescent="0.35">
      <c r="A42" t="s">
        <v>54</v>
      </c>
      <c r="B42">
        <v>41</v>
      </c>
      <c r="C42" t="s">
        <v>141</v>
      </c>
      <c r="D42" t="s">
        <v>142</v>
      </c>
      <c r="E42" t="s">
        <v>13</v>
      </c>
      <c r="F42" t="s">
        <v>132</v>
      </c>
      <c r="G42" t="s">
        <v>81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1:19" x14ac:dyDescent="0.35">
      <c r="A43" t="s">
        <v>54</v>
      </c>
      <c r="B43">
        <v>42</v>
      </c>
      <c r="C43" t="s">
        <v>143</v>
      </c>
      <c r="D43" t="s">
        <v>144</v>
      </c>
      <c r="E43" t="s">
        <v>13</v>
      </c>
      <c r="F43" t="s">
        <v>132</v>
      </c>
      <c r="G43" t="s">
        <v>85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19" x14ac:dyDescent="0.35">
      <c r="A44" t="s">
        <v>54</v>
      </c>
      <c r="B44">
        <v>43</v>
      </c>
      <c r="C44" t="s">
        <v>145</v>
      </c>
      <c r="D44" t="s">
        <v>146</v>
      </c>
      <c r="E44" t="s">
        <v>13</v>
      </c>
      <c r="F44" t="s">
        <v>132</v>
      </c>
      <c r="G44" t="s">
        <v>60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 x14ac:dyDescent="0.35">
      <c r="A45" t="s">
        <v>54</v>
      </c>
      <c r="B45">
        <v>44</v>
      </c>
      <c r="C45" t="s">
        <v>147</v>
      </c>
      <c r="D45" t="s">
        <v>148</v>
      </c>
      <c r="E45" t="s">
        <v>13</v>
      </c>
      <c r="F45" t="s">
        <v>132</v>
      </c>
      <c r="G45" t="s">
        <v>60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P45">
        <v>0</v>
      </c>
      <c r="Q45">
        <v>0</v>
      </c>
      <c r="R45">
        <v>0</v>
      </c>
      <c r="S45">
        <v>0</v>
      </c>
    </row>
    <row r="46" spans="1:19" x14ac:dyDescent="0.35">
      <c r="A46" t="s">
        <v>54</v>
      </c>
      <c r="B46">
        <v>45</v>
      </c>
      <c r="C46" t="s">
        <v>149</v>
      </c>
      <c r="D46" t="s">
        <v>150</v>
      </c>
      <c r="E46" t="s">
        <v>13</v>
      </c>
      <c r="F46" t="s">
        <v>151</v>
      </c>
      <c r="G46" t="s">
        <v>81</v>
      </c>
      <c r="H46">
        <v>13078</v>
      </c>
      <c r="I46">
        <v>103.01138888888801</v>
      </c>
      <c r="J46">
        <v>126.95683594856</v>
      </c>
      <c r="K46">
        <v>86.000004000000004</v>
      </c>
      <c r="L46">
        <v>152.06976036884799</v>
      </c>
      <c r="M46">
        <v>49.058371479959398</v>
      </c>
      <c r="N46">
        <v>1.4762422098092001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 x14ac:dyDescent="0.35">
      <c r="A47" t="s">
        <v>54</v>
      </c>
      <c r="B47">
        <v>46</v>
      </c>
      <c r="C47" t="s">
        <v>152</v>
      </c>
      <c r="D47" t="s">
        <v>153</v>
      </c>
      <c r="E47" t="s">
        <v>13</v>
      </c>
      <c r="F47" t="s">
        <v>151</v>
      </c>
      <c r="G47" t="s">
        <v>154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 x14ac:dyDescent="0.35">
      <c r="A48" t="s">
        <v>54</v>
      </c>
      <c r="B48">
        <v>47</v>
      </c>
      <c r="C48" t="s">
        <v>155</v>
      </c>
      <c r="D48" t="s">
        <v>156</v>
      </c>
      <c r="E48" t="s">
        <v>13</v>
      </c>
      <c r="F48" t="s">
        <v>151</v>
      </c>
      <c r="G48" t="s">
        <v>85</v>
      </c>
      <c r="H48">
        <v>19</v>
      </c>
      <c r="I48">
        <v>2.4038888888888801</v>
      </c>
      <c r="J48">
        <v>7.9038594869424497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35">
      <c r="A49" t="s">
        <v>54</v>
      </c>
      <c r="B49">
        <v>48</v>
      </c>
      <c r="C49" t="s">
        <v>157</v>
      </c>
      <c r="D49" t="s">
        <v>158</v>
      </c>
      <c r="E49" t="s">
        <v>13</v>
      </c>
      <c r="F49" t="s">
        <v>151</v>
      </c>
      <c r="G49" t="s">
        <v>159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35">
      <c r="A50" t="s">
        <v>54</v>
      </c>
      <c r="B50">
        <v>49</v>
      </c>
      <c r="C50" t="s">
        <v>160</v>
      </c>
      <c r="D50" t="s">
        <v>161</v>
      </c>
      <c r="E50" t="s">
        <v>13</v>
      </c>
      <c r="F50" t="s">
        <v>151</v>
      </c>
      <c r="G50" t="s">
        <v>57</v>
      </c>
      <c r="H50">
        <v>150051</v>
      </c>
      <c r="I50">
        <v>41.373333333333299</v>
      </c>
      <c r="J50">
        <v>3626.7563648082501</v>
      </c>
      <c r="K50">
        <v>15000.0000119999</v>
      </c>
      <c r="L50">
        <v>10.003399991997201</v>
      </c>
      <c r="M50">
        <v>-31.369933341336001</v>
      </c>
      <c r="N50">
        <v>0.24178375746045599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1:19" x14ac:dyDescent="0.35">
      <c r="A51" t="s">
        <v>54</v>
      </c>
      <c r="B51">
        <v>50</v>
      </c>
      <c r="C51" t="s">
        <v>162</v>
      </c>
      <c r="D51" t="s">
        <v>163</v>
      </c>
      <c r="E51" t="s">
        <v>13</v>
      </c>
      <c r="F51" t="s">
        <v>151</v>
      </c>
      <c r="G51" t="s">
        <v>57</v>
      </c>
      <c r="H51">
        <v>150051</v>
      </c>
      <c r="I51">
        <v>146.78861111111101</v>
      </c>
      <c r="J51">
        <v>1022.22508179752</v>
      </c>
      <c r="K51">
        <v>925.82263260567595</v>
      </c>
      <c r="L51">
        <v>162.07316036084501</v>
      </c>
      <c r="M51">
        <v>15.2845492497345</v>
      </c>
      <c r="N51">
        <v>1.1041262611181999</v>
      </c>
      <c r="P51">
        <v>0</v>
      </c>
      <c r="Q51">
        <v>0</v>
      </c>
      <c r="R51">
        <v>0</v>
      </c>
      <c r="S51">
        <v>0</v>
      </c>
    </row>
    <row r="52" spans="1:19" x14ac:dyDescent="0.35">
      <c r="A52" t="s">
        <v>54</v>
      </c>
      <c r="B52">
        <v>51</v>
      </c>
      <c r="C52" t="s">
        <v>164</v>
      </c>
      <c r="D52" t="s">
        <v>165</v>
      </c>
      <c r="E52" t="s">
        <v>13</v>
      </c>
      <c r="F52" t="s">
        <v>165</v>
      </c>
      <c r="G52" t="s">
        <v>57</v>
      </c>
      <c r="H52">
        <v>91603</v>
      </c>
      <c r="I52">
        <v>14.222777777777701</v>
      </c>
      <c r="J52">
        <v>6440.5843521737397</v>
      </c>
      <c r="K52">
        <v>4500</v>
      </c>
      <c r="L52">
        <v>20.3562222222222</v>
      </c>
      <c r="M52">
        <v>6.1334444444444403</v>
      </c>
      <c r="N52">
        <v>1.4312409671497199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x14ac:dyDescent="0.35">
      <c r="A53" t="s">
        <v>54</v>
      </c>
      <c r="B53">
        <v>52</v>
      </c>
      <c r="C53" t="s">
        <v>166</v>
      </c>
      <c r="D53" t="s">
        <v>167</v>
      </c>
      <c r="E53" t="s">
        <v>13</v>
      </c>
      <c r="F53" t="s">
        <v>168</v>
      </c>
      <c r="G53" t="s">
        <v>57</v>
      </c>
      <c r="H53">
        <v>91603</v>
      </c>
      <c r="I53">
        <v>17.892222222222198</v>
      </c>
      <c r="J53">
        <v>5119.7106129292597</v>
      </c>
      <c r="K53">
        <v>1850.000004</v>
      </c>
      <c r="L53">
        <v>49.515135028075299</v>
      </c>
      <c r="M53">
        <v>31.622912805853101</v>
      </c>
      <c r="N53">
        <v>2.7674111361403302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35">
      <c r="A54" t="s">
        <v>54</v>
      </c>
      <c r="B54">
        <v>53</v>
      </c>
      <c r="C54" t="s">
        <v>169</v>
      </c>
      <c r="D54" t="s">
        <v>11</v>
      </c>
      <c r="E54" t="s">
        <v>13</v>
      </c>
      <c r="F54" t="s">
        <v>170</v>
      </c>
      <c r="G54" t="s">
        <v>60</v>
      </c>
      <c r="H54">
        <v>91603</v>
      </c>
      <c r="I54">
        <v>278.638611111111</v>
      </c>
      <c r="J54">
        <v>328.75199755956203</v>
      </c>
      <c r="K54">
        <v>215.954981512995</v>
      </c>
      <c r="L54">
        <v>424.17636934430902</v>
      </c>
      <c r="M54">
        <v>145.53775823319799</v>
      </c>
      <c r="N54">
        <v>1.52231726842466</v>
      </c>
      <c r="P54">
        <v>0</v>
      </c>
      <c r="Q54">
        <v>0</v>
      </c>
      <c r="R54">
        <v>0</v>
      </c>
      <c r="S54">
        <v>0</v>
      </c>
    </row>
    <row r="55" spans="1:19" x14ac:dyDescent="0.35">
      <c r="A55" t="s">
        <v>54</v>
      </c>
      <c r="B55">
        <v>54</v>
      </c>
      <c r="C55" t="s">
        <v>171</v>
      </c>
      <c r="D55" t="s">
        <v>172</v>
      </c>
      <c r="E55" t="s">
        <v>173</v>
      </c>
      <c r="F55" t="s">
        <v>174</v>
      </c>
      <c r="G55" t="s">
        <v>81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35">
      <c r="A56" t="s">
        <v>54</v>
      </c>
      <c r="B56">
        <v>55</v>
      </c>
      <c r="C56" t="s">
        <v>175</v>
      </c>
      <c r="D56" t="s">
        <v>176</v>
      </c>
      <c r="E56" t="s">
        <v>173</v>
      </c>
      <c r="F56" t="s">
        <v>174</v>
      </c>
      <c r="G56" t="s">
        <v>85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35">
      <c r="A57" t="s">
        <v>54</v>
      </c>
      <c r="B57">
        <v>56</v>
      </c>
      <c r="C57" t="s">
        <v>177</v>
      </c>
      <c r="D57" t="s">
        <v>178</v>
      </c>
      <c r="E57" t="s">
        <v>173</v>
      </c>
      <c r="F57" t="s">
        <v>179</v>
      </c>
      <c r="G57" t="s">
        <v>81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 x14ac:dyDescent="0.35">
      <c r="A58" t="s">
        <v>54</v>
      </c>
      <c r="B58">
        <v>57</v>
      </c>
      <c r="C58" t="s">
        <v>180</v>
      </c>
      <c r="D58" t="s">
        <v>181</v>
      </c>
      <c r="E58" t="s">
        <v>173</v>
      </c>
      <c r="F58" t="s">
        <v>179</v>
      </c>
      <c r="G58" t="s">
        <v>81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 x14ac:dyDescent="0.35">
      <c r="A59" t="s">
        <v>54</v>
      </c>
      <c r="B59">
        <v>58</v>
      </c>
      <c r="C59" t="s">
        <v>182</v>
      </c>
      <c r="D59" t="s">
        <v>183</v>
      </c>
      <c r="E59" t="s">
        <v>173</v>
      </c>
      <c r="F59" t="s">
        <v>184</v>
      </c>
      <c r="G59" t="s">
        <v>81</v>
      </c>
      <c r="H59">
        <v>61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 x14ac:dyDescent="0.35">
      <c r="A60" t="s">
        <v>54</v>
      </c>
      <c r="B60">
        <v>59</v>
      </c>
      <c r="C60" t="s">
        <v>185</v>
      </c>
      <c r="D60" t="s">
        <v>186</v>
      </c>
      <c r="E60" t="s">
        <v>173</v>
      </c>
      <c r="F60" t="s">
        <v>184</v>
      </c>
      <c r="G60" t="s">
        <v>60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 x14ac:dyDescent="0.35">
      <c r="A61" t="s">
        <v>54</v>
      </c>
      <c r="B61">
        <v>60</v>
      </c>
      <c r="C61" t="s">
        <v>187</v>
      </c>
      <c r="D61" t="s">
        <v>188</v>
      </c>
      <c r="E61" t="s">
        <v>173</v>
      </c>
      <c r="F61" t="s">
        <v>184</v>
      </c>
      <c r="G61" t="s">
        <v>60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35">
      <c r="A62" t="s">
        <v>54</v>
      </c>
      <c r="B62">
        <v>61</v>
      </c>
      <c r="C62" t="s">
        <v>189</v>
      </c>
      <c r="D62" t="s">
        <v>190</v>
      </c>
      <c r="E62" t="s">
        <v>173</v>
      </c>
      <c r="F62" t="s">
        <v>184</v>
      </c>
      <c r="G62" t="s">
        <v>60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19" x14ac:dyDescent="0.35">
      <c r="A63" t="s">
        <v>54</v>
      </c>
      <c r="B63">
        <v>62</v>
      </c>
      <c r="C63" t="s">
        <v>191</v>
      </c>
      <c r="D63" t="s">
        <v>192</v>
      </c>
      <c r="E63" t="s">
        <v>173</v>
      </c>
      <c r="F63" t="s">
        <v>184</v>
      </c>
      <c r="G63" t="s">
        <v>60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35">
      <c r="A64" t="s">
        <v>54</v>
      </c>
      <c r="B64">
        <v>63</v>
      </c>
      <c r="C64" t="s">
        <v>193</v>
      </c>
      <c r="D64" t="s">
        <v>194</v>
      </c>
      <c r="E64" t="s">
        <v>173</v>
      </c>
      <c r="F64" t="s">
        <v>184</v>
      </c>
      <c r="G64" t="s">
        <v>57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P64">
        <v>0</v>
      </c>
      <c r="Q64">
        <v>0</v>
      </c>
      <c r="R64">
        <v>0</v>
      </c>
      <c r="S64">
        <v>0</v>
      </c>
    </row>
    <row r="65" spans="1:19" x14ac:dyDescent="0.35">
      <c r="A65" t="s">
        <v>54</v>
      </c>
      <c r="B65">
        <v>64</v>
      </c>
      <c r="C65" t="s">
        <v>195</v>
      </c>
      <c r="D65" t="s">
        <v>196</v>
      </c>
      <c r="E65" t="s">
        <v>173</v>
      </c>
      <c r="F65" t="s">
        <v>197</v>
      </c>
      <c r="G65" t="s">
        <v>60</v>
      </c>
      <c r="H65">
        <v>14262</v>
      </c>
      <c r="I65">
        <v>9.5525000000000002</v>
      </c>
      <c r="J65">
        <v>1493.0123004449099</v>
      </c>
      <c r="K65">
        <v>1244.000016</v>
      </c>
      <c r="L65">
        <v>11.4646300776253</v>
      </c>
      <c r="M65">
        <v>1.91213007762533</v>
      </c>
      <c r="N65">
        <v>1.2001706440853499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35">
      <c r="A66" t="s">
        <v>54</v>
      </c>
      <c r="B66">
        <v>65</v>
      </c>
      <c r="C66" t="s">
        <v>198</v>
      </c>
      <c r="D66" t="s">
        <v>199</v>
      </c>
      <c r="E66" t="s">
        <v>173</v>
      </c>
      <c r="F66" t="s">
        <v>197</v>
      </c>
      <c r="G66" t="s">
        <v>60</v>
      </c>
      <c r="H66">
        <v>44750</v>
      </c>
      <c r="I66">
        <v>166.16805555555499</v>
      </c>
      <c r="J66">
        <v>269.30567280447298</v>
      </c>
      <c r="K66">
        <v>288</v>
      </c>
      <c r="L66">
        <v>155.381944444444</v>
      </c>
      <c r="M66">
        <v>-10.786111111111101</v>
      </c>
      <c r="N66">
        <v>0.93508914168219903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35">
      <c r="A67" t="s">
        <v>54</v>
      </c>
      <c r="B67">
        <v>66</v>
      </c>
      <c r="C67" t="s">
        <v>200</v>
      </c>
      <c r="D67" t="s">
        <v>201</v>
      </c>
      <c r="E67" t="s">
        <v>173</v>
      </c>
      <c r="F67" t="s">
        <v>197</v>
      </c>
      <c r="G67" t="s">
        <v>60</v>
      </c>
      <c r="H67">
        <v>44</v>
      </c>
      <c r="I67">
        <v>0.363611111111111</v>
      </c>
      <c r="J67">
        <v>121.00840336134399</v>
      </c>
      <c r="K67">
        <v>117</v>
      </c>
      <c r="L67">
        <v>0.37606837606837601</v>
      </c>
      <c r="M67">
        <v>1.24572649572649E-2</v>
      </c>
      <c r="N67">
        <v>1.0342598577892601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35">
      <c r="A68" t="s">
        <v>54</v>
      </c>
      <c r="B68">
        <v>67</v>
      </c>
      <c r="C68" t="s">
        <v>202</v>
      </c>
      <c r="D68" t="s">
        <v>203</v>
      </c>
      <c r="E68" t="s">
        <v>173</v>
      </c>
      <c r="F68" t="s">
        <v>197</v>
      </c>
      <c r="G68" t="s">
        <v>60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35">
      <c r="A69" t="s">
        <v>54</v>
      </c>
      <c r="B69">
        <v>68</v>
      </c>
      <c r="C69" t="s">
        <v>204</v>
      </c>
      <c r="D69" t="s">
        <v>205</v>
      </c>
      <c r="E69" t="s">
        <v>173</v>
      </c>
      <c r="F69" t="s">
        <v>197</v>
      </c>
      <c r="G69" t="s">
        <v>60</v>
      </c>
      <c r="H69">
        <v>59056</v>
      </c>
      <c r="I69">
        <v>176.08416666666599</v>
      </c>
      <c r="J69">
        <v>335.385066800441</v>
      </c>
      <c r="K69">
        <v>353.15791555796199</v>
      </c>
      <c r="L69">
        <v>167.22264289813799</v>
      </c>
      <c r="M69">
        <v>-8.8615237685285102</v>
      </c>
      <c r="N69">
        <v>0.94967449977882601</v>
      </c>
      <c r="P69">
        <v>0</v>
      </c>
      <c r="Q69">
        <v>0</v>
      </c>
      <c r="R69">
        <v>0</v>
      </c>
      <c r="S69">
        <v>0</v>
      </c>
    </row>
    <row r="70" spans="1:19" x14ac:dyDescent="0.35">
      <c r="A70" t="s">
        <v>54</v>
      </c>
      <c r="B70">
        <v>69</v>
      </c>
      <c r="C70" t="s">
        <v>206</v>
      </c>
      <c r="D70" t="s">
        <v>207</v>
      </c>
      <c r="E70" t="s">
        <v>173</v>
      </c>
      <c r="F70" t="s">
        <v>207</v>
      </c>
      <c r="G70" t="s">
        <v>60</v>
      </c>
      <c r="H70">
        <v>58448</v>
      </c>
      <c r="I70">
        <v>5.7913888888888803</v>
      </c>
      <c r="J70">
        <v>10092.225046764799</v>
      </c>
      <c r="K70">
        <v>3465</v>
      </c>
      <c r="L70">
        <v>16.8681096681096</v>
      </c>
      <c r="M70">
        <v>11.0767207792207</v>
      </c>
      <c r="N70">
        <v>2.9126190611153899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35">
      <c r="A71" t="s">
        <v>54</v>
      </c>
      <c r="B71">
        <v>70</v>
      </c>
      <c r="C71" t="s">
        <v>208</v>
      </c>
      <c r="D71" t="s">
        <v>209</v>
      </c>
      <c r="E71" t="s">
        <v>173</v>
      </c>
      <c r="F71" t="s">
        <v>209</v>
      </c>
      <c r="G71" t="s">
        <v>57</v>
      </c>
      <c r="H71">
        <v>58448</v>
      </c>
      <c r="I71">
        <v>19.822777777777699</v>
      </c>
      <c r="J71">
        <v>2948.5272273759101</v>
      </c>
      <c r="K71">
        <v>1524.999996</v>
      </c>
      <c r="L71">
        <v>38.326557477577801</v>
      </c>
      <c r="M71">
        <v>18.503779699799999</v>
      </c>
      <c r="N71">
        <v>1.9334604820391801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35">
      <c r="A72" t="s">
        <v>54</v>
      </c>
      <c r="B72">
        <v>71</v>
      </c>
      <c r="C72" t="s">
        <v>210</v>
      </c>
      <c r="D72" t="s">
        <v>211</v>
      </c>
      <c r="E72" t="s">
        <v>173</v>
      </c>
      <c r="F72" t="s">
        <v>211</v>
      </c>
      <c r="G72" t="s">
        <v>57</v>
      </c>
      <c r="H72">
        <v>58448</v>
      </c>
      <c r="I72">
        <v>15.431666666666599</v>
      </c>
      <c r="J72">
        <v>3787.53645102062</v>
      </c>
      <c r="K72">
        <v>3499.999992</v>
      </c>
      <c r="L72">
        <v>16.699428609598598</v>
      </c>
      <c r="M72">
        <v>1.2677619429320199</v>
      </c>
      <c r="N72">
        <v>1.0821532741936699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35">
      <c r="A73" t="s">
        <v>54</v>
      </c>
      <c r="B73">
        <v>72</v>
      </c>
      <c r="C73" t="s">
        <v>212</v>
      </c>
      <c r="D73" t="s">
        <v>213</v>
      </c>
      <c r="E73" t="s">
        <v>173</v>
      </c>
      <c r="F73" t="s">
        <v>214</v>
      </c>
      <c r="G73" t="s">
        <v>57</v>
      </c>
      <c r="H73">
        <v>58448</v>
      </c>
      <c r="I73">
        <v>10.8113888888888</v>
      </c>
      <c r="J73">
        <v>5406.1509210965796</v>
      </c>
      <c r="K73">
        <v>5000.0000040000004</v>
      </c>
      <c r="L73">
        <v>11.689599990648301</v>
      </c>
      <c r="M73">
        <v>0.87821110175943096</v>
      </c>
      <c r="N73">
        <v>1.0812301833543301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35">
      <c r="A74" t="s">
        <v>54</v>
      </c>
      <c r="B74">
        <v>73</v>
      </c>
      <c r="C74" t="s">
        <v>215</v>
      </c>
      <c r="D74" t="s">
        <v>216</v>
      </c>
      <c r="E74" t="s">
        <v>173</v>
      </c>
      <c r="F74" t="s">
        <v>170</v>
      </c>
      <c r="G74" t="s">
        <v>57</v>
      </c>
      <c r="H74">
        <v>58448</v>
      </c>
      <c r="I74">
        <v>227.94138888888801</v>
      </c>
      <c r="J74">
        <v>256.41679330334603</v>
      </c>
      <c r="K74">
        <v>233.040362201313</v>
      </c>
      <c r="L74">
        <v>250.80633864407201</v>
      </c>
      <c r="M74">
        <v>22.864949755183801</v>
      </c>
      <c r="N74">
        <v>1.1003106538336</v>
      </c>
      <c r="P74">
        <v>0</v>
      </c>
      <c r="Q74">
        <v>0</v>
      </c>
      <c r="R74">
        <v>0</v>
      </c>
      <c r="S74">
        <v>0</v>
      </c>
    </row>
    <row r="75" spans="1:19" x14ac:dyDescent="0.35">
      <c r="A75" t="s">
        <v>54</v>
      </c>
      <c r="B75">
        <v>74</v>
      </c>
      <c r="C75" t="s">
        <v>217</v>
      </c>
      <c r="D75" t="s">
        <v>218</v>
      </c>
      <c r="E75" t="s">
        <v>219</v>
      </c>
      <c r="F75" t="s">
        <v>9</v>
      </c>
      <c r="G75" t="s">
        <v>60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 x14ac:dyDescent="0.35">
      <c r="A76" t="s">
        <v>54</v>
      </c>
      <c r="B76">
        <v>75</v>
      </c>
      <c r="C76" t="s">
        <v>220</v>
      </c>
      <c r="D76" t="s">
        <v>221</v>
      </c>
      <c r="E76" t="s">
        <v>219</v>
      </c>
      <c r="F76" t="s">
        <v>9</v>
      </c>
      <c r="G76" t="s">
        <v>60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 x14ac:dyDescent="0.35">
      <c r="A77" t="s">
        <v>54</v>
      </c>
      <c r="B77">
        <v>76</v>
      </c>
      <c r="C77" t="s">
        <v>222</v>
      </c>
      <c r="D77" t="s">
        <v>223</v>
      </c>
      <c r="E77" t="s">
        <v>219</v>
      </c>
      <c r="F77" t="s">
        <v>9</v>
      </c>
      <c r="G77" t="s">
        <v>60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35">
      <c r="A78" t="s">
        <v>54</v>
      </c>
      <c r="B78">
        <v>77</v>
      </c>
      <c r="C78" t="s">
        <v>224</v>
      </c>
      <c r="D78" t="s">
        <v>225</v>
      </c>
      <c r="E78" t="s">
        <v>219</v>
      </c>
      <c r="F78" t="s">
        <v>9</v>
      </c>
      <c r="G78" t="s">
        <v>60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35">
      <c r="A79" t="s">
        <v>54</v>
      </c>
      <c r="B79">
        <v>78</v>
      </c>
      <c r="C79" t="s">
        <v>226</v>
      </c>
      <c r="D79" t="s">
        <v>227</v>
      </c>
      <c r="E79" t="s">
        <v>219</v>
      </c>
      <c r="F79" t="s">
        <v>9</v>
      </c>
      <c r="G79" t="s">
        <v>60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P79">
        <v>0</v>
      </c>
      <c r="Q79">
        <v>0</v>
      </c>
      <c r="R79">
        <v>0</v>
      </c>
      <c r="S79">
        <v>0</v>
      </c>
    </row>
    <row r="80" spans="1:19" x14ac:dyDescent="0.35">
      <c r="A80" t="s">
        <v>54</v>
      </c>
      <c r="B80">
        <v>79</v>
      </c>
      <c r="C80" t="s">
        <v>228</v>
      </c>
      <c r="D80" t="s">
        <v>229</v>
      </c>
      <c r="E80" t="s">
        <v>219</v>
      </c>
      <c r="F80" t="s">
        <v>9</v>
      </c>
      <c r="G80" t="s">
        <v>57</v>
      </c>
      <c r="H80">
        <v>59056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35">
      <c r="A81" t="s">
        <v>54</v>
      </c>
      <c r="B81">
        <v>80</v>
      </c>
      <c r="C81" t="s">
        <v>230</v>
      </c>
      <c r="D81" t="s">
        <v>231</v>
      </c>
      <c r="E81" t="s">
        <v>219</v>
      </c>
      <c r="F81" t="s">
        <v>9</v>
      </c>
      <c r="G81" t="s">
        <v>57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P81">
        <v>0</v>
      </c>
      <c r="Q81">
        <v>0</v>
      </c>
      <c r="R81">
        <v>0</v>
      </c>
      <c r="S81">
        <v>0</v>
      </c>
    </row>
    <row r="82" spans="1:19" x14ac:dyDescent="0.35">
      <c r="A82" t="s">
        <v>54</v>
      </c>
      <c r="B82">
        <v>81</v>
      </c>
      <c r="C82" t="s">
        <v>232</v>
      </c>
      <c r="D82" t="s">
        <v>233</v>
      </c>
      <c r="E82" t="s">
        <v>219</v>
      </c>
      <c r="F82" t="s">
        <v>234</v>
      </c>
      <c r="G82" t="s">
        <v>60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35">
      <c r="A83" t="s">
        <v>54</v>
      </c>
      <c r="B83">
        <v>82</v>
      </c>
      <c r="C83" t="s">
        <v>235</v>
      </c>
      <c r="D83" t="s">
        <v>236</v>
      </c>
      <c r="E83" t="s">
        <v>219</v>
      </c>
      <c r="F83" t="s">
        <v>234</v>
      </c>
      <c r="G83" t="s">
        <v>60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35">
      <c r="A84" t="s">
        <v>54</v>
      </c>
      <c r="B84">
        <v>83</v>
      </c>
      <c r="C84" t="s">
        <v>237</v>
      </c>
      <c r="D84" t="s">
        <v>238</v>
      </c>
      <c r="E84" t="s">
        <v>219</v>
      </c>
      <c r="F84" t="s">
        <v>234</v>
      </c>
      <c r="G84" t="s">
        <v>60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x14ac:dyDescent="0.35">
      <c r="A85" t="s">
        <v>54</v>
      </c>
      <c r="B85">
        <v>84</v>
      </c>
      <c r="C85" t="s">
        <v>239</v>
      </c>
      <c r="D85" t="s">
        <v>240</v>
      </c>
      <c r="E85" t="s">
        <v>219</v>
      </c>
      <c r="F85" t="s">
        <v>234</v>
      </c>
      <c r="G85" t="s">
        <v>60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1:19" x14ac:dyDescent="0.35">
      <c r="A86" t="s">
        <v>54</v>
      </c>
      <c r="B86">
        <v>85</v>
      </c>
      <c r="C86" t="s">
        <v>241</v>
      </c>
      <c r="D86" t="s">
        <v>242</v>
      </c>
      <c r="E86" t="s">
        <v>219</v>
      </c>
      <c r="F86" t="s">
        <v>234</v>
      </c>
      <c r="G86" t="s">
        <v>60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P86">
        <v>0</v>
      </c>
      <c r="Q86">
        <v>0</v>
      </c>
      <c r="R86">
        <v>0</v>
      </c>
      <c r="S86">
        <v>0</v>
      </c>
    </row>
    <row r="87" spans="1:19" x14ac:dyDescent="0.35">
      <c r="A87" t="s">
        <v>54</v>
      </c>
      <c r="B87">
        <v>86</v>
      </c>
      <c r="C87" t="s">
        <v>243</v>
      </c>
      <c r="D87" t="s">
        <v>244</v>
      </c>
      <c r="E87" t="s">
        <v>219</v>
      </c>
      <c r="F87" t="s">
        <v>234</v>
      </c>
      <c r="G87" t="s">
        <v>60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1:19" x14ac:dyDescent="0.35">
      <c r="A88" t="s">
        <v>54</v>
      </c>
      <c r="B88">
        <v>87</v>
      </c>
      <c r="C88" t="s">
        <v>245</v>
      </c>
      <c r="D88" t="s">
        <v>246</v>
      </c>
      <c r="E88" t="s">
        <v>219</v>
      </c>
      <c r="F88" t="s">
        <v>234</v>
      </c>
      <c r="G88" t="s">
        <v>60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1:19" x14ac:dyDescent="0.35">
      <c r="A89" t="s">
        <v>54</v>
      </c>
      <c r="B89">
        <v>88</v>
      </c>
      <c r="C89" t="s">
        <v>247</v>
      </c>
      <c r="D89" t="s">
        <v>248</v>
      </c>
      <c r="E89" t="s">
        <v>219</v>
      </c>
      <c r="F89" t="s">
        <v>234</v>
      </c>
      <c r="G89" t="s">
        <v>60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1:19" x14ac:dyDescent="0.35">
      <c r="A90" t="s">
        <v>54</v>
      </c>
      <c r="B90">
        <v>89</v>
      </c>
      <c r="C90" t="s">
        <v>249</v>
      </c>
      <c r="D90" t="s">
        <v>250</v>
      </c>
      <c r="E90" t="s">
        <v>219</v>
      </c>
      <c r="F90" t="s">
        <v>234</v>
      </c>
      <c r="G90" t="s">
        <v>60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1:19" x14ac:dyDescent="0.35">
      <c r="A91" t="s">
        <v>54</v>
      </c>
      <c r="B91">
        <v>90</v>
      </c>
      <c r="C91" t="s">
        <v>251</v>
      </c>
      <c r="D91" t="s">
        <v>252</v>
      </c>
      <c r="E91" t="s">
        <v>219</v>
      </c>
      <c r="F91" t="s">
        <v>234</v>
      </c>
      <c r="G91" t="s">
        <v>60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P91">
        <v>0</v>
      </c>
      <c r="Q91">
        <v>0</v>
      </c>
      <c r="R91">
        <v>0</v>
      </c>
      <c r="S91">
        <v>0</v>
      </c>
    </row>
    <row r="92" spans="1:19" x14ac:dyDescent="0.35">
      <c r="A92" t="s">
        <v>54</v>
      </c>
      <c r="B92">
        <v>91</v>
      </c>
      <c r="C92" t="s">
        <v>253</v>
      </c>
      <c r="D92" t="s">
        <v>254</v>
      </c>
      <c r="E92" t="s">
        <v>219</v>
      </c>
      <c r="F92" t="s">
        <v>234</v>
      </c>
      <c r="G92" t="s">
        <v>57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1:19" x14ac:dyDescent="0.35">
      <c r="A93" t="s">
        <v>54</v>
      </c>
      <c r="B93">
        <v>92</v>
      </c>
      <c r="C93" t="s">
        <v>255</v>
      </c>
      <c r="D93" t="s">
        <v>256</v>
      </c>
      <c r="E93" t="s">
        <v>219</v>
      </c>
      <c r="F93" t="s">
        <v>234</v>
      </c>
      <c r="G93" t="s">
        <v>60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P93">
        <v>0</v>
      </c>
      <c r="Q93">
        <v>0</v>
      </c>
      <c r="R93">
        <v>0</v>
      </c>
      <c r="S93">
        <v>0</v>
      </c>
    </row>
    <row r="94" spans="1:19" x14ac:dyDescent="0.35">
      <c r="A94" t="s">
        <v>54</v>
      </c>
      <c r="B94">
        <v>93</v>
      </c>
      <c r="C94" t="s">
        <v>257</v>
      </c>
      <c r="D94" t="s">
        <v>258</v>
      </c>
      <c r="E94" t="s">
        <v>219</v>
      </c>
      <c r="F94" t="s">
        <v>259</v>
      </c>
      <c r="G94" t="s">
        <v>60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1:19" x14ac:dyDescent="0.35">
      <c r="A95" t="s">
        <v>54</v>
      </c>
      <c r="B95">
        <v>94</v>
      </c>
      <c r="C95" t="s">
        <v>260</v>
      </c>
      <c r="D95" t="s">
        <v>261</v>
      </c>
      <c r="E95" t="s">
        <v>219</v>
      </c>
      <c r="F95" t="s">
        <v>259</v>
      </c>
      <c r="G95" t="s">
        <v>60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1:19" x14ac:dyDescent="0.35">
      <c r="A96" t="s">
        <v>54</v>
      </c>
      <c r="B96">
        <v>95</v>
      </c>
      <c r="C96" t="s">
        <v>262</v>
      </c>
      <c r="D96" t="s">
        <v>263</v>
      </c>
      <c r="E96" t="s">
        <v>219</v>
      </c>
      <c r="F96" t="s">
        <v>259</v>
      </c>
      <c r="G96" t="s">
        <v>60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 x14ac:dyDescent="0.35">
      <c r="A97" t="s">
        <v>54</v>
      </c>
      <c r="B97">
        <v>96</v>
      </c>
      <c r="C97" t="s">
        <v>264</v>
      </c>
      <c r="D97" t="s">
        <v>265</v>
      </c>
      <c r="E97" t="s">
        <v>219</v>
      </c>
      <c r="F97" t="s">
        <v>259</v>
      </c>
      <c r="G97" t="s">
        <v>60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1:19" x14ac:dyDescent="0.35">
      <c r="A98" t="s">
        <v>54</v>
      </c>
      <c r="B98">
        <v>97</v>
      </c>
      <c r="C98" t="s">
        <v>266</v>
      </c>
      <c r="D98" t="s">
        <v>267</v>
      </c>
      <c r="E98" t="s">
        <v>219</v>
      </c>
      <c r="F98" t="s">
        <v>259</v>
      </c>
      <c r="G98" t="s">
        <v>60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P98">
        <v>0</v>
      </c>
      <c r="Q98">
        <v>0</v>
      </c>
      <c r="R98">
        <v>0</v>
      </c>
      <c r="S98">
        <v>0</v>
      </c>
    </row>
    <row r="99" spans="1:19" x14ac:dyDescent="0.35">
      <c r="A99" t="s">
        <v>54</v>
      </c>
      <c r="B99">
        <v>98</v>
      </c>
      <c r="C99" t="s">
        <v>268</v>
      </c>
      <c r="D99" t="s">
        <v>269</v>
      </c>
      <c r="E99" t="s">
        <v>219</v>
      </c>
      <c r="F99" t="s">
        <v>259</v>
      </c>
      <c r="G99" t="s">
        <v>270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 x14ac:dyDescent="0.35">
      <c r="A100" t="s">
        <v>54</v>
      </c>
      <c r="B100">
        <v>99</v>
      </c>
      <c r="C100" t="s">
        <v>271</v>
      </c>
      <c r="D100" t="s">
        <v>272</v>
      </c>
      <c r="E100" t="s">
        <v>219</v>
      </c>
      <c r="F100" t="s">
        <v>259</v>
      </c>
      <c r="G100" t="s">
        <v>60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1:19" x14ac:dyDescent="0.35">
      <c r="A101" t="s">
        <v>54</v>
      </c>
      <c r="B101">
        <v>100</v>
      </c>
      <c r="C101" t="s">
        <v>273</v>
      </c>
      <c r="D101" t="s">
        <v>274</v>
      </c>
      <c r="E101" t="s">
        <v>219</v>
      </c>
      <c r="F101" t="s">
        <v>259</v>
      </c>
      <c r="G101" t="s">
        <v>60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1:19" x14ac:dyDescent="0.35">
      <c r="A102" t="s">
        <v>54</v>
      </c>
      <c r="B102">
        <v>101</v>
      </c>
      <c r="C102" t="s">
        <v>275</v>
      </c>
      <c r="D102" t="s">
        <v>276</v>
      </c>
      <c r="E102" t="s">
        <v>219</v>
      </c>
      <c r="F102" t="s">
        <v>259</v>
      </c>
      <c r="G102" t="s">
        <v>60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1:19" x14ac:dyDescent="0.35">
      <c r="A103" t="s">
        <v>54</v>
      </c>
      <c r="B103">
        <v>102</v>
      </c>
      <c r="C103" t="s">
        <v>277</v>
      </c>
      <c r="D103" t="s">
        <v>278</v>
      </c>
      <c r="E103" t="s">
        <v>219</v>
      </c>
      <c r="F103" t="s">
        <v>259</v>
      </c>
      <c r="G103" t="s">
        <v>60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1:19" x14ac:dyDescent="0.35">
      <c r="A104" t="s">
        <v>54</v>
      </c>
      <c r="B104">
        <v>103</v>
      </c>
      <c r="C104" t="s">
        <v>279</v>
      </c>
      <c r="D104" t="s">
        <v>280</v>
      </c>
      <c r="E104" t="s">
        <v>219</v>
      </c>
      <c r="F104" t="s">
        <v>259</v>
      </c>
      <c r="G104" t="s">
        <v>60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1:19" x14ac:dyDescent="0.35">
      <c r="A105" t="s">
        <v>54</v>
      </c>
      <c r="B105">
        <v>104</v>
      </c>
      <c r="C105" t="s">
        <v>281</v>
      </c>
      <c r="D105" t="s">
        <v>282</v>
      </c>
      <c r="E105" t="s">
        <v>219</v>
      </c>
      <c r="F105" t="s">
        <v>259</v>
      </c>
      <c r="G105" t="s">
        <v>60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1:19" x14ac:dyDescent="0.35">
      <c r="A106" t="s">
        <v>54</v>
      </c>
      <c r="B106">
        <v>105</v>
      </c>
      <c r="C106" t="s">
        <v>283</v>
      </c>
      <c r="D106" t="s">
        <v>284</v>
      </c>
      <c r="E106" t="s">
        <v>219</v>
      </c>
      <c r="F106" t="s">
        <v>259</v>
      </c>
      <c r="G106" t="s">
        <v>60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P106">
        <v>0</v>
      </c>
      <c r="Q106">
        <v>0</v>
      </c>
      <c r="R106">
        <v>0</v>
      </c>
      <c r="S106">
        <v>0</v>
      </c>
    </row>
    <row r="107" spans="1:19" x14ac:dyDescent="0.35">
      <c r="A107" t="s">
        <v>54</v>
      </c>
      <c r="B107">
        <v>106</v>
      </c>
      <c r="C107" t="s">
        <v>285</v>
      </c>
      <c r="D107" t="s">
        <v>286</v>
      </c>
      <c r="E107" t="s">
        <v>219</v>
      </c>
      <c r="F107" t="s">
        <v>259</v>
      </c>
      <c r="G107" t="s">
        <v>60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1:19" x14ac:dyDescent="0.35">
      <c r="A108" t="s">
        <v>54</v>
      </c>
      <c r="B108">
        <v>107</v>
      </c>
      <c r="C108" t="s">
        <v>287</v>
      </c>
      <c r="D108" t="s">
        <v>288</v>
      </c>
      <c r="E108" t="s">
        <v>219</v>
      </c>
      <c r="F108" t="s">
        <v>259</v>
      </c>
      <c r="G108" t="s">
        <v>60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1:19" x14ac:dyDescent="0.35">
      <c r="A109" t="s">
        <v>54</v>
      </c>
      <c r="B109">
        <v>108</v>
      </c>
      <c r="C109" t="s">
        <v>289</v>
      </c>
      <c r="D109" t="s">
        <v>290</v>
      </c>
      <c r="E109" t="s">
        <v>219</v>
      </c>
      <c r="F109" t="s">
        <v>259</v>
      </c>
      <c r="G109" t="s">
        <v>60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1:19" x14ac:dyDescent="0.35">
      <c r="A110" t="s">
        <v>54</v>
      </c>
      <c r="B110">
        <v>109</v>
      </c>
      <c r="C110" t="s">
        <v>291</v>
      </c>
      <c r="D110" t="s">
        <v>292</v>
      </c>
      <c r="E110" t="s">
        <v>219</v>
      </c>
      <c r="F110" t="s">
        <v>259</v>
      </c>
      <c r="G110" t="s">
        <v>60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1:19" x14ac:dyDescent="0.35">
      <c r="A111" t="s">
        <v>54</v>
      </c>
      <c r="B111">
        <v>110</v>
      </c>
      <c r="C111" t="s">
        <v>293</v>
      </c>
      <c r="D111" t="s">
        <v>294</v>
      </c>
      <c r="E111" t="s">
        <v>219</v>
      </c>
      <c r="F111" t="s">
        <v>259</v>
      </c>
      <c r="G111" t="s">
        <v>60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P111">
        <v>0</v>
      </c>
      <c r="Q111">
        <v>0</v>
      </c>
      <c r="R111">
        <v>0</v>
      </c>
      <c r="S111">
        <v>0</v>
      </c>
    </row>
    <row r="112" spans="1:19" x14ac:dyDescent="0.35">
      <c r="A112" t="s">
        <v>54</v>
      </c>
      <c r="B112">
        <v>111</v>
      </c>
      <c r="C112" t="s">
        <v>295</v>
      </c>
      <c r="D112" t="s">
        <v>296</v>
      </c>
      <c r="E112" t="s">
        <v>219</v>
      </c>
      <c r="F112" t="s">
        <v>259</v>
      </c>
      <c r="G112" t="s">
        <v>57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1:19" x14ac:dyDescent="0.35">
      <c r="A113" t="s">
        <v>54</v>
      </c>
      <c r="B113">
        <v>112</v>
      </c>
      <c r="C113" t="s">
        <v>297</v>
      </c>
      <c r="D113" t="s">
        <v>298</v>
      </c>
      <c r="E113" t="s">
        <v>219</v>
      </c>
      <c r="F113" t="s">
        <v>299</v>
      </c>
      <c r="G113" t="s">
        <v>60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1:19" x14ac:dyDescent="0.35">
      <c r="A114" t="s">
        <v>54</v>
      </c>
      <c r="B114">
        <v>113</v>
      </c>
      <c r="C114" t="s">
        <v>300</v>
      </c>
      <c r="D114" t="s">
        <v>301</v>
      </c>
      <c r="E114" t="s">
        <v>219</v>
      </c>
      <c r="F114" t="s">
        <v>299</v>
      </c>
      <c r="G114" t="s">
        <v>60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1:19" x14ac:dyDescent="0.35">
      <c r="A115" t="s">
        <v>54</v>
      </c>
      <c r="B115">
        <v>114</v>
      </c>
      <c r="C115" t="s">
        <v>302</v>
      </c>
      <c r="D115" t="s">
        <v>303</v>
      </c>
      <c r="E115" t="s">
        <v>219</v>
      </c>
      <c r="F115" t="s">
        <v>299</v>
      </c>
      <c r="G115" t="s">
        <v>60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1:19" x14ac:dyDescent="0.35">
      <c r="A116" t="s">
        <v>54</v>
      </c>
      <c r="B116">
        <v>115</v>
      </c>
      <c r="C116" t="s">
        <v>304</v>
      </c>
      <c r="D116" t="s">
        <v>305</v>
      </c>
      <c r="E116" t="s">
        <v>219</v>
      </c>
      <c r="F116" t="s">
        <v>299</v>
      </c>
      <c r="G116" t="s">
        <v>60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1:19" x14ac:dyDescent="0.35">
      <c r="A117" t="s">
        <v>54</v>
      </c>
      <c r="B117">
        <v>116</v>
      </c>
      <c r="C117" t="s">
        <v>306</v>
      </c>
      <c r="D117" t="s">
        <v>307</v>
      </c>
      <c r="E117" t="s">
        <v>219</v>
      </c>
      <c r="F117" t="s">
        <v>299</v>
      </c>
      <c r="G117" t="s">
        <v>60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P117">
        <v>0</v>
      </c>
      <c r="Q117">
        <v>0</v>
      </c>
      <c r="R117">
        <v>0</v>
      </c>
      <c r="S117">
        <v>0</v>
      </c>
    </row>
    <row r="118" spans="1:19" x14ac:dyDescent="0.35">
      <c r="A118" t="s">
        <v>54</v>
      </c>
      <c r="B118">
        <v>117</v>
      </c>
      <c r="C118" t="s">
        <v>308</v>
      </c>
      <c r="D118" t="s">
        <v>309</v>
      </c>
      <c r="E118" t="s">
        <v>219</v>
      </c>
      <c r="F118" t="s">
        <v>309</v>
      </c>
      <c r="G118" t="s">
        <v>60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1:19" x14ac:dyDescent="0.35">
      <c r="A119" t="s">
        <v>54</v>
      </c>
      <c r="B119">
        <v>118</v>
      </c>
      <c r="C119" t="s">
        <v>310</v>
      </c>
      <c r="D119" t="s">
        <v>311</v>
      </c>
      <c r="E119" t="s">
        <v>219</v>
      </c>
      <c r="F119" t="s">
        <v>312</v>
      </c>
      <c r="G119" t="s">
        <v>60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1:19" x14ac:dyDescent="0.35">
      <c r="A120" t="s">
        <v>54</v>
      </c>
      <c r="B120">
        <v>119</v>
      </c>
      <c r="C120" t="s">
        <v>313</v>
      </c>
      <c r="D120" t="s">
        <v>314</v>
      </c>
      <c r="E120" t="s">
        <v>219</v>
      </c>
      <c r="F120" t="s">
        <v>315</v>
      </c>
      <c r="G120" t="s">
        <v>60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</row>
    <row r="121" spans="1:19" x14ac:dyDescent="0.35">
      <c r="A121" t="s">
        <v>54</v>
      </c>
      <c r="B121">
        <v>120</v>
      </c>
      <c r="C121" t="s">
        <v>316</v>
      </c>
      <c r="D121" t="s">
        <v>317</v>
      </c>
      <c r="E121" t="s">
        <v>219</v>
      </c>
      <c r="F121" t="s">
        <v>170</v>
      </c>
      <c r="G121" t="s">
        <v>60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P121">
        <v>0</v>
      </c>
      <c r="Q121">
        <v>0</v>
      </c>
      <c r="R121">
        <v>0</v>
      </c>
      <c r="S121">
        <v>0</v>
      </c>
    </row>
    <row r="122" spans="1:19" x14ac:dyDescent="0.35">
      <c r="A122" t="s">
        <v>54</v>
      </c>
      <c r="B122">
        <v>121</v>
      </c>
      <c r="C122" t="s">
        <v>318</v>
      </c>
      <c r="D122" t="s">
        <v>319</v>
      </c>
      <c r="E122" t="s">
        <v>320</v>
      </c>
      <c r="F122" t="s">
        <v>321</v>
      </c>
      <c r="G122" t="s">
        <v>60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1:19" x14ac:dyDescent="0.35">
      <c r="A123" t="s">
        <v>54</v>
      </c>
      <c r="B123">
        <v>122</v>
      </c>
      <c r="C123" t="s">
        <v>322</v>
      </c>
      <c r="D123" t="s">
        <v>323</v>
      </c>
      <c r="E123" t="s">
        <v>320</v>
      </c>
      <c r="F123" t="s">
        <v>321</v>
      </c>
      <c r="G123" t="s">
        <v>60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1:19" x14ac:dyDescent="0.35">
      <c r="A124" t="s">
        <v>54</v>
      </c>
      <c r="B124">
        <v>123</v>
      </c>
      <c r="C124" t="s">
        <v>324</v>
      </c>
      <c r="D124" t="s">
        <v>325</v>
      </c>
      <c r="E124" t="s">
        <v>320</v>
      </c>
      <c r="F124" t="s">
        <v>321</v>
      </c>
      <c r="G124" t="s">
        <v>60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1:19" x14ac:dyDescent="0.35">
      <c r="A125" t="s">
        <v>54</v>
      </c>
      <c r="B125">
        <v>124</v>
      </c>
      <c r="C125" t="s">
        <v>326</v>
      </c>
      <c r="D125" t="s">
        <v>327</v>
      </c>
      <c r="E125" t="s">
        <v>320</v>
      </c>
      <c r="F125" t="s">
        <v>321</v>
      </c>
      <c r="G125" t="s">
        <v>60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1:19" x14ac:dyDescent="0.35">
      <c r="A126" t="s">
        <v>54</v>
      </c>
      <c r="B126">
        <v>125</v>
      </c>
      <c r="C126" t="s">
        <v>328</v>
      </c>
      <c r="D126" t="s">
        <v>329</v>
      </c>
      <c r="E126" t="s">
        <v>320</v>
      </c>
      <c r="F126" t="s">
        <v>321</v>
      </c>
      <c r="G126" t="s">
        <v>57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P126">
        <v>0</v>
      </c>
      <c r="Q126">
        <v>0</v>
      </c>
      <c r="R126">
        <v>0</v>
      </c>
      <c r="S126">
        <v>0</v>
      </c>
    </row>
    <row r="127" spans="1:19" x14ac:dyDescent="0.35">
      <c r="A127" t="s">
        <v>54</v>
      </c>
      <c r="B127">
        <v>126</v>
      </c>
      <c r="C127" t="s">
        <v>330</v>
      </c>
      <c r="D127" t="s">
        <v>331</v>
      </c>
      <c r="E127" t="s">
        <v>320</v>
      </c>
      <c r="F127" t="s">
        <v>321</v>
      </c>
      <c r="G127" t="s">
        <v>60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</row>
    <row r="128" spans="1:19" x14ac:dyDescent="0.35">
      <c r="A128" t="s">
        <v>54</v>
      </c>
      <c r="B128">
        <v>127</v>
      </c>
      <c r="C128" t="s">
        <v>332</v>
      </c>
      <c r="D128" t="s">
        <v>333</v>
      </c>
      <c r="E128" t="s">
        <v>320</v>
      </c>
      <c r="F128" t="s">
        <v>321</v>
      </c>
      <c r="G128" t="s">
        <v>60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1:19" x14ac:dyDescent="0.35">
      <c r="A129" t="s">
        <v>54</v>
      </c>
      <c r="B129">
        <v>128</v>
      </c>
      <c r="C129" t="s">
        <v>334</v>
      </c>
      <c r="D129" t="s">
        <v>335</v>
      </c>
      <c r="E129" t="s">
        <v>320</v>
      </c>
      <c r="F129" t="s">
        <v>321</v>
      </c>
      <c r="G129" t="s">
        <v>60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1:19" x14ac:dyDescent="0.35">
      <c r="A130" t="s">
        <v>54</v>
      </c>
      <c r="B130">
        <v>129</v>
      </c>
      <c r="C130" t="s">
        <v>336</v>
      </c>
      <c r="D130" t="s">
        <v>337</v>
      </c>
      <c r="E130" t="s">
        <v>320</v>
      </c>
      <c r="F130" t="s">
        <v>321</v>
      </c>
      <c r="G130" t="s">
        <v>60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1:19" x14ac:dyDescent="0.35">
      <c r="A131" t="s">
        <v>54</v>
      </c>
      <c r="B131">
        <v>130</v>
      </c>
      <c r="C131" t="s">
        <v>338</v>
      </c>
      <c r="D131" t="s">
        <v>339</v>
      </c>
      <c r="E131" t="s">
        <v>320</v>
      </c>
      <c r="F131" t="s">
        <v>321</v>
      </c>
      <c r="G131" t="s">
        <v>57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P131">
        <v>0</v>
      </c>
      <c r="Q131">
        <v>0</v>
      </c>
      <c r="R131">
        <v>0</v>
      </c>
      <c r="S131">
        <v>0</v>
      </c>
    </row>
    <row r="132" spans="1:19" x14ac:dyDescent="0.35">
      <c r="A132" t="s">
        <v>54</v>
      </c>
      <c r="B132">
        <v>131</v>
      </c>
      <c r="C132" t="s">
        <v>340</v>
      </c>
      <c r="D132" t="s">
        <v>341</v>
      </c>
      <c r="E132" t="s">
        <v>320</v>
      </c>
      <c r="F132" t="s">
        <v>321</v>
      </c>
      <c r="G132" t="s">
        <v>57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1:19" x14ac:dyDescent="0.35">
      <c r="A133" t="s">
        <v>54</v>
      </c>
      <c r="B133">
        <v>132</v>
      </c>
      <c r="C133" t="s">
        <v>342</v>
      </c>
      <c r="D133" t="s">
        <v>343</v>
      </c>
      <c r="E133" t="s">
        <v>320</v>
      </c>
      <c r="F133" t="s">
        <v>321</v>
      </c>
      <c r="G133" t="s">
        <v>57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P133">
        <v>0</v>
      </c>
      <c r="Q133">
        <v>0</v>
      </c>
      <c r="R133">
        <v>0</v>
      </c>
      <c r="S133">
        <v>0</v>
      </c>
    </row>
    <row r="134" spans="1:19" x14ac:dyDescent="0.35">
      <c r="A134" t="s">
        <v>54</v>
      </c>
      <c r="B134">
        <v>133</v>
      </c>
      <c r="C134" t="s">
        <v>344</v>
      </c>
      <c r="D134" t="s">
        <v>345</v>
      </c>
      <c r="E134" t="s">
        <v>320</v>
      </c>
      <c r="F134" t="s">
        <v>346</v>
      </c>
      <c r="G134" t="s">
        <v>60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</row>
    <row r="135" spans="1:19" x14ac:dyDescent="0.35">
      <c r="A135" t="s">
        <v>54</v>
      </c>
      <c r="B135">
        <v>134</v>
      </c>
      <c r="C135" t="s">
        <v>347</v>
      </c>
      <c r="D135" t="s">
        <v>348</v>
      </c>
      <c r="E135" t="s">
        <v>320</v>
      </c>
      <c r="F135" t="s">
        <v>346</v>
      </c>
      <c r="G135" t="s">
        <v>60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1:19" x14ac:dyDescent="0.35">
      <c r="A136" t="s">
        <v>54</v>
      </c>
      <c r="B136">
        <v>135</v>
      </c>
      <c r="C136" t="s">
        <v>349</v>
      </c>
      <c r="D136" t="s">
        <v>350</v>
      </c>
      <c r="E136" t="s">
        <v>320</v>
      </c>
      <c r="F136" t="s">
        <v>346</v>
      </c>
      <c r="G136" t="s">
        <v>60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1:19" x14ac:dyDescent="0.35">
      <c r="A137" t="s">
        <v>54</v>
      </c>
      <c r="B137">
        <v>136</v>
      </c>
      <c r="C137" t="s">
        <v>351</v>
      </c>
      <c r="D137" t="s">
        <v>352</v>
      </c>
      <c r="E137" t="s">
        <v>320</v>
      </c>
      <c r="F137" t="s">
        <v>346</v>
      </c>
      <c r="G137" t="s">
        <v>60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1:19" x14ac:dyDescent="0.35">
      <c r="A138" t="s">
        <v>54</v>
      </c>
      <c r="B138">
        <v>137</v>
      </c>
      <c r="C138" t="s">
        <v>353</v>
      </c>
      <c r="D138" t="s">
        <v>354</v>
      </c>
      <c r="E138" t="s">
        <v>320</v>
      </c>
      <c r="F138" t="s">
        <v>346</v>
      </c>
      <c r="G138" t="s">
        <v>60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P138">
        <v>0</v>
      </c>
      <c r="Q138">
        <v>0</v>
      </c>
      <c r="R138">
        <v>0</v>
      </c>
      <c r="S138">
        <v>0</v>
      </c>
    </row>
    <row r="139" spans="1:19" x14ac:dyDescent="0.35">
      <c r="A139" t="s">
        <v>54</v>
      </c>
      <c r="B139">
        <v>138</v>
      </c>
      <c r="C139" t="s">
        <v>355</v>
      </c>
      <c r="D139" t="s">
        <v>356</v>
      </c>
      <c r="E139" t="s">
        <v>320</v>
      </c>
      <c r="F139" t="s">
        <v>346</v>
      </c>
      <c r="G139" t="s">
        <v>60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1:19" x14ac:dyDescent="0.35">
      <c r="A140" t="s">
        <v>54</v>
      </c>
      <c r="B140">
        <v>139</v>
      </c>
      <c r="C140" t="s">
        <v>357</v>
      </c>
      <c r="D140" t="s">
        <v>358</v>
      </c>
      <c r="E140" t="s">
        <v>320</v>
      </c>
      <c r="F140" t="s">
        <v>346</v>
      </c>
      <c r="G140" t="s">
        <v>60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1:19" x14ac:dyDescent="0.35">
      <c r="A141" t="s">
        <v>54</v>
      </c>
      <c r="B141">
        <v>140</v>
      </c>
      <c r="C141" t="s">
        <v>359</v>
      </c>
      <c r="D141" t="s">
        <v>360</v>
      </c>
      <c r="E141" t="s">
        <v>320</v>
      </c>
      <c r="F141" t="s">
        <v>346</v>
      </c>
      <c r="G141" t="s">
        <v>60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1:19" x14ac:dyDescent="0.35">
      <c r="A142" t="s">
        <v>54</v>
      </c>
      <c r="B142">
        <v>141</v>
      </c>
      <c r="C142" t="s">
        <v>361</v>
      </c>
      <c r="D142" t="s">
        <v>362</v>
      </c>
      <c r="E142" t="s">
        <v>320</v>
      </c>
      <c r="F142" t="s">
        <v>346</v>
      </c>
      <c r="G142" t="s">
        <v>60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</row>
    <row r="143" spans="1:19" x14ac:dyDescent="0.35">
      <c r="A143" t="s">
        <v>54</v>
      </c>
      <c r="B143">
        <v>142</v>
      </c>
      <c r="C143" t="s">
        <v>363</v>
      </c>
      <c r="D143" t="s">
        <v>364</v>
      </c>
      <c r="E143" t="s">
        <v>320</v>
      </c>
      <c r="F143" t="s">
        <v>346</v>
      </c>
      <c r="G143" t="s">
        <v>60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P143">
        <v>0</v>
      </c>
      <c r="Q143">
        <v>0</v>
      </c>
      <c r="R143">
        <v>0</v>
      </c>
      <c r="S143">
        <v>0</v>
      </c>
    </row>
    <row r="144" spans="1:19" x14ac:dyDescent="0.35">
      <c r="A144" t="s">
        <v>54</v>
      </c>
      <c r="B144">
        <v>143</v>
      </c>
      <c r="C144" t="s">
        <v>365</v>
      </c>
      <c r="D144" t="s">
        <v>366</v>
      </c>
      <c r="E144" t="s">
        <v>320</v>
      </c>
      <c r="F144" t="s">
        <v>346</v>
      </c>
      <c r="G144" t="s">
        <v>57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1:19" x14ac:dyDescent="0.35">
      <c r="A145" t="s">
        <v>54</v>
      </c>
      <c r="B145">
        <v>144</v>
      </c>
      <c r="C145" t="s">
        <v>367</v>
      </c>
      <c r="D145" t="s">
        <v>368</v>
      </c>
      <c r="E145" t="s">
        <v>320</v>
      </c>
      <c r="F145" t="s">
        <v>346</v>
      </c>
      <c r="G145" t="s">
        <v>60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P145">
        <v>0</v>
      </c>
      <c r="Q145">
        <v>0</v>
      </c>
      <c r="R145">
        <v>0</v>
      </c>
      <c r="S145">
        <v>0</v>
      </c>
    </row>
    <row r="146" spans="1:19" x14ac:dyDescent="0.35">
      <c r="A146" t="s">
        <v>54</v>
      </c>
      <c r="B146">
        <v>145</v>
      </c>
      <c r="C146" t="s">
        <v>369</v>
      </c>
      <c r="D146" t="s">
        <v>370</v>
      </c>
      <c r="E146" t="s">
        <v>320</v>
      </c>
      <c r="F146" t="s">
        <v>371</v>
      </c>
      <c r="G146" t="s">
        <v>60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1:19" x14ac:dyDescent="0.35">
      <c r="A147" t="s">
        <v>54</v>
      </c>
      <c r="B147">
        <v>146</v>
      </c>
      <c r="C147" t="s">
        <v>372</v>
      </c>
      <c r="D147" t="s">
        <v>373</v>
      </c>
      <c r="E147" t="s">
        <v>320</v>
      </c>
      <c r="F147" t="s">
        <v>371</v>
      </c>
      <c r="G147" t="s">
        <v>60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1:19" x14ac:dyDescent="0.35">
      <c r="A148" t="s">
        <v>54</v>
      </c>
      <c r="B148">
        <v>147</v>
      </c>
      <c r="C148" t="s">
        <v>374</v>
      </c>
      <c r="D148" t="s">
        <v>375</v>
      </c>
      <c r="E148" t="s">
        <v>320</v>
      </c>
      <c r="F148" t="s">
        <v>371</v>
      </c>
      <c r="G148" t="s">
        <v>57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1:19" x14ac:dyDescent="0.35">
      <c r="A149" t="s">
        <v>54</v>
      </c>
      <c r="B149">
        <v>148</v>
      </c>
      <c r="C149" t="s">
        <v>376</v>
      </c>
      <c r="D149" t="s">
        <v>377</v>
      </c>
      <c r="E149" t="s">
        <v>320</v>
      </c>
      <c r="F149" t="s">
        <v>371</v>
      </c>
      <c r="G149" t="s">
        <v>57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P149">
        <v>0</v>
      </c>
      <c r="Q149">
        <v>0</v>
      </c>
      <c r="R149">
        <v>0</v>
      </c>
      <c r="S149">
        <v>0</v>
      </c>
    </row>
    <row r="150" spans="1:19" x14ac:dyDescent="0.35">
      <c r="A150" t="s">
        <v>54</v>
      </c>
      <c r="B150">
        <v>149</v>
      </c>
      <c r="C150" t="s">
        <v>378</v>
      </c>
      <c r="D150" t="s">
        <v>379</v>
      </c>
      <c r="E150" t="s">
        <v>320</v>
      </c>
      <c r="F150" t="s">
        <v>380</v>
      </c>
      <c r="G150" t="s">
        <v>60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</row>
    <row r="151" spans="1:19" x14ac:dyDescent="0.35">
      <c r="A151" t="s">
        <v>54</v>
      </c>
      <c r="B151">
        <v>150</v>
      </c>
      <c r="C151" t="s">
        <v>381</v>
      </c>
      <c r="D151" t="s">
        <v>382</v>
      </c>
      <c r="E151" t="s">
        <v>320</v>
      </c>
      <c r="F151" t="s">
        <v>380</v>
      </c>
      <c r="G151" t="s">
        <v>57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</row>
    <row r="152" spans="1:19" x14ac:dyDescent="0.35">
      <c r="A152" t="s">
        <v>54</v>
      </c>
      <c r="B152">
        <v>151</v>
      </c>
      <c r="C152" t="s">
        <v>383</v>
      </c>
      <c r="D152" t="s">
        <v>384</v>
      </c>
      <c r="E152" t="s">
        <v>320</v>
      </c>
      <c r="F152" t="s">
        <v>380</v>
      </c>
      <c r="G152" t="s">
        <v>57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P152">
        <v>0</v>
      </c>
      <c r="Q152">
        <v>0</v>
      </c>
      <c r="R152">
        <v>0</v>
      </c>
      <c r="S152">
        <v>0</v>
      </c>
    </row>
    <row r="153" spans="1:19" x14ac:dyDescent="0.35">
      <c r="A153" t="s">
        <v>54</v>
      </c>
      <c r="B153">
        <v>152</v>
      </c>
      <c r="C153" t="s">
        <v>385</v>
      </c>
      <c r="D153" t="s">
        <v>386</v>
      </c>
      <c r="E153" t="s">
        <v>320</v>
      </c>
      <c r="F153" t="s">
        <v>387</v>
      </c>
      <c r="G153" t="s">
        <v>60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</row>
    <row r="154" spans="1:19" x14ac:dyDescent="0.35">
      <c r="A154" t="s">
        <v>54</v>
      </c>
      <c r="B154">
        <v>153</v>
      </c>
      <c r="C154" t="s">
        <v>388</v>
      </c>
      <c r="D154" t="s">
        <v>389</v>
      </c>
      <c r="E154" t="s">
        <v>320</v>
      </c>
      <c r="F154" t="s">
        <v>387</v>
      </c>
      <c r="G154" t="s">
        <v>57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1:19" x14ac:dyDescent="0.35">
      <c r="A155" t="s">
        <v>54</v>
      </c>
      <c r="B155">
        <v>154</v>
      </c>
      <c r="C155" t="s">
        <v>390</v>
      </c>
      <c r="D155" t="s">
        <v>391</v>
      </c>
      <c r="E155" t="s">
        <v>320</v>
      </c>
      <c r="F155" t="s">
        <v>387</v>
      </c>
      <c r="G155" t="s">
        <v>57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P155">
        <v>0</v>
      </c>
      <c r="Q155">
        <v>0</v>
      </c>
      <c r="R155">
        <v>0</v>
      </c>
      <c r="S155">
        <v>0</v>
      </c>
    </row>
    <row r="156" spans="1:19" x14ac:dyDescent="0.35">
      <c r="A156" t="s">
        <v>54</v>
      </c>
      <c r="B156">
        <v>155</v>
      </c>
      <c r="C156" t="s">
        <v>392</v>
      </c>
      <c r="D156" t="s">
        <v>393</v>
      </c>
      <c r="E156" t="s">
        <v>320</v>
      </c>
      <c r="F156" t="s">
        <v>393</v>
      </c>
      <c r="G156" t="s">
        <v>60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1:19" x14ac:dyDescent="0.35">
      <c r="A157" t="s">
        <v>54</v>
      </c>
      <c r="B157">
        <v>156</v>
      </c>
      <c r="C157" t="s">
        <v>394</v>
      </c>
      <c r="D157" t="s">
        <v>395</v>
      </c>
      <c r="E157" t="s">
        <v>320</v>
      </c>
      <c r="F157" t="s">
        <v>170</v>
      </c>
      <c r="G157" t="s">
        <v>57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P157">
        <v>0</v>
      </c>
      <c r="Q157">
        <v>0</v>
      </c>
      <c r="R157">
        <v>0</v>
      </c>
      <c r="S157">
        <v>0</v>
      </c>
    </row>
    <row r="158" spans="1:19" x14ac:dyDescent="0.35">
      <c r="A158" t="s">
        <v>54</v>
      </c>
      <c r="B158">
        <v>157</v>
      </c>
      <c r="C158" t="s">
        <v>396</v>
      </c>
      <c r="D158" t="s">
        <v>397</v>
      </c>
      <c r="E158" t="s">
        <v>398</v>
      </c>
      <c r="F158" t="s">
        <v>399</v>
      </c>
      <c r="G158" t="s">
        <v>60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</row>
    <row r="159" spans="1:19" x14ac:dyDescent="0.35">
      <c r="A159" t="s">
        <v>54</v>
      </c>
      <c r="B159">
        <v>158</v>
      </c>
      <c r="C159" t="s">
        <v>400</v>
      </c>
      <c r="D159" t="s">
        <v>401</v>
      </c>
      <c r="E159" t="s">
        <v>398</v>
      </c>
      <c r="F159" t="s">
        <v>399</v>
      </c>
      <c r="G159" t="s">
        <v>60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1:19" x14ac:dyDescent="0.35">
      <c r="A160" t="s">
        <v>54</v>
      </c>
      <c r="B160">
        <v>159</v>
      </c>
      <c r="C160" t="s">
        <v>402</v>
      </c>
      <c r="D160" t="s">
        <v>403</v>
      </c>
      <c r="E160" t="s">
        <v>398</v>
      </c>
      <c r="F160" t="s">
        <v>399</v>
      </c>
      <c r="G160" t="s">
        <v>60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1:19" x14ac:dyDescent="0.35">
      <c r="A161" t="s">
        <v>54</v>
      </c>
      <c r="B161">
        <v>160</v>
      </c>
      <c r="C161" t="s">
        <v>404</v>
      </c>
      <c r="D161" t="s">
        <v>405</v>
      </c>
      <c r="E161" t="s">
        <v>406</v>
      </c>
      <c r="F161" t="s">
        <v>406</v>
      </c>
      <c r="G161" t="s">
        <v>57</v>
      </c>
      <c r="H161">
        <v>58448</v>
      </c>
      <c r="I161">
        <v>61.3263888888888</v>
      </c>
      <c r="J161">
        <v>953.06443211414296</v>
      </c>
      <c r="K161">
        <v>775.68679495686797</v>
      </c>
      <c r="L161">
        <v>75.349999999999994</v>
      </c>
      <c r="M161">
        <v>14.0236111111111</v>
      </c>
      <c r="N161">
        <v>1.22867172460649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1:19" x14ac:dyDescent="0.35">
      <c r="A162" t="s">
        <v>54</v>
      </c>
      <c r="B162">
        <v>161</v>
      </c>
      <c r="C162" t="s">
        <v>407</v>
      </c>
      <c r="D162" t="s">
        <v>408</v>
      </c>
      <c r="E162" t="s">
        <v>406</v>
      </c>
      <c r="F162" t="s">
        <v>406</v>
      </c>
      <c r="G162" t="s">
        <v>57</v>
      </c>
      <c r="H162">
        <v>58448</v>
      </c>
      <c r="I162">
        <v>0</v>
      </c>
      <c r="J162">
        <v>0</v>
      </c>
      <c r="K162">
        <v>8633.3825701624792</v>
      </c>
      <c r="L162">
        <v>6.77</v>
      </c>
      <c r="M162">
        <v>6.77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1:19" x14ac:dyDescent="0.35">
      <c r="A163" t="s">
        <v>54</v>
      </c>
      <c r="B163">
        <v>162</v>
      </c>
      <c r="C163" t="s">
        <v>409</v>
      </c>
      <c r="D163" t="s">
        <v>410</v>
      </c>
      <c r="E163" t="s">
        <v>406</v>
      </c>
      <c r="F163" t="s">
        <v>406</v>
      </c>
      <c r="G163" t="s">
        <v>57</v>
      </c>
      <c r="H163">
        <v>58448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1:19" x14ac:dyDescent="0.35">
      <c r="A164" t="s">
        <v>54</v>
      </c>
      <c r="B164">
        <v>163</v>
      </c>
      <c r="C164" t="s">
        <v>411</v>
      </c>
      <c r="D164" t="s">
        <v>412</v>
      </c>
      <c r="E164" t="s">
        <v>406</v>
      </c>
      <c r="F164" t="s">
        <v>406</v>
      </c>
      <c r="G164" t="s">
        <v>57</v>
      </c>
      <c r="H164">
        <v>58448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1:19" x14ac:dyDescent="0.35">
      <c r="A165" t="s">
        <v>54</v>
      </c>
      <c r="B165">
        <v>164</v>
      </c>
      <c r="C165" t="s">
        <v>413</v>
      </c>
      <c r="D165" t="s">
        <v>414</v>
      </c>
      <c r="E165" t="s">
        <v>406</v>
      </c>
      <c r="F165" t="s">
        <v>406</v>
      </c>
      <c r="G165" t="s">
        <v>57</v>
      </c>
      <c r="H165">
        <v>150051</v>
      </c>
      <c r="I165">
        <v>57.155833333333298</v>
      </c>
      <c r="J165">
        <v>2625.2963389563602</v>
      </c>
      <c r="K165">
        <v>2499.999984</v>
      </c>
      <c r="L165">
        <v>60.020400384130497</v>
      </c>
      <c r="M165">
        <v>2.8645670507972198</v>
      </c>
      <c r="N165">
        <v>1.0501185423032999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1:19" x14ac:dyDescent="0.35">
      <c r="A166" t="s">
        <v>54</v>
      </c>
      <c r="B166">
        <v>165</v>
      </c>
      <c r="C166" t="s">
        <v>415</v>
      </c>
      <c r="D166" t="s">
        <v>416</v>
      </c>
      <c r="E166" t="s">
        <v>406</v>
      </c>
      <c r="F166" t="s">
        <v>406</v>
      </c>
      <c r="G166" t="s">
        <v>57</v>
      </c>
      <c r="H166">
        <v>58448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1:19" x14ac:dyDescent="0.35">
      <c r="A167" t="s">
        <v>54</v>
      </c>
      <c r="B167">
        <v>166</v>
      </c>
      <c r="C167" t="s">
        <v>417</v>
      </c>
      <c r="D167" t="s">
        <v>418</v>
      </c>
      <c r="E167" t="s">
        <v>419</v>
      </c>
      <c r="F167" t="s">
        <v>420</v>
      </c>
      <c r="G167" t="s">
        <v>270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</row>
    <row r="168" spans="1:19" x14ac:dyDescent="0.35">
      <c r="A168" t="s">
        <v>54</v>
      </c>
      <c r="B168">
        <v>167</v>
      </c>
      <c r="C168" t="s">
        <v>421</v>
      </c>
      <c r="D168" t="s">
        <v>422</v>
      </c>
      <c r="E168" t="s">
        <v>419</v>
      </c>
      <c r="F168" t="s">
        <v>420</v>
      </c>
      <c r="G168" t="s">
        <v>270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1:19" x14ac:dyDescent="0.35">
      <c r="A169" t="s">
        <v>54</v>
      </c>
      <c r="B169">
        <v>168</v>
      </c>
      <c r="C169" t="s">
        <v>423</v>
      </c>
      <c r="D169" t="s">
        <v>424</v>
      </c>
      <c r="E169" t="s">
        <v>419</v>
      </c>
      <c r="F169" t="s">
        <v>420</v>
      </c>
      <c r="G169" t="s">
        <v>270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1:19" x14ac:dyDescent="0.35">
      <c r="A170" t="s">
        <v>425</v>
      </c>
      <c r="B170">
        <v>1</v>
      </c>
      <c r="C170" t="s">
        <v>426</v>
      </c>
      <c r="D170" t="s">
        <v>427</v>
      </c>
      <c r="E170" t="s">
        <v>428</v>
      </c>
      <c r="F170" t="s">
        <v>428</v>
      </c>
      <c r="G170" t="s">
        <v>60</v>
      </c>
      <c r="H170">
        <v>91603</v>
      </c>
      <c r="I170">
        <v>278.638611111111</v>
      </c>
      <c r="J170">
        <v>328.75199755956203</v>
      </c>
      <c r="K170">
        <v>215.954981512995</v>
      </c>
      <c r="L170">
        <v>424.17636934430902</v>
      </c>
      <c r="M170">
        <v>145.53775823319799</v>
      </c>
      <c r="N170">
        <v>1.52231726842466</v>
      </c>
      <c r="P170">
        <v>0</v>
      </c>
      <c r="Q170">
        <v>0</v>
      </c>
      <c r="R170">
        <v>0</v>
      </c>
      <c r="S170">
        <v>0</v>
      </c>
    </row>
    <row r="171" spans="1:19" x14ac:dyDescent="0.35">
      <c r="A171" t="s">
        <v>425</v>
      </c>
      <c r="B171">
        <v>2</v>
      </c>
      <c r="C171" t="s">
        <v>429</v>
      </c>
      <c r="D171" t="s">
        <v>430</v>
      </c>
      <c r="E171" t="s">
        <v>428</v>
      </c>
      <c r="F171" t="s">
        <v>428</v>
      </c>
      <c r="G171" t="s">
        <v>60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P171">
        <v>0</v>
      </c>
      <c r="Q171">
        <v>0</v>
      </c>
      <c r="R171">
        <v>0</v>
      </c>
      <c r="S171">
        <v>0</v>
      </c>
    </row>
    <row r="172" spans="1:19" x14ac:dyDescent="0.35">
      <c r="A172" t="s">
        <v>425</v>
      </c>
      <c r="B172">
        <v>3</v>
      </c>
      <c r="C172" t="s">
        <v>431</v>
      </c>
      <c r="D172" t="s">
        <v>432</v>
      </c>
      <c r="E172" t="s">
        <v>428</v>
      </c>
      <c r="F172" t="s">
        <v>428</v>
      </c>
      <c r="G172" t="s">
        <v>60</v>
      </c>
      <c r="H172">
        <v>91603</v>
      </c>
      <c r="I172">
        <v>278.638611111111</v>
      </c>
      <c r="J172">
        <v>328.75199755956203</v>
      </c>
      <c r="K172">
        <v>215.954981512995</v>
      </c>
      <c r="L172">
        <v>424.17636934430902</v>
      </c>
      <c r="M172">
        <v>145.53775823319799</v>
      </c>
      <c r="N172">
        <v>1.52231726842466</v>
      </c>
      <c r="P172">
        <v>0</v>
      </c>
      <c r="Q172">
        <v>0</v>
      </c>
      <c r="R172">
        <v>0</v>
      </c>
      <c r="S172">
        <v>0</v>
      </c>
    </row>
    <row r="173" spans="1:19" x14ac:dyDescent="0.35">
      <c r="A173" t="s">
        <v>425</v>
      </c>
      <c r="B173">
        <v>4</v>
      </c>
      <c r="C173" t="s">
        <v>433</v>
      </c>
      <c r="D173" t="s">
        <v>219</v>
      </c>
      <c r="E173" t="s">
        <v>428</v>
      </c>
      <c r="F173" t="s">
        <v>428</v>
      </c>
      <c r="G173" t="s">
        <v>60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P173">
        <v>0</v>
      </c>
      <c r="Q173">
        <v>0</v>
      </c>
      <c r="R173">
        <v>0</v>
      </c>
      <c r="S173">
        <v>0</v>
      </c>
    </row>
    <row r="174" spans="1:19" x14ac:dyDescent="0.35">
      <c r="A174" t="s">
        <v>425</v>
      </c>
      <c r="B174">
        <v>5</v>
      </c>
      <c r="C174" t="s">
        <v>434</v>
      </c>
      <c r="D174" t="s">
        <v>435</v>
      </c>
      <c r="E174" t="s">
        <v>428</v>
      </c>
      <c r="F174" t="s">
        <v>428</v>
      </c>
      <c r="G174" t="s">
        <v>60</v>
      </c>
      <c r="H174">
        <v>58448</v>
      </c>
      <c r="I174">
        <v>227.94138888888801</v>
      </c>
      <c r="J174">
        <v>256.41679330334603</v>
      </c>
      <c r="K174">
        <v>233.040362201313</v>
      </c>
      <c r="L174">
        <v>250.80633864407201</v>
      </c>
      <c r="M174">
        <v>22.864949755183801</v>
      </c>
      <c r="N174">
        <v>1.1003106538336</v>
      </c>
      <c r="P174">
        <v>0</v>
      </c>
      <c r="Q174">
        <v>0</v>
      </c>
      <c r="R174">
        <v>0</v>
      </c>
      <c r="S174">
        <v>0</v>
      </c>
    </row>
    <row r="175" spans="1:19" x14ac:dyDescent="0.35">
      <c r="A175" t="s">
        <v>425</v>
      </c>
      <c r="B175">
        <v>6</v>
      </c>
      <c r="C175" t="s">
        <v>436</v>
      </c>
      <c r="D175" t="s">
        <v>320</v>
      </c>
      <c r="E175" t="s">
        <v>428</v>
      </c>
      <c r="F175" t="s">
        <v>428</v>
      </c>
      <c r="G175" t="s">
        <v>60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P175">
        <v>0</v>
      </c>
      <c r="Q175">
        <v>0</v>
      </c>
      <c r="R175">
        <v>0</v>
      </c>
      <c r="S175">
        <v>0</v>
      </c>
    </row>
    <row r="176" spans="1:19" x14ac:dyDescent="0.35">
      <c r="A176" t="s">
        <v>425</v>
      </c>
      <c r="B176">
        <v>7</v>
      </c>
      <c r="C176" t="s">
        <v>437</v>
      </c>
      <c r="D176" t="s">
        <v>399</v>
      </c>
      <c r="E176" t="s">
        <v>428</v>
      </c>
      <c r="F176" t="s">
        <v>428</v>
      </c>
      <c r="G176" t="s">
        <v>60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P176">
        <v>0</v>
      </c>
      <c r="Q176">
        <v>0</v>
      </c>
      <c r="R176">
        <v>0</v>
      </c>
      <c r="S176">
        <v>0</v>
      </c>
    </row>
    <row r="177" spans="1:19" x14ac:dyDescent="0.35">
      <c r="A177" t="s">
        <v>425</v>
      </c>
      <c r="B177">
        <v>8</v>
      </c>
      <c r="C177" t="s">
        <v>438</v>
      </c>
      <c r="D177" t="s">
        <v>406</v>
      </c>
      <c r="E177" t="s">
        <v>428</v>
      </c>
      <c r="F177" t="s">
        <v>428</v>
      </c>
      <c r="G177" t="s">
        <v>60</v>
      </c>
      <c r="H177">
        <v>58448</v>
      </c>
      <c r="I177">
        <v>118.48222222222201</v>
      </c>
      <c r="J177">
        <v>493.30607498546402</v>
      </c>
      <c r="K177">
        <v>411.19906685253301</v>
      </c>
      <c r="L177">
        <v>142.14040038413</v>
      </c>
      <c r="M177">
        <v>23.6581781619083</v>
      </c>
      <c r="N177">
        <v>1.1996770293313299</v>
      </c>
      <c r="P177">
        <v>0</v>
      </c>
      <c r="Q177">
        <v>0</v>
      </c>
      <c r="R177">
        <v>0</v>
      </c>
      <c r="S177">
        <v>0</v>
      </c>
    </row>
    <row r="178" spans="1:19" x14ac:dyDescent="0.35">
      <c r="A178" t="s">
        <v>425</v>
      </c>
      <c r="B178">
        <v>9</v>
      </c>
      <c r="C178" t="s">
        <v>439</v>
      </c>
      <c r="D178" t="s">
        <v>419</v>
      </c>
      <c r="E178" t="s">
        <v>428</v>
      </c>
      <c r="F178" t="s">
        <v>428</v>
      </c>
      <c r="G178" t="s">
        <v>270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P178">
        <v>0</v>
      </c>
      <c r="Q178">
        <v>0</v>
      </c>
      <c r="R178">
        <v>0</v>
      </c>
      <c r="S178">
        <v>0</v>
      </c>
    </row>
    <row r="179" spans="1:19" x14ac:dyDescent="0.35">
      <c r="A179" t="s">
        <v>425</v>
      </c>
      <c r="B179">
        <v>10</v>
      </c>
      <c r="C179" t="s">
        <v>440</v>
      </c>
      <c r="D179" t="s">
        <v>441</v>
      </c>
      <c r="E179" t="s">
        <v>428</v>
      </c>
      <c r="F179" t="s">
        <v>428</v>
      </c>
      <c r="G179" t="s">
        <v>60</v>
      </c>
      <c r="H179">
        <v>150051</v>
      </c>
      <c r="I179">
        <v>625.06222222222198</v>
      </c>
      <c r="J179">
        <v>240.057700922219</v>
      </c>
      <c r="K179">
        <v>183.63328421694101</v>
      </c>
      <c r="L179">
        <v>817.12310837251198</v>
      </c>
      <c r="M179">
        <v>192.06088615029</v>
      </c>
      <c r="N179">
        <v>1.30726682772072</v>
      </c>
      <c r="P179">
        <v>0</v>
      </c>
      <c r="Q179">
        <v>0</v>
      </c>
      <c r="R179">
        <v>0</v>
      </c>
      <c r="S179">
        <v>0</v>
      </c>
    </row>
    <row r="180" spans="1:19" x14ac:dyDescent="0.35">
      <c r="A180" t="s">
        <v>442</v>
      </c>
      <c r="B180">
        <v>1</v>
      </c>
      <c r="C180" t="s">
        <v>443</v>
      </c>
      <c r="D180" t="s">
        <v>13</v>
      </c>
      <c r="E180" t="s">
        <v>444</v>
      </c>
      <c r="F180" t="s">
        <v>444</v>
      </c>
      <c r="G180" t="s">
        <v>60</v>
      </c>
      <c r="H180">
        <v>91603</v>
      </c>
      <c r="I180">
        <v>278.638611111111</v>
      </c>
      <c r="J180">
        <v>328.75199755956203</v>
      </c>
      <c r="K180">
        <v>215.954981512995</v>
      </c>
      <c r="L180">
        <v>424.17636934430902</v>
      </c>
      <c r="M180">
        <v>145.53775823319799</v>
      </c>
      <c r="N180">
        <v>1.52231726842466</v>
      </c>
      <c r="P180">
        <v>0</v>
      </c>
      <c r="Q180">
        <v>0</v>
      </c>
      <c r="R180">
        <v>0</v>
      </c>
      <c r="S180">
        <v>0</v>
      </c>
    </row>
    <row r="181" spans="1:19" x14ac:dyDescent="0.35">
      <c r="A181" t="s">
        <v>442</v>
      </c>
      <c r="B181">
        <v>2</v>
      </c>
      <c r="C181" t="s">
        <v>445</v>
      </c>
      <c r="D181" t="s">
        <v>446</v>
      </c>
      <c r="E181" t="s">
        <v>444</v>
      </c>
      <c r="F181" t="s">
        <v>444</v>
      </c>
      <c r="G181" t="s">
        <v>60</v>
      </c>
      <c r="H181">
        <v>58448</v>
      </c>
      <c r="I181">
        <v>227.94138888888801</v>
      </c>
      <c r="J181">
        <v>256.41679330334603</v>
      </c>
      <c r="K181">
        <v>233.040362201313</v>
      </c>
      <c r="L181">
        <v>250.80633864407201</v>
      </c>
      <c r="M181">
        <v>22.864949755183801</v>
      </c>
      <c r="N181">
        <v>1.1003106538336</v>
      </c>
      <c r="P181">
        <v>0</v>
      </c>
      <c r="Q181">
        <v>0</v>
      </c>
      <c r="R181">
        <v>0</v>
      </c>
      <c r="S181">
        <v>0</v>
      </c>
    </row>
    <row r="182" spans="1:19" x14ac:dyDescent="0.35">
      <c r="A182" t="s">
        <v>442</v>
      </c>
      <c r="B182">
        <v>3</v>
      </c>
      <c r="C182" t="s">
        <v>447</v>
      </c>
      <c r="D182" t="s">
        <v>320</v>
      </c>
      <c r="E182" t="s">
        <v>444</v>
      </c>
      <c r="F182" t="s">
        <v>444</v>
      </c>
      <c r="G182" t="s">
        <v>60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P182">
        <v>0</v>
      </c>
      <c r="Q182">
        <v>0</v>
      </c>
      <c r="R182">
        <v>0</v>
      </c>
      <c r="S182">
        <v>0</v>
      </c>
    </row>
    <row r="183" spans="1:19" x14ac:dyDescent="0.35">
      <c r="A183" t="s">
        <v>442</v>
      </c>
      <c r="B183">
        <v>4</v>
      </c>
      <c r="C183" t="s">
        <v>448</v>
      </c>
      <c r="D183" t="s">
        <v>406</v>
      </c>
      <c r="E183" t="s">
        <v>444</v>
      </c>
      <c r="F183" t="s">
        <v>444</v>
      </c>
      <c r="G183" t="s">
        <v>60</v>
      </c>
      <c r="H183">
        <v>58448</v>
      </c>
      <c r="I183">
        <v>118.48222222222201</v>
      </c>
      <c r="J183">
        <v>493.30607498546402</v>
      </c>
      <c r="K183">
        <v>411.19906685253301</v>
      </c>
      <c r="L183">
        <v>142.14040038413</v>
      </c>
      <c r="M183">
        <v>23.6581781619083</v>
      </c>
      <c r="N183">
        <v>1.1996770293313299</v>
      </c>
      <c r="P183">
        <v>0</v>
      </c>
      <c r="Q183">
        <v>0</v>
      </c>
      <c r="R183">
        <v>0</v>
      </c>
      <c r="S183">
        <v>0</v>
      </c>
    </row>
    <row r="184" spans="1:19" x14ac:dyDescent="0.35">
      <c r="A184" t="s">
        <v>442</v>
      </c>
      <c r="B184">
        <v>5</v>
      </c>
      <c r="C184" t="s">
        <v>449</v>
      </c>
      <c r="D184" t="s">
        <v>419</v>
      </c>
      <c r="E184" t="s">
        <v>444</v>
      </c>
      <c r="F184" t="s">
        <v>444</v>
      </c>
      <c r="G184" t="s">
        <v>270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P184">
        <v>0</v>
      </c>
      <c r="Q184">
        <v>0</v>
      </c>
      <c r="R184">
        <v>0</v>
      </c>
      <c r="S184">
        <v>0</v>
      </c>
    </row>
    <row r="185" spans="1:19" x14ac:dyDescent="0.35">
      <c r="A185" t="s">
        <v>442</v>
      </c>
      <c r="B185">
        <v>6</v>
      </c>
      <c r="C185" t="s">
        <v>450</v>
      </c>
      <c r="D185" t="s">
        <v>441</v>
      </c>
      <c r="E185" t="s">
        <v>444</v>
      </c>
      <c r="F185" t="s">
        <v>444</v>
      </c>
      <c r="G185" t="s">
        <v>60</v>
      </c>
      <c r="H185">
        <v>150051</v>
      </c>
      <c r="I185">
        <v>625.06222222222198</v>
      </c>
      <c r="J185">
        <v>240.057700922219</v>
      </c>
      <c r="K185">
        <v>183.63328421694101</v>
      </c>
      <c r="L185">
        <v>817.12310837251198</v>
      </c>
      <c r="M185">
        <v>192.06088615029</v>
      </c>
      <c r="N185">
        <v>1.30726682772072</v>
      </c>
      <c r="P185">
        <v>0</v>
      </c>
      <c r="Q185">
        <v>0</v>
      </c>
      <c r="R185">
        <v>0</v>
      </c>
      <c r="S185">
        <v>0</v>
      </c>
    </row>
    <row r="186" spans="1:19" x14ac:dyDescent="0.35">
      <c r="A186" t="s">
        <v>34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B18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  <col min="3" max="3" width="34.81640625" bestFit="1" customWidth="1"/>
  </cols>
  <sheetData>
    <row r="1" spans="1:2" x14ac:dyDescent="0.35">
      <c r="A1" t="s">
        <v>475</v>
      </c>
      <c r="B1" t="s">
        <v>476</v>
      </c>
    </row>
    <row r="2" spans="1:2" x14ac:dyDescent="0.35">
      <c r="A2" t="s">
        <v>477</v>
      </c>
      <c r="B2" t="s">
        <v>624</v>
      </c>
    </row>
    <row r="3" spans="1:2" x14ac:dyDescent="0.35">
      <c r="A3" t="s">
        <v>478</v>
      </c>
      <c r="B3" t="s">
        <v>479</v>
      </c>
    </row>
    <row r="4" spans="1:2" x14ac:dyDescent="0.35">
      <c r="A4" t="s">
        <v>480</v>
      </c>
      <c r="B4">
        <v>1569</v>
      </c>
    </row>
    <row r="5" spans="1:2" x14ac:dyDescent="0.35">
      <c r="A5" t="s">
        <v>481</v>
      </c>
      <c r="B5">
        <v>1829.42857142857</v>
      </c>
    </row>
    <row r="6" spans="1:2" x14ac:dyDescent="0.35">
      <c r="A6" t="s">
        <v>482</v>
      </c>
      <c r="B6">
        <v>2248</v>
      </c>
    </row>
    <row r="7" spans="1:2" x14ac:dyDescent="0.35">
      <c r="A7" t="s">
        <v>625</v>
      </c>
      <c r="B7">
        <v>1623</v>
      </c>
    </row>
    <row r="8" spans="1:2" x14ac:dyDescent="0.35">
      <c r="A8" t="s">
        <v>626</v>
      </c>
      <c r="B8">
        <v>2184</v>
      </c>
    </row>
    <row r="9" spans="1:2" x14ac:dyDescent="0.35">
      <c r="A9" t="s">
        <v>627</v>
      </c>
      <c r="B9">
        <v>1581</v>
      </c>
    </row>
    <row r="10" spans="1:2" x14ac:dyDescent="0.35">
      <c r="A10" t="s">
        <v>628</v>
      </c>
      <c r="B10">
        <v>2248</v>
      </c>
    </row>
    <row r="11" spans="1:2" x14ac:dyDescent="0.35">
      <c r="A11" t="s">
        <v>629</v>
      </c>
      <c r="B11">
        <v>1569</v>
      </c>
    </row>
    <row r="12" spans="1:2" x14ac:dyDescent="0.35">
      <c r="A12" t="s">
        <v>630</v>
      </c>
      <c r="B12">
        <v>1812</v>
      </c>
    </row>
    <row r="13" spans="1:2" x14ac:dyDescent="0.35">
      <c r="A13" t="s">
        <v>631</v>
      </c>
      <c r="B13">
        <v>1789</v>
      </c>
    </row>
    <row r="14" spans="1:2" x14ac:dyDescent="0.35">
      <c r="A14" t="s">
        <v>632</v>
      </c>
    </row>
    <row r="15" spans="1:2" x14ac:dyDescent="0.35">
      <c r="A15" t="s">
        <v>633</v>
      </c>
    </row>
    <row r="16" spans="1:2" x14ac:dyDescent="0.35">
      <c r="A16" t="s">
        <v>634</v>
      </c>
    </row>
    <row r="17" spans="1:1" x14ac:dyDescent="0.35">
      <c r="A17" t="s">
        <v>635</v>
      </c>
    </row>
    <row r="18" spans="1:1" x14ac:dyDescent="0.35">
      <c r="A18" t="s">
        <v>34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R226"/>
  <sheetViews>
    <sheetView workbookViewId="0">
      <selection sqref="A1:A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3.90625" bestFit="1" customWidth="1"/>
    <col min="6" max="6" width="18.816406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5.81640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>
    <row r="1" spans="1:18" x14ac:dyDescent="0.35">
      <c r="A1" t="s">
        <v>451</v>
      </c>
      <c r="B1" t="s">
        <v>452</v>
      </c>
      <c r="C1" t="s">
        <v>453</v>
      </c>
      <c r="D1" t="s">
        <v>454</v>
      </c>
      <c r="E1" t="s">
        <v>455</v>
      </c>
      <c r="F1" t="s">
        <v>456</v>
      </c>
      <c r="G1" t="s">
        <v>457</v>
      </c>
      <c r="H1" t="s">
        <v>458</v>
      </c>
      <c r="I1" t="s">
        <v>459</v>
      </c>
      <c r="J1" t="s">
        <v>460</v>
      </c>
      <c r="K1" t="s">
        <v>461</v>
      </c>
      <c r="L1" t="s">
        <v>462</v>
      </c>
      <c r="M1" t="s">
        <v>463</v>
      </c>
      <c r="N1" t="s">
        <v>464</v>
      </c>
      <c r="O1" t="s">
        <v>41</v>
      </c>
      <c r="P1" t="s">
        <v>465</v>
      </c>
      <c r="Q1" t="s">
        <v>466</v>
      </c>
      <c r="R1" t="s">
        <v>467</v>
      </c>
    </row>
    <row r="2" spans="1:18" x14ac:dyDescent="0.35">
      <c r="A2" t="s">
        <v>197</v>
      </c>
      <c r="B2" t="s">
        <v>483</v>
      </c>
      <c r="C2" t="s">
        <v>493</v>
      </c>
      <c r="D2">
        <v>100633196</v>
      </c>
      <c r="E2" t="s">
        <v>530</v>
      </c>
      <c r="F2" t="s">
        <v>497</v>
      </c>
      <c r="G2">
        <v>0.21</v>
      </c>
      <c r="H2">
        <v>6.14</v>
      </c>
      <c r="I2">
        <v>0</v>
      </c>
      <c r="J2">
        <v>0</v>
      </c>
      <c r="K2">
        <v>6.34</v>
      </c>
      <c r="L2" t="s">
        <v>487</v>
      </c>
      <c r="M2">
        <v>311</v>
      </c>
      <c r="N2">
        <v>49.02</v>
      </c>
      <c r="O2" t="s">
        <v>60</v>
      </c>
      <c r="P2" t="s">
        <v>488</v>
      </c>
      <c r="Q2">
        <v>269</v>
      </c>
      <c r="R2">
        <v>1303.3599999999999</v>
      </c>
    </row>
    <row r="3" spans="1:18" x14ac:dyDescent="0.35">
      <c r="A3" t="s">
        <v>197</v>
      </c>
      <c r="B3" t="s">
        <v>483</v>
      </c>
      <c r="C3" t="s">
        <v>493</v>
      </c>
      <c r="D3">
        <v>100633196</v>
      </c>
      <c r="E3" t="s">
        <v>530</v>
      </c>
      <c r="F3" t="s">
        <v>497</v>
      </c>
      <c r="G3">
        <v>0.21</v>
      </c>
      <c r="H3">
        <v>6.14</v>
      </c>
      <c r="I3">
        <v>0</v>
      </c>
      <c r="J3">
        <v>0</v>
      </c>
      <c r="K3">
        <v>6.34</v>
      </c>
      <c r="L3" t="s">
        <v>487</v>
      </c>
      <c r="M3">
        <v>311</v>
      </c>
      <c r="N3">
        <v>49.02</v>
      </c>
      <c r="O3" t="s">
        <v>60</v>
      </c>
      <c r="P3" t="s">
        <v>489</v>
      </c>
      <c r="Q3">
        <v>1443</v>
      </c>
      <c r="R3">
        <v>235.09</v>
      </c>
    </row>
    <row r="4" spans="1:18" x14ac:dyDescent="0.35">
      <c r="A4" t="s">
        <v>197</v>
      </c>
      <c r="B4" t="s">
        <v>483</v>
      </c>
      <c r="C4" t="s">
        <v>493</v>
      </c>
      <c r="D4">
        <v>100633196</v>
      </c>
      <c r="E4" t="s">
        <v>530</v>
      </c>
      <c r="F4" t="s">
        <v>497</v>
      </c>
      <c r="G4">
        <v>0.21</v>
      </c>
      <c r="H4">
        <v>6.14</v>
      </c>
      <c r="I4">
        <v>0</v>
      </c>
      <c r="J4">
        <v>0</v>
      </c>
      <c r="K4">
        <v>6.34</v>
      </c>
      <c r="L4" t="s">
        <v>487</v>
      </c>
      <c r="M4">
        <v>311</v>
      </c>
      <c r="N4">
        <v>49.02</v>
      </c>
      <c r="O4" t="s">
        <v>60</v>
      </c>
      <c r="P4" t="s">
        <v>490</v>
      </c>
      <c r="Q4">
        <v>0</v>
      </c>
      <c r="R4">
        <v>0</v>
      </c>
    </row>
    <row r="5" spans="1:18" x14ac:dyDescent="0.35">
      <c r="A5" t="s">
        <v>197</v>
      </c>
      <c r="B5" t="s">
        <v>483</v>
      </c>
      <c r="C5" t="s">
        <v>493</v>
      </c>
      <c r="D5">
        <v>100633196</v>
      </c>
      <c r="E5" t="s">
        <v>530</v>
      </c>
      <c r="F5" t="s">
        <v>497</v>
      </c>
      <c r="G5">
        <v>0.21</v>
      </c>
      <c r="H5">
        <v>6.14</v>
      </c>
      <c r="I5">
        <v>0</v>
      </c>
      <c r="J5">
        <v>0</v>
      </c>
      <c r="K5">
        <v>6.34</v>
      </c>
      <c r="L5" t="s">
        <v>487</v>
      </c>
      <c r="M5">
        <v>311</v>
      </c>
      <c r="N5">
        <v>49.02</v>
      </c>
      <c r="O5" t="s">
        <v>60</v>
      </c>
      <c r="P5" t="s">
        <v>491</v>
      </c>
      <c r="Q5">
        <v>0</v>
      </c>
      <c r="R5">
        <v>0</v>
      </c>
    </row>
    <row r="6" spans="1:18" x14ac:dyDescent="0.35">
      <c r="A6" t="s">
        <v>197</v>
      </c>
      <c r="B6" t="s">
        <v>483</v>
      </c>
      <c r="C6" t="s">
        <v>493</v>
      </c>
      <c r="D6">
        <v>100633196</v>
      </c>
      <c r="E6" t="s">
        <v>530</v>
      </c>
      <c r="F6" t="s">
        <v>497</v>
      </c>
      <c r="G6">
        <v>0.21</v>
      </c>
      <c r="H6">
        <v>6.14</v>
      </c>
      <c r="I6">
        <v>0</v>
      </c>
      <c r="J6">
        <v>0</v>
      </c>
      <c r="K6">
        <v>6.34</v>
      </c>
      <c r="L6" t="s">
        <v>487</v>
      </c>
      <c r="M6">
        <v>311</v>
      </c>
      <c r="N6">
        <v>49.02</v>
      </c>
      <c r="O6" t="s">
        <v>60</v>
      </c>
      <c r="P6" t="s">
        <v>492</v>
      </c>
      <c r="Q6">
        <v>1712</v>
      </c>
      <c r="R6">
        <v>269.83</v>
      </c>
    </row>
    <row r="7" spans="1:18" x14ac:dyDescent="0.35">
      <c r="A7" t="s">
        <v>197</v>
      </c>
      <c r="B7" t="s">
        <v>483</v>
      </c>
      <c r="C7" t="s">
        <v>493</v>
      </c>
      <c r="D7">
        <v>100633196</v>
      </c>
      <c r="E7" t="s">
        <v>530</v>
      </c>
      <c r="F7" t="s">
        <v>497</v>
      </c>
      <c r="G7">
        <v>0.21</v>
      </c>
      <c r="H7">
        <v>6.14</v>
      </c>
      <c r="I7">
        <v>0</v>
      </c>
      <c r="J7">
        <v>0</v>
      </c>
      <c r="K7">
        <v>6.34</v>
      </c>
      <c r="L7" t="s">
        <v>487</v>
      </c>
      <c r="M7">
        <v>311</v>
      </c>
      <c r="N7">
        <v>49.02</v>
      </c>
      <c r="O7" t="s">
        <v>81</v>
      </c>
      <c r="P7" t="s">
        <v>492</v>
      </c>
      <c r="Q7">
        <v>312</v>
      </c>
      <c r="R7">
        <v>49.17</v>
      </c>
    </row>
    <row r="8" spans="1:18" x14ac:dyDescent="0.35">
      <c r="A8" t="s">
        <v>197</v>
      </c>
      <c r="B8" t="s">
        <v>483</v>
      </c>
      <c r="C8" t="s">
        <v>493</v>
      </c>
      <c r="D8">
        <v>100633196</v>
      </c>
      <c r="E8" t="s">
        <v>530</v>
      </c>
      <c r="F8" t="s">
        <v>497</v>
      </c>
      <c r="G8">
        <v>0.21</v>
      </c>
      <c r="H8">
        <v>6.14</v>
      </c>
      <c r="I8">
        <v>0</v>
      </c>
      <c r="J8">
        <v>0</v>
      </c>
      <c r="K8">
        <v>6.34</v>
      </c>
      <c r="L8" t="s">
        <v>487</v>
      </c>
      <c r="M8">
        <v>311</v>
      </c>
      <c r="N8">
        <v>49.02</v>
      </c>
      <c r="O8" t="s">
        <v>85</v>
      </c>
      <c r="P8" t="s">
        <v>492</v>
      </c>
      <c r="Q8">
        <v>0</v>
      </c>
      <c r="R8">
        <v>0</v>
      </c>
    </row>
    <row r="9" spans="1:18" x14ac:dyDescent="0.35">
      <c r="A9" t="s">
        <v>197</v>
      </c>
      <c r="B9" t="s">
        <v>483</v>
      </c>
      <c r="C9" t="s">
        <v>484</v>
      </c>
      <c r="D9">
        <v>100753604</v>
      </c>
      <c r="E9" t="s">
        <v>485</v>
      </c>
      <c r="F9" t="s">
        <v>486</v>
      </c>
      <c r="G9">
        <v>0.57999999999999996</v>
      </c>
      <c r="H9">
        <v>5.69</v>
      </c>
      <c r="I9">
        <v>0</v>
      </c>
      <c r="J9">
        <v>0</v>
      </c>
      <c r="K9">
        <v>6.28</v>
      </c>
      <c r="L9" t="s">
        <v>487</v>
      </c>
      <c r="M9">
        <v>198</v>
      </c>
      <c r="N9">
        <v>31.54</v>
      </c>
      <c r="O9" t="s">
        <v>60</v>
      </c>
      <c r="P9" t="s">
        <v>488</v>
      </c>
      <c r="Q9">
        <v>1026</v>
      </c>
      <c r="R9">
        <v>1758.86</v>
      </c>
    </row>
    <row r="10" spans="1:18" x14ac:dyDescent="0.35">
      <c r="A10" t="s">
        <v>197</v>
      </c>
      <c r="B10" t="s">
        <v>483</v>
      </c>
      <c r="C10" t="s">
        <v>484</v>
      </c>
      <c r="D10">
        <v>100753604</v>
      </c>
      <c r="E10" t="s">
        <v>485</v>
      </c>
      <c r="F10" t="s">
        <v>486</v>
      </c>
      <c r="G10">
        <v>0.57999999999999996</v>
      </c>
      <c r="H10">
        <v>5.69</v>
      </c>
      <c r="I10">
        <v>0</v>
      </c>
      <c r="J10">
        <v>0</v>
      </c>
      <c r="K10">
        <v>6.28</v>
      </c>
      <c r="L10" t="s">
        <v>487</v>
      </c>
      <c r="M10">
        <v>198</v>
      </c>
      <c r="N10">
        <v>31.54</v>
      </c>
      <c r="O10" t="s">
        <v>60</v>
      </c>
      <c r="P10" t="s">
        <v>489</v>
      </c>
      <c r="Q10">
        <v>1806</v>
      </c>
      <c r="R10">
        <v>317.14999999999998</v>
      </c>
    </row>
    <row r="11" spans="1:18" x14ac:dyDescent="0.35">
      <c r="A11" t="s">
        <v>197</v>
      </c>
      <c r="B11" t="s">
        <v>483</v>
      </c>
      <c r="C11" t="s">
        <v>484</v>
      </c>
      <c r="D11">
        <v>100753604</v>
      </c>
      <c r="E11" t="s">
        <v>485</v>
      </c>
      <c r="F11" t="s">
        <v>486</v>
      </c>
      <c r="G11">
        <v>0.57999999999999996</v>
      </c>
      <c r="H11">
        <v>5.69</v>
      </c>
      <c r="I11">
        <v>0</v>
      </c>
      <c r="J11">
        <v>0</v>
      </c>
      <c r="K11">
        <v>6.28</v>
      </c>
      <c r="L11" t="s">
        <v>487</v>
      </c>
      <c r="M11">
        <v>198</v>
      </c>
      <c r="N11">
        <v>31.54</v>
      </c>
      <c r="O11" t="s">
        <v>60</v>
      </c>
      <c r="P11" t="s">
        <v>490</v>
      </c>
      <c r="Q11">
        <v>0</v>
      </c>
      <c r="R11">
        <v>0</v>
      </c>
    </row>
    <row r="12" spans="1:18" x14ac:dyDescent="0.35">
      <c r="A12" t="s">
        <v>197</v>
      </c>
      <c r="B12" t="s">
        <v>483</v>
      </c>
      <c r="C12" t="s">
        <v>484</v>
      </c>
      <c r="D12">
        <v>100753604</v>
      </c>
      <c r="E12" t="s">
        <v>485</v>
      </c>
      <c r="F12" t="s">
        <v>486</v>
      </c>
      <c r="G12">
        <v>0.57999999999999996</v>
      </c>
      <c r="H12">
        <v>5.69</v>
      </c>
      <c r="I12">
        <v>0</v>
      </c>
      <c r="J12">
        <v>0</v>
      </c>
      <c r="K12">
        <v>6.28</v>
      </c>
      <c r="L12" t="s">
        <v>487</v>
      </c>
      <c r="M12">
        <v>198</v>
      </c>
      <c r="N12">
        <v>31.54</v>
      </c>
      <c r="O12" t="s">
        <v>60</v>
      </c>
      <c r="P12" t="s">
        <v>491</v>
      </c>
      <c r="Q12">
        <v>0</v>
      </c>
      <c r="R12">
        <v>0</v>
      </c>
    </row>
    <row r="13" spans="1:18" x14ac:dyDescent="0.35">
      <c r="A13" t="s">
        <v>197</v>
      </c>
      <c r="B13" t="s">
        <v>483</v>
      </c>
      <c r="C13" t="s">
        <v>484</v>
      </c>
      <c r="D13">
        <v>100753604</v>
      </c>
      <c r="E13" t="s">
        <v>485</v>
      </c>
      <c r="F13" t="s">
        <v>486</v>
      </c>
      <c r="G13">
        <v>0.57999999999999996</v>
      </c>
      <c r="H13">
        <v>5.69</v>
      </c>
      <c r="I13">
        <v>0</v>
      </c>
      <c r="J13">
        <v>0</v>
      </c>
      <c r="K13">
        <v>6.28</v>
      </c>
      <c r="L13" t="s">
        <v>487</v>
      </c>
      <c r="M13">
        <v>198</v>
      </c>
      <c r="N13">
        <v>31.54</v>
      </c>
      <c r="O13" t="s">
        <v>60</v>
      </c>
      <c r="P13" t="s">
        <v>492</v>
      </c>
      <c r="Q13">
        <v>2832</v>
      </c>
      <c r="R13">
        <v>451.1</v>
      </c>
    </row>
    <row r="14" spans="1:18" x14ac:dyDescent="0.35">
      <c r="A14" t="s">
        <v>197</v>
      </c>
      <c r="B14" t="s">
        <v>483</v>
      </c>
      <c r="C14" t="s">
        <v>484</v>
      </c>
      <c r="D14">
        <v>100753604</v>
      </c>
      <c r="E14" t="s">
        <v>485</v>
      </c>
      <c r="F14" t="s">
        <v>486</v>
      </c>
      <c r="G14">
        <v>0.57999999999999996</v>
      </c>
      <c r="H14">
        <v>5.69</v>
      </c>
      <c r="I14">
        <v>0</v>
      </c>
      <c r="J14">
        <v>0</v>
      </c>
      <c r="K14">
        <v>6.28</v>
      </c>
      <c r="L14" t="s">
        <v>487</v>
      </c>
      <c r="M14">
        <v>198</v>
      </c>
      <c r="N14">
        <v>31.54</v>
      </c>
      <c r="O14" t="s">
        <v>81</v>
      </c>
      <c r="P14" t="s">
        <v>492</v>
      </c>
      <c r="Q14">
        <v>198</v>
      </c>
      <c r="R14">
        <v>31.54</v>
      </c>
    </row>
    <row r="15" spans="1:18" x14ac:dyDescent="0.35">
      <c r="A15" t="s">
        <v>197</v>
      </c>
      <c r="B15" t="s">
        <v>483</v>
      </c>
      <c r="C15" t="s">
        <v>484</v>
      </c>
      <c r="D15">
        <v>100753604</v>
      </c>
      <c r="E15" t="s">
        <v>485</v>
      </c>
      <c r="F15" t="s">
        <v>486</v>
      </c>
      <c r="G15">
        <v>0.57999999999999996</v>
      </c>
      <c r="H15">
        <v>5.69</v>
      </c>
      <c r="I15">
        <v>0</v>
      </c>
      <c r="J15">
        <v>0</v>
      </c>
      <c r="K15">
        <v>6.28</v>
      </c>
      <c r="L15" t="s">
        <v>487</v>
      </c>
      <c r="M15">
        <v>198</v>
      </c>
      <c r="N15">
        <v>31.54</v>
      </c>
      <c r="O15" t="s">
        <v>85</v>
      </c>
      <c r="P15" t="s">
        <v>492</v>
      </c>
      <c r="Q15">
        <v>0</v>
      </c>
      <c r="R15">
        <v>0</v>
      </c>
    </row>
    <row r="16" spans="1:18" x14ac:dyDescent="0.35">
      <c r="A16" t="s">
        <v>197</v>
      </c>
      <c r="B16" t="s">
        <v>483</v>
      </c>
      <c r="C16" t="s">
        <v>493</v>
      </c>
      <c r="D16">
        <v>101446428</v>
      </c>
      <c r="E16" t="s">
        <v>531</v>
      </c>
      <c r="F16" t="s">
        <v>497</v>
      </c>
      <c r="G16">
        <v>0.56999999999999995</v>
      </c>
      <c r="H16">
        <v>5.76</v>
      </c>
      <c r="I16">
        <v>0</v>
      </c>
      <c r="J16">
        <v>0</v>
      </c>
      <c r="K16">
        <v>6.33</v>
      </c>
      <c r="L16" t="s">
        <v>487</v>
      </c>
      <c r="M16">
        <v>227</v>
      </c>
      <c r="N16">
        <v>35.869999999999997</v>
      </c>
      <c r="O16" t="s">
        <v>60</v>
      </c>
      <c r="P16" t="s">
        <v>488</v>
      </c>
      <c r="Q16">
        <v>1070</v>
      </c>
      <c r="R16">
        <v>1879.94</v>
      </c>
    </row>
    <row r="17" spans="1:18" x14ac:dyDescent="0.35">
      <c r="A17" t="s">
        <v>197</v>
      </c>
      <c r="B17" t="s">
        <v>483</v>
      </c>
      <c r="C17" t="s">
        <v>493</v>
      </c>
      <c r="D17">
        <v>101446428</v>
      </c>
      <c r="E17" t="s">
        <v>531</v>
      </c>
      <c r="F17" t="s">
        <v>497</v>
      </c>
      <c r="G17">
        <v>0.56999999999999995</v>
      </c>
      <c r="H17">
        <v>5.76</v>
      </c>
      <c r="I17">
        <v>0</v>
      </c>
      <c r="J17">
        <v>0</v>
      </c>
      <c r="K17">
        <v>6.33</v>
      </c>
      <c r="L17" t="s">
        <v>487</v>
      </c>
      <c r="M17">
        <v>227</v>
      </c>
      <c r="N17">
        <v>35.869999999999997</v>
      </c>
      <c r="O17" t="s">
        <v>60</v>
      </c>
      <c r="P17" t="s">
        <v>489</v>
      </c>
      <c r="Q17">
        <v>1952</v>
      </c>
      <c r="R17">
        <v>338.97</v>
      </c>
    </row>
    <row r="18" spans="1:18" x14ac:dyDescent="0.35">
      <c r="A18" t="s">
        <v>197</v>
      </c>
      <c r="B18" t="s">
        <v>483</v>
      </c>
      <c r="C18" t="s">
        <v>493</v>
      </c>
      <c r="D18">
        <v>101446428</v>
      </c>
      <c r="E18" t="s">
        <v>531</v>
      </c>
      <c r="F18" t="s">
        <v>497</v>
      </c>
      <c r="G18">
        <v>0.56999999999999995</v>
      </c>
      <c r="H18">
        <v>5.76</v>
      </c>
      <c r="I18">
        <v>0</v>
      </c>
      <c r="J18">
        <v>0</v>
      </c>
      <c r="K18">
        <v>6.33</v>
      </c>
      <c r="L18" t="s">
        <v>487</v>
      </c>
      <c r="M18">
        <v>227</v>
      </c>
      <c r="N18">
        <v>35.869999999999997</v>
      </c>
      <c r="O18" t="s">
        <v>60</v>
      </c>
      <c r="P18" t="s">
        <v>490</v>
      </c>
      <c r="Q18">
        <v>0</v>
      </c>
      <c r="R18">
        <v>0</v>
      </c>
    </row>
    <row r="19" spans="1:18" x14ac:dyDescent="0.35">
      <c r="A19" t="s">
        <v>197</v>
      </c>
      <c r="B19" t="s">
        <v>483</v>
      </c>
      <c r="C19" t="s">
        <v>493</v>
      </c>
      <c r="D19">
        <v>101446428</v>
      </c>
      <c r="E19" t="s">
        <v>531</v>
      </c>
      <c r="F19" t="s">
        <v>497</v>
      </c>
      <c r="G19">
        <v>0.56999999999999995</v>
      </c>
      <c r="H19">
        <v>5.76</v>
      </c>
      <c r="I19">
        <v>0</v>
      </c>
      <c r="J19">
        <v>0</v>
      </c>
      <c r="K19">
        <v>6.33</v>
      </c>
      <c r="L19" t="s">
        <v>487</v>
      </c>
      <c r="M19">
        <v>227</v>
      </c>
      <c r="N19">
        <v>35.869999999999997</v>
      </c>
      <c r="O19" t="s">
        <v>60</v>
      </c>
      <c r="P19" t="s">
        <v>491</v>
      </c>
      <c r="Q19">
        <v>0</v>
      </c>
      <c r="R19">
        <v>0</v>
      </c>
    </row>
    <row r="20" spans="1:18" x14ac:dyDescent="0.35">
      <c r="A20" t="s">
        <v>197</v>
      </c>
      <c r="B20" t="s">
        <v>483</v>
      </c>
      <c r="C20" t="s">
        <v>493</v>
      </c>
      <c r="D20">
        <v>101446428</v>
      </c>
      <c r="E20" t="s">
        <v>531</v>
      </c>
      <c r="F20" t="s">
        <v>497</v>
      </c>
      <c r="G20">
        <v>0.56999999999999995</v>
      </c>
      <c r="H20">
        <v>5.76</v>
      </c>
      <c r="I20">
        <v>0</v>
      </c>
      <c r="J20">
        <v>0</v>
      </c>
      <c r="K20">
        <v>6.33</v>
      </c>
      <c r="L20" t="s">
        <v>487</v>
      </c>
      <c r="M20">
        <v>227</v>
      </c>
      <c r="N20">
        <v>35.869999999999997</v>
      </c>
      <c r="O20" t="s">
        <v>60</v>
      </c>
      <c r="P20" t="s">
        <v>492</v>
      </c>
      <c r="Q20">
        <v>3022</v>
      </c>
      <c r="R20">
        <v>477.56</v>
      </c>
    </row>
    <row r="21" spans="1:18" x14ac:dyDescent="0.35">
      <c r="A21" t="s">
        <v>197</v>
      </c>
      <c r="B21" t="s">
        <v>483</v>
      </c>
      <c r="C21" t="s">
        <v>493</v>
      </c>
      <c r="D21">
        <v>101446428</v>
      </c>
      <c r="E21" t="s">
        <v>531</v>
      </c>
      <c r="F21" t="s">
        <v>497</v>
      </c>
      <c r="G21">
        <v>0.56999999999999995</v>
      </c>
      <c r="H21">
        <v>5.76</v>
      </c>
      <c r="I21">
        <v>0</v>
      </c>
      <c r="J21">
        <v>0</v>
      </c>
      <c r="K21">
        <v>6.33</v>
      </c>
      <c r="L21" t="s">
        <v>487</v>
      </c>
      <c r="M21">
        <v>227</v>
      </c>
      <c r="N21">
        <v>35.869999999999997</v>
      </c>
      <c r="O21" t="s">
        <v>81</v>
      </c>
      <c r="P21" t="s">
        <v>492</v>
      </c>
      <c r="Q21">
        <v>227</v>
      </c>
      <c r="R21">
        <v>35.869999999999997</v>
      </c>
    </row>
    <row r="22" spans="1:18" x14ac:dyDescent="0.35">
      <c r="A22" t="s">
        <v>197</v>
      </c>
      <c r="B22" t="s">
        <v>483</v>
      </c>
      <c r="C22" t="s">
        <v>493</v>
      </c>
      <c r="D22">
        <v>101446428</v>
      </c>
      <c r="E22" t="s">
        <v>531</v>
      </c>
      <c r="F22" t="s">
        <v>497</v>
      </c>
      <c r="G22">
        <v>0.56999999999999995</v>
      </c>
      <c r="H22">
        <v>5.76</v>
      </c>
      <c r="I22">
        <v>0</v>
      </c>
      <c r="J22">
        <v>0</v>
      </c>
      <c r="K22">
        <v>6.33</v>
      </c>
      <c r="L22" t="s">
        <v>487</v>
      </c>
      <c r="M22">
        <v>227</v>
      </c>
      <c r="N22">
        <v>35.869999999999997</v>
      </c>
      <c r="O22" t="s">
        <v>85</v>
      </c>
      <c r="P22" t="s">
        <v>492</v>
      </c>
      <c r="Q22">
        <v>0</v>
      </c>
      <c r="R22">
        <v>0</v>
      </c>
    </row>
    <row r="23" spans="1:18" x14ac:dyDescent="0.35">
      <c r="A23" t="s">
        <v>197</v>
      </c>
      <c r="B23" t="s">
        <v>483</v>
      </c>
      <c r="C23" t="s">
        <v>484</v>
      </c>
      <c r="D23">
        <v>101750120</v>
      </c>
      <c r="E23" t="s">
        <v>591</v>
      </c>
      <c r="F23" t="s">
        <v>486</v>
      </c>
      <c r="G23">
        <v>0.18</v>
      </c>
      <c r="H23">
        <v>4.4000000000000004</v>
      </c>
      <c r="I23">
        <v>0</v>
      </c>
      <c r="J23">
        <v>0</v>
      </c>
      <c r="K23">
        <v>4.58</v>
      </c>
      <c r="L23" t="s">
        <v>487</v>
      </c>
      <c r="M23">
        <v>140</v>
      </c>
      <c r="N23">
        <v>30.55</v>
      </c>
      <c r="O23" t="s">
        <v>60</v>
      </c>
      <c r="P23" t="s">
        <v>488</v>
      </c>
      <c r="Q23">
        <v>258</v>
      </c>
      <c r="R23">
        <v>1435.55</v>
      </c>
    </row>
    <row r="24" spans="1:18" x14ac:dyDescent="0.35">
      <c r="A24" t="s">
        <v>197</v>
      </c>
      <c r="B24" t="s">
        <v>483</v>
      </c>
      <c r="C24" t="s">
        <v>484</v>
      </c>
      <c r="D24">
        <v>101750120</v>
      </c>
      <c r="E24" t="s">
        <v>591</v>
      </c>
      <c r="F24" t="s">
        <v>486</v>
      </c>
      <c r="G24">
        <v>0.18</v>
      </c>
      <c r="H24">
        <v>4.4000000000000004</v>
      </c>
      <c r="I24">
        <v>0</v>
      </c>
      <c r="J24">
        <v>0</v>
      </c>
      <c r="K24">
        <v>4.58</v>
      </c>
      <c r="L24" t="s">
        <v>487</v>
      </c>
      <c r="M24">
        <v>140</v>
      </c>
      <c r="N24">
        <v>30.55</v>
      </c>
      <c r="O24" t="s">
        <v>60</v>
      </c>
      <c r="P24" t="s">
        <v>489</v>
      </c>
      <c r="Q24">
        <v>1139</v>
      </c>
      <c r="R24">
        <v>258.67</v>
      </c>
    </row>
    <row r="25" spans="1:18" x14ac:dyDescent="0.35">
      <c r="A25" t="s">
        <v>197</v>
      </c>
      <c r="B25" t="s">
        <v>483</v>
      </c>
      <c r="C25" t="s">
        <v>484</v>
      </c>
      <c r="D25">
        <v>101750120</v>
      </c>
      <c r="E25" t="s">
        <v>591</v>
      </c>
      <c r="F25" t="s">
        <v>486</v>
      </c>
      <c r="G25">
        <v>0.18</v>
      </c>
      <c r="H25">
        <v>4.4000000000000004</v>
      </c>
      <c r="I25">
        <v>0</v>
      </c>
      <c r="J25">
        <v>0</v>
      </c>
      <c r="K25">
        <v>4.58</v>
      </c>
      <c r="L25" t="s">
        <v>487</v>
      </c>
      <c r="M25">
        <v>140</v>
      </c>
      <c r="N25">
        <v>30.55</v>
      </c>
      <c r="O25" t="s">
        <v>60</v>
      </c>
      <c r="P25" t="s">
        <v>490</v>
      </c>
      <c r="Q25">
        <v>0</v>
      </c>
      <c r="R25">
        <v>0</v>
      </c>
    </row>
    <row r="26" spans="1:18" x14ac:dyDescent="0.35">
      <c r="A26" t="s">
        <v>197</v>
      </c>
      <c r="B26" t="s">
        <v>483</v>
      </c>
      <c r="C26" t="s">
        <v>484</v>
      </c>
      <c r="D26">
        <v>101750120</v>
      </c>
      <c r="E26" t="s">
        <v>591</v>
      </c>
      <c r="F26" t="s">
        <v>486</v>
      </c>
      <c r="G26">
        <v>0.18</v>
      </c>
      <c r="H26">
        <v>4.4000000000000004</v>
      </c>
      <c r="I26">
        <v>0</v>
      </c>
      <c r="J26">
        <v>0</v>
      </c>
      <c r="K26">
        <v>4.58</v>
      </c>
      <c r="L26" t="s">
        <v>487</v>
      </c>
      <c r="M26">
        <v>140</v>
      </c>
      <c r="N26">
        <v>30.55</v>
      </c>
      <c r="O26" t="s">
        <v>60</v>
      </c>
      <c r="P26" t="s">
        <v>491</v>
      </c>
      <c r="Q26">
        <v>0</v>
      </c>
      <c r="R26">
        <v>0</v>
      </c>
    </row>
    <row r="27" spans="1:18" x14ac:dyDescent="0.35">
      <c r="A27" t="s">
        <v>197</v>
      </c>
      <c r="B27" t="s">
        <v>483</v>
      </c>
      <c r="C27" t="s">
        <v>484</v>
      </c>
      <c r="D27">
        <v>101750120</v>
      </c>
      <c r="E27" t="s">
        <v>591</v>
      </c>
      <c r="F27" t="s">
        <v>486</v>
      </c>
      <c r="G27">
        <v>0.18</v>
      </c>
      <c r="H27">
        <v>4.4000000000000004</v>
      </c>
      <c r="I27">
        <v>0</v>
      </c>
      <c r="J27">
        <v>0</v>
      </c>
      <c r="K27">
        <v>4.58</v>
      </c>
      <c r="L27" t="s">
        <v>487</v>
      </c>
      <c r="M27">
        <v>140</v>
      </c>
      <c r="N27">
        <v>30.55</v>
      </c>
      <c r="O27" t="s">
        <v>60</v>
      </c>
      <c r="P27" t="s">
        <v>492</v>
      </c>
      <c r="Q27">
        <v>1397</v>
      </c>
      <c r="R27">
        <v>304.8</v>
      </c>
    </row>
    <row r="28" spans="1:18" x14ac:dyDescent="0.35">
      <c r="A28" t="s">
        <v>197</v>
      </c>
      <c r="B28" t="s">
        <v>483</v>
      </c>
      <c r="C28" t="s">
        <v>484</v>
      </c>
      <c r="D28">
        <v>101750120</v>
      </c>
      <c r="E28" t="s">
        <v>591</v>
      </c>
      <c r="F28" t="s">
        <v>486</v>
      </c>
      <c r="G28">
        <v>0.18</v>
      </c>
      <c r="H28">
        <v>4.4000000000000004</v>
      </c>
      <c r="I28">
        <v>0</v>
      </c>
      <c r="J28">
        <v>0</v>
      </c>
      <c r="K28">
        <v>4.58</v>
      </c>
      <c r="L28" t="s">
        <v>487</v>
      </c>
      <c r="M28">
        <v>140</v>
      </c>
      <c r="N28">
        <v>30.55</v>
      </c>
      <c r="O28" t="s">
        <v>81</v>
      </c>
      <c r="P28" t="s">
        <v>492</v>
      </c>
      <c r="Q28">
        <v>140</v>
      </c>
      <c r="R28">
        <v>30.55</v>
      </c>
    </row>
    <row r="29" spans="1:18" x14ac:dyDescent="0.35">
      <c r="A29" t="s">
        <v>197</v>
      </c>
      <c r="B29" t="s">
        <v>483</v>
      </c>
      <c r="C29" t="s">
        <v>484</v>
      </c>
      <c r="D29">
        <v>101750120</v>
      </c>
      <c r="E29" t="s">
        <v>591</v>
      </c>
      <c r="F29" t="s">
        <v>486</v>
      </c>
      <c r="G29">
        <v>0.18</v>
      </c>
      <c r="H29">
        <v>4.4000000000000004</v>
      </c>
      <c r="I29">
        <v>0</v>
      </c>
      <c r="J29">
        <v>0</v>
      </c>
      <c r="K29">
        <v>4.58</v>
      </c>
      <c r="L29" t="s">
        <v>487</v>
      </c>
      <c r="M29">
        <v>140</v>
      </c>
      <c r="N29">
        <v>30.55</v>
      </c>
      <c r="O29" t="s">
        <v>85</v>
      </c>
      <c r="P29" t="s">
        <v>492</v>
      </c>
      <c r="Q29">
        <v>0</v>
      </c>
      <c r="R29">
        <v>0</v>
      </c>
    </row>
    <row r="30" spans="1:18" x14ac:dyDescent="0.35">
      <c r="A30" t="s">
        <v>197</v>
      </c>
      <c r="B30" t="s">
        <v>483</v>
      </c>
      <c r="C30" t="s">
        <v>484</v>
      </c>
      <c r="D30">
        <v>104441514</v>
      </c>
      <c r="E30" t="s">
        <v>532</v>
      </c>
      <c r="F30" t="s">
        <v>499</v>
      </c>
      <c r="G30">
        <v>0.08</v>
      </c>
      <c r="H30">
        <v>4.25</v>
      </c>
      <c r="I30">
        <v>0</v>
      </c>
      <c r="J30">
        <v>0</v>
      </c>
      <c r="K30">
        <v>4.33</v>
      </c>
      <c r="L30" t="s">
        <v>487</v>
      </c>
      <c r="M30">
        <v>327</v>
      </c>
      <c r="N30">
        <v>75.59</v>
      </c>
      <c r="O30" t="s">
        <v>60</v>
      </c>
      <c r="P30" t="s">
        <v>488</v>
      </c>
      <c r="Q30">
        <v>150</v>
      </c>
      <c r="R30">
        <v>1868.51</v>
      </c>
    </row>
    <row r="31" spans="1:18" x14ac:dyDescent="0.35">
      <c r="A31" t="s">
        <v>197</v>
      </c>
      <c r="B31" t="s">
        <v>483</v>
      </c>
      <c r="C31" t="s">
        <v>484</v>
      </c>
      <c r="D31">
        <v>104441514</v>
      </c>
      <c r="E31" t="s">
        <v>532</v>
      </c>
      <c r="F31" t="s">
        <v>499</v>
      </c>
      <c r="G31">
        <v>0.08</v>
      </c>
      <c r="H31">
        <v>4.25</v>
      </c>
      <c r="I31">
        <v>0</v>
      </c>
      <c r="J31">
        <v>0</v>
      </c>
      <c r="K31">
        <v>4.33</v>
      </c>
      <c r="L31" t="s">
        <v>487</v>
      </c>
      <c r="M31">
        <v>327</v>
      </c>
      <c r="N31">
        <v>75.59</v>
      </c>
      <c r="O31" t="s">
        <v>60</v>
      </c>
      <c r="P31" t="s">
        <v>489</v>
      </c>
      <c r="Q31">
        <v>1431</v>
      </c>
      <c r="R31">
        <v>337.06</v>
      </c>
    </row>
    <row r="32" spans="1:18" x14ac:dyDescent="0.35">
      <c r="A32" t="s">
        <v>197</v>
      </c>
      <c r="B32" t="s">
        <v>483</v>
      </c>
      <c r="C32" t="s">
        <v>484</v>
      </c>
      <c r="D32">
        <v>104441514</v>
      </c>
      <c r="E32" t="s">
        <v>532</v>
      </c>
      <c r="F32" t="s">
        <v>499</v>
      </c>
      <c r="G32">
        <v>0.08</v>
      </c>
      <c r="H32">
        <v>4.25</v>
      </c>
      <c r="I32">
        <v>0</v>
      </c>
      <c r="J32">
        <v>0</v>
      </c>
      <c r="K32">
        <v>4.33</v>
      </c>
      <c r="L32" t="s">
        <v>487</v>
      </c>
      <c r="M32">
        <v>327</v>
      </c>
      <c r="N32">
        <v>75.59</v>
      </c>
      <c r="O32" t="s">
        <v>60</v>
      </c>
      <c r="P32" t="s">
        <v>490</v>
      </c>
      <c r="Q32">
        <v>0</v>
      </c>
      <c r="R32">
        <v>0</v>
      </c>
    </row>
    <row r="33" spans="1:18" x14ac:dyDescent="0.35">
      <c r="A33" t="s">
        <v>197</v>
      </c>
      <c r="B33" t="s">
        <v>483</v>
      </c>
      <c r="C33" t="s">
        <v>484</v>
      </c>
      <c r="D33">
        <v>104441514</v>
      </c>
      <c r="E33" t="s">
        <v>532</v>
      </c>
      <c r="F33" t="s">
        <v>499</v>
      </c>
      <c r="G33">
        <v>0.08</v>
      </c>
      <c r="H33">
        <v>4.25</v>
      </c>
      <c r="I33">
        <v>0</v>
      </c>
      <c r="J33">
        <v>0</v>
      </c>
      <c r="K33">
        <v>4.33</v>
      </c>
      <c r="L33" t="s">
        <v>487</v>
      </c>
      <c r="M33">
        <v>327</v>
      </c>
      <c r="N33">
        <v>75.59</v>
      </c>
      <c r="O33" t="s">
        <v>60</v>
      </c>
      <c r="P33" t="s">
        <v>491</v>
      </c>
      <c r="Q33">
        <v>0</v>
      </c>
      <c r="R33">
        <v>0</v>
      </c>
    </row>
    <row r="34" spans="1:18" x14ac:dyDescent="0.35">
      <c r="A34" t="s">
        <v>197</v>
      </c>
      <c r="B34" t="s">
        <v>483</v>
      </c>
      <c r="C34" t="s">
        <v>484</v>
      </c>
      <c r="D34">
        <v>104441514</v>
      </c>
      <c r="E34" t="s">
        <v>532</v>
      </c>
      <c r="F34" t="s">
        <v>499</v>
      </c>
      <c r="G34">
        <v>0.08</v>
      </c>
      <c r="H34">
        <v>4.25</v>
      </c>
      <c r="I34">
        <v>0</v>
      </c>
      <c r="J34">
        <v>0</v>
      </c>
      <c r="K34">
        <v>4.33</v>
      </c>
      <c r="L34" t="s">
        <v>487</v>
      </c>
      <c r="M34">
        <v>327</v>
      </c>
      <c r="N34">
        <v>75.59</v>
      </c>
      <c r="O34" t="s">
        <v>60</v>
      </c>
      <c r="P34" t="s">
        <v>492</v>
      </c>
      <c r="Q34">
        <v>1581</v>
      </c>
      <c r="R34">
        <v>365.46</v>
      </c>
    </row>
    <row r="35" spans="1:18" x14ac:dyDescent="0.35">
      <c r="A35" t="s">
        <v>197</v>
      </c>
      <c r="B35" t="s">
        <v>483</v>
      </c>
      <c r="C35" t="s">
        <v>484</v>
      </c>
      <c r="D35">
        <v>104441514</v>
      </c>
      <c r="E35" t="s">
        <v>532</v>
      </c>
      <c r="F35" t="s">
        <v>499</v>
      </c>
      <c r="G35">
        <v>0.08</v>
      </c>
      <c r="H35">
        <v>4.25</v>
      </c>
      <c r="I35">
        <v>0</v>
      </c>
      <c r="J35">
        <v>0</v>
      </c>
      <c r="K35">
        <v>4.33</v>
      </c>
      <c r="L35" t="s">
        <v>487</v>
      </c>
      <c r="M35">
        <v>327</v>
      </c>
      <c r="N35">
        <v>75.59</v>
      </c>
      <c r="O35" t="s">
        <v>81</v>
      </c>
      <c r="P35" t="s">
        <v>492</v>
      </c>
      <c r="Q35">
        <v>327</v>
      </c>
      <c r="R35">
        <v>75.59</v>
      </c>
    </row>
    <row r="36" spans="1:18" x14ac:dyDescent="0.35">
      <c r="A36" t="s">
        <v>197</v>
      </c>
      <c r="B36" t="s">
        <v>483</v>
      </c>
      <c r="C36" t="s">
        <v>484</v>
      </c>
      <c r="D36">
        <v>104441514</v>
      </c>
      <c r="E36" t="s">
        <v>532</v>
      </c>
      <c r="F36" t="s">
        <v>499</v>
      </c>
      <c r="G36">
        <v>0.08</v>
      </c>
      <c r="H36">
        <v>4.25</v>
      </c>
      <c r="I36">
        <v>0</v>
      </c>
      <c r="J36">
        <v>0</v>
      </c>
      <c r="K36">
        <v>4.33</v>
      </c>
      <c r="L36" t="s">
        <v>487</v>
      </c>
      <c r="M36">
        <v>327</v>
      </c>
      <c r="N36">
        <v>75.59</v>
      </c>
      <c r="O36" t="s">
        <v>85</v>
      </c>
      <c r="P36" t="s">
        <v>492</v>
      </c>
      <c r="Q36">
        <v>0</v>
      </c>
      <c r="R36">
        <v>0</v>
      </c>
    </row>
    <row r="37" spans="1:18" x14ac:dyDescent="0.35">
      <c r="A37" t="s">
        <v>197</v>
      </c>
      <c r="B37" t="s">
        <v>483</v>
      </c>
      <c r="C37" t="s">
        <v>484</v>
      </c>
      <c r="D37">
        <v>105611848</v>
      </c>
      <c r="E37" t="s">
        <v>644</v>
      </c>
      <c r="F37" t="s">
        <v>586</v>
      </c>
      <c r="G37">
        <v>0.27</v>
      </c>
      <c r="H37">
        <v>3.26</v>
      </c>
      <c r="I37">
        <v>0</v>
      </c>
      <c r="J37">
        <v>0</v>
      </c>
      <c r="K37">
        <v>3.53</v>
      </c>
      <c r="L37" t="s">
        <v>487</v>
      </c>
      <c r="M37">
        <v>105</v>
      </c>
      <c r="N37">
        <v>29.72</v>
      </c>
      <c r="O37" t="s">
        <v>60</v>
      </c>
      <c r="P37" t="s">
        <v>488</v>
      </c>
      <c r="Q37">
        <v>201</v>
      </c>
      <c r="R37">
        <v>733.87</v>
      </c>
    </row>
    <row r="38" spans="1:18" x14ac:dyDescent="0.35">
      <c r="A38" t="s">
        <v>197</v>
      </c>
      <c r="B38" t="s">
        <v>483</v>
      </c>
      <c r="C38" t="s">
        <v>484</v>
      </c>
      <c r="D38">
        <v>105611848</v>
      </c>
      <c r="E38" t="s">
        <v>644</v>
      </c>
      <c r="F38" t="s">
        <v>586</v>
      </c>
      <c r="G38">
        <v>0.27</v>
      </c>
      <c r="H38">
        <v>3.26</v>
      </c>
      <c r="I38">
        <v>0</v>
      </c>
      <c r="J38">
        <v>0</v>
      </c>
      <c r="K38">
        <v>3.53</v>
      </c>
      <c r="L38" t="s">
        <v>487</v>
      </c>
      <c r="M38">
        <v>105</v>
      </c>
      <c r="N38">
        <v>29.72</v>
      </c>
      <c r="O38" t="s">
        <v>60</v>
      </c>
      <c r="P38" t="s">
        <v>489</v>
      </c>
      <c r="Q38">
        <v>431</v>
      </c>
      <c r="R38">
        <v>132.25</v>
      </c>
    </row>
    <row r="39" spans="1:18" x14ac:dyDescent="0.35">
      <c r="A39" t="s">
        <v>197</v>
      </c>
      <c r="B39" t="s">
        <v>483</v>
      </c>
      <c r="C39" t="s">
        <v>484</v>
      </c>
      <c r="D39">
        <v>105611848</v>
      </c>
      <c r="E39" t="s">
        <v>644</v>
      </c>
      <c r="F39" t="s">
        <v>586</v>
      </c>
      <c r="G39">
        <v>0.27</v>
      </c>
      <c r="H39">
        <v>3.26</v>
      </c>
      <c r="I39">
        <v>0</v>
      </c>
      <c r="J39">
        <v>0</v>
      </c>
      <c r="K39">
        <v>3.53</v>
      </c>
      <c r="L39" t="s">
        <v>487</v>
      </c>
      <c r="M39">
        <v>105</v>
      </c>
      <c r="N39">
        <v>29.72</v>
      </c>
      <c r="O39" t="s">
        <v>60</v>
      </c>
      <c r="P39" t="s">
        <v>490</v>
      </c>
      <c r="Q39">
        <v>0</v>
      </c>
      <c r="R39">
        <v>0</v>
      </c>
    </row>
    <row r="40" spans="1:18" x14ac:dyDescent="0.35">
      <c r="A40" t="s">
        <v>197</v>
      </c>
      <c r="B40" t="s">
        <v>483</v>
      </c>
      <c r="C40" t="s">
        <v>484</v>
      </c>
      <c r="D40">
        <v>105611848</v>
      </c>
      <c r="E40" t="s">
        <v>644</v>
      </c>
      <c r="F40" t="s">
        <v>586</v>
      </c>
      <c r="G40">
        <v>0.27</v>
      </c>
      <c r="H40">
        <v>3.26</v>
      </c>
      <c r="I40">
        <v>0</v>
      </c>
      <c r="J40">
        <v>0</v>
      </c>
      <c r="K40">
        <v>3.53</v>
      </c>
      <c r="L40" t="s">
        <v>487</v>
      </c>
      <c r="M40">
        <v>105</v>
      </c>
      <c r="N40">
        <v>29.72</v>
      </c>
      <c r="O40" t="s">
        <v>60</v>
      </c>
      <c r="P40" t="s">
        <v>491</v>
      </c>
      <c r="Q40">
        <v>0</v>
      </c>
      <c r="R40">
        <v>0</v>
      </c>
    </row>
    <row r="41" spans="1:18" x14ac:dyDescent="0.35">
      <c r="A41" t="s">
        <v>197</v>
      </c>
      <c r="B41" t="s">
        <v>483</v>
      </c>
      <c r="C41" t="s">
        <v>484</v>
      </c>
      <c r="D41">
        <v>105611848</v>
      </c>
      <c r="E41" t="s">
        <v>644</v>
      </c>
      <c r="F41" t="s">
        <v>586</v>
      </c>
      <c r="G41">
        <v>0.27</v>
      </c>
      <c r="H41">
        <v>3.26</v>
      </c>
      <c r="I41">
        <v>0</v>
      </c>
      <c r="J41">
        <v>0</v>
      </c>
      <c r="K41">
        <v>3.53</v>
      </c>
      <c r="L41" t="s">
        <v>487</v>
      </c>
      <c r="M41">
        <v>105</v>
      </c>
      <c r="N41">
        <v>29.72</v>
      </c>
      <c r="O41" t="s">
        <v>60</v>
      </c>
      <c r="P41" t="s">
        <v>492</v>
      </c>
      <c r="Q41">
        <v>632</v>
      </c>
      <c r="R41">
        <v>178.88</v>
      </c>
    </row>
    <row r="42" spans="1:18" x14ac:dyDescent="0.35">
      <c r="A42" t="s">
        <v>197</v>
      </c>
      <c r="B42" t="s">
        <v>483</v>
      </c>
      <c r="C42" t="s">
        <v>484</v>
      </c>
      <c r="D42">
        <v>105611848</v>
      </c>
      <c r="E42" t="s">
        <v>644</v>
      </c>
      <c r="F42" t="s">
        <v>586</v>
      </c>
      <c r="G42">
        <v>0.27</v>
      </c>
      <c r="H42">
        <v>3.26</v>
      </c>
      <c r="I42">
        <v>0</v>
      </c>
      <c r="J42">
        <v>0</v>
      </c>
      <c r="K42">
        <v>3.53</v>
      </c>
      <c r="L42" t="s">
        <v>487</v>
      </c>
      <c r="M42">
        <v>105</v>
      </c>
      <c r="N42">
        <v>29.72</v>
      </c>
      <c r="O42" t="s">
        <v>81</v>
      </c>
      <c r="P42" t="s">
        <v>492</v>
      </c>
      <c r="Q42">
        <v>105</v>
      </c>
      <c r="R42">
        <v>29.72</v>
      </c>
    </row>
    <row r="43" spans="1:18" x14ac:dyDescent="0.35">
      <c r="A43" t="s">
        <v>197</v>
      </c>
      <c r="B43" t="s">
        <v>483</v>
      </c>
      <c r="C43" t="s">
        <v>484</v>
      </c>
      <c r="D43">
        <v>105611848</v>
      </c>
      <c r="E43" t="s">
        <v>644</v>
      </c>
      <c r="F43" t="s">
        <v>586</v>
      </c>
      <c r="G43">
        <v>0.27</v>
      </c>
      <c r="H43">
        <v>3.26</v>
      </c>
      <c r="I43">
        <v>0</v>
      </c>
      <c r="J43">
        <v>0</v>
      </c>
      <c r="K43">
        <v>3.53</v>
      </c>
      <c r="L43" t="s">
        <v>487</v>
      </c>
      <c r="M43">
        <v>105</v>
      </c>
      <c r="N43">
        <v>29.72</v>
      </c>
      <c r="O43" t="s">
        <v>85</v>
      </c>
      <c r="P43" t="s">
        <v>492</v>
      </c>
      <c r="Q43">
        <v>0</v>
      </c>
      <c r="R43">
        <v>0</v>
      </c>
    </row>
    <row r="44" spans="1:18" x14ac:dyDescent="0.35">
      <c r="A44" t="s">
        <v>197</v>
      </c>
      <c r="B44" t="s">
        <v>483</v>
      </c>
      <c r="C44" t="s">
        <v>493</v>
      </c>
      <c r="D44">
        <v>106513473</v>
      </c>
      <c r="E44" t="s">
        <v>525</v>
      </c>
      <c r="F44" t="s">
        <v>486</v>
      </c>
      <c r="G44">
        <v>0</v>
      </c>
      <c r="H44">
        <v>3.68</v>
      </c>
      <c r="I44">
        <v>0</v>
      </c>
      <c r="J44">
        <v>0</v>
      </c>
      <c r="K44">
        <v>3.68</v>
      </c>
      <c r="L44" t="s">
        <v>487</v>
      </c>
      <c r="M44">
        <v>356</v>
      </c>
      <c r="N44">
        <v>96.8</v>
      </c>
      <c r="O44" t="s">
        <v>60</v>
      </c>
      <c r="P44" t="s">
        <v>488</v>
      </c>
      <c r="Q44">
        <v>0</v>
      </c>
      <c r="R44">
        <v>0</v>
      </c>
    </row>
    <row r="45" spans="1:18" x14ac:dyDescent="0.35">
      <c r="A45" t="s">
        <v>197</v>
      </c>
      <c r="B45" t="s">
        <v>483</v>
      </c>
      <c r="C45" t="s">
        <v>493</v>
      </c>
      <c r="D45">
        <v>106513473</v>
      </c>
      <c r="E45" t="s">
        <v>525</v>
      </c>
      <c r="F45" t="s">
        <v>486</v>
      </c>
      <c r="G45">
        <v>0</v>
      </c>
      <c r="H45">
        <v>3.68</v>
      </c>
      <c r="I45">
        <v>0</v>
      </c>
      <c r="J45">
        <v>0</v>
      </c>
      <c r="K45">
        <v>3.68</v>
      </c>
      <c r="L45" t="s">
        <v>487</v>
      </c>
      <c r="M45">
        <v>356</v>
      </c>
      <c r="N45">
        <v>96.8</v>
      </c>
      <c r="O45" t="s">
        <v>60</v>
      </c>
      <c r="P45" t="s">
        <v>489</v>
      </c>
      <c r="Q45">
        <v>523</v>
      </c>
      <c r="R45">
        <v>142.22</v>
      </c>
    </row>
    <row r="46" spans="1:18" x14ac:dyDescent="0.35">
      <c r="A46" t="s">
        <v>197</v>
      </c>
      <c r="B46" t="s">
        <v>483</v>
      </c>
      <c r="C46" t="s">
        <v>493</v>
      </c>
      <c r="D46">
        <v>106513473</v>
      </c>
      <c r="E46" t="s">
        <v>525</v>
      </c>
      <c r="F46" t="s">
        <v>486</v>
      </c>
      <c r="G46">
        <v>0</v>
      </c>
      <c r="H46">
        <v>3.68</v>
      </c>
      <c r="I46">
        <v>0</v>
      </c>
      <c r="J46">
        <v>0</v>
      </c>
      <c r="K46">
        <v>3.68</v>
      </c>
      <c r="L46" t="s">
        <v>487</v>
      </c>
      <c r="M46">
        <v>356</v>
      </c>
      <c r="N46">
        <v>96.8</v>
      </c>
      <c r="O46" t="s">
        <v>60</v>
      </c>
      <c r="P46" t="s">
        <v>490</v>
      </c>
      <c r="Q46">
        <v>0</v>
      </c>
      <c r="R46">
        <v>0</v>
      </c>
    </row>
    <row r="47" spans="1:18" x14ac:dyDescent="0.35">
      <c r="A47" t="s">
        <v>197</v>
      </c>
      <c r="B47" t="s">
        <v>483</v>
      </c>
      <c r="C47" t="s">
        <v>493</v>
      </c>
      <c r="D47">
        <v>106513473</v>
      </c>
      <c r="E47" t="s">
        <v>525</v>
      </c>
      <c r="F47" t="s">
        <v>486</v>
      </c>
      <c r="G47">
        <v>0</v>
      </c>
      <c r="H47">
        <v>3.68</v>
      </c>
      <c r="I47">
        <v>0</v>
      </c>
      <c r="J47">
        <v>0</v>
      </c>
      <c r="K47">
        <v>3.68</v>
      </c>
      <c r="L47" t="s">
        <v>487</v>
      </c>
      <c r="M47">
        <v>356</v>
      </c>
      <c r="N47">
        <v>96.8</v>
      </c>
      <c r="O47" t="s">
        <v>60</v>
      </c>
      <c r="P47" t="s">
        <v>491</v>
      </c>
      <c r="Q47">
        <v>0</v>
      </c>
      <c r="R47">
        <v>0</v>
      </c>
    </row>
    <row r="48" spans="1:18" x14ac:dyDescent="0.35">
      <c r="A48" t="s">
        <v>197</v>
      </c>
      <c r="B48" t="s">
        <v>483</v>
      </c>
      <c r="C48" t="s">
        <v>493</v>
      </c>
      <c r="D48">
        <v>106513473</v>
      </c>
      <c r="E48" t="s">
        <v>525</v>
      </c>
      <c r="F48" t="s">
        <v>486</v>
      </c>
      <c r="G48">
        <v>0</v>
      </c>
      <c r="H48">
        <v>3.68</v>
      </c>
      <c r="I48">
        <v>0</v>
      </c>
      <c r="J48">
        <v>0</v>
      </c>
      <c r="K48">
        <v>3.68</v>
      </c>
      <c r="L48" t="s">
        <v>487</v>
      </c>
      <c r="M48">
        <v>356</v>
      </c>
      <c r="N48">
        <v>96.8</v>
      </c>
      <c r="O48" t="s">
        <v>60</v>
      </c>
      <c r="P48" t="s">
        <v>492</v>
      </c>
      <c r="Q48">
        <v>523</v>
      </c>
      <c r="R48">
        <v>142.22</v>
      </c>
    </row>
    <row r="49" spans="1:18" x14ac:dyDescent="0.35">
      <c r="A49" t="s">
        <v>197</v>
      </c>
      <c r="B49" t="s">
        <v>483</v>
      </c>
      <c r="C49" t="s">
        <v>493</v>
      </c>
      <c r="D49">
        <v>106513473</v>
      </c>
      <c r="E49" t="s">
        <v>525</v>
      </c>
      <c r="F49" t="s">
        <v>486</v>
      </c>
      <c r="G49">
        <v>0</v>
      </c>
      <c r="H49">
        <v>3.68</v>
      </c>
      <c r="I49">
        <v>0</v>
      </c>
      <c r="J49">
        <v>0</v>
      </c>
      <c r="K49">
        <v>3.68</v>
      </c>
      <c r="L49" t="s">
        <v>487</v>
      </c>
      <c r="M49">
        <v>356</v>
      </c>
      <c r="N49">
        <v>96.8</v>
      </c>
      <c r="O49" t="s">
        <v>81</v>
      </c>
      <c r="P49" t="s">
        <v>492</v>
      </c>
      <c r="Q49">
        <v>356</v>
      </c>
      <c r="R49">
        <v>96.8</v>
      </c>
    </row>
    <row r="50" spans="1:18" x14ac:dyDescent="0.35">
      <c r="A50" t="s">
        <v>197</v>
      </c>
      <c r="B50" t="s">
        <v>483</v>
      </c>
      <c r="C50" t="s">
        <v>493</v>
      </c>
      <c r="D50">
        <v>106513473</v>
      </c>
      <c r="E50" t="s">
        <v>525</v>
      </c>
      <c r="F50" t="s">
        <v>486</v>
      </c>
      <c r="G50">
        <v>0</v>
      </c>
      <c r="H50">
        <v>3.68</v>
      </c>
      <c r="I50">
        <v>0</v>
      </c>
      <c r="J50">
        <v>0</v>
      </c>
      <c r="K50">
        <v>3.68</v>
      </c>
      <c r="L50" t="s">
        <v>487</v>
      </c>
      <c r="M50">
        <v>356</v>
      </c>
      <c r="N50">
        <v>96.8</v>
      </c>
      <c r="O50" t="s">
        <v>85</v>
      </c>
      <c r="P50" t="s">
        <v>492</v>
      </c>
      <c r="Q50">
        <v>0</v>
      </c>
      <c r="R50">
        <v>0</v>
      </c>
    </row>
    <row r="51" spans="1:18" x14ac:dyDescent="0.35">
      <c r="A51" t="s">
        <v>197</v>
      </c>
      <c r="B51" t="s">
        <v>483</v>
      </c>
      <c r="C51" t="s">
        <v>484</v>
      </c>
      <c r="D51">
        <v>106534121</v>
      </c>
      <c r="E51" t="s">
        <v>550</v>
      </c>
      <c r="F51" t="s">
        <v>497</v>
      </c>
      <c r="G51">
        <v>0.97</v>
      </c>
      <c r="H51">
        <v>5.28</v>
      </c>
      <c r="I51">
        <v>0.03</v>
      </c>
      <c r="J51">
        <v>0</v>
      </c>
      <c r="K51">
        <v>6.28</v>
      </c>
      <c r="L51" t="s">
        <v>487</v>
      </c>
      <c r="M51">
        <v>188</v>
      </c>
      <c r="N51">
        <v>29.95</v>
      </c>
      <c r="O51" t="s">
        <v>60</v>
      </c>
      <c r="P51" t="s">
        <v>488</v>
      </c>
      <c r="Q51">
        <v>1380</v>
      </c>
      <c r="R51">
        <v>1428</v>
      </c>
    </row>
    <row r="52" spans="1:18" x14ac:dyDescent="0.35">
      <c r="A52" t="s">
        <v>197</v>
      </c>
      <c r="B52" t="s">
        <v>483</v>
      </c>
      <c r="C52" t="s">
        <v>484</v>
      </c>
      <c r="D52">
        <v>106534121</v>
      </c>
      <c r="E52" t="s">
        <v>550</v>
      </c>
      <c r="F52" t="s">
        <v>497</v>
      </c>
      <c r="G52">
        <v>0.97</v>
      </c>
      <c r="H52">
        <v>5.28</v>
      </c>
      <c r="I52">
        <v>0.03</v>
      </c>
      <c r="J52">
        <v>0</v>
      </c>
      <c r="K52">
        <v>6.28</v>
      </c>
      <c r="L52" t="s">
        <v>487</v>
      </c>
      <c r="M52">
        <v>188</v>
      </c>
      <c r="N52">
        <v>29.95</v>
      </c>
      <c r="O52" t="s">
        <v>60</v>
      </c>
      <c r="P52" t="s">
        <v>489</v>
      </c>
      <c r="Q52">
        <v>1359</v>
      </c>
      <c r="R52">
        <v>257.55</v>
      </c>
    </row>
    <row r="53" spans="1:18" x14ac:dyDescent="0.35">
      <c r="A53" t="s">
        <v>197</v>
      </c>
      <c r="B53" t="s">
        <v>483</v>
      </c>
      <c r="C53" t="s">
        <v>484</v>
      </c>
      <c r="D53">
        <v>106534121</v>
      </c>
      <c r="E53" t="s">
        <v>550</v>
      </c>
      <c r="F53" t="s">
        <v>497</v>
      </c>
      <c r="G53">
        <v>0.97</v>
      </c>
      <c r="H53">
        <v>5.28</v>
      </c>
      <c r="I53">
        <v>0.03</v>
      </c>
      <c r="J53">
        <v>0</v>
      </c>
      <c r="K53">
        <v>6.28</v>
      </c>
      <c r="L53" t="s">
        <v>487</v>
      </c>
      <c r="M53">
        <v>188</v>
      </c>
      <c r="N53">
        <v>29.95</v>
      </c>
      <c r="O53" t="s">
        <v>60</v>
      </c>
      <c r="P53" t="s">
        <v>490</v>
      </c>
      <c r="Q53">
        <v>4</v>
      </c>
      <c r="R53">
        <v>116.13</v>
      </c>
    </row>
    <row r="54" spans="1:18" x14ac:dyDescent="0.35">
      <c r="A54" t="s">
        <v>197</v>
      </c>
      <c r="B54" t="s">
        <v>483</v>
      </c>
      <c r="C54" t="s">
        <v>484</v>
      </c>
      <c r="D54">
        <v>106534121</v>
      </c>
      <c r="E54" t="s">
        <v>550</v>
      </c>
      <c r="F54" t="s">
        <v>497</v>
      </c>
      <c r="G54">
        <v>0.97</v>
      </c>
      <c r="H54">
        <v>5.28</v>
      </c>
      <c r="I54">
        <v>0.03</v>
      </c>
      <c r="J54">
        <v>0</v>
      </c>
      <c r="K54">
        <v>6.28</v>
      </c>
      <c r="L54" t="s">
        <v>487</v>
      </c>
      <c r="M54">
        <v>188</v>
      </c>
      <c r="N54">
        <v>29.95</v>
      </c>
      <c r="O54" t="s">
        <v>60</v>
      </c>
      <c r="P54" t="s">
        <v>491</v>
      </c>
      <c r="Q54">
        <v>0</v>
      </c>
      <c r="R54">
        <v>0</v>
      </c>
    </row>
    <row r="55" spans="1:18" x14ac:dyDescent="0.35">
      <c r="A55" t="s">
        <v>197</v>
      </c>
      <c r="B55" t="s">
        <v>483</v>
      </c>
      <c r="C55" t="s">
        <v>484</v>
      </c>
      <c r="D55">
        <v>106534121</v>
      </c>
      <c r="E55" t="s">
        <v>550</v>
      </c>
      <c r="F55" t="s">
        <v>497</v>
      </c>
      <c r="G55">
        <v>0.97</v>
      </c>
      <c r="H55">
        <v>5.28</v>
      </c>
      <c r="I55">
        <v>0.03</v>
      </c>
      <c r="J55">
        <v>0</v>
      </c>
      <c r="K55">
        <v>6.28</v>
      </c>
      <c r="L55" t="s">
        <v>487</v>
      </c>
      <c r="M55">
        <v>188</v>
      </c>
      <c r="N55">
        <v>29.95</v>
      </c>
      <c r="O55" t="s">
        <v>60</v>
      </c>
      <c r="P55" t="s">
        <v>492</v>
      </c>
      <c r="Q55">
        <v>2743</v>
      </c>
      <c r="R55">
        <v>436.92</v>
      </c>
    </row>
    <row r="56" spans="1:18" x14ac:dyDescent="0.35">
      <c r="A56" t="s">
        <v>197</v>
      </c>
      <c r="B56" t="s">
        <v>483</v>
      </c>
      <c r="C56" t="s">
        <v>484</v>
      </c>
      <c r="D56">
        <v>106534121</v>
      </c>
      <c r="E56" t="s">
        <v>550</v>
      </c>
      <c r="F56" t="s">
        <v>497</v>
      </c>
      <c r="G56">
        <v>0.97</v>
      </c>
      <c r="H56">
        <v>5.28</v>
      </c>
      <c r="I56">
        <v>0.03</v>
      </c>
      <c r="J56">
        <v>0</v>
      </c>
      <c r="K56">
        <v>6.28</v>
      </c>
      <c r="L56" t="s">
        <v>487</v>
      </c>
      <c r="M56">
        <v>188</v>
      </c>
      <c r="N56">
        <v>29.95</v>
      </c>
      <c r="O56" t="s">
        <v>81</v>
      </c>
      <c r="P56" t="s">
        <v>492</v>
      </c>
      <c r="Q56">
        <v>187</v>
      </c>
      <c r="R56">
        <v>29.79</v>
      </c>
    </row>
    <row r="57" spans="1:18" x14ac:dyDescent="0.35">
      <c r="A57" t="s">
        <v>197</v>
      </c>
      <c r="B57" t="s">
        <v>483</v>
      </c>
      <c r="C57" t="s">
        <v>484</v>
      </c>
      <c r="D57">
        <v>106534121</v>
      </c>
      <c r="E57" t="s">
        <v>550</v>
      </c>
      <c r="F57" t="s">
        <v>497</v>
      </c>
      <c r="G57">
        <v>0.97</v>
      </c>
      <c r="H57">
        <v>5.28</v>
      </c>
      <c r="I57">
        <v>0.03</v>
      </c>
      <c r="J57">
        <v>0</v>
      </c>
      <c r="K57">
        <v>6.28</v>
      </c>
      <c r="L57" t="s">
        <v>487</v>
      </c>
      <c r="M57">
        <v>188</v>
      </c>
      <c r="N57">
        <v>29.95</v>
      </c>
      <c r="O57" t="s">
        <v>85</v>
      </c>
      <c r="P57" t="s">
        <v>492</v>
      </c>
      <c r="Q57">
        <v>1</v>
      </c>
      <c r="R57">
        <v>0.16</v>
      </c>
    </row>
    <row r="58" spans="1:18" x14ac:dyDescent="0.35">
      <c r="A58" t="s">
        <v>197</v>
      </c>
      <c r="B58" t="s">
        <v>483</v>
      </c>
      <c r="C58" t="s">
        <v>484</v>
      </c>
      <c r="D58">
        <v>106534472</v>
      </c>
      <c r="E58" t="s">
        <v>533</v>
      </c>
      <c r="F58" t="s">
        <v>497</v>
      </c>
      <c r="G58">
        <v>0.05</v>
      </c>
      <c r="H58">
        <v>3.33</v>
      </c>
      <c r="I58">
        <v>0</v>
      </c>
      <c r="J58">
        <v>0</v>
      </c>
      <c r="K58">
        <v>3.39</v>
      </c>
      <c r="L58" t="s">
        <v>487</v>
      </c>
      <c r="M58">
        <v>93</v>
      </c>
      <c r="N58">
        <v>27.46</v>
      </c>
      <c r="O58" t="s">
        <v>60</v>
      </c>
      <c r="P58" t="s">
        <v>488</v>
      </c>
      <c r="Q58">
        <v>60</v>
      </c>
      <c r="R58">
        <v>1155.08</v>
      </c>
    </row>
    <row r="59" spans="1:18" x14ac:dyDescent="0.35">
      <c r="A59" t="s">
        <v>197</v>
      </c>
      <c r="B59" t="s">
        <v>483</v>
      </c>
      <c r="C59" t="s">
        <v>484</v>
      </c>
      <c r="D59">
        <v>106534472</v>
      </c>
      <c r="E59" t="s">
        <v>533</v>
      </c>
      <c r="F59" t="s">
        <v>497</v>
      </c>
      <c r="G59">
        <v>0.05</v>
      </c>
      <c r="H59">
        <v>3.33</v>
      </c>
      <c r="I59">
        <v>0</v>
      </c>
      <c r="J59">
        <v>0</v>
      </c>
      <c r="K59">
        <v>3.39</v>
      </c>
      <c r="L59" t="s">
        <v>487</v>
      </c>
      <c r="M59">
        <v>93</v>
      </c>
      <c r="N59">
        <v>27.46</v>
      </c>
      <c r="O59" t="s">
        <v>60</v>
      </c>
      <c r="P59" t="s">
        <v>489</v>
      </c>
      <c r="Q59">
        <v>692</v>
      </c>
      <c r="R59">
        <v>207.53</v>
      </c>
    </row>
    <row r="60" spans="1:18" x14ac:dyDescent="0.35">
      <c r="A60" t="s">
        <v>197</v>
      </c>
      <c r="B60" t="s">
        <v>483</v>
      </c>
      <c r="C60" t="s">
        <v>484</v>
      </c>
      <c r="D60">
        <v>106534472</v>
      </c>
      <c r="E60" t="s">
        <v>533</v>
      </c>
      <c r="F60" t="s">
        <v>497</v>
      </c>
      <c r="G60">
        <v>0.05</v>
      </c>
      <c r="H60">
        <v>3.33</v>
      </c>
      <c r="I60">
        <v>0</v>
      </c>
      <c r="J60">
        <v>0</v>
      </c>
      <c r="K60">
        <v>3.39</v>
      </c>
      <c r="L60" t="s">
        <v>487</v>
      </c>
      <c r="M60">
        <v>93</v>
      </c>
      <c r="N60">
        <v>27.46</v>
      </c>
      <c r="O60" t="s">
        <v>60</v>
      </c>
      <c r="P60" t="s">
        <v>490</v>
      </c>
      <c r="Q60">
        <v>0</v>
      </c>
      <c r="R60">
        <v>0</v>
      </c>
    </row>
    <row r="61" spans="1:18" x14ac:dyDescent="0.35">
      <c r="A61" t="s">
        <v>197</v>
      </c>
      <c r="B61" t="s">
        <v>483</v>
      </c>
      <c r="C61" t="s">
        <v>484</v>
      </c>
      <c r="D61">
        <v>106534472</v>
      </c>
      <c r="E61" t="s">
        <v>533</v>
      </c>
      <c r="F61" t="s">
        <v>497</v>
      </c>
      <c r="G61">
        <v>0.05</v>
      </c>
      <c r="H61">
        <v>3.33</v>
      </c>
      <c r="I61">
        <v>0</v>
      </c>
      <c r="J61">
        <v>0</v>
      </c>
      <c r="K61">
        <v>3.39</v>
      </c>
      <c r="L61" t="s">
        <v>487</v>
      </c>
      <c r="M61">
        <v>93</v>
      </c>
      <c r="N61">
        <v>27.46</v>
      </c>
      <c r="O61" t="s">
        <v>60</v>
      </c>
      <c r="P61" t="s">
        <v>491</v>
      </c>
      <c r="Q61">
        <v>0</v>
      </c>
      <c r="R61">
        <v>0</v>
      </c>
    </row>
    <row r="62" spans="1:18" x14ac:dyDescent="0.35">
      <c r="A62" t="s">
        <v>197</v>
      </c>
      <c r="B62" t="s">
        <v>483</v>
      </c>
      <c r="C62" t="s">
        <v>484</v>
      </c>
      <c r="D62">
        <v>106534472</v>
      </c>
      <c r="E62" t="s">
        <v>533</v>
      </c>
      <c r="F62" t="s">
        <v>497</v>
      </c>
      <c r="G62">
        <v>0.05</v>
      </c>
      <c r="H62">
        <v>3.33</v>
      </c>
      <c r="I62">
        <v>0</v>
      </c>
      <c r="J62">
        <v>0</v>
      </c>
      <c r="K62">
        <v>3.39</v>
      </c>
      <c r="L62" t="s">
        <v>487</v>
      </c>
      <c r="M62">
        <v>93</v>
      </c>
      <c r="N62">
        <v>27.46</v>
      </c>
      <c r="O62" t="s">
        <v>60</v>
      </c>
      <c r="P62" t="s">
        <v>492</v>
      </c>
      <c r="Q62">
        <v>752</v>
      </c>
      <c r="R62">
        <v>222.05</v>
      </c>
    </row>
    <row r="63" spans="1:18" x14ac:dyDescent="0.35">
      <c r="A63" t="s">
        <v>197</v>
      </c>
      <c r="B63" t="s">
        <v>483</v>
      </c>
      <c r="C63" t="s">
        <v>484</v>
      </c>
      <c r="D63">
        <v>106534472</v>
      </c>
      <c r="E63" t="s">
        <v>533</v>
      </c>
      <c r="F63" t="s">
        <v>497</v>
      </c>
      <c r="G63">
        <v>0.05</v>
      </c>
      <c r="H63">
        <v>3.33</v>
      </c>
      <c r="I63">
        <v>0</v>
      </c>
      <c r="J63">
        <v>0</v>
      </c>
      <c r="K63">
        <v>3.39</v>
      </c>
      <c r="L63" t="s">
        <v>487</v>
      </c>
      <c r="M63">
        <v>93</v>
      </c>
      <c r="N63">
        <v>27.46</v>
      </c>
      <c r="O63" t="s">
        <v>81</v>
      </c>
      <c r="P63" t="s">
        <v>492</v>
      </c>
      <c r="Q63">
        <v>92</v>
      </c>
      <c r="R63">
        <v>27.17</v>
      </c>
    </row>
    <row r="64" spans="1:18" x14ac:dyDescent="0.35">
      <c r="A64" t="s">
        <v>197</v>
      </c>
      <c r="B64" t="s">
        <v>483</v>
      </c>
      <c r="C64" t="s">
        <v>484</v>
      </c>
      <c r="D64">
        <v>106534472</v>
      </c>
      <c r="E64" t="s">
        <v>533</v>
      </c>
      <c r="F64" t="s">
        <v>497</v>
      </c>
      <c r="G64">
        <v>0.05</v>
      </c>
      <c r="H64">
        <v>3.33</v>
      </c>
      <c r="I64">
        <v>0</v>
      </c>
      <c r="J64">
        <v>0</v>
      </c>
      <c r="K64">
        <v>3.39</v>
      </c>
      <c r="L64" t="s">
        <v>487</v>
      </c>
      <c r="M64">
        <v>93</v>
      </c>
      <c r="N64">
        <v>27.46</v>
      </c>
      <c r="O64" t="s">
        <v>85</v>
      </c>
      <c r="P64" t="s">
        <v>492</v>
      </c>
      <c r="Q64">
        <v>1</v>
      </c>
      <c r="R64">
        <v>0.3</v>
      </c>
    </row>
    <row r="65" spans="1:18" x14ac:dyDescent="0.35">
      <c r="A65" t="s">
        <v>197</v>
      </c>
      <c r="B65" t="s">
        <v>483</v>
      </c>
      <c r="C65" t="s">
        <v>484</v>
      </c>
      <c r="D65">
        <v>106576095</v>
      </c>
      <c r="E65" t="s">
        <v>551</v>
      </c>
      <c r="F65" t="s">
        <v>486</v>
      </c>
      <c r="G65">
        <v>0</v>
      </c>
      <c r="H65">
        <v>4.7699999999999996</v>
      </c>
      <c r="I65">
        <v>0</v>
      </c>
      <c r="J65">
        <v>0</v>
      </c>
      <c r="K65">
        <v>4.7699999999999996</v>
      </c>
      <c r="L65" t="s">
        <v>487</v>
      </c>
      <c r="M65">
        <v>238</v>
      </c>
      <c r="N65">
        <v>49.93</v>
      </c>
      <c r="O65" t="s">
        <v>60</v>
      </c>
      <c r="P65" t="s">
        <v>488</v>
      </c>
      <c r="Q65">
        <v>0</v>
      </c>
      <c r="R65">
        <v>0</v>
      </c>
    </row>
    <row r="66" spans="1:18" x14ac:dyDescent="0.35">
      <c r="A66" t="s">
        <v>197</v>
      </c>
      <c r="B66" t="s">
        <v>483</v>
      </c>
      <c r="C66" t="s">
        <v>484</v>
      </c>
      <c r="D66">
        <v>106576095</v>
      </c>
      <c r="E66" t="s">
        <v>551</v>
      </c>
      <c r="F66" t="s">
        <v>486</v>
      </c>
      <c r="G66">
        <v>0</v>
      </c>
      <c r="H66">
        <v>4.7699999999999996</v>
      </c>
      <c r="I66">
        <v>0</v>
      </c>
      <c r="J66">
        <v>0</v>
      </c>
      <c r="K66">
        <v>4.7699999999999996</v>
      </c>
      <c r="L66" t="s">
        <v>487</v>
      </c>
      <c r="M66">
        <v>238</v>
      </c>
      <c r="N66">
        <v>49.93</v>
      </c>
      <c r="O66" t="s">
        <v>60</v>
      </c>
      <c r="P66" t="s">
        <v>489</v>
      </c>
      <c r="Q66">
        <v>2069</v>
      </c>
      <c r="R66">
        <v>434.06</v>
      </c>
    </row>
    <row r="67" spans="1:18" x14ac:dyDescent="0.35">
      <c r="A67" t="s">
        <v>197</v>
      </c>
      <c r="B67" t="s">
        <v>483</v>
      </c>
      <c r="C67" t="s">
        <v>484</v>
      </c>
      <c r="D67">
        <v>106576095</v>
      </c>
      <c r="E67" t="s">
        <v>551</v>
      </c>
      <c r="F67" t="s">
        <v>486</v>
      </c>
      <c r="G67">
        <v>0</v>
      </c>
      <c r="H67">
        <v>4.7699999999999996</v>
      </c>
      <c r="I67">
        <v>0</v>
      </c>
      <c r="J67">
        <v>0</v>
      </c>
      <c r="K67">
        <v>4.7699999999999996</v>
      </c>
      <c r="L67" t="s">
        <v>487</v>
      </c>
      <c r="M67">
        <v>238</v>
      </c>
      <c r="N67">
        <v>49.93</v>
      </c>
      <c r="O67" t="s">
        <v>60</v>
      </c>
      <c r="P67" t="s">
        <v>490</v>
      </c>
      <c r="Q67">
        <v>0</v>
      </c>
      <c r="R67">
        <v>0</v>
      </c>
    </row>
    <row r="68" spans="1:18" x14ac:dyDescent="0.35">
      <c r="A68" t="s">
        <v>197</v>
      </c>
      <c r="B68" t="s">
        <v>483</v>
      </c>
      <c r="C68" t="s">
        <v>484</v>
      </c>
      <c r="D68">
        <v>106576095</v>
      </c>
      <c r="E68" t="s">
        <v>551</v>
      </c>
      <c r="F68" t="s">
        <v>486</v>
      </c>
      <c r="G68">
        <v>0</v>
      </c>
      <c r="H68">
        <v>4.7699999999999996</v>
      </c>
      <c r="I68">
        <v>0</v>
      </c>
      <c r="J68">
        <v>0</v>
      </c>
      <c r="K68">
        <v>4.7699999999999996</v>
      </c>
      <c r="L68" t="s">
        <v>487</v>
      </c>
      <c r="M68">
        <v>238</v>
      </c>
      <c r="N68">
        <v>49.93</v>
      </c>
      <c r="O68" t="s">
        <v>60</v>
      </c>
      <c r="P68" t="s">
        <v>491</v>
      </c>
      <c r="Q68">
        <v>0</v>
      </c>
      <c r="R68">
        <v>0</v>
      </c>
    </row>
    <row r="69" spans="1:18" x14ac:dyDescent="0.35">
      <c r="A69" t="s">
        <v>197</v>
      </c>
      <c r="B69" t="s">
        <v>483</v>
      </c>
      <c r="C69" t="s">
        <v>484</v>
      </c>
      <c r="D69">
        <v>106576095</v>
      </c>
      <c r="E69" t="s">
        <v>551</v>
      </c>
      <c r="F69" t="s">
        <v>486</v>
      </c>
      <c r="G69">
        <v>0</v>
      </c>
      <c r="H69">
        <v>4.7699999999999996</v>
      </c>
      <c r="I69">
        <v>0</v>
      </c>
      <c r="J69">
        <v>0</v>
      </c>
      <c r="K69">
        <v>4.7699999999999996</v>
      </c>
      <c r="L69" t="s">
        <v>487</v>
      </c>
      <c r="M69">
        <v>238</v>
      </c>
      <c r="N69">
        <v>49.93</v>
      </c>
      <c r="O69" t="s">
        <v>60</v>
      </c>
      <c r="P69" t="s">
        <v>492</v>
      </c>
      <c r="Q69">
        <v>2069</v>
      </c>
      <c r="R69">
        <v>434.06</v>
      </c>
    </row>
    <row r="70" spans="1:18" x14ac:dyDescent="0.35">
      <c r="A70" t="s">
        <v>197</v>
      </c>
      <c r="B70" t="s">
        <v>483</v>
      </c>
      <c r="C70" t="s">
        <v>484</v>
      </c>
      <c r="D70">
        <v>106576095</v>
      </c>
      <c r="E70" t="s">
        <v>551</v>
      </c>
      <c r="F70" t="s">
        <v>486</v>
      </c>
      <c r="G70">
        <v>0</v>
      </c>
      <c r="H70">
        <v>4.7699999999999996</v>
      </c>
      <c r="I70">
        <v>0</v>
      </c>
      <c r="J70">
        <v>0</v>
      </c>
      <c r="K70">
        <v>4.7699999999999996</v>
      </c>
      <c r="L70" t="s">
        <v>487</v>
      </c>
      <c r="M70">
        <v>238</v>
      </c>
      <c r="N70">
        <v>49.93</v>
      </c>
      <c r="O70" t="s">
        <v>81</v>
      </c>
      <c r="P70" t="s">
        <v>492</v>
      </c>
      <c r="Q70">
        <v>237</v>
      </c>
      <c r="R70">
        <v>49.72</v>
      </c>
    </row>
    <row r="71" spans="1:18" x14ac:dyDescent="0.35">
      <c r="A71" t="s">
        <v>197</v>
      </c>
      <c r="B71" t="s">
        <v>483</v>
      </c>
      <c r="C71" t="s">
        <v>484</v>
      </c>
      <c r="D71">
        <v>106576095</v>
      </c>
      <c r="E71" t="s">
        <v>551</v>
      </c>
      <c r="F71" t="s">
        <v>486</v>
      </c>
      <c r="G71">
        <v>0</v>
      </c>
      <c r="H71">
        <v>4.7699999999999996</v>
      </c>
      <c r="I71">
        <v>0</v>
      </c>
      <c r="J71">
        <v>0</v>
      </c>
      <c r="K71">
        <v>4.7699999999999996</v>
      </c>
      <c r="L71" t="s">
        <v>487</v>
      </c>
      <c r="M71">
        <v>238</v>
      </c>
      <c r="N71">
        <v>49.93</v>
      </c>
      <c r="O71" t="s">
        <v>85</v>
      </c>
      <c r="P71" t="s">
        <v>492</v>
      </c>
      <c r="Q71">
        <v>1</v>
      </c>
      <c r="R71">
        <v>0.21</v>
      </c>
    </row>
    <row r="72" spans="1:18" x14ac:dyDescent="0.35">
      <c r="A72" t="s">
        <v>197</v>
      </c>
      <c r="B72" t="s">
        <v>483</v>
      </c>
      <c r="C72" t="s">
        <v>493</v>
      </c>
      <c r="D72">
        <v>106655388</v>
      </c>
      <c r="E72" t="s">
        <v>640</v>
      </c>
      <c r="F72" t="s">
        <v>486</v>
      </c>
      <c r="G72">
        <v>0.24</v>
      </c>
      <c r="H72">
        <v>5.95</v>
      </c>
      <c r="I72">
        <v>0</v>
      </c>
      <c r="J72">
        <v>0</v>
      </c>
      <c r="K72">
        <v>6.19</v>
      </c>
      <c r="L72" t="s">
        <v>487</v>
      </c>
      <c r="M72">
        <v>390</v>
      </c>
      <c r="N72">
        <v>62.96</v>
      </c>
      <c r="O72" t="s">
        <v>60</v>
      </c>
      <c r="P72" t="s">
        <v>488</v>
      </c>
      <c r="Q72">
        <v>268</v>
      </c>
      <c r="R72">
        <v>1105.1500000000001</v>
      </c>
    </row>
    <row r="73" spans="1:18" x14ac:dyDescent="0.35">
      <c r="A73" t="s">
        <v>197</v>
      </c>
      <c r="B73" t="s">
        <v>483</v>
      </c>
      <c r="C73" t="s">
        <v>493</v>
      </c>
      <c r="D73">
        <v>106655388</v>
      </c>
      <c r="E73" t="s">
        <v>640</v>
      </c>
      <c r="F73" t="s">
        <v>486</v>
      </c>
      <c r="G73">
        <v>0.24</v>
      </c>
      <c r="H73">
        <v>5.95</v>
      </c>
      <c r="I73">
        <v>0</v>
      </c>
      <c r="J73">
        <v>0</v>
      </c>
      <c r="K73">
        <v>6.19</v>
      </c>
      <c r="L73" t="s">
        <v>487</v>
      </c>
      <c r="M73">
        <v>390</v>
      </c>
      <c r="N73">
        <v>62.96</v>
      </c>
      <c r="O73" t="s">
        <v>60</v>
      </c>
      <c r="P73" t="s">
        <v>489</v>
      </c>
      <c r="Q73">
        <v>1186</v>
      </c>
      <c r="R73">
        <v>199.26</v>
      </c>
    </row>
    <row r="74" spans="1:18" x14ac:dyDescent="0.35">
      <c r="A74" t="s">
        <v>197</v>
      </c>
      <c r="B74" t="s">
        <v>483</v>
      </c>
      <c r="C74" t="s">
        <v>493</v>
      </c>
      <c r="D74">
        <v>106655388</v>
      </c>
      <c r="E74" t="s">
        <v>640</v>
      </c>
      <c r="F74" t="s">
        <v>486</v>
      </c>
      <c r="G74">
        <v>0.24</v>
      </c>
      <c r="H74">
        <v>5.95</v>
      </c>
      <c r="I74">
        <v>0</v>
      </c>
      <c r="J74">
        <v>0</v>
      </c>
      <c r="K74">
        <v>6.19</v>
      </c>
      <c r="L74" t="s">
        <v>487</v>
      </c>
      <c r="M74">
        <v>390</v>
      </c>
      <c r="N74">
        <v>62.96</v>
      </c>
      <c r="O74" t="s">
        <v>60</v>
      </c>
      <c r="P74" t="s">
        <v>490</v>
      </c>
      <c r="Q74">
        <v>0</v>
      </c>
      <c r="R74">
        <v>0</v>
      </c>
    </row>
    <row r="75" spans="1:18" x14ac:dyDescent="0.35">
      <c r="A75" t="s">
        <v>197</v>
      </c>
      <c r="B75" t="s">
        <v>483</v>
      </c>
      <c r="C75" t="s">
        <v>493</v>
      </c>
      <c r="D75">
        <v>106655388</v>
      </c>
      <c r="E75" t="s">
        <v>640</v>
      </c>
      <c r="F75" t="s">
        <v>486</v>
      </c>
      <c r="G75">
        <v>0.24</v>
      </c>
      <c r="H75">
        <v>5.95</v>
      </c>
      <c r="I75">
        <v>0</v>
      </c>
      <c r="J75">
        <v>0</v>
      </c>
      <c r="K75">
        <v>6.19</v>
      </c>
      <c r="L75" t="s">
        <v>487</v>
      </c>
      <c r="M75">
        <v>390</v>
      </c>
      <c r="N75">
        <v>62.96</v>
      </c>
      <c r="O75" t="s">
        <v>60</v>
      </c>
      <c r="P75" t="s">
        <v>491</v>
      </c>
      <c r="Q75">
        <v>0</v>
      </c>
      <c r="R75">
        <v>0</v>
      </c>
    </row>
    <row r="76" spans="1:18" x14ac:dyDescent="0.35">
      <c r="A76" t="s">
        <v>197</v>
      </c>
      <c r="B76" t="s">
        <v>483</v>
      </c>
      <c r="C76" t="s">
        <v>493</v>
      </c>
      <c r="D76">
        <v>106655388</v>
      </c>
      <c r="E76" t="s">
        <v>640</v>
      </c>
      <c r="F76" t="s">
        <v>486</v>
      </c>
      <c r="G76">
        <v>0.24</v>
      </c>
      <c r="H76">
        <v>5.95</v>
      </c>
      <c r="I76">
        <v>0</v>
      </c>
      <c r="J76">
        <v>0</v>
      </c>
      <c r="K76">
        <v>6.19</v>
      </c>
      <c r="L76" t="s">
        <v>487</v>
      </c>
      <c r="M76">
        <v>390</v>
      </c>
      <c r="N76">
        <v>62.96</v>
      </c>
      <c r="O76" t="s">
        <v>60</v>
      </c>
      <c r="P76" t="s">
        <v>492</v>
      </c>
      <c r="Q76">
        <v>1454</v>
      </c>
      <c r="R76">
        <v>234.72</v>
      </c>
    </row>
    <row r="77" spans="1:18" x14ac:dyDescent="0.35">
      <c r="A77" t="s">
        <v>197</v>
      </c>
      <c r="B77" t="s">
        <v>483</v>
      </c>
      <c r="C77" t="s">
        <v>493</v>
      </c>
      <c r="D77">
        <v>106655388</v>
      </c>
      <c r="E77" t="s">
        <v>640</v>
      </c>
      <c r="F77" t="s">
        <v>486</v>
      </c>
      <c r="G77">
        <v>0.24</v>
      </c>
      <c r="H77">
        <v>5.95</v>
      </c>
      <c r="I77">
        <v>0</v>
      </c>
      <c r="J77">
        <v>0</v>
      </c>
      <c r="K77">
        <v>6.19</v>
      </c>
      <c r="L77" t="s">
        <v>487</v>
      </c>
      <c r="M77">
        <v>390</v>
      </c>
      <c r="N77">
        <v>62.96</v>
      </c>
      <c r="O77" t="s">
        <v>81</v>
      </c>
      <c r="P77" t="s">
        <v>492</v>
      </c>
      <c r="Q77">
        <v>390</v>
      </c>
      <c r="R77">
        <v>62.96</v>
      </c>
    </row>
    <row r="78" spans="1:18" x14ac:dyDescent="0.35">
      <c r="A78" t="s">
        <v>197</v>
      </c>
      <c r="B78" t="s">
        <v>483</v>
      </c>
      <c r="C78" t="s">
        <v>493</v>
      </c>
      <c r="D78">
        <v>106655388</v>
      </c>
      <c r="E78" t="s">
        <v>640</v>
      </c>
      <c r="F78" t="s">
        <v>486</v>
      </c>
      <c r="G78">
        <v>0.24</v>
      </c>
      <c r="H78">
        <v>5.95</v>
      </c>
      <c r="I78">
        <v>0</v>
      </c>
      <c r="J78">
        <v>0</v>
      </c>
      <c r="K78">
        <v>6.19</v>
      </c>
      <c r="L78" t="s">
        <v>487</v>
      </c>
      <c r="M78">
        <v>390</v>
      </c>
      <c r="N78">
        <v>62.96</v>
      </c>
      <c r="O78" t="s">
        <v>85</v>
      </c>
      <c r="P78" t="s">
        <v>492</v>
      </c>
      <c r="Q78">
        <v>0</v>
      </c>
      <c r="R78">
        <v>0</v>
      </c>
    </row>
    <row r="79" spans="1:18" x14ac:dyDescent="0.35">
      <c r="A79" t="s">
        <v>197</v>
      </c>
      <c r="B79" t="s">
        <v>483</v>
      </c>
      <c r="C79" t="s">
        <v>493</v>
      </c>
      <c r="D79">
        <v>107221179</v>
      </c>
      <c r="E79" t="s">
        <v>500</v>
      </c>
      <c r="F79" t="s">
        <v>486</v>
      </c>
      <c r="G79">
        <v>0.18</v>
      </c>
      <c r="H79">
        <v>5.73</v>
      </c>
      <c r="I79">
        <v>0</v>
      </c>
      <c r="J79">
        <v>0</v>
      </c>
      <c r="K79">
        <v>5.91</v>
      </c>
      <c r="L79" t="s">
        <v>487</v>
      </c>
      <c r="M79">
        <v>411</v>
      </c>
      <c r="N79">
        <v>69.53</v>
      </c>
      <c r="O79" t="s">
        <v>60</v>
      </c>
      <c r="P79" t="s">
        <v>488</v>
      </c>
      <c r="Q79">
        <v>195</v>
      </c>
      <c r="R79">
        <v>1103.77</v>
      </c>
    </row>
    <row r="80" spans="1:18" x14ac:dyDescent="0.35">
      <c r="A80" t="s">
        <v>197</v>
      </c>
      <c r="B80" t="s">
        <v>483</v>
      </c>
      <c r="C80" t="s">
        <v>493</v>
      </c>
      <c r="D80">
        <v>107221179</v>
      </c>
      <c r="E80" t="s">
        <v>500</v>
      </c>
      <c r="F80" t="s">
        <v>486</v>
      </c>
      <c r="G80">
        <v>0.18</v>
      </c>
      <c r="H80">
        <v>5.73</v>
      </c>
      <c r="I80">
        <v>0</v>
      </c>
      <c r="J80">
        <v>0</v>
      </c>
      <c r="K80">
        <v>5.91</v>
      </c>
      <c r="L80" t="s">
        <v>487</v>
      </c>
      <c r="M80">
        <v>411</v>
      </c>
      <c r="N80">
        <v>69.53</v>
      </c>
      <c r="O80" t="s">
        <v>60</v>
      </c>
      <c r="P80" t="s">
        <v>489</v>
      </c>
      <c r="Q80">
        <v>1141</v>
      </c>
      <c r="R80">
        <v>198.97</v>
      </c>
    </row>
    <row r="81" spans="1:18" x14ac:dyDescent="0.35">
      <c r="A81" t="s">
        <v>197</v>
      </c>
      <c r="B81" t="s">
        <v>483</v>
      </c>
      <c r="C81" t="s">
        <v>493</v>
      </c>
      <c r="D81">
        <v>107221179</v>
      </c>
      <c r="E81" t="s">
        <v>500</v>
      </c>
      <c r="F81" t="s">
        <v>486</v>
      </c>
      <c r="G81">
        <v>0.18</v>
      </c>
      <c r="H81">
        <v>5.73</v>
      </c>
      <c r="I81">
        <v>0</v>
      </c>
      <c r="J81">
        <v>0</v>
      </c>
      <c r="K81">
        <v>5.91</v>
      </c>
      <c r="L81" t="s">
        <v>487</v>
      </c>
      <c r="M81">
        <v>411</v>
      </c>
      <c r="N81">
        <v>69.53</v>
      </c>
      <c r="O81" t="s">
        <v>60</v>
      </c>
      <c r="P81" t="s">
        <v>490</v>
      </c>
      <c r="Q81">
        <v>0</v>
      </c>
      <c r="R81">
        <v>0</v>
      </c>
    </row>
    <row r="82" spans="1:18" x14ac:dyDescent="0.35">
      <c r="A82" t="s">
        <v>197</v>
      </c>
      <c r="B82" t="s">
        <v>483</v>
      </c>
      <c r="C82" t="s">
        <v>493</v>
      </c>
      <c r="D82">
        <v>107221179</v>
      </c>
      <c r="E82" t="s">
        <v>500</v>
      </c>
      <c r="F82" t="s">
        <v>486</v>
      </c>
      <c r="G82">
        <v>0.18</v>
      </c>
      <c r="H82">
        <v>5.73</v>
      </c>
      <c r="I82">
        <v>0</v>
      </c>
      <c r="J82">
        <v>0</v>
      </c>
      <c r="K82">
        <v>5.91</v>
      </c>
      <c r="L82" t="s">
        <v>487</v>
      </c>
      <c r="M82">
        <v>411</v>
      </c>
      <c r="N82">
        <v>69.53</v>
      </c>
      <c r="O82" t="s">
        <v>60</v>
      </c>
      <c r="P82" t="s">
        <v>491</v>
      </c>
      <c r="Q82">
        <v>0</v>
      </c>
      <c r="R82">
        <v>0</v>
      </c>
    </row>
    <row r="83" spans="1:18" x14ac:dyDescent="0.35">
      <c r="A83" t="s">
        <v>197</v>
      </c>
      <c r="B83" t="s">
        <v>483</v>
      </c>
      <c r="C83" t="s">
        <v>493</v>
      </c>
      <c r="D83">
        <v>107221179</v>
      </c>
      <c r="E83" t="s">
        <v>500</v>
      </c>
      <c r="F83" t="s">
        <v>486</v>
      </c>
      <c r="G83">
        <v>0.18</v>
      </c>
      <c r="H83">
        <v>5.73</v>
      </c>
      <c r="I83">
        <v>0</v>
      </c>
      <c r="J83">
        <v>0</v>
      </c>
      <c r="K83">
        <v>5.91</v>
      </c>
      <c r="L83" t="s">
        <v>487</v>
      </c>
      <c r="M83">
        <v>411</v>
      </c>
      <c r="N83">
        <v>69.53</v>
      </c>
      <c r="O83" t="s">
        <v>60</v>
      </c>
      <c r="P83" t="s">
        <v>492</v>
      </c>
      <c r="Q83">
        <v>1336</v>
      </c>
      <c r="R83">
        <v>226</v>
      </c>
    </row>
    <row r="84" spans="1:18" x14ac:dyDescent="0.35">
      <c r="A84" t="s">
        <v>197</v>
      </c>
      <c r="B84" t="s">
        <v>483</v>
      </c>
      <c r="C84" t="s">
        <v>493</v>
      </c>
      <c r="D84">
        <v>107221179</v>
      </c>
      <c r="E84" t="s">
        <v>500</v>
      </c>
      <c r="F84" t="s">
        <v>486</v>
      </c>
      <c r="G84">
        <v>0.18</v>
      </c>
      <c r="H84">
        <v>5.73</v>
      </c>
      <c r="I84">
        <v>0</v>
      </c>
      <c r="J84">
        <v>0</v>
      </c>
      <c r="K84">
        <v>5.91</v>
      </c>
      <c r="L84" t="s">
        <v>487</v>
      </c>
      <c r="M84">
        <v>411</v>
      </c>
      <c r="N84">
        <v>69.53</v>
      </c>
      <c r="O84" t="s">
        <v>81</v>
      </c>
      <c r="P84" t="s">
        <v>492</v>
      </c>
      <c r="Q84">
        <v>411</v>
      </c>
      <c r="R84">
        <v>69.53</v>
      </c>
    </row>
    <row r="85" spans="1:18" x14ac:dyDescent="0.35">
      <c r="A85" t="s">
        <v>197</v>
      </c>
      <c r="B85" t="s">
        <v>483</v>
      </c>
      <c r="C85" t="s">
        <v>493</v>
      </c>
      <c r="D85">
        <v>107221179</v>
      </c>
      <c r="E85" t="s">
        <v>500</v>
      </c>
      <c r="F85" t="s">
        <v>486</v>
      </c>
      <c r="G85">
        <v>0.18</v>
      </c>
      <c r="H85">
        <v>5.73</v>
      </c>
      <c r="I85">
        <v>0</v>
      </c>
      <c r="J85">
        <v>0</v>
      </c>
      <c r="K85">
        <v>5.91</v>
      </c>
      <c r="L85" t="s">
        <v>487</v>
      </c>
      <c r="M85">
        <v>411</v>
      </c>
      <c r="N85">
        <v>69.53</v>
      </c>
      <c r="O85" t="s">
        <v>85</v>
      </c>
      <c r="P85" t="s">
        <v>492</v>
      </c>
      <c r="Q85">
        <v>0</v>
      </c>
      <c r="R85">
        <v>0</v>
      </c>
    </row>
    <row r="86" spans="1:18" x14ac:dyDescent="0.35">
      <c r="A86" t="s">
        <v>197</v>
      </c>
      <c r="B86" t="s">
        <v>483</v>
      </c>
      <c r="C86" t="s">
        <v>484</v>
      </c>
      <c r="D86">
        <v>107221213</v>
      </c>
      <c r="E86" t="s">
        <v>535</v>
      </c>
      <c r="F86" t="s">
        <v>497</v>
      </c>
      <c r="G86">
        <v>7.0000000000000007E-2</v>
      </c>
      <c r="H86">
        <v>4.57</v>
      </c>
      <c r="I86">
        <v>0</v>
      </c>
      <c r="J86">
        <v>0</v>
      </c>
      <c r="K86">
        <v>4.63</v>
      </c>
      <c r="L86" t="s">
        <v>487</v>
      </c>
      <c r="M86">
        <v>101</v>
      </c>
      <c r="N86">
        <v>21.8</v>
      </c>
      <c r="O86" t="s">
        <v>60</v>
      </c>
      <c r="P86" t="s">
        <v>488</v>
      </c>
      <c r="Q86">
        <v>96</v>
      </c>
      <c r="R86">
        <v>1452.1</v>
      </c>
    </row>
    <row r="87" spans="1:18" x14ac:dyDescent="0.35">
      <c r="A87" t="s">
        <v>197</v>
      </c>
      <c r="B87" t="s">
        <v>483</v>
      </c>
      <c r="C87" t="s">
        <v>484</v>
      </c>
      <c r="D87">
        <v>107221213</v>
      </c>
      <c r="E87" t="s">
        <v>535</v>
      </c>
      <c r="F87" t="s">
        <v>497</v>
      </c>
      <c r="G87">
        <v>7.0000000000000007E-2</v>
      </c>
      <c r="H87">
        <v>4.57</v>
      </c>
      <c r="I87">
        <v>0</v>
      </c>
      <c r="J87">
        <v>0</v>
      </c>
      <c r="K87">
        <v>4.63</v>
      </c>
      <c r="L87" t="s">
        <v>487</v>
      </c>
      <c r="M87">
        <v>101</v>
      </c>
      <c r="N87">
        <v>21.8</v>
      </c>
      <c r="O87" t="s">
        <v>60</v>
      </c>
      <c r="P87" t="s">
        <v>489</v>
      </c>
      <c r="Q87">
        <v>1195</v>
      </c>
      <c r="R87">
        <v>261.66000000000003</v>
      </c>
    </row>
    <row r="88" spans="1:18" x14ac:dyDescent="0.35">
      <c r="A88" t="s">
        <v>197</v>
      </c>
      <c r="B88" t="s">
        <v>483</v>
      </c>
      <c r="C88" t="s">
        <v>484</v>
      </c>
      <c r="D88">
        <v>107221213</v>
      </c>
      <c r="E88" t="s">
        <v>535</v>
      </c>
      <c r="F88" t="s">
        <v>497</v>
      </c>
      <c r="G88">
        <v>7.0000000000000007E-2</v>
      </c>
      <c r="H88">
        <v>4.57</v>
      </c>
      <c r="I88">
        <v>0</v>
      </c>
      <c r="J88">
        <v>0</v>
      </c>
      <c r="K88">
        <v>4.63</v>
      </c>
      <c r="L88" t="s">
        <v>487</v>
      </c>
      <c r="M88">
        <v>101</v>
      </c>
      <c r="N88">
        <v>21.8</v>
      </c>
      <c r="O88" t="s">
        <v>60</v>
      </c>
      <c r="P88" t="s">
        <v>490</v>
      </c>
      <c r="Q88">
        <v>0</v>
      </c>
      <c r="R88">
        <v>0</v>
      </c>
    </row>
    <row r="89" spans="1:18" x14ac:dyDescent="0.35">
      <c r="A89" t="s">
        <v>197</v>
      </c>
      <c r="B89" t="s">
        <v>483</v>
      </c>
      <c r="C89" t="s">
        <v>484</v>
      </c>
      <c r="D89">
        <v>107221213</v>
      </c>
      <c r="E89" t="s">
        <v>535</v>
      </c>
      <c r="F89" t="s">
        <v>497</v>
      </c>
      <c r="G89">
        <v>7.0000000000000007E-2</v>
      </c>
      <c r="H89">
        <v>4.57</v>
      </c>
      <c r="I89">
        <v>0</v>
      </c>
      <c r="J89">
        <v>0</v>
      </c>
      <c r="K89">
        <v>4.63</v>
      </c>
      <c r="L89" t="s">
        <v>487</v>
      </c>
      <c r="M89">
        <v>101</v>
      </c>
      <c r="N89">
        <v>21.8</v>
      </c>
      <c r="O89" t="s">
        <v>60</v>
      </c>
      <c r="P89" t="s">
        <v>491</v>
      </c>
      <c r="Q89">
        <v>0</v>
      </c>
      <c r="R89">
        <v>0</v>
      </c>
    </row>
    <row r="90" spans="1:18" x14ac:dyDescent="0.35">
      <c r="A90" t="s">
        <v>197</v>
      </c>
      <c r="B90" t="s">
        <v>483</v>
      </c>
      <c r="C90" t="s">
        <v>484</v>
      </c>
      <c r="D90">
        <v>107221213</v>
      </c>
      <c r="E90" t="s">
        <v>535</v>
      </c>
      <c r="F90" t="s">
        <v>497</v>
      </c>
      <c r="G90">
        <v>7.0000000000000007E-2</v>
      </c>
      <c r="H90">
        <v>4.57</v>
      </c>
      <c r="I90">
        <v>0</v>
      </c>
      <c r="J90">
        <v>0</v>
      </c>
      <c r="K90">
        <v>4.63</v>
      </c>
      <c r="L90" t="s">
        <v>487</v>
      </c>
      <c r="M90">
        <v>101</v>
      </c>
      <c r="N90">
        <v>21.8</v>
      </c>
      <c r="O90" t="s">
        <v>60</v>
      </c>
      <c r="P90" t="s">
        <v>492</v>
      </c>
      <c r="Q90">
        <v>1291</v>
      </c>
      <c r="R90">
        <v>278.63</v>
      </c>
    </row>
    <row r="91" spans="1:18" x14ac:dyDescent="0.35">
      <c r="A91" t="s">
        <v>197</v>
      </c>
      <c r="B91" t="s">
        <v>483</v>
      </c>
      <c r="C91" t="s">
        <v>484</v>
      </c>
      <c r="D91">
        <v>107221213</v>
      </c>
      <c r="E91" t="s">
        <v>535</v>
      </c>
      <c r="F91" t="s">
        <v>497</v>
      </c>
      <c r="G91">
        <v>7.0000000000000007E-2</v>
      </c>
      <c r="H91">
        <v>4.57</v>
      </c>
      <c r="I91">
        <v>0</v>
      </c>
      <c r="J91">
        <v>0</v>
      </c>
      <c r="K91">
        <v>4.63</v>
      </c>
      <c r="L91" t="s">
        <v>487</v>
      </c>
      <c r="M91">
        <v>101</v>
      </c>
      <c r="N91">
        <v>21.8</v>
      </c>
      <c r="O91" t="s">
        <v>81</v>
      </c>
      <c r="P91" t="s">
        <v>492</v>
      </c>
      <c r="Q91">
        <v>101</v>
      </c>
      <c r="R91">
        <v>21.8</v>
      </c>
    </row>
    <row r="92" spans="1:18" x14ac:dyDescent="0.35">
      <c r="A92" t="s">
        <v>197</v>
      </c>
      <c r="B92" t="s">
        <v>483</v>
      </c>
      <c r="C92" t="s">
        <v>484</v>
      </c>
      <c r="D92">
        <v>107221213</v>
      </c>
      <c r="E92" t="s">
        <v>535</v>
      </c>
      <c r="F92" t="s">
        <v>497</v>
      </c>
      <c r="G92">
        <v>7.0000000000000007E-2</v>
      </c>
      <c r="H92">
        <v>4.57</v>
      </c>
      <c r="I92">
        <v>0</v>
      </c>
      <c r="J92">
        <v>0</v>
      </c>
      <c r="K92">
        <v>4.63</v>
      </c>
      <c r="L92" t="s">
        <v>487</v>
      </c>
      <c r="M92">
        <v>101</v>
      </c>
      <c r="N92">
        <v>21.8</v>
      </c>
      <c r="O92" t="s">
        <v>85</v>
      </c>
      <c r="P92" t="s">
        <v>492</v>
      </c>
      <c r="Q92">
        <v>0</v>
      </c>
      <c r="R92">
        <v>0</v>
      </c>
    </row>
    <row r="93" spans="1:18" x14ac:dyDescent="0.35">
      <c r="A93" t="s">
        <v>197</v>
      </c>
      <c r="B93" t="s">
        <v>483</v>
      </c>
      <c r="C93" t="s">
        <v>484</v>
      </c>
      <c r="D93">
        <v>107221222</v>
      </c>
      <c r="E93" t="s">
        <v>501</v>
      </c>
      <c r="F93" t="s">
        <v>486</v>
      </c>
      <c r="G93">
        <v>0.72</v>
      </c>
      <c r="H93">
        <v>5.61</v>
      </c>
      <c r="I93">
        <v>0</v>
      </c>
      <c r="J93">
        <v>0</v>
      </c>
      <c r="K93">
        <v>6.33</v>
      </c>
      <c r="L93" t="s">
        <v>487</v>
      </c>
      <c r="M93">
        <v>294</v>
      </c>
      <c r="N93">
        <v>46.46</v>
      </c>
      <c r="O93" t="s">
        <v>60</v>
      </c>
      <c r="P93" t="s">
        <v>488</v>
      </c>
      <c r="Q93">
        <v>1634</v>
      </c>
      <c r="R93">
        <v>2279.12</v>
      </c>
    </row>
    <row r="94" spans="1:18" x14ac:dyDescent="0.35">
      <c r="A94" t="s">
        <v>197</v>
      </c>
      <c r="B94" t="s">
        <v>483</v>
      </c>
      <c r="C94" t="s">
        <v>484</v>
      </c>
      <c r="D94">
        <v>107221222</v>
      </c>
      <c r="E94" t="s">
        <v>501</v>
      </c>
      <c r="F94" t="s">
        <v>486</v>
      </c>
      <c r="G94">
        <v>0.72</v>
      </c>
      <c r="H94">
        <v>5.61</v>
      </c>
      <c r="I94">
        <v>0</v>
      </c>
      <c r="J94">
        <v>0</v>
      </c>
      <c r="K94">
        <v>6.33</v>
      </c>
      <c r="L94" t="s">
        <v>487</v>
      </c>
      <c r="M94">
        <v>294</v>
      </c>
      <c r="N94">
        <v>46.46</v>
      </c>
      <c r="O94" t="s">
        <v>60</v>
      </c>
      <c r="P94" t="s">
        <v>489</v>
      </c>
      <c r="Q94">
        <v>2306</v>
      </c>
      <c r="R94">
        <v>410.99</v>
      </c>
    </row>
    <row r="95" spans="1:18" x14ac:dyDescent="0.35">
      <c r="A95" t="s">
        <v>197</v>
      </c>
      <c r="B95" t="s">
        <v>483</v>
      </c>
      <c r="C95" t="s">
        <v>484</v>
      </c>
      <c r="D95">
        <v>107221222</v>
      </c>
      <c r="E95" t="s">
        <v>501</v>
      </c>
      <c r="F95" t="s">
        <v>486</v>
      </c>
      <c r="G95">
        <v>0.72</v>
      </c>
      <c r="H95">
        <v>5.61</v>
      </c>
      <c r="I95">
        <v>0</v>
      </c>
      <c r="J95">
        <v>0</v>
      </c>
      <c r="K95">
        <v>6.33</v>
      </c>
      <c r="L95" t="s">
        <v>487</v>
      </c>
      <c r="M95">
        <v>294</v>
      </c>
      <c r="N95">
        <v>46.46</v>
      </c>
      <c r="O95" t="s">
        <v>60</v>
      </c>
      <c r="P95" t="s">
        <v>490</v>
      </c>
      <c r="Q95">
        <v>0</v>
      </c>
      <c r="R95">
        <v>0</v>
      </c>
    </row>
    <row r="96" spans="1:18" x14ac:dyDescent="0.35">
      <c r="A96" t="s">
        <v>197</v>
      </c>
      <c r="B96" t="s">
        <v>483</v>
      </c>
      <c r="C96" t="s">
        <v>484</v>
      </c>
      <c r="D96">
        <v>107221222</v>
      </c>
      <c r="E96" t="s">
        <v>501</v>
      </c>
      <c r="F96" t="s">
        <v>486</v>
      </c>
      <c r="G96">
        <v>0.72</v>
      </c>
      <c r="H96">
        <v>5.61</v>
      </c>
      <c r="I96">
        <v>0</v>
      </c>
      <c r="J96">
        <v>0</v>
      </c>
      <c r="K96">
        <v>6.33</v>
      </c>
      <c r="L96" t="s">
        <v>487</v>
      </c>
      <c r="M96">
        <v>294</v>
      </c>
      <c r="N96">
        <v>46.46</v>
      </c>
      <c r="O96" t="s">
        <v>60</v>
      </c>
      <c r="P96" t="s">
        <v>491</v>
      </c>
      <c r="Q96">
        <v>0</v>
      </c>
      <c r="R96">
        <v>0</v>
      </c>
    </row>
    <row r="97" spans="1:18" x14ac:dyDescent="0.35">
      <c r="A97" t="s">
        <v>197</v>
      </c>
      <c r="B97" t="s">
        <v>483</v>
      </c>
      <c r="C97" t="s">
        <v>484</v>
      </c>
      <c r="D97">
        <v>107221222</v>
      </c>
      <c r="E97" t="s">
        <v>501</v>
      </c>
      <c r="F97" t="s">
        <v>486</v>
      </c>
      <c r="G97">
        <v>0.72</v>
      </c>
      <c r="H97">
        <v>5.61</v>
      </c>
      <c r="I97">
        <v>0</v>
      </c>
      <c r="J97">
        <v>0</v>
      </c>
      <c r="K97">
        <v>6.33</v>
      </c>
      <c r="L97" t="s">
        <v>487</v>
      </c>
      <c r="M97">
        <v>294</v>
      </c>
      <c r="N97">
        <v>46.46</v>
      </c>
      <c r="O97" t="s">
        <v>60</v>
      </c>
      <c r="P97" t="s">
        <v>492</v>
      </c>
      <c r="Q97">
        <v>3940</v>
      </c>
      <c r="R97">
        <v>622.62</v>
      </c>
    </row>
    <row r="98" spans="1:18" x14ac:dyDescent="0.35">
      <c r="A98" t="s">
        <v>197</v>
      </c>
      <c r="B98" t="s">
        <v>483</v>
      </c>
      <c r="C98" t="s">
        <v>484</v>
      </c>
      <c r="D98">
        <v>107221222</v>
      </c>
      <c r="E98" t="s">
        <v>501</v>
      </c>
      <c r="F98" t="s">
        <v>486</v>
      </c>
      <c r="G98">
        <v>0.72</v>
      </c>
      <c r="H98">
        <v>5.61</v>
      </c>
      <c r="I98">
        <v>0</v>
      </c>
      <c r="J98">
        <v>0</v>
      </c>
      <c r="K98">
        <v>6.33</v>
      </c>
      <c r="L98" t="s">
        <v>487</v>
      </c>
      <c r="M98">
        <v>294</v>
      </c>
      <c r="N98">
        <v>46.46</v>
      </c>
      <c r="O98" t="s">
        <v>81</v>
      </c>
      <c r="P98" t="s">
        <v>492</v>
      </c>
      <c r="Q98">
        <v>294</v>
      </c>
      <c r="R98">
        <v>46.46</v>
      </c>
    </row>
    <row r="99" spans="1:18" x14ac:dyDescent="0.35">
      <c r="A99" t="s">
        <v>197</v>
      </c>
      <c r="B99" t="s">
        <v>483</v>
      </c>
      <c r="C99" t="s">
        <v>484</v>
      </c>
      <c r="D99">
        <v>107221222</v>
      </c>
      <c r="E99" t="s">
        <v>501</v>
      </c>
      <c r="F99" t="s">
        <v>486</v>
      </c>
      <c r="G99">
        <v>0.72</v>
      </c>
      <c r="H99">
        <v>5.61</v>
      </c>
      <c r="I99">
        <v>0</v>
      </c>
      <c r="J99">
        <v>0</v>
      </c>
      <c r="K99">
        <v>6.33</v>
      </c>
      <c r="L99" t="s">
        <v>487</v>
      </c>
      <c r="M99">
        <v>294</v>
      </c>
      <c r="N99">
        <v>46.46</v>
      </c>
      <c r="O99" t="s">
        <v>85</v>
      </c>
      <c r="P99" t="s">
        <v>492</v>
      </c>
      <c r="Q99">
        <v>0</v>
      </c>
      <c r="R99">
        <v>0</v>
      </c>
    </row>
    <row r="100" spans="1:18" x14ac:dyDescent="0.35">
      <c r="A100" t="s">
        <v>197</v>
      </c>
      <c r="B100" t="s">
        <v>483</v>
      </c>
      <c r="C100" t="s">
        <v>493</v>
      </c>
      <c r="D100">
        <v>107221225</v>
      </c>
      <c r="E100" t="s">
        <v>536</v>
      </c>
      <c r="F100" t="s">
        <v>497</v>
      </c>
      <c r="G100">
        <v>0.25</v>
      </c>
      <c r="H100">
        <v>6</v>
      </c>
      <c r="I100">
        <v>0</v>
      </c>
      <c r="J100">
        <v>0</v>
      </c>
      <c r="K100">
        <v>6.24</v>
      </c>
      <c r="L100" t="s">
        <v>487</v>
      </c>
      <c r="M100">
        <v>350</v>
      </c>
      <c r="N100">
        <v>56.05</v>
      </c>
      <c r="O100" t="s">
        <v>60</v>
      </c>
      <c r="P100" t="s">
        <v>488</v>
      </c>
      <c r="Q100">
        <v>335</v>
      </c>
      <c r="R100">
        <v>1350.5</v>
      </c>
    </row>
    <row r="101" spans="1:18" x14ac:dyDescent="0.35">
      <c r="A101" t="s">
        <v>197</v>
      </c>
      <c r="B101" t="s">
        <v>483</v>
      </c>
      <c r="C101" t="s">
        <v>493</v>
      </c>
      <c r="D101">
        <v>107221225</v>
      </c>
      <c r="E101" t="s">
        <v>536</v>
      </c>
      <c r="F101" t="s">
        <v>497</v>
      </c>
      <c r="G101">
        <v>0.25</v>
      </c>
      <c r="H101">
        <v>6</v>
      </c>
      <c r="I101">
        <v>0</v>
      </c>
      <c r="J101">
        <v>0</v>
      </c>
      <c r="K101">
        <v>6.24</v>
      </c>
      <c r="L101" t="s">
        <v>487</v>
      </c>
      <c r="M101">
        <v>350</v>
      </c>
      <c r="N101">
        <v>56.05</v>
      </c>
      <c r="O101" t="s">
        <v>60</v>
      </c>
      <c r="P101" t="s">
        <v>489</v>
      </c>
      <c r="Q101">
        <v>1460</v>
      </c>
      <c r="R101">
        <v>243.48</v>
      </c>
    </row>
    <row r="102" spans="1:18" x14ac:dyDescent="0.35">
      <c r="A102" t="s">
        <v>197</v>
      </c>
      <c r="B102" t="s">
        <v>483</v>
      </c>
      <c r="C102" t="s">
        <v>493</v>
      </c>
      <c r="D102">
        <v>107221225</v>
      </c>
      <c r="E102" t="s">
        <v>536</v>
      </c>
      <c r="F102" t="s">
        <v>497</v>
      </c>
      <c r="G102">
        <v>0.25</v>
      </c>
      <c r="H102">
        <v>6</v>
      </c>
      <c r="I102">
        <v>0</v>
      </c>
      <c r="J102">
        <v>0</v>
      </c>
      <c r="K102">
        <v>6.24</v>
      </c>
      <c r="L102" t="s">
        <v>487</v>
      </c>
      <c r="M102">
        <v>350</v>
      </c>
      <c r="N102">
        <v>56.05</v>
      </c>
      <c r="O102" t="s">
        <v>60</v>
      </c>
      <c r="P102" t="s">
        <v>490</v>
      </c>
      <c r="Q102">
        <v>0</v>
      </c>
      <c r="R102">
        <v>0</v>
      </c>
    </row>
    <row r="103" spans="1:18" x14ac:dyDescent="0.35">
      <c r="A103" t="s">
        <v>197</v>
      </c>
      <c r="B103" t="s">
        <v>483</v>
      </c>
      <c r="C103" t="s">
        <v>493</v>
      </c>
      <c r="D103">
        <v>107221225</v>
      </c>
      <c r="E103" t="s">
        <v>536</v>
      </c>
      <c r="F103" t="s">
        <v>497</v>
      </c>
      <c r="G103">
        <v>0.25</v>
      </c>
      <c r="H103">
        <v>6</v>
      </c>
      <c r="I103">
        <v>0</v>
      </c>
      <c r="J103">
        <v>0</v>
      </c>
      <c r="K103">
        <v>6.24</v>
      </c>
      <c r="L103" t="s">
        <v>487</v>
      </c>
      <c r="M103">
        <v>350</v>
      </c>
      <c r="N103">
        <v>56.05</v>
      </c>
      <c r="O103" t="s">
        <v>60</v>
      </c>
      <c r="P103" t="s">
        <v>491</v>
      </c>
      <c r="Q103">
        <v>0</v>
      </c>
      <c r="R103">
        <v>0</v>
      </c>
    </row>
    <row r="104" spans="1:18" x14ac:dyDescent="0.35">
      <c r="A104" t="s">
        <v>197</v>
      </c>
      <c r="B104" t="s">
        <v>483</v>
      </c>
      <c r="C104" t="s">
        <v>493</v>
      </c>
      <c r="D104">
        <v>107221225</v>
      </c>
      <c r="E104" t="s">
        <v>536</v>
      </c>
      <c r="F104" t="s">
        <v>497</v>
      </c>
      <c r="G104">
        <v>0.25</v>
      </c>
      <c r="H104">
        <v>6</v>
      </c>
      <c r="I104">
        <v>0</v>
      </c>
      <c r="J104">
        <v>0</v>
      </c>
      <c r="K104">
        <v>6.24</v>
      </c>
      <c r="L104" t="s">
        <v>487</v>
      </c>
      <c r="M104">
        <v>350</v>
      </c>
      <c r="N104">
        <v>56.05</v>
      </c>
      <c r="O104" t="s">
        <v>60</v>
      </c>
      <c r="P104" t="s">
        <v>492</v>
      </c>
      <c r="Q104">
        <v>1795</v>
      </c>
      <c r="R104">
        <v>287.44</v>
      </c>
    </row>
    <row r="105" spans="1:18" x14ac:dyDescent="0.35">
      <c r="A105" t="s">
        <v>197</v>
      </c>
      <c r="B105" t="s">
        <v>483</v>
      </c>
      <c r="C105" t="s">
        <v>493</v>
      </c>
      <c r="D105">
        <v>107221225</v>
      </c>
      <c r="E105" t="s">
        <v>536</v>
      </c>
      <c r="F105" t="s">
        <v>497</v>
      </c>
      <c r="G105">
        <v>0.25</v>
      </c>
      <c r="H105">
        <v>6</v>
      </c>
      <c r="I105">
        <v>0</v>
      </c>
      <c r="J105">
        <v>0</v>
      </c>
      <c r="K105">
        <v>6.24</v>
      </c>
      <c r="L105" t="s">
        <v>487</v>
      </c>
      <c r="M105">
        <v>350</v>
      </c>
      <c r="N105">
        <v>56.05</v>
      </c>
      <c r="O105" t="s">
        <v>81</v>
      </c>
      <c r="P105" t="s">
        <v>492</v>
      </c>
      <c r="Q105">
        <v>350</v>
      </c>
      <c r="R105">
        <v>56.05</v>
      </c>
    </row>
    <row r="106" spans="1:18" x14ac:dyDescent="0.35">
      <c r="A106" t="s">
        <v>197</v>
      </c>
      <c r="B106" t="s">
        <v>483</v>
      </c>
      <c r="C106" t="s">
        <v>493</v>
      </c>
      <c r="D106">
        <v>107221225</v>
      </c>
      <c r="E106" t="s">
        <v>536</v>
      </c>
      <c r="F106" t="s">
        <v>497</v>
      </c>
      <c r="G106">
        <v>0.25</v>
      </c>
      <c r="H106">
        <v>6</v>
      </c>
      <c r="I106">
        <v>0</v>
      </c>
      <c r="J106">
        <v>0</v>
      </c>
      <c r="K106">
        <v>6.24</v>
      </c>
      <c r="L106" t="s">
        <v>487</v>
      </c>
      <c r="M106">
        <v>350</v>
      </c>
      <c r="N106">
        <v>56.05</v>
      </c>
      <c r="O106" t="s">
        <v>85</v>
      </c>
      <c r="P106" t="s">
        <v>492</v>
      </c>
      <c r="Q106">
        <v>0</v>
      </c>
      <c r="R106">
        <v>0</v>
      </c>
    </row>
    <row r="107" spans="1:18" x14ac:dyDescent="0.35">
      <c r="A107" t="s">
        <v>197</v>
      </c>
      <c r="B107" t="s">
        <v>483</v>
      </c>
      <c r="C107" t="s">
        <v>493</v>
      </c>
      <c r="D107">
        <v>107221237</v>
      </c>
      <c r="E107" t="s">
        <v>527</v>
      </c>
      <c r="F107" t="s">
        <v>486</v>
      </c>
      <c r="G107">
        <v>0.3</v>
      </c>
      <c r="H107">
        <v>5.58</v>
      </c>
      <c r="I107">
        <v>0</v>
      </c>
      <c r="J107">
        <v>0</v>
      </c>
      <c r="K107">
        <v>5.88</v>
      </c>
      <c r="L107" t="s">
        <v>487</v>
      </c>
      <c r="M107">
        <v>216</v>
      </c>
      <c r="N107">
        <v>36.75</v>
      </c>
      <c r="O107" t="s">
        <v>60</v>
      </c>
      <c r="P107" t="s">
        <v>488</v>
      </c>
      <c r="Q107">
        <v>375</v>
      </c>
      <c r="R107">
        <v>1269.99</v>
      </c>
    </row>
    <row r="108" spans="1:18" x14ac:dyDescent="0.35">
      <c r="A108" t="s">
        <v>197</v>
      </c>
      <c r="B108" t="s">
        <v>483</v>
      </c>
      <c r="C108" t="s">
        <v>493</v>
      </c>
      <c r="D108">
        <v>107221237</v>
      </c>
      <c r="E108" t="s">
        <v>527</v>
      </c>
      <c r="F108" t="s">
        <v>486</v>
      </c>
      <c r="G108">
        <v>0.3</v>
      </c>
      <c r="H108">
        <v>5.58</v>
      </c>
      <c r="I108">
        <v>0</v>
      </c>
      <c r="J108">
        <v>0</v>
      </c>
      <c r="K108">
        <v>5.88</v>
      </c>
      <c r="L108" t="s">
        <v>487</v>
      </c>
      <c r="M108">
        <v>216</v>
      </c>
      <c r="N108">
        <v>36.75</v>
      </c>
      <c r="O108" t="s">
        <v>60</v>
      </c>
      <c r="P108" t="s">
        <v>489</v>
      </c>
      <c r="Q108">
        <v>1278</v>
      </c>
      <c r="R108">
        <v>228.93</v>
      </c>
    </row>
    <row r="109" spans="1:18" x14ac:dyDescent="0.35">
      <c r="A109" t="s">
        <v>197</v>
      </c>
      <c r="B109" t="s">
        <v>483</v>
      </c>
      <c r="C109" t="s">
        <v>493</v>
      </c>
      <c r="D109">
        <v>107221237</v>
      </c>
      <c r="E109" t="s">
        <v>527</v>
      </c>
      <c r="F109" t="s">
        <v>486</v>
      </c>
      <c r="G109">
        <v>0.3</v>
      </c>
      <c r="H109">
        <v>5.58</v>
      </c>
      <c r="I109">
        <v>0</v>
      </c>
      <c r="J109">
        <v>0</v>
      </c>
      <c r="K109">
        <v>5.88</v>
      </c>
      <c r="L109" t="s">
        <v>487</v>
      </c>
      <c r="M109">
        <v>216</v>
      </c>
      <c r="N109">
        <v>36.75</v>
      </c>
      <c r="O109" t="s">
        <v>60</v>
      </c>
      <c r="P109" t="s">
        <v>490</v>
      </c>
      <c r="Q109">
        <v>0</v>
      </c>
      <c r="R109">
        <v>0</v>
      </c>
    </row>
    <row r="110" spans="1:18" x14ac:dyDescent="0.35">
      <c r="A110" t="s">
        <v>197</v>
      </c>
      <c r="B110" t="s">
        <v>483</v>
      </c>
      <c r="C110" t="s">
        <v>493</v>
      </c>
      <c r="D110">
        <v>107221237</v>
      </c>
      <c r="E110" t="s">
        <v>527</v>
      </c>
      <c r="F110" t="s">
        <v>486</v>
      </c>
      <c r="G110">
        <v>0.3</v>
      </c>
      <c r="H110">
        <v>5.58</v>
      </c>
      <c r="I110">
        <v>0</v>
      </c>
      <c r="J110">
        <v>0</v>
      </c>
      <c r="K110">
        <v>5.88</v>
      </c>
      <c r="L110" t="s">
        <v>487</v>
      </c>
      <c r="M110">
        <v>216</v>
      </c>
      <c r="N110">
        <v>36.75</v>
      </c>
      <c r="O110" t="s">
        <v>60</v>
      </c>
      <c r="P110" t="s">
        <v>491</v>
      </c>
      <c r="Q110">
        <v>0</v>
      </c>
      <c r="R110">
        <v>0</v>
      </c>
    </row>
    <row r="111" spans="1:18" x14ac:dyDescent="0.35">
      <c r="A111" t="s">
        <v>197</v>
      </c>
      <c r="B111" t="s">
        <v>483</v>
      </c>
      <c r="C111" t="s">
        <v>493</v>
      </c>
      <c r="D111">
        <v>107221237</v>
      </c>
      <c r="E111" t="s">
        <v>527</v>
      </c>
      <c r="F111" t="s">
        <v>486</v>
      </c>
      <c r="G111">
        <v>0.3</v>
      </c>
      <c r="H111">
        <v>5.58</v>
      </c>
      <c r="I111">
        <v>0</v>
      </c>
      <c r="J111">
        <v>0</v>
      </c>
      <c r="K111">
        <v>5.88</v>
      </c>
      <c r="L111" t="s">
        <v>487</v>
      </c>
      <c r="M111">
        <v>216</v>
      </c>
      <c r="N111">
        <v>36.75</v>
      </c>
      <c r="O111" t="s">
        <v>60</v>
      </c>
      <c r="P111" t="s">
        <v>492</v>
      </c>
      <c r="Q111">
        <v>1653</v>
      </c>
      <c r="R111">
        <v>281.22000000000003</v>
      </c>
    </row>
    <row r="112" spans="1:18" x14ac:dyDescent="0.35">
      <c r="A112" t="s">
        <v>197</v>
      </c>
      <c r="B112" t="s">
        <v>483</v>
      </c>
      <c r="C112" t="s">
        <v>493</v>
      </c>
      <c r="D112">
        <v>107221237</v>
      </c>
      <c r="E112" t="s">
        <v>527</v>
      </c>
      <c r="F112" t="s">
        <v>486</v>
      </c>
      <c r="G112">
        <v>0.3</v>
      </c>
      <c r="H112">
        <v>5.58</v>
      </c>
      <c r="I112">
        <v>0</v>
      </c>
      <c r="J112">
        <v>0</v>
      </c>
      <c r="K112">
        <v>5.88</v>
      </c>
      <c r="L112" t="s">
        <v>487</v>
      </c>
      <c r="M112">
        <v>216</v>
      </c>
      <c r="N112">
        <v>36.75</v>
      </c>
      <c r="O112" t="s">
        <v>81</v>
      </c>
      <c r="P112" t="s">
        <v>492</v>
      </c>
      <c r="Q112">
        <v>216</v>
      </c>
      <c r="R112">
        <v>36.75</v>
      </c>
    </row>
    <row r="113" spans="1:18" x14ac:dyDescent="0.35">
      <c r="A113" t="s">
        <v>197</v>
      </c>
      <c r="B113" t="s">
        <v>483</v>
      </c>
      <c r="C113" t="s">
        <v>493</v>
      </c>
      <c r="D113">
        <v>107221237</v>
      </c>
      <c r="E113" t="s">
        <v>527</v>
      </c>
      <c r="F113" t="s">
        <v>486</v>
      </c>
      <c r="G113">
        <v>0.3</v>
      </c>
      <c r="H113">
        <v>5.58</v>
      </c>
      <c r="I113">
        <v>0</v>
      </c>
      <c r="J113">
        <v>0</v>
      </c>
      <c r="K113">
        <v>5.88</v>
      </c>
      <c r="L113" t="s">
        <v>487</v>
      </c>
      <c r="M113">
        <v>216</v>
      </c>
      <c r="N113">
        <v>36.75</v>
      </c>
      <c r="O113" t="s">
        <v>85</v>
      </c>
      <c r="P113" t="s">
        <v>492</v>
      </c>
      <c r="Q113">
        <v>0</v>
      </c>
      <c r="R113">
        <v>0</v>
      </c>
    </row>
    <row r="114" spans="1:18" x14ac:dyDescent="0.35">
      <c r="A114" t="s">
        <v>197</v>
      </c>
      <c r="B114" t="s">
        <v>483</v>
      </c>
      <c r="C114" t="s">
        <v>484</v>
      </c>
      <c r="D114">
        <v>107232968</v>
      </c>
      <c r="E114" t="s">
        <v>528</v>
      </c>
      <c r="F114" t="s">
        <v>486</v>
      </c>
      <c r="G114">
        <v>0.31</v>
      </c>
      <c r="H114">
        <v>4.3899999999999997</v>
      </c>
      <c r="I114">
        <v>0</v>
      </c>
      <c r="J114">
        <v>0</v>
      </c>
      <c r="K114">
        <v>4.7</v>
      </c>
      <c r="L114" t="s">
        <v>487</v>
      </c>
      <c r="M114">
        <v>354</v>
      </c>
      <c r="N114">
        <v>75.319999999999993</v>
      </c>
      <c r="O114" t="s">
        <v>60</v>
      </c>
      <c r="P114" t="s">
        <v>488</v>
      </c>
      <c r="Q114">
        <v>400</v>
      </c>
      <c r="R114">
        <v>1296.1300000000001</v>
      </c>
    </row>
    <row r="115" spans="1:18" x14ac:dyDescent="0.35">
      <c r="A115" t="s">
        <v>197</v>
      </c>
      <c r="B115" t="s">
        <v>483</v>
      </c>
      <c r="C115" t="s">
        <v>484</v>
      </c>
      <c r="D115">
        <v>107232968</v>
      </c>
      <c r="E115" t="s">
        <v>528</v>
      </c>
      <c r="F115" t="s">
        <v>486</v>
      </c>
      <c r="G115">
        <v>0.31</v>
      </c>
      <c r="H115">
        <v>4.3899999999999997</v>
      </c>
      <c r="I115">
        <v>0</v>
      </c>
      <c r="J115">
        <v>0</v>
      </c>
      <c r="K115">
        <v>4.7</v>
      </c>
      <c r="L115" t="s">
        <v>487</v>
      </c>
      <c r="M115">
        <v>354</v>
      </c>
      <c r="N115">
        <v>75.319999999999993</v>
      </c>
      <c r="O115" t="s">
        <v>60</v>
      </c>
      <c r="P115" t="s">
        <v>489</v>
      </c>
      <c r="Q115">
        <v>1026</v>
      </c>
      <c r="R115">
        <v>233.65</v>
      </c>
    </row>
    <row r="116" spans="1:18" x14ac:dyDescent="0.35">
      <c r="A116" t="s">
        <v>197</v>
      </c>
      <c r="B116" t="s">
        <v>483</v>
      </c>
      <c r="C116" t="s">
        <v>484</v>
      </c>
      <c r="D116">
        <v>107232968</v>
      </c>
      <c r="E116" t="s">
        <v>528</v>
      </c>
      <c r="F116" t="s">
        <v>486</v>
      </c>
      <c r="G116">
        <v>0.31</v>
      </c>
      <c r="H116">
        <v>4.3899999999999997</v>
      </c>
      <c r="I116">
        <v>0</v>
      </c>
      <c r="J116">
        <v>0</v>
      </c>
      <c r="K116">
        <v>4.7</v>
      </c>
      <c r="L116" t="s">
        <v>487</v>
      </c>
      <c r="M116">
        <v>354</v>
      </c>
      <c r="N116">
        <v>75.319999999999993</v>
      </c>
      <c r="O116" t="s">
        <v>60</v>
      </c>
      <c r="P116" t="s">
        <v>490</v>
      </c>
      <c r="Q116">
        <v>0</v>
      </c>
      <c r="R116">
        <v>0</v>
      </c>
    </row>
    <row r="117" spans="1:18" x14ac:dyDescent="0.35">
      <c r="A117" t="s">
        <v>197</v>
      </c>
      <c r="B117" t="s">
        <v>483</v>
      </c>
      <c r="C117" t="s">
        <v>484</v>
      </c>
      <c r="D117">
        <v>107232968</v>
      </c>
      <c r="E117" t="s">
        <v>528</v>
      </c>
      <c r="F117" t="s">
        <v>486</v>
      </c>
      <c r="G117">
        <v>0.31</v>
      </c>
      <c r="H117">
        <v>4.3899999999999997</v>
      </c>
      <c r="I117">
        <v>0</v>
      </c>
      <c r="J117">
        <v>0</v>
      </c>
      <c r="K117">
        <v>4.7</v>
      </c>
      <c r="L117" t="s">
        <v>487</v>
      </c>
      <c r="M117">
        <v>354</v>
      </c>
      <c r="N117">
        <v>75.319999999999993</v>
      </c>
      <c r="O117" t="s">
        <v>60</v>
      </c>
      <c r="P117" t="s">
        <v>491</v>
      </c>
      <c r="Q117">
        <v>0</v>
      </c>
      <c r="R117">
        <v>0</v>
      </c>
    </row>
    <row r="118" spans="1:18" x14ac:dyDescent="0.35">
      <c r="A118" t="s">
        <v>197</v>
      </c>
      <c r="B118" t="s">
        <v>483</v>
      </c>
      <c r="C118" t="s">
        <v>484</v>
      </c>
      <c r="D118">
        <v>107232968</v>
      </c>
      <c r="E118" t="s">
        <v>528</v>
      </c>
      <c r="F118" t="s">
        <v>486</v>
      </c>
      <c r="G118">
        <v>0.31</v>
      </c>
      <c r="H118">
        <v>4.3899999999999997</v>
      </c>
      <c r="I118">
        <v>0</v>
      </c>
      <c r="J118">
        <v>0</v>
      </c>
      <c r="K118">
        <v>4.7</v>
      </c>
      <c r="L118" t="s">
        <v>487</v>
      </c>
      <c r="M118">
        <v>354</v>
      </c>
      <c r="N118">
        <v>75.319999999999993</v>
      </c>
      <c r="O118" t="s">
        <v>60</v>
      </c>
      <c r="P118" t="s">
        <v>492</v>
      </c>
      <c r="Q118">
        <v>1426</v>
      </c>
      <c r="R118">
        <v>303.39999999999998</v>
      </c>
    </row>
    <row r="119" spans="1:18" x14ac:dyDescent="0.35">
      <c r="A119" t="s">
        <v>197</v>
      </c>
      <c r="B119" t="s">
        <v>483</v>
      </c>
      <c r="C119" t="s">
        <v>484</v>
      </c>
      <c r="D119">
        <v>107232968</v>
      </c>
      <c r="E119" t="s">
        <v>528</v>
      </c>
      <c r="F119" t="s">
        <v>486</v>
      </c>
      <c r="G119">
        <v>0.31</v>
      </c>
      <c r="H119">
        <v>4.3899999999999997</v>
      </c>
      <c r="I119">
        <v>0</v>
      </c>
      <c r="J119">
        <v>0</v>
      </c>
      <c r="K119">
        <v>4.7</v>
      </c>
      <c r="L119" t="s">
        <v>487</v>
      </c>
      <c r="M119">
        <v>354</v>
      </c>
      <c r="N119">
        <v>75.319999999999993</v>
      </c>
      <c r="O119" t="s">
        <v>81</v>
      </c>
      <c r="P119" t="s">
        <v>492</v>
      </c>
      <c r="Q119">
        <v>355</v>
      </c>
      <c r="R119">
        <v>75.53</v>
      </c>
    </row>
    <row r="120" spans="1:18" x14ac:dyDescent="0.35">
      <c r="A120" t="s">
        <v>197</v>
      </c>
      <c r="B120" t="s">
        <v>483</v>
      </c>
      <c r="C120" t="s">
        <v>484</v>
      </c>
      <c r="D120">
        <v>107232968</v>
      </c>
      <c r="E120" t="s">
        <v>528</v>
      </c>
      <c r="F120" t="s">
        <v>486</v>
      </c>
      <c r="G120">
        <v>0.31</v>
      </c>
      <c r="H120">
        <v>4.3899999999999997</v>
      </c>
      <c r="I120">
        <v>0</v>
      </c>
      <c r="J120">
        <v>0</v>
      </c>
      <c r="K120">
        <v>4.7</v>
      </c>
      <c r="L120" t="s">
        <v>487</v>
      </c>
      <c r="M120">
        <v>354</v>
      </c>
      <c r="N120">
        <v>75.319999999999993</v>
      </c>
      <c r="O120" t="s">
        <v>85</v>
      </c>
      <c r="P120" t="s">
        <v>492</v>
      </c>
      <c r="Q120">
        <v>0</v>
      </c>
      <c r="R120">
        <v>0</v>
      </c>
    </row>
    <row r="121" spans="1:18" x14ac:dyDescent="0.35">
      <c r="A121" t="s">
        <v>197</v>
      </c>
      <c r="B121" t="s">
        <v>483</v>
      </c>
      <c r="C121" t="s">
        <v>484</v>
      </c>
      <c r="D121">
        <v>107432433</v>
      </c>
      <c r="E121" t="s">
        <v>538</v>
      </c>
      <c r="F121" t="s">
        <v>497</v>
      </c>
      <c r="G121">
        <v>0.41</v>
      </c>
      <c r="H121">
        <v>5.86</v>
      </c>
      <c r="I121">
        <v>0</v>
      </c>
      <c r="J121">
        <v>0</v>
      </c>
      <c r="K121">
        <v>6.28</v>
      </c>
      <c r="L121" t="s">
        <v>487</v>
      </c>
      <c r="M121">
        <v>206</v>
      </c>
      <c r="N121">
        <v>32.81</v>
      </c>
      <c r="O121" t="s">
        <v>60</v>
      </c>
      <c r="P121" t="s">
        <v>488</v>
      </c>
      <c r="Q121">
        <v>734</v>
      </c>
      <c r="R121">
        <v>1768.67</v>
      </c>
    </row>
    <row r="122" spans="1:18" x14ac:dyDescent="0.35">
      <c r="A122" t="s">
        <v>197</v>
      </c>
      <c r="B122" t="s">
        <v>483</v>
      </c>
      <c r="C122" t="s">
        <v>484</v>
      </c>
      <c r="D122">
        <v>107432433</v>
      </c>
      <c r="E122" t="s">
        <v>538</v>
      </c>
      <c r="F122" t="s">
        <v>497</v>
      </c>
      <c r="G122">
        <v>0.41</v>
      </c>
      <c r="H122">
        <v>5.86</v>
      </c>
      <c r="I122">
        <v>0</v>
      </c>
      <c r="J122">
        <v>0</v>
      </c>
      <c r="K122">
        <v>6.28</v>
      </c>
      <c r="L122" t="s">
        <v>487</v>
      </c>
      <c r="M122">
        <v>206</v>
      </c>
      <c r="N122">
        <v>32.81</v>
      </c>
      <c r="O122" t="s">
        <v>60</v>
      </c>
      <c r="P122" t="s">
        <v>489</v>
      </c>
      <c r="Q122">
        <v>1870</v>
      </c>
      <c r="R122">
        <v>318.95999999999998</v>
      </c>
    </row>
    <row r="123" spans="1:18" x14ac:dyDescent="0.35">
      <c r="A123" t="s">
        <v>197</v>
      </c>
      <c r="B123" t="s">
        <v>483</v>
      </c>
      <c r="C123" t="s">
        <v>484</v>
      </c>
      <c r="D123">
        <v>107432433</v>
      </c>
      <c r="E123" t="s">
        <v>538</v>
      </c>
      <c r="F123" t="s">
        <v>497</v>
      </c>
      <c r="G123">
        <v>0.41</v>
      </c>
      <c r="H123">
        <v>5.86</v>
      </c>
      <c r="I123">
        <v>0</v>
      </c>
      <c r="J123">
        <v>0</v>
      </c>
      <c r="K123">
        <v>6.28</v>
      </c>
      <c r="L123" t="s">
        <v>487</v>
      </c>
      <c r="M123">
        <v>206</v>
      </c>
      <c r="N123">
        <v>32.81</v>
      </c>
      <c r="O123" t="s">
        <v>60</v>
      </c>
      <c r="P123" t="s">
        <v>490</v>
      </c>
      <c r="Q123">
        <v>0</v>
      </c>
      <c r="R123">
        <v>0</v>
      </c>
    </row>
    <row r="124" spans="1:18" x14ac:dyDescent="0.35">
      <c r="A124" t="s">
        <v>197</v>
      </c>
      <c r="B124" t="s">
        <v>483</v>
      </c>
      <c r="C124" t="s">
        <v>484</v>
      </c>
      <c r="D124">
        <v>107432433</v>
      </c>
      <c r="E124" t="s">
        <v>538</v>
      </c>
      <c r="F124" t="s">
        <v>497</v>
      </c>
      <c r="G124">
        <v>0.41</v>
      </c>
      <c r="H124">
        <v>5.86</v>
      </c>
      <c r="I124">
        <v>0</v>
      </c>
      <c r="J124">
        <v>0</v>
      </c>
      <c r="K124">
        <v>6.28</v>
      </c>
      <c r="L124" t="s">
        <v>487</v>
      </c>
      <c r="M124">
        <v>206</v>
      </c>
      <c r="N124">
        <v>32.81</v>
      </c>
      <c r="O124" t="s">
        <v>60</v>
      </c>
      <c r="P124" t="s">
        <v>491</v>
      </c>
      <c r="Q124">
        <v>0</v>
      </c>
      <c r="R124">
        <v>0</v>
      </c>
    </row>
    <row r="125" spans="1:18" x14ac:dyDescent="0.35">
      <c r="A125" t="s">
        <v>197</v>
      </c>
      <c r="B125" t="s">
        <v>483</v>
      </c>
      <c r="C125" t="s">
        <v>484</v>
      </c>
      <c r="D125">
        <v>107432433</v>
      </c>
      <c r="E125" t="s">
        <v>538</v>
      </c>
      <c r="F125" t="s">
        <v>497</v>
      </c>
      <c r="G125">
        <v>0.41</v>
      </c>
      <c r="H125">
        <v>5.86</v>
      </c>
      <c r="I125">
        <v>0</v>
      </c>
      <c r="J125">
        <v>0</v>
      </c>
      <c r="K125">
        <v>6.28</v>
      </c>
      <c r="L125" t="s">
        <v>487</v>
      </c>
      <c r="M125">
        <v>206</v>
      </c>
      <c r="N125">
        <v>32.81</v>
      </c>
      <c r="O125" t="s">
        <v>60</v>
      </c>
      <c r="P125" t="s">
        <v>492</v>
      </c>
      <c r="Q125">
        <v>2604</v>
      </c>
      <c r="R125">
        <v>414.78</v>
      </c>
    </row>
    <row r="126" spans="1:18" x14ac:dyDescent="0.35">
      <c r="A126" t="s">
        <v>197</v>
      </c>
      <c r="B126" t="s">
        <v>483</v>
      </c>
      <c r="C126" t="s">
        <v>484</v>
      </c>
      <c r="D126">
        <v>107432433</v>
      </c>
      <c r="E126" t="s">
        <v>538</v>
      </c>
      <c r="F126" t="s">
        <v>497</v>
      </c>
      <c r="G126">
        <v>0.41</v>
      </c>
      <c r="H126">
        <v>5.86</v>
      </c>
      <c r="I126">
        <v>0</v>
      </c>
      <c r="J126">
        <v>0</v>
      </c>
      <c r="K126">
        <v>6.28</v>
      </c>
      <c r="L126" t="s">
        <v>487</v>
      </c>
      <c r="M126">
        <v>206</v>
      </c>
      <c r="N126">
        <v>32.81</v>
      </c>
      <c r="O126" t="s">
        <v>81</v>
      </c>
      <c r="P126" t="s">
        <v>492</v>
      </c>
      <c r="Q126">
        <v>206</v>
      </c>
      <c r="R126">
        <v>32.81</v>
      </c>
    </row>
    <row r="127" spans="1:18" x14ac:dyDescent="0.35">
      <c r="A127" t="s">
        <v>197</v>
      </c>
      <c r="B127" t="s">
        <v>483</v>
      </c>
      <c r="C127" t="s">
        <v>484</v>
      </c>
      <c r="D127">
        <v>107432433</v>
      </c>
      <c r="E127" t="s">
        <v>538</v>
      </c>
      <c r="F127" t="s">
        <v>497</v>
      </c>
      <c r="G127">
        <v>0.41</v>
      </c>
      <c r="H127">
        <v>5.86</v>
      </c>
      <c r="I127">
        <v>0</v>
      </c>
      <c r="J127">
        <v>0</v>
      </c>
      <c r="K127">
        <v>6.28</v>
      </c>
      <c r="L127" t="s">
        <v>487</v>
      </c>
      <c r="M127">
        <v>206</v>
      </c>
      <c r="N127">
        <v>32.81</v>
      </c>
      <c r="O127" t="s">
        <v>85</v>
      </c>
      <c r="P127" t="s">
        <v>492</v>
      </c>
      <c r="Q127">
        <v>0</v>
      </c>
      <c r="R127">
        <v>0</v>
      </c>
    </row>
    <row r="128" spans="1:18" x14ac:dyDescent="0.35">
      <c r="A128" t="s">
        <v>197</v>
      </c>
      <c r="B128" t="s">
        <v>483</v>
      </c>
      <c r="C128" t="s">
        <v>484</v>
      </c>
      <c r="D128">
        <v>107463281</v>
      </c>
      <c r="E128" t="s">
        <v>539</v>
      </c>
      <c r="F128" t="s">
        <v>497</v>
      </c>
      <c r="G128">
        <v>0.1</v>
      </c>
      <c r="H128">
        <v>6.15</v>
      </c>
      <c r="I128">
        <v>0.1</v>
      </c>
      <c r="J128">
        <v>0</v>
      </c>
      <c r="K128">
        <v>6.34</v>
      </c>
      <c r="L128" t="s">
        <v>487</v>
      </c>
      <c r="M128">
        <v>337</v>
      </c>
      <c r="N128">
        <v>53.12</v>
      </c>
      <c r="O128" t="s">
        <v>60</v>
      </c>
      <c r="P128" t="s">
        <v>488</v>
      </c>
      <c r="Q128">
        <v>150</v>
      </c>
      <c r="R128">
        <v>1508.38</v>
      </c>
    </row>
    <row r="129" spans="1:18" x14ac:dyDescent="0.35">
      <c r="A129" t="s">
        <v>197</v>
      </c>
      <c r="B129" t="s">
        <v>483</v>
      </c>
      <c r="C129" t="s">
        <v>484</v>
      </c>
      <c r="D129">
        <v>107463281</v>
      </c>
      <c r="E129" t="s">
        <v>539</v>
      </c>
      <c r="F129" t="s">
        <v>497</v>
      </c>
      <c r="G129">
        <v>0.1</v>
      </c>
      <c r="H129">
        <v>6.15</v>
      </c>
      <c r="I129">
        <v>0.1</v>
      </c>
      <c r="J129">
        <v>0</v>
      </c>
      <c r="K129">
        <v>6.34</v>
      </c>
      <c r="L129" t="s">
        <v>487</v>
      </c>
      <c r="M129">
        <v>337</v>
      </c>
      <c r="N129">
        <v>53.12</v>
      </c>
      <c r="O129" t="s">
        <v>60</v>
      </c>
      <c r="P129" t="s">
        <v>489</v>
      </c>
      <c r="Q129">
        <v>1668</v>
      </c>
      <c r="R129">
        <v>271.38</v>
      </c>
    </row>
    <row r="130" spans="1:18" x14ac:dyDescent="0.35">
      <c r="A130" t="s">
        <v>197</v>
      </c>
      <c r="B130" t="s">
        <v>483</v>
      </c>
      <c r="C130" t="s">
        <v>484</v>
      </c>
      <c r="D130">
        <v>107463281</v>
      </c>
      <c r="E130" t="s">
        <v>539</v>
      </c>
      <c r="F130" t="s">
        <v>497</v>
      </c>
      <c r="G130">
        <v>0.1</v>
      </c>
      <c r="H130">
        <v>6.15</v>
      </c>
      <c r="I130">
        <v>0.1</v>
      </c>
      <c r="J130">
        <v>0</v>
      </c>
      <c r="K130">
        <v>6.34</v>
      </c>
      <c r="L130" t="s">
        <v>487</v>
      </c>
      <c r="M130">
        <v>337</v>
      </c>
      <c r="N130">
        <v>53.12</v>
      </c>
      <c r="O130" t="s">
        <v>60</v>
      </c>
      <c r="P130" t="s">
        <v>490</v>
      </c>
      <c r="Q130">
        <v>12</v>
      </c>
      <c r="R130">
        <v>122.03</v>
      </c>
    </row>
    <row r="131" spans="1:18" x14ac:dyDescent="0.35">
      <c r="A131" t="s">
        <v>197</v>
      </c>
      <c r="B131" t="s">
        <v>483</v>
      </c>
      <c r="C131" t="s">
        <v>484</v>
      </c>
      <c r="D131">
        <v>107463281</v>
      </c>
      <c r="E131" t="s">
        <v>539</v>
      </c>
      <c r="F131" t="s">
        <v>497</v>
      </c>
      <c r="G131">
        <v>0.1</v>
      </c>
      <c r="H131">
        <v>6.15</v>
      </c>
      <c r="I131">
        <v>0.1</v>
      </c>
      <c r="J131">
        <v>0</v>
      </c>
      <c r="K131">
        <v>6.34</v>
      </c>
      <c r="L131" t="s">
        <v>487</v>
      </c>
      <c r="M131">
        <v>337</v>
      </c>
      <c r="N131">
        <v>53.12</v>
      </c>
      <c r="O131" t="s">
        <v>60</v>
      </c>
      <c r="P131" t="s">
        <v>491</v>
      </c>
      <c r="Q131">
        <v>0</v>
      </c>
      <c r="R131">
        <v>0</v>
      </c>
    </row>
    <row r="132" spans="1:18" x14ac:dyDescent="0.35">
      <c r="A132" t="s">
        <v>197</v>
      </c>
      <c r="B132" t="s">
        <v>483</v>
      </c>
      <c r="C132" t="s">
        <v>484</v>
      </c>
      <c r="D132">
        <v>107463281</v>
      </c>
      <c r="E132" t="s">
        <v>539</v>
      </c>
      <c r="F132" t="s">
        <v>497</v>
      </c>
      <c r="G132">
        <v>0.1</v>
      </c>
      <c r="H132">
        <v>6.15</v>
      </c>
      <c r="I132">
        <v>0.1</v>
      </c>
      <c r="J132">
        <v>0</v>
      </c>
      <c r="K132">
        <v>6.34</v>
      </c>
      <c r="L132" t="s">
        <v>487</v>
      </c>
      <c r="M132">
        <v>337</v>
      </c>
      <c r="N132">
        <v>53.12</v>
      </c>
      <c r="O132" t="s">
        <v>60</v>
      </c>
      <c r="P132" t="s">
        <v>492</v>
      </c>
      <c r="Q132">
        <v>1830</v>
      </c>
      <c r="R132">
        <v>288.43</v>
      </c>
    </row>
    <row r="133" spans="1:18" x14ac:dyDescent="0.35">
      <c r="A133" t="s">
        <v>197</v>
      </c>
      <c r="B133" t="s">
        <v>483</v>
      </c>
      <c r="C133" t="s">
        <v>484</v>
      </c>
      <c r="D133">
        <v>107463281</v>
      </c>
      <c r="E133" t="s">
        <v>539</v>
      </c>
      <c r="F133" t="s">
        <v>497</v>
      </c>
      <c r="G133">
        <v>0.1</v>
      </c>
      <c r="H133">
        <v>6.15</v>
      </c>
      <c r="I133">
        <v>0.1</v>
      </c>
      <c r="J133">
        <v>0</v>
      </c>
      <c r="K133">
        <v>6.34</v>
      </c>
      <c r="L133" t="s">
        <v>487</v>
      </c>
      <c r="M133">
        <v>337</v>
      </c>
      <c r="N133">
        <v>53.12</v>
      </c>
      <c r="O133" t="s">
        <v>81</v>
      </c>
      <c r="P133" t="s">
        <v>492</v>
      </c>
      <c r="Q133">
        <v>337</v>
      </c>
      <c r="R133">
        <v>53.12</v>
      </c>
    </row>
    <row r="134" spans="1:18" x14ac:dyDescent="0.35">
      <c r="A134" t="s">
        <v>197</v>
      </c>
      <c r="B134" t="s">
        <v>483</v>
      </c>
      <c r="C134" t="s">
        <v>484</v>
      </c>
      <c r="D134">
        <v>107463281</v>
      </c>
      <c r="E134" t="s">
        <v>539</v>
      </c>
      <c r="F134" t="s">
        <v>497</v>
      </c>
      <c r="G134">
        <v>0.1</v>
      </c>
      <c r="H134">
        <v>6.15</v>
      </c>
      <c r="I134">
        <v>0.1</v>
      </c>
      <c r="J134">
        <v>0</v>
      </c>
      <c r="K134">
        <v>6.34</v>
      </c>
      <c r="L134" t="s">
        <v>487</v>
      </c>
      <c r="M134">
        <v>337</v>
      </c>
      <c r="N134">
        <v>53.12</v>
      </c>
      <c r="O134" t="s">
        <v>85</v>
      </c>
      <c r="P134" t="s">
        <v>492</v>
      </c>
      <c r="Q134">
        <v>0</v>
      </c>
      <c r="R134">
        <v>0</v>
      </c>
    </row>
    <row r="135" spans="1:18" x14ac:dyDescent="0.35">
      <c r="A135" t="s">
        <v>197</v>
      </c>
      <c r="B135" t="s">
        <v>483</v>
      </c>
      <c r="C135" t="s">
        <v>484</v>
      </c>
      <c r="D135">
        <v>107671942</v>
      </c>
      <c r="E135" t="s">
        <v>645</v>
      </c>
      <c r="F135" t="s">
        <v>499</v>
      </c>
      <c r="G135">
        <v>0.32</v>
      </c>
      <c r="H135">
        <v>3.23</v>
      </c>
      <c r="I135">
        <v>0</v>
      </c>
      <c r="J135">
        <v>0</v>
      </c>
      <c r="K135">
        <v>3.55</v>
      </c>
      <c r="L135" t="s">
        <v>487</v>
      </c>
      <c r="M135">
        <v>150</v>
      </c>
      <c r="N135">
        <v>42.27</v>
      </c>
      <c r="O135" t="s">
        <v>60</v>
      </c>
      <c r="P135" t="s">
        <v>488</v>
      </c>
      <c r="Q135">
        <v>200</v>
      </c>
      <c r="R135">
        <v>623.91999999999996</v>
      </c>
    </row>
    <row r="136" spans="1:18" x14ac:dyDescent="0.35">
      <c r="A136" t="s">
        <v>197</v>
      </c>
      <c r="B136" t="s">
        <v>483</v>
      </c>
      <c r="C136" t="s">
        <v>484</v>
      </c>
      <c r="D136">
        <v>107671942</v>
      </c>
      <c r="E136" t="s">
        <v>645</v>
      </c>
      <c r="F136" t="s">
        <v>499</v>
      </c>
      <c r="G136">
        <v>0.32</v>
      </c>
      <c r="H136">
        <v>3.23</v>
      </c>
      <c r="I136">
        <v>0</v>
      </c>
      <c r="J136">
        <v>0</v>
      </c>
      <c r="K136">
        <v>3.55</v>
      </c>
      <c r="L136" t="s">
        <v>487</v>
      </c>
      <c r="M136">
        <v>150</v>
      </c>
      <c r="N136">
        <v>42.27</v>
      </c>
      <c r="O136" t="s">
        <v>60</v>
      </c>
      <c r="P136" t="s">
        <v>489</v>
      </c>
      <c r="Q136">
        <v>363</v>
      </c>
      <c r="R136">
        <v>112.45</v>
      </c>
    </row>
    <row r="137" spans="1:18" x14ac:dyDescent="0.35">
      <c r="A137" t="s">
        <v>197</v>
      </c>
      <c r="B137" t="s">
        <v>483</v>
      </c>
      <c r="C137" t="s">
        <v>484</v>
      </c>
      <c r="D137">
        <v>107671942</v>
      </c>
      <c r="E137" t="s">
        <v>645</v>
      </c>
      <c r="F137" t="s">
        <v>499</v>
      </c>
      <c r="G137">
        <v>0.32</v>
      </c>
      <c r="H137">
        <v>3.23</v>
      </c>
      <c r="I137">
        <v>0</v>
      </c>
      <c r="J137">
        <v>0</v>
      </c>
      <c r="K137">
        <v>3.55</v>
      </c>
      <c r="L137" t="s">
        <v>487</v>
      </c>
      <c r="M137">
        <v>150</v>
      </c>
      <c r="N137">
        <v>42.27</v>
      </c>
      <c r="O137" t="s">
        <v>60</v>
      </c>
      <c r="P137" t="s">
        <v>490</v>
      </c>
      <c r="Q137">
        <v>0</v>
      </c>
      <c r="R137">
        <v>0</v>
      </c>
    </row>
    <row r="138" spans="1:18" x14ac:dyDescent="0.35">
      <c r="A138" t="s">
        <v>197</v>
      </c>
      <c r="B138" t="s">
        <v>483</v>
      </c>
      <c r="C138" t="s">
        <v>484</v>
      </c>
      <c r="D138">
        <v>107671942</v>
      </c>
      <c r="E138" t="s">
        <v>645</v>
      </c>
      <c r="F138" t="s">
        <v>499</v>
      </c>
      <c r="G138">
        <v>0.32</v>
      </c>
      <c r="H138">
        <v>3.23</v>
      </c>
      <c r="I138">
        <v>0</v>
      </c>
      <c r="J138">
        <v>0</v>
      </c>
      <c r="K138">
        <v>3.55</v>
      </c>
      <c r="L138" t="s">
        <v>487</v>
      </c>
      <c r="M138">
        <v>150</v>
      </c>
      <c r="N138">
        <v>42.27</v>
      </c>
      <c r="O138" t="s">
        <v>60</v>
      </c>
      <c r="P138" t="s">
        <v>491</v>
      </c>
      <c r="Q138">
        <v>0</v>
      </c>
      <c r="R138">
        <v>0</v>
      </c>
    </row>
    <row r="139" spans="1:18" x14ac:dyDescent="0.35">
      <c r="A139" t="s">
        <v>197</v>
      </c>
      <c r="B139" t="s">
        <v>483</v>
      </c>
      <c r="C139" t="s">
        <v>484</v>
      </c>
      <c r="D139">
        <v>107671942</v>
      </c>
      <c r="E139" t="s">
        <v>645</v>
      </c>
      <c r="F139" t="s">
        <v>499</v>
      </c>
      <c r="G139">
        <v>0.32</v>
      </c>
      <c r="H139">
        <v>3.23</v>
      </c>
      <c r="I139">
        <v>0</v>
      </c>
      <c r="J139">
        <v>0</v>
      </c>
      <c r="K139">
        <v>3.55</v>
      </c>
      <c r="L139" t="s">
        <v>487</v>
      </c>
      <c r="M139">
        <v>150</v>
      </c>
      <c r="N139">
        <v>42.27</v>
      </c>
      <c r="O139" t="s">
        <v>60</v>
      </c>
      <c r="P139" t="s">
        <v>492</v>
      </c>
      <c r="Q139">
        <v>563</v>
      </c>
      <c r="R139">
        <v>158.63999999999999</v>
      </c>
    </row>
    <row r="140" spans="1:18" x14ac:dyDescent="0.35">
      <c r="A140" t="s">
        <v>197</v>
      </c>
      <c r="B140" t="s">
        <v>483</v>
      </c>
      <c r="C140" t="s">
        <v>484</v>
      </c>
      <c r="D140">
        <v>107671942</v>
      </c>
      <c r="E140" t="s">
        <v>645</v>
      </c>
      <c r="F140" t="s">
        <v>499</v>
      </c>
      <c r="G140">
        <v>0.32</v>
      </c>
      <c r="H140">
        <v>3.23</v>
      </c>
      <c r="I140">
        <v>0</v>
      </c>
      <c r="J140">
        <v>0</v>
      </c>
      <c r="K140">
        <v>3.55</v>
      </c>
      <c r="L140" t="s">
        <v>487</v>
      </c>
      <c r="M140">
        <v>150</v>
      </c>
      <c r="N140">
        <v>42.27</v>
      </c>
      <c r="O140" t="s">
        <v>81</v>
      </c>
      <c r="P140" t="s">
        <v>492</v>
      </c>
      <c r="Q140">
        <v>150</v>
      </c>
      <c r="R140">
        <v>42.27</v>
      </c>
    </row>
    <row r="141" spans="1:18" x14ac:dyDescent="0.35">
      <c r="A141" t="s">
        <v>197</v>
      </c>
      <c r="B141" t="s">
        <v>483</v>
      </c>
      <c r="C141" t="s">
        <v>484</v>
      </c>
      <c r="D141">
        <v>107671942</v>
      </c>
      <c r="E141" t="s">
        <v>645</v>
      </c>
      <c r="F141" t="s">
        <v>499</v>
      </c>
      <c r="G141">
        <v>0.32</v>
      </c>
      <c r="H141">
        <v>3.23</v>
      </c>
      <c r="I141">
        <v>0</v>
      </c>
      <c r="J141">
        <v>0</v>
      </c>
      <c r="K141">
        <v>3.55</v>
      </c>
      <c r="L141" t="s">
        <v>487</v>
      </c>
      <c r="M141">
        <v>150</v>
      </c>
      <c r="N141">
        <v>42.27</v>
      </c>
      <c r="O141" t="s">
        <v>85</v>
      </c>
      <c r="P141" t="s">
        <v>492</v>
      </c>
      <c r="Q141">
        <v>0</v>
      </c>
      <c r="R141">
        <v>0</v>
      </c>
    </row>
    <row r="142" spans="1:18" x14ac:dyDescent="0.35">
      <c r="A142" t="s">
        <v>197</v>
      </c>
      <c r="B142" t="s">
        <v>483</v>
      </c>
      <c r="C142" t="s">
        <v>493</v>
      </c>
      <c r="D142">
        <v>107704604</v>
      </c>
      <c r="E142" t="s">
        <v>509</v>
      </c>
      <c r="F142" t="s">
        <v>486</v>
      </c>
      <c r="G142">
        <v>0.7</v>
      </c>
      <c r="H142">
        <v>5.65</v>
      </c>
      <c r="I142">
        <v>0</v>
      </c>
      <c r="J142">
        <v>0</v>
      </c>
      <c r="K142">
        <v>6.34</v>
      </c>
      <c r="L142" t="s">
        <v>487</v>
      </c>
      <c r="M142">
        <v>321</v>
      </c>
      <c r="N142">
        <v>50.59</v>
      </c>
      <c r="O142" t="s">
        <v>60</v>
      </c>
      <c r="P142" t="s">
        <v>488</v>
      </c>
      <c r="Q142">
        <v>1496</v>
      </c>
      <c r="R142">
        <v>2145.66</v>
      </c>
    </row>
    <row r="143" spans="1:18" x14ac:dyDescent="0.35">
      <c r="A143" t="s">
        <v>197</v>
      </c>
      <c r="B143" t="s">
        <v>483</v>
      </c>
      <c r="C143" t="s">
        <v>493</v>
      </c>
      <c r="D143">
        <v>107704604</v>
      </c>
      <c r="E143" t="s">
        <v>509</v>
      </c>
      <c r="F143" t="s">
        <v>486</v>
      </c>
      <c r="G143">
        <v>0.7</v>
      </c>
      <c r="H143">
        <v>5.65</v>
      </c>
      <c r="I143">
        <v>0</v>
      </c>
      <c r="J143">
        <v>0</v>
      </c>
      <c r="K143">
        <v>6.34</v>
      </c>
      <c r="L143" t="s">
        <v>487</v>
      </c>
      <c r="M143">
        <v>321</v>
      </c>
      <c r="N143">
        <v>50.59</v>
      </c>
      <c r="O143" t="s">
        <v>60</v>
      </c>
      <c r="P143" t="s">
        <v>489</v>
      </c>
      <c r="Q143">
        <v>2185</v>
      </c>
      <c r="R143">
        <v>386.92</v>
      </c>
    </row>
    <row r="144" spans="1:18" x14ac:dyDescent="0.35">
      <c r="A144" t="s">
        <v>197</v>
      </c>
      <c r="B144" t="s">
        <v>483</v>
      </c>
      <c r="C144" t="s">
        <v>493</v>
      </c>
      <c r="D144">
        <v>107704604</v>
      </c>
      <c r="E144" t="s">
        <v>509</v>
      </c>
      <c r="F144" t="s">
        <v>486</v>
      </c>
      <c r="G144">
        <v>0.7</v>
      </c>
      <c r="H144">
        <v>5.65</v>
      </c>
      <c r="I144">
        <v>0</v>
      </c>
      <c r="J144">
        <v>0</v>
      </c>
      <c r="K144">
        <v>6.34</v>
      </c>
      <c r="L144" t="s">
        <v>487</v>
      </c>
      <c r="M144">
        <v>321</v>
      </c>
      <c r="N144">
        <v>50.59</v>
      </c>
      <c r="O144" t="s">
        <v>60</v>
      </c>
      <c r="P144" t="s">
        <v>490</v>
      </c>
      <c r="Q144">
        <v>0</v>
      </c>
      <c r="R144">
        <v>0</v>
      </c>
    </row>
    <row r="145" spans="1:18" x14ac:dyDescent="0.35">
      <c r="A145" t="s">
        <v>197</v>
      </c>
      <c r="B145" t="s">
        <v>483</v>
      </c>
      <c r="C145" t="s">
        <v>493</v>
      </c>
      <c r="D145">
        <v>107704604</v>
      </c>
      <c r="E145" t="s">
        <v>509</v>
      </c>
      <c r="F145" t="s">
        <v>486</v>
      </c>
      <c r="G145">
        <v>0.7</v>
      </c>
      <c r="H145">
        <v>5.65</v>
      </c>
      <c r="I145">
        <v>0</v>
      </c>
      <c r="J145">
        <v>0</v>
      </c>
      <c r="K145">
        <v>6.34</v>
      </c>
      <c r="L145" t="s">
        <v>487</v>
      </c>
      <c r="M145">
        <v>321</v>
      </c>
      <c r="N145">
        <v>50.59</v>
      </c>
      <c r="O145" t="s">
        <v>60</v>
      </c>
      <c r="P145" t="s">
        <v>491</v>
      </c>
      <c r="Q145">
        <v>0</v>
      </c>
      <c r="R145">
        <v>0</v>
      </c>
    </row>
    <row r="146" spans="1:18" x14ac:dyDescent="0.35">
      <c r="A146" t="s">
        <v>197</v>
      </c>
      <c r="B146" t="s">
        <v>483</v>
      </c>
      <c r="C146" t="s">
        <v>493</v>
      </c>
      <c r="D146">
        <v>107704604</v>
      </c>
      <c r="E146" t="s">
        <v>509</v>
      </c>
      <c r="F146" t="s">
        <v>486</v>
      </c>
      <c r="G146">
        <v>0.7</v>
      </c>
      <c r="H146">
        <v>5.65</v>
      </c>
      <c r="I146">
        <v>0</v>
      </c>
      <c r="J146">
        <v>0</v>
      </c>
      <c r="K146">
        <v>6.34</v>
      </c>
      <c r="L146" t="s">
        <v>487</v>
      </c>
      <c r="M146">
        <v>321</v>
      </c>
      <c r="N146">
        <v>50.59</v>
      </c>
      <c r="O146" t="s">
        <v>60</v>
      </c>
      <c r="P146" t="s">
        <v>492</v>
      </c>
      <c r="Q146">
        <v>3681</v>
      </c>
      <c r="R146">
        <v>580.16999999999996</v>
      </c>
    </row>
    <row r="147" spans="1:18" x14ac:dyDescent="0.35">
      <c r="A147" t="s">
        <v>197</v>
      </c>
      <c r="B147" t="s">
        <v>483</v>
      </c>
      <c r="C147" t="s">
        <v>493</v>
      </c>
      <c r="D147">
        <v>107704604</v>
      </c>
      <c r="E147" t="s">
        <v>509</v>
      </c>
      <c r="F147" t="s">
        <v>486</v>
      </c>
      <c r="G147">
        <v>0.7</v>
      </c>
      <c r="H147">
        <v>5.65</v>
      </c>
      <c r="I147">
        <v>0</v>
      </c>
      <c r="J147">
        <v>0</v>
      </c>
      <c r="K147">
        <v>6.34</v>
      </c>
      <c r="L147" t="s">
        <v>487</v>
      </c>
      <c r="M147">
        <v>321</v>
      </c>
      <c r="N147">
        <v>50.59</v>
      </c>
      <c r="O147" t="s">
        <v>81</v>
      </c>
      <c r="P147" t="s">
        <v>492</v>
      </c>
      <c r="Q147">
        <v>321</v>
      </c>
      <c r="R147">
        <v>50.59</v>
      </c>
    </row>
    <row r="148" spans="1:18" x14ac:dyDescent="0.35">
      <c r="A148" t="s">
        <v>197</v>
      </c>
      <c r="B148" t="s">
        <v>483</v>
      </c>
      <c r="C148" t="s">
        <v>493</v>
      </c>
      <c r="D148">
        <v>107704604</v>
      </c>
      <c r="E148" t="s">
        <v>509</v>
      </c>
      <c r="F148" t="s">
        <v>486</v>
      </c>
      <c r="G148">
        <v>0.7</v>
      </c>
      <c r="H148">
        <v>5.65</v>
      </c>
      <c r="I148">
        <v>0</v>
      </c>
      <c r="J148">
        <v>0</v>
      </c>
      <c r="K148">
        <v>6.34</v>
      </c>
      <c r="L148" t="s">
        <v>487</v>
      </c>
      <c r="M148">
        <v>321</v>
      </c>
      <c r="N148">
        <v>50.59</v>
      </c>
      <c r="O148" t="s">
        <v>85</v>
      </c>
      <c r="P148" t="s">
        <v>492</v>
      </c>
      <c r="Q148">
        <v>0</v>
      </c>
      <c r="R148">
        <v>0</v>
      </c>
    </row>
    <row r="149" spans="1:18" x14ac:dyDescent="0.35">
      <c r="A149" t="s">
        <v>197</v>
      </c>
      <c r="B149" t="s">
        <v>483</v>
      </c>
      <c r="C149" t="s">
        <v>484</v>
      </c>
      <c r="D149">
        <v>107741579</v>
      </c>
      <c r="E149" t="s">
        <v>541</v>
      </c>
      <c r="F149" t="s">
        <v>497</v>
      </c>
      <c r="G149">
        <v>0.01</v>
      </c>
      <c r="H149">
        <v>6.22</v>
      </c>
      <c r="I149">
        <v>0</v>
      </c>
      <c r="J149">
        <v>0</v>
      </c>
      <c r="K149">
        <v>6.23</v>
      </c>
      <c r="L149" t="s">
        <v>487</v>
      </c>
      <c r="M149">
        <v>400</v>
      </c>
      <c r="N149">
        <v>64.23</v>
      </c>
      <c r="O149" t="s">
        <v>60</v>
      </c>
      <c r="P149" t="s">
        <v>488</v>
      </c>
      <c r="Q149">
        <v>12</v>
      </c>
      <c r="R149">
        <v>981.82</v>
      </c>
    </row>
    <row r="150" spans="1:18" x14ac:dyDescent="0.35">
      <c r="A150" t="s">
        <v>197</v>
      </c>
      <c r="B150" t="s">
        <v>483</v>
      </c>
      <c r="C150" t="s">
        <v>484</v>
      </c>
      <c r="D150">
        <v>107741579</v>
      </c>
      <c r="E150" t="s">
        <v>541</v>
      </c>
      <c r="F150" t="s">
        <v>497</v>
      </c>
      <c r="G150">
        <v>0.01</v>
      </c>
      <c r="H150">
        <v>6.22</v>
      </c>
      <c r="I150">
        <v>0</v>
      </c>
      <c r="J150">
        <v>0</v>
      </c>
      <c r="K150">
        <v>6.23</v>
      </c>
      <c r="L150" t="s">
        <v>487</v>
      </c>
      <c r="M150">
        <v>400</v>
      </c>
      <c r="N150">
        <v>64.23</v>
      </c>
      <c r="O150" t="s">
        <v>60</v>
      </c>
      <c r="P150" t="s">
        <v>489</v>
      </c>
      <c r="Q150">
        <v>1082</v>
      </c>
      <c r="R150">
        <v>174.08</v>
      </c>
    </row>
    <row r="151" spans="1:18" x14ac:dyDescent="0.35">
      <c r="A151" t="s">
        <v>197</v>
      </c>
      <c r="B151" t="s">
        <v>483</v>
      </c>
      <c r="C151" t="s">
        <v>484</v>
      </c>
      <c r="D151">
        <v>107741579</v>
      </c>
      <c r="E151" t="s">
        <v>541</v>
      </c>
      <c r="F151" t="s">
        <v>497</v>
      </c>
      <c r="G151">
        <v>0.01</v>
      </c>
      <c r="H151">
        <v>6.22</v>
      </c>
      <c r="I151">
        <v>0</v>
      </c>
      <c r="J151">
        <v>0</v>
      </c>
      <c r="K151">
        <v>6.23</v>
      </c>
      <c r="L151" t="s">
        <v>487</v>
      </c>
      <c r="M151">
        <v>400</v>
      </c>
      <c r="N151">
        <v>64.23</v>
      </c>
      <c r="O151" t="s">
        <v>60</v>
      </c>
      <c r="P151" t="s">
        <v>490</v>
      </c>
      <c r="Q151">
        <v>0</v>
      </c>
      <c r="R151">
        <v>0</v>
      </c>
    </row>
    <row r="152" spans="1:18" x14ac:dyDescent="0.35">
      <c r="A152" t="s">
        <v>197</v>
      </c>
      <c r="B152" t="s">
        <v>483</v>
      </c>
      <c r="C152" t="s">
        <v>484</v>
      </c>
      <c r="D152">
        <v>107741579</v>
      </c>
      <c r="E152" t="s">
        <v>541</v>
      </c>
      <c r="F152" t="s">
        <v>497</v>
      </c>
      <c r="G152">
        <v>0.01</v>
      </c>
      <c r="H152">
        <v>6.22</v>
      </c>
      <c r="I152">
        <v>0</v>
      </c>
      <c r="J152">
        <v>0</v>
      </c>
      <c r="K152">
        <v>6.23</v>
      </c>
      <c r="L152" t="s">
        <v>487</v>
      </c>
      <c r="M152">
        <v>400</v>
      </c>
      <c r="N152">
        <v>64.23</v>
      </c>
      <c r="O152" t="s">
        <v>60</v>
      </c>
      <c r="P152" t="s">
        <v>491</v>
      </c>
      <c r="Q152">
        <v>0</v>
      </c>
      <c r="R152">
        <v>0</v>
      </c>
    </row>
    <row r="153" spans="1:18" x14ac:dyDescent="0.35">
      <c r="A153" t="s">
        <v>197</v>
      </c>
      <c r="B153" t="s">
        <v>483</v>
      </c>
      <c r="C153" t="s">
        <v>484</v>
      </c>
      <c r="D153">
        <v>107741579</v>
      </c>
      <c r="E153" t="s">
        <v>541</v>
      </c>
      <c r="F153" t="s">
        <v>497</v>
      </c>
      <c r="G153">
        <v>0.01</v>
      </c>
      <c r="H153">
        <v>6.22</v>
      </c>
      <c r="I153">
        <v>0</v>
      </c>
      <c r="J153">
        <v>0</v>
      </c>
      <c r="K153">
        <v>6.23</v>
      </c>
      <c r="L153" t="s">
        <v>487</v>
      </c>
      <c r="M153">
        <v>400</v>
      </c>
      <c r="N153">
        <v>64.23</v>
      </c>
      <c r="O153" t="s">
        <v>60</v>
      </c>
      <c r="P153" t="s">
        <v>492</v>
      </c>
      <c r="Q153">
        <v>1094</v>
      </c>
      <c r="R153">
        <v>175.66</v>
      </c>
    </row>
    <row r="154" spans="1:18" x14ac:dyDescent="0.35">
      <c r="A154" t="s">
        <v>197</v>
      </c>
      <c r="B154" t="s">
        <v>483</v>
      </c>
      <c r="C154" t="s">
        <v>484</v>
      </c>
      <c r="D154">
        <v>107741579</v>
      </c>
      <c r="E154" t="s">
        <v>541</v>
      </c>
      <c r="F154" t="s">
        <v>497</v>
      </c>
      <c r="G154">
        <v>0.01</v>
      </c>
      <c r="H154">
        <v>6.22</v>
      </c>
      <c r="I154">
        <v>0</v>
      </c>
      <c r="J154">
        <v>0</v>
      </c>
      <c r="K154">
        <v>6.23</v>
      </c>
      <c r="L154" t="s">
        <v>487</v>
      </c>
      <c r="M154">
        <v>400</v>
      </c>
      <c r="N154">
        <v>64.23</v>
      </c>
      <c r="O154" t="s">
        <v>81</v>
      </c>
      <c r="P154" t="s">
        <v>492</v>
      </c>
      <c r="Q154">
        <v>400</v>
      </c>
      <c r="R154">
        <v>64.23</v>
      </c>
    </row>
    <row r="155" spans="1:18" x14ac:dyDescent="0.35">
      <c r="A155" t="s">
        <v>197</v>
      </c>
      <c r="B155" t="s">
        <v>483</v>
      </c>
      <c r="C155" t="s">
        <v>484</v>
      </c>
      <c r="D155">
        <v>107741579</v>
      </c>
      <c r="E155" t="s">
        <v>541</v>
      </c>
      <c r="F155" t="s">
        <v>497</v>
      </c>
      <c r="G155">
        <v>0.01</v>
      </c>
      <c r="H155">
        <v>6.22</v>
      </c>
      <c r="I155">
        <v>0</v>
      </c>
      <c r="J155">
        <v>0</v>
      </c>
      <c r="K155">
        <v>6.23</v>
      </c>
      <c r="L155" t="s">
        <v>487</v>
      </c>
      <c r="M155">
        <v>400</v>
      </c>
      <c r="N155">
        <v>64.23</v>
      </c>
      <c r="O155" t="s">
        <v>85</v>
      </c>
      <c r="P155" t="s">
        <v>492</v>
      </c>
      <c r="Q155">
        <v>0</v>
      </c>
      <c r="R155">
        <v>0</v>
      </c>
    </row>
    <row r="156" spans="1:18" x14ac:dyDescent="0.35">
      <c r="A156" t="s">
        <v>197</v>
      </c>
      <c r="B156" t="s">
        <v>483</v>
      </c>
      <c r="C156" t="s">
        <v>484</v>
      </c>
      <c r="D156">
        <v>107741612</v>
      </c>
      <c r="E156" t="s">
        <v>542</v>
      </c>
      <c r="F156" t="s">
        <v>497</v>
      </c>
      <c r="G156">
        <v>0.21</v>
      </c>
      <c r="H156">
        <v>6.14</v>
      </c>
      <c r="I156">
        <v>0</v>
      </c>
      <c r="J156">
        <v>0</v>
      </c>
      <c r="K156">
        <v>6.34</v>
      </c>
      <c r="L156" t="s">
        <v>487</v>
      </c>
      <c r="M156">
        <v>267</v>
      </c>
      <c r="N156">
        <v>42.08</v>
      </c>
      <c r="O156" t="s">
        <v>60</v>
      </c>
      <c r="P156" t="s">
        <v>488</v>
      </c>
      <c r="Q156">
        <v>362</v>
      </c>
      <c r="R156">
        <v>1763.46</v>
      </c>
    </row>
    <row r="157" spans="1:18" x14ac:dyDescent="0.35">
      <c r="A157" t="s">
        <v>197</v>
      </c>
      <c r="B157" t="s">
        <v>483</v>
      </c>
      <c r="C157" t="s">
        <v>484</v>
      </c>
      <c r="D157">
        <v>107741612</v>
      </c>
      <c r="E157" t="s">
        <v>542</v>
      </c>
      <c r="F157" t="s">
        <v>497</v>
      </c>
      <c r="G157">
        <v>0.21</v>
      </c>
      <c r="H157">
        <v>6.14</v>
      </c>
      <c r="I157">
        <v>0</v>
      </c>
      <c r="J157">
        <v>0</v>
      </c>
      <c r="K157">
        <v>6.34</v>
      </c>
      <c r="L157" t="s">
        <v>487</v>
      </c>
      <c r="M157">
        <v>267</v>
      </c>
      <c r="N157">
        <v>42.08</v>
      </c>
      <c r="O157" t="s">
        <v>60</v>
      </c>
      <c r="P157" t="s">
        <v>489</v>
      </c>
      <c r="Q157">
        <v>1952</v>
      </c>
      <c r="R157">
        <v>317.95999999999998</v>
      </c>
    </row>
    <row r="158" spans="1:18" x14ac:dyDescent="0.35">
      <c r="A158" t="s">
        <v>197</v>
      </c>
      <c r="B158" t="s">
        <v>483</v>
      </c>
      <c r="C158" t="s">
        <v>484</v>
      </c>
      <c r="D158">
        <v>107741612</v>
      </c>
      <c r="E158" t="s">
        <v>542</v>
      </c>
      <c r="F158" t="s">
        <v>497</v>
      </c>
      <c r="G158">
        <v>0.21</v>
      </c>
      <c r="H158">
        <v>6.14</v>
      </c>
      <c r="I158">
        <v>0</v>
      </c>
      <c r="J158">
        <v>0</v>
      </c>
      <c r="K158">
        <v>6.34</v>
      </c>
      <c r="L158" t="s">
        <v>487</v>
      </c>
      <c r="M158">
        <v>267</v>
      </c>
      <c r="N158">
        <v>42.08</v>
      </c>
      <c r="O158" t="s">
        <v>60</v>
      </c>
      <c r="P158" t="s">
        <v>490</v>
      </c>
      <c r="Q158">
        <v>0</v>
      </c>
      <c r="R158">
        <v>0</v>
      </c>
    </row>
    <row r="159" spans="1:18" x14ac:dyDescent="0.35">
      <c r="A159" t="s">
        <v>197</v>
      </c>
      <c r="B159" t="s">
        <v>483</v>
      </c>
      <c r="C159" t="s">
        <v>484</v>
      </c>
      <c r="D159">
        <v>107741612</v>
      </c>
      <c r="E159" t="s">
        <v>542</v>
      </c>
      <c r="F159" t="s">
        <v>497</v>
      </c>
      <c r="G159">
        <v>0.21</v>
      </c>
      <c r="H159">
        <v>6.14</v>
      </c>
      <c r="I159">
        <v>0</v>
      </c>
      <c r="J159">
        <v>0</v>
      </c>
      <c r="K159">
        <v>6.34</v>
      </c>
      <c r="L159" t="s">
        <v>487</v>
      </c>
      <c r="M159">
        <v>267</v>
      </c>
      <c r="N159">
        <v>42.08</v>
      </c>
      <c r="O159" t="s">
        <v>60</v>
      </c>
      <c r="P159" t="s">
        <v>491</v>
      </c>
      <c r="Q159">
        <v>0</v>
      </c>
      <c r="R159">
        <v>0</v>
      </c>
    </row>
    <row r="160" spans="1:18" x14ac:dyDescent="0.35">
      <c r="A160" t="s">
        <v>197</v>
      </c>
      <c r="B160" t="s">
        <v>483</v>
      </c>
      <c r="C160" t="s">
        <v>484</v>
      </c>
      <c r="D160">
        <v>107741612</v>
      </c>
      <c r="E160" t="s">
        <v>542</v>
      </c>
      <c r="F160" t="s">
        <v>497</v>
      </c>
      <c r="G160">
        <v>0.21</v>
      </c>
      <c r="H160">
        <v>6.14</v>
      </c>
      <c r="I160">
        <v>0</v>
      </c>
      <c r="J160">
        <v>0</v>
      </c>
      <c r="K160">
        <v>6.34</v>
      </c>
      <c r="L160" t="s">
        <v>487</v>
      </c>
      <c r="M160">
        <v>267</v>
      </c>
      <c r="N160">
        <v>42.08</v>
      </c>
      <c r="O160" t="s">
        <v>60</v>
      </c>
      <c r="P160" t="s">
        <v>492</v>
      </c>
      <c r="Q160">
        <v>2314</v>
      </c>
      <c r="R160">
        <v>364.71</v>
      </c>
    </row>
    <row r="161" spans="1:18" x14ac:dyDescent="0.35">
      <c r="A161" t="s">
        <v>197</v>
      </c>
      <c r="B161" t="s">
        <v>483</v>
      </c>
      <c r="C161" t="s">
        <v>484</v>
      </c>
      <c r="D161">
        <v>107741612</v>
      </c>
      <c r="E161" t="s">
        <v>542</v>
      </c>
      <c r="F161" t="s">
        <v>497</v>
      </c>
      <c r="G161">
        <v>0.21</v>
      </c>
      <c r="H161">
        <v>6.14</v>
      </c>
      <c r="I161">
        <v>0</v>
      </c>
      <c r="J161">
        <v>0</v>
      </c>
      <c r="K161">
        <v>6.34</v>
      </c>
      <c r="L161" t="s">
        <v>487</v>
      </c>
      <c r="M161">
        <v>267</v>
      </c>
      <c r="N161">
        <v>42.08</v>
      </c>
      <c r="O161" t="s">
        <v>81</v>
      </c>
      <c r="P161" t="s">
        <v>492</v>
      </c>
      <c r="Q161">
        <v>267</v>
      </c>
      <c r="R161">
        <v>42.08</v>
      </c>
    </row>
    <row r="162" spans="1:18" x14ac:dyDescent="0.35">
      <c r="A162" t="s">
        <v>197</v>
      </c>
      <c r="B162" t="s">
        <v>483</v>
      </c>
      <c r="C162" t="s">
        <v>484</v>
      </c>
      <c r="D162">
        <v>107741612</v>
      </c>
      <c r="E162" t="s">
        <v>542</v>
      </c>
      <c r="F162" t="s">
        <v>497</v>
      </c>
      <c r="G162">
        <v>0.21</v>
      </c>
      <c r="H162">
        <v>6.14</v>
      </c>
      <c r="I162">
        <v>0</v>
      </c>
      <c r="J162">
        <v>0</v>
      </c>
      <c r="K162">
        <v>6.34</v>
      </c>
      <c r="L162" t="s">
        <v>487</v>
      </c>
      <c r="M162">
        <v>267</v>
      </c>
      <c r="N162">
        <v>42.08</v>
      </c>
      <c r="O162" t="s">
        <v>85</v>
      </c>
      <c r="P162" t="s">
        <v>492</v>
      </c>
      <c r="Q162">
        <v>0</v>
      </c>
      <c r="R162">
        <v>0</v>
      </c>
    </row>
    <row r="163" spans="1:18" x14ac:dyDescent="0.35">
      <c r="A163" t="s">
        <v>197</v>
      </c>
      <c r="B163" t="s">
        <v>483</v>
      </c>
      <c r="C163" t="s">
        <v>493</v>
      </c>
      <c r="D163">
        <v>107775413</v>
      </c>
      <c r="E163" t="s">
        <v>510</v>
      </c>
      <c r="F163" t="s">
        <v>486</v>
      </c>
      <c r="G163">
        <v>0.1</v>
      </c>
      <c r="H163">
        <v>6.14</v>
      </c>
      <c r="I163">
        <v>0</v>
      </c>
      <c r="J163">
        <v>0</v>
      </c>
      <c r="K163">
        <v>6.24</v>
      </c>
      <c r="L163" t="s">
        <v>487</v>
      </c>
      <c r="M163">
        <v>176</v>
      </c>
      <c r="N163">
        <v>28.18</v>
      </c>
      <c r="O163" t="s">
        <v>60</v>
      </c>
      <c r="P163" t="s">
        <v>488</v>
      </c>
      <c r="Q163">
        <v>98</v>
      </c>
      <c r="R163">
        <v>985.47</v>
      </c>
    </row>
    <row r="164" spans="1:18" x14ac:dyDescent="0.35">
      <c r="A164" t="s">
        <v>197</v>
      </c>
      <c r="B164" t="s">
        <v>483</v>
      </c>
      <c r="C164" t="s">
        <v>493</v>
      </c>
      <c r="D164">
        <v>107775413</v>
      </c>
      <c r="E164" t="s">
        <v>510</v>
      </c>
      <c r="F164" t="s">
        <v>486</v>
      </c>
      <c r="G164">
        <v>0.1</v>
      </c>
      <c r="H164">
        <v>6.14</v>
      </c>
      <c r="I164">
        <v>0</v>
      </c>
      <c r="J164">
        <v>0</v>
      </c>
      <c r="K164">
        <v>6.24</v>
      </c>
      <c r="L164" t="s">
        <v>487</v>
      </c>
      <c r="M164">
        <v>176</v>
      </c>
      <c r="N164">
        <v>28.18</v>
      </c>
      <c r="O164" t="s">
        <v>60</v>
      </c>
      <c r="P164" t="s">
        <v>489</v>
      </c>
      <c r="Q164">
        <v>1092</v>
      </c>
      <c r="R164">
        <v>177.71</v>
      </c>
    </row>
    <row r="165" spans="1:18" x14ac:dyDescent="0.35">
      <c r="A165" t="s">
        <v>197</v>
      </c>
      <c r="B165" t="s">
        <v>483</v>
      </c>
      <c r="C165" t="s">
        <v>493</v>
      </c>
      <c r="D165">
        <v>107775413</v>
      </c>
      <c r="E165" t="s">
        <v>510</v>
      </c>
      <c r="F165" t="s">
        <v>486</v>
      </c>
      <c r="G165">
        <v>0.1</v>
      </c>
      <c r="H165">
        <v>6.14</v>
      </c>
      <c r="I165">
        <v>0</v>
      </c>
      <c r="J165">
        <v>0</v>
      </c>
      <c r="K165">
        <v>6.24</v>
      </c>
      <c r="L165" t="s">
        <v>487</v>
      </c>
      <c r="M165">
        <v>176</v>
      </c>
      <c r="N165">
        <v>28.18</v>
      </c>
      <c r="O165" t="s">
        <v>60</v>
      </c>
      <c r="P165" t="s">
        <v>490</v>
      </c>
      <c r="Q165">
        <v>0</v>
      </c>
      <c r="R165">
        <v>0</v>
      </c>
    </row>
    <row r="166" spans="1:18" x14ac:dyDescent="0.35">
      <c r="A166" t="s">
        <v>197</v>
      </c>
      <c r="B166" t="s">
        <v>483</v>
      </c>
      <c r="C166" t="s">
        <v>493</v>
      </c>
      <c r="D166">
        <v>107775413</v>
      </c>
      <c r="E166" t="s">
        <v>510</v>
      </c>
      <c r="F166" t="s">
        <v>486</v>
      </c>
      <c r="G166">
        <v>0.1</v>
      </c>
      <c r="H166">
        <v>6.14</v>
      </c>
      <c r="I166">
        <v>0</v>
      </c>
      <c r="J166">
        <v>0</v>
      </c>
      <c r="K166">
        <v>6.24</v>
      </c>
      <c r="L166" t="s">
        <v>487</v>
      </c>
      <c r="M166">
        <v>176</v>
      </c>
      <c r="N166">
        <v>28.18</v>
      </c>
      <c r="O166" t="s">
        <v>60</v>
      </c>
      <c r="P166" t="s">
        <v>491</v>
      </c>
      <c r="Q166">
        <v>0</v>
      </c>
      <c r="R166">
        <v>0</v>
      </c>
    </row>
    <row r="167" spans="1:18" x14ac:dyDescent="0.35">
      <c r="A167" t="s">
        <v>197</v>
      </c>
      <c r="B167" t="s">
        <v>483</v>
      </c>
      <c r="C167" t="s">
        <v>493</v>
      </c>
      <c r="D167">
        <v>107775413</v>
      </c>
      <c r="E167" t="s">
        <v>510</v>
      </c>
      <c r="F167" t="s">
        <v>486</v>
      </c>
      <c r="G167">
        <v>0.1</v>
      </c>
      <c r="H167">
        <v>6.14</v>
      </c>
      <c r="I167">
        <v>0</v>
      </c>
      <c r="J167">
        <v>0</v>
      </c>
      <c r="K167">
        <v>6.24</v>
      </c>
      <c r="L167" t="s">
        <v>487</v>
      </c>
      <c r="M167">
        <v>176</v>
      </c>
      <c r="N167">
        <v>28.18</v>
      </c>
      <c r="O167" t="s">
        <v>60</v>
      </c>
      <c r="P167" t="s">
        <v>492</v>
      </c>
      <c r="Q167">
        <v>1190</v>
      </c>
      <c r="R167">
        <v>190.56</v>
      </c>
    </row>
    <row r="168" spans="1:18" x14ac:dyDescent="0.35">
      <c r="A168" t="s">
        <v>197</v>
      </c>
      <c r="B168" t="s">
        <v>483</v>
      </c>
      <c r="C168" t="s">
        <v>493</v>
      </c>
      <c r="D168">
        <v>107775413</v>
      </c>
      <c r="E168" t="s">
        <v>510</v>
      </c>
      <c r="F168" t="s">
        <v>486</v>
      </c>
      <c r="G168">
        <v>0.1</v>
      </c>
      <c r="H168">
        <v>6.14</v>
      </c>
      <c r="I168">
        <v>0</v>
      </c>
      <c r="J168">
        <v>0</v>
      </c>
      <c r="K168">
        <v>6.24</v>
      </c>
      <c r="L168" t="s">
        <v>487</v>
      </c>
      <c r="M168">
        <v>176</v>
      </c>
      <c r="N168">
        <v>28.18</v>
      </c>
      <c r="O168" t="s">
        <v>81</v>
      </c>
      <c r="P168" t="s">
        <v>492</v>
      </c>
      <c r="Q168">
        <v>176</v>
      </c>
      <c r="R168">
        <v>28.18</v>
      </c>
    </row>
    <row r="169" spans="1:18" x14ac:dyDescent="0.35">
      <c r="A169" t="s">
        <v>197</v>
      </c>
      <c r="B169" t="s">
        <v>483</v>
      </c>
      <c r="C169" t="s">
        <v>493</v>
      </c>
      <c r="D169">
        <v>107775413</v>
      </c>
      <c r="E169" t="s">
        <v>510</v>
      </c>
      <c r="F169" t="s">
        <v>486</v>
      </c>
      <c r="G169">
        <v>0.1</v>
      </c>
      <c r="H169">
        <v>6.14</v>
      </c>
      <c r="I169">
        <v>0</v>
      </c>
      <c r="J169">
        <v>0</v>
      </c>
      <c r="K169">
        <v>6.24</v>
      </c>
      <c r="L169" t="s">
        <v>487</v>
      </c>
      <c r="M169">
        <v>176</v>
      </c>
      <c r="N169">
        <v>28.18</v>
      </c>
      <c r="O169" t="s">
        <v>85</v>
      </c>
      <c r="P169" t="s">
        <v>492</v>
      </c>
      <c r="Q169">
        <v>0</v>
      </c>
      <c r="R169">
        <v>0</v>
      </c>
    </row>
    <row r="170" spans="1:18" x14ac:dyDescent="0.35">
      <c r="A170" t="s">
        <v>197</v>
      </c>
      <c r="B170" t="s">
        <v>483</v>
      </c>
      <c r="C170" t="s">
        <v>484</v>
      </c>
      <c r="D170">
        <v>107775521</v>
      </c>
      <c r="E170" t="s">
        <v>511</v>
      </c>
      <c r="F170" t="s">
        <v>486</v>
      </c>
      <c r="G170">
        <v>0.52</v>
      </c>
      <c r="H170">
        <v>5.83</v>
      </c>
      <c r="I170">
        <v>0.02</v>
      </c>
      <c r="J170">
        <v>0</v>
      </c>
      <c r="K170">
        <v>6.38</v>
      </c>
      <c r="L170" t="s">
        <v>487</v>
      </c>
      <c r="M170">
        <v>337</v>
      </c>
      <c r="N170">
        <v>52.84</v>
      </c>
      <c r="O170" t="s">
        <v>60</v>
      </c>
      <c r="P170" t="s">
        <v>488</v>
      </c>
      <c r="Q170">
        <v>785</v>
      </c>
      <c r="R170">
        <v>1500</v>
      </c>
    </row>
    <row r="171" spans="1:18" x14ac:dyDescent="0.35">
      <c r="A171" t="s">
        <v>197</v>
      </c>
      <c r="B171" t="s">
        <v>483</v>
      </c>
      <c r="C171" t="s">
        <v>484</v>
      </c>
      <c r="D171">
        <v>107775521</v>
      </c>
      <c r="E171" t="s">
        <v>511</v>
      </c>
      <c r="F171" t="s">
        <v>486</v>
      </c>
      <c r="G171">
        <v>0.52</v>
      </c>
      <c r="H171">
        <v>5.83</v>
      </c>
      <c r="I171">
        <v>0.02</v>
      </c>
      <c r="J171">
        <v>0</v>
      </c>
      <c r="K171">
        <v>6.38</v>
      </c>
      <c r="L171" t="s">
        <v>487</v>
      </c>
      <c r="M171">
        <v>337</v>
      </c>
      <c r="N171">
        <v>52.84</v>
      </c>
      <c r="O171" t="s">
        <v>60</v>
      </c>
      <c r="P171" t="s">
        <v>489</v>
      </c>
      <c r="Q171">
        <v>1577</v>
      </c>
      <c r="R171">
        <v>270.51</v>
      </c>
    </row>
    <row r="172" spans="1:18" x14ac:dyDescent="0.35">
      <c r="A172" t="s">
        <v>197</v>
      </c>
      <c r="B172" t="s">
        <v>483</v>
      </c>
      <c r="C172" t="s">
        <v>484</v>
      </c>
      <c r="D172">
        <v>107775521</v>
      </c>
      <c r="E172" t="s">
        <v>511</v>
      </c>
      <c r="F172" t="s">
        <v>486</v>
      </c>
      <c r="G172">
        <v>0.52</v>
      </c>
      <c r="H172">
        <v>5.83</v>
      </c>
      <c r="I172">
        <v>0.02</v>
      </c>
      <c r="J172">
        <v>0</v>
      </c>
      <c r="K172">
        <v>6.38</v>
      </c>
      <c r="L172" t="s">
        <v>487</v>
      </c>
      <c r="M172">
        <v>337</v>
      </c>
      <c r="N172">
        <v>52.84</v>
      </c>
      <c r="O172" t="s">
        <v>60</v>
      </c>
      <c r="P172" t="s">
        <v>490</v>
      </c>
      <c r="Q172">
        <v>3</v>
      </c>
      <c r="R172">
        <v>122.73</v>
      </c>
    </row>
    <row r="173" spans="1:18" x14ac:dyDescent="0.35">
      <c r="A173" t="s">
        <v>197</v>
      </c>
      <c r="B173" t="s">
        <v>483</v>
      </c>
      <c r="C173" t="s">
        <v>484</v>
      </c>
      <c r="D173">
        <v>107775521</v>
      </c>
      <c r="E173" t="s">
        <v>511</v>
      </c>
      <c r="F173" t="s">
        <v>486</v>
      </c>
      <c r="G173">
        <v>0.52</v>
      </c>
      <c r="H173">
        <v>5.83</v>
      </c>
      <c r="I173">
        <v>0.02</v>
      </c>
      <c r="J173">
        <v>0</v>
      </c>
      <c r="K173">
        <v>6.38</v>
      </c>
      <c r="L173" t="s">
        <v>487</v>
      </c>
      <c r="M173">
        <v>337</v>
      </c>
      <c r="N173">
        <v>52.84</v>
      </c>
      <c r="O173" t="s">
        <v>60</v>
      </c>
      <c r="P173" t="s">
        <v>491</v>
      </c>
      <c r="Q173">
        <v>0</v>
      </c>
      <c r="R173">
        <v>0</v>
      </c>
    </row>
    <row r="174" spans="1:18" x14ac:dyDescent="0.35">
      <c r="A174" t="s">
        <v>197</v>
      </c>
      <c r="B174" t="s">
        <v>483</v>
      </c>
      <c r="C174" t="s">
        <v>484</v>
      </c>
      <c r="D174">
        <v>107775521</v>
      </c>
      <c r="E174" t="s">
        <v>511</v>
      </c>
      <c r="F174" t="s">
        <v>486</v>
      </c>
      <c r="G174">
        <v>0.52</v>
      </c>
      <c r="H174">
        <v>5.83</v>
      </c>
      <c r="I174">
        <v>0.02</v>
      </c>
      <c r="J174">
        <v>0</v>
      </c>
      <c r="K174">
        <v>6.38</v>
      </c>
      <c r="L174" t="s">
        <v>487</v>
      </c>
      <c r="M174">
        <v>337</v>
      </c>
      <c r="N174">
        <v>52.84</v>
      </c>
      <c r="O174" t="s">
        <v>60</v>
      </c>
      <c r="P174" t="s">
        <v>492</v>
      </c>
      <c r="Q174">
        <v>2365</v>
      </c>
      <c r="R174">
        <v>370.8</v>
      </c>
    </row>
    <row r="175" spans="1:18" x14ac:dyDescent="0.35">
      <c r="A175" t="s">
        <v>197</v>
      </c>
      <c r="B175" t="s">
        <v>483</v>
      </c>
      <c r="C175" t="s">
        <v>484</v>
      </c>
      <c r="D175">
        <v>107775521</v>
      </c>
      <c r="E175" t="s">
        <v>511</v>
      </c>
      <c r="F175" t="s">
        <v>486</v>
      </c>
      <c r="G175">
        <v>0.52</v>
      </c>
      <c r="H175">
        <v>5.83</v>
      </c>
      <c r="I175">
        <v>0.02</v>
      </c>
      <c r="J175">
        <v>0</v>
      </c>
      <c r="K175">
        <v>6.38</v>
      </c>
      <c r="L175" t="s">
        <v>487</v>
      </c>
      <c r="M175">
        <v>337</v>
      </c>
      <c r="N175">
        <v>52.84</v>
      </c>
      <c r="O175" t="s">
        <v>81</v>
      </c>
      <c r="P175" t="s">
        <v>492</v>
      </c>
      <c r="Q175">
        <v>337</v>
      </c>
      <c r="R175">
        <v>52.84</v>
      </c>
    </row>
    <row r="176" spans="1:18" x14ac:dyDescent="0.35">
      <c r="A176" t="s">
        <v>197</v>
      </c>
      <c r="B176" t="s">
        <v>483</v>
      </c>
      <c r="C176" t="s">
        <v>484</v>
      </c>
      <c r="D176">
        <v>107775521</v>
      </c>
      <c r="E176" t="s">
        <v>511</v>
      </c>
      <c r="F176" t="s">
        <v>486</v>
      </c>
      <c r="G176">
        <v>0.52</v>
      </c>
      <c r="H176">
        <v>5.83</v>
      </c>
      <c r="I176">
        <v>0.02</v>
      </c>
      <c r="J176">
        <v>0</v>
      </c>
      <c r="K176">
        <v>6.38</v>
      </c>
      <c r="L176" t="s">
        <v>487</v>
      </c>
      <c r="M176">
        <v>337</v>
      </c>
      <c r="N176">
        <v>52.84</v>
      </c>
      <c r="O176" t="s">
        <v>85</v>
      </c>
      <c r="P176" t="s">
        <v>492</v>
      </c>
      <c r="Q176">
        <v>0</v>
      </c>
      <c r="R176">
        <v>0</v>
      </c>
    </row>
    <row r="177" spans="1:18" x14ac:dyDescent="0.35">
      <c r="A177" t="s">
        <v>197</v>
      </c>
      <c r="B177" t="s">
        <v>483</v>
      </c>
      <c r="C177" t="s">
        <v>484</v>
      </c>
      <c r="D177">
        <v>107775986</v>
      </c>
      <c r="E177" t="s">
        <v>512</v>
      </c>
      <c r="F177" t="s">
        <v>486</v>
      </c>
      <c r="G177">
        <v>0.18</v>
      </c>
      <c r="H177">
        <v>6.1</v>
      </c>
      <c r="I177">
        <v>0</v>
      </c>
      <c r="J177">
        <v>0</v>
      </c>
      <c r="K177">
        <v>6.28</v>
      </c>
      <c r="L177" t="s">
        <v>487</v>
      </c>
      <c r="M177">
        <v>293</v>
      </c>
      <c r="N177">
        <v>46.67</v>
      </c>
      <c r="O177" t="s">
        <v>60</v>
      </c>
      <c r="P177" t="s">
        <v>488</v>
      </c>
      <c r="Q177">
        <v>442</v>
      </c>
      <c r="R177">
        <v>2474.65</v>
      </c>
    </row>
    <row r="178" spans="1:18" x14ac:dyDescent="0.35">
      <c r="A178" t="s">
        <v>197</v>
      </c>
      <c r="B178" t="s">
        <v>483</v>
      </c>
      <c r="C178" t="s">
        <v>484</v>
      </c>
      <c r="D178">
        <v>107775986</v>
      </c>
      <c r="E178" t="s">
        <v>512</v>
      </c>
      <c r="F178" t="s">
        <v>486</v>
      </c>
      <c r="G178">
        <v>0.18</v>
      </c>
      <c r="H178">
        <v>6.1</v>
      </c>
      <c r="I178">
        <v>0</v>
      </c>
      <c r="J178">
        <v>0</v>
      </c>
      <c r="K178">
        <v>6.28</v>
      </c>
      <c r="L178" t="s">
        <v>487</v>
      </c>
      <c r="M178">
        <v>293</v>
      </c>
      <c r="N178">
        <v>46.67</v>
      </c>
      <c r="O178" t="s">
        <v>60</v>
      </c>
      <c r="P178" t="s">
        <v>489</v>
      </c>
      <c r="Q178">
        <v>2721</v>
      </c>
      <c r="R178">
        <v>446.13</v>
      </c>
    </row>
    <row r="179" spans="1:18" x14ac:dyDescent="0.35">
      <c r="A179" t="s">
        <v>197</v>
      </c>
      <c r="B179" t="s">
        <v>483</v>
      </c>
      <c r="C179" t="s">
        <v>484</v>
      </c>
      <c r="D179">
        <v>107775986</v>
      </c>
      <c r="E179" t="s">
        <v>512</v>
      </c>
      <c r="F179" t="s">
        <v>486</v>
      </c>
      <c r="G179">
        <v>0.18</v>
      </c>
      <c r="H179">
        <v>6.1</v>
      </c>
      <c r="I179">
        <v>0</v>
      </c>
      <c r="J179">
        <v>0</v>
      </c>
      <c r="K179">
        <v>6.28</v>
      </c>
      <c r="L179" t="s">
        <v>487</v>
      </c>
      <c r="M179">
        <v>293</v>
      </c>
      <c r="N179">
        <v>46.67</v>
      </c>
      <c r="O179" t="s">
        <v>60</v>
      </c>
      <c r="P179" t="s">
        <v>490</v>
      </c>
      <c r="Q179">
        <v>0</v>
      </c>
      <c r="R179">
        <v>0</v>
      </c>
    </row>
    <row r="180" spans="1:18" x14ac:dyDescent="0.35">
      <c r="A180" t="s">
        <v>197</v>
      </c>
      <c r="B180" t="s">
        <v>483</v>
      </c>
      <c r="C180" t="s">
        <v>484</v>
      </c>
      <c r="D180">
        <v>107775986</v>
      </c>
      <c r="E180" t="s">
        <v>512</v>
      </c>
      <c r="F180" t="s">
        <v>486</v>
      </c>
      <c r="G180">
        <v>0.18</v>
      </c>
      <c r="H180">
        <v>6.1</v>
      </c>
      <c r="I180">
        <v>0</v>
      </c>
      <c r="J180">
        <v>0</v>
      </c>
      <c r="K180">
        <v>6.28</v>
      </c>
      <c r="L180" t="s">
        <v>487</v>
      </c>
      <c r="M180">
        <v>293</v>
      </c>
      <c r="N180">
        <v>46.67</v>
      </c>
      <c r="O180" t="s">
        <v>60</v>
      </c>
      <c r="P180" t="s">
        <v>491</v>
      </c>
      <c r="Q180">
        <v>0</v>
      </c>
      <c r="R180">
        <v>0</v>
      </c>
    </row>
    <row r="181" spans="1:18" x14ac:dyDescent="0.35">
      <c r="A181" t="s">
        <v>197</v>
      </c>
      <c r="B181" t="s">
        <v>483</v>
      </c>
      <c r="C181" t="s">
        <v>484</v>
      </c>
      <c r="D181">
        <v>107775986</v>
      </c>
      <c r="E181" t="s">
        <v>512</v>
      </c>
      <c r="F181" t="s">
        <v>486</v>
      </c>
      <c r="G181">
        <v>0.18</v>
      </c>
      <c r="H181">
        <v>6.1</v>
      </c>
      <c r="I181">
        <v>0</v>
      </c>
      <c r="J181">
        <v>0</v>
      </c>
      <c r="K181">
        <v>6.28</v>
      </c>
      <c r="L181" t="s">
        <v>487</v>
      </c>
      <c r="M181">
        <v>293</v>
      </c>
      <c r="N181">
        <v>46.67</v>
      </c>
      <c r="O181" t="s">
        <v>60</v>
      </c>
      <c r="P181" t="s">
        <v>492</v>
      </c>
      <c r="Q181">
        <v>3163</v>
      </c>
      <c r="R181">
        <v>503.82</v>
      </c>
    </row>
    <row r="182" spans="1:18" x14ac:dyDescent="0.35">
      <c r="A182" t="s">
        <v>197</v>
      </c>
      <c r="B182" t="s">
        <v>483</v>
      </c>
      <c r="C182" t="s">
        <v>484</v>
      </c>
      <c r="D182">
        <v>107775986</v>
      </c>
      <c r="E182" t="s">
        <v>512</v>
      </c>
      <c r="F182" t="s">
        <v>486</v>
      </c>
      <c r="G182">
        <v>0.18</v>
      </c>
      <c r="H182">
        <v>6.1</v>
      </c>
      <c r="I182">
        <v>0</v>
      </c>
      <c r="J182">
        <v>0</v>
      </c>
      <c r="K182">
        <v>6.28</v>
      </c>
      <c r="L182" t="s">
        <v>487</v>
      </c>
      <c r="M182">
        <v>293</v>
      </c>
      <c r="N182">
        <v>46.67</v>
      </c>
      <c r="O182" t="s">
        <v>81</v>
      </c>
      <c r="P182" t="s">
        <v>492</v>
      </c>
      <c r="Q182">
        <v>293</v>
      </c>
      <c r="R182">
        <v>46.67</v>
      </c>
    </row>
    <row r="183" spans="1:18" x14ac:dyDescent="0.35">
      <c r="A183" t="s">
        <v>197</v>
      </c>
      <c r="B183" t="s">
        <v>483</v>
      </c>
      <c r="C183" t="s">
        <v>484</v>
      </c>
      <c r="D183">
        <v>107775986</v>
      </c>
      <c r="E183" t="s">
        <v>512</v>
      </c>
      <c r="F183" t="s">
        <v>486</v>
      </c>
      <c r="G183">
        <v>0.18</v>
      </c>
      <c r="H183">
        <v>6.1</v>
      </c>
      <c r="I183">
        <v>0</v>
      </c>
      <c r="J183">
        <v>0</v>
      </c>
      <c r="K183">
        <v>6.28</v>
      </c>
      <c r="L183" t="s">
        <v>487</v>
      </c>
      <c r="M183">
        <v>293</v>
      </c>
      <c r="N183">
        <v>46.67</v>
      </c>
      <c r="O183" t="s">
        <v>85</v>
      </c>
      <c r="P183" t="s">
        <v>492</v>
      </c>
      <c r="Q183">
        <v>0</v>
      </c>
      <c r="R183">
        <v>0</v>
      </c>
    </row>
    <row r="184" spans="1:18" x14ac:dyDescent="0.35">
      <c r="A184" t="s">
        <v>197</v>
      </c>
      <c r="B184" t="s">
        <v>483</v>
      </c>
      <c r="C184" t="s">
        <v>493</v>
      </c>
      <c r="D184">
        <v>107819512</v>
      </c>
      <c r="E184" t="s">
        <v>544</v>
      </c>
      <c r="F184" t="s">
        <v>497</v>
      </c>
      <c r="G184">
        <v>0.67</v>
      </c>
      <c r="H184">
        <v>5.67</v>
      </c>
      <c r="I184">
        <v>0</v>
      </c>
      <c r="J184">
        <v>0</v>
      </c>
      <c r="K184">
        <v>6.34</v>
      </c>
      <c r="L184" t="s">
        <v>487</v>
      </c>
      <c r="M184">
        <v>144</v>
      </c>
      <c r="N184">
        <v>22.7</v>
      </c>
      <c r="O184" t="s">
        <v>60</v>
      </c>
      <c r="P184" t="s">
        <v>488</v>
      </c>
      <c r="Q184">
        <v>726</v>
      </c>
      <c r="R184">
        <v>1084.48</v>
      </c>
    </row>
    <row r="185" spans="1:18" x14ac:dyDescent="0.35">
      <c r="A185" t="s">
        <v>197</v>
      </c>
      <c r="B185" t="s">
        <v>483</v>
      </c>
      <c r="C185" t="s">
        <v>493</v>
      </c>
      <c r="D185">
        <v>107819512</v>
      </c>
      <c r="E185" t="s">
        <v>544</v>
      </c>
      <c r="F185" t="s">
        <v>497</v>
      </c>
      <c r="G185">
        <v>0.67</v>
      </c>
      <c r="H185">
        <v>5.67</v>
      </c>
      <c r="I185">
        <v>0</v>
      </c>
      <c r="J185">
        <v>0</v>
      </c>
      <c r="K185">
        <v>6.34</v>
      </c>
      <c r="L185" t="s">
        <v>487</v>
      </c>
      <c r="M185">
        <v>144</v>
      </c>
      <c r="N185">
        <v>22.7</v>
      </c>
      <c r="O185" t="s">
        <v>60</v>
      </c>
      <c r="P185" t="s">
        <v>489</v>
      </c>
      <c r="Q185">
        <v>1110</v>
      </c>
      <c r="R185">
        <v>195.59</v>
      </c>
    </row>
    <row r="186" spans="1:18" x14ac:dyDescent="0.35">
      <c r="A186" t="s">
        <v>197</v>
      </c>
      <c r="B186" t="s">
        <v>483</v>
      </c>
      <c r="C186" t="s">
        <v>493</v>
      </c>
      <c r="D186">
        <v>107819512</v>
      </c>
      <c r="E186" t="s">
        <v>544</v>
      </c>
      <c r="F186" t="s">
        <v>497</v>
      </c>
      <c r="G186">
        <v>0.67</v>
      </c>
      <c r="H186">
        <v>5.67</v>
      </c>
      <c r="I186">
        <v>0</v>
      </c>
      <c r="J186">
        <v>0</v>
      </c>
      <c r="K186">
        <v>6.34</v>
      </c>
      <c r="L186" t="s">
        <v>487</v>
      </c>
      <c r="M186">
        <v>144</v>
      </c>
      <c r="N186">
        <v>22.7</v>
      </c>
      <c r="O186" t="s">
        <v>60</v>
      </c>
      <c r="P186" t="s">
        <v>490</v>
      </c>
      <c r="Q186">
        <v>0</v>
      </c>
      <c r="R186">
        <v>0</v>
      </c>
    </row>
    <row r="187" spans="1:18" x14ac:dyDescent="0.35">
      <c r="A187" t="s">
        <v>197</v>
      </c>
      <c r="B187" t="s">
        <v>483</v>
      </c>
      <c r="C187" t="s">
        <v>493</v>
      </c>
      <c r="D187">
        <v>107819512</v>
      </c>
      <c r="E187" t="s">
        <v>544</v>
      </c>
      <c r="F187" t="s">
        <v>497</v>
      </c>
      <c r="G187">
        <v>0.67</v>
      </c>
      <c r="H187">
        <v>5.67</v>
      </c>
      <c r="I187">
        <v>0</v>
      </c>
      <c r="J187">
        <v>0</v>
      </c>
      <c r="K187">
        <v>6.34</v>
      </c>
      <c r="L187" t="s">
        <v>487</v>
      </c>
      <c r="M187">
        <v>144</v>
      </c>
      <c r="N187">
        <v>22.7</v>
      </c>
      <c r="O187" t="s">
        <v>60</v>
      </c>
      <c r="P187" t="s">
        <v>491</v>
      </c>
      <c r="Q187">
        <v>0</v>
      </c>
      <c r="R187">
        <v>0</v>
      </c>
    </row>
    <row r="188" spans="1:18" x14ac:dyDescent="0.35">
      <c r="A188" t="s">
        <v>197</v>
      </c>
      <c r="B188" t="s">
        <v>483</v>
      </c>
      <c r="C188" t="s">
        <v>493</v>
      </c>
      <c r="D188">
        <v>107819512</v>
      </c>
      <c r="E188" t="s">
        <v>544</v>
      </c>
      <c r="F188" t="s">
        <v>497</v>
      </c>
      <c r="G188">
        <v>0.67</v>
      </c>
      <c r="H188">
        <v>5.67</v>
      </c>
      <c r="I188">
        <v>0</v>
      </c>
      <c r="J188">
        <v>0</v>
      </c>
      <c r="K188">
        <v>6.34</v>
      </c>
      <c r="L188" t="s">
        <v>487</v>
      </c>
      <c r="M188">
        <v>144</v>
      </c>
      <c r="N188">
        <v>22.7</v>
      </c>
      <c r="O188" t="s">
        <v>60</v>
      </c>
      <c r="P188" t="s">
        <v>492</v>
      </c>
      <c r="Q188">
        <v>1836</v>
      </c>
      <c r="R188">
        <v>289.37</v>
      </c>
    </row>
    <row r="189" spans="1:18" x14ac:dyDescent="0.35">
      <c r="A189" t="s">
        <v>197</v>
      </c>
      <c r="B189" t="s">
        <v>483</v>
      </c>
      <c r="C189" t="s">
        <v>493</v>
      </c>
      <c r="D189">
        <v>107819512</v>
      </c>
      <c r="E189" t="s">
        <v>544</v>
      </c>
      <c r="F189" t="s">
        <v>497</v>
      </c>
      <c r="G189">
        <v>0.67</v>
      </c>
      <c r="H189">
        <v>5.67</v>
      </c>
      <c r="I189">
        <v>0</v>
      </c>
      <c r="J189">
        <v>0</v>
      </c>
      <c r="K189">
        <v>6.34</v>
      </c>
      <c r="L189" t="s">
        <v>487</v>
      </c>
      <c r="M189">
        <v>144</v>
      </c>
      <c r="N189">
        <v>22.7</v>
      </c>
      <c r="O189" t="s">
        <v>81</v>
      </c>
      <c r="P189" t="s">
        <v>492</v>
      </c>
      <c r="Q189">
        <v>144</v>
      </c>
      <c r="R189">
        <v>22.7</v>
      </c>
    </row>
    <row r="190" spans="1:18" x14ac:dyDescent="0.35">
      <c r="A190" t="s">
        <v>197</v>
      </c>
      <c r="B190" t="s">
        <v>483</v>
      </c>
      <c r="C190" t="s">
        <v>493</v>
      </c>
      <c r="D190">
        <v>107819512</v>
      </c>
      <c r="E190" t="s">
        <v>544</v>
      </c>
      <c r="F190" t="s">
        <v>497</v>
      </c>
      <c r="G190">
        <v>0.67</v>
      </c>
      <c r="H190">
        <v>5.67</v>
      </c>
      <c r="I190">
        <v>0</v>
      </c>
      <c r="J190">
        <v>0</v>
      </c>
      <c r="K190">
        <v>6.34</v>
      </c>
      <c r="L190" t="s">
        <v>487</v>
      </c>
      <c r="M190">
        <v>144</v>
      </c>
      <c r="N190">
        <v>22.7</v>
      </c>
      <c r="O190" t="s">
        <v>85</v>
      </c>
      <c r="P190" t="s">
        <v>492</v>
      </c>
      <c r="Q190">
        <v>0</v>
      </c>
      <c r="R190">
        <v>0</v>
      </c>
    </row>
    <row r="191" spans="1:18" x14ac:dyDescent="0.35">
      <c r="A191" t="s">
        <v>197</v>
      </c>
      <c r="B191" t="s">
        <v>483</v>
      </c>
      <c r="C191" t="s">
        <v>493</v>
      </c>
      <c r="D191">
        <v>107820116</v>
      </c>
      <c r="E191" t="s">
        <v>545</v>
      </c>
      <c r="F191" t="s">
        <v>497</v>
      </c>
      <c r="G191">
        <v>0.05</v>
      </c>
      <c r="H191">
        <v>6.2</v>
      </c>
      <c r="I191">
        <v>0</v>
      </c>
      <c r="J191">
        <v>0</v>
      </c>
      <c r="K191">
        <v>6.24</v>
      </c>
      <c r="L191" t="s">
        <v>487</v>
      </c>
      <c r="M191">
        <v>303</v>
      </c>
      <c r="N191">
        <v>48.52</v>
      </c>
      <c r="O191" t="s">
        <v>60</v>
      </c>
      <c r="P191" t="s">
        <v>488</v>
      </c>
      <c r="Q191">
        <v>67</v>
      </c>
      <c r="R191">
        <v>1394.22</v>
      </c>
    </row>
    <row r="192" spans="1:18" x14ac:dyDescent="0.35">
      <c r="A192" t="s">
        <v>197</v>
      </c>
      <c r="B192" t="s">
        <v>483</v>
      </c>
      <c r="C192" t="s">
        <v>493</v>
      </c>
      <c r="D192">
        <v>107820116</v>
      </c>
      <c r="E192" t="s">
        <v>545</v>
      </c>
      <c r="F192" t="s">
        <v>497</v>
      </c>
      <c r="G192">
        <v>0.05</v>
      </c>
      <c r="H192">
        <v>6.2</v>
      </c>
      <c r="I192">
        <v>0</v>
      </c>
      <c r="J192">
        <v>0</v>
      </c>
      <c r="K192">
        <v>6.24</v>
      </c>
      <c r="L192" t="s">
        <v>487</v>
      </c>
      <c r="M192">
        <v>303</v>
      </c>
      <c r="N192">
        <v>48.52</v>
      </c>
      <c r="O192" t="s">
        <v>60</v>
      </c>
      <c r="P192" t="s">
        <v>489</v>
      </c>
      <c r="Q192">
        <v>1550</v>
      </c>
      <c r="R192">
        <v>250.15</v>
      </c>
    </row>
    <row r="193" spans="1:18" x14ac:dyDescent="0.35">
      <c r="A193" t="s">
        <v>197</v>
      </c>
      <c r="B193" t="s">
        <v>483</v>
      </c>
      <c r="C193" t="s">
        <v>493</v>
      </c>
      <c r="D193">
        <v>107820116</v>
      </c>
      <c r="E193" t="s">
        <v>545</v>
      </c>
      <c r="F193" t="s">
        <v>497</v>
      </c>
      <c r="G193">
        <v>0.05</v>
      </c>
      <c r="H193">
        <v>6.2</v>
      </c>
      <c r="I193">
        <v>0</v>
      </c>
      <c r="J193">
        <v>0</v>
      </c>
      <c r="K193">
        <v>6.24</v>
      </c>
      <c r="L193" t="s">
        <v>487</v>
      </c>
      <c r="M193">
        <v>303</v>
      </c>
      <c r="N193">
        <v>48.52</v>
      </c>
      <c r="O193" t="s">
        <v>60</v>
      </c>
      <c r="P193" t="s">
        <v>490</v>
      </c>
      <c r="Q193">
        <v>0</v>
      </c>
      <c r="R193">
        <v>0</v>
      </c>
    </row>
    <row r="194" spans="1:18" x14ac:dyDescent="0.35">
      <c r="A194" t="s">
        <v>197</v>
      </c>
      <c r="B194" t="s">
        <v>483</v>
      </c>
      <c r="C194" t="s">
        <v>493</v>
      </c>
      <c r="D194">
        <v>107820116</v>
      </c>
      <c r="E194" t="s">
        <v>545</v>
      </c>
      <c r="F194" t="s">
        <v>497</v>
      </c>
      <c r="G194">
        <v>0.05</v>
      </c>
      <c r="H194">
        <v>6.2</v>
      </c>
      <c r="I194">
        <v>0</v>
      </c>
      <c r="J194">
        <v>0</v>
      </c>
      <c r="K194">
        <v>6.24</v>
      </c>
      <c r="L194" t="s">
        <v>487</v>
      </c>
      <c r="M194">
        <v>303</v>
      </c>
      <c r="N194">
        <v>48.52</v>
      </c>
      <c r="O194" t="s">
        <v>60</v>
      </c>
      <c r="P194" t="s">
        <v>491</v>
      </c>
      <c r="Q194">
        <v>0</v>
      </c>
      <c r="R194">
        <v>0</v>
      </c>
    </row>
    <row r="195" spans="1:18" x14ac:dyDescent="0.35">
      <c r="A195" t="s">
        <v>197</v>
      </c>
      <c r="B195" t="s">
        <v>483</v>
      </c>
      <c r="C195" t="s">
        <v>493</v>
      </c>
      <c r="D195">
        <v>107820116</v>
      </c>
      <c r="E195" t="s">
        <v>545</v>
      </c>
      <c r="F195" t="s">
        <v>497</v>
      </c>
      <c r="G195">
        <v>0.05</v>
      </c>
      <c r="H195">
        <v>6.2</v>
      </c>
      <c r="I195">
        <v>0</v>
      </c>
      <c r="J195">
        <v>0</v>
      </c>
      <c r="K195">
        <v>6.24</v>
      </c>
      <c r="L195" t="s">
        <v>487</v>
      </c>
      <c r="M195">
        <v>303</v>
      </c>
      <c r="N195">
        <v>48.52</v>
      </c>
      <c r="O195" t="s">
        <v>60</v>
      </c>
      <c r="P195" t="s">
        <v>492</v>
      </c>
      <c r="Q195">
        <v>1617</v>
      </c>
      <c r="R195">
        <v>258.94</v>
      </c>
    </row>
    <row r="196" spans="1:18" x14ac:dyDescent="0.35">
      <c r="A196" t="s">
        <v>197</v>
      </c>
      <c r="B196" t="s">
        <v>483</v>
      </c>
      <c r="C196" t="s">
        <v>493</v>
      </c>
      <c r="D196">
        <v>107820116</v>
      </c>
      <c r="E196" t="s">
        <v>545</v>
      </c>
      <c r="F196" t="s">
        <v>497</v>
      </c>
      <c r="G196">
        <v>0.05</v>
      </c>
      <c r="H196">
        <v>6.2</v>
      </c>
      <c r="I196">
        <v>0</v>
      </c>
      <c r="J196">
        <v>0</v>
      </c>
      <c r="K196">
        <v>6.24</v>
      </c>
      <c r="L196" t="s">
        <v>487</v>
      </c>
      <c r="M196">
        <v>303</v>
      </c>
      <c r="N196">
        <v>48.52</v>
      </c>
      <c r="O196" t="s">
        <v>81</v>
      </c>
      <c r="P196" t="s">
        <v>492</v>
      </c>
      <c r="Q196">
        <v>303</v>
      </c>
      <c r="R196">
        <v>48.52</v>
      </c>
    </row>
    <row r="197" spans="1:18" x14ac:dyDescent="0.35">
      <c r="A197" t="s">
        <v>197</v>
      </c>
      <c r="B197" t="s">
        <v>483</v>
      </c>
      <c r="C197" t="s">
        <v>493</v>
      </c>
      <c r="D197">
        <v>107820116</v>
      </c>
      <c r="E197" t="s">
        <v>545</v>
      </c>
      <c r="F197" t="s">
        <v>497</v>
      </c>
      <c r="G197">
        <v>0.05</v>
      </c>
      <c r="H197">
        <v>6.2</v>
      </c>
      <c r="I197">
        <v>0</v>
      </c>
      <c r="J197">
        <v>0</v>
      </c>
      <c r="K197">
        <v>6.24</v>
      </c>
      <c r="L197" t="s">
        <v>487</v>
      </c>
      <c r="M197">
        <v>303</v>
      </c>
      <c r="N197">
        <v>48.52</v>
      </c>
      <c r="O197" t="s">
        <v>85</v>
      </c>
      <c r="P197" t="s">
        <v>492</v>
      </c>
      <c r="Q197">
        <v>0</v>
      </c>
      <c r="R197">
        <v>0</v>
      </c>
    </row>
    <row r="198" spans="1:18" x14ac:dyDescent="0.35">
      <c r="A198" t="s">
        <v>197</v>
      </c>
      <c r="B198" t="s">
        <v>483</v>
      </c>
      <c r="C198" t="s">
        <v>493</v>
      </c>
      <c r="D198">
        <v>107824169</v>
      </c>
      <c r="E198" t="s">
        <v>546</v>
      </c>
      <c r="F198" t="s">
        <v>497</v>
      </c>
      <c r="G198">
        <v>0.4</v>
      </c>
      <c r="H198">
        <v>5.94</v>
      </c>
      <c r="I198">
        <v>0</v>
      </c>
      <c r="J198">
        <v>0</v>
      </c>
      <c r="K198">
        <v>6.34</v>
      </c>
      <c r="L198" t="s">
        <v>487</v>
      </c>
      <c r="M198">
        <v>206</v>
      </c>
      <c r="N198">
        <v>32.47</v>
      </c>
      <c r="O198" t="s">
        <v>60</v>
      </c>
      <c r="P198" t="s">
        <v>488</v>
      </c>
      <c r="Q198">
        <v>684</v>
      </c>
      <c r="R198">
        <v>1692.37</v>
      </c>
    </row>
    <row r="199" spans="1:18" x14ac:dyDescent="0.35">
      <c r="A199" t="s">
        <v>197</v>
      </c>
      <c r="B199" t="s">
        <v>483</v>
      </c>
      <c r="C199" t="s">
        <v>493</v>
      </c>
      <c r="D199">
        <v>107824169</v>
      </c>
      <c r="E199" t="s">
        <v>546</v>
      </c>
      <c r="F199" t="s">
        <v>497</v>
      </c>
      <c r="G199">
        <v>0.4</v>
      </c>
      <c r="H199">
        <v>5.94</v>
      </c>
      <c r="I199">
        <v>0</v>
      </c>
      <c r="J199">
        <v>0</v>
      </c>
      <c r="K199">
        <v>6.34</v>
      </c>
      <c r="L199" t="s">
        <v>487</v>
      </c>
      <c r="M199">
        <v>206</v>
      </c>
      <c r="N199">
        <v>32.47</v>
      </c>
      <c r="O199" t="s">
        <v>60</v>
      </c>
      <c r="P199" t="s">
        <v>489</v>
      </c>
      <c r="Q199">
        <v>1813</v>
      </c>
      <c r="R199">
        <v>305.2</v>
      </c>
    </row>
    <row r="200" spans="1:18" x14ac:dyDescent="0.35">
      <c r="A200" t="s">
        <v>197</v>
      </c>
      <c r="B200" t="s">
        <v>483</v>
      </c>
      <c r="C200" t="s">
        <v>493</v>
      </c>
      <c r="D200">
        <v>107824169</v>
      </c>
      <c r="E200" t="s">
        <v>546</v>
      </c>
      <c r="F200" t="s">
        <v>497</v>
      </c>
      <c r="G200">
        <v>0.4</v>
      </c>
      <c r="H200">
        <v>5.94</v>
      </c>
      <c r="I200">
        <v>0</v>
      </c>
      <c r="J200">
        <v>0</v>
      </c>
      <c r="K200">
        <v>6.34</v>
      </c>
      <c r="L200" t="s">
        <v>487</v>
      </c>
      <c r="M200">
        <v>206</v>
      </c>
      <c r="N200">
        <v>32.47</v>
      </c>
      <c r="O200" t="s">
        <v>60</v>
      </c>
      <c r="P200" t="s">
        <v>490</v>
      </c>
      <c r="Q200">
        <v>0</v>
      </c>
      <c r="R200">
        <v>0</v>
      </c>
    </row>
    <row r="201" spans="1:18" x14ac:dyDescent="0.35">
      <c r="A201" t="s">
        <v>197</v>
      </c>
      <c r="B201" t="s">
        <v>483</v>
      </c>
      <c r="C201" t="s">
        <v>493</v>
      </c>
      <c r="D201">
        <v>107824169</v>
      </c>
      <c r="E201" t="s">
        <v>546</v>
      </c>
      <c r="F201" t="s">
        <v>497</v>
      </c>
      <c r="G201">
        <v>0.4</v>
      </c>
      <c r="H201">
        <v>5.94</v>
      </c>
      <c r="I201">
        <v>0</v>
      </c>
      <c r="J201">
        <v>0</v>
      </c>
      <c r="K201">
        <v>6.34</v>
      </c>
      <c r="L201" t="s">
        <v>487</v>
      </c>
      <c r="M201">
        <v>206</v>
      </c>
      <c r="N201">
        <v>32.47</v>
      </c>
      <c r="O201" t="s">
        <v>60</v>
      </c>
      <c r="P201" t="s">
        <v>491</v>
      </c>
      <c r="Q201">
        <v>0</v>
      </c>
      <c r="R201">
        <v>0</v>
      </c>
    </row>
    <row r="202" spans="1:18" x14ac:dyDescent="0.35">
      <c r="A202" t="s">
        <v>197</v>
      </c>
      <c r="B202" t="s">
        <v>483</v>
      </c>
      <c r="C202" t="s">
        <v>493</v>
      </c>
      <c r="D202">
        <v>107824169</v>
      </c>
      <c r="E202" t="s">
        <v>546</v>
      </c>
      <c r="F202" t="s">
        <v>497</v>
      </c>
      <c r="G202">
        <v>0.4</v>
      </c>
      <c r="H202">
        <v>5.94</v>
      </c>
      <c r="I202">
        <v>0</v>
      </c>
      <c r="J202">
        <v>0</v>
      </c>
      <c r="K202">
        <v>6.34</v>
      </c>
      <c r="L202" t="s">
        <v>487</v>
      </c>
      <c r="M202">
        <v>206</v>
      </c>
      <c r="N202">
        <v>32.47</v>
      </c>
      <c r="O202" t="s">
        <v>60</v>
      </c>
      <c r="P202" t="s">
        <v>492</v>
      </c>
      <c r="Q202">
        <v>2497</v>
      </c>
      <c r="R202">
        <v>393.56</v>
      </c>
    </row>
    <row r="203" spans="1:18" x14ac:dyDescent="0.35">
      <c r="A203" t="s">
        <v>197</v>
      </c>
      <c r="B203" t="s">
        <v>483</v>
      </c>
      <c r="C203" t="s">
        <v>493</v>
      </c>
      <c r="D203">
        <v>107824169</v>
      </c>
      <c r="E203" t="s">
        <v>546</v>
      </c>
      <c r="F203" t="s">
        <v>497</v>
      </c>
      <c r="G203">
        <v>0.4</v>
      </c>
      <c r="H203">
        <v>5.94</v>
      </c>
      <c r="I203">
        <v>0</v>
      </c>
      <c r="J203">
        <v>0</v>
      </c>
      <c r="K203">
        <v>6.34</v>
      </c>
      <c r="L203" t="s">
        <v>487</v>
      </c>
      <c r="M203">
        <v>206</v>
      </c>
      <c r="N203">
        <v>32.47</v>
      </c>
      <c r="O203" t="s">
        <v>81</v>
      </c>
      <c r="P203" t="s">
        <v>492</v>
      </c>
      <c r="Q203">
        <v>206</v>
      </c>
      <c r="R203">
        <v>32.47</v>
      </c>
    </row>
    <row r="204" spans="1:18" x14ac:dyDescent="0.35">
      <c r="A204" t="s">
        <v>197</v>
      </c>
      <c r="B204" t="s">
        <v>483</v>
      </c>
      <c r="C204" t="s">
        <v>493</v>
      </c>
      <c r="D204">
        <v>107824169</v>
      </c>
      <c r="E204" t="s">
        <v>546</v>
      </c>
      <c r="F204" t="s">
        <v>497</v>
      </c>
      <c r="G204">
        <v>0.4</v>
      </c>
      <c r="H204">
        <v>5.94</v>
      </c>
      <c r="I204">
        <v>0</v>
      </c>
      <c r="J204">
        <v>0</v>
      </c>
      <c r="K204">
        <v>6.34</v>
      </c>
      <c r="L204" t="s">
        <v>487</v>
      </c>
      <c r="M204">
        <v>206</v>
      </c>
      <c r="N204">
        <v>32.47</v>
      </c>
      <c r="O204" t="s">
        <v>85</v>
      </c>
      <c r="P204" t="s">
        <v>492</v>
      </c>
      <c r="Q204">
        <v>0</v>
      </c>
      <c r="R204">
        <v>0</v>
      </c>
    </row>
    <row r="205" spans="1:18" x14ac:dyDescent="0.35">
      <c r="A205" t="s">
        <v>197</v>
      </c>
      <c r="B205" t="s">
        <v>483</v>
      </c>
      <c r="C205" t="s">
        <v>484</v>
      </c>
      <c r="D205">
        <v>107826180</v>
      </c>
      <c r="E205" t="s">
        <v>554</v>
      </c>
      <c r="F205" t="s">
        <v>497</v>
      </c>
      <c r="G205">
        <v>0.04</v>
      </c>
      <c r="H205">
        <v>1.29</v>
      </c>
      <c r="I205">
        <v>0</v>
      </c>
      <c r="J205">
        <v>0</v>
      </c>
      <c r="K205">
        <v>1.33</v>
      </c>
      <c r="L205" t="s">
        <v>487</v>
      </c>
      <c r="M205">
        <v>86</v>
      </c>
      <c r="N205">
        <v>64.760000000000005</v>
      </c>
      <c r="O205" t="s">
        <v>60</v>
      </c>
      <c r="P205" t="s">
        <v>488</v>
      </c>
      <c r="Q205">
        <v>90</v>
      </c>
      <c r="R205">
        <v>2117.65</v>
      </c>
    </row>
    <row r="206" spans="1:18" x14ac:dyDescent="0.35">
      <c r="A206" t="s">
        <v>197</v>
      </c>
      <c r="B206" t="s">
        <v>483</v>
      </c>
      <c r="C206" t="s">
        <v>484</v>
      </c>
      <c r="D206">
        <v>107826180</v>
      </c>
      <c r="E206" t="s">
        <v>554</v>
      </c>
      <c r="F206" t="s">
        <v>497</v>
      </c>
      <c r="G206">
        <v>0.04</v>
      </c>
      <c r="H206">
        <v>1.29</v>
      </c>
      <c r="I206">
        <v>0</v>
      </c>
      <c r="J206">
        <v>0</v>
      </c>
      <c r="K206">
        <v>1.33</v>
      </c>
      <c r="L206" t="s">
        <v>487</v>
      </c>
      <c r="M206">
        <v>86</v>
      </c>
      <c r="N206">
        <v>64.760000000000005</v>
      </c>
      <c r="O206" t="s">
        <v>60</v>
      </c>
      <c r="P206" t="s">
        <v>489</v>
      </c>
      <c r="Q206">
        <v>490</v>
      </c>
      <c r="R206">
        <v>381.24</v>
      </c>
    </row>
    <row r="207" spans="1:18" x14ac:dyDescent="0.35">
      <c r="A207" t="s">
        <v>197</v>
      </c>
      <c r="B207" t="s">
        <v>483</v>
      </c>
      <c r="C207" t="s">
        <v>484</v>
      </c>
      <c r="D207">
        <v>107826180</v>
      </c>
      <c r="E207" t="s">
        <v>554</v>
      </c>
      <c r="F207" t="s">
        <v>497</v>
      </c>
      <c r="G207">
        <v>0.04</v>
      </c>
      <c r="H207">
        <v>1.29</v>
      </c>
      <c r="I207">
        <v>0</v>
      </c>
      <c r="J207">
        <v>0</v>
      </c>
      <c r="K207">
        <v>1.33</v>
      </c>
      <c r="L207" t="s">
        <v>487</v>
      </c>
      <c r="M207">
        <v>86</v>
      </c>
      <c r="N207">
        <v>64.760000000000005</v>
      </c>
      <c r="O207" t="s">
        <v>60</v>
      </c>
      <c r="P207" t="s">
        <v>490</v>
      </c>
      <c r="Q207">
        <v>0</v>
      </c>
      <c r="R207">
        <v>0</v>
      </c>
    </row>
    <row r="208" spans="1:18" x14ac:dyDescent="0.35">
      <c r="A208" t="s">
        <v>197</v>
      </c>
      <c r="B208" t="s">
        <v>483</v>
      </c>
      <c r="C208" t="s">
        <v>484</v>
      </c>
      <c r="D208">
        <v>107826180</v>
      </c>
      <c r="E208" t="s">
        <v>554</v>
      </c>
      <c r="F208" t="s">
        <v>497</v>
      </c>
      <c r="G208">
        <v>0.04</v>
      </c>
      <c r="H208">
        <v>1.29</v>
      </c>
      <c r="I208">
        <v>0</v>
      </c>
      <c r="J208">
        <v>0</v>
      </c>
      <c r="K208">
        <v>1.33</v>
      </c>
      <c r="L208" t="s">
        <v>487</v>
      </c>
      <c r="M208">
        <v>86</v>
      </c>
      <c r="N208">
        <v>64.760000000000005</v>
      </c>
      <c r="O208" t="s">
        <v>60</v>
      </c>
      <c r="P208" t="s">
        <v>491</v>
      </c>
      <c r="Q208">
        <v>0</v>
      </c>
      <c r="R208">
        <v>0</v>
      </c>
    </row>
    <row r="209" spans="1:18" x14ac:dyDescent="0.35">
      <c r="A209" t="s">
        <v>197</v>
      </c>
      <c r="B209" t="s">
        <v>483</v>
      </c>
      <c r="C209" t="s">
        <v>484</v>
      </c>
      <c r="D209">
        <v>107826180</v>
      </c>
      <c r="E209" t="s">
        <v>554</v>
      </c>
      <c r="F209" t="s">
        <v>497</v>
      </c>
      <c r="G209">
        <v>0.04</v>
      </c>
      <c r="H209">
        <v>1.29</v>
      </c>
      <c r="I209">
        <v>0</v>
      </c>
      <c r="J209">
        <v>0</v>
      </c>
      <c r="K209">
        <v>1.33</v>
      </c>
      <c r="L209" t="s">
        <v>487</v>
      </c>
      <c r="M209">
        <v>86</v>
      </c>
      <c r="N209">
        <v>64.760000000000005</v>
      </c>
      <c r="O209" t="s">
        <v>60</v>
      </c>
      <c r="P209" t="s">
        <v>492</v>
      </c>
      <c r="Q209">
        <v>580</v>
      </c>
      <c r="R209">
        <v>436.73</v>
      </c>
    </row>
    <row r="210" spans="1:18" x14ac:dyDescent="0.35">
      <c r="A210" t="s">
        <v>197</v>
      </c>
      <c r="B210" t="s">
        <v>483</v>
      </c>
      <c r="C210" t="s">
        <v>484</v>
      </c>
      <c r="D210">
        <v>107826180</v>
      </c>
      <c r="E210" t="s">
        <v>554</v>
      </c>
      <c r="F210" t="s">
        <v>497</v>
      </c>
      <c r="G210">
        <v>0.04</v>
      </c>
      <c r="H210">
        <v>1.29</v>
      </c>
      <c r="I210">
        <v>0</v>
      </c>
      <c r="J210">
        <v>0</v>
      </c>
      <c r="K210">
        <v>1.33</v>
      </c>
      <c r="L210" t="s">
        <v>487</v>
      </c>
      <c r="M210">
        <v>86</v>
      </c>
      <c r="N210">
        <v>64.760000000000005</v>
      </c>
      <c r="O210" t="s">
        <v>81</v>
      </c>
      <c r="P210" t="s">
        <v>492</v>
      </c>
      <c r="Q210">
        <v>86</v>
      </c>
      <c r="R210">
        <v>64.760000000000005</v>
      </c>
    </row>
    <row r="211" spans="1:18" x14ac:dyDescent="0.35">
      <c r="A211" t="s">
        <v>197</v>
      </c>
      <c r="B211" t="s">
        <v>483</v>
      </c>
      <c r="C211" t="s">
        <v>484</v>
      </c>
      <c r="D211">
        <v>107826180</v>
      </c>
      <c r="E211" t="s">
        <v>554</v>
      </c>
      <c r="F211" t="s">
        <v>497</v>
      </c>
      <c r="G211">
        <v>0.04</v>
      </c>
      <c r="H211">
        <v>1.29</v>
      </c>
      <c r="I211">
        <v>0</v>
      </c>
      <c r="J211">
        <v>0</v>
      </c>
      <c r="K211">
        <v>1.33</v>
      </c>
      <c r="L211" t="s">
        <v>487</v>
      </c>
      <c r="M211">
        <v>86</v>
      </c>
      <c r="N211">
        <v>64.760000000000005</v>
      </c>
      <c r="O211" t="s">
        <v>85</v>
      </c>
      <c r="P211" t="s">
        <v>492</v>
      </c>
      <c r="Q211">
        <v>0</v>
      </c>
      <c r="R211">
        <v>0</v>
      </c>
    </row>
    <row r="212" spans="1:18" x14ac:dyDescent="0.35">
      <c r="A212" t="s">
        <v>197</v>
      </c>
      <c r="B212" t="s">
        <v>483</v>
      </c>
      <c r="C212" t="s">
        <v>493</v>
      </c>
      <c r="D212">
        <v>107868365</v>
      </c>
      <c r="E212" t="s">
        <v>521</v>
      </c>
      <c r="F212" t="s">
        <v>486</v>
      </c>
      <c r="G212">
        <v>0.35</v>
      </c>
      <c r="H212">
        <v>5.7</v>
      </c>
      <c r="I212">
        <v>0.2</v>
      </c>
      <c r="J212">
        <v>0</v>
      </c>
      <c r="K212">
        <v>6.24</v>
      </c>
      <c r="L212" t="s">
        <v>487</v>
      </c>
      <c r="M212">
        <v>271</v>
      </c>
      <c r="N212">
        <v>43.4</v>
      </c>
      <c r="O212" t="s">
        <v>60</v>
      </c>
      <c r="P212" t="s">
        <v>488</v>
      </c>
      <c r="Q212">
        <v>551</v>
      </c>
      <c r="R212">
        <v>1575.54</v>
      </c>
    </row>
    <row r="213" spans="1:18" x14ac:dyDescent="0.35">
      <c r="A213" t="s">
        <v>197</v>
      </c>
      <c r="B213" t="s">
        <v>483</v>
      </c>
      <c r="C213" t="s">
        <v>493</v>
      </c>
      <c r="D213">
        <v>107868365</v>
      </c>
      <c r="E213" t="s">
        <v>521</v>
      </c>
      <c r="F213" t="s">
        <v>486</v>
      </c>
      <c r="G213">
        <v>0.35</v>
      </c>
      <c r="H213">
        <v>5.7</v>
      </c>
      <c r="I213">
        <v>0.2</v>
      </c>
      <c r="J213">
        <v>0</v>
      </c>
      <c r="K213">
        <v>6.24</v>
      </c>
      <c r="L213" t="s">
        <v>487</v>
      </c>
      <c r="M213">
        <v>271</v>
      </c>
      <c r="N213">
        <v>43.4</v>
      </c>
      <c r="O213" t="s">
        <v>60</v>
      </c>
      <c r="P213" t="s">
        <v>489</v>
      </c>
      <c r="Q213">
        <v>1619</v>
      </c>
      <c r="R213">
        <v>284.08999999999997</v>
      </c>
    </row>
    <row r="214" spans="1:18" x14ac:dyDescent="0.35">
      <c r="A214" t="s">
        <v>197</v>
      </c>
      <c r="B214" t="s">
        <v>483</v>
      </c>
      <c r="C214" t="s">
        <v>493</v>
      </c>
      <c r="D214">
        <v>107868365</v>
      </c>
      <c r="E214" t="s">
        <v>521</v>
      </c>
      <c r="F214" t="s">
        <v>486</v>
      </c>
      <c r="G214">
        <v>0.35</v>
      </c>
      <c r="H214">
        <v>5.7</v>
      </c>
      <c r="I214">
        <v>0.2</v>
      </c>
      <c r="J214">
        <v>0</v>
      </c>
      <c r="K214">
        <v>6.24</v>
      </c>
      <c r="L214" t="s">
        <v>487</v>
      </c>
      <c r="M214">
        <v>271</v>
      </c>
      <c r="N214">
        <v>43.4</v>
      </c>
      <c r="O214" t="s">
        <v>60</v>
      </c>
      <c r="P214" t="s">
        <v>490</v>
      </c>
      <c r="Q214">
        <v>25</v>
      </c>
      <c r="R214">
        <v>127.66</v>
      </c>
    </row>
    <row r="215" spans="1:18" x14ac:dyDescent="0.35">
      <c r="A215" t="s">
        <v>197</v>
      </c>
      <c r="B215" t="s">
        <v>483</v>
      </c>
      <c r="C215" t="s">
        <v>493</v>
      </c>
      <c r="D215">
        <v>107868365</v>
      </c>
      <c r="E215" t="s">
        <v>521</v>
      </c>
      <c r="F215" t="s">
        <v>486</v>
      </c>
      <c r="G215">
        <v>0.35</v>
      </c>
      <c r="H215">
        <v>5.7</v>
      </c>
      <c r="I215">
        <v>0.2</v>
      </c>
      <c r="J215">
        <v>0</v>
      </c>
      <c r="K215">
        <v>6.24</v>
      </c>
      <c r="L215" t="s">
        <v>487</v>
      </c>
      <c r="M215">
        <v>271</v>
      </c>
      <c r="N215">
        <v>43.4</v>
      </c>
      <c r="O215" t="s">
        <v>60</v>
      </c>
      <c r="P215" t="s">
        <v>491</v>
      </c>
      <c r="Q215">
        <v>0</v>
      </c>
      <c r="R215">
        <v>0</v>
      </c>
    </row>
    <row r="216" spans="1:18" x14ac:dyDescent="0.35">
      <c r="A216" t="s">
        <v>197</v>
      </c>
      <c r="B216" t="s">
        <v>483</v>
      </c>
      <c r="C216" t="s">
        <v>493</v>
      </c>
      <c r="D216">
        <v>107868365</v>
      </c>
      <c r="E216" t="s">
        <v>521</v>
      </c>
      <c r="F216" t="s">
        <v>486</v>
      </c>
      <c r="G216">
        <v>0.35</v>
      </c>
      <c r="H216">
        <v>5.7</v>
      </c>
      <c r="I216">
        <v>0.2</v>
      </c>
      <c r="J216">
        <v>0</v>
      </c>
      <c r="K216">
        <v>6.24</v>
      </c>
      <c r="L216" t="s">
        <v>487</v>
      </c>
      <c r="M216">
        <v>271</v>
      </c>
      <c r="N216">
        <v>43.4</v>
      </c>
      <c r="O216" t="s">
        <v>60</v>
      </c>
      <c r="P216" t="s">
        <v>492</v>
      </c>
      <c r="Q216">
        <v>2195</v>
      </c>
      <c r="R216">
        <v>351.5</v>
      </c>
    </row>
    <row r="217" spans="1:18" x14ac:dyDescent="0.35">
      <c r="A217" t="s">
        <v>197</v>
      </c>
      <c r="B217" t="s">
        <v>483</v>
      </c>
      <c r="C217" t="s">
        <v>493</v>
      </c>
      <c r="D217">
        <v>107868365</v>
      </c>
      <c r="E217" t="s">
        <v>521</v>
      </c>
      <c r="F217" t="s">
        <v>486</v>
      </c>
      <c r="G217">
        <v>0.35</v>
      </c>
      <c r="H217">
        <v>5.7</v>
      </c>
      <c r="I217">
        <v>0.2</v>
      </c>
      <c r="J217">
        <v>0</v>
      </c>
      <c r="K217">
        <v>6.24</v>
      </c>
      <c r="L217" t="s">
        <v>487</v>
      </c>
      <c r="M217">
        <v>271</v>
      </c>
      <c r="N217">
        <v>43.4</v>
      </c>
      <c r="O217" t="s">
        <v>81</v>
      </c>
      <c r="P217" t="s">
        <v>492</v>
      </c>
      <c r="Q217">
        <v>271</v>
      </c>
      <c r="R217">
        <v>43.4</v>
      </c>
    </row>
    <row r="218" spans="1:18" x14ac:dyDescent="0.35">
      <c r="A218" t="s">
        <v>197</v>
      </c>
      <c r="B218" t="s">
        <v>483</v>
      </c>
      <c r="C218" t="s">
        <v>493</v>
      </c>
      <c r="D218">
        <v>107868365</v>
      </c>
      <c r="E218" t="s">
        <v>521</v>
      </c>
      <c r="F218" t="s">
        <v>486</v>
      </c>
      <c r="G218">
        <v>0.35</v>
      </c>
      <c r="H218">
        <v>5.7</v>
      </c>
      <c r="I218">
        <v>0.2</v>
      </c>
      <c r="J218">
        <v>0</v>
      </c>
      <c r="K218">
        <v>6.24</v>
      </c>
      <c r="L218" t="s">
        <v>487</v>
      </c>
      <c r="M218">
        <v>271</v>
      </c>
      <c r="N218">
        <v>43.4</v>
      </c>
      <c r="O218" t="s">
        <v>85</v>
      </c>
      <c r="P218" t="s">
        <v>492</v>
      </c>
      <c r="Q218">
        <v>0</v>
      </c>
      <c r="R218">
        <v>0</v>
      </c>
    </row>
    <row r="219" spans="1:18" x14ac:dyDescent="0.35">
      <c r="A219" t="s">
        <v>197</v>
      </c>
      <c r="B219" t="s">
        <v>483</v>
      </c>
      <c r="C219" t="s">
        <v>493</v>
      </c>
      <c r="D219">
        <v>107907397</v>
      </c>
      <c r="E219" t="s">
        <v>547</v>
      </c>
      <c r="F219" t="s">
        <v>497</v>
      </c>
      <c r="G219">
        <v>0.13</v>
      </c>
      <c r="H219">
        <v>6.06</v>
      </c>
      <c r="I219">
        <v>0</v>
      </c>
      <c r="J219">
        <v>0</v>
      </c>
      <c r="K219">
        <v>6.19</v>
      </c>
      <c r="L219" t="s">
        <v>487</v>
      </c>
      <c r="M219">
        <v>358</v>
      </c>
      <c r="N219">
        <v>57.79</v>
      </c>
      <c r="O219" t="s">
        <v>60</v>
      </c>
      <c r="P219" t="s">
        <v>488</v>
      </c>
      <c r="Q219">
        <v>148</v>
      </c>
      <c r="R219">
        <v>1116.98</v>
      </c>
    </row>
    <row r="220" spans="1:18" x14ac:dyDescent="0.35">
      <c r="A220" t="s">
        <v>197</v>
      </c>
      <c r="B220" t="s">
        <v>483</v>
      </c>
      <c r="C220" t="s">
        <v>493</v>
      </c>
      <c r="D220">
        <v>107907397</v>
      </c>
      <c r="E220" t="s">
        <v>547</v>
      </c>
      <c r="F220" t="s">
        <v>497</v>
      </c>
      <c r="G220">
        <v>0.13</v>
      </c>
      <c r="H220">
        <v>6.06</v>
      </c>
      <c r="I220">
        <v>0</v>
      </c>
      <c r="J220">
        <v>0</v>
      </c>
      <c r="K220">
        <v>6.19</v>
      </c>
      <c r="L220" t="s">
        <v>487</v>
      </c>
      <c r="M220">
        <v>358</v>
      </c>
      <c r="N220">
        <v>57.79</v>
      </c>
      <c r="O220" t="s">
        <v>60</v>
      </c>
      <c r="P220" t="s">
        <v>489</v>
      </c>
      <c r="Q220">
        <v>1221</v>
      </c>
      <c r="R220">
        <v>201.42</v>
      </c>
    </row>
    <row r="221" spans="1:18" x14ac:dyDescent="0.35">
      <c r="A221" t="s">
        <v>197</v>
      </c>
      <c r="B221" t="s">
        <v>483</v>
      </c>
      <c r="C221" t="s">
        <v>493</v>
      </c>
      <c r="D221">
        <v>107907397</v>
      </c>
      <c r="E221" t="s">
        <v>547</v>
      </c>
      <c r="F221" t="s">
        <v>497</v>
      </c>
      <c r="G221">
        <v>0.13</v>
      </c>
      <c r="H221">
        <v>6.06</v>
      </c>
      <c r="I221">
        <v>0</v>
      </c>
      <c r="J221">
        <v>0</v>
      </c>
      <c r="K221">
        <v>6.19</v>
      </c>
      <c r="L221" t="s">
        <v>487</v>
      </c>
      <c r="M221">
        <v>358</v>
      </c>
      <c r="N221">
        <v>57.79</v>
      </c>
      <c r="O221" t="s">
        <v>60</v>
      </c>
      <c r="P221" t="s">
        <v>490</v>
      </c>
      <c r="Q221">
        <v>0</v>
      </c>
      <c r="R221">
        <v>0</v>
      </c>
    </row>
    <row r="222" spans="1:18" x14ac:dyDescent="0.35">
      <c r="A222" t="s">
        <v>197</v>
      </c>
      <c r="B222" t="s">
        <v>483</v>
      </c>
      <c r="C222" t="s">
        <v>493</v>
      </c>
      <c r="D222">
        <v>107907397</v>
      </c>
      <c r="E222" t="s">
        <v>547</v>
      </c>
      <c r="F222" t="s">
        <v>497</v>
      </c>
      <c r="G222">
        <v>0.13</v>
      </c>
      <c r="H222">
        <v>6.06</v>
      </c>
      <c r="I222">
        <v>0</v>
      </c>
      <c r="J222">
        <v>0</v>
      </c>
      <c r="K222">
        <v>6.19</v>
      </c>
      <c r="L222" t="s">
        <v>487</v>
      </c>
      <c r="M222">
        <v>358</v>
      </c>
      <c r="N222">
        <v>57.79</v>
      </c>
      <c r="O222" t="s">
        <v>60</v>
      </c>
      <c r="P222" t="s">
        <v>491</v>
      </c>
      <c r="Q222">
        <v>0</v>
      </c>
      <c r="R222">
        <v>0</v>
      </c>
    </row>
    <row r="223" spans="1:18" x14ac:dyDescent="0.35">
      <c r="A223" t="s">
        <v>197</v>
      </c>
      <c r="B223" t="s">
        <v>483</v>
      </c>
      <c r="C223" t="s">
        <v>493</v>
      </c>
      <c r="D223">
        <v>107907397</v>
      </c>
      <c r="E223" t="s">
        <v>547</v>
      </c>
      <c r="F223" t="s">
        <v>497</v>
      </c>
      <c r="G223">
        <v>0.13</v>
      </c>
      <c r="H223">
        <v>6.06</v>
      </c>
      <c r="I223">
        <v>0</v>
      </c>
      <c r="J223">
        <v>0</v>
      </c>
      <c r="K223">
        <v>6.19</v>
      </c>
      <c r="L223" t="s">
        <v>487</v>
      </c>
      <c r="M223">
        <v>358</v>
      </c>
      <c r="N223">
        <v>57.79</v>
      </c>
      <c r="O223" t="s">
        <v>60</v>
      </c>
      <c r="P223" t="s">
        <v>492</v>
      </c>
      <c r="Q223">
        <v>1369</v>
      </c>
      <c r="R223">
        <v>220.99</v>
      </c>
    </row>
    <row r="224" spans="1:18" x14ac:dyDescent="0.35">
      <c r="A224" t="s">
        <v>197</v>
      </c>
      <c r="B224" t="s">
        <v>483</v>
      </c>
      <c r="C224" t="s">
        <v>493</v>
      </c>
      <c r="D224">
        <v>107907397</v>
      </c>
      <c r="E224" t="s">
        <v>547</v>
      </c>
      <c r="F224" t="s">
        <v>497</v>
      </c>
      <c r="G224">
        <v>0.13</v>
      </c>
      <c r="H224">
        <v>6.06</v>
      </c>
      <c r="I224">
        <v>0</v>
      </c>
      <c r="J224">
        <v>0</v>
      </c>
      <c r="K224">
        <v>6.19</v>
      </c>
      <c r="L224" t="s">
        <v>487</v>
      </c>
      <c r="M224">
        <v>358</v>
      </c>
      <c r="N224">
        <v>57.79</v>
      </c>
      <c r="O224" t="s">
        <v>81</v>
      </c>
      <c r="P224" t="s">
        <v>492</v>
      </c>
      <c r="Q224">
        <v>358</v>
      </c>
      <c r="R224">
        <v>57.79</v>
      </c>
    </row>
    <row r="225" spans="1:18" x14ac:dyDescent="0.35">
      <c r="A225" t="s">
        <v>197</v>
      </c>
      <c r="B225" t="s">
        <v>483</v>
      </c>
      <c r="C225" t="s">
        <v>493</v>
      </c>
      <c r="D225">
        <v>107907397</v>
      </c>
      <c r="E225" t="s">
        <v>547</v>
      </c>
      <c r="F225" t="s">
        <v>497</v>
      </c>
      <c r="G225">
        <v>0.13</v>
      </c>
      <c r="H225">
        <v>6.06</v>
      </c>
      <c r="I225">
        <v>0</v>
      </c>
      <c r="J225">
        <v>0</v>
      </c>
      <c r="K225">
        <v>6.19</v>
      </c>
      <c r="L225" t="s">
        <v>487</v>
      </c>
      <c r="M225">
        <v>358</v>
      </c>
      <c r="N225">
        <v>57.79</v>
      </c>
      <c r="O225" t="s">
        <v>85</v>
      </c>
      <c r="P225" t="s">
        <v>492</v>
      </c>
      <c r="Q225">
        <v>0</v>
      </c>
      <c r="R225">
        <v>0</v>
      </c>
    </row>
    <row r="226" spans="1:18" x14ac:dyDescent="0.35">
      <c r="A226" t="s">
        <v>34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I133"/>
  <sheetViews>
    <sheetView workbookViewId="0">
      <selection sqref="A1:A1048576"/>
    </sheetView>
  </sheetViews>
  <sheetFormatPr defaultRowHeight="14.5" x14ac:dyDescent="0.35"/>
  <cols>
    <col min="1" max="1" width="9.90625" bestFit="1" customWidth="1"/>
    <col min="2" max="2" width="11.08984375" bestFit="1" customWidth="1"/>
    <col min="3" max="3" width="23.90625" bestFit="1" customWidth="1"/>
    <col min="4" max="4" width="18.8164062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>
    <row r="1" spans="1:9" x14ac:dyDescent="0.35">
      <c r="A1" t="s">
        <v>462</v>
      </c>
      <c r="B1" t="s">
        <v>454</v>
      </c>
      <c r="C1" t="s">
        <v>468</v>
      </c>
      <c r="D1" t="s">
        <v>469</v>
      </c>
      <c r="E1" t="s">
        <v>453</v>
      </c>
      <c r="F1" t="s">
        <v>470</v>
      </c>
      <c r="G1" t="s">
        <v>41</v>
      </c>
      <c r="H1" t="s">
        <v>471</v>
      </c>
      <c r="I1" t="s">
        <v>472</v>
      </c>
    </row>
    <row r="2" spans="1:9" x14ac:dyDescent="0.35">
      <c r="A2" t="s">
        <v>487</v>
      </c>
      <c r="B2">
        <v>106534472</v>
      </c>
      <c r="C2" t="s">
        <v>533</v>
      </c>
      <c r="D2" t="s">
        <v>497</v>
      </c>
      <c r="E2" t="s">
        <v>484</v>
      </c>
      <c r="F2">
        <v>1</v>
      </c>
      <c r="G2" t="s">
        <v>60</v>
      </c>
      <c r="H2" t="s">
        <v>492</v>
      </c>
      <c r="I2">
        <v>752</v>
      </c>
    </row>
    <row r="3" spans="1:9" x14ac:dyDescent="0.35">
      <c r="A3" t="s">
        <v>487</v>
      </c>
      <c r="B3">
        <v>106534472</v>
      </c>
      <c r="C3" t="s">
        <v>533</v>
      </c>
      <c r="D3" t="s">
        <v>497</v>
      </c>
      <c r="E3" t="s">
        <v>484</v>
      </c>
      <c r="F3">
        <v>1</v>
      </c>
      <c r="G3" t="s">
        <v>60</v>
      </c>
      <c r="H3" t="s">
        <v>488</v>
      </c>
      <c r="I3">
        <v>60</v>
      </c>
    </row>
    <row r="4" spans="1:9" x14ac:dyDescent="0.35">
      <c r="A4" t="s">
        <v>487</v>
      </c>
      <c r="B4">
        <v>106534472</v>
      </c>
      <c r="C4" t="s">
        <v>533</v>
      </c>
      <c r="D4" t="s">
        <v>497</v>
      </c>
      <c r="E4" t="s">
        <v>484</v>
      </c>
      <c r="F4">
        <v>1</v>
      </c>
      <c r="G4" t="s">
        <v>60</v>
      </c>
      <c r="H4" t="s">
        <v>489</v>
      </c>
      <c r="I4">
        <v>692</v>
      </c>
    </row>
    <row r="5" spans="1:9" x14ac:dyDescent="0.35">
      <c r="A5" t="s">
        <v>487</v>
      </c>
      <c r="B5">
        <v>106534472</v>
      </c>
      <c r="C5" t="s">
        <v>533</v>
      </c>
      <c r="D5" t="s">
        <v>497</v>
      </c>
      <c r="E5" t="s">
        <v>484</v>
      </c>
      <c r="F5">
        <v>1</v>
      </c>
      <c r="G5" t="s">
        <v>81</v>
      </c>
      <c r="H5" t="s">
        <v>492</v>
      </c>
      <c r="I5">
        <v>92</v>
      </c>
    </row>
    <row r="6" spans="1:9" x14ac:dyDescent="0.35">
      <c r="A6" t="s">
        <v>487</v>
      </c>
      <c r="B6">
        <v>106534472</v>
      </c>
      <c r="C6" t="s">
        <v>533</v>
      </c>
      <c r="D6" t="s">
        <v>497</v>
      </c>
      <c r="E6" t="s">
        <v>484</v>
      </c>
      <c r="F6">
        <v>1</v>
      </c>
      <c r="G6" t="s">
        <v>85</v>
      </c>
      <c r="H6" t="s">
        <v>492</v>
      </c>
      <c r="I6">
        <v>1</v>
      </c>
    </row>
    <row r="7" spans="1:9" x14ac:dyDescent="0.35">
      <c r="A7" t="s">
        <v>487</v>
      </c>
      <c r="B7">
        <v>107826180</v>
      </c>
      <c r="C7" t="s">
        <v>554</v>
      </c>
      <c r="D7" t="s">
        <v>497</v>
      </c>
      <c r="E7" t="s">
        <v>484</v>
      </c>
      <c r="F7">
        <v>86</v>
      </c>
      <c r="G7" t="s">
        <v>60</v>
      </c>
      <c r="H7" t="s">
        <v>492</v>
      </c>
      <c r="I7">
        <v>580</v>
      </c>
    </row>
    <row r="8" spans="1:9" x14ac:dyDescent="0.35">
      <c r="A8" t="s">
        <v>487</v>
      </c>
      <c r="B8">
        <v>107826180</v>
      </c>
      <c r="C8" t="s">
        <v>554</v>
      </c>
      <c r="D8" t="s">
        <v>497</v>
      </c>
      <c r="E8" t="s">
        <v>484</v>
      </c>
      <c r="F8">
        <v>86</v>
      </c>
      <c r="G8" t="s">
        <v>60</v>
      </c>
      <c r="H8" t="s">
        <v>488</v>
      </c>
      <c r="I8">
        <v>90</v>
      </c>
    </row>
    <row r="9" spans="1:9" x14ac:dyDescent="0.35">
      <c r="A9" t="s">
        <v>487</v>
      </c>
      <c r="B9">
        <v>107826180</v>
      </c>
      <c r="C9" t="s">
        <v>554</v>
      </c>
      <c r="D9" t="s">
        <v>497</v>
      </c>
      <c r="E9" t="s">
        <v>484</v>
      </c>
      <c r="F9">
        <v>86</v>
      </c>
      <c r="G9" t="s">
        <v>60</v>
      </c>
      <c r="H9" t="s">
        <v>489</v>
      </c>
      <c r="I9">
        <v>490</v>
      </c>
    </row>
    <row r="10" spans="1:9" x14ac:dyDescent="0.35">
      <c r="A10" t="s">
        <v>487</v>
      </c>
      <c r="B10">
        <v>107826180</v>
      </c>
      <c r="C10" t="s">
        <v>554</v>
      </c>
      <c r="D10" t="s">
        <v>497</v>
      </c>
      <c r="E10" t="s">
        <v>484</v>
      </c>
      <c r="F10">
        <v>86</v>
      </c>
      <c r="G10" t="s">
        <v>81</v>
      </c>
      <c r="H10" t="s">
        <v>492</v>
      </c>
      <c r="I10">
        <v>86</v>
      </c>
    </row>
    <row r="11" spans="1:9" x14ac:dyDescent="0.35">
      <c r="A11" t="s">
        <v>487</v>
      </c>
      <c r="B11">
        <v>107432433</v>
      </c>
      <c r="C11" t="s">
        <v>538</v>
      </c>
      <c r="D11" t="s">
        <v>497</v>
      </c>
      <c r="E11" t="s">
        <v>484</v>
      </c>
      <c r="F11">
        <v>206</v>
      </c>
      <c r="G11" t="s">
        <v>60</v>
      </c>
      <c r="H11" t="s">
        <v>492</v>
      </c>
      <c r="I11">
        <v>2604</v>
      </c>
    </row>
    <row r="12" spans="1:9" x14ac:dyDescent="0.35">
      <c r="A12" t="s">
        <v>487</v>
      </c>
      <c r="B12">
        <v>107432433</v>
      </c>
      <c r="C12" t="s">
        <v>538</v>
      </c>
      <c r="D12" t="s">
        <v>497</v>
      </c>
      <c r="E12" t="s">
        <v>484</v>
      </c>
      <c r="F12">
        <v>206</v>
      </c>
      <c r="G12" t="s">
        <v>60</v>
      </c>
      <c r="H12" t="s">
        <v>488</v>
      </c>
      <c r="I12">
        <v>734</v>
      </c>
    </row>
    <row r="13" spans="1:9" x14ac:dyDescent="0.35">
      <c r="A13" t="s">
        <v>487</v>
      </c>
      <c r="B13">
        <v>107432433</v>
      </c>
      <c r="C13" t="s">
        <v>538</v>
      </c>
      <c r="D13" t="s">
        <v>497</v>
      </c>
      <c r="E13" t="s">
        <v>484</v>
      </c>
      <c r="F13">
        <v>206</v>
      </c>
      <c r="G13" t="s">
        <v>60</v>
      </c>
      <c r="H13" t="s">
        <v>489</v>
      </c>
      <c r="I13">
        <v>1870</v>
      </c>
    </row>
    <row r="14" spans="1:9" x14ac:dyDescent="0.35">
      <c r="A14" t="s">
        <v>487</v>
      </c>
      <c r="B14">
        <v>107432433</v>
      </c>
      <c r="C14" t="s">
        <v>538</v>
      </c>
      <c r="D14" t="s">
        <v>497</v>
      </c>
      <c r="E14" t="s">
        <v>484</v>
      </c>
      <c r="F14">
        <v>206</v>
      </c>
      <c r="G14" t="s">
        <v>81</v>
      </c>
      <c r="H14" t="s">
        <v>492</v>
      </c>
      <c r="I14">
        <v>206</v>
      </c>
    </row>
    <row r="15" spans="1:9" x14ac:dyDescent="0.35">
      <c r="A15" t="s">
        <v>487</v>
      </c>
      <c r="B15">
        <v>107820116</v>
      </c>
      <c r="C15" t="s">
        <v>545</v>
      </c>
      <c r="D15" t="s">
        <v>497</v>
      </c>
      <c r="E15" t="s">
        <v>493</v>
      </c>
      <c r="F15">
        <v>303</v>
      </c>
      <c r="G15" t="s">
        <v>60</v>
      </c>
      <c r="H15" t="s">
        <v>492</v>
      </c>
      <c r="I15">
        <v>1617</v>
      </c>
    </row>
    <row r="16" spans="1:9" x14ac:dyDescent="0.35">
      <c r="A16" t="s">
        <v>487</v>
      </c>
      <c r="B16">
        <v>107820116</v>
      </c>
      <c r="C16" t="s">
        <v>545</v>
      </c>
      <c r="D16" t="s">
        <v>497</v>
      </c>
      <c r="E16" t="s">
        <v>493</v>
      </c>
      <c r="F16">
        <v>303</v>
      </c>
      <c r="G16" t="s">
        <v>60</v>
      </c>
      <c r="H16" t="s">
        <v>488</v>
      </c>
      <c r="I16">
        <v>67</v>
      </c>
    </row>
    <row r="17" spans="1:9" x14ac:dyDescent="0.35">
      <c r="A17" t="s">
        <v>487</v>
      </c>
      <c r="B17">
        <v>107820116</v>
      </c>
      <c r="C17" t="s">
        <v>545</v>
      </c>
      <c r="D17" t="s">
        <v>497</v>
      </c>
      <c r="E17" t="s">
        <v>493</v>
      </c>
      <c r="F17">
        <v>303</v>
      </c>
      <c r="G17" t="s">
        <v>60</v>
      </c>
      <c r="H17" t="s">
        <v>489</v>
      </c>
      <c r="I17">
        <v>1550</v>
      </c>
    </row>
    <row r="18" spans="1:9" x14ac:dyDescent="0.35">
      <c r="A18" t="s">
        <v>487</v>
      </c>
      <c r="B18">
        <v>107820116</v>
      </c>
      <c r="C18" t="s">
        <v>545</v>
      </c>
      <c r="D18" t="s">
        <v>497</v>
      </c>
      <c r="E18" t="s">
        <v>493</v>
      </c>
      <c r="F18">
        <v>303</v>
      </c>
      <c r="G18" t="s">
        <v>81</v>
      </c>
      <c r="H18" t="s">
        <v>492</v>
      </c>
      <c r="I18">
        <v>303</v>
      </c>
    </row>
    <row r="19" spans="1:9" x14ac:dyDescent="0.35">
      <c r="A19" t="s">
        <v>487</v>
      </c>
      <c r="B19">
        <v>107221237</v>
      </c>
      <c r="C19" t="s">
        <v>527</v>
      </c>
      <c r="D19" t="s">
        <v>486</v>
      </c>
      <c r="E19" t="s">
        <v>493</v>
      </c>
      <c r="F19">
        <v>216</v>
      </c>
      <c r="G19" t="s">
        <v>60</v>
      </c>
      <c r="H19" t="s">
        <v>492</v>
      </c>
      <c r="I19">
        <v>1653</v>
      </c>
    </row>
    <row r="20" spans="1:9" x14ac:dyDescent="0.35">
      <c r="A20" t="s">
        <v>487</v>
      </c>
      <c r="B20">
        <v>107221237</v>
      </c>
      <c r="C20" t="s">
        <v>527</v>
      </c>
      <c r="D20" t="s">
        <v>486</v>
      </c>
      <c r="E20" t="s">
        <v>493</v>
      </c>
      <c r="F20">
        <v>216</v>
      </c>
      <c r="G20" t="s">
        <v>60</v>
      </c>
      <c r="H20" t="s">
        <v>488</v>
      </c>
      <c r="I20">
        <v>375</v>
      </c>
    </row>
    <row r="21" spans="1:9" x14ac:dyDescent="0.35">
      <c r="A21" t="s">
        <v>487</v>
      </c>
      <c r="B21">
        <v>107221237</v>
      </c>
      <c r="C21" t="s">
        <v>527</v>
      </c>
      <c r="D21" t="s">
        <v>486</v>
      </c>
      <c r="E21" t="s">
        <v>493</v>
      </c>
      <c r="F21">
        <v>216</v>
      </c>
      <c r="G21" t="s">
        <v>60</v>
      </c>
      <c r="H21" t="s">
        <v>489</v>
      </c>
      <c r="I21">
        <v>1278</v>
      </c>
    </row>
    <row r="22" spans="1:9" x14ac:dyDescent="0.35">
      <c r="A22" t="s">
        <v>487</v>
      </c>
      <c r="B22">
        <v>107221237</v>
      </c>
      <c r="C22" t="s">
        <v>527</v>
      </c>
      <c r="D22" t="s">
        <v>486</v>
      </c>
      <c r="E22" t="s">
        <v>493</v>
      </c>
      <c r="F22">
        <v>216</v>
      </c>
      <c r="G22" t="s">
        <v>81</v>
      </c>
      <c r="H22" t="s">
        <v>492</v>
      </c>
      <c r="I22">
        <v>216</v>
      </c>
    </row>
    <row r="23" spans="1:9" x14ac:dyDescent="0.35">
      <c r="A23" t="s">
        <v>487</v>
      </c>
      <c r="B23">
        <v>107221222</v>
      </c>
      <c r="C23" t="s">
        <v>501</v>
      </c>
      <c r="D23" t="s">
        <v>486</v>
      </c>
      <c r="E23" t="s">
        <v>484</v>
      </c>
      <c r="F23">
        <v>294</v>
      </c>
      <c r="G23" t="s">
        <v>60</v>
      </c>
      <c r="H23" t="s">
        <v>492</v>
      </c>
      <c r="I23">
        <v>3940</v>
      </c>
    </row>
    <row r="24" spans="1:9" x14ac:dyDescent="0.35">
      <c r="A24" t="s">
        <v>487</v>
      </c>
      <c r="B24">
        <v>107221222</v>
      </c>
      <c r="C24" t="s">
        <v>501</v>
      </c>
      <c r="D24" t="s">
        <v>486</v>
      </c>
      <c r="E24" t="s">
        <v>484</v>
      </c>
      <c r="F24">
        <v>294</v>
      </c>
      <c r="G24" t="s">
        <v>60</v>
      </c>
      <c r="H24" t="s">
        <v>488</v>
      </c>
      <c r="I24">
        <v>1634</v>
      </c>
    </row>
    <row r="25" spans="1:9" x14ac:dyDescent="0.35">
      <c r="A25" t="s">
        <v>487</v>
      </c>
      <c r="B25">
        <v>107221222</v>
      </c>
      <c r="C25" t="s">
        <v>501</v>
      </c>
      <c r="D25" t="s">
        <v>486</v>
      </c>
      <c r="E25" t="s">
        <v>484</v>
      </c>
      <c r="F25">
        <v>294</v>
      </c>
      <c r="G25" t="s">
        <v>60</v>
      </c>
      <c r="H25" t="s">
        <v>489</v>
      </c>
      <c r="I25">
        <v>2306</v>
      </c>
    </row>
    <row r="26" spans="1:9" x14ac:dyDescent="0.35">
      <c r="A26" t="s">
        <v>487</v>
      </c>
      <c r="B26">
        <v>107221222</v>
      </c>
      <c r="C26" t="s">
        <v>501</v>
      </c>
      <c r="D26" t="s">
        <v>486</v>
      </c>
      <c r="E26" t="s">
        <v>484</v>
      </c>
      <c r="F26">
        <v>294</v>
      </c>
      <c r="G26" t="s">
        <v>81</v>
      </c>
      <c r="H26" t="s">
        <v>492</v>
      </c>
      <c r="I26">
        <v>294</v>
      </c>
    </row>
    <row r="27" spans="1:9" x14ac:dyDescent="0.35">
      <c r="A27" t="s">
        <v>487</v>
      </c>
      <c r="B27">
        <v>107704604</v>
      </c>
      <c r="C27" t="s">
        <v>509</v>
      </c>
      <c r="D27" t="s">
        <v>486</v>
      </c>
      <c r="E27" t="s">
        <v>493</v>
      </c>
      <c r="F27">
        <v>321</v>
      </c>
      <c r="G27" t="s">
        <v>60</v>
      </c>
      <c r="H27" t="s">
        <v>492</v>
      </c>
      <c r="I27">
        <v>3681</v>
      </c>
    </row>
    <row r="28" spans="1:9" x14ac:dyDescent="0.35">
      <c r="A28" t="s">
        <v>487</v>
      </c>
      <c r="B28">
        <v>107704604</v>
      </c>
      <c r="C28" t="s">
        <v>509</v>
      </c>
      <c r="D28" t="s">
        <v>486</v>
      </c>
      <c r="E28" t="s">
        <v>493</v>
      </c>
      <c r="F28">
        <v>321</v>
      </c>
      <c r="G28" t="s">
        <v>60</v>
      </c>
      <c r="H28" t="s">
        <v>488</v>
      </c>
      <c r="I28">
        <v>1496</v>
      </c>
    </row>
    <row r="29" spans="1:9" x14ac:dyDescent="0.35">
      <c r="A29" t="s">
        <v>487</v>
      </c>
      <c r="B29">
        <v>107704604</v>
      </c>
      <c r="C29" t="s">
        <v>509</v>
      </c>
      <c r="D29" t="s">
        <v>486</v>
      </c>
      <c r="E29" t="s">
        <v>493</v>
      </c>
      <c r="F29">
        <v>321</v>
      </c>
      <c r="G29" t="s">
        <v>60</v>
      </c>
      <c r="H29" t="s">
        <v>489</v>
      </c>
      <c r="I29">
        <v>2185</v>
      </c>
    </row>
    <row r="30" spans="1:9" x14ac:dyDescent="0.35">
      <c r="A30" t="s">
        <v>487</v>
      </c>
      <c r="B30">
        <v>107704604</v>
      </c>
      <c r="C30" t="s">
        <v>509</v>
      </c>
      <c r="D30" t="s">
        <v>486</v>
      </c>
      <c r="E30" t="s">
        <v>493</v>
      </c>
      <c r="F30">
        <v>321</v>
      </c>
      <c r="G30" t="s">
        <v>81</v>
      </c>
      <c r="H30" t="s">
        <v>492</v>
      </c>
      <c r="I30">
        <v>321</v>
      </c>
    </row>
    <row r="31" spans="1:9" x14ac:dyDescent="0.35">
      <c r="A31" t="s">
        <v>487</v>
      </c>
      <c r="B31">
        <v>107671942</v>
      </c>
      <c r="C31" t="s">
        <v>645</v>
      </c>
      <c r="D31" t="s">
        <v>499</v>
      </c>
      <c r="E31" t="s">
        <v>484</v>
      </c>
      <c r="F31">
        <v>150</v>
      </c>
      <c r="G31" t="s">
        <v>60</v>
      </c>
      <c r="H31" t="s">
        <v>492</v>
      </c>
      <c r="I31">
        <v>563</v>
      </c>
    </row>
    <row r="32" spans="1:9" x14ac:dyDescent="0.35">
      <c r="A32" t="s">
        <v>487</v>
      </c>
      <c r="B32">
        <v>107671942</v>
      </c>
      <c r="C32" t="s">
        <v>645</v>
      </c>
      <c r="D32" t="s">
        <v>499</v>
      </c>
      <c r="E32" t="s">
        <v>484</v>
      </c>
      <c r="F32">
        <v>150</v>
      </c>
      <c r="G32" t="s">
        <v>60</v>
      </c>
      <c r="H32" t="s">
        <v>488</v>
      </c>
      <c r="I32">
        <v>200</v>
      </c>
    </row>
    <row r="33" spans="1:9" x14ac:dyDescent="0.35">
      <c r="A33" t="s">
        <v>487</v>
      </c>
      <c r="B33">
        <v>107671942</v>
      </c>
      <c r="C33" t="s">
        <v>645</v>
      </c>
      <c r="D33" t="s">
        <v>499</v>
      </c>
      <c r="E33" t="s">
        <v>484</v>
      </c>
      <c r="F33">
        <v>150</v>
      </c>
      <c r="G33" t="s">
        <v>60</v>
      </c>
      <c r="H33" t="s">
        <v>489</v>
      </c>
      <c r="I33">
        <v>363</v>
      </c>
    </row>
    <row r="34" spans="1:9" x14ac:dyDescent="0.35">
      <c r="A34" t="s">
        <v>487</v>
      </c>
      <c r="B34">
        <v>107671942</v>
      </c>
      <c r="C34" t="s">
        <v>645</v>
      </c>
      <c r="D34" t="s">
        <v>499</v>
      </c>
      <c r="E34" t="s">
        <v>484</v>
      </c>
      <c r="F34">
        <v>150</v>
      </c>
      <c r="G34" t="s">
        <v>81</v>
      </c>
      <c r="H34" t="s">
        <v>492</v>
      </c>
      <c r="I34">
        <v>150</v>
      </c>
    </row>
    <row r="35" spans="1:9" x14ac:dyDescent="0.35">
      <c r="A35" t="s">
        <v>487</v>
      </c>
      <c r="B35">
        <v>107741612</v>
      </c>
      <c r="C35" t="s">
        <v>542</v>
      </c>
      <c r="D35" t="s">
        <v>497</v>
      </c>
      <c r="E35" t="s">
        <v>484</v>
      </c>
      <c r="F35">
        <v>267</v>
      </c>
      <c r="G35" t="s">
        <v>60</v>
      </c>
      <c r="H35" t="s">
        <v>492</v>
      </c>
      <c r="I35">
        <v>2314</v>
      </c>
    </row>
    <row r="36" spans="1:9" x14ac:dyDescent="0.35">
      <c r="A36" t="s">
        <v>487</v>
      </c>
      <c r="B36">
        <v>107741612</v>
      </c>
      <c r="C36" t="s">
        <v>542</v>
      </c>
      <c r="D36" t="s">
        <v>497</v>
      </c>
      <c r="E36" t="s">
        <v>484</v>
      </c>
      <c r="F36">
        <v>267</v>
      </c>
      <c r="G36" t="s">
        <v>60</v>
      </c>
      <c r="H36" t="s">
        <v>488</v>
      </c>
      <c r="I36">
        <v>362</v>
      </c>
    </row>
    <row r="37" spans="1:9" x14ac:dyDescent="0.35">
      <c r="A37" t="s">
        <v>487</v>
      </c>
      <c r="B37">
        <v>107741612</v>
      </c>
      <c r="C37" t="s">
        <v>542</v>
      </c>
      <c r="D37" t="s">
        <v>497</v>
      </c>
      <c r="E37" t="s">
        <v>484</v>
      </c>
      <c r="F37">
        <v>267</v>
      </c>
      <c r="G37" t="s">
        <v>60</v>
      </c>
      <c r="H37" t="s">
        <v>489</v>
      </c>
      <c r="I37">
        <v>1952</v>
      </c>
    </row>
    <row r="38" spans="1:9" x14ac:dyDescent="0.35">
      <c r="A38" t="s">
        <v>487</v>
      </c>
      <c r="B38">
        <v>107741612</v>
      </c>
      <c r="C38" t="s">
        <v>542</v>
      </c>
      <c r="D38" t="s">
        <v>497</v>
      </c>
      <c r="E38" t="s">
        <v>484</v>
      </c>
      <c r="F38">
        <v>267</v>
      </c>
      <c r="G38" t="s">
        <v>81</v>
      </c>
      <c r="H38" t="s">
        <v>492</v>
      </c>
      <c r="I38">
        <v>267</v>
      </c>
    </row>
    <row r="39" spans="1:9" x14ac:dyDescent="0.35">
      <c r="A39" t="s">
        <v>487</v>
      </c>
      <c r="B39">
        <v>101750120</v>
      </c>
      <c r="C39" t="s">
        <v>591</v>
      </c>
      <c r="D39" t="s">
        <v>486</v>
      </c>
      <c r="E39" t="s">
        <v>484</v>
      </c>
      <c r="F39">
        <v>140</v>
      </c>
      <c r="G39" t="s">
        <v>60</v>
      </c>
      <c r="H39" t="s">
        <v>492</v>
      </c>
      <c r="I39">
        <v>1397</v>
      </c>
    </row>
    <row r="40" spans="1:9" x14ac:dyDescent="0.35">
      <c r="A40" t="s">
        <v>487</v>
      </c>
      <c r="B40">
        <v>101750120</v>
      </c>
      <c r="C40" t="s">
        <v>591</v>
      </c>
      <c r="D40" t="s">
        <v>486</v>
      </c>
      <c r="E40" t="s">
        <v>484</v>
      </c>
      <c r="F40">
        <v>140</v>
      </c>
      <c r="G40" t="s">
        <v>60</v>
      </c>
      <c r="H40" t="s">
        <v>488</v>
      </c>
      <c r="I40">
        <v>258</v>
      </c>
    </row>
    <row r="41" spans="1:9" x14ac:dyDescent="0.35">
      <c r="A41" t="s">
        <v>487</v>
      </c>
      <c r="B41">
        <v>101750120</v>
      </c>
      <c r="C41" t="s">
        <v>591</v>
      </c>
      <c r="D41" t="s">
        <v>486</v>
      </c>
      <c r="E41" t="s">
        <v>484</v>
      </c>
      <c r="F41">
        <v>140</v>
      </c>
      <c r="G41" t="s">
        <v>60</v>
      </c>
      <c r="H41" t="s">
        <v>489</v>
      </c>
      <c r="I41">
        <v>1139</v>
      </c>
    </row>
    <row r="42" spans="1:9" x14ac:dyDescent="0.35">
      <c r="A42" t="s">
        <v>487</v>
      </c>
      <c r="B42">
        <v>101750120</v>
      </c>
      <c r="C42" t="s">
        <v>591</v>
      </c>
      <c r="D42" t="s">
        <v>486</v>
      </c>
      <c r="E42" t="s">
        <v>484</v>
      </c>
      <c r="F42">
        <v>140</v>
      </c>
      <c r="G42" t="s">
        <v>81</v>
      </c>
      <c r="H42" t="s">
        <v>492</v>
      </c>
      <c r="I42">
        <v>140</v>
      </c>
    </row>
    <row r="43" spans="1:9" x14ac:dyDescent="0.35">
      <c r="A43" t="s">
        <v>487</v>
      </c>
      <c r="B43">
        <v>107221225</v>
      </c>
      <c r="C43" t="s">
        <v>536</v>
      </c>
      <c r="D43" t="s">
        <v>497</v>
      </c>
      <c r="E43" t="s">
        <v>493</v>
      </c>
      <c r="F43">
        <v>350</v>
      </c>
      <c r="G43" t="s">
        <v>60</v>
      </c>
      <c r="H43" t="s">
        <v>492</v>
      </c>
      <c r="I43">
        <v>1795</v>
      </c>
    </row>
    <row r="44" spans="1:9" x14ac:dyDescent="0.35">
      <c r="A44" t="s">
        <v>487</v>
      </c>
      <c r="B44">
        <v>107221225</v>
      </c>
      <c r="C44" t="s">
        <v>536</v>
      </c>
      <c r="D44" t="s">
        <v>497</v>
      </c>
      <c r="E44" t="s">
        <v>493</v>
      </c>
      <c r="F44">
        <v>350</v>
      </c>
      <c r="G44" t="s">
        <v>60</v>
      </c>
      <c r="H44" t="s">
        <v>488</v>
      </c>
      <c r="I44">
        <v>335</v>
      </c>
    </row>
    <row r="45" spans="1:9" x14ac:dyDescent="0.35">
      <c r="A45" t="s">
        <v>487</v>
      </c>
      <c r="B45">
        <v>107221225</v>
      </c>
      <c r="C45" t="s">
        <v>536</v>
      </c>
      <c r="D45" t="s">
        <v>497</v>
      </c>
      <c r="E45" t="s">
        <v>493</v>
      </c>
      <c r="F45">
        <v>350</v>
      </c>
      <c r="G45" t="s">
        <v>60</v>
      </c>
      <c r="H45" t="s">
        <v>489</v>
      </c>
      <c r="I45">
        <v>1460</v>
      </c>
    </row>
    <row r="46" spans="1:9" x14ac:dyDescent="0.35">
      <c r="A46" t="s">
        <v>487</v>
      </c>
      <c r="B46">
        <v>107221225</v>
      </c>
      <c r="C46" t="s">
        <v>536</v>
      </c>
      <c r="D46" t="s">
        <v>497</v>
      </c>
      <c r="E46" t="s">
        <v>493</v>
      </c>
      <c r="F46">
        <v>350</v>
      </c>
      <c r="G46" t="s">
        <v>81</v>
      </c>
      <c r="H46" t="s">
        <v>492</v>
      </c>
      <c r="I46">
        <v>350</v>
      </c>
    </row>
    <row r="47" spans="1:9" x14ac:dyDescent="0.35">
      <c r="A47" t="s">
        <v>487</v>
      </c>
      <c r="B47">
        <v>106534121</v>
      </c>
      <c r="C47" t="s">
        <v>550</v>
      </c>
      <c r="D47" t="s">
        <v>497</v>
      </c>
      <c r="E47" t="s">
        <v>484</v>
      </c>
      <c r="F47">
        <v>1</v>
      </c>
      <c r="G47" t="s">
        <v>60</v>
      </c>
      <c r="H47" t="s">
        <v>492</v>
      </c>
      <c r="I47">
        <v>2743</v>
      </c>
    </row>
    <row r="48" spans="1:9" x14ac:dyDescent="0.35">
      <c r="A48" t="s">
        <v>487</v>
      </c>
      <c r="B48">
        <v>106534121</v>
      </c>
      <c r="C48" t="s">
        <v>550</v>
      </c>
      <c r="D48" t="s">
        <v>497</v>
      </c>
      <c r="E48" t="s">
        <v>484</v>
      </c>
      <c r="F48">
        <v>1</v>
      </c>
      <c r="G48" t="s">
        <v>60</v>
      </c>
      <c r="H48" t="s">
        <v>488</v>
      </c>
      <c r="I48">
        <v>1380</v>
      </c>
    </row>
    <row r="49" spans="1:9" x14ac:dyDescent="0.35">
      <c r="A49" t="s">
        <v>487</v>
      </c>
      <c r="B49">
        <v>106534121</v>
      </c>
      <c r="C49" t="s">
        <v>550</v>
      </c>
      <c r="D49" t="s">
        <v>497</v>
      </c>
      <c r="E49" t="s">
        <v>484</v>
      </c>
      <c r="F49">
        <v>1</v>
      </c>
      <c r="G49" t="s">
        <v>60</v>
      </c>
      <c r="H49" t="s">
        <v>489</v>
      </c>
      <c r="I49">
        <v>1359</v>
      </c>
    </row>
    <row r="50" spans="1:9" x14ac:dyDescent="0.35">
      <c r="A50" t="s">
        <v>487</v>
      </c>
      <c r="B50">
        <v>106534121</v>
      </c>
      <c r="C50" t="s">
        <v>550</v>
      </c>
      <c r="D50" t="s">
        <v>497</v>
      </c>
      <c r="E50" t="s">
        <v>484</v>
      </c>
      <c r="F50">
        <v>1</v>
      </c>
      <c r="G50" t="s">
        <v>60</v>
      </c>
      <c r="H50" t="s">
        <v>490</v>
      </c>
      <c r="I50">
        <v>4</v>
      </c>
    </row>
    <row r="51" spans="1:9" x14ac:dyDescent="0.35">
      <c r="A51" t="s">
        <v>487</v>
      </c>
      <c r="B51">
        <v>106534121</v>
      </c>
      <c r="C51" t="s">
        <v>550</v>
      </c>
      <c r="D51" t="s">
        <v>497</v>
      </c>
      <c r="E51" t="s">
        <v>484</v>
      </c>
      <c r="F51">
        <v>1</v>
      </c>
      <c r="G51" t="s">
        <v>81</v>
      </c>
      <c r="H51" t="s">
        <v>492</v>
      </c>
      <c r="I51">
        <v>187</v>
      </c>
    </row>
    <row r="52" spans="1:9" x14ac:dyDescent="0.35">
      <c r="A52" t="s">
        <v>487</v>
      </c>
      <c r="B52">
        <v>106534121</v>
      </c>
      <c r="C52" t="s">
        <v>550</v>
      </c>
      <c r="D52" t="s">
        <v>497</v>
      </c>
      <c r="E52" t="s">
        <v>484</v>
      </c>
      <c r="F52">
        <v>1</v>
      </c>
      <c r="G52" t="s">
        <v>85</v>
      </c>
      <c r="H52" t="s">
        <v>492</v>
      </c>
      <c r="I52">
        <v>1</v>
      </c>
    </row>
    <row r="53" spans="1:9" x14ac:dyDescent="0.35">
      <c r="A53" t="s">
        <v>487</v>
      </c>
      <c r="B53">
        <v>100753604</v>
      </c>
      <c r="C53" t="s">
        <v>485</v>
      </c>
      <c r="D53" t="s">
        <v>486</v>
      </c>
      <c r="E53" t="s">
        <v>484</v>
      </c>
      <c r="F53">
        <v>198</v>
      </c>
      <c r="G53" t="s">
        <v>60</v>
      </c>
      <c r="H53" t="s">
        <v>492</v>
      </c>
      <c r="I53">
        <v>2832</v>
      </c>
    </row>
    <row r="54" spans="1:9" x14ac:dyDescent="0.35">
      <c r="A54" t="s">
        <v>487</v>
      </c>
      <c r="B54">
        <v>100753604</v>
      </c>
      <c r="C54" t="s">
        <v>485</v>
      </c>
      <c r="D54" t="s">
        <v>486</v>
      </c>
      <c r="E54" t="s">
        <v>484</v>
      </c>
      <c r="F54">
        <v>198</v>
      </c>
      <c r="G54" t="s">
        <v>60</v>
      </c>
      <c r="H54" t="s">
        <v>488</v>
      </c>
      <c r="I54">
        <v>1026</v>
      </c>
    </row>
    <row r="55" spans="1:9" x14ac:dyDescent="0.35">
      <c r="A55" t="s">
        <v>487</v>
      </c>
      <c r="B55">
        <v>100753604</v>
      </c>
      <c r="C55" t="s">
        <v>485</v>
      </c>
      <c r="D55" t="s">
        <v>486</v>
      </c>
      <c r="E55" t="s">
        <v>484</v>
      </c>
      <c r="F55">
        <v>198</v>
      </c>
      <c r="G55" t="s">
        <v>60</v>
      </c>
      <c r="H55" t="s">
        <v>489</v>
      </c>
      <c r="I55">
        <v>1806</v>
      </c>
    </row>
    <row r="56" spans="1:9" x14ac:dyDescent="0.35">
      <c r="A56" t="s">
        <v>487</v>
      </c>
      <c r="B56">
        <v>100753604</v>
      </c>
      <c r="C56" t="s">
        <v>485</v>
      </c>
      <c r="D56" t="s">
        <v>486</v>
      </c>
      <c r="E56" t="s">
        <v>484</v>
      </c>
      <c r="F56">
        <v>198</v>
      </c>
      <c r="G56" t="s">
        <v>81</v>
      </c>
      <c r="H56" t="s">
        <v>492</v>
      </c>
      <c r="I56">
        <v>198</v>
      </c>
    </row>
    <row r="57" spans="1:9" x14ac:dyDescent="0.35">
      <c r="A57" t="s">
        <v>487</v>
      </c>
      <c r="B57">
        <v>104441514</v>
      </c>
      <c r="C57" t="s">
        <v>532</v>
      </c>
      <c r="D57" t="s">
        <v>499</v>
      </c>
      <c r="E57" t="s">
        <v>484</v>
      </c>
      <c r="F57">
        <v>327</v>
      </c>
      <c r="G57" t="s">
        <v>60</v>
      </c>
      <c r="H57" t="s">
        <v>492</v>
      </c>
      <c r="I57">
        <v>1581</v>
      </c>
    </row>
    <row r="58" spans="1:9" x14ac:dyDescent="0.35">
      <c r="A58" t="s">
        <v>487</v>
      </c>
      <c r="B58">
        <v>104441514</v>
      </c>
      <c r="C58" t="s">
        <v>532</v>
      </c>
      <c r="D58" t="s">
        <v>499</v>
      </c>
      <c r="E58" t="s">
        <v>484</v>
      </c>
      <c r="F58">
        <v>327</v>
      </c>
      <c r="G58" t="s">
        <v>60</v>
      </c>
      <c r="H58" t="s">
        <v>488</v>
      </c>
      <c r="I58">
        <v>150</v>
      </c>
    </row>
    <row r="59" spans="1:9" x14ac:dyDescent="0.35">
      <c r="A59" t="s">
        <v>487</v>
      </c>
      <c r="B59">
        <v>104441514</v>
      </c>
      <c r="C59" t="s">
        <v>532</v>
      </c>
      <c r="D59" t="s">
        <v>499</v>
      </c>
      <c r="E59" t="s">
        <v>484</v>
      </c>
      <c r="F59">
        <v>327</v>
      </c>
      <c r="G59" t="s">
        <v>60</v>
      </c>
      <c r="H59" t="s">
        <v>489</v>
      </c>
      <c r="I59">
        <v>1431</v>
      </c>
    </row>
    <row r="60" spans="1:9" x14ac:dyDescent="0.35">
      <c r="A60" t="s">
        <v>487</v>
      </c>
      <c r="B60">
        <v>104441514</v>
      </c>
      <c r="C60" t="s">
        <v>532</v>
      </c>
      <c r="D60" t="s">
        <v>499</v>
      </c>
      <c r="E60" t="s">
        <v>484</v>
      </c>
      <c r="F60">
        <v>327</v>
      </c>
      <c r="G60" t="s">
        <v>81</v>
      </c>
      <c r="H60" t="s">
        <v>492</v>
      </c>
      <c r="I60">
        <v>327</v>
      </c>
    </row>
    <row r="61" spans="1:9" x14ac:dyDescent="0.35">
      <c r="A61" t="s">
        <v>487</v>
      </c>
      <c r="B61">
        <v>106513473</v>
      </c>
      <c r="C61" t="s">
        <v>525</v>
      </c>
      <c r="D61" t="s">
        <v>486</v>
      </c>
      <c r="E61" t="s">
        <v>493</v>
      </c>
      <c r="F61">
        <v>356</v>
      </c>
      <c r="G61" t="s">
        <v>60</v>
      </c>
      <c r="H61" t="s">
        <v>492</v>
      </c>
      <c r="I61">
        <v>523</v>
      </c>
    </row>
    <row r="62" spans="1:9" x14ac:dyDescent="0.35">
      <c r="A62" t="s">
        <v>487</v>
      </c>
      <c r="B62">
        <v>106513473</v>
      </c>
      <c r="C62" t="s">
        <v>525</v>
      </c>
      <c r="D62" t="s">
        <v>486</v>
      </c>
      <c r="E62" t="s">
        <v>493</v>
      </c>
      <c r="F62">
        <v>356</v>
      </c>
      <c r="G62" t="s">
        <v>81</v>
      </c>
      <c r="H62" t="s">
        <v>492</v>
      </c>
      <c r="I62">
        <v>356</v>
      </c>
    </row>
    <row r="63" spans="1:9" x14ac:dyDescent="0.35">
      <c r="A63" t="s">
        <v>487</v>
      </c>
      <c r="B63">
        <v>107232968</v>
      </c>
      <c r="C63" t="s">
        <v>528</v>
      </c>
      <c r="D63" t="s">
        <v>486</v>
      </c>
      <c r="E63" t="s">
        <v>484</v>
      </c>
      <c r="F63">
        <v>354</v>
      </c>
      <c r="G63" t="s">
        <v>60</v>
      </c>
      <c r="H63" t="s">
        <v>492</v>
      </c>
      <c r="I63">
        <v>1426</v>
      </c>
    </row>
    <row r="64" spans="1:9" x14ac:dyDescent="0.35">
      <c r="A64" t="s">
        <v>487</v>
      </c>
      <c r="B64">
        <v>107232968</v>
      </c>
      <c r="C64" t="s">
        <v>528</v>
      </c>
      <c r="D64" t="s">
        <v>486</v>
      </c>
      <c r="E64" t="s">
        <v>484</v>
      </c>
      <c r="F64">
        <v>354</v>
      </c>
      <c r="G64" t="s">
        <v>60</v>
      </c>
      <c r="H64" t="s">
        <v>488</v>
      </c>
      <c r="I64">
        <v>400</v>
      </c>
    </row>
    <row r="65" spans="1:9" x14ac:dyDescent="0.35">
      <c r="A65" t="s">
        <v>487</v>
      </c>
      <c r="B65">
        <v>107232968</v>
      </c>
      <c r="C65" t="s">
        <v>528</v>
      </c>
      <c r="D65" t="s">
        <v>486</v>
      </c>
      <c r="E65" t="s">
        <v>484</v>
      </c>
      <c r="F65">
        <v>354</v>
      </c>
      <c r="G65" t="s">
        <v>60</v>
      </c>
      <c r="H65" t="s">
        <v>489</v>
      </c>
      <c r="I65">
        <v>1026</v>
      </c>
    </row>
    <row r="66" spans="1:9" x14ac:dyDescent="0.35">
      <c r="A66" t="s">
        <v>487</v>
      </c>
      <c r="B66">
        <v>107232968</v>
      </c>
      <c r="C66" t="s">
        <v>528</v>
      </c>
      <c r="D66" t="s">
        <v>486</v>
      </c>
      <c r="E66" t="s">
        <v>484</v>
      </c>
      <c r="F66">
        <v>354</v>
      </c>
      <c r="G66" t="s">
        <v>81</v>
      </c>
      <c r="H66" t="s">
        <v>492</v>
      </c>
      <c r="I66">
        <v>355</v>
      </c>
    </row>
    <row r="67" spans="1:9" x14ac:dyDescent="0.35">
      <c r="A67" t="s">
        <v>487</v>
      </c>
      <c r="B67">
        <v>107775521</v>
      </c>
      <c r="C67" t="s">
        <v>511</v>
      </c>
      <c r="D67" t="s">
        <v>486</v>
      </c>
      <c r="E67" t="s">
        <v>484</v>
      </c>
      <c r="F67">
        <v>337</v>
      </c>
      <c r="G67" t="s">
        <v>60</v>
      </c>
      <c r="H67" t="s">
        <v>492</v>
      </c>
      <c r="I67">
        <v>2365</v>
      </c>
    </row>
    <row r="68" spans="1:9" x14ac:dyDescent="0.35">
      <c r="A68" t="s">
        <v>487</v>
      </c>
      <c r="B68">
        <v>107775521</v>
      </c>
      <c r="C68" t="s">
        <v>511</v>
      </c>
      <c r="D68" t="s">
        <v>486</v>
      </c>
      <c r="E68" t="s">
        <v>484</v>
      </c>
      <c r="F68">
        <v>337</v>
      </c>
      <c r="G68" t="s">
        <v>60</v>
      </c>
      <c r="H68" t="s">
        <v>488</v>
      </c>
      <c r="I68">
        <v>785</v>
      </c>
    </row>
    <row r="69" spans="1:9" x14ac:dyDescent="0.35">
      <c r="A69" t="s">
        <v>487</v>
      </c>
      <c r="B69">
        <v>107775521</v>
      </c>
      <c r="C69" t="s">
        <v>511</v>
      </c>
      <c r="D69" t="s">
        <v>486</v>
      </c>
      <c r="E69" t="s">
        <v>484</v>
      </c>
      <c r="F69">
        <v>337</v>
      </c>
      <c r="G69" t="s">
        <v>60</v>
      </c>
      <c r="H69" t="s">
        <v>489</v>
      </c>
      <c r="I69">
        <v>1577</v>
      </c>
    </row>
    <row r="70" spans="1:9" x14ac:dyDescent="0.35">
      <c r="A70" t="s">
        <v>487</v>
      </c>
      <c r="B70">
        <v>107775521</v>
      </c>
      <c r="C70" t="s">
        <v>511</v>
      </c>
      <c r="D70" t="s">
        <v>486</v>
      </c>
      <c r="E70" t="s">
        <v>484</v>
      </c>
      <c r="F70">
        <v>337</v>
      </c>
      <c r="G70" t="s">
        <v>60</v>
      </c>
      <c r="H70" t="s">
        <v>490</v>
      </c>
      <c r="I70">
        <v>3</v>
      </c>
    </row>
    <row r="71" spans="1:9" x14ac:dyDescent="0.35">
      <c r="A71" t="s">
        <v>487</v>
      </c>
      <c r="B71">
        <v>107775521</v>
      </c>
      <c r="C71" t="s">
        <v>511</v>
      </c>
      <c r="D71" t="s">
        <v>486</v>
      </c>
      <c r="E71" t="s">
        <v>484</v>
      </c>
      <c r="F71">
        <v>337</v>
      </c>
      <c r="G71" t="s">
        <v>81</v>
      </c>
      <c r="H71" t="s">
        <v>492</v>
      </c>
      <c r="I71">
        <v>337</v>
      </c>
    </row>
    <row r="72" spans="1:9" x14ac:dyDescent="0.35">
      <c r="A72" t="s">
        <v>487</v>
      </c>
      <c r="B72">
        <v>106655388</v>
      </c>
      <c r="C72" t="s">
        <v>640</v>
      </c>
      <c r="D72" t="s">
        <v>486</v>
      </c>
      <c r="E72" t="s">
        <v>493</v>
      </c>
      <c r="F72">
        <v>390</v>
      </c>
      <c r="G72" t="s">
        <v>60</v>
      </c>
      <c r="H72" t="s">
        <v>492</v>
      </c>
      <c r="I72">
        <v>1454</v>
      </c>
    </row>
    <row r="73" spans="1:9" x14ac:dyDescent="0.35">
      <c r="A73" t="s">
        <v>487</v>
      </c>
      <c r="B73">
        <v>106655388</v>
      </c>
      <c r="C73" t="s">
        <v>640</v>
      </c>
      <c r="D73" t="s">
        <v>486</v>
      </c>
      <c r="E73" t="s">
        <v>493</v>
      </c>
      <c r="F73">
        <v>390</v>
      </c>
      <c r="G73" t="s">
        <v>60</v>
      </c>
      <c r="H73" t="s">
        <v>488</v>
      </c>
      <c r="I73">
        <v>268</v>
      </c>
    </row>
    <row r="74" spans="1:9" x14ac:dyDescent="0.35">
      <c r="A74" t="s">
        <v>487</v>
      </c>
      <c r="B74">
        <v>106655388</v>
      </c>
      <c r="C74" t="s">
        <v>640</v>
      </c>
      <c r="D74" t="s">
        <v>486</v>
      </c>
      <c r="E74" t="s">
        <v>493</v>
      </c>
      <c r="F74">
        <v>390</v>
      </c>
      <c r="G74" t="s">
        <v>60</v>
      </c>
      <c r="H74" t="s">
        <v>489</v>
      </c>
      <c r="I74">
        <v>1186</v>
      </c>
    </row>
    <row r="75" spans="1:9" x14ac:dyDescent="0.35">
      <c r="A75" t="s">
        <v>487</v>
      </c>
      <c r="B75">
        <v>106655388</v>
      </c>
      <c r="C75" t="s">
        <v>640</v>
      </c>
      <c r="D75" t="s">
        <v>486</v>
      </c>
      <c r="E75" t="s">
        <v>493</v>
      </c>
      <c r="F75">
        <v>390</v>
      </c>
      <c r="G75" t="s">
        <v>81</v>
      </c>
      <c r="H75" t="s">
        <v>492</v>
      </c>
      <c r="I75">
        <v>390</v>
      </c>
    </row>
    <row r="76" spans="1:9" x14ac:dyDescent="0.35">
      <c r="A76" t="s">
        <v>487</v>
      </c>
      <c r="B76">
        <v>107775986</v>
      </c>
      <c r="C76" t="s">
        <v>512</v>
      </c>
      <c r="D76" t="s">
        <v>486</v>
      </c>
      <c r="E76" t="s">
        <v>484</v>
      </c>
      <c r="F76">
        <v>293</v>
      </c>
      <c r="G76" t="s">
        <v>60</v>
      </c>
      <c r="H76" t="s">
        <v>492</v>
      </c>
      <c r="I76">
        <v>3163</v>
      </c>
    </row>
    <row r="77" spans="1:9" x14ac:dyDescent="0.35">
      <c r="A77" t="s">
        <v>487</v>
      </c>
      <c r="B77">
        <v>107775986</v>
      </c>
      <c r="C77" t="s">
        <v>512</v>
      </c>
      <c r="D77" t="s">
        <v>486</v>
      </c>
      <c r="E77" t="s">
        <v>484</v>
      </c>
      <c r="F77">
        <v>293</v>
      </c>
      <c r="G77" t="s">
        <v>60</v>
      </c>
      <c r="H77" t="s">
        <v>488</v>
      </c>
      <c r="I77">
        <v>442</v>
      </c>
    </row>
    <row r="78" spans="1:9" x14ac:dyDescent="0.35">
      <c r="A78" t="s">
        <v>487</v>
      </c>
      <c r="B78">
        <v>107775986</v>
      </c>
      <c r="C78" t="s">
        <v>512</v>
      </c>
      <c r="D78" t="s">
        <v>486</v>
      </c>
      <c r="E78" t="s">
        <v>484</v>
      </c>
      <c r="F78">
        <v>293</v>
      </c>
      <c r="G78" t="s">
        <v>60</v>
      </c>
      <c r="H78" t="s">
        <v>489</v>
      </c>
      <c r="I78">
        <v>2721</v>
      </c>
    </row>
    <row r="79" spans="1:9" x14ac:dyDescent="0.35">
      <c r="A79" t="s">
        <v>487</v>
      </c>
      <c r="B79">
        <v>107775986</v>
      </c>
      <c r="C79" t="s">
        <v>512</v>
      </c>
      <c r="D79" t="s">
        <v>486</v>
      </c>
      <c r="E79" t="s">
        <v>484</v>
      </c>
      <c r="F79">
        <v>293</v>
      </c>
      <c r="G79" t="s">
        <v>81</v>
      </c>
      <c r="H79" t="s">
        <v>492</v>
      </c>
      <c r="I79">
        <v>293</v>
      </c>
    </row>
    <row r="80" spans="1:9" x14ac:dyDescent="0.35">
      <c r="A80" t="s">
        <v>487</v>
      </c>
      <c r="B80">
        <v>107775413</v>
      </c>
      <c r="C80" t="s">
        <v>510</v>
      </c>
      <c r="D80" t="s">
        <v>486</v>
      </c>
      <c r="E80" t="s">
        <v>493</v>
      </c>
      <c r="F80">
        <v>176</v>
      </c>
      <c r="G80" t="s">
        <v>60</v>
      </c>
      <c r="H80" t="s">
        <v>492</v>
      </c>
      <c r="I80">
        <v>1190</v>
      </c>
    </row>
    <row r="81" spans="1:9" x14ac:dyDescent="0.35">
      <c r="A81" t="s">
        <v>487</v>
      </c>
      <c r="B81">
        <v>107775413</v>
      </c>
      <c r="C81" t="s">
        <v>510</v>
      </c>
      <c r="D81" t="s">
        <v>486</v>
      </c>
      <c r="E81" t="s">
        <v>493</v>
      </c>
      <c r="F81">
        <v>176</v>
      </c>
      <c r="G81" t="s">
        <v>60</v>
      </c>
      <c r="H81" t="s">
        <v>488</v>
      </c>
      <c r="I81">
        <v>98</v>
      </c>
    </row>
    <row r="82" spans="1:9" x14ac:dyDescent="0.35">
      <c r="A82" t="s">
        <v>487</v>
      </c>
      <c r="B82">
        <v>107775413</v>
      </c>
      <c r="C82" t="s">
        <v>510</v>
      </c>
      <c r="D82" t="s">
        <v>486</v>
      </c>
      <c r="E82" t="s">
        <v>493</v>
      </c>
      <c r="F82">
        <v>176</v>
      </c>
      <c r="G82" t="s">
        <v>60</v>
      </c>
      <c r="H82" t="s">
        <v>489</v>
      </c>
      <c r="I82">
        <v>1092</v>
      </c>
    </row>
    <row r="83" spans="1:9" x14ac:dyDescent="0.35">
      <c r="A83" t="s">
        <v>487</v>
      </c>
      <c r="B83">
        <v>107775413</v>
      </c>
      <c r="C83" t="s">
        <v>510</v>
      </c>
      <c r="D83" t="s">
        <v>486</v>
      </c>
      <c r="E83" t="s">
        <v>493</v>
      </c>
      <c r="F83">
        <v>176</v>
      </c>
      <c r="G83" t="s">
        <v>81</v>
      </c>
      <c r="H83" t="s">
        <v>492</v>
      </c>
      <c r="I83">
        <v>176</v>
      </c>
    </row>
    <row r="84" spans="1:9" x14ac:dyDescent="0.35">
      <c r="A84" t="s">
        <v>487</v>
      </c>
      <c r="B84">
        <v>106576095</v>
      </c>
      <c r="C84" t="s">
        <v>551</v>
      </c>
      <c r="D84" t="s">
        <v>486</v>
      </c>
      <c r="E84" t="s">
        <v>484</v>
      </c>
      <c r="F84">
        <v>1</v>
      </c>
      <c r="G84" t="s">
        <v>60</v>
      </c>
      <c r="H84" t="s">
        <v>492</v>
      </c>
      <c r="I84">
        <v>2069</v>
      </c>
    </row>
    <row r="85" spans="1:9" x14ac:dyDescent="0.35">
      <c r="A85" t="s">
        <v>487</v>
      </c>
      <c r="B85">
        <v>106576095</v>
      </c>
      <c r="C85" t="s">
        <v>551</v>
      </c>
      <c r="D85" t="s">
        <v>486</v>
      </c>
      <c r="E85" t="s">
        <v>484</v>
      </c>
      <c r="F85">
        <v>1</v>
      </c>
      <c r="G85" t="s">
        <v>81</v>
      </c>
      <c r="H85" t="s">
        <v>492</v>
      </c>
      <c r="I85">
        <v>237</v>
      </c>
    </row>
    <row r="86" spans="1:9" x14ac:dyDescent="0.35">
      <c r="A86" t="s">
        <v>487</v>
      </c>
      <c r="B86">
        <v>106576095</v>
      </c>
      <c r="C86" t="s">
        <v>551</v>
      </c>
      <c r="D86" t="s">
        <v>486</v>
      </c>
      <c r="E86" t="s">
        <v>484</v>
      </c>
      <c r="F86">
        <v>1</v>
      </c>
      <c r="G86" t="s">
        <v>85</v>
      </c>
      <c r="H86" t="s">
        <v>492</v>
      </c>
      <c r="I86">
        <v>1</v>
      </c>
    </row>
    <row r="87" spans="1:9" x14ac:dyDescent="0.35">
      <c r="A87" t="s">
        <v>487</v>
      </c>
      <c r="B87">
        <v>107907397</v>
      </c>
      <c r="C87" t="s">
        <v>547</v>
      </c>
      <c r="D87" t="s">
        <v>497</v>
      </c>
      <c r="E87" t="s">
        <v>493</v>
      </c>
      <c r="F87">
        <v>358</v>
      </c>
      <c r="G87" t="s">
        <v>60</v>
      </c>
      <c r="H87" t="s">
        <v>492</v>
      </c>
      <c r="I87">
        <v>1369</v>
      </c>
    </row>
    <row r="88" spans="1:9" x14ac:dyDescent="0.35">
      <c r="A88" t="s">
        <v>487</v>
      </c>
      <c r="B88">
        <v>107907397</v>
      </c>
      <c r="C88" t="s">
        <v>547</v>
      </c>
      <c r="D88" t="s">
        <v>497</v>
      </c>
      <c r="E88" t="s">
        <v>493</v>
      </c>
      <c r="F88">
        <v>358</v>
      </c>
      <c r="G88" t="s">
        <v>60</v>
      </c>
      <c r="H88" t="s">
        <v>488</v>
      </c>
      <c r="I88">
        <v>148</v>
      </c>
    </row>
    <row r="89" spans="1:9" x14ac:dyDescent="0.35">
      <c r="A89" t="s">
        <v>487</v>
      </c>
      <c r="B89">
        <v>107907397</v>
      </c>
      <c r="C89" t="s">
        <v>547</v>
      </c>
      <c r="D89" t="s">
        <v>497</v>
      </c>
      <c r="E89" t="s">
        <v>493</v>
      </c>
      <c r="F89">
        <v>358</v>
      </c>
      <c r="G89" t="s">
        <v>60</v>
      </c>
      <c r="H89" t="s">
        <v>489</v>
      </c>
      <c r="I89">
        <v>1221</v>
      </c>
    </row>
    <row r="90" spans="1:9" x14ac:dyDescent="0.35">
      <c r="A90" t="s">
        <v>487</v>
      </c>
      <c r="B90">
        <v>107907397</v>
      </c>
      <c r="C90" t="s">
        <v>547</v>
      </c>
      <c r="D90" t="s">
        <v>497</v>
      </c>
      <c r="E90" t="s">
        <v>493</v>
      </c>
      <c r="F90">
        <v>358</v>
      </c>
      <c r="G90" t="s">
        <v>81</v>
      </c>
      <c r="H90" t="s">
        <v>492</v>
      </c>
      <c r="I90">
        <v>358</v>
      </c>
    </row>
    <row r="91" spans="1:9" x14ac:dyDescent="0.35">
      <c r="A91" t="s">
        <v>487</v>
      </c>
      <c r="B91">
        <v>107824169</v>
      </c>
      <c r="C91" t="s">
        <v>546</v>
      </c>
      <c r="D91" t="s">
        <v>497</v>
      </c>
      <c r="E91" t="s">
        <v>493</v>
      </c>
      <c r="F91">
        <v>206</v>
      </c>
      <c r="G91" t="s">
        <v>60</v>
      </c>
      <c r="H91" t="s">
        <v>492</v>
      </c>
      <c r="I91">
        <v>2497</v>
      </c>
    </row>
    <row r="92" spans="1:9" x14ac:dyDescent="0.35">
      <c r="A92" t="s">
        <v>487</v>
      </c>
      <c r="B92">
        <v>107824169</v>
      </c>
      <c r="C92" t="s">
        <v>546</v>
      </c>
      <c r="D92" t="s">
        <v>497</v>
      </c>
      <c r="E92" t="s">
        <v>493</v>
      </c>
      <c r="F92">
        <v>206</v>
      </c>
      <c r="G92" t="s">
        <v>60</v>
      </c>
      <c r="H92" t="s">
        <v>488</v>
      </c>
      <c r="I92">
        <v>684</v>
      </c>
    </row>
    <row r="93" spans="1:9" x14ac:dyDescent="0.35">
      <c r="A93" t="s">
        <v>487</v>
      </c>
      <c r="B93">
        <v>107824169</v>
      </c>
      <c r="C93" t="s">
        <v>546</v>
      </c>
      <c r="D93" t="s">
        <v>497</v>
      </c>
      <c r="E93" t="s">
        <v>493</v>
      </c>
      <c r="F93">
        <v>206</v>
      </c>
      <c r="G93" t="s">
        <v>60</v>
      </c>
      <c r="H93" t="s">
        <v>489</v>
      </c>
      <c r="I93">
        <v>1813</v>
      </c>
    </row>
    <row r="94" spans="1:9" x14ac:dyDescent="0.35">
      <c r="A94" t="s">
        <v>487</v>
      </c>
      <c r="B94">
        <v>107824169</v>
      </c>
      <c r="C94" t="s">
        <v>546</v>
      </c>
      <c r="D94" t="s">
        <v>497</v>
      </c>
      <c r="E94" t="s">
        <v>493</v>
      </c>
      <c r="F94">
        <v>206</v>
      </c>
      <c r="G94" t="s">
        <v>81</v>
      </c>
      <c r="H94" t="s">
        <v>492</v>
      </c>
      <c r="I94">
        <v>206</v>
      </c>
    </row>
    <row r="95" spans="1:9" x14ac:dyDescent="0.35">
      <c r="A95" t="s">
        <v>487</v>
      </c>
      <c r="B95">
        <v>107741579</v>
      </c>
      <c r="C95" t="s">
        <v>541</v>
      </c>
      <c r="D95" t="s">
        <v>497</v>
      </c>
      <c r="E95" t="s">
        <v>484</v>
      </c>
      <c r="F95">
        <v>400</v>
      </c>
      <c r="G95" t="s">
        <v>60</v>
      </c>
      <c r="H95" t="s">
        <v>492</v>
      </c>
      <c r="I95">
        <v>1094</v>
      </c>
    </row>
    <row r="96" spans="1:9" x14ac:dyDescent="0.35">
      <c r="A96" t="s">
        <v>487</v>
      </c>
      <c r="B96">
        <v>107741579</v>
      </c>
      <c r="C96" t="s">
        <v>541</v>
      </c>
      <c r="D96" t="s">
        <v>497</v>
      </c>
      <c r="E96" t="s">
        <v>484</v>
      </c>
      <c r="F96">
        <v>400</v>
      </c>
      <c r="G96" t="s">
        <v>60</v>
      </c>
      <c r="H96" t="s">
        <v>488</v>
      </c>
      <c r="I96">
        <v>12</v>
      </c>
    </row>
    <row r="97" spans="1:9" x14ac:dyDescent="0.35">
      <c r="A97" t="s">
        <v>487</v>
      </c>
      <c r="B97">
        <v>107741579</v>
      </c>
      <c r="C97" t="s">
        <v>541</v>
      </c>
      <c r="D97" t="s">
        <v>497</v>
      </c>
      <c r="E97" t="s">
        <v>484</v>
      </c>
      <c r="F97">
        <v>400</v>
      </c>
      <c r="G97" t="s">
        <v>60</v>
      </c>
      <c r="H97" t="s">
        <v>489</v>
      </c>
      <c r="I97">
        <v>1082</v>
      </c>
    </row>
    <row r="98" spans="1:9" x14ac:dyDescent="0.35">
      <c r="A98" t="s">
        <v>487</v>
      </c>
      <c r="B98">
        <v>107741579</v>
      </c>
      <c r="C98" t="s">
        <v>541</v>
      </c>
      <c r="D98" t="s">
        <v>497</v>
      </c>
      <c r="E98" t="s">
        <v>484</v>
      </c>
      <c r="F98">
        <v>400</v>
      </c>
      <c r="G98" t="s">
        <v>81</v>
      </c>
      <c r="H98" t="s">
        <v>492</v>
      </c>
      <c r="I98">
        <v>400</v>
      </c>
    </row>
    <row r="99" spans="1:9" x14ac:dyDescent="0.35">
      <c r="A99" t="s">
        <v>487</v>
      </c>
      <c r="B99">
        <v>101446428</v>
      </c>
      <c r="C99" t="s">
        <v>531</v>
      </c>
      <c r="D99" t="s">
        <v>497</v>
      </c>
      <c r="E99" t="s">
        <v>493</v>
      </c>
      <c r="F99">
        <v>227</v>
      </c>
      <c r="G99" t="s">
        <v>60</v>
      </c>
      <c r="H99" t="s">
        <v>492</v>
      </c>
      <c r="I99">
        <v>3022</v>
      </c>
    </row>
    <row r="100" spans="1:9" x14ac:dyDescent="0.35">
      <c r="A100" t="s">
        <v>487</v>
      </c>
      <c r="B100">
        <v>101446428</v>
      </c>
      <c r="C100" t="s">
        <v>531</v>
      </c>
      <c r="D100" t="s">
        <v>497</v>
      </c>
      <c r="E100" t="s">
        <v>493</v>
      </c>
      <c r="F100">
        <v>227</v>
      </c>
      <c r="G100" t="s">
        <v>60</v>
      </c>
      <c r="H100" t="s">
        <v>488</v>
      </c>
      <c r="I100">
        <v>1070</v>
      </c>
    </row>
    <row r="101" spans="1:9" x14ac:dyDescent="0.35">
      <c r="A101" t="s">
        <v>487</v>
      </c>
      <c r="B101">
        <v>101446428</v>
      </c>
      <c r="C101" t="s">
        <v>531</v>
      </c>
      <c r="D101" t="s">
        <v>497</v>
      </c>
      <c r="E101" t="s">
        <v>493</v>
      </c>
      <c r="F101">
        <v>227</v>
      </c>
      <c r="G101" t="s">
        <v>60</v>
      </c>
      <c r="H101" t="s">
        <v>489</v>
      </c>
      <c r="I101">
        <v>1952</v>
      </c>
    </row>
    <row r="102" spans="1:9" x14ac:dyDescent="0.35">
      <c r="A102" t="s">
        <v>487</v>
      </c>
      <c r="B102">
        <v>101446428</v>
      </c>
      <c r="C102" t="s">
        <v>531</v>
      </c>
      <c r="D102" t="s">
        <v>497</v>
      </c>
      <c r="E102" t="s">
        <v>493</v>
      </c>
      <c r="F102">
        <v>227</v>
      </c>
      <c r="G102" t="s">
        <v>81</v>
      </c>
      <c r="H102" t="s">
        <v>492</v>
      </c>
      <c r="I102">
        <v>227</v>
      </c>
    </row>
    <row r="103" spans="1:9" x14ac:dyDescent="0.35">
      <c r="A103" t="s">
        <v>487</v>
      </c>
      <c r="B103">
        <v>107221213</v>
      </c>
      <c r="C103" t="s">
        <v>535</v>
      </c>
      <c r="D103" t="s">
        <v>497</v>
      </c>
      <c r="E103" t="s">
        <v>484</v>
      </c>
      <c r="F103">
        <v>101</v>
      </c>
      <c r="G103" t="s">
        <v>60</v>
      </c>
      <c r="H103" t="s">
        <v>492</v>
      </c>
      <c r="I103">
        <v>1291</v>
      </c>
    </row>
    <row r="104" spans="1:9" x14ac:dyDescent="0.35">
      <c r="A104" t="s">
        <v>487</v>
      </c>
      <c r="B104">
        <v>107221213</v>
      </c>
      <c r="C104" t="s">
        <v>535</v>
      </c>
      <c r="D104" t="s">
        <v>497</v>
      </c>
      <c r="E104" t="s">
        <v>484</v>
      </c>
      <c r="F104">
        <v>101</v>
      </c>
      <c r="G104" t="s">
        <v>60</v>
      </c>
      <c r="H104" t="s">
        <v>488</v>
      </c>
      <c r="I104">
        <v>96</v>
      </c>
    </row>
    <row r="105" spans="1:9" x14ac:dyDescent="0.35">
      <c r="A105" t="s">
        <v>487</v>
      </c>
      <c r="B105">
        <v>107221213</v>
      </c>
      <c r="C105" t="s">
        <v>535</v>
      </c>
      <c r="D105" t="s">
        <v>497</v>
      </c>
      <c r="E105" t="s">
        <v>484</v>
      </c>
      <c r="F105">
        <v>101</v>
      </c>
      <c r="G105" t="s">
        <v>60</v>
      </c>
      <c r="H105" t="s">
        <v>489</v>
      </c>
      <c r="I105">
        <v>1195</v>
      </c>
    </row>
    <row r="106" spans="1:9" x14ac:dyDescent="0.35">
      <c r="A106" t="s">
        <v>487</v>
      </c>
      <c r="B106">
        <v>107221213</v>
      </c>
      <c r="C106" t="s">
        <v>535</v>
      </c>
      <c r="D106" t="s">
        <v>497</v>
      </c>
      <c r="E106" t="s">
        <v>484</v>
      </c>
      <c r="F106">
        <v>101</v>
      </c>
      <c r="G106" t="s">
        <v>81</v>
      </c>
      <c r="H106" t="s">
        <v>492</v>
      </c>
      <c r="I106">
        <v>101</v>
      </c>
    </row>
    <row r="107" spans="1:9" x14ac:dyDescent="0.35">
      <c r="A107" t="s">
        <v>487</v>
      </c>
      <c r="B107">
        <v>100633196</v>
      </c>
      <c r="C107" t="s">
        <v>530</v>
      </c>
      <c r="D107" t="s">
        <v>497</v>
      </c>
      <c r="E107" t="s">
        <v>493</v>
      </c>
      <c r="F107">
        <v>311</v>
      </c>
      <c r="G107" t="s">
        <v>60</v>
      </c>
      <c r="H107" t="s">
        <v>492</v>
      </c>
      <c r="I107">
        <v>1712</v>
      </c>
    </row>
    <row r="108" spans="1:9" x14ac:dyDescent="0.35">
      <c r="A108" t="s">
        <v>487</v>
      </c>
      <c r="B108">
        <v>100633196</v>
      </c>
      <c r="C108" t="s">
        <v>530</v>
      </c>
      <c r="D108" t="s">
        <v>497</v>
      </c>
      <c r="E108" t="s">
        <v>493</v>
      </c>
      <c r="F108">
        <v>311</v>
      </c>
      <c r="G108" t="s">
        <v>60</v>
      </c>
      <c r="H108" t="s">
        <v>488</v>
      </c>
      <c r="I108">
        <v>269</v>
      </c>
    </row>
    <row r="109" spans="1:9" x14ac:dyDescent="0.35">
      <c r="A109" t="s">
        <v>487</v>
      </c>
      <c r="B109">
        <v>100633196</v>
      </c>
      <c r="C109" t="s">
        <v>530</v>
      </c>
      <c r="D109" t="s">
        <v>497</v>
      </c>
      <c r="E109" t="s">
        <v>493</v>
      </c>
      <c r="F109">
        <v>311</v>
      </c>
      <c r="G109" t="s">
        <v>60</v>
      </c>
      <c r="H109" t="s">
        <v>489</v>
      </c>
      <c r="I109">
        <v>1443</v>
      </c>
    </row>
    <row r="110" spans="1:9" x14ac:dyDescent="0.35">
      <c r="A110" t="s">
        <v>487</v>
      </c>
      <c r="B110">
        <v>100633196</v>
      </c>
      <c r="C110" t="s">
        <v>530</v>
      </c>
      <c r="D110" t="s">
        <v>497</v>
      </c>
      <c r="E110" t="s">
        <v>493</v>
      </c>
      <c r="F110">
        <v>311</v>
      </c>
      <c r="G110" t="s">
        <v>81</v>
      </c>
      <c r="H110" t="s">
        <v>492</v>
      </c>
      <c r="I110">
        <v>312</v>
      </c>
    </row>
    <row r="111" spans="1:9" x14ac:dyDescent="0.35">
      <c r="A111" t="s">
        <v>487</v>
      </c>
      <c r="B111">
        <v>107221179</v>
      </c>
      <c r="C111" t="s">
        <v>500</v>
      </c>
      <c r="D111" t="s">
        <v>486</v>
      </c>
      <c r="E111" t="s">
        <v>493</v>
      </c>
      <c r="F111">
        <v>411</v>
      </c>
      <c r="G111" t="s">
        <v>60</v>
      </c>
      <c r="H111" t="s">
        <v>492</v>
      </c>
      <c r="I111">
        <v>1336</v>
      </c>
    </row>
    <row r="112" spans="1:9" x14ac:dyDescent="0.35">
      <c r="A112" t="s">
        <v>487</v>
      </c>
      <c r="B112">
        <v>107221179</v>
      </c>
      <c r="C112" t="s">
        <v>500</v>
      </c>
      <c r="D112" t="s">
        <v>486</v>
      </c>
      <c r="E112" t="s">
        <v>493</v>
      </c>
      <c r="F112">
        <v>411</v>
      </c>
      <c r="G112" t="s">
        <v>60</v>
      </c>
      <c r="H112" t="s">
        <v>488</v>
      </c>
      <c r="I112">
        <v>195</v>
      </c>
    </row>
    <row r="113" spans="1:9" x14ac:dyDescent="0.35">
      <c r="A113" t="s">
        <v>487</v>
      </c>
      <c r="B113">
        <v>107221179</v>
      </c>
      <c r="C113" t="s">
        <v>500</v>
      </c>
      <c r="D113" t="s">
        <v>486</v>
      </c>
      <c r="E113" t="s">
        <v>493</v>
      </c>
      <c r="F113">
        <v>411</v>
      </c>
      <c r="G113" t="s">
        <v>60</v>
      </c>
      <c r="H113" t="s">
        <v>489</v>
      </c>
      <c r="I113">
        <v>1141</v>
      </c>
    </row>
    <row r="114" spans="1:9" x14ac:dyDescent="0.35">
      <c r="A114" t="s">
        <v>487</v>
      </c>
      <c r="B114">
        <v>107221179</v>
      </c>
      <c r="C114" t="s">
        <v>500</v>
      </c>
      <c r="D114" t="s">
        <v>486</v>
      </c>
      <c r="E114" t="s">
        <v>493</v>
      </c>
      <c r="F114">
        <v>411</v>
      </c>
      <c r="G114" t="s">
        <v>81</v>
      </c>
      <c r="H114" t="s">
        <v>492</v>
      </c>
      <c r="I114">
        <v>411</v>
      </c>
    </row>
    <row r="115" spans="1:9" x14ac:dyDescent="0.35">
      <c r="A115" t="s">
        <v>487</v>
      </c>
      <c r="B115">
        <v>107868365</v>
      </c>
      <c r="C115" t="s">
        <v>521</v>
      </c>
      <c r="D115" t="s">
        <v>486</v>
      </c>
      <c r="E115" t="s">
        <v>493</v>
      </c>
      <c r="F115">
        <v>271</v>
      </c>
      <c r="G115" t="s">
        <v>60</v>
      </c>
      <c r="H115" t="s">
        <v>492</v>
      </c>
      <c r="I115">
        <v>2195</v>
      </c>
    </row>
    <row r="116" spans="1:9" x14ac:dyDescent="0.35">
      <c r="A116" t="s">
        <v>487</v>
      </c>
      <c r="B116">
        <v>107868365</v>
      </c>
      <c r="C116" t="s">
        <v>521</v>
      </c>
      <c r="D116" t="s">
        <v>486</v>
      </c>
      <c r="E116" t="s">
        <v>493</v>
      </c>
      <c r="F116">
        <v>271</v>
      </c>
      <c r="G116" t="s">
        <v>60</v>
      </c>
      <c r="H116" t="s">
        <v>488</v>
      </c>
      <c r="I116">
        <v>551</v>
      </c>
    </row>
    <row r="117" spans="1:9" x14ac:dyDescent="0.35">
      <c r="A117" t="s">
        <v>487</v>
      </c>
      <c r="B117">
        <v>107868365</v>
      </c>
      <c r="C117" t="s">
        <v>521</v>
      </c>
      <c r="D117" t="s">
        <v>486</v>
      </c>
      <c r="E117" t="s">
        <v>493</v>
      </c>
      <c r="F117">
        <v>271</v>
      </c>
      <c r="G117" t="s">
        <v>60</v>
      </c>
      <c r="H117" t="s">
        <v>489</v>
      </c>
      <c r="I117">
        <v>1619</v>
      </c>
    </row>
    <row r="118" spans="1:9" x14ac:dyDescent="0.35">
      <c r="A118" t="s">
        <v>487</v>
      </c>
      <c r="B118">
        <v>107868365</v>
      </c>
      <c r="C118" t="s">
        <v>521</v>
      </c>
      <c r="D118" t="s">
        <v>486</v>
      </c>
      <c r="E118" t="s">
        <v>493</v>
      </c>
      <c r="F118">
        <v>271</v>
      </c>
      <c r="G118" t="s">
        <v>60</v>
      </c>
      <c r="H118" t="s">
        <v>490</v>
      </c>
      <c r="I118">
        <v>25</v>
      </c>
    </row>
    <row r="119" spans="1:9" x14ac:dyDescent="0.35">
      <c r="A119" t="s">
        <v>487</v>
      </c>
      <c r="B119">
        <v>107868365</v>
      </c>
      <c r="C119" t="s">
        <v>521</v>
      </c>
      <c r="D119" t="s">
        <v>486</v>
      </c>
      <c r="E119" t="s">
        <v>493</v>
      </c>
      <c r="F119">
        <v>271</v>
      </c>
      <c r="G119" t="s">
        <v>81</v>
      </c>
      <c r="H119" t="s">
        <v>492</v>
      </c>
      <c r="I119">
        <v>271</v>
      </c>
    </row>
    <row r="120" spans="1:9" x14ac:dyDescent="0.35">
      <c r="A120" t="s">
        <v>487</v>
      </c>
      <c r="B120">
        <v>107819512</v>
      </c>
      <c r="C120" t="s">
        <v>544</v>
      </c>
      <c r="D120" t="s">
        <v>497</v>
      </c>
      <c r="E120" t="s">
        <v>493</v>
      </c>
      <c r="F120">
        <v>144</v>
      </c>
      <c r="G120" t="s">
        <v>60</v>
      </c>
      <c r="H120" t="s">
        <v>492</v>
      </c>
      <c r="I120">
        <v>1836</v>
      </c>
    </row>
    <row r="121" spans="1:9" x14ac:dyDescent="0.35">
      <c r="A121" t="s">
        <v>487</v>
      </c>
      <c r="B121">
        <v>107819512</v>
      </c>
      <c r="C121" t="s">
        <v>544</v>
      </c>
      <c r="D121" t="s">
        <v>497</v>
      </c>
      <c r="E121" t="s">
        <v>493</v>
      </c>
      <c r="F121">
        <v>144</v>
      </c>
      <c r="G121" t="s">
        <v>60</v>
      </c>
      <c r="H121" t="s">
        <v>488</v>
      </c>
      <c r="I121">
        <v>726</v>
      </c>
    </row>
    <row r="122" spans="1:9" x14ac:dyDescent="0.35">
      <c r="A122" t="s">
        <v>487</v>
      </c>
      <c r="B122">
        <v>107819512</v>
      </c>
      <c r="C122" t="s">
        <v>544</v>
      </c>
      <c r="D122" t="s">
        <v>497</v>
      </c>
      <c r="E122" t="s">
        <v>493</v>
      </c>
      <c r="F122">
        <v>144</v>
      </c>
      <c r="G122" t="s">
        <v>60</v>
      </c>
      <c r="H122" t="s">
        <v>489</v>
      </c>
      <c r="I122">
        <v>1110</v>
      </c>
    </row>
    <row r="123" spans="1:9" x14ac:dyDescent="0.35">
      <c r="A123" t="s">
        <v>487</v>
      </c>
      <c r="B123">
        <v>107819512</v>
      </c>
      <c r="C123" t="s">
        <v>544</v>
      </c>
      <c r="D123" t="s">
        <v>497</v>
      </c>
      <c r="E123" t="s">
        <v>493</v>
      </c>
      <c r="F123">
        <v>144</v>
      </c>
      <c r="G123" t="s">
        <v>81</v>
      </c>
      <c r="H123" t="s">
        <v>492</v>
      </c>
      <c r="I123">
        <v>144</v>
      </c>
    </row>
    <row r="124" spans="1:9" x14ac:dyDescent="0.35">
      <c r="A124" t="s">
        <v>487</v>
      </c>
      <c r="B124">
        <v>107463281</v>
      </c>
      <c r="C124" t="s">
        <v>539</v>
      </c>
      <c r="D124" t="s">
        <v>497</v>
      </c>
      <c r="E124" t="s">
        <v>484</v>
      </c>
      <c r="F124">
        <v>337</v>
      </c>
      <c r="G124" t="s">
        <v>60</v>
      </c>
      <c r="H124" t="s">
        <v>492</v>
      </c>
      <c r="I124">
        <v>1830</v>
      </c>
    </row>
    <row r="125" spans="1:9" x14ac:dyDescent="0.35">
      <c r="A125" t="s">
        <v>487</v>
      </c>
      <c r="B125">
        <v>107463281</v>
      </c>
      <c r="C125" t="s">
        <v>539</v>
      </c>
      <c r="D125" t="s">
        <v>497</v>
      </c>
      <c r="E125" t="s">
        <v>484</v>
      </c>
      <c r="F125">
        <v>337</v>
      </c>
      <c r="G125" t="s">
        <v>60</v>
      </c>
      <c r="H125" t="s">
        <v>488</v>
      </c>
      <c r="I125">
        <v>150</v>
      </c>
    </row>
    <row r="126" spans="1:9" x14ac:dyDescent="0.35">
      <c r="A126" t="s">
        <v>487</v>
      </c>
      <c r="B126">
        <v>107463281</v>
      </c>
      <c r="C126" t="s">
        <v>539</v>
      </c>
      <c r="D126" t="s">
        <v>497</v>
      </c>
      <c r="E126" t="s">
        <v>484</v>
      </c>
      <c r="F126">
        <v>337</v>
      </c>
      <c r="G126" t="s">
        <v>60</v>
      </c>
      <c r="H126" t="s">
        <v>489</v>
      </c>
      <c r="I126">
        <v>1668</v>
      </c>
    </row>
    <row r="127" spans="1:9" x14ac:dyDescent="0.35">
      <c r="A127" t="s">
        <v>487</v>
      </c>
      <c r="B127">
        <v>107463281</v>
      </c>
      <c r="C127" t="s">
        <v>539</v>
      </c>
      <c r="D127" t="s">
        <v>497</v>
      </c>
      <c r="E127" t="s">
        <v>484</v>
      </c>
      <c r="F127">
        <v>337</v>
      </c>
      <c r="G127" t="s">
        <v>60</v>
      </c>
      <c r="H127" t="s">
        <v>490</v>
      </c>
      <c r="I127">
        <v>12</v>
      </c>
    </row>
    <row r="128" spans="1:9" x14ac:dyDescent="0.35">
      <c r="A128" t="s">
        <v>487</v>
      </c>
      <c r="B128">
        <v>107463281</v>
      </c>
      <c r="C128" t="s">
        <v>539</v>
      </c>
      <c r="D128" t="s">
        <v>497</v>
      </c>
      <c r="E128" t="s">
        <v>484</v>
      </c>
      <c r="F128">
        <v>337</v>
      </c>
      <c r="G128" t="s">
        <v>81</v>
      </c>
      <c r="H128" t="s">
        <v>492</v>
      </c>
      <c r="I128">
        <v>337</v>
      </c>
    </row>
    <row r="129" spans="1:9" x14ac:dyDescent="0.35">
      <c r="A129" t="s">
        <v>487</v>
      </c>
      <c r="B129">
        <v>105611848</v>
      </c>
      <c r="C129" t="s">
        <v>644</v>
      </c>
      <c r="D129" t="s">
        <v>586</v>
      </c>
      <c r="E129" t="s">
        <v>484</v>
      </c>
      <c r="F129">
        <v>105</v>
      </c>
      <c r="G129" t="s">
        <v>60</v>
      </c>
      <c r="H129" t="s">
        <v>492</v>
      </c>
      <c r="I129">
        <v>632</v>
      </c>
    </row>
    <row r="130" spans="1:9" x14ac:dyDescent="0.35">
      <c r="A130" t="s">
        <v>487</v>
      </c>
      <c r="B130">
        <v>105611848</v>
      </c>
      <c r="C130" t="s">
        <v>644</v>
      </c>
      <c r="D130" t="s">
        <v>586</v>
      </c>
      <c r="E130" t="s">
        <v>484</v>
      </c>
      <c r="F130">
        <v>105</v>
      </c>
      <c r="G130" t="s">
        <v>60</v>
      </c>
      <c r="H130" t="s">
        <v>488</v>
      </c>
      <c r="I130">
        <v>201</v>
      </c>
    </row>
    <row r="131" spans="1:9" x14ac:dyDescent="0.35">
      <c r="A131" t="s">
        <v>487</v>
      </c>
      <c r="B131">
        <v>105611848</v>
      </c>
      <c r="C131" t="s">
        <v>644</v>
      </c>
      <c r="D131" t="s">
        <v>586</v>
      </c>
      <c r="E131" t="s">
        <v>484</v>
      </c>
      <c r="F131">
        <v>105</v>
      </c>
      <c r="G131" t="s">
        <v>60</v>
      </c>
      <c r="H131" t="s">
        <v>489</v>
      </c>
      <c r="I131">
        <v>431</v>
      </c>
    </row>
    <row r="132" spans="1:9" x14ac:dyDescent="0.35">
      <c r="A132" t="s">
        <v>487</v>
      </c>
      <c r="B132">
        <v>105611848</v>
      </c>
      <c r="C132" t="s">
        <v>644</v>
      </c>
      <c r="D132" t="s">
        <v>586</v>
      </c>
      <c r="E132" t="s">
        <v>484</v>
      </c>
      <c r="F132">
        <v>105</v>
      </c>
      <c r="G132" t="s">
        <v>81</v>
      </c>
      <c r="H132" t="s">
        <v>492</v>
      </c>
      <c r="I132">
        <v>105</v>
      </c>
    </row>
    <row r="133" spans="1:9" x14ac:dyDescent="0.35">
      <c r="A133" t="s">
        <v>34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S186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8" max="8" width="12.90625" bestFit="1" customWidth="1"/>
    <col min="9" max="9" width="11.453125" bestFit="1" customWidth="1"/>
    <col min="10" max="10" width="10.179687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8.4531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>
    <row r="1" spans="1:19" x14ac:dyDescent="0.35">
      <c r="A1" t="s">
        <v>35</v>
      </c>
      <c r="B1" t="s">
        <v>36</v>
      </c>
      <c r="C1" t="s">
        <v>37</v>
      </c>
      <c r="D1" t="s">
        <v>38</v>
      </c>
      <c r="E1" t="s">
        <v>39</v>
      </c>
      <c r="F1" t="s">
        <v>40</v>
      </c>
      <c r="G1" t="s">
        <v>41</v>
      </c>
      <c r="H1" t="s">
        <v>42</v>
      </c>
      <c r="I1" t="s">
        <v>43</v>
      </c>
      <c r="J1" t="s">
        <v>44</v>
      </c>
      <c r="K1" t="s">
        <v>45</v>
      </c>
      <c r="L1" t="s">
        <v>46</v>
      </c>
      <c r="M1" t="s">
        <v>47</v>
      </c>
      <c r="N1" t="s">
        <v>48</v>
      </c>
      <c r="O1" t="s">
        <v>49</v>
      </c>
      <c r="P1" t="s">
        <v>50</v>
      </c>
      <c r="Q1" t="s">
        <v>51</v>
      </c>
      <c r="R1" t="s">
        <v>52</v>
      </c>
      <c r="S1" t="s">
        <v>53</v>
      </c>
    </row>
    <row r="2" spans="1:19" x14ac:dyDescent="0.35">
      <c r="A2" t="s">
        <v>54</v>
      </c>
      <c r="B2">
        <v>1</v>
      </c>
      <c r="C2" t="s">
        <v>55</v>
      </c>
      <c r="D2" t="s">
        <v>6</v>
      </c>
      <c r="E2" t="s">
        <v>13</v>
      </c>
      <c r="F2" t="s">
        <v>56</v>
      </c>
      <c r="G2" t="s">
        <v>57</v>
      </c>
      <c r="H2">
        <v>0</v>
      </c>
      <c r="I2">
        <v>0</v>
      </c>
      <c r="J2">
        <v>0</v>
      </c>
      <c r="K2">
        <v>995.00000399999999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35">
      <c r="A3" t="s">
        <v>54</v>
      </c>
      <c r="B3">
        <v>2</v>
      </c>
      <c r="C3" t="s">
        <v>58</v>
      </c>
      <c r="D3" t="s">
        <v>59</v>
      </c>
      <c r="E3" t="s">
        <v>13</v>
      </c>
      <c r="F3" t="s">
        <v>56</v>
      </c>
      <c r="G3" t="s">
        <v>60</v>
      </c>
      <c r="H3">
        <v>0</v>
      </c>
      <c r="I3">
        <v>0</v>
      </c>
      <c r="J3">
        <v>0</v>
      </c>
      <c r="K3">
        <v>275.00000399999999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35">
      <c r="A4" t="s">
        <v>54</v>
      </c>
      <c r="B4">
        <v>3</v>
      </c>
      <c r="C4" t="s">
        <v>61</v>
      </c>
      <c r="D4" t="s">
        <v>62</v>
      </c>
      <c r="E4" t="s">
        <v>13</v>
      </c>
      <c r="F4" t="s">
        <v>56</v>
      </c>
      <c r="G4" t="s">
        <v>60</v>
      </c>
      <c r="H4">
        <v>0</v>
      </c>
      <c r="I4">
        <v>0</v>
      </c>
      <c r="J4">
        <v>0</v>
      </c>
      <c r="K4">
        <v>101.999988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35">
      <c r="A5" t="s">
        <v>54</v>
      </c>
      <c r="B5">
        <v>4</v>
      </c>
      <c r="C5" t="s">
        <v>63</v>
      </c>
      <c r="D5" t="s">
        <v>64</v>
      </c>
      <c r="E5" t="s">
        <v>13</v>
      </c>
      <c r="F5" t="s">
        <v>56</v>
      </c>
      <c r="G5" t="s">
        <v>60</v>
      </c>
      <c r="H5">
        <v>0</v>
      </c>
      <c r="I5">
        <v>0</v>
      </c>
      <c r="J5">
        <v>0</v>
      </c>
      <c r="K5">
        <v>52.999991999999999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35">
      <c r="A6" t="s">
        <v>54</v>
      </c>
      <c r="B6">
        <v>5</v>
      </c>
      <c r="C6" t="s">
        <v>65</v>
      </c>
      <c r="D6" t="s">
        <v>66</v>
      </c>
      <c r="E6" t="s">
        <v>13</v>
      </c>
      <c r="F6" t="s">
        <v>56</v>
      </c>
      <c r="G6" t="s">
        <v>60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35">
      <c r="A7" t="s">
        <v>54</v>
      </c>
      <c r="B7">
        <v>6</v>
      </c>
      <c r="C7" t="s">
        <v>67</v>
      </c>
      <c r="D7" t="s">
        <v>68</v>
      </c>
      <c r="E7" t="s">
        <v>13</v>
      </c>
      <c r="F7" t="s">
        <v>56</v>
      </c>
      <c r="G7" t="s">
        <v>60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P7">
        <v>0</v>
      </c>
      <c r="Q7">
        <v>0</v>
      </c>
      <c r="R7">
        <v>0</v>
      </c>
      <c r="S7">
        <v>0</v>
      </c>
    </row>
    <row r="8" spans="1:19" x14ac:dyDescent="0.35">
      <c r="A8" t="s">
        <v>54</v>
      </c>
      <c r="B8">
        <v>7</v>
      </c>
      <c r="C8" t="s">
        <v>69</v>
      </c>
      <c r="D8" t="s">
        <v>70</v>
      </c>
      <c r="E8" t="s">
        <v>13</v>
      </c>
      <c r="F8" t="s">
        <v>56</v>
      </c>
      <c r="G8" t="s">
        <v>60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35">
      <c r="A9" t="s">
        <v>54</v>
      </c>
      <c r="B9">
        <v>8</v>
      </c>
      <c r="C9" t="s">
        <v>71</v>
      </c>
      <c r="D9" t="s">
        <v>72</v>
      </c>
      <c r="E9" t="s">
        <v>13</v>
      </c>
      <c r="F9" t="s">
        <v>56</v>
      </c>
      <c r="G9" t="s">
        <v>60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35">
      <c r="A10" t="s">
        <v>54</v>
      </c>
      <c r="B10">
        <v>9</v>
      </c>
      <c r="C10" t="s">
        <v>73</v>
      </c>
      <c r="D10" t="s">
        <v>74</v>
      </c>
      <c r="E10" t="s">
        <v>13</v>
      </c>
      <c r="F10" t="s">
        <v>56</v>
      </c>
      <c r="G10" t="s">
        <v>60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35">
      <c r="A11" t="s">
        <v>54</v>
      </c>
      <c r="B11">
        <v>10</v>
      </c>
      <c r="C11" t="s">
        <v>75</v>
      </c>
      <c r="D11" t="s">
        <v>76</v>
      </c>
      <c r="E11" t="s">
        <v>13</v>
      </c>
      <c r="F11" t="s">
        <v>56</v>
      </c>
      <c r="G11" t="s">
        <v>60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35">
      <c r="A12" t="s">
        <v>54</v>
      </c>
      <c r="B12">
        <v>11</v>
      </c>
      <c r="C12" t="s">
        <v>77</v>
      </c>
      <c r="D12" t="s">
        <v>78</v>
      </c>
      <c r="E12" t="s">
        <v>13</v>
      </c>
      <c r="F12" t="s">
        <v>56</v>
      </c>
      <c r="G12" t="s">
        <v>60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0</v>
      </c>
      <c r="Q12">
        <v>0</v>
      </c>
      <c r="R12">
        <v>0</v>
      </c>
      <c r="S12">
        <v>0</v>
      </c>
    </row>
    <row r="13" spans="1:19" x14ac:dyDescent="0.35">
      <c r="A13" t="s">
        <v>54</v>
      </c>
      <c r="B13">
        <v>12</v>
      </c>
      <c r="C13" t="s">
        <v>79</v>
      </c>
      <c r="D13" t="s">
        <v>80</v>
      </c>
      <c r="E13" t="s">
        <v>13</v>
      </c>
      <c r="F13" t="s">
        <v>56</v>
      </c>
      <c r="G13" t="s">
        <v>81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35">
      <c r="A14" t="s">
        <v>54</v>
      </c>
      <c r="B14">
        <v>13</v>
      </c>
      <c r="C14" t="s">
        <v>82</v>
      </c>
      <c r="D14" t="s">
        <v>7</v>
      </c>
      <c r="E14" t="s">
        <v>13</v>
      </c>
      <c r="F14" t="s">
        <v>56</v>
      </c>
      <c r="G14" t="s">
        <v>81</v>
      </c>
      <c r="H14">
        <v>0</v>
      </c>
      <c r="I14">
        <v>0</v>
      </c>
      <c r="J14">
        <v>0</v>
      </c>
      <c r="K14">
        <v>524.99998800000003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35">
      <c r="A15" t="s">
        <v>54</v>
      </c>
      <c r="B15">
        <v>14</v>
      </c>
      <c r="C15" t="s">
        <v>83</v>
      </c>
      <c r="D15" t="s">
        <v>84</v>
      </c>
      <c r="E15" t="s">
        <v>13</v>
      </c>
      <c r="F15" t="s">
        <v>56</v>
      </c>
      <c r="G15" t="s">
        <v>85</v>
      </c>
      <c r="H15">
        <v>0</v>
      </c>
      <c r="I15">
        <v>0</v>
      </c>
      <c r="J15">
        <v>0</v>
      </c>
      <c r="K15">
        <v>11.999988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35">
      <c r="A16" t="s">
        <v>54</v>
      </c>
      <c r="B16">
        <v>15</v>
      </c>
      <c r="C16" t="s">
        <v>86</v>
      </c>
      <c r="D16" t="s">
        <v>87</v>
      </c>
      <c r="E16" t="s">
        <v>13</v>
      </c>
      <c r="F16" t="s">
        <v>56</v>
      </c>
      <c r="G16" t="s">
        <v>57</v>
      </c>
      <c r="H16">
        <v>0</v>
      </c>
      <c r="I16">
        <v>0</v>
      </c>
      <c r="J16">
        <v>0</v>
      </c>
      <c r="K16">
        <v>2000.00001599999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35">
      <c r="A17" t="s">
        <v>54</v>
      </c>
      <c r="B17">
        <v>16</v>
      </c>
      <c r="C17" t="s">
        <v>88</v>
      </c>
      <c r="D17" t="s">
        <v>89</v>
      </c>
      <c r="E17" t="s">
        <v>13</v>
      </c>
      <c r="F17" t="s">
        <v>56</v>
      </c>
      <c r="G17" t="s">
        <v>60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P17">
        <v>0</v>
      </c>
      <c r="Q17">
        <v>0</v>
      </c>
      <c r="R17">
        <v>0</v>
      </c>
      <c r="S17">
        <v>0</v>
      </c>
    </row>
    <row r="18" spans="1:19" x14ac:dyDescent="0.35">
      <c r="A18" t="s">
        <v>54</v>
      </c>
      <c r="B18">
        <v>17</v>
      </c>
      <c r="C18" t="s">
        <v>90</v>
      </c>
      <c r="D18" t="s">
        <v>91</v>
      </c>
      <c r="E18" t="s">
        <v>13</v>
      </c>
      <c r="F18" t="s">
        <v>92</v>
      </c>
      <c r="G18" t="s">
        <v>81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35">
      <c r="A19" t="s">
        <v>54</v>
      </c>
      <c r="B19">
        <v>18</v>
      </c>
      <c r="C19" t="s">
        <v>93</v>
      </c>
      <c r="D19" t="s">
        <v>94</v>
      </c>
      <c r="E19" t="s">
        <v>13</v>
      </c>
      <c r="F19" t="s">
        <v>92</v>
      </c>
      <c r="G19" t="s">
        <v>60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35">
      <c r="A20" t="s">
        <v>54</v>
      </c>
      <c r="B20">
        <v>19</v>
      </c>
      <c r="C20" t="s">
        <v>95</v>
      </c>
      <c r="D20" t="s">
        <v>96</v>
      </c>
      <c r="E20" t="s">
        <v>13</v>
      </c>
      <c r="F20" t="s">
        <v>92</v>
      </c>
      <c r="G20" t="s">
        <v>60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35">
      <c r="A21" t="s">
        <v>54</v>
      </c>
      <c r="B21">
        <v>20</v>
      </c>
      <c r="C21" t="s">
        <v>97</v>
      </c>
      <c r="D21" t="s">
        <v>98</v>
      </c>
      <c r="E21" t="s">
        <v>13</v>
      </c>
      <c r="F21" t="s">
        <v>92</v>
      </c>
      <c r="G21" t="s">
        <v>60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35">
      <c r="A22" t="s">
        <v>54</v>
      </c>
      <c r="B22">
        <v>21</v>
      </c>
      <c r="C22" t="s">
        <v>99</v>
      </c>
      <c r="D22" t="s">
        <v>100</v>
      </c>
      <c r="E22" t="s">
        <v>13</v>
      </c>
      <c r="F22" t="s">
        <v>92</v>
      </c>
      <c r="G22" t="s">
        <v>60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 x14ac:dyDescent="0.35">
      <c r="A23" t="s">
        <v>54</v>
      </c>
      <c r="B23">
        <v>22</v>
      </c>
      <c r="C23" t="s">
        <v>101</v>
      </c>
      <c r="D23" t="s">
        <v>102</v>
      </c>
      <c r="E23" t="s">
        <v>13</v>
      </c>
      <c r="F23" t="s">
        <v>92</v>
      </c>
      <c r="G23" t="s">
        <v>60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P23">
        <v>0</v>
      </c>
      <c r="Q23">
        <v>0</v>
      </c>
      <c r="R23">
        <v>0</v>
      </c>
      <c r="S23">
        <v>0</v>
      </c>
    </row>
    <row r="24" spans="1:19" x14ac:dyDescent="0.35">
      <c r="A24" t="s">
        <v>54</v>
      </c>
      <c r="B24">
        <v>23</v>
      </c>
      <c r="C24" t="s">
        <v>103</v>
      </c>
      <c r="D24" t="s">
        <v>104</v>
      </c>
      <c r="E24" t="s">
        <v>13</v>
      </c>
      <c r="F24" t="s">
        <v>92</v>
      </c>
      <c r="G24" t="s">
        <v>81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35">
      <c r="A25" t="s">
        <v>54</v>
      </c>
      <c r="B25">
        <v>24</v>
      </c>
      <c r="C25" t="s">
        <v>105</v>
      </c>
      <c r="D25" t="s">
        <v>106</v>
      </c>
      <c r="E25" t="s">
        <v>13</v>
      </c>
      <c r="F25" t="s">
        <v>92</v>
      </c>
      <c r="G25" t="s">
        <v>85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35">
      <c r="A26" t="s">
        <v>54</v>
      </c>
      <c r="B26">
        <v>25</v>
      </c>
      <c r="C26" t="s">
        <v>107</v>
      </c>
      <c r="D26" t="s">
        <v>108</v>
      </c>
      <c r="E26" t="s">
        <v>13</v>
      </c>
      <c r="F26" t="s">
        <v>92</v>
      </c>
      <c r="G26" t="s">
        <v>57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35">
      <c r="A27" t="s">
        <v>54</v>
      </c>
      <c r="B27">
        <v>26</v>
      </c>
      <c r="C27" t="s">
        <v>109</v>
      </c>
      <c r="D27" t="s">
        <v>110</v>
      </c>
      <c r="E27" t="s">
        <v>13</v>
      </c>
      <c r="F27" t="s">
        <v>92</v>
      </c>
      <c r="G27" t="s">
        <v>60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P27">
        <v>0</v>
      </c>
      <c r="Q27">
        <v>0</v>
      </c>
      <c r="R27">
        <v>0</v>
      </c>
      <c r="S27">
        <v>0</v>
      </c>
    </row>
    <row r="28" spans="1:19" x14ac:dyDescent="0.35">
      <c r="A28" t="s">
        <v>54</v>
      </c>
      <c r="B28">
        <v>27</v>
      </c>
      <c r="C28" t="s">
        <v>111</v>
      </c>
      <c r="D28" t="s">
        <v>112</v>
      </c>
      <c r="E28" t="s">
        <v>13</v>
      </c>
      <c r="F28" t="s">
        <v>113</v>
      </c>
      <c r="G28" t="s">
        <v>60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 x14ac:dyDescent="0.35">
      <c r="A29" t="s">
        <v>54</v>
      </c>
      <c r="B29">
        <v>28</v>
      </c>
      <c r="C29" t="s">
        <v>114</v>
      </c>
      <c r="D29" t="s">
        <v>115</v>
      </c>
      <c r="E29" t="s">
        <v>13</v>
      </c>
      <c r="F29" t="s">
        <v>113</v>
      </c>
      <c r="G29" t="s">
        <v>60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35">
      <c r="A30" t="s">
        <v>54</v>
      </c>
      <c r="B30">
        <v>29</v>
      </c>
      <c r="C30" t="s">
        <v>116</v>
      </c>
      <c r="D30" t="s">
        <v>117</v>
      </c>
      <c r="E30" t="s">
        <v>13</v>
      </c>
      <c r="F30" t="s">
        <v>113</v>
      </c>
      <c r="G30" t="s">
        <v>60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35">
      <c r="A31" t="s">
        <v>54</v>
      </c>
      <c r="B31">
        <v>30</v>
      </c>
      <c r="C31" t="s">
        <v>118</v>
      </c>
      <c r="D31" t="s">
        <v>119</v>
      </c>
      <c r="E31" t="s">
        <v>13</v>
      </c>
      <c r="F31" t="s">
        <v>113</v>
      </c>
      <c r="G31" t="s">
        <v>60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35">
      <c r="A32" t="s">
        <v>54</v>
      </c>
      <c r="B32">
        <v>31</v>
      </c>
      <c r="C32" t="s">
        <v>120</v>
      </c>
      <c r="D32" t="s">
        <v>121</v>
      </c>
      <c r="E32" t="s">
        <v>13</v>
      </c>
      <c r="F32" t="s">
        <v>113</v>
      </c>
      <c r="G32" t="s">
        <v>60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35">
      <c r="A33" t="s">
        <v>54</v>
      </c>
      <c r="B33">
        <v>32</v>
      </c>
      <c r="C33" t="s">
        <v>122</v>
      </c>
      <c r="D33" t="s">
        <v>123</v>
      </c>
      <c r="E33" t="s">
        <v>13</v>
      </c>
      <c r="F33" t="s">
        <v>113</v>
      </c>
      <c r="G33" t="s">
        <v>60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35">
      <c r="A34" t="s">
        <v>54</v>
      </c>
      <c r="B34">
        <v>33</v>
      </c>
      <c r="C34" t="s">
        <v>124</v>
      </c>
      <c r="D34" t="s">
        <v>125</v>
      </c>
      <c r="E34" t="s">
        <v>13</v>
      </c>
      <c r="F34" t="s">
        <v>113</v>
      </c>
      <c r="G34" t="s">
        <v>60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P34">
        <v>0</v>
      </c>
      <c r="Q34">
        <v>0</v>
      </c>
      <c r="R34">
        <v>0</v>
      </c>
      <c r="S34">
        <v>0</v>
      </c>
    </row>
    <row r="35" spans="1:19" x14ac:dyDescent="0.35">
      <c r="A35" t="s">
        <v>54</v>
      </c>
      <c r="B35">
        <v>34</v>
      </c>
      <c r="C35" t="s">
        <v>126</v>
      </c>
      <c r="D35" t="s">
        <v>127</v>
      </c>
      <c r="E35" t="s">
        <v>13</v>
      </c>
      <c r="F35" t="s">
        <v>113</v>
      </c>
      <c r="G35" t="s">
        <v>57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35">
      <c r="A36" t="s">
        <v>54</v>
      </c>
      <c r="B36">
        <v>35</v>
      </c>
      <c r="C36" t="s">
        <v>128</v>
      </c>
      <c r="D36" t="s">
        <v>129</v>
      </c>
      <c r="E36" t="s">
        <v>13</v>
      </c>
      <c r="F36" t="s">
        <v>113</v>
      </c>
      <c r="G36" t="s">
        <v>57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P36">
        <v>0</v>
      </c>
      <c r="Q36">
        <v>0</v>
      </c>
      <c r="R36">
        <v>0</v>
      </c>
      <c r="S36">
        <v>0</v>
      </c>
    </row>
    <row r="37" spans="1:19" x14ac:dyDescent="0.35">
      <c r="A37" t="s">
        <v>54</v>
      </c>
      <c r="B37">
        <v>36</v>
      </c>
      <c r="C37" t="s">
        <v>130</v>
      </c>
      <c r="D37" t="s">
        <v>131</v>
      </c>
      <c r="E37" t="s">
        <v>13</v>
      </c>
      <c r="F37" t="s">
        <v>132</v>
      </c>
      <c r="G37" t="s">
        <v>60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 x14ac:dyDescent="0.35">
      <c r="A38" t="s">
        <v>54</v>
      </c>
      <c r="B38">
        <v>37</v>
      </c>
      <c r="C38" t="s">
        <v>133</v>
      </c>
      <c r="D38" t="s">
        <v>134</v>
      </c>
      <c r="E38" t="s">
        <v>13</v>
      </c>
      <c r="F38" t="s">
        <v>132</v>
      </c>
      <c r="G38" t="s">
        <v>60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1:19" x14ac:dyDescent="0.35">
      <c r="A39" t="s">
        <v>54</v>
      </c>
      <c r="B39">
        <v>38</v>
      </c>
      <c r="C39" t="s">
        <v>135</v>
      </c>
      <c r="D39" t="s">
        <v>136</v>
      </c>
      <c r="E39" t="s">
        <v>13</v>
      </c>
      <c r="F39" t="s">
        <v>132</v>
      </c>
      <c r="G39" t="s">
        <v>60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 x14ac:dyDescent="0.35">
      <c r="A40" t="s">
        <v>54</v>
      </c>
      <c r="B40">
        <v>39</v>
      </c>
      <c r="C40" t="s">
        <v>137</v>
      </c>
      <c r="D40" t="s">
        <v>138</v>
      </c>
      <c r="E40" t="s">
        <v>13</v>
      </c>
      <c r="F40" t="s">
        <v>132</v>
      </c>
      <c r="G40" t="s">
        <v>60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35">
      <c r="A41" t="s">
        <v>54</v>
      </c>
      <c r="B41">
        <v>40</v>
      </c>
      <c r="C41" t="s">
        <v>139</v>
      </c>
      <c r="D41" t="s">
        <v>140</v>
      </c>
      <c r="E41" t="s">
        <v>13</v>
      </c>
      <c r="F41" t="s">
        <v>132</v>
      </c>
      <c r="G41" t="s">
        <v>60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P41">
        <v>0</v>
      </c>
      <c r="Q41">
        <v>0</v>
      </c>
      <c r="R41">
        <v>0</v>
      </c>
      <c r="S41">
        <v>0</v>
      </c>
    </row>
    <row r="42" spans="1:19" x14ac:dyDescent="0.35">
      <c r="A42" t="s">
        <v>54</v>
      </c>
      <c r="B42">
        <v>41</v>
      </c>
      <c r="C42" t="s">
        <v>141</v>
      </c>
      <c r="D42" t="s">
        <v>142</v>
      </c>
      <c r="E42" t="s">
        <v>13</v>
      </c>
      <c r="F42" t="s">
        <v>132</v>
      </c>
      <c r="G42" t="s">
        <v>81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1:19" x14ac:dyDescent="0.35">
      <c r="A43" t="s">
        <v>54</v>
      </c>
      <c r="B43">
        <v>42</v>
      </c>
      <c r="C43" t="s">
        <v>143</v>
      </c>
      <c r="D43" t="s">
        <v>144</v>
      </c>
      <c r="E43" t="s">
        <v>13</v>
      </c>
      <c r="F43" t="s">
        <v>132</v>
      </c>
      <c r="G43" t="s">
        <v>85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19" x14ac:dyDescent="0.35">
      <c r="A44" t="s">
        <v>54</v>
      </c>
      <c r="B44">
        <v>43</v>
      </c>
      <c r="C44" t="s">
        <v>145</v>
      </c>
      <c r="D44" t="s">
        <v>146</v>
      </c>
      <c r="E44" t="s">
        <v>13</v>
      </c>
      <c r="F44" t="s">
        <v>132</v>
      </c>
      <c r="G44" t="s">
        <v>60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 x14ac:dyDescent="0.35">
      <c r="A45" t="s">
        <v>54</v>
      </c>
      <c r="B45">
        <v>44</v>
      </c>
      <c r="C45" t="s">
        <v>147</v>
      </c>
      <c r="D45" t="s">
        <v>148</v>
      </c>
      <c r="E45" t="s">
        <v>13</v>
      </c>
      <c r="F45" t="s">
        <v>132</v>
      </c>
      <c r="G45" t="s">
        <v>60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P45">
        <v>0</v>
      </c>
      <c r="Q45">
        <v>0</v>
      </c>
      <c r="R45">
        <v>0</v>
      </c>
      <c r="S45">
        <v>0</v>
      </c>
    </row>
    <row r="46" spans="1:19" x14ac:dyDescent="0.35">
      <c r="A46" t="s">
        <v>54</v>
      </c>
      <c r="B46">
        <v>45</v>
      </c>
      <c r="C46" t="s">
        <v>149</v>
      </c>
      <c r="D46" t="s">
        <v>150</v>
      </c>
      <c r="E46" t="s">
        <v>13</v>
      </c>
      <c r="F46" t="s">
        <v>151</v>
      </c>
      <c r="G46" t="s">
        <v>81</v>
      </c>
      <c r="H46">
        <v>0</v>
      </c>
      <c r="I46">
        <v>0</v>
      </c>
      <c r="J46">
        <v>0</v>
      </c>
      <c r="K46">
        <v>86.000004000000004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 x14ac:dyDescent="0.35">
      <c r="A47" t="s">
        <v>54</v>
      </c>
      <c r="B47">
        <v>46</v>
      </c>
      <c r="C47" t="s">
        <v>152</v>
      </c>
      <c r="D47" t="s">
        <v>153</v>
      </c>
      <c r="E47" t="s">
        <v>13</v>
      </c>
      <c r="F47" t="s">
        <v>151</v>
      </c>
      <c r="G47" t="s">
        <v>154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 x14ac:dyDescent="0.35">
      <c r="A48" t="s">
        <v>54</v>
      </c>
      <c r="B48">
        <v>47</v>
      </c>
      <c r="C48" t="s">
        <v>155</v>
      </c>
      <c r="D48" t="s">
        <v>156</v>
      </c>
      <c r="E48" t="s">
        <v>13</v>
      </c>
      <c r="F48" t="s">
        <v>151</v>
      </c>
      <c r="G48" t="s">
        <v>85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35">
      <c r="A49" t="s">
        <v>54</v>
      </c>
      <c r="B49">
        <v>48</v>
      </c>
      <c r="C49" t="s">
        <v>157</v>
      </c>
      <c r="D49" t="s">
        <v>158</v>
      </c>
      <c r="E49" t="s">
        <v>13</v>
      </c>
      <c r="F49" t="s">
        <v>151</v>
      </c>
      <c r="G49" t="s">
        <v>159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35">
      <c r="A50" t="s">
        <v>54</v>
      </c>
      <c r="B50">
        <v>49</v>
      </c>
      <c r="C50" t="s">
        <v>160</v>
      </c>
      <c r="D50" t="s">
        <v>161</v>
      </c>
      <c r="E50" t="s">
        <v>13</v>
      </c>
      <c r="F50" t="s">
        <v>151</v>
      </c>
      <c r="G50" t="s">
        <v>57</v>
      </c>
      <c r="H50">
        <v>0</v>
      </c>
      <c r="I50">
        <v>0</v>
      </c>
      <c r="J50">
        <v>0</v>
      </c>
      <c r="K50">
        <v>15000.0000119999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1:19" x14ac:dyDescent="0.35">
      <c r="A51" t="s">
        <v>54</v>
      </c>
      <c r="B51">
        <v>50</v>
      </c>
      <c r="C51" t="s">
        <v>162</v>
      </c>
      <c r="D51" t="s">
        <v>163</v>
      </c>
      <c r="E51" t="s">
        <v>13</v>
      </c>
      <c r="F51" t="s">
        <v>151</v>
      </c>
      <c r="G51" t="s">
        <v>57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P51">
        <v>0</v>
      </c>
      <c r="Q51">
        <v>0</v>
      </c>
      <c r="R51">
        <v>0</v>
      </c>
      <c r="S51">
        <v>0</v>
      </c>
    </row>
    <row r="52" spans="1:19" x14ac:dyDescent="0.35">
      <c r="A52" t="s">
        <v>54</v>
      </c>
      <c r="B52">
        <v>51</v>
      </c>
      <c r="C52" t="s">
        <v>164</v>
      </c>
      <c r="D52" t="s">
        <v>165</v>
      </c>
      <c r="E52" t="s">
        <v>13</v>
      </c>
      <c r="F52" t="s">
        <v>165</v>
      </c>
      <c r="G52" t="s">
        <v>57</v>
      </c>
      <c r="H52">
        <v>0</v>
      </c>
      <c r="I52">
        <v>0</v>
      </c>
      <c r="J52">
        <v>0</v>
      </c>
      <c r="K52">
        <v>4500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x14ac:dyDescent="0.35">
      <c r="A53" t="s">
        <v>54</v>
      </c>
      <c r="B53">
        <v>52</v>
      </c>
      <c r="C53" t="s">
        <v>166</v>
      </c>
      <c r="D53" t="s">
        <v>167</v>
      </c>
      <c r="E53" t="s">
        <v>13</v>
      </c>
      <c r="F53" t="s">
        <v>168</v>
      </c>
      <c r="G53" t="s">
        <v>57</v>
      </c>
      <c r="H53">
        <v>0</v>
      </c>
      <c r="I53">
        <v>0</v>
      </c>
      <c r="J53">
        <v>0</v>
      </c>
      <c r="K53">
        <v>1850.000004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35">
      <c r="A54" t="s">
        <v>54</v>
      </c>
      <c r="B54">
        <v>53</v>
      </c>
      <c r="C54" t="s">
        <v>169</v>
      </c>
      <c r="D54" t="s">
        <v>11</v>
      </c>
      <c r="E54" t="s">
        <v>13</v>
      </c>
      <c r="F54" t="s">
        <v>170</v>
      </c>
      <c r="G54" t="s">
        <v>60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P54">
        <v>0</v>
      </c>
      <c r="Q54">
        <v>0</v>
      </c>
      <c r="R54">
        <v>0</v>
      </c>
      <c r="S54">
        <v>0</v>
      </c>
    </row>
    <row r="55" spans="1:19" x14ac:dyDescent="0.35">
      <c r="A55" t="s">
        <v>54</v>
      </c>
      <c r="B55">
        <v>54</v>
      </c>
      <c r="C55" t="s">
        <v>171</v>
      </c>
      <c r="D55" t="s">
        <v>172</v>
      </c>
      <c r="E55" t="s">
        <v>173</v>
      </c>
      <c r="F55" t="s">
        <v>174</v>
      </c>
      <c r="G55" t="s">
        <v>81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35">
      <c r="A56" t="s">
        <v>54</v>
      </c>
      <c r="B56">
        <v>55</v>
      </c>
      <c r="C56" t="s">
        <v>175</v>
      </c>
      <c r="D56" t="s">
        <v>176</v>
      </c>
      <c r="E56" t="s">
        <v>173</v>
      </c>
      <c r="F56" t="s">
        <v>174</v>
      </c>
      <c r="G56" t="s">
        <v>85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35">
      <c r="A57" t="s">
        <v>54</v>
      </c>
      <c r="B57">
        <v>56</v>
      </c>
      <c r="C57" t="s">
        <v>177</v>
      </c>
      <c r="D57" t="s">
        <v>178</v>
      </c>
      <c r="E57" t="s">
        <v>173</v>
      </c>
      <c r="F57" t="s">
        <v>179</v>
      </c>
      <c r="G57" t="s">
        <v>81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 x14ac:dyDescent="0.35">
      <c r="A58" t="s">
        <v>54</v>
      </c>
      <c r="B58">
        <v>57</v>
      </c>
      <c r="C58" t="s">
        <v>180</v>
      </c>
      <c r="D58" t="s">
        <v>181</v>
      </c>
      <c r="E58" t="s">
        <v>173</v>
      </c>
      <c r="F58" t="s">
        <v>179</v>
      </c>
      <c r="G58" t="s">
        <v>81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 x14ac:dyDescent="0.35">
      <c r="A59" t="s">
        <v>54</v>
      </c>
      <c r="B59">
        <v>58</v>
      </c>
      <c r="C59" t="s">
        <v>182</v>
      </c>
      <c r="D59" t="s">
        <v>183</v>
      </c>
      <c r="E59" t="s">
        <v>173</v>
      </c>
      <c r="F59" t="s">
        <v>184</v>
      </c>
      <c r="G59" t="s">
        <v>81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 x14ac:dyDescent="0.35">
      <c r="A60" t="s">
        <v>54</v>
      </c>
      <c r="B60">
        <v>59</v>
      </c>
      <c r="C60" t="s">
        <v>185</v>
      </c>
      <c r="D60" t="s">
        <v>186</v>
      </c>
      <c r="E60" t="s">
        <v>173</v>
      </c>
      <c r="F60" t="s">
        <v>184</v>
      </c>
      <c r="G60" t="s">
        <v>60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 x14ac:dyDescent="0.35">
      <c r="A61" t="s">
        <v>54</v>
      </c>
      <c r="B61">
        <v>60</v>
      </c>
      <c r="C61" t="s">
        <v>187</v>
      </c>
      <c r="D61" t="s">
        <v>188</v>
      </c>
      <c r="E61" t="s">
        <v>173</v>
      </c>
      <c r="F61" t="s">
        <v>184</v>
      </c>
      <c r="G61" t="s">
        <v>60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35">
      <c r="A62" t="s">
        <v>54</v>
      </c>
      <c r="B62">
        <v>61</v>
      </c>
      <c r="C62" t="s">
        <v>189</v>
      </c>
      <c r="D62" t="s">
        <v>190</v>
      </c>
      <c r="E62" t="s">
        <v>173</v>
      </c>
      <c r="F62" t="s">
        <v>184</v>
      </c>
      <c r="G62" t="s">
        <v>60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19" x14ac:dyDescent="0.35">
      <c r="A63" t="s">
        <v>54</v>
      </c>
      <c r="B63">
        <v>62</v>
      </c>
      <c r="C63" t="s">
        <v>191</v>
      </c>
      <c r="D63" t="s">
        <v>192</v>
      </c>
      <c r="E63" t="s">
        <v>173</v>
      </c>
      <c r="F63" t="s">
        <v>184</v>
      </c>
      <c r="G63" t="s">
        <v>60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35">
      <c r="A64" t="s">
        <v>54</v>
      </c>
      <c r="B64">
        <v>63</v>
      </c>
      <c r="C64" t="s">
        <v>193</v>
      </c>
      <c r="D64" t="s">
        <v>194</v>
      </c>
      <c r="E64" t="s">
        <v>173</v>
      </c>
      <c r="F64" t="s">
        <v>184</v>
      </c>
      <c r="G64" t="s">
        <v>57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P64">
        <v>0</v>
      </c>
      <c r="Q64">
        <v>0</v>
      </c>
      <c r="R64">
        <v>0</v>
      </c>
      <c r="S64">
        <v>0</v>
      </c>
    </row>
    <row r="65" spans="1:19" x14ac:dyDescent="0.35">
      <c r="A65" t="s">
        <v>54</v>
      </c>
      <c r="B65">
        <v>64</v>
      </c>
      <c r="C65" t="s">
        <v>195</v>
      </c>
      <c r="D65" t="s">
        <v>196</v>
      </c>
      <c r="E65" t="s">
        <v>173</v>
      </c>
      <c r="F65" t="s">
        <v>197</v>
      </c>
      <c r="G65" t="s">
        <v>60</v>
      </c>
      <c r="H65">
        <v>0</v>
      </c>
      <c r="I65">
        <v>0</v>
      </c>
      <c r="J65">
        <v>0</v>
      </c>
      <c r="K65">
        <v>1244.000016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35">
      <c r="A66" t="s">
        <v>54</v>
      </c>
      <c r="B66">
        <v>65</v>
      </c>
      <c r="C66" t="s">
        <v>198</v>
      </c>
      <c r="D66" t="s">
        <v>199</v>
      </c>
      <c r="E66" t="s">
        <v>173</v>
      </c>
      <c r="F66" t="s">
        <v>197</v>
      </c>
      <c r="G66" t="s">
        <v>60</v>
      </c>
      <c r="H66">
        <v>0</v>
      </c>
      <c r="I66">
        <v>0</v>
      </c>
      <c r="J66">
        <v>0</v>
      </c>
      <c r="K66">
        <v>288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35">
      <c r="A67" t="s">
        <v>54</v>
      </c>
      <c r="B67">
        <v>66</v>
      </c>
      <c r="C67" t="s">
        <v>200</v>
      </c>
      <c r="D67" t="s">
        <v>201</v>
      </c>
      <c r="E67" t="s">
        <v>173</v>
      </c>
      <c r="F67" t="s">
        <v>197</v>
      </c>
      <c r="G67" t="s">
        <v>60</v>
      </c>
      <c r="H67">
        <v>0</v>
      </c>
      <c r="I67">
        <v>0</v>
      </c>
      <c r="J67">
        <v>0</v>
      </c>
      <c r="K67">
        <v>117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35">
      <c r="A68" t="s">
        <v>54</v>
      </c>
      <c r="B68">
        <v>67</v>
      </c>
      <c r="C68" t="s">
        <v>202</v>
      </c>
      <c r="D68" t="s">
        <v>203</v>
      </c>
      <c r="E68" t="s">
        <v>173</v>
      </c>
      <c r="F68" t="s">
        <v>197</v>
      </c>
      <c r="G68" t="s">
        <v>60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35">
      <c r="A69" t="s">
        <v>54</v>
      </c>
      <c r="B69">
        <v>68</v>
      </c>
      <c r="C69" t="s">
        <v>204</v>
      </c>
      <c r="D69" t="s">
        <v>205</v>
      </c>
      <c r="E69" t="s">
        <v>173</v>
      </c>
      <c r="F69" t="s">
        <v>197</v>
      </c>
      <c r="G69" t="s">
        <v>60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P69">
        <v>0</v>
      </c>
      <c r="Q69">
        <v>0</v>
      </c>
      <c r="R69">
        <v>0</v>
      </c>
      <c r="S69">
        <v>0</v>
      </c>
    </row>
    <row r="70" spans="1:19" x14ac:dyDescent="0.35">
      <c r="A70" t="s">
        <v>54</v>
      </c>
      <c r="B70">
        <v>69</v>
      </c>
      <c r="C70" t="s">
        <v>206</v>
      </c>
      <c r="D70" t="s">
        <v>207</v>
      </c>
      <c r="E70" t="s">
        <v>173</v>
      </c>
      <c r="F70" t="s">
        <v>207</v>
      </c>
      <c r="G70" t="s">
        <v>60</v>
      </c>
      <c r="H70">
        <v>0</v>
      </c>
      <c r="I70">
        <v>0</v>
      </c>
      <c r="J70">
        <v>0</v>
      </c>
      <c r="K70">
        <v>3465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35">
      <c r="A71" t="s">
        <v>54</v>
      </c>
      <c r="B71">
        <v>70</v>
      </c>
      <c r="C71" t="s">
        <v>208</v>
      </c>
      <c r="D71" t="s">
        <v>209</v>
      </c>
      <c r="E71" t="s">
        <v>173</v>
      </c>
      <c r="F71" t="s">
        <v>209</v>
      </c>
      <c r="G71" t="s">
        <v>57</v>
      </c>
      <c r="H71">
        <v>0</v>
      </c>
      <c r="I71">
        <v>0</v>
      </c>
      <c r="J71">
        <v>0</v>
      </c>
      <c r="K71">
        <v>1524.999996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35">
      <c r="A72" t="s">
        <v>54</v>
      </c>
      <c r="B72">
        <v>71</v>
      </c>
      <c r="C72" t="s">
        <v>210</v>
      </c>
      <c r="D72" t="s">
        <v>211</v>
      </c>
      <c r="E72" t="s">
        <v>173</v>
      </c>
      <c r="F72" t="s">
        <v>211</v>
      </c>
      <c r="G72" t="s">
        <v>57</v>
      </c>
      <c r="H72">
        <v>0</v>
      </c>
      <c r="I72">
        <v>0</v>
      </c>
      <c r="J72">
        <v>0</v>
      </c>
      <c r="K72">
        <v>3499.999992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35">
      <c r="A73" t="s">
        <v>54</v>
      </c>
      <c r="B73">
        <v>72</v>
      </c>
      <c r="C73" t="s">
        <v>212</v>
      </c>
      <c r="D73" t="s">
        <v>213</v>
      </c>
      <c r="E73" t="s">
        <v>173</v>
      </c>
      <c r="F73" t="s">
        <v>214</v>
      </c>
      <c r="G73" t="s">
        <v>57</v>
      </c>
      <c r="H73">
        <v>0</v>
      </c>
      <c r="I73">
        <v>0</v>
      </c>
      <c r="J73">
        <v>0</v>
      </c>
      <c r="K73">
        <v>5000.0000040000004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35">
      <c r="A74" t="s">
        <v>54</v>
      </c>
      <c r="B74">
        <v>73</v>
      </c>
      <c r="C74" t="s">
        <v>215</v>
      </c>
      <c r="D74" t="s">
        <v>216</v>
      </c>
      <c r="E74" t="s">
        <v>173</v>
      </c>
      <c r="F74" t="s">
        <v>170</v>
      </c>
      <c r="G74" t="s">
        <v>57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P74">
        <v>0</v>
      </c>
      <c r="Q74">
        <v>0</v>
      </c>
      <c r="R74">
        <v>0</v>
      </c>
      <c r="S74">
        <v>0</v>
      </c>
    </row>
    <row r="75" spans="1:19" x14ac:dyDescent="0.35">
      <c r="A75" t="s">
        <v>54</v>
      </c>
      <c r="B75">
        <v>74</v>
      </c>
      <c r="C75" t="s">
        <v>217</v>
      </c>
      <c r="D75" t="s">
        <v>218</v>
      </c>
      <c r="E75" t="s">
        <v>219</v>
      </c>
      <c r="F75" t="s">
        <v>9</v>
      </c>
      <c r="G75" t="s">
        <v>60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 x14ac:dyDescent="0.35">
      <c r="A76" t="s">
        <v>54</v>
      </c>
      <c r="B76">
        <v>75</v>
      </c>
      <c r="C76" t="s">
        <v>220</v>
      </c>
      <c r="D76" t="s">
        <v>221</v>
      </c>
      <c r="E76" t="s">
        <v>219</v>
      </c>
      <c r="F76" t="s">
        <v>9</v>
      </c>
      <c r="G76" t="s">
        <v>60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 x14ac:dyDescent="0.35">
      <c r="A77" t="s">
        <v>54</v>
      </c>
      <c r="B77">
        <v>76</v>
      </c>
      <c r="C77" t="s">
        <v>222</v>
      </c>
      <c r="D77" t="s">
        <v>223</v>
      </c>
      <c r="E77" t="s">
        <v>219</v>
      </c>
      <c r="F77" t="s">
        <v>9</v>
      </c>
      <c r="G77" t="s">
        <v>60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35">
      <c r="A78" t="s">
        <v>54</v>
      </c>
      <c r="B78">
        <v>77</v>
      </c>
      <c r="C78" t="s">
        <v>224</v>
      </c>
      <c r="D78" t="s">
        <v>225</v>
      </c>
      <c r="E78" t="s">
        <v>219</v>
      </c>
      <c r="F78" t="s">
        <v>9</v>
      </c>
      <c r="G78" t="s">
        <v>60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35">
      <c r="A79" t="s">
        <v>54</v>
      </c>
      <c r="B79">
        <v>78</v>
      </c>
      <c r="C79" t="s">
        <v>226</v>
      </c>
      <c r="D79" t="s">
        <v>227</v>
      </c>
      <c r="E79" t="s">
        <v>219</v>
      </c>
      <c r="F79" t="s">
        <v>9</v>
      </c>
      <c r="G79" t="s">
        <v>60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P79">
        <v>0</v>
      </c>
      <c r="Q79">
        <v>0</v>
      </c>
      <c r="R79">
        <v>0</v>
      </c>
      <c r="S79">
        <v>0</v>
      </c>
    </row>
    <row r="80" spans="1:19" x14ac:dyDescent="0.35">
      <c r="A80" t="s">
        <v>54</v>
      </c>
      <c r="B80">
        <v>79</v>
      </c>
      <c r="C80" t="s">
        <v>228</v>
      </c>
      <c r="D80" t="s">
        <v>229</v>
      </c>
      <c r="E80" t="s">
        <v>219</v>
      </c>
      <c r="F80" t="s">
        <v>9</v>
      </c>
      <c r="G80" t="s">
        <v>57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35">
      <c r="A81" t="s">
        <v>54</v>
      </c>
      <c r="B81">
        <v>80</v>
      </c>
      <c r="C81" t="s">
        <v>230</v>
      </c>
      <c r="D81" t="s">
        <v>231</v>
      </c>
      <c r="E81" t="s">
        <v>219</v>
      </c>
      <c r="F81" t="s">
        <v>9</v>
      </c>
      <c r="G81" t="s">
        <v>57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P81">
        <v>0</v>
      </c>
      <c r="Q81">
        <v>0</v>
      </c>
      <c r="R81">
        <v>0</v>
      </c>
      <c r="S81">
        <v>0</v>
      </c>
    </row>
    <row r="82" spans="1:19" x14ac:dyDescent="0.35">
      <c r="A82" t="s">
        <v>54</v>
      </c>
      <c r="B82">
        <v>81</v>
      </c>
      <c r="C82" t="s">
        <v>232</v>
      </c>
      <c r="D82" t="s">
        <v>233</v>
      </c>
      <c r="E82" t="s">
        <v>219</v>
      </c>
      <c r="F82" t="s">
        <v>234</v>
      </c>
      <c r="G82" t="s">
        <v>60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35">
      <c r="A83" t="s">
        <v>54</v>
      </c>
      <c r="B83">
        <v>82</v>
      </c>
      <c r="C83" t="s">
        <v>235</v>
      </c>
      <c r="D83" t="s">
        <v>236</v>
      </c>
      <c r="E83" t="s">
        <v>219</v>
      </c>
      <c r="F83" t="s">
        <v>234</v>
      </c>
      <c r="G83" t="s">
        <v>60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35">
      <c r="A84" t="s">
        <v>54</v>
      </c>
      <c r="B84">
        <v>83</v>
      </c>
      <c r="C84" t="s">
        <v>237</v>
      </c>
      <c r="D84" t="s">
        <v>238</v>
      </c>
      <c r="E84" t="s">
        <v>219</v>
      </c>
      <c r="F84" t="s">
        <v>234</v>
      </c>
      <c r="G84" t="s">
        <v>60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x14ac:dyDescent="0.35">
      <c r="A85" t="s">
        <v>54</v>
      </c>
      <c r="B85">
        <v>84</v>
      </c>
      <c r="C85" t="s">
        <v>239</v>
      </c>
      <c r="D85" t="s">
        <v>240</v>
      </c>
      <c r="E85" t="s">
        <v>219</v>
      </c>
      <c r="F85" t="s">
        <v>234</v>
      </c>
      <c r="G85" t="s">
        <v>60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1:19" x14ac:dyDescent="0.35">
      <c r="A86" t="s">
        <v>54</v>
      </c>
      <c r="B86">
        <v>85</v>
      </c>
      <c r="C86" t="s">
        <v>241</v>
      </c>
      <c r="D86" t="s">
        <v>242</v>
      </c>
      <c r="E86" t="s">
        <v>219</v>
      </c>
      <c r="F86" t="s">
        <v>234</v>
      </c>
      <c r="G86" t="s">
        <v>60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P86">
        <v>0</v>
      </c>
      <c r="Q86">
        <v>0</v>
      </c>
      <c r="R86">
        <v>0</v>
      </c>
      <c r="S86">
        <v>0</v>
      </c>
    </row>
    <row r="87" spans="1:19" x14ac:dyDescent="0.35">
      <c r="A87" t="s">
        <v>54</v>
      </c>
      <c r="B87">
        <v>86</v>
      </c>
      <c r="C87" t="s">
        <v>243</v>
      </c>
      <c r="D87" t="s">
        <v>244</v>
      </c>
      <c r="E87" t="s">
        <v>219</v>
      </c>
      <c r="F87" t="s">
        <v>234</v>
      </c>
      <c r="G87" t="s">
        <v>60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1:19" x14ac:dyDescent="0.35">
      <c r="A88" t="s">
        <v>54</v>
      </c>
      <c r="B88">
        <v>87</v>
      </c>
      <c r="C88" t="s">
        <v>245</v>
      </c>
      <c r="D88" t="s">
        <v>246</v>
      </c>
      <c r="E88" t="s">
        <v>219</v>
      </c>
      <c r="F88" t="s">
        <v>234</v>
      </c>
      <c r="G88" t="s">
        <v>60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1:19" x14ac:dyDescent="0.35">
      <c r="A89" t="s">
        <v>54</v>
      </c>
      <c r="B89">
        <v>88</v>
      </c>
      <c r="C89" t="s">
        <v>247</v>
      </c>
      <c r="D89" t="s">
        <v>248</v>
      </c>
      <c r="E89" t="s">
        <v>219</v>
      </c>
      <c r="F89" t="s">
        <v>234</v>
      </c>
      <c r="G89" t="s">
        <v>60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1:19" x14ac:dyDescent="0.35">
      <c r="A90" t="s">
        <v>54</v>
      </c>
      <c r="B90">
        <v>89</v>
      </c>
      <c r="C90" t="s">
        <v>249</v>
      </c>
      <c r="D90" t="s">
        <v>250</v>
      </c>
      <c r="E90" t="s">
        <v>219</v>
      </c>
      <c r="F90" t="s">
        <v>234</v>
      </c>
      <c r="G90" t="s">
        <v>60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1:19" x14ac:dyDescent="0.35">
      <c r="A91" t="s">
        <v>54</v>
      </c>
      <c r="B91">
        <v>90</v>
      </c>
      <c r="C91" t="s">
        <v>251</v>
      </c>
      <c r="D91" t="s">
        <v>252</v>
      </c>
      <c r="E91" t="s">
        <v>219</v>
      </c>
      <c r="F91" t="s">
        <v>234</v>
      </c>
      <c r="G91" t="s">
        <v>60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P91">
        <v>0</v>
      </c>
      <c r="Q91">
        <v>0</v>
      </c>
      <c r="R91">
        <v>0</v>
      </c>
      <c r="S91">
        <v>0</v>
      </c>
    </row>
    <row r="92" spans="1:19" x14ac:dyDescent="0.35">
      <c r="A92" t="s">
        <v>54</v>
      </c>
      <c r="B92">
        <v>91</v>
      </c>
      <c r="C92" t="s">
        <v>253</v>
      </c>
      <c r="D92" t="s">
        <v>254</v>
      </c>
      <c r="E92" t="s">
        <v>219</v>
      </c>
      <c r="F92" t="s">
        <v>234</v>
      </c>
      <c r="G92" t="s">
        <v>57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1:19" x14ac:dyDescent="0.35">
      <c r="A93" t="s">
        <v>54</v>
      </c>
      <c r="B93">
        <v>92</v>
      </c>
      <c r="C93" t="s">
        <v>255</v>
      </c>
      <c r="D93" t="s">
        <v>256</v>
      </c>
      <c r="E93" t="s">
        <v>219</v>
      </c>
      <c r="F93" t="s">
        <v>234</v>
      </c>
      <c r="G93" t="s">
        <v>60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P93">
        <v>0</v>
      </c>
      <c r="Q93">
        <v>0</v>
      </c>
      <c r="R93">
        <v>0</v>
      </c>
      <c r="S93">
        <v>0</v>
      </c>
    </row>
    <row r="94" spans="1:19" x14ac:dyDescent="0.35">
      <c r="A94" t="s">
        <v>54</v>
      </c>
      <c r="B94">
        <v>93</v>
      </c>
      <c r="C94" t="s">
        <v>257</v>
      </c>
      <c r="D94" t="s">
        <v>258</v>
      </c>
      <c r="E94" t="s">
        <v>219</v>
      </c>
      <c r="F94" t="s">
        <v>259</v>
      </c>
      <c r="G94" t="s">
        <v>60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1:19" x14ac:dyDescent="0.35">
      <c r="A95" t="s">
        <v>54</v>
      </c>
      <c r="B95">
        <v>94</v>
      </c>
      <c r="C95" t="s">
        <v>260</v>
      </c>
      <c r="D95" t="s">
        <v>261</v>
      </c>
      <c r="E95" t="s">
        <v>219</v>
      </c>
      <c r="F95" t="s">
        <v>259</v>
      </c>
      <c r="G95" t="s">
        <v>60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1:19" x14ac:dyDescent="0.35">
      <c r="A96" t="s">
        <v>54</v>
      </c>
      <c r="B96">
        <v>95</v>
      </c>
      <c r="C96" t="s">
        <v>262</v>
      </c>
      <c r="D96" t="s">
        <v>263</v>
      </c>
      <c r="E96" t="s">
        <v>219</v>
      </c>
      <c r="F96" t="s">
        <v>259</v>
      </c>
      <c r="G96" t="s">
        <v>60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 x14ac:dyDescent="0.35">
      <c r="A97" t="s">
        <v>54</v>
      </c>
      <c r="B97">
        <v>96</v>
      </c>
      <c r="C97" t="s">
        <v>264</v>
      </c>
      <c r="D97" t="s">
        <v>265</v>
      </c>
      <c r="E97" t="s">
        <v>219</v>
      </c>
      <c r="F97" t="s">
        <v>259</v>
      </c>
      <c r="G97" t="s">
        <v>60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1:19" x14ac:dyDescent="0.35">
      <c r="A98" t="s">
        <v>54</v>
      </c>
      <c r="B98">
        <v>97</v>
      </c>
      <c r="C98" t="s">
        <v>266</v>
      </c>
      <c r="D98" t="s">
        <v>267</v>
      </c>
      <c r="E98" t="s">
        <v>219</v>
      </c>
      <c r="F98" t="s">
        <v>259</v>
      </c>
      <c r="G98" t="s">
        <v>60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P98">
        <v>0</v>
      </c>
      <c r="Q98">
        <v>0</v>
      </c>
      <c r="R98">
        <v>0</v>
      </c>
      <c r="S98">
        <v>0</v>
      </c>
    </row>
    <row r="99" spans="1:19" x14ac:dyDescent="0.35">
      <c r="A99" t="s">
        <v>54</v>
      </c>
      <c r="B99">
        <v>98</v>
      </c>
      <c r="C99" t="s">
        <v>268</v>
      </c>
      <c r="D99" t="s">
        <v>269</v>
      </c>
      <c r="E99" t="s">
        <v>219</v>
      </c>
      <c r="F99" t="s">
        <v>259</v>
      </c>
      <c r="G99" t="s">
        <v>270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 x14ac:dyDescent="0.35">
      <c r="A100" t="s">
        <v>54</v>
      </c>
      <c r="B100">
        <v>99</v>
      </c>
      <c r="C100" t="s">
        <v>271</v>
      </c>
      <c r="D100" t="s">
        <v>272</v>
      </c>
      <c r="E100" t="s">
        <v>219</v>
      </c>
      <c r="F100" t="s">
        <v>259</v>
      </c>
      <c r="G100" t="s">
        <v>60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1:19" x14ac:dyDescent="0.35">
      <c r="A101" t="s">
        <v>54</v>
      </c>
      <c r="B101">
        <v>100</v>
      </c>
      <c r="C101" t="s">
        <v>273</v>
      </c>
      <c r="D101" t="s">
        <v>274</v>
      </c>
      <c r="E101" t="s">
        <v>219</v>
      </c>
      <c r="F101" t="s">
        <v>259</v>
      </c>
      <c r="G101" t="s">
        <v>60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1:19" x14ac:dyDescent="0.35">
      <c r="A102" t="s">
        <v>54</v>
      </c>
      <c r="B102">
        <v>101</v>
      </c>
      <c r="C102" t="s">
        <v>275</v>
      </c>
      <c r="D102" t="s">
        <v>276</v>
      </c>
      <c r="E102" t="s">
        <v>219</v>
      </c>
      <c r="F102" t="s">
        <v>259</v>
      </c>
      <c r="G102" t="s">
        <v>60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1:19" x14ac:dyDescent="0.35">
      <c r="A103" t="s">
        <v>54</v>
      </c>
      <c r="B103">
        <v>102</v>
      </c>
      <c r="C103" t="s">
        <v>277</v>
      </c>
      <c r="D103" t="s">
        <v>278</v>
      </c>
      <c r="E103" t="s">
        <v>219</v>
      </c>
      <c r="F103" t="s">
        <v>259</v>
      </c>
      <c r="G103" t="s">
        <v>60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1:19" x14ac:dyDescent="0.35">
      <c r="A104" t="s">
        <v>54</v>
      </c>
      <c r="B104">
        <v>103</v>
      </c>
      <c r="C104" t="s">
        <v>279</v>
      </c>
      <c r="D104" t="s">
        <v>280</v>
      </c>
      <c r="E104" t="s">
        <v>219</v>
      </c>
      <c r="F104" t="s">
        <v>259</v>
      </c>
      <c r="G104" t="s">
        <v>60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1:19" x14ac:dyDescent="0.35">
      <c r="A105" t="s">
        <v>54</v>
      </c>
      <c r="B105">
        <v>104</v>
      </c>
      <c r="C105" t="s">
        <v>281</v>
      </c>
      <c r="D105" t="s">
        <v>282</v>
      </c>
      <c r="E105" t="s">
        <v>219</v>
      </c>
      <c r="F105" t="s">
        <v>259</v>
      </c>
      <c r="G105" t="s">
        <v>60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1:19" x14ac:dyDescent="0.35">
      <c r="A106" t="s">
        <v>54</v>
      </c>
      <c r="B106">
        <v>105</v>
      </c>
      <c r="C106" t="s">
        <v>283</v>
      </c>
      <c r="D106" t="s">
        <v>284</v>
      </c>
      <c r="E106" t="s">
        <v>219</v>
      </c>
      <c r="F106" t="s">
        <v>259</v>
      </c>
      <c r="G106" t="s">
        <v>60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P106">
        <v>0</v>
      </c>
      <c r="Q106">
        <v>0</v>
      </c>
      <c r="R106">
        <v>0</v>
      </c>
      <c r="S106">
        <v>0</v>
      </c>
    </row>
    <row r="107" spans="1:19" x14ac:dyDescent="0.35">
      <c r="A107" t="s">
        <v>54</v>
      </c>
      <c r="B107">
        <v>106</v>
      </c>
      <c r="C107" t="s">
        <v>285</v>
      </c>
      <c r="D107" t="s">
        <v>286</v>
      </c>
      <c r="E107" t="s">
        <v>219</v>
      </c>
      <c r="F107" t="s">
        <v>259</v>
      </c>
      <c r="G107" t="s">
        <v>60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1:19" x14ac:dyDescent="0.35">
      <c r="A108" t="s">
        <v>54</v>
      </c>
      <c r="B108">
        <v>107</v>
      </c>
      <c r="C108" t="s">
        <v>287</v>
      </c>
      <c r="D108" t="s">
        <v>288</v>
      </c>
      <c r="E108" t="s">
        <v>219</v>
      </c>
      <c r="F108" t="s">
        <v>259</v>
      </c>
      <c r="G108" t="s">
        <v>60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1:19" x14ac:dyDescent="0.35">
      <c r="A109" t="s">
        <v>54</v>
      </c>
      <c r="B109">
        <v>108</v>
      </c>
      <c r="C109" t="s">
        <v>289</v>
      </c>
      <c r="D109" t="s">
        <v>290</v>
      </c>
      <c r="E109" t="s">
        <v>219</v>
      </c>
      <c r="F109" t="s">
        <v>259</v>
      </c>
      <c r="G109" t="s">
        <v>60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1:19" x14ac:dyDescent="0.35">
      <c r="A110" t="s">
        <v>54</v>
      </c>
      <c r="B110">
        <v>109</v>
      </c>
      <c r="C110" t="s">
        <v>291</v>
      </c>
      <c r="D110" t="s">
        <v>292</v>
      </c>
      <c r="E110" t="s">
        <v>219</v>
      </c>
      <c r="F110" t="s">
        <v>259</v>
      </c>
      <c r="G110" t="s">
        <v>60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1:19" x14ac:dyDescent="0.35">
      <c r="A111" t="s">
        <v>54</v>
      </c>
      <c r="B111">
        <v>110</v>
      </c>
      <c r="C111" t="s">
        <v>293</v>
      </c>
      <c r="D111" t="s">
        <v>294</v>
      </c>
      <c r="E111" t="s">
        <v>219</v>
      </c>
      <c r="F111" t="s">
        <v>259</v>
      </c>
      <c r="G111" t="s">
        <v>60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P111">
        <v>0</v>
      </c>
      <c r="Q111">
        <v>0</v>
      </c>
      <c r="R111">
        <v>0</v>
      </c>
      <c r="S111">
        <v>0</v>
      </c>
    </row>
    <row r="112" spans="1:19" x14ac:dyDescent="0.35">
      <c r="A112" t="s">
        <v>54</v>
      </c>
      <c r="B112">
        <v>111</v>
      </c>
      <c r="C112" t="s">
        <v>295</v>
      </c>
      <c r="D112" t="s">
        <v>296</v>
      </c>
      <c r="E112" t="s">
        <v>219</v>
      </c>
      <c r="F112" t="s">
        <v>259</v>
      </c>
      <c r="G112" t="s">
        <v>57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1:19" x14ac:dyDescent="0.35">
      <c r="A113" t="s">
        <v>54</v>
      </c>
      <c r="B113">
        <v>112</v>
      </c>
      <c r="C113" t="s">
        <v>297</v>
      </c>
      <c r="D113" t="s">
        <v>298</v>
      </c>
      <c r="E113" t="s">
        <v>219</v>
      </c>
      <c r="F113" t="s">
        <v>299</v>
      </c>
      <c r="G113" t="s">
        <v>60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1:19" x14ac:dyDescent="0.35">
      <c r="A114" t="s">
        <v>54</v>
      </c>
      <c r="B114">
        <v>113</v>
      </c>
      <c r="C114" t="s">
        <v>300</v>
      </c>
      <c r="D114" t="s">
        <v>301</v>
      </c>
      <c r="E114" t="s">
        <v>219</v>
      </c>
      <c r="F114" t="s">
        <v>299</v>
      </c>
      <c r="G114" t="s">
        <v>60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1:19" x14ac:dyDescent="0.35">
      <c r="A115" t="s">
        <v>54</v>
      </c>
      <c r="B115">
        <v>114</v>
      </c>
      <c r="C115" t="s">
        <v>302</v>
      </c>
      <c r="D115" t="s">
        <v>303</v>
      </c>
      <c r="E115" t="s">
        <v>219</v>
      </c>
      <c r="F115" t="s">
        <v>299</v>
      </c>
      <c r="G115" t="s">
        <v>60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1:19" x14ac:dyDescent="0.35">
      <c r="A116" t="s">
        <v>54</v>
      </c>
      <c r="B116">
        <v>115</v>
      </c>
      <c r="C116" t="s">
        <v>304</v>
      </c>
      <c r="D116" t="s">
        <v>305</v>
      </c>
      <c r="E116" t="s">
        <v>219</v>
      </c>
      <c r="F116" t="s">
        <v>299</v>
      </c>
      <c r="G116" t="s">
        <v>60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1:19" x14ac:dyDescent="0.35">
      <c r="A117" t="s">
        <v>54</v>
      </c>
      <c r="B117">
        <v>116</v>
      </c>
      <c r="C117" t="s">
        <v>306</v>
      </c>
      <c r="D117" t="s">
        <v>307</v>
      </c>
      <c r="E117" t="s">
        <v>219</v>
      </c>
      <c r="F117" t="s">
        <v>299</v>
      </c>
      <c r="G117" t="s">
        <v>60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P117">
        <v>0</v>
      </c>
      <c r="Q117">
        <v>0</v>
      </c>
      <c r="R117">
        <v>0</v>
      </c>
      <c r="S117">
        <v>0</v>
      </c>
    </row>
    <row r="118" spans="1:19" x14ac:dyDescent="0.35">
      <c r="A118" t="s">
        <v>54</v>
      </c>
      <c r="B118">
        <v>117</v>
      </c>
      <c r="C118" t="s">
        <v>308</v>
      </c>
      <c r="D118" t="s">
        <v>309</v>
      </c>
      <c r="E118" t="s">
        <v>219</v>
      </c>
      <c r="F118" t="s">
        <v>309</v>
      </c>
      <c r="G118" t="s">
        <v>60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1:19" x14ac:dyDescent="0.35">
      <c r="A119" t="s">
        <v>54</v>
      </c>
      <c r="B119">
        <v>118</v>
      </c>
      <c r="C119" t="s">
        <v>310</v>
      </c>
      <c r="D119" t="s">
        <v>311</v>
      </c>
      <c r="E119" t="s">
        <v>219</v>
      </c>
      <c r="F119" t="s">
        <v>312</v>
      </c>
      <c r="G119" t="s">
        <v>60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1:19" x14ac:dyDescent="0.35">
      <c r="A120" t="s">
        <v>54</v>
      </c>
      <c r="B120">
        <v>119</v>
      </c>
      <c r="C120" t="s">
        <v>313</v>
      </c>
      <c r="D120" t="s">
        <v>314</v>
      </c>
      <c r="E120" t="s">
        <v>219</v>
      </c>
      <c r="F120" t="s">
        <v>315</v>
      </c>
      <c r="G120" t="s">
        <v>60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</row>
    <row r="121" spans="1:19" x14ac:dyDescent="0.35">
      <c r="A121" t="s">
        <v>54</v>
      </c>
      <c r="B121">
        <v>120</v>
      </c>
      <c r="C121" t="s">
        <v>316</v>
      </c>
      <c r="D121" t="s">
        <v>317</v>
      </c>
      <c r="E121" t="s">
        <v>219</v>
      </c>
      <c r="F121" t="s">
        <v>170</v>
      </c>
      <c r="G121" t="s">
        <v>60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P121">
        <v>0</v>
      </c>
      <c r="Q121">
        <v>0</v>
      </c>
      <c r="R121">
        <v>0</v>
      </c>
      <c r="S121">
        <v>0</v>
      </c>
    </row>
    <row r="122" spans="1:19" x14ac:dyDescent="0.35">
      <c r="A122" t="s">
        <v>54</v>
      </c>
      <c r="B122">
        <v>121</v>
      </c>
      <c r="C122" t="s">
        <v>318</v>
      </c>
      <c r="D122" t="s">
        <v>319</v>
      </c>
      <c r="E122" t="s">
        <v>320</v>
      </c>
      <c r="F122" t="s">
        <v>321</v>
      </c>
      <c r="G122" t="s">
        <v>60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1:19" x14ac:dyDescent="0.35">
      <c r="A123" t="s">
        <v>54</v>
      </c>
      <c r="B123">
        <v>122</v>
      </c>
      <c r="C123" t="s">
        <v>322</v>
      </c>
      <c r="D123" t="s">
        <v>323</v>
      </c>
      <c r="E123" t="s">
        <v>320</v>
      </c>
      <c r="F123" t="s">
        <v>321</v>
      </c>
      <c r="G123" t="s">
        <v>60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1:19" x14ac:dyDescent="0.35">
      <c r="A124" t="s">
        <v>54</v>
      </c>
      <c r="B124">
        <v>123</v>
      </c>
      <c r="C124" t="s">
        <v>324</v>
      </c>
      <c r="D124" t="s">
        <v>325</v>
      </c>
      <c r="E124" t="s">
        <v>320</v>
      </c>
      <c r="F124" t="s">
        <v>321</v>
      </c>
      <c r="G124" t="s">
        <v>60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1:19" x14ac:dyDescent="0.35">
      <c r="A125" t="s">
        <v>54</v>
      </c>
      <c r="B125">
        <v>124</v>
      </c>
      <c r="C125" t="s">
        <v>326</v>
      </c>
      <c r="D125" t="s">
        <v>327</v>
      </c>
      <c r="E125" t="s">
        <v>320</v>
      </c>
      <c r="F125" t="s">
        <v>321</v>
      </c>
      <c r="G125" t="s">
        <v>60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1:19" x14ac:dyDescent="0.35">
      <c r="A126" t="s">
        <v>54</v>
      </c>
      <c r="B126">
        <v>125</v>
      </c>
      <c r="C126" t="s">
        <v>328</v>
      </c>
      <c r="D126" t="s">
        <v>329</v>
      </c>
      <c r="E126" t="s">
        <v>320</v>
      </c>
      <c r="F126" t="s">
        <v>321</v>
      </c>
      <c r="G126" t="s">
        <v>57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P126">
        <v>0</v>
      </c>
      <c r="Q126">
        <v>0</v>
      </c>
      <c r="R126">
        <v>0</v>
      </c>
      <c r="S126">
        <v>0</v>
      </c>
    </row>
    <row r="127" spans="1:19" x14ac:dyDescent="0.35">
      <c r="A127" t="s">
        <v>54</v>
      </c>
      <c r="B127">
        <v>126</v>
      </c>
      <c r="C127" t="s">
        <v>330</v>
      </c>
      <c r="D127" t="s">
        <v>331</v>
      </c>
      <c r="E127" t="s">
        <v>320</v>
      </c>
      <c r="F127" t="s">
        <v>321</v>
      </c>
      <c r="G127" t="s">
        <v>60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</row>
    <row r="128" spans="1:19" x14ac:dyDescent="0.35">
      <c r="A128" t="s">
        <v>54</v>
      </c>
      <c r="B128">
        <v>127</v>
      </c>
      <c r="C128" t="s">
        <v>332</v>
      </c>
      <c r="D128" t="s">
        <v>333</v>
      </c>
      <c r="E128" t="s">
        <v>320</v>
      </c>
      <c r="F128" t="s">
        <v>321</v>
      </c>
      <c r="G128" t="s">
        <v>60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1:19" x14ac:dyDescent="0.35">
      <c r="A129" t="s">
        <v>54</v>
      </c>
      <c r="B129">
        <v>128</v>
      </c>
      <c r="C129" t="s">
        <v>334</v>
      </c>
      <c r="D129" t="s">
        <v>335</v>
      </c>
      <c r="E129" t="s">
        <v>320</v>
      </c>
      <c r="F129" t="s">
        <v>321</v>
      </c>
      <c r="G129" t="s">
        <v>60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1:19" x14ac:dyDescent="0.35">
      <c r="A130" t="s">
        <v>54</v>
      </c>
      <c r="B130">
        <v>129</v>
      </c>
      <c r="C130" t="s">
        <v>336</v>
      </c>
      <c r="D130" t="s">
        <v>337</v>
      </c>
      <c r="E130" t="s">
        <v>320</v>
      </c>
      <c r="F130" t="s">
        <v>321</v>
      </c>
      <c r="G130" t="s">
        <v>60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1:19" x14ac:dyDescent="0.35">
      <c r="A131" t="s">
        <v>54</v>
      </c>
      <c r="B131">
        <v>130</v>
      </c>
      <c r="C131" t="s">
        <v>338</v>
      </c>
      <c r="D131" t="s">
        <v>339</v>
      </c>
      <c r="E131" t="s">
        <v>320</v>
      </c>
      <c r="F131" t="s">
        <v>321</v>
      </c>
      <c r="G131" t="s">
        <v>57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P131">
        <v>0</v>
      </c>
      <c r="Q131">
        <v>0</v>
      </c>
      <c r="R131">
        <v>0</v>
      </c>
      <c r="S131">
        <v>0</v>
      </c>
    </row>
    <row r="132" spans="1:19" x14ac:dyDescent="0.35">
      <c r="A132" t="s">
        <v>54</v>
      </c>
      <c r="B132">
        <v>131</v>
      </c>
      <c r="C132" t="s">
        <v>340</v>
      </c>
      <c r="D132" t="s">
        <v>341</v>
      </c>
      <c r="E132" t="s">
        <v>320</v>
      </c>
      <c r="F132" t="s">
        <v>321</v>
      </c>
      <c r="G132" t="s">
        <v>57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1:19" x14ac:dyDescent="0.35">
      <c r="A133" t="s">
        <v>54</v>
      </c>
      <c r="B133">
        <v>132</v>
      </c>
      <c r="C133" t="s">
        <v>342</v>
      </c>
      <c r="D133" t="s">
        <v>343</v>
      </c>
      <c r="E133" t="s">
        <v>320</v>
      </c>
      <c r="F133" t="s">
        <v>321</v>
      </c>
      <c r="G133" t="s">
        <v>57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P133">
        <v>0</v>
      </c>
      <c r="Q133">
        <v>0</v>
      </c>
      <c r="R133">
        <v>0</v>
      </c>
      <c r="S133">
        <v>0</v>
      </c>
    </row>
    <row r="134" spans="1:19" x14ac:dyDescent="0.35">
      <c r="A134" t="s">
        <v>54</v>
      </c>
      <c r="B134">
        <v>133</v>
      </c>
      <c r="C134" t="s">
        <v>344</v>
      </c>
      <c r="D134" t="s">
        <v>345</v>
      </c>
      <c r="E134" t="s">
        <v>320</v>
      </c>
      <c r="F134" t="s">
        <v>346</v>
      </c>
      <c r="G134" t="s">
        <v>60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</row>
    <row r="135" spans="1:19" x14ac:dyDescent="0.35">
      <c r="A135" t="s">
        <v>54</v>
      </c>
      <c r="B135">
        <v>134</v>
      </c>
      <c r="C135" t="s">
        <v>347</v>
      </c>
      <c r="D135" t="s">
        <v>348</v>
      </c>
      <c r="E135" t="s">
        <v>320</v>
      </c>
      <c r="F135" t="s">
        <v>346</v>
      </c>
      <c r="G135" t="s">
        <v>60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1:19" x14ac:dyDescent="0.35">
      <c r="A136" t="s">
        <v>54</v>
      </c>
      <c r="B136">
        <v>135</v>
      </c>
      <c r="C136" t="s">
        <v>349</v>
      </c>
      <c r="D136" t="s">
        <v>350</v>
      </c>
      <c r="E136" t="s">
        <v>320</v>
      </c>
      <c r="F136" t="s">
        <v>346</v>
      </c>
      <c r="G136" t="s">
        <v>60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1:19" x14ac:dyDescent="0.35">
      <c r="A137" t="s">
        <v>54</v>
      </c>
      <c r="B137">
        <v>136</v>
      </c>
      <c r="C137" t="s">
        <v>351</v>
      </c>
      <c r="D137" t="s">
        <v>352</v>
      </c>
      <c r="E137" t="s">
        <v>320</v>
      </c>
      <c r="F137" t="s">
        <v>346</v>
      </c>
      <c r="G137" t="s">
        <v>60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1:19" x14ac:dyDescent="0.35">
      <c r="A138" t="s">
        <v>54</v>
      </c>
      <c r="B138">
        <v>137</v>
      </c>
      <c r="C138" t="s">
        <v>353</v>
      </c>
      <c r="D138" t="s">
        <v>354</v>
      </c>
      <c r="E138" t="s">
        <v>320</v>
      </c>
      <c r="F138" t="s">
        <v>346</v>
      </c>
      <c r="G138" t="s">
        <v>60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P138">
        <v>0</v>
      </c>
      <c r="Q138">
        <v>0</v>
      </c>
      <c r="R138">
        <v>0</v>
      </c>
      <c r="S138">
        <v>0</v>
      </c>
    </row>
    <row r="139" spans="1:19" x14ac:dyDescent="0.35">
      <c r="A139" t="s">
        <v>54</v>
      </c>
      <c r="B139">
        <v>138</v>
      </c>
      <c r="C139" t="s">
        <v>355</v>
      </c>
      <c r="D139" t="s">
        <v>356</v>
      </c>
      <c r="E139" t="s">
        <v>320</v>
      </c>
      <c r="F139" t="s">
        <v>346</v>
      </c>
      <c r="G139" t="s">
        <v>60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1:19" x14ac:dyDescent="0.35">
      <c r="A140" t="s">
        <v>54</v>
      </c>
      <c r="B140">
        <v>139</v>
      </c>
      <c r="C140" t="s">
        <v>357</v>
      </c>
      <c r="D140" t="s">
        <v>358</v>
      </c>
      <c r="E140" t="s">
        <v>320</v>
      </c>
      <c r="F140" t="s">
        <v>346</v>
      </c>
      <c r="G140" t="s">
        <v>60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1:19" x14ac:dyDescent="0.35">
      <c r="A141" t="s">
        <v>54</v>
      </c>
      <c r="B141">
        <v>140</v>
      </c>
      <c r="C141" t="s">
        <v>359</v>
      </c>
      <c r="D141" t="s">
        <v>360</v>
      </c>
      <c r="E141" t="s">
        <v>320</v>
      </c>
      <c r="F141" t="s">
        <v>346</v>
      </c>
      <c r="G141" t="s">
        <v>60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1:19" x14ac:dyDescent="0.35">
      <c r="A142" t="s">
        <v>54</v>
      </c>
      <c r="B142">
        <v>141</v>
      </c>
      <c r="C142" t="s">
        <v>361</v>
      </c>
      <c r="D142" t="s">
        <v>362</v>
      </c>
      <c r="E142" t="s">
        <v>320</v>
      </c>
      <c r="F142" t="s">
        <v>346</v>
      </c>
      <c r="G142" t="s">
        <v>60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</row>
    <row r="143" spans="1:19" x14ac:dyDescent="0.35">
      <c r="A143" t="s">
        <v>54</v>
      </c>
      <c r="B143">
        <v>142</v>
      </c>
      <c r="C143" t="s">
        <v>363</v>
      </c>
      <c r="D143" t="s">
        <v>364</v>
      </c>
      <c r="E143" t="s">
        <v>320</v>
      </c>
      <c r="F143" t="s">
        <v>346</v>
      </c>
      <c r="G143" t="s">
        <v>60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P143">
        <v>0</v>
      </c>
      <c r="Q143">
        <v>0</v>
      </c>
      <c r="R143">
        <v>0</v>
      </c>
      <c r="S143">
        <v>0</v>
      </c>
    </row>
    <row r="144" spans="1:19" x14ac:dyDescent="0.35">
      <c r="A144" t="s">
        <v>54</v>
      </c>
      <c r="B144">
        <v>143</v>
      </c>
      <c r="C144" t="s">
        <v>365</v>
      </c>
      <c r="D144" t="s">
        <v>366</v>
      </c>
      <c r="E144" t="s">
        <v>320</v>
      </c>
      <c r="F144" t="s">
        <v>346</v>
      </c>
      <c r="G144" t="s">
        <v>57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1:19" x14ac:dyDescent="0.35">
      <c r="A145" t="s">
        <v>54</v>
      </c>
      <c r="B145">
        <v>144</v>
      </c>
      <c r="C145" t="s">
        <v>367</v>
      </c>
      <c r="D145" t="s">
        <v>368</v>
      </c>
      <c r="E145" t="s">
        <v>320</v>
      </c>
      <c r="F145" t="s">
        <v>346</v>
      </c>
      <c r="G145" t="s">
        <v>60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P145">
        <v>0</v>
      </c>
      <c r="Q145">
        <v>0</v>
      </c>
      <c r="R145">
        <v>0</v>
      </c>
      <c r="S145">
        <v>0</v>
      </c>
    </row>
    <row r="146" spans="1:19" x14ac:dyDescent="0.35">
      <c r="A146" t="s">
        <v>54</v>
      </c>
      <c r="B146">
        <v>145</v>
      </c>
      <c r="C146" t="s">
        <v>369</v>
      </c>
      <c r="D146" t="s">
        <v>370</v>
      </c>
      <c r="E146" t="s">
        <v>320</v>
      </c>
      <c r="F146" t="s">
        <v>371</v>
      </c>
      <c r="G146" t="s">
        <v>60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1:19" x14ac:dyDescent="0.35">
      <c r="A147" t="s">
        <v>54</v>
      </c>
      <c r="B147">
        <v>146</v>
      </c>
      <c r="C147" t="s">
        <v>372</v>
      </c>
      <c r="D147" t="s">
        <v>373</v>
      </c>
      <c r="E147" t="s">
        <v>320</v>
      </c>
      <c r="F147" t="s">
        <v>371</v>
      </c>
      <c r="G147" t="s">
        <v>60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1:19" x14ac:dyDescent="0.35">
      <c r="A148" t="s">
        <v>54</v>
      </c>
      <c r="B148">
        <v>147</v>
      </c>
      <c r="C148" t="s">
        <v>374</v>
      </c>
      <c r="D148" t="s">
        <v>375</v>
      </c>
      <c r="E148" t="s">
        <v>320</v>
      </c>
      <c r="F148" t="s">
        <v>371</v>
      </c>
      <c r="G148" t="s">
        <v>57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1:19" x14ac:dyDescent="0.35">
      <c r="A149" t="s">
        <v>54</v>
      </c>
      <c r="B149">
        <v>148</v>
      </c>
      <c r="C149" t="s">
        <v>376</v>
      </c>
      <c r="D149" t="s">
        <v>377</v>
      </c>
      <c r="E149" t="s">
        <v>320</v>
      </c>
      <c r="F149" t="s">
        <v>371</v>
      </c>
      <c r="G149" t="s">
        <v>57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P149">
        <v>0</v>
      </c>
      <c r="Q149">
        <v>0</v>
      </c>
      <c r="R149">
        <v>0</v>
      </c>
      <c r="S149">
        <v>0</v>
      </c>
    </row>
    <row r="150" spans="1:19" x14ac:dyDescent="0.35">
      <c r="A150" t="s">
        <v>54</v>
      </c>
      <c r="B150">
        <v>149</v>
      </c>
      <c r="C150" t="s">
        <v>378</v>
      </c>
      <c r="D150" t="s">
        <v>379</v>
      </c>
      <c r="E150" t="s">
        <v>320</v>
      </c>
      <c r="F150" t="s">
        <v>380</v>
      </c>
      <c r="G150" t="s">
        <v>60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</row>
    <row r="151" spans="1:19" x14ac:dyDescent="0.35">
      <c r="A151" t="s">
        <v>54</v>
      </c>
      <c r="B151">
        <v>150</v>
      </c>
      <c r="C151" t="s">
        <v>381</v>
      </c>
      <c r="D151" t="s">
        <v>382</v>
      </c>
      <c r="E151" t="s">
        <v>320</v>
      </c>
      <c r="F151" t="s">
        <v>380</v>
      </c>
      <c r="G151" t="s">
        <v>57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</row>
    <row r="152" spans="1:19" x14ac:dyDescent="0.35">
      <c r="A152" t="s">
        <v>54</v>
      </c>
      <c r="B152">
        <v>151</v>
      </c>
      <c r="C152" t="s">
        <v>383</v>
      </c>
      <c r="D152" t="s">
        <v>384</v>
      </c>
      <c r="E152" t="s">
        <v>320</v>
      </c>
      <c r="F152" t="s">
        <v>380</v>
      </c>
      <c r="G152" t="s">
        <v>57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P152">
        <v>0</v>
      </c>
      <c r="Q152">
        <v>0</v>
      </c>
      <c r="R152">
        <v>0</v>
      </c>
      <c r="S152">
        <v>0</v>
      </c>
    </row>
    <row r="153" spans="1:19" x14ac:dyDescent="0.35">
      <c r="A153" t="s">
        <v>54</v>
      </c>
      <c r="B153">
        <v>152</v>
      </c>
      <c r="C153" t="s">
        <v>385</v>
      </c>
      <c r="D153" t="s">
        <v>386</v>
      </c>
      <c r="E153" t="s">
        <v>320</v>
      </c>
      <c r="F153" t="s">
        <v>387</v>
      </c>
      <c r="G153" t="s">
        <v>60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</row>
    <row r="154" spans="1:19" x14ac:dyDescent="0.35">
      <c r="A154" t="s">
        <v>54</v>
      </c>
      <c r="B154">
        <v>153</v>
      </c>
      <c r="C154" t="s">
        <v>388</v>
      </c>
      <c r="D154" t="s">
        <v>389</v>
      </c>
      <c r="E154" t="s">
        <v>320</v>
      </c>
      <c r="F154" t="s">
        <v>387</v>
      </c>
      <c r="G154" t="s">
        <v>57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1:19" x14ac:dyDescent="0.35">
      <c r="A155" t="s">
        <v>54</v>
      </c>
      <c r="B155">
        <v>154</v>
      </c>
      <c r="C155" t="s">
        <v>390</v>
      </c>
      <c r="D155" t="s">
        <v>391</v>
      </c>
      <c r="E155" t="s">
        <v>320</v>
      </c>
      <c r="F155" t="s">
        <v>387</v>
      </c>
      <c r="G155" t="s">
        <v>57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P155">
        <v>0</v>
      </c>
      <c r="Q155">
        <v>0</v>
      </c>
      <c r="R155">
        <v>0</v>
      </c>
      <c r="S155">
        <v>0</v>
      </c>
    </row>
    <row r="156" spans="1:19" x14ac:dyDescent="0.35">
      <c r="A156" t="s">
        <v>54</v>
      </c>
      <c r="B156">
        <v>155</v>
      </c>
      <c r="C156" t="s">
        <v>392</v>
      </c>
      <c r="D156" t="s">
        <v>393</v>
      </c>
      <c r="E156" t="s">
        <v>320</v>
      </c>
      <c r="F156" t="s">
        <v>393</v>
      </c>
      <c r="G156" t="s">
        <v>60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1:19" x14ac:dyDescent="0.35">
      <c r="A157" t="s">
        <v>54</v>
      </c>
      <c r="B157">
        <v>156</v>
      </c>
      <c r="C157" t="s">
        <v>394</v>
      </c>
      <c r="D157" t="s">
        <v>395</v>
      </c>
      <c r="E157" t="s">
        <v>320</v>
      </c>
      <c r="F157" t="s">
        <v>170</v>
      </c>
      <c r="G157" t="s">
        <v>57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P157">
        <v>0</v>
      </c>
      <c r="Q157">
        <v>0</v>
      </c>
      <c r="R157">
        <v>0</v>
      </c>
      <c r="S157">
        <v>0</v>
      </c>
    </row>
    <row r="158" spans="1:19" x14ac:dyDescent="0.35">
      <c r="A158" t="s">
        <v>54</v>
      </c>
      <c r="B158">
        <v>157</v>
      </c>
      <c r="C158" t="s">
        <v>396</v>
      </c>
      <c r="D158" t="s">
        <v>397</v>
      </c>
      <c r="E158" t="s">
        <v>398</v>
      </c>
      <c r="F158" t="s">
        <v>399</v>
      </c>
      <c r="G158" t="s">
        <v>60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</row>
    <row r="159" spans="1:19" x14ac:dyDescent="0.35">
      <c r="A159" t="s">
        <v>54</v>
      </c>
      <c r="B159">
        <v>158</v>
      </c>
      <c r="C159" t="s">
        <v>400</v>
      </c>
      <c r="D159" t="s">
        <v>401</v>
      </c>
      <c r="E159" t="s">
        <v>398</v>
      </c>
      <c r="F159" t="s">
        <v>399</v>
      </c>
      <c r="G159" t="s">
        <v>60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1:19" x14ac:dyDescent="0.35">
      <c r="A160" t="s">
        <v>54</v>
      </c>
      <c r="B160">
        <v>159</v>
      </c>
      <c r="C160" t="s">
        <v>402</v>
      </c>
      <c r="D160" t="s">
        <v>403</v>
      </c>
      <c r="E160" t="s">
        <v>398</v>
      </c>
      <c r="F160" t="s">
        <v>399</v>
      </c>
      <c r="G160" t="s">
        <v>60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1:19" x14ac:dyDescent="0.35">
      <c r="A161" t="s">
        <v>54</v>
      </c>
      <c r="B161">
        <v>160</v>
      </c>
      <c r="C161" t="s">
        <v>404</v>
      </c>
      <c r="D161" t="s">
        <v>405</v>
      </c>
      <c r="E161" t="s">
        <v>406</v>
      </c>
      <c r="F161" t="s">
        <v>406</v>
      </c>
      <c r="G161" t="s">
        <v>57</v>
      </c>
      <c r="H161">
        <v>0</v>
      </c>
      <c r="I161">
        <v>0</v>
      </c>
      <c r="J161">
        <v>0</v>
      </c>
      <c r="K161">
        <v>0</v>
      </c>
      <c r="L161">
        <v>75.349999999999994</v>
      </c>
      <c r="M161">
        <v>75.349999999999994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1:19" x14ac:dyDescent="0.35">
      <c r="A162" t="s">
        <v>54</v>
      </c>
      <c r="B162">
        <v>161</v>
      </c>
      <c r="C162" t="s">
        <v>407</v>
      </c>
      <c r="D162" t="s">
        <v>408</v>
      </c>
      <c r="E162" t="s">
        <v>406</v>
      </c>
      <c r="F162" t="s">
        <v>406</v>
      </c>
      <c r="G162" t="s">
        <v>57</v>
      </c>
      <c r="H162">
        <v>0</v>
      </c>
      <c r="I162">
        <v>0</v>
      </c>
      <c r="J162">
        <v>0</v>
      </c>
      <c r="K162">
        <v>0</v>
      </c>
      <c r="L162">
        <v>6.77</v>
      </c>
      <c r="M162">
        <v>6.77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1:19" x14ac:dyDescent="0.35">
      <c r="A163" t="s">
        <v>54</v>
      </c>
      <c r="B163">
        <v>162</v>
      </c>
      <c r="C163" t="s">
        <v>409</v>
      </c>
      <c r="D163" t="s">
        <v>410</v>
      </c>
      <c r="E163" t="s">
        <v>406</v>
      </c>
      <c r="F163" t="s">
        <v>406</v>
      </c>
      <c r="G163" t="s">
        <v>57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1:19" x14ac:dyDescent="0.35">
      <c r="A164" t="s">
        <v>54</v>
      </c>
      <c r="B164">
        <v>163</v>
      </c>
      <c r="C164" t="s">
        <v>411</v>
      </c>
      <c r="D164" t="s">
        <v>412</v>
      </c>
      <c r="E164" t="s">
        <v>406</v>
      </c>
      <c r="F164" t="s">
        <v>406</v>
      </c>
      <c r="G164" t="s">
        <v>57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1:19" x14ac:dyDescent="0.35">
      <c r="A165" t="s">
        <v>54</v>
      </c>
      <c r="B165">
        <v>164</v>
      </c>
      <c r="C165" t="s">
        <v>413</v>
      </c>
      <c r="D165" t="s">
        <v>414</v>
      </c>
      <c r="E165" t="s">
        <v>406</v>
      </c>
      <c r="F165" t="s">
        <v>406</v>
      </c>
      <c r="G165" t="s">
        <v>57</v>
      </c>
      <c r="H165">
        <v>0</v>
      </c>
      <c r="I165">
        <v>0</v>
      </c>
      <c r="J165">
        <v>0</v>
      </c>
      <c r="K165">
        <v>2499.999984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1:19" x14ac:dyDescent="0.35">
      <c r="A166" t="s">
        <v>54</v>
      </c>
      <c r="B166">
        <v>165</v>
      </c>
      <c r="C166" t="s">
        <v>415</v>
      </c>
      <c r="D166" t="s">
        <v>416</v>
      </c>
      <c r="E166" t="s">
        <v>406</v>
      </c>
      <c r="F166" t="s">
        <v>406</v>
      </c>
      <c r="G166" t="s">
        <v>57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1:19" x14ac:dyDescent="0.35">
      <c r="A167" t="s">
        <v>54</v>
      </c>
      <c r="B167">
        <v>166</v>
      </c>
      <c r="C167" t="s">
        <v>417</v>
      </c>
      <c r="D167" t="s">
        <v>418</v>
      </c>
      <c r="E167" t="s">
        <v>419</v>
      </c>
      <c r="F167" t="s">
        <v>420</v>
      </c>
      <c r="G167" t="s">
        <v>270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</row>
    <row r="168" spans="1:19" x14ac:dyDescent="0.35">
      <c r="A168" t="s">
        <v>54</v>
      </c>
      <c r="B168">
        <v>167</v>
      </c>
      <c r="C168" t="s">
        <v>421</v>
      </c>
      <c r="D168" t="s">
        <v>422</v>
      </c>
      <c r="E168" t="s">
        <v>419</v>
      </c>
      <c r="F168" t="s">
        <v>420</v>
      </c>
      <c r="G168" t="s">
        <v>270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1:19" x14ac:dyDescent="0.35">
      <c r="A169" t="s">
        <v>54</v>
      </c>
      <c r="B169">
        <v>168</v>
      </c>
      <c r="C169" t="s">
        <v>423</v>
      </c>
      <c r="D169" t="s">
        <v>424</v>
      </c>
      <c r="E169" t="s">
        <v>419</v>
      </c>
      <c r="F169" t="s">
        <v>420</v>
      </c>
      <c r="G169" t="s">
        <v>270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1:19" x14ac:dyDescent="0.35">
      <c r="A170" t="s">
        <v>425</v>
      </c>
      <c r="B170">
        <v>1</v>
      </c>
      <c r="C170" t="s">
        <v>426</v>
      </c>
      <c r="D170" t="s">
        <v>427</v>
      </c>
      <c r="E170" t="s">
        <v>428</v>
      </c>
      <c r="F170" t="s">
        <v>428</v>
      </c>
      <c r="G170" t="s">
        <v>60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P170">
        <v>0</v>
      </c>
      <c r="Q170">
        <v>0</v>
      </c>
      <c r="R170">
        <v>0</v>
      </c>
      <c r="S170">
        <v>0</v>
      </c>
    </row>
    <row r="171" spans="1:19" x14ac:dyDescent="0.35">
      <c r="A171" t="s">
        <v>425</v>
      </c>
      <c r="B171">
        <v>2</v>
      </c>
      <c r="C171" t="s">
        <v>429</v>
      </c>
      <c r="D171" t="s">
        <v>430</v>
      </c>
      <c r="E171" t="s">
        <v>428</v>
      </c>
      <c r="F171" t="s">
        <v>428</v>
      </c>
      <c r="G171" t="s">
        <v>60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P171">
        <v>0</v>
      </c>
      <c r="Q171">
        <v>0</v>
      </c>
      <c r="R171">
        <v>0</v>
      </c>
      <c r="S171">
        <v>0</v>
      </c>
    </row>
    <row r="172" spans="1:19" x14ac:dyDescent="0.35">
      <c r="A172" t="s">
        <v>425</v>
      </c>
      <c r="B172">
        <v>3</v>
      </c>
      <c r="C172" t="s">
        <v>431</v>
      </c>
      <c r="D172" t="s">
        <v>432</v>
      </c>
      <c r="E172" t="s">
        <v>428</v>
      </c>
      <c r="F172" t="s">
        <v>428</v>
      </c>
      <c r="G172" t="s">
        <v>60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P172">
        <v>0</v>
      </c>
      <c r="Q172">
        <v>0</v>
      </c>
      <c r="R172">
        <v>0</v>
      </c>
      <c r="S172">
        <v>0</v>
      </c>
    </row>
    <row r="173" spans="1:19" x14ac:dyDescent="0.35">
      <c r="A173" t="s">
        <v>425</v>
      </c>
      <c r="B173">
        <v>4</v>
      </c>
      <c r="C173" t="s">
        <v>433</v>
      </c>
      <c r="D173" t="s">
        <v>219</v>
      </c>
      <c r="E173" t="s">
        <v>428</v>
      </c>
      <c r="F173" t="s">
        <v>428</v>
      </c>
      <c r="G173" t="s">
        <v>60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P173">
        <v>0</v>
      </c>
      <c r="Q173">
        <v>0</v>
      </c>
      <c r="R173">
        <v>0</v>
      </c>
      <c r="S173">
        <v>0</v>
      </c>
    </row>
    <row r="174" spans="1:19" x14ac:dyDescent="0.35">
      <c r="A174" t="s">
        <v>425</v>
      </c>
      <c r="B174">
        <v>5</v>
      </c>
      <c r="C174" t="s">
        <v>434</v>
      </c>
      <c r="D174" t="s">
        <v>435</v>
      </c>
      <c r="E174" t="s">
        <v>428</v>
      </c>
      <c r="F174" t="s">
        <v>428</v>
      </c>
      <c r="G174" t="s">
        <v>60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P174">
        <v>0</v>
      </c>
      <c r="Q174">
        <v>0</v>
      </c>
      <c r="R174">
        <v>0</v>
      </c>
      <c r="S174">
        <v>0</v>
      </c>
    </row>
    <row r="175" spans="1:19" x14ac:dyDescent="0.35">
      <c r="A175" t="s">
        <v>425</v>
      </c>
      <c r="B175">
        <v>6</v>
      </c>
      <c r="C175" t="s">
        <v>436</v>
      </c>
      <c r="D175" t="s">
        <v>320</v>
      </c>
      <c r="E175" t="s">
        <v>428</v>
      </c>
      <c r="F175" t="s">
        <v>428</v>
      </c>
      <c r="G175" t="s">
        <v>60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P175">
        <v>0</v>
      </c>
      <c r="Q175">
        <v>0</v>
      </c>
      <c r="R175">
        <v>0</v>
      </c>
      <c r="S175">
        <v>0</v>
      </c>
    </row>
    <row r="176" spans="1:19" x14ac:dyDescent="0.35">
      <c r="A176" t="s">
        <v>425</v>
      </c>
      <c r="B176">
        <v>7</v>
      </c>
      <c r="C176" t="s">
        <v>437</v>
      </c>
      <c r="D176" t="s">
        <v>399</v>
      </c>
      <c r="E176" t="s">
        <v>428</v>
      </c>
      <c r="F176" t="s">
        <v>428</v>
      </c>
      <c r="G176" t="s">
        <v>60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P176">
        <v>0</v>
      </c>
      <c r="Q176">
        <v>0</v>
      </c>
      <c r="R176">
        <v>0</v>
      </c>
      <c r="S176">
        <v>0</v>
      </c>
    </row>
    <row r="177" spans="1:19" x14ac:dyDescent="0.35">
      <c r="A177" t="s">
        <v>425</v>
      </c>
      <c r="B177">
        <v>8</v>
      </c>
      <c r="C177" t="s">
        <v>438</v>
      </c>
      <c r="D177" t="s">
        <v>406</v>
      </c>
      <c r="E177" t="s">
        <v>428</v>
      </c>
      <c r="F177" t="s">
        <v>428</v>
      </c>
      <c r="G177" t="s">
        <v>60</v>
      </c>
      <c r="H177">
        <v>0</v>
      </c>
      <c r="I177">
        <v>0</v>
      </c>
      <c r="J177">
        <v>0</v>
      </c>
      <c r="K177">
        <v>0</v>
      </c>
      <c r="L177">
        <v>82.12</v>
      </c>
      <c r="M177">
        <v>82.12</v>
      </c>
      <c r="N177">
        <v>0</v>
      </c>
      <c r="P177">
        <v>0</v>
      </c>
      <c r="Q177">
        <v>0</v>
      </c>
      <c r="R177">
        <v>0</v>
      </c>
      <c r="S177">
        <v>0</v>
      </c>
    </row>
    <row r="178" spans="1:19" x14ac:dyDescent="0.35">
      <c r="A178" t="s">
        <v>425</v>
      </c>
      <c r="B178">
        <v>9</v>
      </c>
      <c r="C178" t="s">
        <v>439</v>
      </c>
      <c r="D178" t="s">
        <v>419</v>
      </c>
      <c r="E178" t="s">
        <v>428</v>
      </c>
      <c r="F178" t="s">
        <v>428</v>
      </c>
      <c r="G178" t="s">
        <v>270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P178">
        <v>0</v>
      </c>
      <c r="Q178">
        <v>0</v>
      </c>
      <c r="R178">
        <v>0</v>
      </c>
      <c r="S178">
        <v>0</v>
      </c>
    </row>
    <row r="179" spans="1:19" x14ac:dyDescent="0.35">
      <c r="A179" t="s">
        <v>425</v>
      </c>
      <c r="B179">
        <v>10</v>
      </c>
      <c r="C179" t="s">
        <v>440</v>
      </c>
      <c r="D179" t="s">
        <v>441</v>
      </c>
      <c r="E179" t="s">
        <v>428</v>
      </c>
      <c r="F179" t="s">
        <v>428</v>
      </c>
      <c r="G179" t="s">
        <v>60</v>
      </c>
      <c r="H179">
        <v>0</v>
      </c>
      <c r="I179">
        <v>0</v>
      </c>
      <c r="J179">
        <v>0</v>
      </c>
      <c r="K179">
        <v>0</v>
      </c>
      <c r="L179">
        <v>82.12</v>
      </c>
      <c r="M179">
        <v>82.12</v>
      </c>
      <c r="N179">
        <v>0</v>
      </c>
      <c r="P179">
        <v>0</v>
      </c>
      <c r="Q179">
        <v>0</v>
      </c>
      <c r="R179">
        <v>0</v>
      </c>
      <c r="S179">
        <v>0</v>
      </c>
    </row>
    <row r="180" spans="1:19" x14ac:dyDescent="0.35">
      <c r="A180" t="s">
        <v>442</v>
      </c>
      <c r="B180">
        <v>1</v>
      </c>
      <c r="C180" t="s">
        <v>443</v>
      </c>
      <c r="D180" t="s">
        <v>13</v>
      </c>
      <c r="E180" t="s">
        <v>444</v>
      </c>
      <c r="F180" t="s">
        <v>444</v>
      </c>
      <c r="G180" t="s">
        <v>60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P180">
        <v>0</v>
      </c>
      <c r="Q180">
        <v>0</v>
      </c>
      <c r="R180">
        <v>0</v>
      </c>
      <c r="S180">
        <v>0</v>
      </c>
    </row>
    <row r="181" spans="1:19" x14ac:dyDescent="0.35">
      <c r="A181" t="s">
        <v>442</v>
      </c>
      <c r="B181">
        <v>2</v>
      </c>
      <c r="C181" t="s">
        <v>445</v>
      </c>
      <c r="D181" t="s">
        <v>446</v>
      </c>
      <c r="E181" t="s">
        <v>444</v>
      </c>
      <c r="F181" t="s">
        <v>444</v>
      </c>
      <c r="G181" t="s">
        <v>60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P181">
        <v>0</v>
      </c>
      <c r="Q181">
        <v>0</v>
      </c>
      <c r="R181">
        <v>0</v>
      </c>
      <c r="S181">
        <v>0</v>
      </c>
    </row>
    <row r="182" spans="1:19" x14ac:dyDescent="0.35">
      <c r="A182" t="s">
        <v>442</v>
      </c>
      <c r="B182">
        <v>3</v>
      </c>
      <c r="C182" t="s">
        <v>447</v>
      </c>
      <c r="D182" t="s">
        <v>320</v>
      </c>
      <c r="E182" t="s">
        <v>444</v>
      </c>
      <c r="F182" t="s">
        <v>444</v>
      </c>
      <c r="G182" t="s">
        <v>60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P182">
        <v>0</v>
      </c>
      <c r="Q182">
        <v>0</v>
      </c>
      <c r="R182">
        <v>0</v>
      </c>
      <c r="S182">
        <v>0</v>
      </c>
    </row>
    <row r="183" spans="1:19" x14ac:dyDescent="0.35">
      <c r="A183" t="s">
        <v>442</v>
      </c>
      <c r="B183">
        <v>4</v>
      </c>
      <c r="C183" t="s">
        <v>448</v>
      </c>
      <c r="D183" t="s">
        <v>406</v>
      </c>
      <c r="E183" t="s">
        <v>444</v>
      </c>
      <c r="F183" t="s">
        <v>444</v>
      </c>
      <c r="G183" t="s">
        <v>60</v>
      </c>
      <c r="H183">
        <v>0</v>
      </c>
      <c r="I183">
        <v>0</v>
      </c>
      <c r="J183">
        <v>0</v>
      </c>
      <c r="K183">
        <v>0</v>
      </c>
      <c r="L183">
        <v>82.12</v>
      </c>
      <c r="M183">
        <v>82.12</v>
      </c>
      <c r="N183">
        <v>0</v>
      </c>
      <c r="P183">
        <v>0</v>
      </c>
      <c r="Q183">
        <v>0</v>
      </c>
      <c r="R183">
        <v>0</v>
      </c>
      <c r="S183">
        <v>0</v>
      </c>
    </row>
    <row r="184" spans="1:19" x14ac:dyDescent="0.35">
      <c r="A184" t="s">
        <v>442</v>
      </c>
      <c r="B184">
        <v>5</v>
      </c>
      <c r="C184" t="s">
        <v>449</v>
      </c>
      <c r="D184" t="s">
        <v>419</v>
      </c>
      <c r="E184" t="s">
        <v>444</v>
      </c>
      <c r="F184" t="s">
        <v>444</v>
      </c>
      <c r="G184" t="s">
        <v>270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P184">
        <v>0</v>
      </c>
      <c r="Q184">
        <v>0</v>
      </c>
      <c r="R184">
        <v>0</v>
      </c>
      <c r="S184">
        <v>0</v>
      </c>
    </row>
    <row r="185" spans="1:19" x14ac:dyDescent="0.35">
      <c r="A185" t="s">
        <v>442</v>
      </c>
      <c r="B185">
        <v>6</v>
      </c>
      <c r="C185" t="s">
        <v>450</v>
      </c>
      <c r="D185" t="s">
        <v>441</v>
      </c>
      <c r="E185" t="s">
        <v>444</v>
      </c>
      <c r="F185" t="s">
        <v>444</v>
      </c>
      <c r="G185" t="s">
        <v>60</v>
      </c>
      <c r="H185">
        <v>0</v>
      </c>
      <c r="I185">
        <v>0</v>
      </c>
      <c r="J185">
        <v>0</v>
      </c>
      <c r="K185">
        <v>0</v>
      </c>
      <c r="L185">
        <v>82.12</v>
      </c>
      <c r="M185">
        <v>82.12</v>
      </c>
      <c r="N185">
        <v>0</v>
      </c>
      <c r="P185">
        <v>0</v>
      </c>
      <c r="Q185">
        <v>0</v>
      </c>
      <c r="R185">
        <v>0</v>
      </c>
      <c r="S185">
        <v>0</v>
      </c>
    </row>
    <row r="186" spans="1:19" x14ac:dyDescent="0.35">
      <c r="A186" t="s">
        <v>34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C3"/>
  <sheetViews>
    <sheetView workbookViewId="0">
      <selection sqref="A1:A1048576"/>
    </sheetView>
  </sheetViews>
  <sheetFormatPr defaultRowHeight="14.5" x14ac:dyDescent="0.35"/>
  <cols>
    <col min="1" max="1" width="19.90625" bestFit="1" customWidth="1"/>
    <col min="2" max="2" width="122.81640625" bestFit="1" customWidth="1"/>
    <col min="3" max="3" width="35" bestFit="1" customWidth="1"/>
  </cols>
  <sheetData>
    <row r="1" spans="1:3" x14ac:dyDescent="0.35">
      <c r="A1" t="s">
        <v>593</v>
      </c>
    </row>
    <row r="2" spans="1:3" x14ac:dyDescent="0.35">
      <c r="A2" t="s">
        <v>594</v>
      </c>
      <c r="B2" t="s">
        <v>595</v>
      </c>
      <c r="C2" t="s">
        <v>596</v>
      </c>
    </row>
    <row r="3" spans="1:3" x14ac:dyDescent="0.35">
      <c r="A3" t="s">
        <v>597</v>
      </c>
      <c r="B3" t="s">
        <v>598</v>
      </c>
      <c r="C3" t="s">
        <v>646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R2"/>
  <sheetViews>
    <sheetView workbookViewId="0">
      <selection sqref="A1:A1048576"/>
    </sheetView>
  </sheetViews>
  <sheetFormatPr defaultRowHeight="14.5" x14ac:dyDescent="0.35"/>
  <cols>
    <col min="1" max="1" width="12.453125" bestFit="1" customWidth="1"/>
    <col min="2" max="2" width="13.453125" bestFit="1" customWidth="1"/>
    <col min="3" max="3" width="13.54296875" bestFit="1" customWidth="1"/>
    <col min="4" max="4" width="11.08984375" bestFit="1" customWidth="1"/>
    <col min="5" max="5" width="5.7265625" bestFit="1" customWidth="1"/>
    <col min="6" max="6" width="8.26953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36328125" bestFit="1" customWidth="1"/>
    <col min="13" max="13" width="4.453125" bestFit="1" customWidth="1"/>
    <col min="14" max="14" width="3.7265625" bestFit="1" customWidth="1"/>
    <col min="16" max="16" width="4" bestFit="1" customWidth="1"/>
    <col min="17" max="17" width="5.08984375" bestFit="1" customWidth="1"/>
    <col min="18" max="18" width="4.36328125" bestFit="1" customWidth="1"/>
  </cols>
  <sheetData>
    <row r="1" spans="1:18" x14ac:dyDescent="0.35">
      <c r="A1" t="s">
        <v>451</v>
      </c>
      <c r="B1" t="s">
        <v>452</v>
      </c>
      <c r="C1" t="s">
        <v>453</v>
      </c>
      <c r="D1" t="s">
        <v>454</v>
      </c>
      <c r="E1" t="s">
        <v>455</v>
      </c>
      <c r="F1" t="s">
        <v>456</v>
      </c>
      <c r="G1" t="s">
        <v>457</v>
      </c>
      <c r="H1" t="s">
        <v>458</v>
      </c>
      <c r="I1" t="s">
        <v>459</v>
      </c>
      <c r="J1" t="s">
        <v>460</v>
      </c>
      <c r="K1" t="s">
        <v>461</v>
      </c>
      <c r="L1" t="s">
        <v>462</v>
      </c>
      <c r="M1" t="s">
        <v>463</v>
      </c>
      <c r="N1" t="s">
        <v>464</v>
      </c>
      <c r="O1" t="s">
        <v>41</v>
      </c>
      <c r="P1" t="s">
        <v>465</v>
      </c>
      <c r="Q1" t="s">
        <v>466</v>
      </c>
      <c r="R1" t="s">
        <v>467</v>
      </c>
    </row>
    <row r="2" spans="1:18" x14ac:dyDescent="0.35">
      <c r="A2" t="s">
        <v>34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I2"/>
  <sheetViews>
    <sheetView workbookViewId="0">
      <selection sqref="A1:A1048576"/>
    </sheetView>
  </sheetViews>
  <sheetFormatPr defaultRowHeight="14.5" x14ac:dyDescent="0.35"/>
  <cols>
    <col min="1" max="1" width="9.36328125" bestFit="1" customWidth="1"/>
    <col min="2" max="2" width="11.08984375" bestFit="1" customWidth="1"/>
    <col min="3" max="3" width="14.453125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>
    <row r="1" spans="1:9" x14ac:dyDescent="0.35">
      <c r="A1" t="s">
        <v>462</v>
      </c>
      <c r="B1" t="s">
        <v>454</v>
      </c>
      <c r="C1" t="s">
        <v>468</v>
      </c>
      <c r="D1" t="s">
        <v>469</v>
      </c>
      <c r="E1" t="s">
        <v>453</v>
      </c>
      <c r="F1" t="s">
        <v>470</v>
      </c>
      <c r="G1" t="s">
        <v>41</v>
      </c>
      <c r="H1" t="s">
        <v>471</v>
      </c>
      <c r="I1" t="s">
        <v>472</v>
      </c>
    </row>
    <row r="2" spans="1:9" x14ac:dyDescent="0.35">
      <c r="A2" t="s">
        <v>34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S186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8" max="8" width="12.90625" bestFit="1" customWidth="1"/>
    <col min="9" max="9" width="11.453125" bestFit="1" customWidth="1"/>
    <col min="10" max="10" width="10.179687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8.4531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>
    <row r="1" spans="1:19" x14ac:dyDescent="0.35">
      <c r="A1" t="s">
        <v>35</v>
      </c>
      <c r="B1" t="s">
        <v>36</v>
      </c>
      <c r="C1" t="s">
        <v>37</v>
      </c>
      <c r="D1" t="s">
        <v>38</v>
      </c>
      <c r="E1" t="s">
        <v>39</v>
      </c>
      <c r="F1" t="s">
        <v>40</v>
      </c>
      <c r="G1" t="s">
        <v>41</v>
      </c>
      <c r="H1" t="s">
        <v>42</v>
      </c>
      <c r="I1" t="s">
        <v>43</v>
      </c>
      <c r="J1" t="s">
        <v>44</v>
      </c>
      <c r="K1" t="s">
        <v>45</v>
      </c>
      <c r="L1" t="s">
        <v>46</v>
      </c>
      <c r="M1" t="s">
        <v>47</v>
      </c>
      <c r="N1" t="s">
        <v>48</v>
      </c>
      <c r="O1" t="s">
        <v>49</v>
      </c>
      <c r="P1" t="s">
        <v>50</v>
      </c>
      <c r="Q1" t="s">
        <v>51</v>
      </c>
      <c r="R1" t="s">
        <v>52</v>
      </c>
      <c r="S1" t="s">
        <v>53</v>
      </c>
    </row>
    <row r="2" spans="1:19" x14ac:dyDescent="0.35">
      <c r="A2" t="s">
        <v>54</v>
      </c>
      <c r="B2">
        <v>1</v>
      </c>
      <c r="C2" t="s">
        <v>55</v>
      </c>
      <c r="D2" t="s">
        <v>6</v>
      </c>
      <c r="E2" t="s">
        <v>13</v>
      </c>
      <c r="F2" t="s">
        <v>56</v>
      </c>
      <c r="G2" t="s">
        <v>57</v>
      </c>
      <c r="H2">
        <v>0</v>
      </c>
      <c r="I2">
        <v>0</v>
      </c>
      <c r="J2">
        <v>0</v>
      </c>
      <c r="K2">
        <v>995.00000399999999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35">
      <c r="A3" t="s">
        <v>54</v>
      </c>
      <c r="B3">
        <v>2</v>
      </c>
      <c r="C3" t="s">
        <v>58</v>
      </c>
      <c r="D3" t="s">
        <v>59</v>
      </c>
      <c r="E3" t="s">
        <v>13</v>
      </c>
      <c r="F3" t="s">
        <v>56</v>
      </c>
      <c r="G3" t="s">
        <v>60</v>
      </c>
      <c r="H3">
        <v>0</v>
      </c>
      <c r="I3">
        <v>0</v>
      </c>
      <c r="J3">
        <v>0</v>
      </c>
      <c r="K3">
        <v>275.00000399999999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35">
      <c r="A4" t="s">
        <v>54</v>
      </c>
      <c r="B4">
        <v>3</v>
      </c>
      <c r="C4" t="s">
        <v>61</v>
      </c>
      <c r="D4" t="s">
        <v>62</v>
      </c>
      <c r="E4" t="s">
        <v>13</v>
      </c>
      <c r="F4" t="s">
        <v>56</v>
      </c>
      <c r="G4" t="s">
        <v>60</v>
      </c>
      <c r="H4">
        <v>0</v>
      </c>
      <c r="I4">
        <v>0</v>
      </c>
      <c r="J4">
        <v>0</v>
      </c>
      <c r="K4">
        <v>101.999988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35">
      <c r="A5" t="s">
        <v>54</v>
      </c>
      <c r="B5">
        <v>4</v>
      </c>
      <c r="C5" t="s">
        <v>63</v>
      </c>
      <c r="D5" t="s">
        <v>64</v>
      </c>
      <c r="E5" t="s">
        <v>13</v>
      </c>
      <c r="F5" t="s">
        <v>56</v>
      </c>
      <c r="G5" t="s">
        <v>60</v>
      </c>
      <c r="H5">
        <v>0</v>
      </c>
      <c r="I5">
        <v>0</v>
      </c>
      <c r="J5">
        <v>0</v>
      </c>
      <c r="K5">
        <v>52.999991999999999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35">
      <c r="A6" t="s">
        <v>54</v>
      </c>
      <c r="B6">
        <v>5</v>
      </c>
      <c r="C6" t="s">
        <v>65</v>
      </c>
      <c r="D6" t="s">
        <v>66</v>
      </c>
      <c r="E6" t="s">
        <v>13</v>
      </c>
      <c r="F6" t="s">
        <v>56</v>
      </c>
      <c r="G6" t="s">
        <v>60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35">
      <c r="A7" t="s">
        <v>54</v>
      </c>
      <c r="B7">
        <v>6</v>
      </c>
      <c r="C7" t="s">
        <v>67</v>
      </c>
      <c r="D7" t="s">
        <v>68</v>
      </c>
      <c r="E7" t="s">
        <v>13</v>
      </c>
      <c r="F7" t="s">
        <v>56</v>
      </c>
      <c r="G7" t="s">
        <v>60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P7">
        <v>0</v>
      </c>
      <c r="Q7">
        <v>0</v>
      </c>
      <c r="R7">
        <v>0</v>
      </c>
      <c r="S7">
        <v>0</v>
      </c>
    </row>
    <row r="8" spans="1:19" x14ac:dyDescent="0.35">
      <c r="A8" t="s">
        <v>54</v>
      </c>
      <c r="B8">
        <v>7</v>
      </c>
      <c r="C8" t="s">
        <v>69</v>
      </c>
      <c r="D8" t="s">
        <v>70</v>
      </c>
      <c r="E8" t="s">
        <v>13</v>
      </c>
      <c r="F8" t="s">
        <v>56</v>
      </c>
      <c r="G8" t="s">
        <v>60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35">
      <c r="A9" t="s">
        <v>54</v>
      </c>
      <c r="B9">
        <v>8</v>
      </c>
      <c r="C9" t="s">
        <v>71</v>
      </c>
      <c r="D9" t="s">
        <v>72</v>
      </c>
      <c r="E9" t="s">
        <v>13</v>
      </c>
      <c r="F9" t="s">
        <v>56</v>
      </c>
      <c r="G9" t="s">
        <v>60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35">
      <c r="A10" t="s">
        <v>54</v>
      </c>
      <c r="B10">
        <v>9</v>
      </c>
      <c r="C10" t="s">
        <v>73</v>
      </c>
      <c r="D10" t="s">
        <v>74</v>
      </c>
      <c r="E10" t="s">
        <v>13</v>
      </c>
      <c r="F10" t="s">
        <v>56</v>
      </c>
      <c r="G10" t="s">
        <v>60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35">
      <c r="A11" t="s">
        <v>54</v>
      </c>
      <c r="B11">
        <v>10</v>
      </c>
      <c r="C11" t="s">
        <v>75</v>
      </c>
      <c r="D11" t="s">
        <v>76</v>
      </c>
      <c r="E11" t="s">
        <v>13</v>
      </c>
      <c r="F11" t="s">
        <v>56</v>
      </c>
      <c r="G11" t="s">
        <v>60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35">
      <c r="A12" t="s">
        <v>54</v>
      </c>
      <c r="B12">
        <v>11</v>
      </c>
      <c r="C12" t="s">
        <v>77</v>
      </c>
      <c r="D12" t="s">
        <v>78</v>
      </c>
      <c r="E12" t="s">
        <v>13</v>
      </c>
      <c r="F12" t="s">
        <v>56</v>
      </c>
      <c r="G12" t="s">
        <v>60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0</v>
      </c>
      <c r="Q12">
        <v>0</v>
      </c>
      <c r="R12">
        <v>0</v>
      </c>
      <c r="S12">
        <v>0</v>
      </c>
    </row>
    <row r="13" spans="1:19" x14ac:dyDescent="0.35">
      <c r="A13" t="s">
        <v>54</v>
      </c>
      <c r="B13">
        <v>12</v>
      </c>
      <c r="C13" t="s">
        <v>79</v>
      </c>
      <c r="D13" t="s">
        <v>80</v>
      </c>
      <c r="E13" t="s">
        <v>13</v>
      </c>
      <c r="F13" t="s">
        <v>56</v>
      </c>
      <c r="G13" t="s">
        <v>81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35">
      <c r="A14" t="s">
        <v>54</v>
      </c>
      <c r="B14">
        <v>13</v>
      </c>
      <c r="C14" t="s">
        <v>82</v>
      </c>
      <c r="D14" t="s">
        <v>7</v>
      </c>
      <c r="E14" t="s">
        <v>13</v>
      </c>
      <c r="F14" t="s">
        <v>56</v>
      </c>
      <c r="G14" t="s">
        <v>81</v>
      </c>
      <c r="H14">
        <v>0</v>
      </c>
      <c r="I14">
        <v>0</v>
      </c>
      <c r="J14">
        <v>0</v>
      </c>
      <c r="K14">
        <v>524.99998800000003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35">
      <c r="A15" t="s">
        <v>54</v>
      </c>
      <c r="B15">
        <v>14</v>
      </c>
      <c r="C15" t="s">
        <v>83</v>
      </c>
      <c r="D15" t="s">
        <v>84</v>
      </c>
      <c r="E15" t="s">
        <v>13</v>
      </c>
      <c r="F15" t="s">
        <v>56</v>
      </c>
      <c r="G15" t="s">
        <v>85</v>
      </c>
      <c r="H15">
        <v>0</v>
      </c>
      <c r="I15">
        <v>0</v>
      </c>
      <c r="J15">
        <v>0</v>
      </c>
      <c r="K15">
        <v>11.999988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35">
      <c r="A16" t="s">
        <v>54</v>
      </c>
      <c r="B16">
        <v>15</v>
      </c>
      <c r="C16" t="s">
        <v>86</v>
      </c>
      <c r="D16" t="s">
        <v>87</v>
      </c>
      <c r="E16" t="s">
        <v>13</v>
      </c>
      <c r="F16" t="s">
        <v>56</v>
      </c>
      <c r="G16" t="s">
        <v>57</v>
      </c>
      <c r="H16">
        <v>0</v>
      </c>
      <c r="I16">
        <v>0</v>
      </c>
      <c r="J16">
        <v>0</v>
      </c>
      <c r="K16">
        <v>2000.00001599999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35">
      <c r="A17" t="s">
        <v>54</v>
      </c>
      <c r="B17">
        <v>16</v>
      </c>
      <c r="C17" t="s">
        <v>88</v>
      </c>
      <c r="D17" t="s">
        <v>89</v>
      </c>
      <c r="E17" t="s">
        <v>13</v>
      </c>
      <c r="F17" t="s">
        <v>56</v>
      </c>
      <c r="G17" t="s">
        <v>60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P17">
        <v>0</v>
      </c>
      <c r="Q17">
        <v>0</v>
      </c>
      <c r="R17">
        <v>0</v>
      </c>
      <c r="S17">
        <v>0</v>
      </c>
    </row>
    <row r="18" spans="1:19" x14ac:dyDescent="0.35">
      <c r="A18" t="s">
        <v>54</v>
      </c>
      <c r="B18">
        <v>17</v>
      </c>
      <c r="C18" t="s">
        <v>90</v>
      </c>
      <c r="D18" t="s">
        <v>91</v>
      </c>
      <c r="E18" t="s">
        <v>13</v>
      </c>
      <c r="F18" t="s">
        <v>92</v>
      </c>
      <c r="G18" t="s">
        <v>81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35">
      <c r="A19" t="s">
        <v>54</v>
      </c>
      <c r="B19">
        <v>18</v>
      </c>
      <c r="C19" t="s">
        <v>93</v>
      </c>
      <c r="D19" t="s">
        <v>94</v>
      </c>
      <c r="E19" t="s">
        <v>13</v>
      </c>
      <c r="F19" t="s">
        <v>92</v>
      </c>
      <c r="G19" t="s">
        <v>60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35">
      <c r="A20" t="s">
        <v>54</v>
      </c>
      <c r="B20">
        <v>19</v>
      </c>
      <c r="C20" t="s">
        <v>95</v>
      </c>
      <c r="D20" t="s">
        <v>96</v>
      </c>
      <c r="E20" t="s">
        <v>13</v>
      </c>
      <c r="F20" t="s">
        <v>92</v>
      </c>
      <c r="G20" t="s">
        <v>60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35">
      <c r="A21" t="s">
        <v>54</v>
      </c>
      <c r="B21">
        <v>20</v>
      </c>
      <c r="C21" t="s">
        <v>97</v>
      </c>
      <c r="D21" t="s">
        <v>98</v>
      </c>
      <c r="E21" t="s">
        <v>13</v>
      </c>
      <c r="F21" t="s">
        <v>92</v>
      </c>
      <c r="G21" t="s">
        <v>60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35">
      <c r="A22" t="s">
        <v>54</v>
      </c>
      <c r="B22">
        <v>21</v>
      </c>
      <c r="C22" t="s">
        <v>99</v>
      </c>
      <c r="D22" t="s">
        <v>100</v>
      </c>
      <c r="E22" t="s">
        <v>13</v>
      </c>
      <c r="F22" t="s">
        <v>92</v>
      </c>
      <c r="G22" t="s">
        <v>60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 x14ac:dyDescent="0.35">
      <c r="A23" t="s">
        <v>54</v>
      </c>
      <c r="B23">
        <v>22</v>
      </c>
      <c r="C23" t="s">
        <v>101</v>
      </c>
      <c r="D23" t="s">
        <v>102</v>
      </c>
      <c r="E23" t="s">
        <v>13</v>
      </c>
      <c r="F23" t="s">
        <v>92</v>
      </c>
      <c r="G23" t="s">
        <v>60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P23">
        <v>0</v>
      </c>
      <c r="Q23">
        <v>0</v>
      </c>
      <c r="R23">
        <v>0</v>
      </c>
      <c r="S23">
        <v>0</v>
      </c>
    </row>
    <row r="24" spans="1:19" x14ac:dyDescent="0.35">
      <c r="A24" t="s">
        <v>54</v>
      </c>
      <c r="B24">
        <v>23</v>
      </c>
      <c r="C24" t="s">
        <v>103</v>
      </c>
      <c r="D24" t="s">
        <v>104</v>
      </c>
      <c r="E24" t="s">
        <v>13</v>
      </c>
      <c r="F24" t="s">
        <v>92</v>
      </c>
      <c r="G24" t="s">
        <v>81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35">
      <c r="A25" t="s">
        <v>54</v>
      </c>
      <c r="B25">
        <v>24</v>
      </c>
      <c r="C25" t="s">
        <v>105</v>
      </c>
      <c r="D25" t="s">
        <v>106</v>
      </c>
      <c r="E25" t="s">
        <v>13</v>
      </c>
      <c r="F25" t="s">
        <v>92</v>
      </c>
      <c r="G25" t="s">
        <v>85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35">
      <c r="A26" t="s">
        <v>54</v>
      </c>
      <c r="B26">
        <v>25</v>
      </c>
      <c r="C26" t="s">
        <v>107</v>
      </c>
      <c r="D26" t="s">
        <v>108</v>
      </c>
      <c r="E26" t="s">
        <v>13</v>
      </c>
      <c r="F26" t="s">
        <v>92</v>
      </c>
      <c r="G26" t="s">
        <v>57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35">
      <c r="A27" t="s">
        <v>54</v>
      </c>
      <c r="B27">
        <v>26</v>
      </c>
      <c r="C27" t="s">
        <v>109</v>
      </c>
      <c r="D27" t="s">
        <v>110</v>
      </c>
      <c r="E27" t="s">
        <v>13</v>
      </c>
      <c r="F27" t="s">
        <v>92</v>
      </c>
      <c r="G27" t="s">
        <v>60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P27">
        <v>0</v>
      </c>
      <c r="Q27">
        <v>0</v>
      </c>
      <c r="R27">
        <v>0</v>
      </c>
      <c r="S27">
        <v>0</v>
      </c>
    </row>
    <row r="28" spans="1:19" x14ac:dyDescent="0.35">
      <c r="A28" t="s">
        <v>54</v>
      </c>
      <c r="B28">
        <v>27</v>
      </c>
      <c r="C28" t="s">
        <v>111</v>
      </c>
      <c r="D28" t="s">
        <v>112</v>
      </c>
      <c r="E28" t="s">
        <v>13</v>
      </c>
      <c r="F28" t="s">
        <v>113</v>
      </c>
      <c r="G28" t="s">
        <v>60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 x14ac:dyDescent="0.35">
      <c r="A29" t="s">
        <v>54</v>
      </c>
      <c r="B29">
        <v>28</v>
      </c>
      <c r="C29" t="s">
        <v>114</v>
      </c>
      <c r="D29" t="s">
        <v>115</v>
      </c>
      <c r="E29" t="s">
        <v>13</v>
      </c>
      <c r="F29" t="s">
        <v>113</v>
      </c>
      <c r="G29" t="s">
        <v>60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35">
      <c r="A30" t="s">
        <v>54</v>
      </c>
      <c r="B30">
        <v>29</v>
      </c>
      <c r="C30" t="s">
        <v>116</v>
      </c>
      <c r="D30" t="s">
        <v>117</v>
      </c>
      <c r="E30" t="s">
        <v>13</v>
      </c>
      <c r="F30" t="s">
        <v>113</v>
      </c>
      <c r="G30" t="s">
        <v>60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35">
      <c r="A31" t="s">
        <v>54</v>
      </c>
      <c r="B31">
        <v>30</v>
      </c>
      <c r="C31" t="s">
        <v>118</v>
      </c>
      <c r="D31" t="s">
        <v>119</v>
      </c>
      <c r="E31" t="s">
        <v>13</v>
      </c>
      <c r="F31" t="s">
        <v>113</v>
      </c>
      <c r="G31" t="s">
        <v>60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35">
      <c r="A32" t="s">
        <v>54</v>
      </c>
      <c r="B32">
        <v>31</v>
      </c>
      <c r="C32" t="s">
        <v>120</v>
      </c>
      <c r="D32" t="s">
        <v>121</v>
      </c>
      <c r="E32" t="s">
        <v>13</v>
      </c>
      <c r="F32" t="s">
        <v>113</v>
      </c>
      <c r="G32" t="s">
        <v>60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35">
      <c r="A33" t="s">
        <v>54</v>
      </c>
      <c r="B33">
        <v>32</v>
      </c>
      <c r="C33" t="s">
        <v>122</v>
      </c>
      <c r="D33" t="s">
        <v>123</v>
      </c>
      <c r="E33" t="s">
        <v>13</v>
      </c>
      <c r="F33" t="s">
        <v>113</v>
      </c>
      <c r="G33" t="s">
        <v>60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35">
      <c r="A34" t="s">
        <v>54</v>
      </c>
      <c r="B34">
        <v>33</v>
      </c>
      <c r="C34" t="s">
        <v>124</v>
      </c>
      <c r="D34" t="s">
        <v>125</v>
      </c>
      <c r="E34" t="s">
        <v>13</v>
      </c>
      <c r="F34" t="s">
        <v>113</v>
      </c>
      <c r="G34" t="s">
        <v>60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P34">
        <v>0</v>
      </c>
      <c r="Q34">
        <v>0</v>
      </c>
      <c r="R34">
        <v>0</v>
      </c>
      <c r="S34">
        <v>0</v>
      </c>
    </row>
    <row r="35" spans="1:19" x14ac:dyDescent="0.35">
      <c r="A35" t="s">
        <v>54</v>
      </c>
      <c r="B35">
        <v>34</v>
      </c>
      <c r="C35" t="s">
        <v>126</v>
      </c>
      <c r="D35" t="s">
        <v>127</v>
      </c>
      <c r="E35" t="s">
        <v>13</v>
      </c>
      <c r="F35" t="s">
        <v>113</v>
      </c>
      <c r="G35" t="s">
        <v>57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35">
      <c r="A36" t="s">
        <v>54</v>
      </c>
      <c r="B36">
        <v>35</v>
      </c>
      <c r="C36" t="s">
        <v>128</v>
      </c>
      <c r="D36" t="s">
        <v>129</v>
      </c>
      <c r="E36" t="s">
        <v>13</v>
      </c>
      <c r="F36" t="s">
        <v>113</v>
      </c>
      <c r="G36" t="s">
        <v>57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P36">
        <v>0</v>
      </c>
      <c r="Q36">
        <v>0</v>
      </c>
      <c r="R36">
        <v>0</v>
      </c>
      <c r="S36">
        <v>0</v>
      </c>
    </row>
    <row r="37" spans="1:19" x14ac:dyDescent="0.35">
      <c r="A37" t="s">
        <v>54</v>
      </c>
      <c r="B37">
        <v>36</v>
      </c>
      <c r="C37" t="s">
        <v>130</v>
      </c>
      <c r="D37" t="s">
        <v>131</v>
      </c>
      <c r="E37" t="s">
        <v>13</v>
      </c>
      <c r="F37" t="s">
        <v>132</v>
      </c>
      <c r="G37" t="s">
        <v>60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 x14ac:dyDescent="0.35">
      <c r="A38" t="s">
        <v>54</v>
      </c>
      <c r="B38">
        <v>37</v>
      </c>
      <c r="C38" t="s">
        <v>133</v>
      </c>
      <c r="D38" t="s">
        <v>134</v>
      </c>
      <c r="E38" t="s">
        <v>13</v>
      </c>
      <c r="F38" t="s">
        <v>132</v>
      </c>
      <c r="G38" t="s">
        <v>60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1:19" x14ac:dyDescent="0.35">
      <c r="A39" t="s">
        <v>54</v>
      </c>
      <c r="B39">
        <v>38</v>
      </c>
      <c r="C39" t="s">
        <v>135</v>
      </c>
      <c r="D39" t="s">
        <v>136</v>
      </c>
      <c r="E39" t="s">
        <v>13</v>
      </c>
      <c r="F39" t="s">
        <v>132</v>
      </c>
      <c r="G39" t="s">
        <v>60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 x14ac:dyDescent="0.35">
      <c r="A40" t="s">
        <v>54</v>
      </c>
      <c r="B40">
        <v>39</v>
      </c>
      <c r="C40" t="s">
        <v>137</v>
      </c>
      <c r="D40" t="s">
        <v>138</v>
      </c>
      <c r="E40" t="s">
        <v>13</v>
      </c>
      <c r="F40" t="s">
        <v>132</v>
      </c>
      <c r="G40" t="s">
        <v>60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35">
      <c r="A41" t="s">
        <v>54</v>
      </c>
      <c r="B41">
        <v>40</v>
      </c>
      <c r="C41" t="s">
        <v>139</v>
      </c>
      <c r="D41" t="s">
        <v>140</v>
      </c>
      <c r="E41" t="s">
        <v>13</v>
      </c>
      <c r="F41" t="s">
        <v>132</v>
      </c>
      <c r="G41" t="s">
        <v>60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P41">
        <v>0</v>
      </c>
      <c r="Q41">
        <v>0</v>
      </c>
      <c r="R41">
        <v>0</v>
      </c>
      <c r="S41">
        <v>0</v>
      </c>
    </row>
    <row r="42" spans="1:19" x14ac:dyDescent="0.35">
      <c r="A42" t="s">
        <v>54</v>
      </c>
      <c r="B42">
        <v>41</v>
      </c>
      <c r="C42" t="s">
        <v>141</v>
      </c>
      <c r="D42" t="s">
        <v>142</v>
      </c>
      <c r="E42" t="s">
        <v>13</v>
      </c>
      <c r="F42" t="s">
        <v>132</v>
      </c>
      <c r="G42" t="s">
        <v>81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1:19" x14ac:dyDescent="0.35">
      <c r="A43" t="s">
        <v>54</v>
      </c>
      <c r="B43">
        <v>42</v>
      </c>
      <c r="C43" t="s">
        <v>143</v>
      </c>
      <c r="D43" t="s">
        <v>144</v>
      </c>
      <c r="E43" t="s">
        <v>13</v>
      </c>
      <c r="F43" t="s">
        <v>132</v>
      </c>
      <c r="G43" t="s">
        <v>85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19" x14ac:dyDescent="0.35">
      <c r="A44" t="s">
        <v>54</v>
      </c>
      <c r="B44">
        <v>43</v>
      </c>
      <c r="C44" t="s">
        <v>145</v>
      </c>
      <c r="D44" t="s">
        <v>146</v>
      </c>
      <c r="E44" t="s">
        <v>13</v>
      </c>
      <c r="F44" t="s">
        <v>132</v>
      </c>
      <c r="G44" t="s">
        <v>60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 x14ac:dyDescent="0.35">
      <c r="A45" t="s">
        <v>54</v>
      </c>
      <c r="B45">
        <v>44</v>
      </c>
      <c r="C45" t="s">
        <v>147</v>
      </c>
      <c r="D45" t="s">
        <v>148</v>
      </c>
      <c r="E45" t="s">
        <v>13</v>
      </c>
      <c r="F45" t="s">
        <v>132</v>
      </c>
      <c r="G45" t="s">
        <v>60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P45">
        <v>0</v>
      </c>
      <c r="Q45">
        <v>0</v>
      </c>
      <c r="R45">
        <v>0</v>
      </c>
      <c r="S45">
        <v>0</v>
      </c>
    </row>
    <row r="46" spans="1:19" x14ac:dyDescent="0.35">
      <c r="A46" t="s">
        <v>54</v>
      </c>
      <c r="B46">
        <v>45</v>
      </c>
      <c r="C46" t="s">
        <v>149</v>
      </c>
      <c r="D46" t="s">
        <v>150</v>
      </c>
      <c r="E46" t="s">
        <v>13</v>
      </c>
      <c r="F46" t="s">
        <v>151</v>
      </c>
      <c r="G46" t="s">
        <v>81</v>
      </c>
      <c r="H46">
        <v>0</v>
      </c>
      <c r="I46">
        <v>0</v>
      </c>
      <c r="J46">
        <v>0</v>
      </c>
      <c r="K46">
        <v>86.000004000000004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 x14ac:dyDescent="0.35">
      <c r="A47" t="s">
        <v>54</v>
      </c>
      <c r="B47">
        <v>46</v>
      </c>
      <c r="C47" t="s">
        <v>152</v>
      </c>
      <c r="D47" t="s">
        <v>153</v>
      </c>
      <c r="E47" t="s">
        <v>13</v>
      </c>
      <c r="F47" t="s">
        <v>151</v>
      </c>
      <c r="G47" t="s">
        <v>154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 x14ac:dyDescent="0.35">
      <c r="A48" t="s">
        <v>54</v>
      </c>
      <c r="B48">
        <v>47</v>
      </c>
      <c r="C48" t="s">
        <v>155</v>
      </c>
      <c r="D48" t="s">
        <v>156</v>
      </c>
      <c r="E48" t="s">
        <v>13</v>
      </c>
      <c r="F48" t="s">
        <v>151</v>
      </c>
      <c r="G48" t="s">
        <v>85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35">
      <c r="A49" t="s">
        <v>54</v>
      </c>
      <c r="B49">
        <v>48</v>
      </c>
      <c r="C49" t="s">
        <v>157</v>
      </c>
      <c r="D49" t="s">
        <v>158</v>
      </c>
      <c r="E49" t="s">
        <v>13</v>
      </c>
      <c r="F49" t="s">
        <v>151</v>
      </c>
      <c r="G49" t="s">
        <v>159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35">
      <c r="A50" t="s">
        <v>54</v>
      </c>
      <c r="B50">
        <v>49</v>
      </c>
      <c r="C50" t="s">
        <v>160</v>
      </c>
      <c r="D50" t="s">
        <v>161</v>
      </c>
      <c r="E50" t="s">
        <v>13</v>
      </c>
      <c r="F50" t="s">
        <v>151</v>
      </c>
      <c r="G50" t="s">
        <v>57</v>
      </c>
      <c r="H50">
        <v>0</v>
      </c>
      <c r="I50">
        <v>0</v>
      </c>
      <c r="J50">
        <v>0</v>
      </c>
      <c r="K50">
        <v>15000.0000119999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1:19" x14ac:dyDescent="0.35">
      <c r="A51" t="s">
        <v>54</v>
      </c>
      <c r="B51">
        <v>50</v>
      </c>
      <c r="C51" t="s">
        <v>162</v>
      </c>
      <c r="D51" t="s">
        <v>163</v>
      </c>
      <c r="E51" t="s">
        <v>13</v>
      </c>
      <c r="F51" t="s">
        <v>151</v>
      </c>
      <c r="G51" t="s">
        <v>57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P51">
        <v>0</v>
      </c>
      <c r="Q51">
        <v>0</v>
      </c>
      <c r="R51">
        <v>0</v>
      </c>
      <c r="S51">
        <v>0</v>
      </c>
    </row>
    <row r="52" spans="1:19" x14ac:dyDescent="0.35">
      <c r="A52" t="s">
        <v>54</v>
      </c>
      <c r="B52">
        <v>51</v>
      </c>
      <c r="C52" t="s">
        <v>164</v>
      </c>
      <c r="D52" t="s">
        <v>165</v>
      </c>
      <c r="E52" t="s">
        <v>13</v>
      </c>
      <c r="F52" t="s">
        <v>165</v>
      </c>
      <c r="G52" t="s">
        <v>57</v>
      </c>
      <c r="H52">
        <v>0</v>
      </c>
      <c r="I52">
        <v>0</v>
      </c>
      <c r="J52">
        <v>0</v>
      </c>
      <c r="K52">
        <v>4500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x14ac:dyDescent="0.35">
      <c r="A53" t="s">
        <v>54</v>
      </c>
      <c r="B53">
        <v>52</v>
      </c>
      <c r="C53" t="s">
        <v>166</v>
      </c>
      <c r="D53" t="s">
        <v>167</v>
      </c>
      <c r="E53" t="s">
        <v>13</v>
      </c>
      <c r="F53" t="s">
        <v>168</v>
      </c>
      <c r="G53" t="s">
        <v>57</v>
      </c>
      <c r="H53">
        <v>0</v>
      </c>
      <c r="I53">
        <v>0</v>
      </c>
      <c r="J53">
        <v>0</v>
      </c>
      <c r="K53">
        <v>1850.000004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35">
      <c r="A54" t="s">
        <v>54</v>
      </c>
      <c r="B54">
        <v>53</v>
      </c>
      <c r="C54" t="s">
        <v>169</v>
      </c>
      <c r="D54" t="s">
        <v>11</v>
      </c>
      <c r="E54" t="s">
        <v>13</v>
      </c>
      <c r="F54" t="s">
        <v>170</v>
      </c>
      <c r="G54" t="s">
        <v>60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P54">
        <v>0</v>
      </c>
      <c r="Q54">
        <v>0</v>
      </c>
      <c r="R54">
        <v>0</v>
      </c>
      <c r="S54">
        <v>0</v>
      </c>
    </row>
    <row r="55" spans="1:19" x14ac:dyDescent="0.35">
      <c r="A55" t="s">
        <v>54</v>
      </c>
      <c r="B55">
        <v>54</v>
      </c>
      <c r="C55" t="s">
        <v>171</v>
      </c>
      <c r="D55" t="s">
        <v>172</v>
      </c>
      <c r="E55" t="s">
        <v>173</v>
      </c>
      <c r="F55" t="s">
        <v>174</v>
      </c>
      <c r="G55" t="s">
        <v>81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35">
      <c r="A56" t="s">
        <v>54</v>
      </c>
      <c r="B56">
        <v>55</v>
      </c>
      <c r="C56" t="s">
        <v>175</v>
      </c>
      <c r="D56" t="s">
        <v>176</v>
      </c>
      <c r="E56" t="s">
        <v>173</v>
      </c>
      <c r="F56" t="s">
        <v>174</v>
      </c>
      <c r="G56" t="s">
        <v>85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35">
      <c r="A57" t="s">
        <v>54</v>
      </c>
      <c r="B57">
        <v>56</v>
      </c>
      <c r="C57" t="s">
        <v>177</v>
      </c>
      <c r="D57" t="s">
        <v>178</v>
      </c>
      <c r="E57" t="s">
        <v>173</v>
      </c>
      <c r="F57" t="s">
        <v>179</v>
      </c>
      <c r="G57" t="s">
        <v>81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 x14ac:dyDescent="0.35">
      <c r="A58" t="s">
        <v>54</v>
      </c>
      <c r="B58">
        <v>57</v>
      </c>
      <c r="C58" t="s">
        <v>180</v>
      </c>
      <c r="D58" t="s">
        <v>181</v>
      </c>
      <c r="E58" t="s">
        <v>173</v>
      </c>
      <c r="F58" t="s">
        <v>179</v>
      </c>
      <c r="G58" t="s">
        <v>81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 x14ac:dyDescent="0.35">
      <c r="A59" t="s">
        <v>54</v>
      </c>
      <c r="B59">
        <v>58</v>
      </c>
      <c r="C59" t="s">
        <v>182</v>
      </c>
      <c r="D59" t="s">
        <v>183</v>
      </c>
      <c r="E59" t="s">
        <v>173</v>
      </c>
      <c r="F59" t="s">
        <v>184</v>
      </c>
      <c r="G59" t="s">
        <v>81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 x14ac:dyDescent="0.35">
      <c r="A60" t="s">
        <v>54</v>
      </c>
      <c r="B60">
        <v>59</v>
      </c>
      <c r="C60" t="s">
        <v>185</v>
      </c>
      <c r="D60" t="s">
        <v>186</v>
      </c>
      <c r="E60" t="s">
        <v>173</v>
      </c>
      <c r="F60" t="s">
        <v>184</v>
      </c>
      <c r="G60" t="s">
        <v>60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 x14ac:dyDescent="0.35">
      <c r="A61" t="s">
        <v>54</v>
      </c>
      <c r="B61">
        <v>60</v>
      </c>
      <c r="C61" t="s">
        <v>187</v>
      </c>
      <c r="D61" t="s">
        <v>188</v>
      </c>
      <c r="E61" t="s">
        <v>173</v>
      </c>
      <c r="F61" t="s">
        <v>184</v>
      </c>
      <c r="G61" t="s">
        <v>60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35">
      <c r="A62" t="s">
        <v>54</v>
      </c>
      <c r="B62">
        <v>61</v>
      </c>
      <c r="C62" t="s">
        <v>189</v>
      </c>
      <c r="D62" t="s">
        <v>190</v>
      </c>
      <c r="E62" t="s">
        <v>173</v>
      </c>
      <c r="F62" t="s">
        <v>184</v>
      </c>
      <c r="G62" t="s">
        <v>60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19" x14ac:dyDescent="0.35">
      <c r="A63" t="s">
        <v>54</v>
      </c>
      <c r="B63">
        <v>62</v>
      </c>
      <c r="C63" t="s">
        <v>191</v>
      </c>
      <c r="D63" t="s">
        <v>192</v>
      </c>
      <c r="E63" t="s">
        <v>173</v>
      </c>
      <c r="F63" t="s">
        <v>184</v>
      </c>
      <c r="G63" t="s">
        <v>60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35">
      <c r="A64" t="s">
        <v>54</v>
      </c>
      <c r="B64">
        <v>63</v>
      </c>
      <c r="C64" t="s">
        <v>193</v>
      </c>
      <c r="D64" t="s">
        <v>194</v>
      </c>
      <c r="E64" t="s">
        <v>173</v>
      </c>
      <c r="F64" t="s">
        <v>184</v>
      </c>
      <c r="G64" t="s">
        <v>57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P64">
        <v>0</v>
      </c>
      <c r="Q64">
        <v>0</v>
      </c>
      <c r="R64">
        <v>0</v>
      </c>
      <c r="S64">
        <v>0</v>
      </c>
    </row>
    <row r="65" spans="1:19" x14ac:dyDescent="0.35">
      <c r="A65" t="s">
        <v>54</v>
      </c>
      <c r="B65">
        <v>64</v>
      </c>
      <c r="C65" t="s">
        <v>195</v>
      </c>
      <c r="D65" t="s">
        <v>196</v>
      </c>
      <c r="E65" t="s">
        <v>173</v>
      </c>
      <c r="F65" t="s">
        <v>197</v>
      </c>
      <c r="G65" t="s">
        <v>60</v>
      </c>
      <c r="H65">
        <v>0</v>
      </c>
      <c r="I65">
        <v>0</v>
      </c>
      <c r="J65">
        <v>0</v>
      </c>
      <c r="K65">
        <v>1244.000016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35">
      <c r="A66" t="s">
        <v>54</v>
      </c>
      <c r="B66">
        <v>65</v>
      </c>
      <c r="C66" t="s">
        <v>198</v>
      </c>
      <c r="D66" t="s">
        <v>199</v>
      </c>
      <c r="E66" t="s">
        <v>173</v>
      </c>
      <c r="F66" t="s">
        <v>197</v>
      </c>
      <c r="G66" t="s">
        <v>60</v>
      </c>
      <c r="H66">
        <v>0</v>
      </c>
      <c r="I66">
        <v>0</v>
      </c>
      <c r="J66">
        <v>0</v>
      </c>
      <c r="K66">
        <v>288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35">
      <c r="A67" t="s">
        <v>54</v>
      </c>
      <c r="B67">
        <v>66</v>
      </c>
      <c r="C67" t="s">
        <v>200</v>
      </c>
      <c r="D67" t="s">
        <v>201</v>
      </c>
      <c r="E67" t="s">
        <v>173</v>
      </c>
      <c r="F67" t="s">
        <v>197</v>
      </c>
      <c r="G67" t="s">
        <v>60</v>
      </c>
      <c r="H67">
        <v>0</v>
      </c>
      <c r="I67">
        <v>0</v>
      </c>
      <c r="J67">
        <v>0</v>
      </c>
      <c r="K67">
        <v>117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35">
      <c r="A68" t="s">
        <v>54</v>
      </c>
      <c r="B68">
        <v>67</v>
      </c>
      <c r="C68" t="s">
        <v>202</v>
      </c>
      <c r="D68" t="s">
        <v>203</v>
      </c>
      <c r="E68" t="s">
        <v>173</v>
      </c>
      <c r="F68" t="s">
        <v>197</v>
      </c>
      <c r="G68" t="s">
        <v>60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35">
      <c r="A69" t="s">
        <v>54</v>
      </c>
      <c r="B69">
        <v>68</v>
      </c>
      <c r="C69" t="s">
        <v>204</v>
      </c>
      <c r="D69" t="s">
        <v>205</v>
      </c>
      <c r="E69" t="s">
        <v>173</v>
      </c>
      <c r="F69" t="s">
        <v>197</v>
      </c>
      <c r="G69" t="s">
        <v>60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P69">
        <v>0</v>
      </c>
      <c r="Q69">
        <v>0</v>
      </c>
      <c r="R69">
        <v>0</v>
      </c>
      <c r="S69">
        <v>0</v>
      </c>
    </row>
    <row r="70" spans="1:19" x14ac:dyDescent="0.35">
      <c r="A70" t="s">
        <v>54</v>
      </c>
      <c r="B70">
        <v>69</v>
      </c>
      <c r="C70" t="s">
        <v>206</v>
      </c>
      <c r="D70" t="s">
        <v>207</v>
      </c>
      <c r="E70" t="s">
        <v>173</v>
      </c>
      <c r="F70" t="s">
        <v>207</v>
      </c>
      <c r="G70" t="s">
        <v>60</v>
      </c>
      <c r="H70">
        <v>0</v>
      </c>
      <c r="I70">
        <v>0</v>
      </c>
      <c r="J70">
        <v>0</v>
      </c>
      <c r="K70">
        <v>3465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35">
      <c r="A71" t="s">
        <v>54</v>
      </c>
      <c r="B71">
        <v>70</v>
      </c>
      <c r="C71" t="s">
        <v>208</v>
      </c>
      <c r="D71" t="s">
        <v>209</v>
      </c>
      <c r="E71" t="s">
        <v>173</v>
      </c>
      <c r="F71" t="s">
        <v>209</v>
      </c>
      <c r="G71" t="s">
        <v>57</v>
      </c>
      <c r="H71">
        <v>0</v>
      </c>
      <c r="I71">
        <v>0</v>
      </c>
      <c r="J71">
        <v>0</v>
      </c>
      <c r="K71">
        <v>1524.999996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35">
      <c r="A72" t="s">
        <v>54</v>
      </c>
      <c r="B72">
        <v>71</v>
      </c>
      <c r="C72" t="s">
        <v>210</v>
      </c>
      <c r="D72" t="s">
        <v>211</v>
      </c>
      <c r="E72" t="s">
        <v>173</v>
      </c>
      <c r="F72" t="s">
        <v>211</v>
      </c>
      <c r="G72" t="s">
        <v>57</v>
      </c>
      <c r="H72">
        <v>0</v>
      </c>
      <c r="I72">
        <v>0</v>
      </c>
      <c r="J72">
        <v>0</v>
      </c>
      <c r="K72">
        <v>3499.999992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35">
      <c r="A73" t="s">
        <v>54</v>
      </c>
      <c r="B73">
        <v>72</v>
      </c>
      <c r="C73" t="s">
        <v>212</v>
      </c>
      <c r="D73" t="s">
        <v>213</v>
      </c>
      <c r="E73" t="s">
        <v>173</v>
      </c>
      <c r="F73" t="s">
        <v>214</v>
      </c>
      <c r="G73" t="s">
        <v>57</v>
      </c>
      <c r="H73">
        <v>0</v>
      </c>
      <c r="I73">
        <v>0</v>
      </c>
      <c r="J73">
        <v>0</v>
      </c>
      <c r="K73">
        <v>5000.0000040000004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35">
      <c r="A74" t="s">
        <v>54</v>
      </c>
      <c r="B74">
        <v>73</v>
      </c>
      <c r="C74" t="s">
        <v>215</v>
      </c>
      <c r="D74" t="s">
        <v>216</v>
      </c>
      <c r="E74" t="s">
        <v>173</v>
      </c>
      <c r="F74" t="s">
        <v>170</v>
      </c>
      <c r="G74" t="s">
        <v>57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P74">
        <v>0</v>
      </c>
      <c r="Q74">
        <v>0</v>
      </c>
      <c r="R74">
        <v>0</v>
      </c>
      <c r="S74">
        <v>0</v>
      </c>
    </row>
    <row r="75" spans="1:19" x14ac:dyDescent="0.35">
      <c r="A75" t="s">
        <v>54</v>
      </c>
      <c r="B75">
        <v>74</v>
      </c>
      <c r="C75" t="s">
        <v>217</v>
      </c>
      <c r="D75" t="s">
        <v>218</v>
      </c>
      <c r="E75" t="s">
        <v>219</v>
      </c>
      <c r="F75" t="s">
        <v>9</v>
      </c>
      <c r="G75" t="s">
        <v>60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 x14ac:dyDescent="0.35">
      <c r="A76" t="s">
        <v>54</v>
      </c>
      <c r="B76">
        <v>75</v>
      </c>
      <c r="C76" t="s">
        <v>220</v>
      </c>
      <c r="D76" t="s">
        <v>221</v>
      </c>
      <c r="E76" t="s">
        <v>219</v>
      </c>
      <c r="F76" t="s">
        <v>9</v>
      </c>
      <c r="G76" t="s">
        <v>60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 x14ac:dyDescent="0.35">
      <c r="A77" t="s">
        <v>54</v>
      </c>
      <c r="B77">
        <v>76</v>
      </c>
      <c r="C77" t="s">
        <v>222</v>
      </c>
      <c r="D77" t="s">
        <v>223</v>
      </c>
      <c r="E77" t="s">
        <v>219</v>
      </c>
      <c r="F77" t="s">
        <v>9</v>
      </c>
      <c r="G77" t="s">
        <v>60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35">
      <c r="A78" t="s">
        <v>54</v>
      </c>
      <c r="B78">
        <v>77</v>
      </c>
      <c r="C78" t="s">
        <v>224</v>
      </c>
      <c r="D78" t="s">
        <v>225</v>
      </c>
      <c r="E78" t="s">
        <v>219</v>
      </c>
      <c r="F78" t="s">
        <v>9</v>
      </c>
      <c r="G78" t="s">
        <v>60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35">
      <c r="A79" t="s">
        <v>54</v>
      </c>
      <c r="B79">
        <v>78</v>
      </c>
      <c r="C79" t="s">
        <v>226</v>
      </c>
      <c r="D79" t="s">
        <v>227</v>
      </c>
      <c r="E79" t="s">
        <v>219</v>
      </c>
      <c r="F79" t="s">
        <v>9</v>
      </c>
      <c r="G79" t="s">
        <v>60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P79">
        <v>0</v>
      </c>
      <c r="Q79">
        <v>0</v>
      </c>
      <c r="R79">
        <v>0</v>
      </c>
      <c r="S79">
        <v>0</v>
      </c>
    </row>
    <row r="80" spans="1:19" x14ac:dyDescent="0.35">
      <c r="A80" t="s">
        <v>54</v>
      </c>
      <c r="B80">
        <v>79</v>
      </c>
      <c r="C80" t="s">
        <v>228</v>
      </c>
      <c r="D80" t="s">
        <v>229</v>
      </c>
      <c r="E80" t="s">
        <v>219</v>
      </c>
      <c r="F80" t="s">
        <v>9</v>
      </c>
      <c r="G80" t="s">
        <v>57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35">
      <c r="A81" t="s">
        <v>54</v>
      </c>
      <c r="B81">
        <v>80</v>
      </c>
      <c r="C81" t="s">
        <v>230</v>
      </c>
      <c r="D81" t="s">
        <v>231</v>
      </c>
      <c r="E81" t="s">
        <v>219</v>
      </c>
      <c r="F81" t="s">
        <v>9</v>
      </c>
      <c r="G81" t="s">
        <v>57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P81">
        <v>0</v>
      </c>
      <c r="Q81">
        <v>0</v>
      </c>
      <c r="R81">
        <v>0</v>
      </c>
      <c r="S81">
        <v>0</v>
      </c>
    </row>
    <row r="82" spans="1:19" x14ac:dyDescent="0.35">
      <c r="A82" t="s">
        <v>54</v>
      </c>
      <c r="B82">
        <v>81</v>
      </c>
      <c r="C82" t="s">
        <v>232</v>
      </c>
      <c r="D82" t="s">
        <v>233</v>
      </c>
      <c r="E82" t="s">
        <v>219</v>
      </c>
      <c r="F82" t="s">
        <v>234</v>
      </c>
      <c r="G82" t="s">
        <v>60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35">
      <c r="A83" t="s">
        <v>54</v>
      </c>
      <c r="B83">
        <v>82</v>
      </c>
      <c r="C83" t="s">
        <v>235</v>
      </c>
      <c r="D83" t="s">
        <v>236</v>
      </c>
      <c r="E83" t="s">
        <v>219</v>
      </c>
      <c r="F83" t="s">
        <v>234</v>
      </c>
      <c r="G83" t="s">
        <v>60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35">
      <c r="A84" t="s">
        <v>54</v>
      </c>
      <c r="B84">
        <v>83</v>
      </c>
      <c r="C84" t="s">
        <v>237</v>
      </c>
      <c r="D84" t="s">
        <v>238</v>
      </c>
      <c r="E84" t="s">
        <v>219</v>
      </c>
      <c r="F84" t="s">
        <v>234</v>
      </c>
      <c r="G84" t="s">
        <v>60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x14ac:dyDescent="0.35">
      <c r="A85" t="s">
        <v>54</v>
      </c>
      <c r="B85">
        <v>84</v>
      </c>
      <c r="C85" t="s">
        <v>239</v>
      </c>
      <c r="D85" t="s">
        <v>240</v>
      </c>
      <c r="E85" t="s">
        <v>219</v>
      </c>
      <c r="F85" t="s">
        <v>234</v>
      </c>
      <c r="G85" t="s">
        <v>60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1:19" x14ac:dyDescent="0.35">
      <c r="A86" t="s">
        <v>54</v>
      </c>
      <c r="B86">
        <v>85</v>
      </c>
      <c r="C86" t="s">
        <v>241</v>
      </c>
      <c r="D86" t="s">
        <v>242</v>
      </c>
      <c r="E86" t="s">
        <v>219</v>
      </c>
      <c r="F86" t="s">
        <v>234</v>
      </c>
      <c r="G86" t="s">
        <v>60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P86">
        <v>0</v>
      </c>
      <c r="Q86">
        <v>0</v>
      </c>
      <c r="R86">
        <v>0</v>
      </c>
      <c r="S86">
        <v>0</v>
      </c>
    </row>
    <row r="87" spans="1:19" x14ac:dyDescent="0.35">
      <c r="A87" t="s">
        <v>54</v>
      </c>
      <c r="B87">
        <v>86</v>
      </c>
      <c r="C87" t="s">
        <v>243</v>
      </c>
      <c r="D87" t="s">
        <v>244</v>
      </c>
      <c r="E87" t="s">
        <v>219</v>
      </c>
      <c r="F87" t="s">
        <v>234</v>
      </c>
      <c r="G87" t="s">
        <v>60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1:19" x14ac:dyDescent="0.35">
      <c r="A88" t="s">
        <v>54</v>
      </c>
      <c r="B88">
        <v>87</v>
      </c>
      <c r="C88" t="s">
        <v>245</v>
      </c>
      <c r="D88" t="s">
        <v>246</v>
      </c>
      <c r="E88" t="s">
        <v>219</v>
      </c>
      <c r="F88" t="s">
        <v>234</v>
      </c>
      <c r="G88" t="s">
        <v>60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1:19" x14ac:dyDescent="0.35">
      <c r="A89" t="s">
        <v>54</v>
      </c>
      <c r="B89">
        <v>88</v>
      </c>
      <c r="C89" t="s">
        <v>247</v>
      </c>
      <c r="D89" t="s">
        <v>248</v>
      </c>
      <c r="E89" t="s">
        <v>219</v>
      </c>
      <c r="F89" t="s">
        <v>234</v>
      </c>
      <c r="G89" t="s">
        <v>60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1:19" x14ac:dyDescent="0.35">
      <c r="A90" t="s">
        <v>54</v>
      </c>
      <c r="B90">
        <v>89</v>
      </c>
      <c r="C90" t="s">
        <v>249</v>
      </c>
      <c r="D90" t="s">
        <v>250</v>
      </c>
      <c r="E90" t="s">
        <v>219</v>
      </c>
      <c r="F90" t="s">
        <v>234</v>
      </c>
      <c r="G90" t="s">
        <v>60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1:19" x14ac:dyDescent="0.35">
      <c r="A91" t="s">
        <v>54</v>
      </c>
      <c r="B91">
        <v>90</v>
      </c>
      <c r="C91" t="s">
        <v>251</v>
      </c>
      <c r="D91" t="s">
        <v>252</v>
      </c>
      <c r="E91" t="s">
        <v>219</v>
      </c>
      <c r="F91" t="s">
        <v>234</v>
      </c>
      <c r="G91" t="s">
        <v>60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P91">
        <v>0</v>
      </c>
      <c r="Q91">
        <v>0</v>
      </c>
      <c r="R91">
        <v>0</v>
      </c>
      <c r="S91">
        <v>0</v>
      </c>
    </row>
    <row r="92" spans="1:19" x14ac:dyDescent="0.35">
      <c r="A92" t="s">
        <v>54</v>
      </c>
      <c r="B92">
        <v>91</v>
      </c>
      <c r="C92" t="s">
        <v>253</v>
      </c>
      <c r="D92" t="s">
        <v>254</v>
      </c>
      <c r="E92" t="s">
        <v>219</v>
      </c>
      <c r="F92" t="s">
        <v>234</v>
      </c>
      <c r="G92" t="s">
        <v>57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1:19" x14ac:dyDescent="0.35">
      <c r="A93" t="s">
        <v>54</v>
      </c>
      <c r="B93">
        <v>92</v>
      </c>
      <c r="C93" t="s">
        <v>255</v>
      </c>
      <c r="D93" t="s">
        <v>256</v>
      </c>
      <c r="E93" t="s">
        <v>219</v>
      </c>
      <c r="F93" t="s">
        <v>234</v>
      </c>
      <c r="G93" t="s">
        <v>60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P93">
        <v>0</v>
      </c>
      <c r="Q93">
        <v>0</v>
      </c>
      <c r="R93">
        <v>0</v>
      </c>
      <c r="S93">
        <v>0</v>
      </c>
    </row>
    <row r="94" spans="1:19" x14ac:dyDescent="0.35">
      <c r="A94" t="s">
        <v>54</v>
      </c>
      <c r="B94">
        <v>93</v>
      </c>
      <c r="C94" t="s">
        <v>257</v>
      </c>
      <c r="D94" t="s">
        <v>258</v>
      </c>
      <c r="E94" t="s">
        <v>219</v>
      </c>
      <c r="F94" t="s">
        <v>259</v>
      </c>
      <c r="G94" t="s">
        <v>60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1:19" x14ac:dyDescent="0.35">
      <c r="A95" t="s">
        <v>54</v>
      </c>
      <c r="B95">
        <v>94</v>
      </c>
      <c r="C95" t="s">
        <v>260</v>
      </c>
      <c r="D95" t="s">
        <v>261</v>
      </c>
      <c r="E95" t="s">
        <v>219</v>
      </c>
      <c r="F95" t="s">
        <v>259</v>
      </c>
      <c r="G95" t="s">
        <v>60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1:19" x14ac:dyDescent="0.35">
      <c r="A96" t="s">
        <v>54</v>
      </c>
      <c r="B96">
        <v>95</v>
      </c>
      <c r="C96" t="s">
        <v>262</v>
      </c>
      <c r="D96" t="s">
        <v>263</v>
      </c>
      <c r="E96" t="s">
        <v>219</v>
      </c>
      <c r="F96" t="s">
        <v>259</v>
      </c>
      <c r="G96" t="s">
        <v>60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 x14ac:dyDescent="0.35">
      <c r="A97" t="s">
        <v>54</v>
      </c>
      <c r="B97">
        <v>96</v>
      </c>
      <c r="C97" t="s">
        <v>264</v>
      </c>
      <c r="D97" t="s">
        <v>265</v>
      </c>
      <c r="E97" t="s">
        <v>219</v>
      </c>
      <c r="F97" t="s">
        <v>259</v>
      </c>
      <c r="G97" t="s">
        <v>60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1:19" x14ac:dyDescent="0.35">
      <c r="A98" t="s">
        <v>54</v>
      </c>
      <c r="B98">
        <v>97</v>
      </c>
      <c r="C98" t="s">
        <v>266</v>
      </c>
      <c r="D98" t="s">
        <v>267</v>
      </c>
      <c r="E98" t="s">
        <v>219</v>
      </c>
      <c r="F98" t="s">
        <v>259</v>
      </c>
      <c r="G98" t="s">
        <v>60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P98">
        <v>0</v>
      </c>
      <c r="Q98">
        <v>0</v>
      </c>
      <c r="R98">
        <v>0</v>
      </c>
      <c r="S98">
        <v>0</v>
      </c>
    </row>
    <row r="99" spans="1:19" x14ac:dyDescent="0.35">
      <c r="A99" t="s">
        <v>54</v>
      </c>
      <c r="B99">
        <v>98</v>
      </c>
      <c r="C99" t="s">
        <v>268</v>
      </c>
      <c r="D99" t="s">
        <v>269</v>
      </c>
      <c r="E99" t="s">
        <v>219</v>
      </c>
      <c r="F99" t="s">
        <v>259</v>
      </c>
      <c r="G99" t="s">
        <v>270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 x14ac:dyDescent="0.35">
      <c r="A100" t="s">
        <v>54</v>
      </c>
      <c r="B100">
        <v>99</v>
      </c>
      <c r="C100" t="s">
        <v>271</v>
      </c>
      <c r="D100" t="s">
        <v>272</v>
      </c>
      <c r="E100" t="s">
        <v>219</v>
      </c>
      <c r="F100" t="s">
        <v>259</v>
      </c>
      <c r="G100" t="s">
        <v>60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1:19" x14ac:dyDescent="0.35">
      <c r="A101" t="s">
        <v>54</v>
      </c>
      <c r="B101">
        <v>100</v>
      </c>
      <c r="C101" t="s">
        <v>273</v>
      </c>
      <c r="D101" t="s">
        <v>274</v>
      </c>
      <c r="E101" t="s">
        <v>219</v>
      </c>
      <c r="F101" t="s">
        <v>259</v>
      </c>
      <c r="G101" t="s">
        <v>60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1:19" x14ac:dyDescent="0.35">
      <c r="A102" t="s">
        <v>54</v>
      </c>
      <c r="B102">
        <v>101</v>
      </c>
      <c r="C102" t="s">
        <v>275</v>
      </c>
      <c r="D102" t="s">
        <v>276</v>
      </c>
      <c r="E102" t="s">
        <v>219</v>
      </c>
      <c r="F102" t="s">
        <v>259</v>
      </c>
      <c r="G102" t="s">
        <v>60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1:19" x14ac:dyDescent="0.35">
      <c r="A103" t="s">
        <v>54</v>
      </c>
      <c r="B103">
        <v>102</v>
      </c>
      <c r="C103" t="s">
        <v>277</v>
      </c>
      <c r="D103" t="s">
        <v>278</v>
      </c>
      <c r="E103" t="s">
        <v>219</v>
      </c>
      <c r="F103" t="s">
        <v>259</v>
      </c>
      <c r="G103" t="s">
        <v>60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1:19" x14ac:dyDescent="0.35">
      <c r="A104" t="s">
        <v>54</v>
      </c>
      <c r="B104">
        <v>103</v>
      </c>
      <c r="C104" t="s">
        <v>279</v>
      </c>
      <c r="D104" t="s">
        <v>280</v>
      </c>
      <c r="E104" t="s">
        <v>219</v>
      </c>
      <c r="F104" t="s">
        <v>259</v>
      </c>
      <c r="G104" t="s">
        <v>60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1:19" x14ac:dyDescent="0.35">
      <c r="A105" t="s">
        <v>54</v>
      </c>
      <c r="B105">
        <v>104</v>
      </c>
      <c r="C105" t="s">
        <v>281</v>
      </c>
      <c r="D105" t="s">
        <v>282</v>
      </c>
      <c r="E105" t="s">
        <v>219</v>
      </c>
      <c r="F105" t="s">
        <v>259</v>
      </c>
      <c r="G105" t="s">
        <v>60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1:19" x14ac:dyDescent="0.35">
      <c r="A106" t="s">
        <v>54</v>
      </c>
      <c r="B106">
        <v>105</v>
      </c>
      <c r="C106" t="s">
        <v>283</v>
      </c>
      <c r="D106" t="s">
        <v>284</v>
      </c>
      <c r="E106" t="s">
        <v>219</v>
      </c>
      <c r="F106" t="s">
        <v>259</v>
      </c>
      <c r="G106" t="s">
        <v>60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P106">
        <v>0</v>
      </c>
      <c r="Q106">
        <v>0</v>
      </c>
      <c r="R106">
        <v>0</v>
      </c>
      <c r="S106">
        <v>0</v>
      </c>
    </row>
    <row r="107" spans="1:19" x14ac:dyDescent="0.35">
      <c r="A107" t="s">
        <v>54</v>
      </c>
      <c r="B107">
        <v>106</v>
      </c>
      <c r="C107" t="s">
        <v>285</v>
      </c>
      <c r="D107" t="s">
        <v>286</v>
      </c>
      <c r="E107" t="s">
        <v>219</v>
      </c>
      <c r="F107" t="s">
        <v>259</v>
      </c>
      <c r="G107" t="s">
        <v>60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1:19" x14ac:dyDescent="0.35">
      <c r="A108" t="s">
        <v>54</v>
      </c>
      <c r="B108">
        <v>107</v>
      </c>
      <c r="C108" t="s">
        <v>287</v>
      </c>
      <c r="D108" t="s">
        <v>288</v>
      </c>
      <c r="E108" t="s">
        <v>219</v>
      </c>
      <c r="F108" t="s">
        <v>259</v>
      </c>
      <c r="G108" t="s">
        <v>60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1:19" x14ac:dyDescent="0.35">
      <c r="A109" t="s">
        <v>54</v>
      </c>
      <c r="B109">
        <v>108</v>
      </c>
      <c r="C109" t="s">
        <v>289</v>
      </c>
      <c r="D109" t="s">
        <v>290</v>
      </c>
      <c r="E109" t="s">
        <v>219</v>
      </c>
      <c r="F109" t="s">
        <v>259</v>
      </c>
      <c r="G109" t="s">
        <v>60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1:19" x14ac:dyDescent="0.35">
      <c r="A110" t="s">
        <v>54</v>
      </c>
      <c r="B110">
        <v>109</v>
      </c>
      <c r="C110" t="s">
        <v>291</v>
      </c>
      <c r="D110" t="s">
        <v>292</v>
      </c>
      <c r="E110" t="s">
        <v>219</v>
      </c>
      <c r="F110" t="s">
        <v>259</v>
      </c>
      <c r="G110" t="s">
        <v>60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1:19" x14ac:dyDescent="0.35">
      <c r="A111" t="s">
        <v>54</v>
      </c>
      <c r="B111">
        <v>110</v>
      </c>
      <c r="C111" t="s">
        <v>293</v>
      </c>
      <c r="D111" t="s">
        <v>294</v>
      </c>
      <c r="E111" t="s">
        <v>219</v>
      </c>
      <c r="F111" t="s">
        <v>259</v>
      </c>
      <c r="G111" t="s">
        <v>60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P111">
        <v>0</v>
      </c>
      <c r="Q111">
        <v>0</v>
      </c>
      <c r="R111">
        <v>0</v>
      </c>
      <c r="S111">
        <v>0</v>
      </c>
    </row>
    <row r="112" spans="1:19" x14ac:dyDescent="0.35">
      <c r="A112" t="s">
        <v>54</v>
      </c>
      <c r="B112">
        <v>111</v>
      </c>
      <c r="C112" t="s">
        <v>295</v>
      </c>
      <c r="D112" t="s">
        <v>296</v>
      </c>
      <c r="E112" t="s">
        <v>219</v>
      </c>
      <c r="F112" t="s">
        <v>259</v>
      </c>
      <c r="G112" t="s">
        <v>57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1:19" x14ac:dyDescent="0.35">
      <c r="A113" t="s">
        <v>54</v>
      </c>
      <c r="B113">
        <v>112</v>
      </c>
      <c r="C113" t="s">
        <v>297</v>
      </c>
      <c r="D113" t="s">
        <v>298</v>
      </c>
      <c r="E113" t="s">
        <v>219</v>
      </c>
      <c r="F113" t="s">
        <v>299</v>
      </c>
      <c r="G113" t="s">
        <v>60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1:19" x14ac:dyDescent="0.35">
      <c r="A114" t="s">
        <v>54</v>
      </c>
      <c r="B114">
        <v>113</v>
      </c>
      <c r="C114" t="s">
        <v>300</v>
      </c>
      <c r="D114" t="s">
        <v>301</v>
      </c>
      <c r="E114" t="s">
        <v>219</v>
      </c>
      <c r="F114" t="s">
        <v>299</v>
      </c>
      <c r="G114" t="s">
        <v>60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1:19" x14ac:dyDescent="0.35">
      <c r="A115" t="s">
        <v>54</v>
      </c>
      <c r="B115">
        <v>114</v>
      </c>
      <c r="C115" t="s">
        <v>302</v>
      </c>
      <c r="D115" t="s">
        <v>303</v>
      </c>
      <c r="E115" t="s">
        <v>219</v>
      </c>
      <c r="F115" t="s">
        <v>299</v>
      </c>
      <c r="G115" t="s">
        <v>60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1:19" x14ac:dyDescent="0.35">
      <c r="A116" t="s">
        <v>54</v>
      </c>
      <c r="B116">
        <v>115</v>
      </c>
      <c r="C116" t="s">
        <v>304</v>
      </c>
      <c r="D116" t="s">
        <v>305</v>
      </c>
      <c r="E116" t="s">
        <v>219</v>
      </c>
      <c r="F116" t="s">
        <v>299</v>
      </c>
      <c r="G116" t="s">
        <v>60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1:19" x14ac:dyDescent="0.35">
      <c r="A117" t="s">
        <v>54</v>
      </c>
      <c r="B117">
        <v>116</v>
      </c>
      <c r="C117" t="s">
        <v>306</v>
      </c>
      <c r="D117" t="s">
        <v>307</v>
      </c>
      <c r="E117" t="s">
        <v>219</v>
      </c>
      <c r="F117" t="s">
        <v>299</v>
      </c>
      <c r="G117" t="s">
        <v>60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P117">
        <v>0</v>
      </c>
      <c r="Q117">
        <v>0</v>
      </c>
      <c r="R117">
        <v>0</v>
      </c>
      <c r="S117">
        <v>0</v>
      </c>
    </row>
    <row r="118" spans="1:19" x14ac:dyDescent="0.35">
      <c r="A118" t="s">
        <v>54</v>
      </c>
      <c r="B118">
        <v>117</v>
      </c>
      <c r="C118" t="s">
        <v>308</v>
      </c>
      <c r="D118" t="s">
        <v>309</v>
      </c>
      <c r="E118" t="s">
        <v>219</v>
      </c>
      <c r="F118" t="s">
        <v>309</v>
      </c>
      <c r="G118" t="s">
        <v>60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1:19" x14ac:dyDescent="0.35">
      <c r="A119" t="s">
        <v>54</v>
      </c>
      <c r="B119">
        <v>118</v>
      </c>
      <c r="C119" t="s">
        <v>310</v>
      </c>
      <c r="D119" t="s">
        <v>311</v>
      </c>
      <c r="E119" t="s">
        <v>219</v>
      </c>
      <c r="F119" t="s">
        <v>312</v>
      </c>
      <c r="G119" t="s">
        <v>60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1:19" x14ac:dyDescent="0.35">
      <c r="A120" t="s">
        <v>54</v>
      </c>
      <c r="B120">
        <v>119</v>
      </c>
      <c r="C120" t="s">
        <v>313</v>
      </c>
      <c r="D120" t="s">
        <v>314</v>
      </c>
      <c r="E120" t="s">
        <v>219</v>
      </c>
      <c r="F120" t="s">
        <v>315</v>
      </c>
      <c r="G120" t="s">
        <v>60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</row>
    <row r="121" spans="1:19" x14ac:dyDescent="0.35">
      <c r="A121" t="s">
        <v>54</v>
      </c>
      <c r="B121">
        <v>120</v>
      </c>
      <c r="C121" t="s">
        <v>316</v>
      </c>
      <c r="D121" t="s">
        <v>317</v>
      </c>
      <c r="E121" t="s">
        <v>219</v>
      </c>
      <c r="F121" t="s">
        <v>170</v>
      </c>
      <c r="G121" t="s">
        <v>60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P121">
        <v>0</v>
      </c>
      <c r="Q121">
        <v>0</v>
      </c>
      <c r="R121">
        <v>0</v>
      </c>
      <c r="S121">
        <v>0</v>
      </c>
    </row>
    <row r="122" spans="1:19" x14ac:dyDescent="0.35">
      <c r="A122" t="s">
        <v>54</v>
      </c>
      <c r="B122">
        <v>121</v>
      </c>
      <c r="C122" t="s">
        <v>318</v>
      </c>
      <c r="D122" t="s">
        <v>319</v>
      </c>
      <c r="E122" t="s">
        <v>320</v>
      </c>
      <c r="F122" t="s">
        <v>321</v>
      </c>
      <c r="G122" t="s">
        <v>60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1:19" x14ac:dyDescent="0.35">
      <c r="A123" t="s">
        <v>54</v>
      </c>
      <c r="B123">
        <v>122</v>
      </c>
      <c r="C123" t="s">
        <v>322</v>
      </c>
      <c r="D123" t="s">
        <v>323</v>
      </c>
      <c r="E123" t="s">
        <v>320</v>
      </c>
      <c r="F123" t="s">
        <v>321</v>
      </c>
      <c r="G123" t="s">
        <v>60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1:19" x14ac:dyDescent="0.35">
      <c r="A124" t="s">
        <v>54</v>
      </c>
      <c r="B124">
        <v>123</v>
      </c>
      <c r="C124" t="s">
        <v>324</v>
      </c>
      <c r="D124" t="s">
        <v>325</v>
      </c>
      <c r="E124" t="s">
        <v>320</v>
      </c>
      <c r="F124" t="s">
        <v>321</v>
      </c>
      <c r="G124" t="s">
        <v>60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1:19" x14ac:dyDescent="0.35">
      <c r="A125" t="s">
        <v>54</v>
      </c>
      <c r="B125">
        <v>124</v>
      </c>
      <c r="C125" t="s">
        <v>326</v>
      </c>
      <c r="D125" t="s">
        <v>327</v>
      </c>
      <c r="E125" t="s">
        <v>320</v>
      </c>
      <c r="F125" t="s">
        <v>321</v>
      </c>
      <c r="G125" t="s">
        <v>60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1:19" x14ac:dyDescent="0.35">
      <c r="A126" t="s">
        <v>54</v>
      </c>
      <c r="B126">
        <v>125</v>
      </c>
      <c r="C126" t="s">
        <v>328</v>
      </c>
      <c r="D126" t="s">
        <v>329</v>
      </c>
      <c r="E126" t="s">
        <v>320</v>
      </c>
      <c r="F126" t="s">
        <v>321</v>
      </c>
      <c r="G126" t="s">
        <v>57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P126">
        <v>0</v>
      </c>
      <c r="Q126">
        <v>0</v>
      </c>
      <c r="R126">
        <v>0</v>
      </c>
      <c r="S126">
        <v>0</v>
      </c>
    </row>
    <row r="127" spans="1:19" x14ac:dyDescent="0.35">
      <c r="A127" t="s">
        <v>54</v>
      </c>
      <c r="B127">
        <v>126</v>
      </c>
      <c r="C127" t="s">
        <v>330</v>
      </c>
      <c r="D127" t="s">
        <v>331</v>
      </c>
      <c r="E127" t="s">
        <v>320</v>
      </c>
      <c r="F127" t="s">
        <v>321</v>
      </c>
      <c r="G127" t="s">
        <v>60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</row>
    <row r="128" spans="1:19" x14ac:dyDescent="0.35">
      <c r="A128" t="s">
        <v>54</v>
      </c>
      <c r="B128">
        <v>127</v>
      </c>
      <c r="C128" t="s">
        <v>332</v>
      </c>
      <c r="D128" t="s">
        <v>333</v>
      </c>
      <c r="E128" t="s">
        <v>320</v>
      </c>
      <c r="F128" t="s">
        <v>321</v>
      </c>
      <c r="G128" t="s">
        <v>60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1:19" x14ac:dyDescent="0.35">
      <c r="A129" t="s">
        <v>54</v>
      </c>
      <c r="B129">
        <v>128</v>
      </c>
      <c r="C129" t="s">
        <v>334</v>
      </c>
      <c r="D129" t="s">
        <v>335</v>
      </c>
      <c r="E129" t="s">
        <v>320</v>
      </c>
      <c r="F129" t="s">
        <v>321</v>
      </c>
      <c r="G129" t="s">
        <v>60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1:19" x14ac:dyDescent="0.35">
      <c r="A130" t="s">
        <v>54</v>
      </c>
      <c r="B130">
        <v>129</v>
      </c>
      <c r="C130" t="s">
        <v>336</v>
      </c>
      <c r="D130" t="s">
        <v>337</v>
      </c>
      <c r="E130" t="s">
        <v>320</v>
      </c>
      <c r="F130" t="s">
        <v>321</v>
      </c>
      <c r="G130" t="s">
        <v>60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1:19" x14ac:dyDescent="0.35">
      <c r="A131" t="s">
        <v>54</v>
      </c>
      <c r="B131">
        <v>130</v>
      </c>
      <c r="C131" t="s">
        <v>338</v>
      </c>
      <c r="D131" t="s">
        <v>339</v>
      </c>
      <c r="E131" t="s">
        <v>320</v>
      </c>
      <c r="F131" t="s">
        <v>321</v>
      </c>
      <c r="G131" t="s">
        <v>57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P131">
        <v>0</v>
      </c>
      <c r="Q131">
        <v>0</v>
      </c>
      <c r="R131">
        <v>0</v>
      </c>
      <c r="S131">
        <v>0</v>
      </c>
    </row>
    <row r="132" spans="1:19" x14ac:dyDescent="0.35">
      <c r="A132" t="s">
        <v>54</v>
      </c>
      <c r="B132">
        <v>131</v>
      </c>
      <c r="C132" t="s">
        <v>340</v>
      </c>
      <c r="D132" t="s">
        <v>341</v>
      </c>
      <c r="E132" t="s">
        <v>320</v>
      </c>
      <c r="F132" t="s">
        <v>321</v>
      </c>
      <c r="G132" t="s">
        <v>57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1:19" x14ac:dyDescent="0.35">
      <c r="A133" t="s">
        <v>54</v>
      </c>
      <c r="B133">
        <v>132</v>
      </c>
      <c r="C133" t="s">
        <v>342</v>
      </c>
      <c r="D133" t="s">
        <v>343</v>
      </c>
      <c r="E133" t="s">
        <v>320</v>
      </c>
      <c r="F133" t="s">
        <v>321</v>
      </c>
      <c r="G133" t="s">
        <v>57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P133">
        <v>0</v>
      </c>
      <c r="Q133">
        <v>0</v>
      </c>
      <c r="R133">
        <v>0</v>
      </c>
      <c r="S133">
        <v>0</v>
      </c>
    </row>
    <row r="134" spans="1:19" x14ac:dyDescent="0.35">
      <c r="A134" t="s">
        <v>54</v>
      </c>
      <c r="B134">
        <v>133</v>
      </c>
      <c r="C134" t="s">
        <v>344</v>
      </c>
      <c r="D134" t="s">
        <v>345</v>
      </c>
      <c r="E134" t="s">
        <v>320</v>
      </c>
      <c r="F134" t="s">
        <v>346</v>
      </c>
      <c r="G134" t="s">
        <v>60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</row>
    <row r="135" spans="1:19" x14ac:dyDescent="0.35">
      <c r="A135" t="s">
        <v>54</v>
      </c>
      <c r="B135">
        <v>134</v>
      </c>
      <c r="C135" t="s">
        <v>347</v>
      </c>
      <c r="D135" t="s">
        <v>348</v>
      </c>
      <c r="E135" t="s">
        <v>320</v>
      </c>
      <c r="F135" t="s">
        <v>346</v>
      </c>
      <c r="G135" t="s">
        <v>60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1:19" x14ac:dyDescent="0.35">
      <c r="A136" t="s">
        <v>54</v>
      </c>
      <c r="B136">
        <v>135</v>
      </c>
      <c r="C136" t="s">
        <v>349</v>
      </c>
      <c r="D136" t="s">
        <v>350</v>
      </c>
      <c r="E136" t="s">
        <v>320</v>
      </c>
      <c r="F136" t="s">
        <v>346</v>
      </c>
      <c r="G136" t="s">
        <v>60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1:19" x14ac:dyDescent="0.35">
      <c r="A137" t="s">
        <v>54</v>
      </c>
      <c r="B137">
        <v>136</v>
      </c>
      <c r="C137" t="s">
        <v>351</v>
      </c>
      <c r="D137" t="s">
        <v>352</v>
      </c>
      <c r="E137" t="s">
        <v>320</v>
      </c>
      <c r="F137" t="s">
        <v>346</v>
      </c>
      <c r="G137" t="s">
        <v>60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1:19" x14ac:dyDescent="0.35">
      <c r="A138" t="s">
        <v>54</v>
      </c>
      <c r="B138">
        <v>137</v>
      </c>
      <c r="C138" t="s">
        <v>353</v>
      </c>
      <c r="D138" t="s">
        <v>354</v>
      </c>
      <c r="E138" t="s">
        <v>320</v>
      </c>
      <c r="F138" t="s">
        <v>346</v>
      </c>
      <c r="G138" t="s">
        <v>60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P138">
        <v>0</v>
      </c>
      <c r="Q138">
        <v>0</v>
      </c>
      <c r="R138">
        <v>0</v>
      </c>
      <c r="S138">
        <v>0</v>
      </c>
    </row>
    <row r="139" spans="1:19" x14ac:dyDescent="0.35">
      <c r="A139" t="s">
        <v>54</v>
      </c>
      <c r="B139">
        <v>138</v>
      </c>
      <c r="C139" t="s">
        <v>355</v>
      </c>
      <c r="D139" t="s">
        <v>356</v>
      </c>
      <c r="E139" t="s">
        <v>320</v>
      </c>
      <c r="F139" t="s">
        <v>346</v>
      </c>
      <c r="G139" t="s">
        <v>60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1:19" x14ac:dyDescent="0.35">
      <c r="A140" t="s">
        <v>54</v>
      </c>
      <c r="B140">
        <v>139</v>
      </c>
      <c r="C140" t="s">
        <v>357</v>
      </c>
      <c r="D140" t="s">
        <v>358</v>
      </c>
      <c r="E140" t="s">
        <v>320</v>
      </c>
      <c r="F140" t="s">
        <v>346</v>
      </c>
      <c r="G140" t="s">
        <v>60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1:19" x14ac:dyDescent="0.35">
      <c r="A141" t="s">
        <v>54</v>
      </c>
      <c r="B141">
        <v>140</v>
      </c>
      <c r="C141" t="s">
        <v>359</v>
      </c>
      <c r="D141" t="s">
        <v>360</v>
      </c>
      <c r="E141" t="s">
        <v>320</v>
      </c>
      <c r="F141" t="s">
        <v>346</v>
      </c>
      <c r="G141" t="s">
        <v>60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1:19" x14ac:dyDescent="0.35">
      <c r="A142" t="s">
        <v>54</v>
      </c>
      <c r="B142">
        <v>141</v>
      </c>
      <c r="C142" t="s">
        <v>361</v>
      </c>
      <c r="D142" t="s">
        <v>362</v>
      </c>
      <c r="E142" t="s">
        <v>320</v>
      </c>
      <c r="F142" t="s">
        <v>346</v>
      </c>
      <c r="G142" t="s">
        <v>60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</row>
    <row r="143" spans="1:19" x14ac:dyDescent="0.35">
      <c r="A143" t="s">
        <v>54</v>
      </c>
      <c r="B143">
        <v>142</v>
      </c>
      <c r="C143" t="s">
        <v>363</v>
      </c>
      <c r="D143" t="s">
        <v>364</v>
      </c>
      <c r="E143" t="s">
        <v>320</v>
      </c>
      <c r="F143" t="s">
        <v>346</v>
      </c>
      <c r="G143" t="s">
        <v>60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P143">
        <v>0</v>
      </c>
      <c r="Q143">
        <v>0</v>
      </c>
      <c r="R143">
        <v>0</v>
      </c>
      <c r="S143">
        <v>0</v>
      </c>
    </row>
    <row r="144" spans="1:19" x14ac:dyDescent="0.35">
      <c r="A144" t="s">
        <v>54</v>
      </c>
      <c r="B144">
        <v>143</v>
      </c>
      <c r="C144" t="s">
        <v>365</v>
      </c>
      <c r="D144" t="s">
        <v>366</v>
      </c>
      <c r="E144" t="s">
        <v>320</v>
      </c>
      <c r="F144" t="s">
        <v>346</v>
      </c>
      <c r="G144" t="s">
        <v>57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1:19" x14ac:dyDescent="0.35">
      <c r="A145" t="s">
        <v>54</v>
      </c>
      <c r="B145">
        <v>144</v>
      </c>
      <c r="C145" t="s">
        <v>367</v>
      </c>
      <c r="D145" t="s">
        <v>368</v>
      </c>
      <c r="E145" t="s">
        <v>320</v>
      </c>
      <c r="F145" t="s">
        <v>346</v>
      </c>
      <c r="G145" t="s">
        <v>60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P145">
        <v>0</v>
      </c>
      <c r="Q145">
        <v>0</v>
      </c>
      <c r="R145">
        <v>0</v>
      </c>
      <c r="S145">
        <v>0</v>
      </c>
    </row>
    <row r="146" spans="1:19" x14ac:dyDescent="0.35">
      <c r="A146" t="s">
        <v>54</v>
      </c>
      <c r="B146">
        <v>145</v>
      </c>
      <c r="C146" t="s">
        <v>369</v>
      </c>
      <c r="D146" t="s">
        <v>370</v>
      </c>
      <c r="E146" t="s">
        <v>320</v>
      </c>
      <c r="F146" t="s">
        <v>371</v>
      </c>
      <c r="G146" t="s">
        <v>60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1:19" x14ac:dyDescent="0.35">
      <c r="A147" t="s">
        <v>54</v>
      </c>
      <c r="B147">
        <v>146</v>
      </c>
      <c r="C147" t="s">
        <v>372</v>
      </c>
      <c r="D147" t="s">
        <v>373</v>
      </c>
      <c r="E147" t="s">
        <v>320</v>
      </c>
      <c r="F147" t="s">
        <v>371</v>
      </c>
      <c r="G147" t="s">
        <v>60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1:19" x14ac:dyDescent="0.35">
      <c r="A148" t="s">
        <v>54</v>
      </c>
      <c r="B148">
        <v>147</v>
      </c>
      <c r="C148" t="s">
        <v>374</v>
      </c>
      <c r="D148" t="s">
        <v>375</v>
      </c>
      <c r="E148" t="s">
        <v>320</v>
      </c>
      <c r="F148" t="s">
        <v>371</v>
      </c>
      <c r="G148" t="s">
        <v>57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1:19" x14ac:dyDescent="0.35">
      <c r="A149" t="s">
        <v>54</v>
      </c>
      <c r="B149">
        <v>148</v>
      </c>
      <c r="C149" t="s">
        <v>376</v>
      </c>
      <c r="D149" t="s">
        <v>377</v>
      </c>
      <c r="E149" t="s">
        <v>320</v>
      </c>
      <c r="F149" t="s">
        <v>371</v>
      </c>
      <c r="G149" t="s">
        <v>57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P149">
        <v>0</v>
      </c>
      <c r="Q149">
        <v>0</v>
      </c>
      <c r="R149">
        <v>0</v>
      </c>
      <c r="S149">
        <v>0</v>
      </c>
    </row>
    <row r="150" spans="1:19" x14ac:dyDescent="0.35">
      <c r="A150" t="s">
        <v>54</v>
      </c>
      <c r="B150">
        <v>149</v>
      </c>
      <c r="C150" t="s">
        <v>378</v>
      </c>
      <c r="D150" t="s">
        <v>379</v>
      </c>
      <c r="E150" t="s">
        <v>320</v>
      </c>
      <c r="F150" t="s">
        <v>380</v>
      </c>
      <c r="G150" t="s">
        <v>60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</row>
    <row r="151" spans="1:19" x14ac:dyDescent="0.35">
      <c r="A151" t="s">
        <v>54</v>
      </c>
      <c r="B151">
        <v>150</v>
      </c>
      <c r="C151" t="s">
        <v>381</v>
      </c>
      <c r="D151" t="s">
        <v>382</v>
      </c>
      <c r="E151" t="s">
        <v>320</v>
      </c>
      <c r="F151" t="s">
        <v>380</v>
      </c>
      <c r="G151" t="s">
        <v>57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</row>
    <row r="152" spans="1:19" x14ac:dyDescent="0.35">
      <c r="A152" t="s">
        <v>54</v>
      </c>
      <c r="B152">
        <v>151</v>
      </c>
      <c r="C152" t="s">
        <v>383</v>
      </c>
      <c r="D152" t="s">
        <v>384</v>
      </c>
      <c r="E152" t="s">
        <v>320</v>
      </c>
      <c r="F152" t="s">
        <v>380</v>
      </c>
      <c r="G152" t="s">
        <v>57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P152">
        <v>0</v>
      </c>
      <c r="Q152">
        <v>0</v>
      </c>
      <c r="R152">
        <v>0</v>
      </c>
      <c r="S152">
        <v>0</v>
      </c>
    </row>
    <row r="153" spans="1:19" x14ac:dyDescent="0.35">
      <c r="A153" t="s">
        <v>54</v>
      </c>
      <c r="B153">
        <v>152</v>
      </c>
      <c r="C153" t="s">
        <v>385</v>
      </c>
      <c r="D153" t="s">
        <v>386</v>
      </c>
      <c r="E153" t="s">
        <v>320</v>
      </c>
      <c r="F153" t="s">
        <v>387</v>
      </c>
      <c r="G153" t="s">
        <v>60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</row>
    <row r="154" spans="1:19" x14ac:dyDescent="0.35">
      <c r="A154" t="s">
        <v>54</v>
      </c>
      <c r="B154">
        <v>153</v>
      </c>
      <c r="C154" t="s">
        <v>388</v>
      </c>
      <c r="D154" t="s">
        <v>389</v>
      </c>
      <c r="E154" t="s">
        <v>320</v>
      </c>
      <c r="F154" t="s">
        <v>387</v>
      </c>
      <c r="G154" t="s">
        <v>57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1:19" x14ac:dyDescent="0.35">
      <c r="A155" t="s">
        <v>54</v>
      </c>
      <c r="B155">
        <v>154</v>
      </c>
      <c r="C155" t="s">
        <v>390</v>
      </c>
      <c r="D155" t="s">
        <v>391</v>
      </c>
      <c r="E155" t="s">
        <v>320</v>
      </c>
      <c r="F155" t="s">
        <v>387</v>
      </c>
      <c r="G155" t="s">
        <v>57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P155">
        <v>0</v>
      </c>
      <c r="Q155">
        <v>0</v>
      </c>
      <c r="R155">
        <v>0</v>
      </c>
      <c r="S155">
        <v>0</v>
      </c>
    </row>
    <row r="156" spans="1:19" x14ac:dyDescent="0.35">
      <c r="A156" t="s">
        <v>54</v>
      </c>
      <c r="B156">
        <v>155</v>
      </c>
      <c r="C156" t="s">
        <v>392</v>
      </c>
      <c r="D156" t="s">
        <v>393</v>
      </c>
      <c r="E156" t="s">
        <v>320</v>
      </c>
      <c r="F156" t="s">
        <v>393</v>
      </c>
      <c r="G156" t="s">
        <v>60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1:19" x14ac:dyDescent="0.35">
      <c r="A157" t="s">
        <v>54</v>
      </c>
      <c r="B157">
        <v>156</v>
      </c>
      <c r="C157" t="s">
        <v>394</v>
      </c>
      <c r="D157" t="s">
        <v>395</v>
      </c>
      <c r="E157" t="s">
        <v>320</v>
      </c>
      <c r="F157" t="s">
        <v>170</v>
      </c>
      <c r="G157" t="s">
        <v>57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P157">
        <v>0</v>
      </c>
      <c r="Q157">
        <v>0</v>
      </c>
      <c r="R157">
        <v>0</v>
      </c>
      <c r="S157">
        <v>0</v>
      </c>
    </row>
    <row r="158" spans="1:19" x14ac:dyDescent="0.35">
      <c r="A158" t="s">
        <v>54</v>
      </c>
      <c r="B158">
        <v>157</v>
      </c>
      <c r="C158" t="s">
        <v>396</v>
      </c>
      <c r="D158" t="s">
        <v>397</v>
      </c>
      <c r="E158" t="s">
        <v>398</v>
      </c>
      <c r="F158" t="s">
        <v>399</v>
      </c>
      <c r="G158" t="s">
        <v>60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</row>
    <row r="159" spans="1:19" x14ac:dyDescent="0.35">
      <c r="A159" t="s">
        <v>54</v>
      </c>
      <c r="B159">
        <v>158</v>
      </c>
      <c r="C159" t="s">
        <v>400</v>
      </c>
      <c r="D159" t="s">
        <v>401</v>
      </c>
      <c r="E159" t="s">
        <v>398</v>
      </c>
      <c r="F159" t="s">
        <v>399</v>
      </c>
      <c r="G159" t="s">
        <v>60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1:19" x14ac:dyDescent="0.35">
      <c r="A160" t="s">
        <v>54</v>
      </c>
      <c r="B160">
        <v>159</v>
      </c>
      <c r="C160" t="s">
        <v>402</v>
      </c>
      <c r="D160" t="s">
        <v>403</v>
      </c>
      <c r="E160" t="s">
        <v>398</v>
      </c>
      <c r="F160" t="s">
        <v>399</v>
      </c>
      <c r="G160" t="s">
        <v>60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1:19" x14ac:dyDescent="0.35">
      <c r="A161" t="s">
        <v>54</v>
      </c>
      <c r="B161">
        <v>160</v>
      </c>
      <c r="C161" t="s">
        <v>404</v>
      </c>
      <c r="D161" t="s">
        <v>405</v>
      </c>
      <c r="E161" t="s">
        <v>406</v>
      </c>
      <c r="F161" t="s">
        <v>406</v>
      </c>
      <c r="G161" t="s">
        <v>57</v>
      </c>
      <c r="H161">
        <v>0</v>
      </c>
      <c r="I161">
        <v>0</v>
      </c>
      <c r="J161">
        <v>0</v>
      </c>
      <c r="K161">
        <v>0</v>
      </c>
      <c r="L161">
        <v>75.349999999999994</v>
      </c>
      <c r="M161">
        <v>75.349999999999994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1:19" x14ac:dyDescent="0.35">
      <c r="A162" t="s">
        <v>54</v>
      </c>
      <c r="B162">
        <v>161</v>
      </c>
      <c r="C162" t="s">
        <v>407</v>
      </c>
      <c r="D162" t="s">
        <v>408</v>
      </c>
      <c r="E162" t="s">
        <v>406</v>
      </c>
      <c r="F162" t="s">
        <v>406</v>
      </c>
      <c r="G162" t="s">
        <v>57</v>
      </c>
      <c r="H162">
        <v>0</v>
      </c>
      <c r="I162">
        <v>0</v>
      </c>
      <c r="J162">
        <v>0</v>
      </c>
      <c r="K162">
        <v>0</v>
      </c>
      <c r="L162">
        <v>6.77</v>
      </c>
      <c r="M162">
        <v>6.77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1:19" x14ac:dyDescent="0.35">
      <c r="A163" t="s">
        <v>54</v>
      </c>
      <c r="B163">
        <v>162</v>
      </c>
      <c r="C163" t="s">
        <v>409</v>
      </c>
      <c r="D163" t="s">
        <v>410</v>
      </c>
      <c r="E163" t="s">
        <v>406</v>
      </c>
      <c r="F163" t="s">
        <v>406</v>
      </c>
      <c r="G163" t="s">
        <v>57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1:19" x14ac:dyDescent="0.35">
      <c r="A164" t="s">
        <v>54</v>
      </c>
      <c r="B164">
        <v>163</v>
      </c>
      <c r="C164" t="s">
        <v>411</v>
      </c>
      <c r="D164" t="s">
        <v>412</v>
      </c>
      <c r="E164" t="s">
        <v>406</v>
      </c>
      <c r="F164" t="s">
        <v>406</v>
      </c>
      <c r="G164" t="s">
        <v>57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1:19" x14ac:dyDescent="0.35">
      <c r="A165" t="s">
        <v>54</v>
      </c>
      <c r="B165">
        <v>164</v>
      </c>
      <c r="C165" t="s">
        <v>413</v>
      </c>
      <c r="D165" t="s">
        <v>414</v>
      </c>
      <c r="E165" t="s">
        <v>406</v>
      </c>
      <c r="F165" t="s">
        <v>406</v>
      </c>
      <c r="G165" t="s">
        <v>57</v>
      </c>
      <c r="H165">
        <v>0</v>
      </c>
      <c r="I165">
        <v>0</v>
      </c>
      <c r="J165">
        <v>0</v>
      </c>
      <c r="K165">
        <v>2499.999984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1:19" x14ac:dyDescent="0.35">
      <c r="A166" t="s">
        <v>54</v>
      </c>
      <c r="B166">
        <v>165</v>
      </c>
      <c r="C166" t="s">
        <v>415</v>
      </c>
      <c r="D166" t="s">
        <v>416</v>
      </c>
      <c r="E166" t="s">
        <v>406</v>
      </c>
      <c r="F166" t="s">
        <v>406</v>
      </c>
      <c r="G166" t="s">
        <v>57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1:19" x14ac:dyDescent="0.35">
      <c r="A167" t="s">
        <v>54</v>
      </c>
      <c r="B167">
        <v>166</v>
      </c>
      <c r="C167" t="s">
        <v>417</v>
      </c>
      <c r="D167" t="s">
        <v>418</v>
      </c>
      <c r="E167" t="s">
        <v>419</v>
      </c>
      <c r="F167" t="s">
        <v>420</v>
      </c>
      <c r="G167" t="s">
        <v>270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</row>
    <row r="168" spans="1:19" x14ac:dyDescent="0.35">
      <c r="A168" t="s">
        <v>54</v>
      </c>
      <c r="B168">
        <v>167</v>
      </c>
      <c r="C168" t="s">
        <v>421</v>
      </c>
      <c r="D168" t="s">
        <v>422</v>
      </c>
      <c r="E168" t="s">
        <v>419</v>
      </c>
      <c r="F168" t="s">
        <v>420</v>
      </c>
      <c r="G168" t="s">
        <v>270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1:19" x14ac:dyDescent="0.35">
      <c r="A169" t="s">
        <v>54</v>
      </c>
      <c r="B169">
        <v>168</v>
      </c>
      <c r="C169" t="s">
        <v>423</v>
      </c>
      <c r="D169" t="s">
        <v>424</v>
      </c>
      <c r="E169" t="s">
        <v>419</v>
      </c>
      <c r="F169" t="s">
        <v>420</v>
      </c>
      <c r="G169" t="s">
        <v>270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1:19" x14ac:dyDescent="0.35">
      <c r="A170" t="s">
        <v>425</v>
      </c>
      <c r="B170">
        <v>1</v>
      </c>
      <c r="C170" t="s">
        <v>426</v>
      </c>
      <c r="D170" t="s">
        <v>427</v>
      </c>
      <c r="E170" t="s">
        <v>428</v>
      </c>
      <c r="F170" t="s">
        <v>428</v>
      </c>
      <c r="G170" t="s">
        <v>60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P170">
        <v>0</v>
      </c>
      <c r="Q170">
        <v>0</v>
      </c>
      <c r="R170">
        <v>0</v>
      </c>
      <c r="S170">
        <v>0</v>
      </c>
    </row>
    <row r="171" spans="1:19" x14ac:dyDescent="0.35">
      <c r="A171" t="s">
        <v>425</v>
      </c>
      <c r="B171">
        <v>2</v>
      </c>
      <c r="C171" t="s">
        <v>429</v>
      </c>
      <c r="D171" t="s">
        <v>430</v>
      </c>
      <c r="E171" t="s">
        <v>428</v>
      </c>
      <c r="F171" t="s">
        <v>428</v>
      </c>
      <c r="G171" t="s">
        <v>60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P171">
        <v>0</v>
      </c>
      <c r="Q171">
        <v>0</v>
      </c>
      <c r="R171">
        <v>0</v>
      </c>
      <c r="S171">
        <v>0</v>
      </c>
    </row>
    <row r="172" spans="1:19" x14ac:dyDescent="0.35">
      <c r="A172" t="s">
        <v>425</v>
      </c>
      <c r="B172">
        <v>3</v>
      </c>
      <c r="C172" t="s">
        <v>431</v>
      </c>
      <c r="D172" t="s">
        <v>432</v>
      </c>
      <c r="E172" t="s">
        <v>428</v>
      </c>
      <c r="F172" t="s">
        <v>428</v>
      </c>
      <c r="G172" t="s">
        <v>60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P172">
        <v>0</v>
      </c>
      <c r="Q172">
        <v>0</v>
      </c>
      <c r="R172">
        <v>0</v>
      </c>
      <c r="S172">
        <v>0</v>
      </c>
    </row>
    <row r="173" spans="1:19" x14ac:dyDescent="0.35">
      <c r="A173" t="s">
        <v>425</v>
      </c>
      <c r="B173">
        <v>4</v>
      </c>
      <c r="C173" t="s">
        <v>433</v>
      </c>
      <c r="D173" t="s">
        <v>219</v>
      </c>
      <c r="E173" t="s">
        <v>428</v>
      </c>
      <c r="F173" t="s">
        <v>428</v>
      </c>
      <c r="G173" t="s">
        <v>60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P173">
        <v>0</v>
      </c>
      <c r="Q173">
        <v>0</v>
      </c>
      <c r="R173">
        <v>0</v>
      </c>
      <c r="S173">
        <v>0</v>
      </c>
    </row>
    <row r="174" spans="1:19" x14ac:dyDescent="0.35">
      <c r="A174" t="s">
        <v>425</v>
      </c>
      <c r="B174">
        <v>5</v>
      </c>
      <c r="C174" t="s">
        <v>434</v>
      </c>
      <c r="D174" t="s">
        <v>435</v>
      </c>
      <c r="E174" t="s">
        <v>428</v>
      </c>
      <c r="F174" t="s">
        <v>428</v>
      </c>
      <c r="G174" t="s">
        <v>60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P174">
        <v>0</v>
      </c>
      <c r="Q174">
        <v>0</v>
      </c>
      <c r="R174">
        <v>0</v>
      </c>
      <c r="S174">
        <v>0</v>
      </c>
    </row>
    <row r="175" spans="1:19" x14ac:dyDescent="0.35">
      <c r="A175" t="s">
        <v>425</v>
      </c>
      <c r="B175">
        <v>6</v>
      </c>
      <c r="C175" t="s">
        <v>436</v>
      </c>
      <c r="D175" t="s">
        <v>320</v>
      </c>
      <c r="E175" t="s">
        <v>428</v>
      </c>
      <c r="F175" t="s">
        <v>428</v>
      </c>
      <c r="G175" t="s">
        <v>60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P175">
        <v>0</v>
      </c>
      <c r="Q175">
        <v>0</v>
      </c>
      <c r="R175">
        <v>0</v>
      </c>
      <c r="S175">
        <v>0</v>
      </c>
    </row>
    <row r="176" spans="1:19" x14ac:dyDescent="0.35">
      <c r="A176" t="s">
        <v>425</v>
      </c>
      <c r="B176">
        <v>7</v>
      </c>
      <c r="C176" t="s">
        <v>437</v>
      </c>
      <c r="D176" t="s">
        <v>399</v>
      </c>
      <c r="E176" t="s">
        <v>428</v>
      </c>
      <c r="F176" t="s">
        <v>428</v>
      </c>
      <c r="G176" t="s">
        <v>60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P176">
        <v>0</v>
      </c>
      <c r="Q176">
        <v>0</v>
      </c>
      <c r="R176">
        <v>0</v>
      </c>
      <c r="S176">
        <v>0</v>
      </c>
    </row>
    <row r="177" spans="1:19" x14ac:dyDescent="0.35">
      <c r="A177" t="s">
        <v>425</v>
      </c>
      <c r="B177">
        <v>8</v>
      </c>
      <c r="C177" t="s">
        <v>438</v>
      </c>
      <c r="D177" t="s">
        <v>406</v>
      </c>
      <c r="E177" t="s">
        <v>428</v>
      </c>
      <c r="F177" t="s">
        <v>428</v>
      </c>
      <c r="G177" t="s">
        <v>60</v>
      </c>
      <c r="H177">
        <v>0</v>
      </c>
      <c r="I177">
        <v>0</v>
      </c>
      <c r="J177">
        <v>0</v>
      </c>
      <c r="K177">
        <v>0</v>
      </c>
      <c r="L177">
        <v>82.12</v>
      </c>
      <c r="M177">
        <v>82.12</v>
      </c>
      <c r="N177">
        <v>0</v>
      </c>
      <c r="P177">
        <v>0</v>
      </c>
      <c r="Q177">
        <v>0</v>
      </c>
      <c r="R177">
        <v>0</v>
      </c>
      <c r="S177">
        <v>0</v>
      </c>
    </row>
    <row r="178" spans="1:19" x14ac:dyDescent="0.35">
      <c r="A178" t="s">
        <v>425</v>
      </c>
      <c r="B178">
        <v>9</v>
      </c>
      <c r="C178" t="s">
        <v>439</v>
      </c>
      <c r="D178" t="s">
        <v>419</v>
      </c>
      <c r="E178" t="s">
        <v>428</v>
      </c>
      <c r="F178" t="s">
        <v>428</v>
      </c>
      <c r="G178" t="s">
        <v>270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P178">
        <v>0</v>
      </c>
      <c r="Q178">
        <v>0</v>
      </c>
      <c r="R178">
        <v>0</v>
      </c>
      <c r="S178">
        <v>0</v>
      </c>
    </row>
    <row r="179" spans="1:19" x14ac:dyDescent="0.35">
      <c r="A179" t="s">
        <v>425</v>
      </c>
      <c r="B179">
        <v>10</v>
      </c>
      <c r="C179" t="s">
        <v>440</v>
      </c>
      <c r="D179" t="s">
        <v>441</v>
      </c>
      <c r="E179" t="s">
        <v>428</v>
      </c>
      <c r="F179" t="s">
        <v>428</v>
      </c>
      <c r="G179" t="s">
        <v>60</v>
      </c>
      <c r="H179">
        <v>0</v>
      </c>
      <c r="I179">
        <v>0</v>
      </c>
      <c r="J179">
        <v>0</v>
      </c>
      <c r="K179">
        <v>0</v>
      </c>
      <c r="L179">
        <v>82.12</v>
      </c>
      <c r="M179">
        <v>82.12</v>
      </c>
      <c r="N179">
        <v>0</v>
      </c>
      <c r="P179">
        <v>0</v>
      </c>
      <c r="Q179">
        <v>0</v>
      </c>
      <c r="R179">
        <v>0</v>
      </c>
      <c r="S179">
        <v>0</v>
      </c>
    </row>
    <row r="180" spans="1:19" x14ac:dyDescent="0.35">
      <c r="A180" t="s">
        <v>442</v>
      </c>
      <c r="B180">
        <v>1</v>
      </c>
      <c r="C180" t="s">
        <v>443</v>
      </c>
      <c r="D180" t="s">
        <v>13</v>
      </c>
      <c r="E180" t="s">
        <v>444</v>
      </c>
      <c r="F180" t="s">
        <v>444</v>
      </c>
      <c r="G180" t="s">
        <v>60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P180">
        <v>0</v>
      </c>
      <c r="Q180">
        <v>0</v>
      </c>
      <c r="R180">
        <v>0</v>
      </c>
      <c r="S180">
        <v>0</v>
      </c>
    </row>
    <row r="181" spans="1:19" x14ac:dyDescent="0.35">
      <c r="A181" t="s">
        <v>442</v>
      </c>
      <c r="B181">
        <v>2</v>
      </c>
      <c r="C181" t="s">
        <v>445</v>
      </c>
      <c r="D181" t="s">
        <v>446</v>
      </c>
      <c r="E181" t="s">
        <v>444</v>
      </c>
      <c r="F181" t="s">
        <v>444</v>
      </c>
      <c r="G181" t="s">
        <v>60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P181">
        <v>0</v>
      </c>
      <c r="Q181">
        <v>0</v>
      </c>
      <c r="R181">
        <v>0</v>
      </c>
      <c r="S181">
        <v>0</v>
      </c>
    </row>
    <row r="182" spans="1:19" x14ac:dyDescent="0.35">
      <c r="A182" t="s">
        <v>442</v>
      </c>
      <c r="B182">
        <v>3</v>
      </c>
      <c r="C182" t="s">
        <v>447</v>
      </c>
      <c r="D182" t="s">
        <v>320</v>
      </c>
      <c r="E182" t="s">
        <v>444</v>
      </c>
      <c r="F182" t="s">
        <v>444</v>
      </c>
      <c r="G182" t="s">
        <v>60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P182">
        <v>0</v>
      </c>
      <c r="Q182">
        <v>0</v>
      </c>
      <c r="R182">
        <v>0</v>
      </c>
      <c r="S182">
        <v>0</v>
      </c>
    </row>
    <row r="183" spans="1:19" x14ac:dyDescent="0.35">
      <c r="A183" t="s">
        <v>442</v>
      </c>
      <c r="B183">
        <v>4</v>
      </c>
      <c r="C183" t="s">
        <v>448</v>
      </c>
      <c r="D183" t="s">
        <v>406</v>
      </c>
      <c r="E183" t="s">
        <v>444</v>
      </c>
      <c r="F183" t="s">
        <v>444</v>
      </c>
      <c r="G183" t="s">
        <v>60</v>
      </c>
      <c r="H183">
        <v>0</v>
      </c>
      <c r="I183">
        <v>0</v>
      </c>
      <c r="J183">
        <v>0</v>
      </c>
      <c r="K183">
        <v>0</v>
      </c>
      <c r="L183">
        <v>82.12</v>
      </c>
      <c r="M183">
        <v>82.12</v>
      </c>
      <c r="N183">
        <v>0</v>
      </c>
      <c r="P183">
        <v>0</v>
      </c>
      <c r="Q183">
        <v>0</v>
      </c>
      <c r="R183">
        <v>0</v>
      </c>
      <c r="S183">
        <v>0</v>
      </c>
    </row>
    <row r="184" spans="1:19" x14ac:dyDescent="0.35">
      <c r="A184" t="s">
        <v>442</v>
      </c>
      <c r="B184">
        <v>5</v>
      </c>
      <c r="C184" t="s">
        <v>449</v>
      </c>
      <c r="D184" t="s">
        <v>419</v>
      </c>
      <c r="E184" t="s">
        <v>444</v>
      </c>
      <c r="F184" t="s">
        <v>444</v>
      </c>
      <c r="G184" t="s">
        <v>270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P184">
        <v>0</v>
      </c>
      <c r="Q184">
        <v>0</v>
      </c>
      <c r="R184">
        <v>0</v>
      </c>
      <c r="S184">
        <v>0</v>
      </c>
    </row>
    <row r="185" spans="1:19" x14ac:dyDescent="0.35">
      <c r="A185" t="s">
        <v>442</v>
      </c>
      <c r="B185">
        <v>6</v>
      </c>
      <c r="C185" t="s">
        <v>450</v>
      </c>
      <c r="D185" t="s">
        <v>441</v>
      </c>
      <c r="E185" t="s">
        <v>444</v>
      </c>
      <c r="F185" t="s">
        <v>444</v>
      </c>
      <c r="G185" t="s">
        <v>60</v>
      </c>
      <c r="H185">
        <v>0</v>
      </c>
      <c r="I185">
        <v>0</v>
      </c>
      <c r="J185">
        <v>0</v>
      </c>
      <c r="K185">
        <v>0</v>
      </c>
      <c r="L185">
        <v>82.12</v>
      </c>
      <c r="M185">
        <v>82.12</v>
      </c>
      <c r="N185">
        <v>0</v>
      </c>
      <c r="P185">
        <v>0</v>
      </c>
      <c r="Q185">
        <v>0</v>
      </c>
      <c r="R185">
        <v>0</v>
      </c>
      <c r="S185">
        <v>0</v>
      </c>
    </row>
    <row r="186" spans="1:19" x14ac:dyDescent="0.35">
      <c r="A186" t="s">
        <v>34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C3"/>
  <sheetViews>
    <sheetView workbookViewId="0">
      <selection sqref="A1:A1048576"/>
    </sheetView>
  </sheetViews>
  <sheetFormatPr defaultRowHeight="14.5" x14ac:dyDescent="0.35"/>
  <cols>
    <col min="1" max="1" width="19.90625" bestFit="1" customWidth="1"/>
    <col min="2" max="2" width="122.81640625" bestFit="1" customWidth="1"/>
    <col min="3" max="3" width="36.54296875" bestFit="1" customWidth="1"/>
  </cols>
  <sheetData>
    <row r="1" spans="1:3" x14ac:dyDescent="0.35">
      <c r="A1" t="s">
        <v>593</v>
      </c>
    </row>
    <row r="2" spans="1:3" x14ac:dyDescent="0.35">
      <c r="A2" t="s">
        <v>594</v>
      </c>
      <c r="B2" t="s">
        <v>595</v>
      </c>
      <c r="C2" t="s">
        <v>596</v>
      </c>
    </row>
    <row r="3" spans="1:3" x14ac:dyDescent="0.35">
      <c r="A3" t="s">
        <v>597</v>
      </c>
      <c r="B3" t="s">
        <v>599</v>
      </c>
      <c r="C3" s="84" t="s">
        <v>647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R2"/>
  <sheetViews>
    <sheetView workbookViewId="0">
      <selection sqref="A1:A1048576"/>
    </sheetView>
  </sheetViews>
  <sheetFormatPr defaultRowHeight="14.5" x14ac:dyDescent="0.35"/>
  <cols>
    <col min="1" max="1" width="12.453125" bestFit="1" customWidth="1"/>
    <col min="2" max="2" width="13.453125" bestFit="1" customWidth="1"/>
    <col min="3" max="3" width="13.54296875" bestFit="1" customWidth="1"/>
    <col min="4" max="4" width="11.08984375" bestFit="1" customWidth="1"/>
    <col min="5" max="5" width="5.7265625" bestFit="1" customWidth="1"/>
    <col min="6" max="6" width="8.26953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36328125" bestFit="1" customWidth="1"/>
    <col min="13" max="13" width="4.453125" bestFit="1" customWidth="1"/>
    <col min="14" max="14" width="3.7265625" bestFit="1" customWidth="1"/>
    <col min="16" max="16" width="4" bestFit="1" customWidth="1"/>
    <col min="17" max="17" width="5.08984375" bestFit="1" customWidth="1"/>
    <col min="18" max="18" width="4.36328125" bestFit="1" customWidth="1"/>
  </cols>
  <sheetData>
    <row r="1" spans="1:18" x14ac:dyDescent="0.35">
      <c r="A1" t="s">
        <v>451</v>
      </c>
      <c r="B1" t="s">
        <v>452</v>
      </c>
      <c r="C1" t="s">
        <v>453</v>
      </c>
      <c r="D1" t="s">
        <v>454</v>
      </c>
      <c r="E1" t="s">
        <v>455</v>
      </c>
      <c r="F1" t="s">
        <v>456</v>
      </c>
      <c r="G1" t="s">
        <v>457</v>
      </c>
      <c r="H1" t="s">
        <v>458</v>
      </c>
      <c r="I1" t="s">
        <v>459</v>
      </c>
      <c r="J1" t="s">
        <v>460</v>
      </c>
      <c r="K1" t="s">
        <v>461</v>
      </c>
      <c r="L1" t="s">
        <v>462</v>
      </c>
      <c r="M1" t="s">
        <v>463</v>
      </c>
      <c r="N1" t="s">
        <v>464</v>
      </c>
      <c r="O1" t="s">
        <v>41</v>
      </c>
      <c r="P1" t="s">
        <v>465</v>
      </c>
      <c r="Q1" t="s">
        <v>466</v>
      </c>
      <c r="R1" t="s">
        <v>467</v>
      </c>
    </row>
    <row r="2" spans="1:18" x14ac:dyDescent="0.35">
      <c r="A2" t="s">
        <v>34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I2"/>
  <sheetViews>
    <sheetView workbookViewId="0">
      <selection sqref="A1:A1048576"/>
    </sheetView>
  </sheetViews>
  <sheetFormatPr defaultRowHeight="14.5" x14ac:dyDescent="0.35"/>
  <cols>
    <col min="1" max="1" width="9.36328125" bestFit="1" customWidth="1"/>
    <col min="2" max="2" width="11.08984375" bestFit="1" customWidth="1"/>
    <col min="3" max="3" width="14.453125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>
    <row r="1" spans="1:9" x14ac:dyDescent="0.35">
      <c r="A1" t="s">
        <v>462</v>
      </c>
      <c r="B1" t="s">
        <v>454</v>
      </c>
      <c r="C1" t="s">
        <v>468</v>
      </c>
      <c r="D1" t="s">
        <v>469</v>
      </c>
      <c r="E1" t="s">
        <v>453</v>
      </c>
      <c r="F1" t="s">
        <v>470</v>
      </c>
      <c r="G1" t="s">
        <v>41</v>
      </c>
      <c r="H1" t="s">
        <v>471</v>
      </c>
      <c r="I1" t="s">
        <v>472</v>
      </c>
    </row>
    <row r="2" spans="1:9" x14ac:dyDescent="0.35">
      <c r="A2" t="s">
        <v>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50</vt:i4>
      </vt:variant>
      <vt:variant>
        <vt:lpstr>Named Ranges</vt:lpstr>
      </vt:variant>
      <vt:variant>
        <vt:i4>701</vt:i4>
      </vt:variant>
    </vt:vector>
  </HeadingPairs>
  <TitlesOfParts>
    <vt:vector size="751" baseType="lpstr">
      <vt:lpstr>1.19</vt:lpstr>
      <vt:lpstr>1.26</vt:lpstr>
      <vt:lpstr>2.2</vt:lpstr>
      <vt:lpstr>2.9</vt:lpstr>
      <vt:lpstr>2.16</vt:lpstr>
      <vt:lpstr>2.23</vt:lpstr>
      <vt:lpstr>3.1</vt:lpstr>
      <vt:lpstr>3.8</vt:lpstr>
      <vt:lpstr>4.26</vt:lpstr>
      <vt:lpstr>5.3</vt:lpstr>
      <vt:lpstr>5.10</vt:lpstr>
      <vt:lpstr>5.17</vt:lpstr>
      <vt:lpstr>5.24</vt:lpstr>
      <vt:lpstr>5.31</vt:lpstr>
      <vt:lpstr>6.7</vt:lpstr>
      <vt:lpstr>7.19</vt:lpstr>
      <vt:lpstr>7.26</vt:lpstr>
      <vt:lpstr>8.30</vt:lpstr>
      <vt:lpstr>9.13</vt:lpstr>
      <vt:lpstr>9.20</vt:lpstr>
      <vt:lpstr>9.27</vt:lpstr>
      <vt:lpstr>Report Generator</vt:lpstr>
      <vt:lpstr>ppr1</vt:lpstr>
      <vt:lpstr>pid1</vt:lpstr>
      <vt:lpstr>frr1</vt:lpstr>
      <vt:lpstr>ur1</vt:lpstr>
      <vt:lpstr>ppr2</vt:lpstr>
      <vt:lpstr>pid2</vt:lpstr>
      <vt:lpstr>frr2</vt:lpstr>
      <vt:lpstr>ur2</vt:lpstr>
      <vt:lpstr>ppr3</vt:lpstr>
      <vt:lpstr>pid3</vt:lpstr>
      <vt:lpstr>frr3</vt:lpstr>
      <vt:lpstr>ur3</vt:lpstr>
      <vt:lpstr>ppr4</vt:lpstr>
      <vt:lpstr>pid4</vt:lpstr>
      <vt:lpstr>frr4</vt:lpstr>
      <vt:lpstr>ur4</vt:lpstr>
      <vt:lpstr>ppr5</vt:lpstr>
      <vt:lpstr>pid5</vt:lpstr>
      <vt:lpstr>frr5</vt:lpstr>
      <vt:lpstr>ur5</vt:lpstr>
      <vt:lpstr>ppr6</vt:lpstr>
      <vt:lpstr>pid6</vt:lpstr>
      <vt:lpstr>frr6</vt:lpstr>
      <vt:lpstr>ur6</vt:lpstr>
      <vt:lpstr>ppr7</vt:lpstr>
      <vt:lpstr>pid7</vt:lpstr>
      <vt:lpstr>frr7</vt:lpstr>
      <vt:lpstr>ur7</vt:lpstr>
      <vt:lpstr>'frr1'!website1</vt:lpstr>
      <vt:lpstr>'frr5'!website1</vt:lpstr>
      <vt:lpstr>'pid1'!website1</vt:lpstr>
      <vt:lpstr>'pid5'!website1</vt:lpstr>
      <vt:lpstr>'ppr1'!website1</vt:lpstr>
      <vt:lpstr>'ppr5'!website1</vt:lpstr>
      <vt:lpstr>'ur1'!website1</vt:lpstr>
      <vt:lpstr>'ur5'!website1</vt:lpstr>
      <vt:lpstr>'frr1'!website1_1</vt:lpstr>
      <vt:lpstr>'frr5'!website1_1</vt:lpstr>
      <vt:lpstr>'pid1'!website1_1</vt:lpstr>
      <vt:lpstr>'pid5'!website1_1</vt:lpstr>
      <vt:lpstr>'ppr1'!website1_1</vt:lpstr>
      <vt:lpstr>'ppr5'!website1_1</vt:lpstr>
      <vt:lpstr>'ur1'!website1_1</vt:lpstr>
      <vt:lpstr>'ur5'!website1_1</vt:lpstr>
      <vt:lpstr>'frr5'!website1_2</vt:lpstr>
      <vt:lpstr>'pid5'!website1_2</vt:lpstr>
      <vt:lpstr>'ppr5'!website1_2</vt:lpstr>
      <vt:lpstr>'ur5'!website1_2</vt:lpstr>
      <vt:lpstr>'frr5'!website1_3</vt:lpstr>
      <vt:lpstr>'pid5'!website1_3</vt:lpstr>
      <vt:lpstr>'ppr5'!website1_3</vt:lpstr>
      <vt:lpstr>'ur5'!website1_3</vt:lpstr>
      <vt:lpstr>'frr5'!website1_4</vt:lpstr>
      <vt:lpstr>'pid5'!website1_4</vt:lpstr>
      <vt:lpstr>'ppr5'!website1_4</vt:lpstr>
      <vt:lpstr>'ur5'!website1_4</vt:lpstr>
      <vt:lpstr>'frr1'!website10</vt:lpstr>
      <vt:lpstr>'frr2'!website10</vt:lpstr>
      <vt:lpstr>'frr6'!website10</vt:lpstr>
      <vt:lpstr>'pid1'!website10</vt:lpstr>
      <vt:lpstr>'pid2'!website10</vt:lpstr>
      <vt:lpstr>'pid6'!website10</vt:lpstr>
      <vt:lpstr>'ppr1'!website10</vt:lpstr>
      <vt:lpstr>'ppr2'!website10</vt:lpstr>
      <vt:lpstr>'ppr6'!website10</vt:lpstr>
      <vt:lpstr>'ur1'!website10</vt:lpstr>
      <vt:lpstr>'ur2'!website10</vt:lpstr>
      <vt:lpstr>'ur6'!website10</vt:lpstr>
      <vt:lpstr>'frr1'!website10_1</vt:lpstr>
      <vt:lpstr>'frr6'!website10_1</vt:lpstr>
      <vt:lpstr>'pid1'!website10_1</vt:lpstr>
      <vt:lpstr>'pid6'!website10_1</vt:lpstr>
      <vt:lpstr>'ppr1'!website10_1</vt:lpstr>
      <vt:lpstr>'ppr6'!website10_1</vt:lpstr>
      <vt:lpstr>'ur1'!website10_1</vt:lpstr>
      <vt:lpstr>'ur6'!website10_1</vt:lpstr>
      <vt:lpstr>'frr1'!website10_2</vt:lpstr>
      <vt:lpstr>'frr6'!website10_2</vt:lpstr>
      <vt:lpstr>'pid1'!website10_2</vt:lpstr>
      <vt:lpstr>'pid6'!website10_2</vt:lpstr>
      <vt:lpstr>'ppr1'!website10_2</vt:lpstr>
      <vt:lpstr>'ppr6'!website10_2</vt:lpstr>
      <vt:lpstr>'ur1'!website10_2</vt:lpstr>
      <vt:lpstr>'ur6'!website10_2</vt:lpstr>
      <vt:lpstr>'frr1'!website10_3</vt:lpstr>
      <vt:lpstr>'pid1'!website10_3</vt:lpstr>
      <vt:lpstr>'ppr1'!website10_3</vt:lpstr>
      <vt:lpstr>'ur1'!website10_3</vt:lpstr>
      <vt:lpstr>'frr1'!website10_4</vt:lpstr>
      <vt:lpstr>'pid1'!website10_4</vt:lpstr>
      <vt:lpstr>'ppr1'!website10_4</vt:lpstr>
      <vt:lpstr>'ur1'!website10_4</vt:lpstr>
      <vt:lpstr>'frr1'!website10_5</vt:lpstr>
      <vt:lpstr>'pid1'!website10_5</vt:lpstr>
      <vt:lpstr>'ppr1'!website10_5</vt:lpstr>
      <vt:lpstr>'ur1'!website10_5</vt:lpstr>
      <vt:lpstr>'frr1'!website10_6</vt:lpstr>
      <vt:lpstr>'pid1'!website10_6</vt:lpstr>
      <vt:lpstr>'ppr1'!website10_6</vt:lpstr>
      <vt:lpstr>'ur1'!website10_6</vt:lpstr>
      <vt:lpstr>'frr1'!website11</vt:lpstr>
      <vt:lpstr>'frr2'!website11</vt:lpstr>
      <vt:lpstr>'frr3'!website11</vt:lpstr>
      <vt:lpstr>'frr7'!website11</vt:lpstr>
      <vt:lpstr>'pid1'!website11</vt:lpstr>
      <vt:lpstr>'pid2'!website11</vt:lpstr>
      <vt:lpstr>'pid3'!website11</vt:lpstr>
      <vt:lpstr>'pid7'!website11</vt:lpstr>
      <vt:lpstr>'ppr1'!website11</vt:lpstr>
      <vt:lpstr>'ppr2'!website11</vt:lpstr>
      <vt:lpstr>'ppr3'!website11</vt:lpstr>
      <vt:lpstr>'ppr7'!website11</vt:lpstr>
      <vt:lpstr>'ur1'!website11</vt:lpstr>
      <vt:lpstr>'ur2'!website11</vt:lpstr>
      <vt:lpstr>'ur3'!website11</vt:lpstr>
      <vt:lpstr>'ur7'!website11</vt:lpstr>
      <vt:lpstr>'frr1'!website11_1</vt:lpstr>
      <vt:lpstr>'frr2'!website11_1</vt:lpstr>
      <vt:lpstr>'frr7'!website11_1</vt:lpstr>
      <vt:lpstr>'pid1'!website11_1</vt:lpstr>
      <vt:lpstr>'pid2'!website11_1</vt:lpstr>
      <vt:lpstr>'pid7'!website11_1</vt:lpstr>
      <vt:lpstr>'ppr1'!website11_1</vt:lpstr>
      <vt:lpstr>'ppr2'!website11_1</vt:lpstr>
      <vt:lpstr>'ppr7'!website11_1</vt:lpstr>
      <vt:lpstr>'ur1'!website11_1</vt:lpstr>
      <vt:lpstr>'ur2'!website11_1</vt:lpstr>
      <vt:lpstr>'ur7'!website11_1</vt:lpstr>
      <vt:lpstr>'frr2'!website11_2</vt:lpstr>
      <vt:lpstr>'frr7'!website11_2</vt:lpstr>
      <vt:lpstr>'pid2'!website11_2</vt:lpstr>
      <vt:lpstr>'pid7'!website11_2</vt:lpstr>
      <vt:lpstr>'ppr2'!website11_2</vt:lpstr>
      <vt:lpstr>'ppr7'!website11_2</vt:lpstr>
      <vt:lpstr>'ur2'!website11_2</vt:lpstr>
      <vt:lpstr>'ur7'!website11_2</vt:lpstr>
      <vt:lpstr>'frr2'!website11_3</vt:lpstr>
      <vt:lpstr>'pid2'!website11_3</vt:lpstr>
      <vt:lpstr>'ppr2'!website11_3</vt:lpstr>
      <vt:lpstr>'ur2'!website11_3</vt:lpstr>
      <vt:lpstr>'frr2'!website11_4</vt:lpstr>
      <vt:lpstr>'pid2'!website11_4</vt:lpstr>
      <vt:lpstr>'ppr2'!website11_4</vt:lpstr>
      <vt:lpstr>'ur2'!website11_4</vt:lpstr>
      <vt:lpstr>'frr2'!website11_5</vt:lpstr>
      <vt:lpstr>'pid2'!website11_5</vt:lpstr>
      <vt:lpstr>'ppr2'!website11_5</vt:lpstr>
      <vt:lpstr>'ur2'!website11_5</vt:lpstr>
      <vt:lpstr>'frr2'!website11_6</vt:lpstr>
      <vt:lpstr>'pid2'!website11_6</vt:lpstr>
      <vt:lpstr>'ppr2'!website11_6</vt:lpstr>
      <vt:lpstr>'ur2'!website11_6</vt:lpstr>
      <vt:lpstr>'frr1'!website12</vt:lpstr>
      <vt:lpstr>'frr2'!website12</vt:lpstr>
      <vt:lpstr>'frr3'!website12</vt:lpstr>
      <vt:lpstr>'frr4'!website12</vt:lpstr>
      <vt:lpstr>'pid1'!website12</vt:lpstr>
      <vt:lpstr>'pid2'!website12</vt:lpstr>
      <vt:lpstr>'pid3'!website12</vt:lpstr>
      <vt:lpstr>'pid4'!website12</vt:lpstr>
      <vt:lpstr>'ppr1'!website12</vt:lpstr>
      <vt:lpstr>'ppr2'!website12</vt:lpstr>
      <vt:lpstr>'ppr3'!website12</vt:lpstr>
      <vt:lpstr>'ppr4'!website12</vt:lpstr>
      <vt:lpstr>'ur1'!website12</vt:lpstr>
      <vt:lpstr>'ur2'!website12</vt:lpstr>
      <vt:lpstr>'ur3'!website12</vt:lpstr>
      <vt:lpstr>'ur4'!website12</vt:lpstr>
      <vt:lpstr>'frr2'!website12_1</vt:lpstr>
      <vt:lpstr>'frr3'!website12_1</vt:lpstr>
      <vt:lpstr>'pid2'!website12_1</vt:lpstr>
      <vt:lpstr>'pid3'!website12_1</vt:lpstr>
      <vt:lpstr>'ppr2'!website12_1</vt:lpstr>
      <vt:lpstr>'ppr3'!website12_1</vt:lpstr>
      <vt:lpstr>'ur2'!website12_1</vt:lpstr>
      <vt:lpstr>'ur3'!website12_1</vt:lpstr>
      <vt:lpstr>'frr3'!website12_2</vt:lpstr>
      <vt:lpstr>'pid3'!website12_2</vt:lpstr>
      <vt:lpstr>'ppr3'!website12_2</vt:lpstr>
      <vt:lpstr>'ur3'!website12_2</vt:lpstr>
      <vt:lpstr>'frr3'!website12_3</vt:lpstr>
      <vt:lpstr>'pid3'!website12_3</vt:lpstr>
      <vt:lpstr>'ppr3'!website12_3</vt:lpstr>
      <vt:lpstr>'ur3'!website12_3</vt:lpstr>
      <vt:lpstr>'frr3'!website12_4</vt:lpstr>
      <vt:lpstr>'pid3'!website12_4</vt:lpstr>
      <vt:lpstr>'ppr3'!website12_4</vt:lpstr>
      <vt:lpstr>'ur3'!website12_4</vt:lpstr>
      <vt:lpstr>'frr3'!website12_5</vt:lpstr>
      <vt:lpstr>'pid3'!website12_5</vt:lpstr>
      <vt:lpstr>'ppr3'!website12_5</vt:lpstr>
      <vt:lpstr>'ur3'!website12_5</vt:lpstr>
      <vt:lpstr>'frr3'!website12_6</vt:lpstr>
      <vt:lpstr>'pid3'!website12_6</vt:lpstr>
      <vt:lpstr>'ppr3'!website12_6</vt:lpstr>
      <vt:lpstr>'ur3'!website12_6</vt:lpstr>
      <vt:lpstr>'frr1'!website13</vt:lpstr>
      <vt:lpstr>'frr2'!website13</vt:lpstr>
      <vt:lpstr>'frr3'!website13</vt:lpstr>
      <vt:lpstr>'frr4'!website13</vt:lpstr>
      <vt:lpstr>'frr5'!website13</vt:lpstr>
      <vt:lpstr>'pid1'!website13</vt:lpstr>
      <vt:lpstr>'pid2'!website13</vt:lpstr>
      <vt:lpstr>'pid3'!website13</vt:lpstr>
      <vt:lpstr>'pid4'!website13</vt:lpstr>
      <vt:lpstr>'pid5'!website13</vt:lpstr>
      <vt:lpstr>'ppr1'!website13</vt:lpstr>
      <vt:lpstr>'ppr2'!website13</vt:lpstr>
      <vt:lpstr>'ppr3'!website13</vt:lpstr>
      <vt:lpstr>'ppr4'!website13</vt:lpstr>
      <vt:lpstr>'ppr5'!website13</vt:lpstr>
      <vt:lpstr>'ur1'!website13</vt:lpstr>
      <vt:lpstr>'ur2'!website13</vt:lpstr>
      <vt:lpstr>'ur3'!website13</vt:lpstr>
      <vt:lpstr>'ur4'!website13</vt:lpstr>
      <vt:lpstr>'ur5'!website13</vt:lpstr>
      <vt:lpstr>'frr3'!website13_1</vt:lpstr>
      <vt:lpstr>'frr4'!website13_1</vt:lpstr>
      <vt:lpstr>'pid3'!website13_1</vt:lpstr>
      <vt:lpstr>'pid4'!website13_1</vt:lpstr>
      <vt:lpstr>'ppr3'!website13_1</vt:lpstr>
      <vt:lpstr>'ppr4'!website13_1</vt:lpstr>
      <vt:lpstr>'ur3'!website13_1</vt:lpstr>
      <vt:lpstr>'ur4'!website13_1</vt:lpstr>
      <vt:lpstr>'frr4'!website13_2</vt:lpstr>
      <vt:lpstr>'pid4'!website13_2</vt:lpstr>
      <vt:lpstr>'ppr4'!website13_2</vt:lpstr>
      <vt:lpstr>'ur4'!website13_2</vt:lpstr>
      <vt:lpstr>'frr4'!website13_3</vt:lpstr>
      <vt:lpstr>'pid4'!website13_3</vt:lpstr>
      <vt:lpstr>'ppr4'!website13_3</vt:lpstr>
      <vt:lpstr>'ur4'!website13_3</vt:lpstr>
      <vt:lpstr>'frr4'!website13_4</vt:lpstr>
      <vt:lpstr>'pid4'!website13_4</vt:lpstr>
      <vt:lpstr>'ppr4'!website13_4</vt:lpstr>
      <vt:lpstr>'ur4'!website13_4</vt:lpstr>
      <vt:lpstr>'frr4'!website13_5</vt:lpstr>
      <vt:lpstr>'pid4'!website13_5</vt:lpstr>
      <vt:lpstr>'ppr4'!website13_5</vt:lpstr>
      <vt:lpstr>'ur4'!website13_5</vt:lpstr>
      <vt:lpstr>'frr4'!website13_6</vt:lpstr>
      <vt:lpstr>'pid4'!website13_6</vt:lpstr>
      <vt:lpstr>'ppr4'!website13_6</vt:lpstr>
      <vt:lpstr>'ur4'!website13_6</vt:lpstr>
      <vt:lpstr>'frr2'!website14</vt:lpstr>
      <vt:lpstr>'frr3'!website14</vt:lpstr>
      <vt:lpstr>'frr4'!website14</vt:lpstr>
      <vt:lpstr>'frr5'!website14</vt:lpstr>
      <vt:lpstr>'frr6'!website14</vt:lpstr>
      <vt:lpstr>'pid2'!website14</vt:lpstr>
      <vt:lpstr>'pid3'!website14</vt:lpstr>
      <vt:lpstr>'pid4'!website14</vt:lpstr>
      <vt:lpstr>'pid5'!website14</vt:lpstr>
      <vt:lpstr>'pid6'!website14</vt:lpstr>
      <vt:lpstr>'ppr2'!website14</vt:lpstr>
      <vt:lpstr>'ppr3'!website14</vt:lpstr>
      <vt:lpstr>'ppr4'!website14</vt:lpstr>
      <vt:lpstr>'ppr5'!website14</vt:lpstr>
      <vt:lpstr>'ppr6'!website14</vt:lpstr>
      <vt:lpstr>'ur2'!website14</vt:lpstr>
      <vt:lpstr>'ur3'!website14</vt:lpstr>
      <vt:lpstr>'ur4'!website14</vt:lpstr>
      <vt:lpstr>'ur5'!website14</vt:lpstr>
      <vt:lpstr>'ur6'!website14</vt:lpstr>
      <vt:lpstr>'frr4'!website14_1</vt:lpstr>
      <vt:lpstr>'frr5'!website14_1</vt:lpstr>
      <vt:lpstr>'pid4'!website14_1</vt:lpstr>
      <vt:lpstr>'pid5'!website14_1</vt:lpstr>
      <vt:lpstr>'ppr4'!website14_1</vt:lpstr>
      <vt:lpstr>'ppr5'!website14_1</vt:lpstr>
      <vt:lpstr>'ur4'!website14_1</vt:lpstr>
      <vt:lpstr>'ur5'!website14_1</vt:lpstr>
      <vt:lpstr>'frr5'!website14_2</vt:lpstr>
      <vt:lpstr>'pid5'!website14_2</vt:lpstr>
      <vt:lpstr>'ppr5'!website14_2</vt:lpstr>
      <vt:lpstr>'ur5'!website14_2</vt:lpstr>
      <vt:lpstr>'frr5'!website14_3</vt:lpstr>
      <vt:lpstr>'pid5'!website14_3</vt:lpstr>
      <vt:lpstr>'ppr5'!website14_3</vt:lpstr>
      <vt:lpstr>'ur5'!website14_3</vt:lpstr>
      <vt:lpstr>'frr5'!website14_4</vt:lpstr>
      <vt:lpstr>'pid5'!website14_4</vt:lpstr>
      <vt:lpstr>'ppr5'!website14_4</vt:lpstr>
      <vt:lpstr>'ur5'!website14_4</vt:lpstr>
      <vt:lpstr>'frr5'!website14_5</vt:lpstr>
      <vt:lpstr>'pid5'!website14_5</vt:lpstr>
      <vt:lpstr>'ppr5'!website14_5</vt:lpstr>
      <vt:lpstr>'ur5'!website14_5</vt:lpstr>
      <vt:lpstr>'frr5'!website14_6</vt:lpstr>
      <vt:lpstr>'pid5'!website14_6</vt:lpstr>
      <vt:lpstr>'ppr5'!website14_6</vt:lpstr>
      <vt:lpstr>'ur5'!website14_6</vt:lpstr>
      <vt:lpstr>'frr3'!website15</vt:lpstr>
      <vt:lpstr>'frr4'!website15</vt:lpstr>
      <vt:lpstr>'frr5'!website15</vt:lpstr>
      <vt:lpstr>'frr6'!website15</vt:lpstr>
      <vt:lpstr>'frr7'!website15</vt:lpstr>
      <vt:lpstr>'pid3'!website15</vt:lpstr>
      <vt:lpstr>'pid4'!website15</vt:lpstr>
      <vt:lpstr>'pid5'!website15</vt:lpstr>
      <vt:lpstr>'pid6'!website15</vt:lpstr>
      <vt:lpstr>'pid7'!website15</vt:lpstr>
      <vt:lpstr>'ppr3'!website15</vt:lpstr>
      <vt:lpstr>'ppr4'!website15</vt:lpstr>
      <vt:lpstr>'ppr5'!website15</vt:lpstr>
      <vt:lpstr>'ppr6'!website15</vt:lpstr>
      <vt:lpstr>'ppr7'!website15</vt:lpstr>
      <vt:lpstr>'ur3'!website15</vt:lpstr>
      <vt:lpstr>'ur4'!website15</vt:lpstr>
      <vt:lpstr>'ur5'!website15</vt:lpstr>
      <vt:lpstr>'ur6'!website15</vt:lpstr>
      <vt:lpstr>'ur7'!website15</vt:lpstr>
      <vt:lpstr>'frr5'!website15_1</vt:lpstr>
      <vt:lpstr>'frr6'!website15_1</vt:lpstr>
      <vt:lpstr>'pid5'!website15_1</vt:lpstr>
      <vt:lpstr>'pid6'!website15_1</vt:lpstr>
      <vt:lpstr>'ppr5'!website15_1</vt:lpstr>
      <vt:lpstr>'ppr6'!website15_1</vt:lpstr>
      <vt:lpstr>'ur5'!website15_1</vt:lpstr>
      <vt:lpstr>'ur6'!website15_1</vt:lpstr>
      <vt:lpstr>'frr6'!website15_2</vt:lpstr>
      <vt:lpstr>'pid6'!website15_2</vt:lpstr>
      <vt:lpstr>'ppr6'!website15_2</vt:lpstr>
      <vt:lpstr>'ur6'!website15_2</vt:lpstr>
      <vt:lpstr>'frr6'!website15_3</vt:lpstr>
      <vt:lpstr>'pid6'!website15_3</vt:lpstr>
      <vt:lpstr>'ppr6'!website15_3</vt:lpstr>
      <vt:lpstr>'ur6'!website15_3</vt:lpstr>
      <vt:lpstr>'frr6'!website15_4</vt:lpstr>
      <vt:lpstr>'pid6'!website15_4</vt:lpstr>
      <vt:lpstr>'ppr6'!website15_4</vt:lpstr>
      <vt:lpstr>'ur6'!website15_4</vt:lpstr>
      <vt:lpstr>'frr6'!website15_5</vt:lpstr>
      <vt:lpstr>'pid6'!website15_5</vt:lpstr>
      <vt:lpstr>'ppr6'!website15_5</vt:lpstr>
      <vt:lpstr>'ur6'!website15_5</vt:lpstr>
      <vt:lpstr>'frr6'!website15_6</vt:lpstr>
      <vt:lpstr>'pid6'!website15_6</vt:lpstr>
      <vt:lpstr>'ppr6'!website15_6</vt:lpstr>
      <vt:lpstr>'ur6'!website15_6</vt:lpstr>
      <vt:lpstr>'frr4'!website16</vt:lpstr>
      <vt:lpstr>'frr5'!website16</vt:lpstr>
      <vt:lpstr>'frr6'!website16</vt:lpstr>
      <vt:lpstr>'frr7'!website16</vt:lpstr>
      <vt:lpstr>'pid4'!website16</vt:lpstr>
      <vt:lpstr>'pid5'!website16</vt:lpstr>
      <vt:lpstr>'pid6'!website16</vt:lpstr>
      <vt:lpstr>'pid7'!website16</vt:lpstr>
      <vt:lpstr>'ppr4'!website16</vt:lpstr>
      <vt:lpstr>'ppr5'!website16</vt:lpstr>
      <vt:lpstr>'ppr6'!website16</vt:lpstr>
      <vt:lpstr>'ppr7'!website16</vt:lpstr>
      <vt:lpstr>'ur4'!website16</vt:lpstr>
      <vt:lpstr>'ur5'!website16</vt:lpstr>
      <vt:lpstr>'ur6'!website16</vt:lpstr>
      <vt:lpstr>'ur7'!website16</vt:lpstr>
      <vt:lpstr>'frr6'!website16_1</vt:lpstr>
      <vt:lpstr>'frr7'!website16_1</vt:lpstr>
      <vt:lpstr>'pid6'!website16_1</vt:lpstr>
      <vt:lpstr>'pid7'!website16_1</vt:lpstr>
      <vt:lpstr>'ppr6'!website16_1</vt:lpstr>
      <vt:lpstr>'ppr7'!website16_1</vt:lpstr>
      <vt:lpstr>'ur6'!website16_1</vt:lpstr>
      <vt:lpstr>'ur7'!website16_1</vt:lpstr>
      <vt:lpstr>'frr7'!website16_2</vt:lpstr>
      <vt:lpstr>'pid7'!website16_2</vt:lpstr>
      <vt:lpstr>'ppr7'!website16_2</vt:lpstr>
      <vt:lpstr>'ur7'!website16_2</vt:lpstr>
      <vt:lpstr>'frr7'!website16_3</vt:lpstr>
      <vt:lpstr>'pid7'!website16_3</vt:lpstr>
      <vt:lpstr>'ppr7'!website16_3</vt:lpstr>
      <vt:lpstr>'ur7'!website16_3</vt:lpstr>
      <vt:lpstr>'frr7'!website16_4</vt:lpstr>
      <vt:lpstr>'pid7'!website16_4</vt:lpstr>
      <vt:lpstr>'ppr7'!website16_4</vt:lpstr>
      <vt:lpstr>'ur7'!website16_4</vt:lpstr>
      <vt:lpstr>'frr7'!website16_5</vt:lpstr>
      <vt:lpstr>'pid7'!website16_5</vt:lpstr>
      <vt:lpstr>'ppr7'!website16_5</vt:lpstr>
      <vt:lpstr>'ur7'!website16_5</vt:lpstr>
      <vt:lpstr>'frr7'!website16_6</vt:lpstr>
      <vt:lpstr>'pid7'!website16_6</vt:lpstr>
      <vt:lpstr>'ppr7'!website16_6</vt:lpstr>
      <vt:lpstr>'ur7'!website16_6</vt:lpstr>
      <vt:lpstr>'frr1'!website17</vt:lpstr>
      <vt:lpstr>'frr5'!website17</vt:lpstr>
      <vt:lpstr>'frr6'!website17</vt:lpstr>
      <vt:lpstr>'frr7'!website17</vt:lpstr>
      <vt:lpstr>'pid1'!website17</vt:lpstr>
      <vt:lpstr>'pid5'!website17</vt:lpstr>
      <vt:lpstr>'pid6'!website17</vt:lpstr>
      <vt:lpstr>'pid7'!website17</vt:lpstr>
      <vt:lpstr>'ppr1'!website17</vt:lpstr>
      <vt:lpstr>'ppr5'!website17</vt:lpstr>
      <vt:lpstr>'ppr6'!website17</vt:lpstr>
      <vt:lpstr>'ppr7'!website17</vt:lpstr>
      <vt:lpstr>'ur1'!website17</vt:lpstr>
      <vt:lpstr>'ur5'!website17</vt:lpstr>
      <vt:lpstr>'ur6'!website17</vt:lpstr>
      <vt:lpstr>'ur7'!website17</vt:lpstr>
      <vt:lpstr>'frr7'!website17_1</vt:lpstr>
      <vt:lpstr>'pid7'!website17_1</vt:lpstr>
      <vt:lpstr>'ppr7'!website17_1</vt:lpstr>
      <vt:lpstr>'ur7'!website17_1</vt:lpstr>
      <vt:lpstr>'frr2'!website18</vt:lpstr>
      <vt:lpstr>'frr6'!website18</vt:lpstr>
      <vt:lpstr>'frr7'!website18</vt:lpstr>
      <vt:lpstr>'pid2'!website18</vt:lpstr>
      <vt:lpstr>'pid6'!website18</vt:lpstr>
      <vt:lpstr>'pid7'!website18</vt:lpstr>
      <vt:lpstr>'ppr2'!website18</vt:lpstr>
      <vt:lpstr>'ppr6'!website18</vt:lpstr>
      <vt:lpstr>'ppr7'!website18</vt:lpstr>
      <vt:lpstr>'ur2'!website18</vt:lpstr>
      <vt:lpstr>'ur6'!website18</vt:lpstr>
      <vt:lpstr>'ur7'!website18</vt:lpstr>
      <vt:lpstr>'frr3'!website19</vt:lpstr>
      <vt:lpstr>'frr7'!website19</vt:lpstr>
      <vt:lpstr>'pid3'!website19</vt:lpstr>
      <vt:lpstr>'pid7'!website19</vt:lpstr>
      <vt:lpstr>'ppr3'!website19</vt:lpstr>
      <vt:lpstr>'ppr7'!website19</vt:lpstr>
      <vt:lpstr>'ur3'!website19</vt:lpstr>
      <vt:lpstr>'ur7'!website19</vt:lpstr>
      <vt:lpstr>'frr2'!website2</vt:lpstr>
      <vt:lpstr>'frr6'!website2</vt:lpstr>
      <vt:lpstr>'pid2'!website2</vt:lpstr>
      <vt:lpstr>'pid6'!website2</vt:lpstr>
      <vt:lpstr>'ppr2'!website2</vt:lpstr>
      <vt:lpstr>'ppr6'!website2</vt:lpstr>
      <vt:lpstr>'ur2'!website2</vt:lpstr>
      <vt:lpstr>'ur6'!website2</vt:lpstr>
      <vt:lpstr>'frr2'!website2_1</vt:lpstr>
      <vt:lpstr>'frr6'!website2_1</vt:lpstr>
      <vt:lpstr>'pid2'!website2_1</vt:lpstr>
      <vt:lpstr>'pid6'!website2_1</vt:lpstr>
      <vt:lpstr>'ppr2'!website2_1</vt:lpstr>
      <vt:lpstr>'ppr6'!website2_1</vt:lpstr>
      <vt:lpstr>'ur2'!website2_1</vt:lpstr>
      <vt:lpstr>'ur6'!website2_1</vt:lpstr>
      <vt:lpstr>'frr6'!website2_2</vt:lpstr>
      <vt:lpstr>'pid6'!website2_2</vt:lpstr>
      <vt:lpstr>'ppr6'!website2_2</vt:lpstr>
      <vt:lpstr>'ur6'!website2_2</vt:lpstr>
      <vt:lpstr>'frr6'!website2_3</vt:lpstr>
      <vt:lpstr>'pid6'!website2_3</vt:lpstr>
      <vt:lpstr>'ppr6'!website2_3</vt:lpstr>
      <vt:lpstr>'ur6'!website2_3</vt:lpstr>
      <vt:lpstr>'frr6'!website2_4</vt:lpstr>
      <vt:lpstr>'pid6'!website2_4</vt:lpstr>
      <vt:lpstr>'ppr6'!website2_4</vt:lpstr>
      <vt:lpstr>'ur6'!website2_4</vt:lpstr>
      <vt:lpstr>'frr1'!website20</vt:lpstr>
      <vt:lpstr>'frr4'!website20</vt:lpstr>
      <vt:lpstr>'pid1'!website20</vt:lpstr>
      <vt:lpstr>'pid4'!website20</vt:lpstr>
      <vt:lpstr>'ppr1'!website20</vt:lpstr>
      <vt:lpstr>'ppr4'!website20</vt:lpstr>
      <vt:lpstr>'ur1'!website20</vt:lpstr>
      <vt:lpstr>'ur4'!website20</vt:lpstr>
      <vt:lpstr>'frr2'!website21</vt:lpstr>
      <vt:lpstr>'frr5'!website21</vt:lpstr>
      <vt:lpstr>'pid2'!website21</vt:lpstr>
      <vt:lpstr>'pid5'!website21</vt:lpstr>
      <vt:lpstr>'ppr2'!website21</vt:lpstr>
      <vt:lpstr>'ppr5'!website21</vt:lpstr>
      <vt:lpstr>'ur2'!website21</vt:lpstr>
      <vt:lpstr>'ur5'!website21</vt:lpstr>
      <vt:lpstr>'frr3'!website22</vt:lpstr>
      <vt:lpstr>'frr6'!website22</vt:lpstr>
      <vt:lpstr>'pid3'!website22</vt:lpstr>
      <vt:lpstr>'pid6'!website22</vt:lpstr>
      <vt:lpstr>'ppr3'!website22</vt:lpstr>
      <vt:lpstr>'ppr6'!website22</vt:lpstr>
      <vt:lpstr>'ur3'!website22</vt:lpstr>
      <vt:lpstr>'ur6'!website22</vt:lpstr>
      <vt:lpstr>'frr4'!website23</vt:lpstr>
      <vt:lpstr>'frr7'!website23</vt:lpstr>
      <vt:lpstr>'pid4'!website23</vt:lpstr>
      <vt:lpstr>'pid7'!website23</vt:lpstr>
      <vt:lpstr>'ppr4'!website23</vt:lpstr>
      <vt:lpstr>'ppr7'!website23</vt:lpstr>
      <vt:lpstr>'ur4'!website23</vt:lpstr>
      <vt:lpstr>'ur7'!website23</vt:lpstr>
      <vt:lpstr>'frr5'!website24</vt:lpstr>
      <vt:lpstr>'pid5'!website24</vt:lpstr>
      <vt:lpstr>'ppr5'!website24</vt:lpstr>
      <vt:lpstr>'ur5'!website24</vt:lpstr>
      <vt:lpstr>'frr1'!website25</vt:lpstr>
      <vt:lpstr>'frr6'!website25</vt:lpstr>
      <vt:lpstr>'pid1'!website25</vt:lpstr>
      <vt:lpstr>'pid6'!website25</vt:lpstr>
      <vt:lpstr>'ppr1'!website25</vt:lpstr>
      <vt:lpstr>'ppr6'!website25</vt:lpstr>
      <vt:lpstr>'ur1'!website25</vt:lpstr>
      <vt:lpstr>'ur6'!website25</vt:lpstr>
      <vt:lpstr>'frr2'!website26</vt:lpstr>
      <vt:lpstr>'frr7'!website26</vt:lpstr>
      <vt:lpstr>'pid2'!website26</vt:lpstr>
      <vt:lpstr>'pid7'!website26</vt:lpstr>
      <vt:lpstr>'ppr2'!website26</vt:lpstr>
      <vt:lpstr>'ppr7'!website26</vt:lpstr>
      <vt:lpstr>'ur2'!website26</vt:lpstr>
      <vt:lpstr>'ur7'!website26</vt:lpstr>
      <vt:lpstr>'frr1'!website27</vt:lpstr>
      <vt:lpstr>'frr3'!website27</vt:lpstr>
      <vt:lpstr>'pid1'!website27</vt:lpstr>
      <vt:lpstr>'pid3'!website27</vt:lpstr>
      <vt:lpstr>'ppr1'!website27</vt:lpstr>
      <vt:lpstr>'ppr3'!website27</vt:lpstr>
      <vt:lpstr>'ur1'!website27</vt:lpstr>
      <vt:lpstr>'ur3'!website27</vt:lpstr>
      <vt:lpstr>'frr1'!website27_1</vt:lpstr>
      <vt:lpstr>'pid1'!website27_1</vt:lpstr>
      <vt:lpstr>'ppr1'!website27_1</vt:lpstr>
      <vt:lpstr>'ur1'!website27_1</vt:lpstr>
      <vt:lpstr>'frr1'!website27_2</vt:lpstr>
      <vt:lpstr>'pid1'!website27_2</vt:lpstr>
      <vt:lpstr>'ppr1'!website27_2</vt:lpstr>
      <vt:lpstr>'ur1'!website27_2</vt:lpstr>
      <vt:lpstr>'frr1'!website27_3</vt:lpstr>
      <vt:lpstr>'pid1'!website27_3</vt:lpstr>
      <vt:lpstr>'ppr1'!website27_3</vt:lpstr>
      <vt:lpstr>'ur1'!website27_3</vt:lpstr>
      <vt:lpstr>'frr1'!website27_4</vt:lpstr>
      <vt:lpstr>'pid1'!website27_4</vt:lpstr>
      <vt:lpstr>'ppr1'!website27_4</vt:lpstr>
      <vt:lpstr>'ur1'!website27_4</vt:lpstr>
      <vt:lpstr>'frr2'!website28</vt:lpstr>
      <vt:lpstr>'frr4'!website28</vt:lpstr>
      <vt:lpstr>'pid2'!website28</vt:lpstr>
      <vt:lpstr>'pid4'!website28</vt:lpstr>
      <vt:lpstr>'ppr2'!website28</vt:lpstr>
      <vt:lpstr>'ppr4'!website28</vt:lpstr>
      <vt:lpstr>'ur2'!website28</vt:lpstr>
      <vt:lpstr>'ur4'!website28</vt:lpstr>
      <vt:lpstr>'frr2'!website28_1</vt:lpstr>
      <vt:lpstr>'pid2'!website28_1</vt:lpstr>
      <vt:lpstr>'ppr2'!website28_1</vt:lpstr>
      <vt:lpstr>'ur2'!website28_1</vt:lpstr>
      <vt:lpstr>'frr2'!website28_2</vt:lpstr>
      <vt:lpstr>'pid2'!website28_2</vt:lpstr>
      <vt:lpstr>'ppr2'!website28_2</vt:lpstr>
      <vt:lpstr>'ur2'!website28_2</vt:lpstr>
      <vt:lpstr>'frr2'!website28_3</vt:lpstr>
      <vt:lpstr>'pid2'!website28_3</vt:lpstr>
      <vt:lpstr>'ppr2'!website28_3</vt:lpstr>
      <vt:lpstr>'ur2'!website28_3</vt:lpstr>
      <vt:lpstr>'frr2'!website28_4</vt:lpstr>
      <vt:lpstr>'pid2'!website28_4</vt:lpstr>
      <vt:lpstr>'ppr2'!website28_4</vt:lpstr>
      <vt:lpstr>'ur2'!website28_4</vt:lpstr>
      <vt:lpstr>'frr3'!website29</vt:lpstr>
      <vt:lpstr>'frr5'!website29</vt:lpstr>
      <vt:lpstr>'pid3'!website29</vt:lpstr>
      <vt:lpstr>'pid5'!website29</vt:lpstr>
      <vt:lpstr>'ppr3'!website29</vt:lpstr>
      <vt:lpstr>'ppr5'!website29</vt:lpstr>
      <vt:lpstr>'ur3'!website29</vt:lpstr>
      <vt:lpstr>'ur5'!website29</vt:lpstr>
      <vt:lpstr>'frr3'!website29_1</vt:lpstr>
      <vt:lpstr>'pid3'!website29_1</vt:lpstr>
      <vt:lpstr>'ppr3'!website29_1</vt:lpstr>
      <vt:lpstr>'ur3'!website29_1</vt:lpstr>
      <vt:lpstr>'frr3'!website29_2</vt:lpstr>
      <vt:lpstr>'pid3'!website29_2</vt:lpstr>
      <vt:lpstr>'ppr3'!website29_2</vt:lpstr>
      <vt:lpstr>'ur3'!website29_2</vt:lpstr>
      <vt:lpstr>'frr3'!website29_3</vt:lpstr>
      <vt:lpstr>'pid3'!website29_3</vt:lpstr>
      <vt:lpstr>'ppr3'!website29_3</vt:lpstr>
      <vt:lpstr>'ur3'!website29_3</vt:lpstr>
      <vt:lpstr>'frr3'!website29_4</vt:lpstr>
      <vt:lpstr>'pid3'!website29_4</vt:lpstr>
      <vt:lpstr>'ppr3'!website29_4</vt:lpstr>
      <vt:lpstr>'ur3'!website29_4</vt:lpstr>
      <vt:lpstr>'frr3'!website3</vt:lpstr>
      <vt:lpstr>'frr7'!website3</vt:lpstr>
      <vt:lpstr>'pid3'!website3</vt:lpstr>
      <vt:lpstr>'pid7'!website3</vt:lpstr>
      <vt:lpstr>'ppr3'!website3</vt:lpstr>
      <vt:lpstr>'ppr7'!website3</vt:lpstr>
      <vt:lpstr>'ur3'!website3</vt:lpstr>
      <vt:lpstr>'ur7'!website3</vt:lpstr>
      <vt:lpstr>'frr3'!website3_1</vt:lpstr>
      <vt:lpstr>'frr7'!website3_1</vt:lpstr>
      <vt:lpstr>'pid3'!website3_1</vt:lpstr>
      <vt:lpstr>'pid7'!website3_1</vt:lpstr>
      <vt:lpstr>'ppr3'!website3_1</vt:lpstr>
      <vt:lpstr>'ppr7'!website3_1</vt:lpstr>
      <vt:lpstr>'ur3'!website3_1</vt:lpstr>
      <vt:lpstr>'ur7'!website3_1</vt:lpstr>
      <vt:lpstr>'frr7'!website3_2</vt:lpstr>
      <vt:lpstr>'pid7'!website3_2</vt:lpstr>
      <vt:lpstr>'ppr7'!website3_2</vt:lpstr>
      <vt:lpstr>'ur7'!website3_2</vt:lpstr>
      <vt:lpstr>'frr7'!website3_3</vt:lpstr>
      <vt:lpstr>'pid7'!website3_3</vt:lpstr>
      <vt:lpstr>'ppr7'!website3_3</vt:lpstr>
      <vt:lpstr>'ur7'!website3_3</vt:lpstr>
      <vt:lpstr>'frr7'!website3_4</vt:lpstr>
      <vt:lpstr>'pid7'!website3_4</vt:lpstr>
      <vt:lpstr>'ppr7'!website3_4</vt:lpstr>
      <vt:lpstr>'ur7'!website3_4</vt:lpstr>
      <vt:lpstr>'frr4'!website30</vt:lpstr>
      <vt:lpstr>'frr6'!website30</vt:lpstr>
      <vt:lpstr>'pid4'!website30</vt:lpstr>
      <vt:lpstr>'pid6'!website30</vt:lpstr>
      <vt:lpstr>'ppr4'!website30</vt:lpstr>
      <vt:lpstr>'ppr6'!website30</vt:lpstr>
      <vt:lpstr>'ur4'!website30</vt:lpstr>
      <vt:lpstr>'ur6'!website30</vt:lpstr>
      <vt:lpstr>'frr4'!website30_1</vt:lpstr>
      <vt:lpstr>'pid4'!website30_1</vt:lpstr>
      <vt:lpstr>'ppr4'!website30_1</vt:lpstr>
      <vt:lpstr>'ur4'!website30_1</vt:lpstr>
      <vt:lpstr>'frr4'!website30_2</vt:lpstr>
      <vt:lpstr>'pid4'!website30_2</vt:lpstr>
      <vt:lpstr>'ppr4'!website30_2</vt:lpstr>
      <vt:lpstr>'ur4'!website30_2</vt:lpstr>
      <vt:lpstr>'frr4'!website30_3</vt:lpstr>
      <vt:lpstr>'pid4'!website30_3</vt:lpstr>
      <vt:lpstr>'ppr4'!website30_3</vt:lpstr>
      <vt:lpstr>'ur4'!website30_3</vt:lpstr>
      <vt:lpstr>'frr4'!website30_4</vt:lpstr>
      <vt:lpstr>'pid4'!website30_4</vt:lpstr>
      <vt:lpstr>'ppr4'!website30_4</vt:lpstr>
      <vt:lpstr>'ur4'!website30_4</vt:lpstr>
      <vt:lpstr>'frr7'!website31</vt:lpstr>
      <vt:lpstr>'pid7'!website31</vt:lpstr>
      <vt:lpstr>'ppr7'!website31</vt:lpstr>
      <vt:lpstr>'ur7'!website31</vt:lpstr>
      <vt:lpstr>'frr4'!website4</vt:lpstr>
      <vt:lpstr>'pid4'!website4</vt:lpstr>
      <vt:lpstr>'ppr4'!website4</vt:lpstr>
      <vt:lpstr>'ur4'!website4</vt:lpstr>
      <vt:lpstr>'frr4'!website4_1</vt:lpstr>
      <vt:lpstr>'pid4'!website4_1</vt:lpstr>
      <vt:lpstr>'ppr4'!website4_1</vt:lpstr>
      <vt:lpstr>'ur4'!website4_1</vt:lpstr>
      <vt:lpstr>'frr1'!website5</vt:lpstr>
      <vt:lpstr>'frr5'!website5</vt:lpstr>
      <vt:lpstr>'pid1'!website5</vt:lpstr>
      <vt:lpstr>'pid5'!website5</vt:lpstr>
      <vt:lpstr>'ppr1'!website5</vt:lpstr>
      <vt:lpstr>'ppr5'!website5</vt:lpstr>
      <vt:lpstr>'ur1'!website5</vt:lpstr>
      <vt:lpstr>'ur5'!website5</vt:lpstr>
      <vt:lpstr>'frr1'!website5_1</vt:lpstr>
      <vt:lpstr>'frr5'!website5_1</vt:lpstr>
      <vt:lpstr>'pid1'!website5_1</vt:lpstr>
      <vt:lpstr>'pid5'!website5_1</vt:lpstr>
      <vt:lpstr>'ppr1'!website5_1</vt:lpstr>
      <vt:lpstr>'ppr5'!website5_1</vt:lpstr>
      <vt:lpstr>'ur1'!website5_1</vt:lpstr>
      <vt:lpstr>'ur5'!website5_1</vt:lpstr>
      <vt:lpstr>'frr1'!website5_2</vt:lpstr>
      <vt:lpstr>'pid1'!website5_2</vt:lpstr>
      <vt:lpstr>'ppr1'!website5_2</vt:lpstr>
      <vt:lpstr>'ur1'!website5_2</vt:lpstr>
      <vt:lpstr>'ppr1'!website5_3</vt:lpstr>
      <vt:lpstr>'frr2'!website6</vt:lpstr>
      <vt:lpstr>'frr6'!website6</vt:lpstr>
      <vt:lpstr>'pid2'!website6</vt:lpstr>
      <vt:lpstr>'pid6'!website6</vt:lpstr>
      <vt:lpstr>'ppr2'!website6</vt:lpstr>
      <vt:lpstr>'ppr6'!website6</vt:lpstr>
      <vt:lpstr>'ur2'!website6</vt:lpstr>
      <vt:lpstr>'ur6'!website6</vt:lpstr>
      <vt:lpstr>'frr2'!website6_1</vt:lpstr>
      <vt:lpstr>'frr6'!website6_1</vt:lpstr>
      <vt:lpstr>'pid2'!website6_1</vt:lpstr>
      <vt:lpstr>'pid6'!website6_1</vt:lpstr>
      <vt:lpstr>'ppr2'!website6_1</vt:lpstr>
      <vt:lpstr>'ppr6'!website6_1</vt:lpstr>
      <vt:lpstr>'ur2'!website6_1</vt:lpstr>
      <vt:lpstr>'ur6'!website6_1</vt:lpstr>
      <vt:lpstr>'frr2'!website6_2</vt:lpstr>
      <vt:lpstr>'pid2'!website6_2</vt:lpstr>
      <vt:lpstr>'ppr2'!website6_2</vt:lpstr>
      <vt:lpstr>'ur2'!website6_2</vt:lpstr>
      <vt:lpstr>'frr3'!website7</vt:lpstr>
      <vt:lpstr>'frr7'!website7</vt:lpstr>
      <vt:lpstr>'pid3'!website7</vt:lpstr>
      <vt:lpstr>'pid7'!website7</vt:lpstr>
      <vt:lpstr>'ppr3'!website7</vt:lpstr>
      <vt:lpstr>'ppr7'!website7</vt:lpstr>
      <vt:lpstr>'ur3'!website7</vt:lpstr>
      <vt:lpstr>'ur7'!website7</vt:lpstr>
      <vt:lpstr>'frr3'!website7_1</vt:lpstr>
      <vt:lpstr>'frr7'!website7_1</vt:lpstr>
      <vt:lpstr>'pid3'!website7_1</vt:lpstr>
      <vt:lpstr>'pid7'!website7_1</vt:lpstr>
      <vt:lpstr>'ppr3'!website7_1</vt:lpstr>
      <vt:lpstr>'ppr7'!website7_1</vt:lpstr>
      <vt:lpstr>'ur3'!website7_1</vt:lpstr>
      <vt:lpstr>'ur7'!website7_1</vt:lpstr>
      <vt:lpstr>'frr3'!website7_2</vt:lpstr>
      <vt:lpstr>'pid3'!website7_2</vt:lpstr>
      <vt:lpstr>'ppr3'!website7_2</vt:lpstr>
      <vt:lpstr>'ur3'!website7_2</vt:lpstr>
      <vt:lpstr>'frr4'!website8</vt:lpstr>
      <vt:lpstr>'pid4'!website8</vt:lpstr>
      <vt:lpstr>'ppr4'!website8</vt:lpstr>
      <vt:lpstr>'ur4'!website8</vt:lpstr>
      <vt:lpstr>'frr4'!website8_1</vt:lpstr>
      <vt:lpstr>'pid4'!website8_1</vt:lpstr>
      <vt:lpstr>'ppr4'!website8_1</vt:lpstr>
      <vt:lpstr>'ur4'!website8_1</vt:lpstr>
      <vt:lpstr>'frr4'!website8_2</vt:lpstr>
      <vt:lpstr>'pid4'!website8_2</vt:lpstr>
      <vt:lpstr>'ppr4'!website8_2</vt:lpstr>
      <vt:lpstr>'ur4'!website8_2</vt:lpstr>
      <vt:lpstr>'frr1'!website9</vt:lpstr>
      <vt:lpstr>'frr5'!website9</vt:lpstr>
      <vt:lpstr>'pid1'!website9</vt:lpstr>
      <vt:lpstr>'pid5'!website9</vt:lpstr>
      <vt:lpstr>'ppr1'!website9</vt:lpstr>
      <vt:lpstr>'ppr5'!website9</vt:lpstr>
      <vt:lpstr>'ur1'!website9</vt:lpstr>
      <vt:lpstr>'ur5'!website9</vt:lpstr>
      <vt:lpstr>'frr5'!website9_1</vt:lpstr>
      <vt:lpstr>'pid5'!website9_1</vt:lpstr>
      <vt:lpstr>'ppr5'!website9_1</vt:lpstr>
      <vt:lpstr>'ur5'!website9_1</vt:lpstr>
      <vt:lpstr>'frr5'!website9_2</vt:lpstr>
      <vt:lpstr>'pid5'!website9_2</vt:lpstr>
      <vt:lpstr>'ppr5'!website9_2</vt:lpstr>
      <vt:lpstr>'ur5'!website9_2</vt:lpstr>
    </vt:vector>
  </TitlesOfParts>
  <Company>Amazon Corporate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Hutton, Jenn</dc:creator>
  <cp:lastModifiedBy>Montoya, Geovani</cp:lastModifiedBy>
  <dcterms:created xsi:type="dcterms:W3CDTF">2020-01-23T19:37:59Z</dcterms:created>
  <dcterms:modified xsi:type="dcterms:W3CDTF">2020-10-14T21:22:17Z</dcterms:modified>
</cp:coreProperties>
</file>