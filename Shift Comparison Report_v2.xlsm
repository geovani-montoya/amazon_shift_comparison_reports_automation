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iority  projects\icqa_shift_comparison_report_v2\"/>
    </mc:Choice>
  </mc:AlternateContent>
  <bookViews>
    <workbookView xWindow="0" yWindow="0" windowWidth="2445" windowHeight="360" tabRatio="910" firstSheet="3" activeTab="22"/>
  </bookViews>
  <sheets>
    <sheet name="Report Generator" sheetId="35" r:id="rId1"/>
    <sheet name="1.19" sheetId="1" r:id="rId2"/>
    <sheet name="1.26" sheetId="3" r:id="rId3"/>
    <sheet name="2.2" sheetId="6" r:id="rId4"/>
    <sheet name="2.9" sheetId="7" r:id="rId5"/>
    <sheet name="2.16" sheetId="9" r:id="rId6"/>
    <sheet name="2.23" sheetId="10" r:id="rId7"/>
    <sheet name="3.1" sheetId="11" r:id="rId8"/>
    <sheet name="3.8" sheetId="12" r:id="rId9"/>
    <sheet name="4.26" sheetId="14" r:id="rId10"/>
    <sheet name="5.3" sheetId="15" r:id="rId11"/>
    <sheet name="5.10" sheetId="17" r:id="rId12"/>
    <sheet name="5.17" sheetId="18" r:id="rId13"/>
    <sheet name="5.24" sheetId="19" r:id="rId14"/>
    <sheet name="5.31" sheetId="20" r:id="rId15"/>
    <sheet name="6.7" sheetId="21" r:id="rId16"/>
    <sheet name="7.19" sheetId="22" r:id="rId17"/>
    <sheet name="7.26" sheetId="24" r:id="rId18"/>
    <sheet name="8.30" sheetId="27" r:id="rId19"/>
    <sheet name="9.13" sheetId="41" r:id="rId20"/>
    <sheet name="9.20" sheetId="43" r:id="rId21"/>
    <sheet name="9.27" sheetId="44" r:id="rId22"/>
    <sheet name="ppr1" sheetId="95" r:id="rId23"/>
    <sheet name="ppr2" sheetId="96" r:id="rId24"/>
    <sheet name="ppr3" sheetId="97" r:id="rId25"/>
    <sheet name="ppr4" sheetId="98" r:id="rId26"/>
    <sheet name="ppr5" sheetId="99" r:id="rId27"/>
    <sheet name="ppr6" sheetId="100" r:id="rId28"/>
    <sheet name="ppr7" sheetId="101" r:id="rId29"/>
  </sheets>
  <functionGroups builtInGroupCount="18"/>
  <definedNames>
    <definedName name="website1" localSheetId="26">'ppr5'!$A$1:$A$186</definedName>
    <definedName name="website1_1" localSheetId="26">'ppr5'!$A$1:$A$186</definedName>
    <definedName name="website1_2" localSheetId="26">'ppr5'!$A$1:$A$186</definedName>
    <definedName name="website1_3" localSheetId="26">'ppr5'!$A$1:$A$186</definedName>
    <definedName name="website1_4" localSheetId="26">'ppr5'!$A$1:$A$18</definedName>
    <definedName name="website2" localSheetId="27">'ppr6'!$A$1:$A$186</definedName>
    <definedName name="website2_1" localSheetId="27">'ppr6'!$A$1:$A$186</definedName>
    <definedName name="website2_2" localSheetId="27">'ppr6'!$A$1:$A$186</definedName>
    <definedName name="website2_3" localSheetId="27">'ppr6'!$A$1:$A$186</definedName>
    <definedName name="website2_4" localSheetId="27">'ppr6'!$A$1:$A$18</definedName>
    <definedName name="website27" localSheetId="22">'ppr1'!$A$1:$A$186</definedName>
    <definedName name="website27_1" localSheetId="22">'ppr1'!$A$1:$A$186</definedName>
    <definedName name="website27_2" localSheetId="22">'ppr1'!$A$1:$A$186</definedName>
    <definedName name="website27_3" localSheetId="22">'ppr1'!$A$1:$A$186</definedName>
    <definedName name="website27_4" localSheetId="22">'ppr1'!$A$1:$A$18</definedName>
    <definedName name="website28" localSheetId="23">'ppr2'!$A$1:$A$186</definedName>
    <definedName name="website28_1" localSheetId="23">'ppr2'!$A$1:$A$186</definedName>
    <definedName name="website28_2" localSheetId="23">'ppr2'!$A$1:$A$186</definedName>
    <definedName name="website28_3" localSheetId="23">'ppr2'!$A$1:$A$186</definedName>
    <definedName name="website28_4" localSheetId="23">'ppr2'!$A$1:$A$18</definedName>
    <definedName name="website29" localSheetId="24">'ppr3'!$A$1:$A$186</definedName>
    <definedName name="website29_1" localSheetId="24">'ppr3'!$A$1:$A$186</definedName>
    <definedName name="website29_2" localSheetId="24">'ppr3'!$A$1:$A$186</definedName>
    <definedName name="website29_3" localSheetId="24">'ppr3'!$A$1:$A$186</definedName>
    <definedName name="website29_4" localSheetId="24">'ppr3'!$A$1:$A$18</definedName>
    <definedName name="website3" localSheetId="28">'ppr7'!$A$1:$A$186</definedName>
    <definedName name="website3_1" localSheetId="28">'ppr7'!$A$1:$A$186</definedName>
    <definedName name="website3_2" localSheetId="28">'ppr7'!$A$1:$A$186</definedName>
    <definedName name="website3_3" localSheetId="28">'ppr7'!$A$1:$A$186</definedName>
    <definedName name="website3_4" localSheetId="28">'ppr7'!$A$1:$A$18</definedName>
    <definedName name="website30" localSheetId="25">'ppr4'!$A$1:$A$186</definedName>
    <definedName name="website30_1" localSheetId="25">'ppr4'!$A$1:$A$186</definedName>
    <definedName name="website30_2" localSheetId="25">'ppr4'!$A$1:$A$186</definedName>
    <definedName name="website30_3" localSheetId="25">'ppr4'!$A$1:$A$186</definedName>
    <definedName name="website30_4" localSheetId="25">'ppr4'!$A$1:$A$18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35" l="1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C11" i="35"/>
  <c r="B11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C10" i="35"/>
  <c r="B10" i="35"/>
  <c r="P12" i="35" l="1"/>
  <c r="C12" i="35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F12" i="35"/>
  <c r="O12" i="35"/>
  <c r="N12" i="35"/>
  <c r="K12" i="35"/>
  <c r="K31" i="35"/>
  <c r="K32" i="35" s="1"/>
  <c r="H12" i="35"/>
  <c r="E12" i="35"/>
  <c r="D12" i="35"/>
  <c r="B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" name="Connection1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" name="Connection10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4" name="Connection11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5" name="Connection12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6" name="Connection13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7" name="Connection14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8" name="Connection15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9" name="Connection16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0" name="Connection17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1" name="Connection18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2" name="Connection19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3" name="Connection2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4" name="Connection20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5" name="Connection21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6" name="Connection22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7" name="Connection23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8" name="Connection24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19" name="Connection25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0" name="Connection26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1" name="Connection27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2" name="Connection28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3" name="Connection29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4" name="Connection3" type="4" refreshedVersion="6" background="1" saveData="1">
    <webPr sourceData="1" parsePre="1" consecutive="1" xl2000="1" url="https://fclm-portal.amazon.com/reports/processPathRollup?reportFormat=CSV&amp;warehouseId=KRB1&amp;spanType=Day&amp;startDateDay=2020%2F9%2F30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25" name="Connection30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6" name="Connection31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7" name="Connection32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8" name="Connection33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29" name="Connection34" type="4" refreshedVersion="6" background="1" saveData="1">
    <webPr sourceData="1" parsePre="1" consecutive="1" xl2000="1" url="https://monitorportal.amazon.com/mws?Action=GetGraph&amp;Version=2007-07-07&amp;SchemaName1=Service&amp;DataSet1=Prod&amp;Marketplace1=KRB1&amp;HostGroup1=ALL&amp;Host1=ALL&amp;ServiceName1=AFTInboundDirectorService&amp;MethodName1=PerformanceHealthHandler&amp;Client1=ALL&amp;MetricClass1=PID&amp;Instance1=PID-1&amp;Metric1=Encounter.FinalState.RECEIVED&amp;Period1=OneHour&amp;Stat1=sum&amp;Label1=Encounter.FinalState.RECEIVED&amp;SchemaName2=Service&amp;Metric2=Encounter.FinalState.CANNOT_CHECK_IN&amp;Label2=Encounter.FinalState.CANNOT_CHECK_IN&amp;SchemaName3=Service&amp;Metric3=Encounter.FinalState.CANNOT_RECEIVE&amp;Label3=Encounter.FinalState.CANNOT_RECEIVE&amp;HeightInPixels=250&amp;WidthInPixels=600&amp;GraphTitle=KRB1%20PID-1&amp;DecoratePoints=true&amp;StartTime1=2020-09-30T14%3A00%3A00Z&amp;EndTime1=2020-10-01T01%3A00%3A00Z&amp;FunctionExpression1=SUM%28M1%2CM2%2CM3%29&amp;FunctionLabel1=AVG%20%28avg%3A%20%7Bavg%7D%29&amp;FunctionYAxisPreference1=left&amp;FunctionColor1=default&amp;OutputFormat=CSV_TRANSPOSE" htmlTables="1">
      <tables count="1">
        <x v="2"/>
      </tables>
    </webPr>
  </connection>
  <connection id="30" name="Connection4" type="4" refreshedVersion="6" background="1" saveData="1">
    <webPr sourceData="1" parsePre="1" consecutive="1" xl2000="1" url="https://fclm-portal.amazon.com/reports/processPathRollup?reportFormat=CSV&amp;warehouseId=KRB1&amp;spanType=Day&amp;startDateDay=2020%2F10%2F1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1" name="Connection5" type="4" refreshedVersion="6" background="1" saveData="1">
    <webPr sourceData="1" parsePre="1" consecutive="1" xl2000="1" url="https://fclm-portal.amazon.com/reports/processPathRollup?reportFormat=CSV&amp;warehouseId=KRB1&amp;spanType=Day&amp;startDateDay=2020%2F10%2F2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2" name="Connection6" type="4" refreshedVersion="6" background="1" saveData="1">
    <webPr sourceData="1" parsePre="1" consecutive="1" xl2000="1" url="https://fclm-portal.amazon.com/reports/processPathRollup?reportFormat=CSV&amp;warehouseId=KRB1&amp;spanType=Day&amp;startDateDay=2020%2F10%2F3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3" name="Connection7" type="4" refreshedVersion="6" background="1" saveData="1">
    <webPr sourceData="1" parsePre="1" consecutive="1" xl2000="1" url="https://fclm-portal.amazon.com/reports/processPathRollup?reportFormat=CSV&amp;warehouseId=KRB1&amp;spanType=Day&amp;startDateDay=2020%2F9%2F27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4" name="Connection8" type="4" refreshedVersion="6" background="1" saveData="1">
    <webPr sourceData="1" parsePre="1" consecutive="1" xl2000="1" url="https://fclm-portal.amazon.com/reports/processPathRollup?reportFormat=CSV&amp;warehouseId=KRB1&amp;spanType=Day&amp;startDateDay=2020%2F9%2F28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  <connection id="35" name="Connection9" type="4" refreshedVersion="6" background="1" saveData="1">
    <webPr sourceData="1" parsePre="1" consecutive="1" xl2000="1" url="https://fclm-portal.amazon.com/reports/processPathRollup?reportFormat=CSV&amp;warehouseId=KRB1&amp;spanType=Day&amp;startDateDay=2020%2F9%2F29&amp;maxIntradayDays=1&amp;startHourIntraday=0&amp;startMinuteIntraday=0&amp;endHourIntraday=0&amp;endMinuteIntraday=0&amp;_adjustPlanHours=on&amp;_hideEmptyLineItems=on&amp;employmentType=AllEmployees" htmlTables="1">
      <tables count="1">
        <x v="2"/>
      </tables>
    </webPr>
  </connection>
</connections>
</file>

<file path=xl/sharedStrings.xml><?xml version="1.0" encoding="utf-8"?>
<sst xmlns="http://schemas.openxmlformats.org/spreadsheetml/2006/main" count="687" uniqueCount="75">
  <si>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</si>
  <si>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</si>
  <si>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</si>
  <si>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</si>
  <si>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</si>
  <si>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</si>
  <si>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</si>
  <si>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</si>
  <si>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</si>
  <si>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</si>
  <si>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</si>
  <si>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</si>
  <si>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</si>
  <si>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</si>
  <si>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</si>
  <si>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</si>
  <si>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</si>
  <si>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</si>
  <si>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</si>
  <si>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</si>
  <si>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</si>
  <si>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</si>
  <si>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</si>
  <si>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</si>
  <si>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</si>
  <si>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</si>
  <si>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</si>
  <si>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</si>
  <si>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</si>
  <si>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</si>
  <si>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OR/AND</t>
  </si>
  <si>
    <t>KRB1</t>
  </si>
  <si>
    <t>Building</t>
  </si>
  <si>
    <t xml:space="preserve"> </t>
  </si>
  <si>
    <t>Inputs</t>
  </si>
  <si>
    <t>Start date for report</t>
  </si>
  <si>
    <t>*Wednesday is considered to be Back Half (BH) this week</t>
  </si>
  <si>
    <t>* Wednesday is considered to be Front Half (FH) this week</t>
  </si>
  <si>
    <t>Id,"Label=AVG (avg: {avg})"</t>
  </si>
  <si>
    <t>Label,"AVG (avg: 394.00)"</t>
  </si>
  <si>
    <t>Result,MetricData</t>
  </si>
  <si>
    <t>Min,206.0</t>
  </si>
  <si>
    <t>Avg,394.0</t>
  </si>
  <si>
    <t>Max,620.0</t>
  </si>
  <si>
    <t>2020/09/30 07:00 PDT,566.0</t>
  </si>
  <si>
    <t>2020/09/30 08:00 PDT,620.0</t>
  </si>
  <si>
    <t>2020/09/30 09:00 PDT,407.0</t>
  </si>
  <si>
    <t>2020/09/30 10:00 PDT,449.0</t>
  </si>
  <si>
    <t>2020/09/30 11:00 PDT,298.0</t>
  </si>
  <si>
    <t>2020/09/30 12:00 PDT,206.0</t>
  </si>
  <si>
    <t>2020/09/30 13:00 PDT,408.0</t>
  </si>
  <si>
    <t>2020/09/30 14:00 PDT,255.0</t>
  </si>
  <si>
    <t>2020/09/30 15:00 PDT,386.0</t>
  </si>
  <si>
    <t>2020/09/30 16:00 PDT,449.0</t>
  </si>
  <si>
    <t>2020/09/30 17:00 PDT,290.0</t>
  </si>
  <si>
    <t>Id</t>
  </si>
  <si>
    <t>Label=AVG (avg: {avg})</t>
  </si>
  <si>
    <t>Label</t>
  </si>
  <si>
    <t>AVG (avg: 394.00)</t>
  </si>
  <si>
    <t>Result</t>
  </si>
  <si>
    <t>MetricData</t>
  </si>
  <si>
    <t>Min</t>
  </si>
  <si>
    <t>Avg</t>
  </si>
  <si>
    <t>Max</t>
  </si>
  <si>
    <t>2020/09/30 07:00 PDT</t>
  </si>
  <si>
    <t>2020/09/30 08:00 PDT</t>
  </si>
  <si>
    <t>2020/09/30 09:00 PDT</t>
  </si>
  <si>
    <t>2020/09/30 10:00 PDT</t>
  </si>
  <si>
    <t>2020/09/30 11:00 PDT</t>
  </si>
  <si>
    <t>2020/09/30 12:00 PDT</t>
  </si>
  <si>
    <t>2020/09/30 13:00 PDT</t>
  </si>
  <si>
    <t>2020/09/30 14:00 PDT</t>
  </si>
  <si>
    <t>2020/09/30 15:00 PDT</t>
  </si>
  <si>
    <t>2020/09/30 16:00 PDT</t>
  </si>
  <si>
    <t>2020/09/30 17:00 PDT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</si>
</sst>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  <numFmt numFmtId="167" formatCode="m/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167" fontId="0" fillId="17" borderId="1" xfId="3" applyNumberFormat="1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0" fontId="0" fillId="12" borderId="0" xfId="3" applyFont="1" applyFill="1" applyBorder="1" applyAlignment="1">
      <alignment horizontal="right"/>
    </xf>
    <xf numFmtId="166" fontId="0" fillId="12" borderId="0" xfId="3" applyNumberFormat="1" applyFont="1" applyFill="1" applyBorder="1" applyAlignment="1">
      <alignment horizontal="right"/>
    </xf>
    <xf numFmtId="164" fontId="4" fillId="18" borderId="1" xfId="3" applyNumberFormat="1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9" fillId="12" borderId="0" xfId="4" applyFill="1" applyAlignment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566395</xdr:colOff>
      <xdr:row>2</xdr:row>
      <xdr:rowOff>117363</xdr:rowOff>
    </xdr:from>
    <xdr:to>
      <xdr:col>21</xdr:col>
      <xdr:colOff>267040</xdr:colOff>
      <xdr:row>5</xdr:row>
      <xdr:rowOff>136072</xdr:rowOff>
    </xdr:to>
    <xdr:sp macro="[0]!openWebsites" textlink="">
      <xdr:nvSpPr>
        <xdr:cNvPr id="11" name="Rectangle 10"/>
        <xdr:cNvSpPr/>
      </xdr:nvSpPr>
      <xdr:spPr>
        <a:xfrm>
          <a:off x="13792538" y="498363"/>
          <a:ext cx="2381252" cy="603816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776356"/>
          <a:ext cx="260237" cy="1520598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583406</xdr:colOff>
      <xdr:row>2</xdr:row>
      <xdr:rowOff>166688</xdr:rowOff>
    </xdr:from>
    <xdr:to>
      <xdr:col>15</xdr:col>
      <xdr:colOff>440531</xdr:colOff>
      <xdr:row>5</xdr:row>
      <xdr:rowOff>11907</xdr:rowOff>
    </xdr:to>
    <xdr:sp macro="[0]!restart_report" textlink="">
      <xdr:nvSpPr>
        <xdr:cNvPr id="25" name="Rectangle 24"/>
        <xdr:cNvSpPr/>
      </xdr:nvSpPr>
      <xdr:spPr>
        <a:xfrm>
          <a:off x="10048875" y="547688"/>
          <a:ext cx="2452687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4) Click to Reset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11</xdr:col>
      <xdr:colOff>583407</xdr:colOff>
      <xdr:row>0</xdr:row>
      <xdr:rowOff>45244</xdr:rowOff>
    </xdr:from>
    <xdr:to>
      <xdr:col>15</xdr:col>
      <xdr:colOff>438151</xdr:colOff>
      <xdr:row>2</xdr:row>
      <xdr:rowOff>80963</xdr:rowOff>
    </xdr:to>
    <xdr:sp macro="[0]!copy_report.copy_report" textlink="">
      <xdr:nvSpPr>
        <xdr:cNvPr id="26" name="Rectangle 25"/>
        <xdr:cNvSpPr/>
      </xdr:nvSpPr>
      <xdr:spPr>
        <a:xfrm>
          <a:off x="10048876" y="45244"/>
          <a:ext cx="2450306" cy="416719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3) Copy</a:t>
          </a:r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 Report to New Sheet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13</xdr:row>
      <xdr:rowOff>1</xdr:rowOff>
    </xdr:from>
    <xdr:to>
      <xdr:col>1</xdr:col>
      <xdr:colOff>1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5" y="2598965"/>
          <a:ext cx="260239" cy="1483180"/>
          <a:chOff x="1428748" y="6369844"/>
          <a:chExt cx="259533" cy="1512094"/>
        </a:xfrm>
      </xdr:grpSpPr>
      <xdr:sp macro="" textlink="">
        <xdr:nvSpPr>
          <xdr:cNvPr id="29" name="Rectangle 28"/>
          <xdr:cNvSpPr/>
        </xdr:nvSpPr>
        <xdr:spPr>
          <a:xfrm>
            <a:off x="1428748" y="7229932"/>
            <a:ext cx="259532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142875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3</xdr:row>
          <xdr:rowOff>9525</xdr:rowOff>
        </xdr:from>
        <xdr:to>
          <xdr:col>5</xdr:col>
          <xdr:colOff>133350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1695449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4793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1692274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1695449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4793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website27_4" growShrinkType="overwriteClear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27_3" growShrinkType="overwriteClear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27_2" growShrinkType="overwriteClear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27_1" growShrinkType="overwriteClear" connectionId="3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8_4" growShrinkType="overwriteClear" connectionId="2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28_3" growShrinkType="overwriteClear" connectionId="1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28_2" growShrinkType="overwriteClear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28_1" growShrinkType="overwriteClear" connectionId="3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28" growShrinkType="overwriteClear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29_4" growShrinkType="overwriteClear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29_3" growShrinkType="overwriteClear" connectionId="1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9_2" growShrinkType="overwriteClear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29_1" growShrinkType="overwriteClear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29" growShrinkType="overwriteClear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30_4" growShrinkType="overwriteClear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30_3" growShrinkType="overwriteClear" connectionId="1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30_2" growShrinkType="overwriteClear" connectionId="1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30_1" growShrinkType="overwriteClear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30" growShrinkType="overwriteClear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_4" growShrinkType="overwriteClear" connectionId="2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_3" growShrinkType="overwriteClear" connectionId="1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_2" growShrinkType="overwriteClear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_1" growShrinkType="overwriteClear" connectionId="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" growShrinkType="overwriteClear" connectionId="3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2_4" growShrinkType="overwriteClear" connectionId="2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2_3" growShrinkType="overwriteClear" connectionId="2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2_2" growShrinkType="overwriteClear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2_1" growShrinkType="overwriteClear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2" growShrinkType="overwriteClear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3_4" growShrinkType="overwriteClear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3_3" growShrinkType="overwriteClear" connectionId="2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3_2" growShrinkType="overwriteClear" connectionId="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3_1" growShrinkType="overwriteClear" connectionId="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3" growShrinkType="overwriteClear" connectionId="3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queryTable" Target="../queryTables/queryTable11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queryTable" Target="../queryTables/queryTable26.xml"/><Relationship Id="rId5" Type="http://schemas.openxmlformats.org/officeDocument/2006/relationships/queryTable" Target="../queryTables/queryTable30.xml"/><Relationship Id="rId4" Type="http://schemas.openxmlformats.org/officeDocument/2006/relationships/queryTable" Target="../queryTables/queryTable2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queryTable" Target="../queryTables/queryTable31.xml"/><Relationship Id="rId5" Type="http://schemas.openxmlformats.org/officeDocument/2006/relationships/queryTable" Target="../queryTables/queryTable35.xml"/><Relationship Id="rId4" Type="http://schemas.openxmlformats.org/officeDocument/2006/relationships/queryTable" Target="../queryTables/queryTable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zoomScale="70" zoomScaleNormal="70" workbookViewId="0">
      <selection activeCell="D2" sqref="D2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B1" s="79" t="s">
        <v>34</v>
      </c>
      <c r="S1" s="85"/>
      <c r="T1" s="85"/>
      <c r="U1" s="85"/>
      <c r="V1" s="85"/>
    </row>
    <row r="2" spans="1:23" x14ac:dyDescent="0.25">
      <c r="A2" s="82" t="s">
        <v>35</v>
      </c>
      <c r="B2" s="80">
        <v>44101</v>
      </c>
    </row>
    <row r="3" spans="1:23" ht="15.75" x14ac:dyDescent="0.25">
      <c r="A3" s="83" t="s">
        <v>32</v>
      </c>
      <c r="B3" s="81" t="s">
        <v>31</v>
      </c>
      <c r="Q3" s="74" t="s">
        <v>30</v>
      </c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0</v>
      </c>
      <c r="C10" s="40" t="str">
        <f t="shared" ref="C10:P10" si="0">IFERROR(AVERAGE(C$14:C$17),"")</f>
        <v/>
      </c>
      <c r="D10" s="40">
        <f t="shared" si="0"/>
        <v>0</v>
      </c>
      <c r="E10" s="40">
        <f t="shared" si="0"/>
        <v>0</v>
      </c>
      <c r="F10" s="40">
        <f t="shared" si="0"/>
        <v>0</v>
      </c>
      <c r="G10" s="40" t="str">
        <f t="shared" si="0"/>
        <v/>
      </c>
      <c r="H10" s="40" t="str">
        <f t="shared" si="0"/>
        <v/>
      </c>
      <c r="I10" s="53" t="str">
        <f t="shared" si="0"/>
        <v/>
      </c>
      <c r="J10" s="55" t="str">
        <f t="shared" si="0"/>
        <v/>
      </c>
      <c r="K10" s="40" t="str">
        <f t="shared" si="0"/>
        <v/>
      </c>
      <c r="L10" s="40" t="str">
        <f t="shared" si="0"/>
        <v/>
      </c>
      <c r="M10" s="40" t="str">
        <f t="shared" si="0"/>
        <v/>
      </c>
      <c r="N10" s="40" t="str">
        <f t="shared" si="0"/>
        <v/>
      </c>
      <c r="O10" s="40" t="str">
        <f t="shared" si="0"/>
        <v/>
      </c>
      <c r="P10" s="40" t="str">
        <f t="shared" si="0"/>
        <v/>
      </c>
      <c r="Q10" s="34"/>
      <c r="R10" s="34"/>
    </row>
    <row r="11" spans="1:23" ht="17.25" x14ac:dyDescent="0.35">
      <c r="A11" s="35" t="s">
        <v>2</v>
      </c>
      <c r="B11" s="40" t="str">
        <f t="shared" ref="B11:P11" si="1">IFERROR(AVERAGE(B$18:B$20),"")</f>
        <v/>
      </c>
      <c r="C11" s="40" t="str">
        <f t="shared" si="1"/>
        <v/>
      </c>
      <c r="D11" s="40" t="str">
        <f t="shared" si="1"/>
        <v/>
      </c>
      <c r="E11" s="40" t="str">
        <f t="shared" si="1"/>
        <v/>
      </c>
      <c r="F11" s="40" t="str">
        <f t="shared" si="1"/>
        <v/>
      </c>
      <c r="G11" s="40" t="str">
        <f t="shared" si="1"/>
        <v/>
      </c>
      <c r="H11" s="40" t="str">
        <f t="shared" si="1"/>
        <v/>
      </c>
      <c r="I11" s="53" t="str">
        <f t="shared" si="1"/>
        <v/>
      </c>
      <c r="J11" s="55" t="str">
        <f t="shared" si="1"/>
        <v/>
      </c>
      <c r="K11" s="40" t="str">
        <f t="shared" si="1"/>
        <v/>
      </c>
      <c r="L11" s="40" t="str">
        <f t="shared" si="1"/>
        <v/>
      </c>
      <c r="M11" s="40" t="str">
        <f t="shared" si="1"/>
        <v/>
      </c>
      <c r="N11" s="40" t="str">
        <f t="shared" si="1"/>
        <v/>
      </c>
      <c r="O11" s="40" t="str">
        <f t="shared" si="1"/>
        <v/>
      </c>
      <c r="P11" s="40" t="str">
        <f t="shared" si="1"/>
        <v/>
      </c>
      <c r="Q11" s="34"/>
      <c r="R11" s="36"/>
      <c r="S11" s="70"/>
    </row>
    <row r="12" spans="1:23" ht="17.25" x14ac:dyDescent="0.35">
      <c r="A12" s="35" t="s">
        <v>27</v>
      </c>
      <c r="B12" s="48" t="str">
        <f t="shared" ref="B12:P12" si="2">IFERROR(ABS(B$10-B$11), "")</f>
        <v/>
      </c>
      <c r="C12" s="48" t="str">
        <f t="shared" si="2"/>
        <v/>
      </c>
      <c r="D12" s="48" t="str">
        <f t="shared" si="2"/>
        <v/>
      </c>
      <c r="E12" s="48" t="str">
        <f t="shared" si="2"/>
        <v/>
      </c>
      <c r="F12" s="48" t="str">
        <f t="shared" si="2"/>
        <v/>
      </c>
      <c r="G12" s="48" t="str">
        <f t="shared" si="2"/>
        <v/>
      </c>
      <c r="H12" s="48" t="str">
        <f t="shared" si="2"/>
        <v/>
      </c>
      <c r="I12" s="62" t="str">
        <f t="shared" si="2"/>
        <v/>
      </c>
      <c r="J12" s="64" t="str">
        <f t="shared" si="2"/>
        <v/>
      </c>
      <c r="K12" s="48" t="str">
        <f t="shared" si="2"/>
        <v/>
      </c>
      <c r="L12" s="48" t="str">
        <f t="shared" si="2"/>
        <v/>
      </c>
      <c r="M12" s="48" t="str">
        <f t="shared" si="2"/>
        <v/>
      </c>
      <c r="N12" s="48" t="str">
        <f t="shared" si="2"/>
        <v/>
      </c>
      <c r="O12" s="48" t="str">
        <f t="shared" si="2"/>
        <v/>
      </c>
      <c r="P12" s="48" t="str">
        <f t="shared" si="2"/>
        <v/>
      </c>
      <c r="Q12" s="69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f>B2</f>
        <v>44101</v>
      </c>
      <c r="B14" s="42">
        <v>0</v>
      </c>
      <c r="C14" s="42"/>
      <c r="D14" s="42">
        <v>0</v>
      </c>
      <c r="E14" s="42">
        <v>0</v>
      </c>
      <c r="F14" s="43">
        <v>0</v>
      </c>
      <c r="G14" s="42"/>
      <c r="H14" s="42"/>
      <c r="I14" s="56"/>
      <c r="J14" s="59"/>
      <c r="K14" s="43"/>
      <c r="L14" s="42"/>
      <c r="M14" s="42"/>
      <c r="N14" s="42"/>
      <c r="O14" s="42"/>
      <c r="P14" s="42"/>
      <c r="Q14" s="34"/>
      <c r="U14" s="38"/>
    </row>
    <row r="15" spans="1:23" ht="17.25" x14ac:dyDescent="0.35">
      <c r="A15" s="51">
        <f t="shared" ref="A15:A20" si="3">A14+1</f>
        <v>44102</v>
      </c>
      <c r="B15" s="42"/>
      <c r="C15" s="42"/>
      <c r="D15" s="42"/>
      <c r="E15" s="42"/>
      <c r="F15" s="43"/>
      <c r="G15" s="42"/>
      <c r="H15" s="42"/>
      <c r="I15" s="56"/>
      <c r="J15" s="59"/>
      <c r="K15" s="43"/>
      <c r="L15" s="42"/>
      <c r="M15" s="42"/>
      <c r="N15" s="42"/>
      <c r="O15" s="42"/>
      <c r="P15" s="42"/>
      <c r="Q15" s="34"/>
      <c r="R15" s="38"/>
      <c r="U15" s="38"/>
    </row>
    <row r="16" spans="1:23" ht="17.25" x14ac:dyDescent="0.35">
      <c r="A16" s="51">
        <f t="shared" si="3"/>
        <v>44103</v>
      </c>
      <c r="B16" s="42"/>
      <c r="C16" s="42"/>
      <c r="D16" s="42"/>
      <c r="E16" s="42"/>
      <c r="F16" s="43"/>
      <c r="G16" s="42"/>
      <c r="H16" s="42"/>
      <c r="I16" s="56"/>
      <c r="J16" s="59"/>
      <c r="K16" s="43"/>
      <c r="L16" s="42"/>
      <c r="M16" s="42"/>
      <c r="N16" s="42"/>
      <c r="O16" s="42"/>
      <c r="P16" s="42"/>
      <c r="Q16" s="34"/>
      <c r="R16" s="38"/>
      <c r="U16" s="38"/>
    </row>
    <row r="17" spans="1:21" ht="15.75" customHeight="1" x14ac:dyDescent="0.35">
      <c r="A17" s="51">
        <f t="shared" si="3"/>
        <v>44104</v>
      </c>
      <c r="B17" s="46"/>
      <c r="C17" s="46"/>
      <c r="D17" s="46"/>
      <c r="E17" s="46"/>
      <c r="F17" s="47"/>
      <c r="G17" s="46"/>
      <c r="H17" s="46"/>
      <c r="I17" s="57"/>
      <c r="J17" s="60"/>
      <c r="K17" s="47"/>
      <c r="L17" s="46"/>
      <c r="M17" s="46"/>
      <c r="N17" s="46"/>
      <c r="O17" s="46"/>
      <c r="P17" s="46"/>
      <c r="Q17" s="34"/>
      <c r="R17" s="38"/>
      <c r="U17" s="38"/>
    </row>
    <row r="18" spans="1:21" ht="15" customHeight="1" x14ac:dyDescent="0.35">
      <c r="A18" s="51">
        <f t="shared" si="3"/>
        <v>44105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/>
      <c r="R18" s="38"/>
      <c r="U18" s="38"/>
    </row>
    <row r="19" spans="1:21" ht="17.25" x14ac:dyDescent="0.35">
      <c r="A19" s="51">
        <f t="shared" si="3"/>
        <v>44106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/>
      <c r="R19" s="38"/>
      <c r="U19" s="38"/>
    </row>
    <row r="20" spans="1:21" ht="17.25" x14ac:dyDescent="0.35">
      <c r="A20" s="51">
        <f t="shared" si="3"/>
        <v>44107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/>
      <c r="R20" s="38"/>
      <c r="U20" s="38"/>
    </row>
    <row r="21" spans="1:21" ht="17.25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ht="17.25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ht="17.25" x14ac:dyDescent="0.35">
      <c r="A23" s="35" t="s">
        <v>4</v>
      </c>
      <c r="B23" s="48">
        <f t="shared" ref="B23:N23" si="4">IFERROR(AVERAGE(B14:B20),"")</f>
        <v>0</v>
      </c>
      <c r="C23" s="48" t="str">
        <f>IFERROR(AVERAGE(C14:C20),"")</f>
        <v/>
      </c>
      <c r="D23" s="48">
        <f>IFERROR(AVERAGE(D14:D20),"")</f>
        <v>0</v>
      </c>
      <c r="E23" s="48">
        <f>IFERROR(AVERAGE(E14:E20),"")</f>
        <v>0</v>
      </c>
      <c r="F23" s="48">
        <f t="shared" si="4"/>
        <v>0</v>
      </c>
      <c r="G23" s="48" t="str">
        <f t="shared" si="4"/>
        <v/>
      </c>
      <c r="H23" s="48" t="str">
        <f t="shared" si="4"/>
        <v/>
      </c>
      <c r="I23" s="62" t="str">
        <f t="shared" si="4"/>
        <v/>
      </c>
      <c r="J23" s="64" t="str">
        <f>IFERROR(AVERAGE(J14:J20),"")</f>
        <v/>
      </c>
      <c r="K23" s="48" t="str">
        <f>IFERROR(AVERAGE(K14:K20),"")</f>
        <v/>
      </c>
      <c r="L23" s="48" t="str">
        <f>IFERROR(AVERAGE(L14:L20),"")</f>
        <v/>
      </c>
      <c r="M23" s="48" t="str">
        <f>IFERROR(AVERAGE(M14:M20),"")</f>
        <v/>
      </c>
      <c r="N23" s="48" t="str">
        <f t="shared" si="4"/>
        <v/>
      </c>
      <c r="O23" s="48" t="str">
        <f>IFERROR(AVERAGE(O14:O20),"")</f>
        <v/>
      </c>
      <c r="P23" s="48" t="str">
        <f>IFERROR(AVERAGE(P14:P20),"")</f>
        <v/>
      </c>
      <c r="Q23" s="34"/>
    </row>
    <row r="24" spans="1:21" ht="17.25" x14ac:dyDescent="0.35">
      <c r="A24" s="35" t="s">
        <v>5</v>
      </c>
      <c r="B24" s="41" t="str">
        <f t="shared" ref="B24:P24" si="5">IFERROR(-(B22-B23)/B22,"")</f>
        <v/>
      </c>
      <c r="C24" s="41" t="str">
        <f t="shared" si="5"/>
        <v/>
      </c>
      <c r="D24" s="41" t="str">
        <f t="shared" si="5"/>
        <v/>
      </c>
      <c r="E24" s="41" t="str">
        <f t="shared" si="5"/>
        <v/>
      </c>
      <c r="F24" s="41" t="str">
        <f t="shared" si="5"/>
        <v/>
      </c>
      <c r="G24" s="41" t="str">
        <f t="shared" si="5"/>
        <v/>
      </c>
      <c r="H24" s="41" t="str">
        <f t="shared" si="5"/>
        <v/>
      </c>
      <c r="I24" s="63" t="str">
        <f t="shared" si="5"/>
        <v/>
      </c>
      <c r="J24" s="65" t="str">
        <f t="shared" si="5"/>
        <v/>
      </c>
      <c r="K24" s="41" t="str">
        <f t="shared" si="5"/>
        <v/>
      </c>
      <c r="L24" s="41" t="str">
        <f t="shared" si="5"/>
        <v/>
      </c>
      <c r="M24" s="41" t="str">
        <f t="shared" si="5"/>
        <v/>
      </c>
      <c r="N24" s="41" t="str">
        <f t="shared" si="5"/>
        <v/>
      </c>
      <c r="O24" s="41" t="str">
        <f t="shared" si="5"/>
        <v/>
      </c>
      <c r="P24" s="41" t="str">
        <f t="shared" si="5"/>
        <v/>
      </c>
    </row>
    <row r="25" spans="1:21" x14ac:dyDescent="0.25">
      <c r="B25" s="73" t="s">
        <v>37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2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 t="str">
        <f t="shared" ref="B30:P30" si="6">IFERROR(AVERAGE(B$34:B$36),"")</f>
        <v/>
      </c>
      <c r="C30" s="40" t="str">
        <f t="shared" si="6"/>
        <v/>
      </c>
      <c r="D30" s="40" t="str">
        <f t="shared" si="6"/>
        <v/>
      </c>
      <c r="E30" s="40" t="str">
        <f t="shared" si="6"/>
        <v/>
      </c>
      <c r="F30" s="40" t="str">
        <f t="shared" si="6"/>
        <v/>
      </c>
      <c r="G30" s="40" t="str">
        <f t="shared" si="6"/>
        <v/>
      </c>
      <c r="H30" s="40" t="str">
        <f t="shared" si="6"/>
        <v/>
      </c>
      <c r="I30" s="53" t="str">
        <f t="shared" si="6"/>
        <v/>
      </c>
      <c r="J30" s="55" t="str">
        <f t="shared" si="6"/>
        <v/>
      </c>
      <c r="K30" s="40" t="str">
        <f t="shared" si="6"/>
        <v/>
      </c>
      <c r="L30" s="40" t="str">
        <f t="shared" si="6"/>
        <v/>
      </c>
      <c r="M30" s="40" t="str">
        <f t="shared" si="6"/>
        <v/>
      </c>
      <c r="N30" s="40" t="str">
        <f t="shared" si="6"/>
        <v/>
      </c>
      <c r="O30" s="40" t="str">
        <f t="shared" si="6"/>
        <v/>
      </c>
      <c r="P30" s="40" t="str">
        <f t="shared" si="6"/>
        <v/>
      </c>
      <c r="Q30" s="34"/>
    </row>
    <row r="31" spans="1:21" ht="17.25" x14ac:dyDescent="0.35">
      <c r="A31" s="35" t="s">
        <v>2</v>
      </c>
      <c r="B31" s="40" t="str">
        <f>IFERROR(AVERAGE(B$37:B$40),"")</f>
        <v/>
      </c>
      <c r="C31" s="40" t="str">
        <f t="shared" ref="C31:P31" si="7">IFERROR(AVERAGE(C$37:C$40),"")</f>
        <v/>
      </c>
      <c r="D31" s="40" t="str">
        <f t="shared" si="7"/>
        <v/>
      </c>
      <c r="E31" s="40" t="str">
        <f t="shared" si="7"/>
        <v/>
      </c>
      <c r="F31" s="40" t="str">
        <f t="shared" si="7"/>
        <v/>
      </c>
      <c r="G31" s="40" t="str">
        <f t="shared" si="7"/>
        <v/>
      </c>
      <c r="H31" s="40" t="str">
        <f t="shared" si="7"/>
        <v/>
      </c>
      <c r="I31" s="53" t="str">
        <f t="shared" si="7"/>
        <v/>
      </c>
      <c r="J31" s="55" t="str">
        <f t="shared" si="7"/>
        <v/>
      </c>
      <c r="K31" s="40" t="str">
        <f t="shared" si="7"/>
        <v/>
      </c>
      <c r="L31" s="40" t="str">
        <f t="shared" si="7"/>
        <v/>
      </c>
      <c r="M31" s="40" t="str">
        <f t="shared" si="7"/>
        <v/>
      </c>
      <c r="N31" s="40" t="str">
        <f t="shared" si="7"/>
        <v/>
      </c>
      <c r="O31" s="40" t="str">
        <f t="shared" si="7"/>
        <v/>
      </c>
      <c r="P31" s="40" t="str">
        <f t="shared" si="7"/>
        <v/>
      </c>
      <c r="Q31" s="34"/>
    </row>
    <row r="32" spans="1:21" ht="17.25" x14ac:dyDescent="0.35">
      <c r="A32" s="35" t="s">
        <v>27</v>
      </c>
      <c r="B32" s="48" t="str">
        <f t="shared" ref="B32:P32" si="8">IFERROR(ABS(B$31-B$30), "")</f>
        <v/>
      </c>
      <c r="C32" s="48" t="str">
        <f t="shared" si="8"/>
        <v/>
      </c>
      <c r="D32" s="48" t="str">
        <f t="shared" si="8"/>
        <v/>
      </c>
      <c r="E32" s="48" t="str">
        <f t="shared" si="8"/>
        <v/>
      </c>
      <c r="F32" s="48" t="str">
        <f t="shared" si="8"/>
        <v/>
      </c>
      <c r="G32" s="48" t="str">
        <f t="shared" si="8"/>
        <v/>
      </c>
      <c r="H32" s="48" t="str">
        <f t="shared" si="8"/>
        <v/>
      </c>
      <c r="I32" s="62" t="str">
        <f t="shared" si="8"/>
        <v/>
      </c>
      <c r="J32" s="64" t="str">
        <f t="shared" si="8"/>
        <v/>
      </c>
      <c r="K32" s="48" t="str">
        <f t="shared" si="8"/>
        <v/>
      </c>
      <c r="L32" s="48" t="str">
        <f t="shared" si="8"/>
        <v/>
      </c>
      <c r="M32" s="48" t="str">
        <f t="shared" si="8"/>
        <v/>
      </c>
      <c r="N32" s="48" t="str">
        <f t="shared" si="8"/>
        <v/>
      </c>
      <c r="O32" s="48" t="str">
        <f t="shared" si="8"/>
        <v/>
      </c>
      <c r="P32" s="48" t="str">
        <f t="shared" si="8"/>
        <v/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f t="shared" ref="A34:A40" si="9">A14</f>
        <v>44101</v>
      </c>
      <c r="B34" s="42" t="str">
        <f>IF(B14=0, "", B14)</f>
        <v/>
      </c>
      <c r="C34" s="42" t="str">
        <f>IF(C14=0, "", C14)</f>
        <v/>
      </c>
      <c r="D34" s="42" t="str">
        <f t="shared" ref="D34:P34" si="10">IF(D14=0, "", D14)</f>
        <v/>
      </c>
      <c r="E34" s="42" t="str">
        <f t="shared" si="10"/>
        <v/>
      </c>
      <c r="F34" s="42" t="str">
        <f t="shared" si="10"/>
        <v/>
      </c>
      <c r="G34" s="42" t="str">
        <f t="shared" si="10"/>
        <v/>
      </c>
      <c r="H34" s="42" t="str">
        <f t="shared" si="10"/>
        <v/>
      </c>
      <c r="I34" s="42" t="str">
        <f t="shared" si="10"/>
        <v/>
      </c>
      <c r="J34" s="42" t="str">
        <f t="shared" si="10"/>
        <v/>
      </c>
      <c r="K34" s="42" t="str">
        <f t="shared" si="10"/>
        <v/>
      </c>
      <c r="L34" s="42" t="str">
        <f t="shared" si="10"/>
        <v/>
      </c>
      <c r="M34" s="42" t="str">
        <f t="shared" si="10"/>
        <v/>
      </c>
      <c r="N34" s="42" t="str">
        <f t="shared" si="10"/>
        <v/>
      </c>
      <c r="O34" s="42" t="str">
        <f t="shared" si="10"/>
        <v/>
      </c>
      <c r="P34" s="42" t="str">
        <f t="shared" si="10"/>
        <v/>
      </c>
      <c r="Q34" s="34"/>
    </row>
    <row r="35" spans="1:18" ht="17.25" x14ac:dyDescent="0.35">
      <c r="A35" s="51">
        <f t="shared" si="9"/>
        <v>44102</v>
      </c>
      <c r="B35" s="42" t="str">
        <f>IF(B15=0, "", B15)</f>
        <v/>
      </c>
      <c r="C35" s="42" t="str">
        <f t="shared" ref="C35:P35" si="11">IF(C15=0, "", C15)</f>
        <v/>
      </c>
      <c r="D35" s="42" t="str">
        <f t="shared" si="11"/>
        <v/>
      </c>
      <c r="E35" s="42" t="str">
        <f t="shared" si="11"/>
        <v/>
      </c>
      <c r="F35" s="42" t="str">
        <f t="shared" si="11"/>
        <v/>
      </c>
      <c r="G35" s="42" t="str">
        <f t="shared" si="11"/>
        <v/>
      </c>
      <c r="H35" s="42" t="str">
        <f t="shared" si="11"/>
        <v/>
      </c>
      <c r="I35" s="42" t="str">
        <f t="shared" si="11"/>
        <v/>
      </c>
      <c r="J35" s="42" t="str">
        <f t="shared" si="11"/>
        <v/>
      </c>
      <c r="K35" s="42" t="str">
        <f t="shared" si="11"/>
        <v/>
      </c>
      <c r="L35" s="42" t="str">
        <f t="shared" si="11"/>
        <v/>
      </c>
      <c r="M35" s="42" t="str">
        <f t="shared" si="11"/>
        <v/>
      </c>
      <c r="N35" s="42" t="str">
        <f t="shared" si="11"/>
        <v/>
      </c>
      <c r="O35" s="42" t="str">
        <f t="shared" si="11"/>
        <v/>
      </c>
      <c r="P35" s="42" t="str">
        <f t="shared" si="11"/>
        <v/>
      </c>
      <c r="Q35" s="34"/>
    </row>
    <row r="36" spans="1:18" ht="17.25" x14ac:dyDescent="0.35">
      <c r="A36" s="51">
        <f t="shared" si="9"/>
        <v>44103</v>
      </c>
      <c r="B36" s="42" t="str">
        <f t="shared" ref="B36:P40" si="12">IF(B16=0, "", B16)</f>
        <v/>
      </c>
      <c r="C36" s="42" t="str">
        <f t="shared" si="12"/>
        <v/>
      </c>
      <c r="D36" s="42" t="str">
        <f t="shared" si="12"/>
        <v/>
      </c>
      <c r="E36" s="42" t="str">
        <f t="shared" si="12"/>
        <v/>
      </c>
      <c r="F36" s="42" t="str">
        <f t="shared" si="12"/>
        <v/>
      </c>
      <c r="G36" s="42" t="str">
        <f t="shared" si="12"/>
        <v/>
      </c>
      <c r="H36" s="42" t="str">
        <f t="shared" si="12"/>
        <v/>
      </c>
      <c r="I36" s="42" t="str">
        <f t="shared" si="12"/>
        <v/>
      </c>
      <c r="J36" s="42" t="str">
        <f t="shared" si="12"/>
        <v/>
      </c>
      <c r="K36" s="42" t="str">
        <f t="shared" si="12"/>
        <v/>
      </c>
      <c r="L36" s="42" t="str">
        <f t="shared" si="12"/>
        <v/>
      </c>
      <c r="M36" s="42" t="str">
        <f t="shared" si="12"/>
        <v/>
      </c>
      <c r="N36" s="42" t="str">
        <f t="shared" si="12"/>
        <v/>
      </c>
      <c r="O36" s="42" t="str">
        <f t="shared" si="12"/>
        <v/>
      </c>
      <c r="P36" s="42" t="str">
        <f t="shared" si="12"/>
        <v/>
      </c>
      <c r="Q36" s="34"/>
    </row>
    <row r="37" spans="1:18" ht="17.25" x14ac:dyDescent="0.35">
      <c r="A37" s="51">
        <f t="shared" si="9"/>
        <v>44104</v>
      </c>
      <c r="B37" s="84" t="str">
        <f t="shared" si="12"/>
        <v/>
      </c>
      <c r="C37" s="84" t="str">
        <f t="shared" si="12"/>
        <v/>
      </c>
      <c r="D37" s="84" t="str">
        <f t="shared" si="12"/>
        <v/>
      </c>
      <c r="E37" s="84" t="str">
        <f t="shared" si="12"/>
        <v/>
      </c>
      <c r="F37" s="84" t="str">
        <f t="shared" si="12"/>
        <v/>
      </c>
      <c r="G37" s="84" t="str">
        <f t="shared" si="12"/>
        <v/>
      </c>
      <c r="H37" s="84" t="str">
        <f t="shared" si="12"/>
        <v/>
      </c>
      <c r="I37" s="84" t="str">
        <f t="shared" si="12"/>
        <v/>
      </c>
      <c r="J37" s="84" t="str">
        <f t="shared" si="12"/>
        <v/>
      </c>
      <c r="K37" s="84" t="str">
        <f t="shared" si="12"/>
        <v/>
      </c>
      <c r="L37" s="84" t="str">
        <f t="shared" si="12"/>
        <v/>
      </c>
      <c r="M37" s="84" t="str">
        <f t="shared" si="12"/>
        <v/>
      </c>
      <c r="N37" s="84" t="str">
        <f t="shared" si="12"/>
        <v/>
      </c>
      <c r="O37" s="84" t="str">
        <f t="shared" si="12"/>
        <v/>
      </c>
      <c r="P37" s="84" t="str">
        <f t="shared" si="12"/>
        <v/>
      </c>
      <c r="Q37" s="34"/>
    </row>
    <row r="38" spans="1:18" ht="17.25" x14ac:dyDescent="0.35">
      <c r="A38" s="51">
        <f t="shared" si="9"/>
        <v>44105</v>
      </c>
      <c r="B38" s="44" t="str">
        <f t="shared" si="12"/>
        <v/>
      </c>
      <c r="C38" s="44" t="str">
        <f t="shared" si="12"/>
        <v/>
      </c>
      <c r="D38" s="44" t="str">
        <f t="shared" si="12"/>
        <v/>
      </c>
      <c r="E38" s="44" t="str">
        <f t="shared" si="12"/>
        <v/>
      </c>
      <c r="F38" s="44" t="str">
        <f t="shared" si="12"/>
        <v/>
      </c>
      <c r="G38" s="44" t="str">
        <f t="shared" si="12"/>
        <v/>
      </c>
      <c r="H38" s="44" t="str">
        <f t="shared" si="12"/>
        <v/>
      </c>
      <c r="I38" s="44" t="str">
        <f t="shared" si="12"/>
        <v/>
      </c>
      <c r="J38" s="44" t="str">
        <f t="shared" si="12"/>
        <v/>
      </c>
      <c r="K38" s="44" t="str">
        <f t="shared" si="12"/>
        <v/>
      </c>
      <c r="L38" s="44" t="str">
        <f t="shared" si="12"/>
        <v/>
      </c>
      <c r="M38" s="44" t="str">
        <f t="shared" si="12"/>
        <v/>
      </c>
      <c r="N38" s="44" t="str">
        <f t="shared" si="12"/>
        <v/>
      </c>
      <c r="O38" s="44" t="str">
        <f t="shared" si="12"/>
        <v/>
      </c>
      <c r="P38" s="44" t="str">
        <f t="shared" si="12"/>
        <v/>
      </c>
      <c r="Q38" s="34"/>
    </row>
    <row r="39" spans="1:18" ht="17.25" x14ac:dyDescent="0.35">
      <c r="A39" s="51">
        <f t="shared" si="9"/>
        <v>44106</v>
      </c>
      <c r="B39" s="44" t="str">
        <f t="shared" si="12"/>
        <v/>
      </c>
      <c r="C39" s="44" t="str">
        <f t="shared" si="12"/>
        <v/>
      </c>
      <c r="D39" s="44" t="str">
        <f t="shared" si="12"/>
        <v/>
      </c>
      <c r="E39" s="44" t="str">
        <f t="shared" si="12"/>
        <v/>
      </c>
      <c r="F39" s="44" t="str">
        <f t="shared" si="12"/>
        <v/>
      </c>
      <c r="G39" s="44" t="str">
        <f t="shared" si="12"/>
        <v/>
      </c>
      <c r="H39" s="44" t="str">
        <f t="shared" si="12"/>
        <v/>
      </c>
      <c r="I39" s="44" t="str">
        <f t="shared" si="12"/>
        <v/>
      </c>
      <c r="J39" s="44" t="str">
        <f t="shared" si="12"/>
        <v/>
      </c>
      <c r="K39" s="44" t="str">
        <f t="shared" si="12"/>
        <v/>
      </c>
      <c r="L39" s="44" t="str">
        <f t="shared" si="12"/>
        <v/>
      </c>
      <c r="M39" s="44" t="str">
        <f t="shared" si="12"/>
        <v/>
      </c>
      <c r="N39" s="44" t="str">
        <f t="shared" si="12"/>
        <v/>
      </c>
      <c r="O39" s="44" t="str">
        <f t="shared" si="12"/>
        <v/>
      </c>
      <c r="P39" s="44" t="str">
        <f t="shared" si="12"/>
        <v/>
      </c>
      <c r="Q39" s="34"/>
    </row>
    <row r="40" spans="1:18" ht="17.25" x14ac:dyDescent="0.35">
      <c r="A40" s="51">
        <f t="shared" si="9"/>
        <v>44107</v>
      </c>
      <c r="B40" s="44" t="str">
        <f t="shared" si="12"/>
        <v/>
      </c>
      <c r="C40" s="44" t="str">
        <f t="shared" si="12"/>
        <v/>
      </c>
      <c r="D40" s="44" t="str">
        <f t="shared" si="12"/>
        <v/>
      </c>
      <c r="E40" s="44" t="str">
        <f t="shared" si="12"/>
        <v/>
      </c>
      <c r="F40" s="44" t="str">
        <f t="shared" si="12"/>
        <v/>
      </c>
      <c r="G40" s="44" t="str">
        <f t="shared" si="12"/>
        <v/>
      </c>
      <c r="H40" s="44" t="str">
        <f t="shared" si="12"/>
        <v/>
      </c>
      <c r="I40" s="44" t="str">
        <f t="shared" si="12"/>
        <v/>
      </c>
      <c r="J40" s="44" t="str">
        <f t="shared" si="12"/>
        <v/>
      </c>
      <c r="K40" s="44" t="str">
        <f t="shared" si="12"/>
        <v/>
      </c>
      <c r="L40" s="44" t="str">
        <f t="shared" si="12"/>
        <v/>
      </c>
      <c r="M40" s="44" t="str">
        <f t="shared" si="12"/>
        <v/>
      </c>
      <c r="N40" s="44" t="str">
        <f t="shared" si="12"/>
        <v/>
      </c>
      <c r="O40" s="44" t="str">
        <f t="shared" si="12"/>
        <v/>
      </c>
      <c r="P40" s="44" t="str">
        <f t="shared" si="12"/>
        <v/>
      </c>
      <c r="Q40" s="34"/>
    </row>
    <row r="41" spans="1:18" ht="17.25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ht="17.25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ht="17.25" x14ac:dyDescent="0.35">
      <c r="A43" s="35" t="s">
        <v>4</v>
      </c>
      <c r="B43" s="48" t="str">
        <f>IFERROR(AVERAGE(B34:B40),"")</f>
        <v/>
      </c>
      <c r="C43" s="48" t="str">
        <f>IFERROR(AVERAGE(C34:C40),"")</f>
        <v/>
      </c>
      <c r="D43" s="48" t="str">
        <f>IFERROR(AVERAGE(D34:D40),"")</f>
        <v/>
      </c>
      <c r="E43" s="48" t="str">
        <f>IFERROR(AVERAGE(E34:E40),"")</f>
        <v/>
      </c>
      <c r="F43" s="48" t="str">
        <f t="shared" ref="F43:N43" si="13">IFERROR(AVERAGE(F34:F40),"")</f>
        <v/>
      </c>
      <c r="G43" s="48" t="str">
        <f t="shared" si="13"/>
        <v/>
      </c>
      <c r="H43" s="48" t="str">
        <f t="shared" si="13"/>
        <v/>
      </c>
      <c r="I43" s="62" t="str">
        <f t="shared" si="13"/>
        <v/>
      </c>
      <c r="J43" s="64" t="str">
        <f>IFERROR(AVERAGE(J34:J40),"")</f>
        <v/>
      </c>
      <c r="K43" s="48" t="str">
        <f>IFERROR(AVERAGE(K34:K40),"")</f>
        <v/>
      </c>
      <c r="L43" s="48" t="str">
        <f>IFERROR(AVERAGE(L34:L40),"")</f>
        <v/>
      </c>
      <c r="M43" s="48" t="str">
        <f>IFERROR(AVERAGE(M34:M40),"")</f>
        <v/>
      </c>
      <c r="N43" s="48" t="str">
        <f t="shared" si="13"/>
        <v/>
      </c>
      <c r="O43" s="48" t="str">
        <f>IFERROR(AVERAGE(O34:O40),"")</f>
        <v/>
      </c>
      <c r="P43" s="48" t="str">
        <f>IFERROR(AVERAGE(P34:P40),"")</f>
        <v/>
      </c>
      <c r="Q43" s="34"/>
    </row>
    <row r="44" spans="1:18" ht="17.25" x14ac:dyDescent="0.35">
      <c r="A44" s="35" t="s">
        <v>5</v>
      </c>
      <c r="B44" s="41" t="str">
        <f>IFERROR((B43-B42)/B42,"")</f>
        <v/>
      </c>
      <c r="C44" s="41" t="str">
        <f t="shared" ref="C44:P44" si="14">IFERROR(-(C42-C43)/C42,"")</f>
        <v/>
      </c>
      <c r="D44" s="41" t="str">
        <f t="shared" si="14"/>
        <v/>
      </c>
      <c r="E44" s="41" t="str">
        <f t="shared" si="14"/>
        <v/>
      </c>
      <c r="F44" s="41" t="str">
        <f t="shared" si="14"/>
        <v/>
      </c>
      <c r="G44" s="41" t="str">
        <f t="shared" si="14"/>
        <v/>
      </c>
      <c r="H44" s="41" t="str">
        <f t="shared" si="14"/>
        <v/>
      </c>
      <c r="I44" s="63" t="str">
        <f t="shared" si="14"/>
        <v/>
      </c>
      <c r="J44" s="65" t="str">
        <f t="shared" si="14"/>
        <v/>
      </c>
      <c r="K44" s="41" t="str">
        <f t="shared" si="14"/>
        <v/>
      </c>
      <c r="L44" s="41" t="str">
        <f t="shared" si="14"/>
        <v/>
      </c>
      <c r="M44" s="41" t="str">
        <f t="shared" si="14"/>
        <v/>
      </c>
      <c r="N44" s="41" t="str">
        <f t="shared" si="14"/>
        <v/>
      </c>
      <c r="O44" s="41" t="str">
        <f t="shared" si="14"/>
        <v/>
      </c>
      <c r="P44" s="41" t="str">
        <f t="shared" si="14"/>
        <v/>
      </c>
    </row>
    <row r="45" spans="1:18" x14ac:dyDescent="0.25">
      <c r="B45" s="33" t="s">
        <v>36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77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5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142875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PPR">
                <anchor moveWithCells="1" sizeWithCells="1">
                  <from>
                    <xdr:col>2</xdr:col>
                    <xdr:colOff>209550</xdr:colOff>
                    <xdr:row>3</xdr:row>
                    <xdr:rowOff>9525</xdr:rowOff>
                  </from>
                  <to>
                    <xdr:col>5</xdr:col>
                    <xdr:colOff>133350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0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0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2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2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2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2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2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2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2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2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2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2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2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2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2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2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2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2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2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45" customHeight="1" x14ac:dyDescent="0.2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97"/>
      <c r="M12" s="97"/>
      <c r="N12" s="97"/>
      <c r="O12" s="97"/>
      <c r="P12" s="97"/>
    </row>
    <row r="13" spans="1:16" x14ac:dyDescent="0.2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2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2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2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2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2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45" customHeight="1" x14ac:dyDescent="0.2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97"/>
      <c r="M12" s="97"/>
      <c r="N12" s="97"/>
      <c r="O12" s="97"/>
      <c r="P12" s="97"/>
    </row>
    <row r="13" spans="1:16" x14ac:dyDescent="0.2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</cols>
  <sheetData>
    <row r="1" spans="1:16" x14ac:dyDescent="0.25">
      <c r="A1" s="1"/>
      <c r="B1" s="94" t="s">
        <v>13</v>
      </c>
      <c r="C1" s="95"/>
      <c r="D1" s="95"/>
      <c r="E1" s="95"/>
      <c r="F1" s="96"/>
      <c r="G1" s="93" t="s">
        <v>14</v>
      </c>
      <c r="H1" s="93"/>
      <c r="I1" s="93"/>
      <c r="J1" s="93"/>
    </row>
    <row r="2" spans="1:16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2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2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2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2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2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2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45" customHeight="1" x14ac:dyDescent="0.2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97" t="s">
        <v>16</v>
      </c>
      <c r="M11" s="97"/>
      <c r="N11" s="97"/>
      <c r="O11" s="97"/>
      <c r="P11" s="97"/>
    </row>
    <row r="12" spans="1:16" x14ac:dyDescent="0.2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97"/>
      <c r="M12" s="97"/>
      <c r="N12" s="97"/>
      <c r="O12" s="97"/>
      <c r="P12" s="97"/>
    </row>
    <row r="13" spans="1:16" x14ac:dyDescent="0.2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97"/>
      <c r="M13" s="97"/>
      <c r="N13" s="97"/>
      <c r="O13" s="97"/>
      <c r="P13" s="97"/>
    </row>
    <row r="14" spans="1:16" ht="14.45" customHeight="1" x14ac:dyDescent="0.25">
      <c r="L14" s="97"/>
      <c r="M14" s="97"/>
      <c r="N14" s="97"/>
      <c r="O14" s="97"/>
      <c r="P14" s="97"/>
    </row>
    <row r="15" spans="1:16" x14ac:dyDescent="0.2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97"/>
      <c r="M15" s="97"/>
      <c r="N15" s="97"/>
      <c r="O15" s="97"/>
      <c r="P15" s="97"/>
    </row>
    <row r="16" spans="1:16" x14ac:dyDescent="0.2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97"/>
      <c r="M16" s="97"/>
      <c r="N16" s="97"/>
      <c r="O16" s="97"/>
      <c r="P16" s="97"/>
    </row>
    <row r="17" spans="1:10" x14ac:dyDescent="0.2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2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25">
      <c r="F6" s="22"/>
      <c r="I6" s="22"/>
    </row>
    <row r="7" spans="1:18" x14ac:dyDescent="0.2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2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2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2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45" customHeight="1" x14ac:dyDescent="0.2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97"/>
      <c r="O12" s="97"/>
      <c r="P12" s="97"/>
      <c r="Q12" s="97"/>
      <c r="R12" s="97"/>
    </row>
    <row r="13" spans="1:18" x14ac:dyDescent="0.2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1.85546875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2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25">
      <c r="F6" s="22"/>
      <c r="I6" s="22"/>
    </row>
    <row r="7" spans="1:18" x14ac:dyDescent="0.2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2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2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2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45" customHeight="1" x14ac:dyDescent="0.2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97"/>
      <c r="O12" s="97"/>
      <c r="P12" s="97"/>
      <c r="Q12" s="97"/>
      <c r="R12" s="97"/>
    </row>
    <row r="13" spans="1:18" x14ac:dyDescent="0.2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2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25">
      <c r="F6" s="22"/>
      <c r="I6" s="22"/>
    </row>
    <row r="7" spans="1:18" x14ac:dyDescent="0.2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2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2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2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45" customHeight="1" x14ac:dyDescent="0.2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97"/>
      <c r="O12" s="97"/>
      <c r="P12" s="97"/>
      <c r="Q12" s="97"/>
      <c r="R12" s="97"/>
    </row>
    <row r="13" spans="1:18" x14ac:dyDescent="0.2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2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25">
      <c r="F6" s="22"/>
      <c r="I6" s="22"/>
    </row>
    <row r="7" spans="1:18" x14ac:dyDescent="0.2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2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2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2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45" customHeight="1" x14ac:dyDescent="0.2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97" t="s">
        <v>16</v>
      </c>
      <c r="O11" s="97"/>
      <c r="P11" s="97"/>
      <c r="Q11" s="97"/>
      <c r="R11" s="97"/>
    </row>
    <row r="12" spans="1:18" x14ac:dyDescent="0.2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97"/>
      <c r="O12" s="97"/>
      <c r="P12" s="97"/>
      <c r="Q12" s="97"/>
      <c r="R12" s="97"/>
    </row>
    <row r="13" spans="1:18" x14ac:dyDescent="0.2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2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25">
      <c r="F6" s="22"/>
      <c r="I6" s="22"/>
    </row>
    <row r="7" spans="1:18" x14ac:dyDescent="0.2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2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2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2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45" customHeight="1" x14ac:dyDescent="0.2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97"/>
      <c r="O12" s="97"/>
      <c r="P12" s="97"/>
      <c r="Q12" s="97"/>
      <c r="R12" s="97"/>
    </row>
    <row r="13" spans="1:18" x14ac:dyDescent="0.2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2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25">
      <c r="F6" s="22"/>
      <c r="I6" s="22"/>
    </row>
    <row r="7" spans="1:18" x14ac:dyDescent="0.2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2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2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2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45" customHeight="1" x14ac:dyDescent="0.2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97"/>
      <c r="O12" s="97"/>
      <c r="P12" s="97"/>
      <c r="Q12" s="97"/>
      <c r="R12" s="97"/>
    </row>
    <row r="13" spans="1:18" x14ac:dyDescent="0.2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2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25">
      <c r="F6" s="22"/>
      <c r="I6" s="22"/>
    </row>
    <row r="7" spans="1:18" x14ac:dyDescent="0.2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2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2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2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45" customHeight="1" x14ac:dyDescent="0.2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97"/>
      <c r="O12" s="97"/>
      <c r="P12" s="97"/>
      <c r="Q12" s="97"/>
      <c r="R12" s="97"/>
    </row>
    <row r="13" spans="1:18" x14ac:dyDescent="0.2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2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25">
      <c r="F6" s="22"/>
      <c r="I6" s="22"/>
    </row>
    <row r="7" spans="1:18" x14ac:dyDescent="0.2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2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2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2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45" customHeight="1" x14ac:dyDescent="0.2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97"/>
      <c r="O12" s="97"/>
      <c r="P12" s="97"/>
      <c r="Q12" s="97"/>
      <c r="R12" s="97"/>
    </row>
    <row r="13" spans="1:18" x14ac:dyDescent="0.2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2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25">
      <c r="F6" s="22"/>
      <c r="I6" s="22"/>
    </row>
    <row r="7" spans="1:18" x14ac:dyDescent="0.2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2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2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2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45" customHeight="1" x14ac:dyDescent="0.2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97"/>
      <c r="O12" s="97"/>
      <c r="P12" s="97"/>
      <c r="Q12" s="97"/>
      <c r="R12" s="97"/>
    </row>
    <row r="13" spans="1:18" x14ac:dyDescent="0.2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2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25">
      <c r="F6" s="22"/>
      <c r="I6" s="22"/>
    </row>
    <row r="7" spans="1:18" x14ac:dyDescent="0.2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2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2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2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45" customHeight="1" x14ac:dyDescent="0.2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97"/>
      <c r="O12" s="97"/>
      <c r="P12" s="97"/>
      <c r="Q12" s="97"/>
      <c r="R12" s="97"/>
    </row>
    <row r="13" spans="1:18" x14ac:dyDescent="0.2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3" t="s">
        <v>14</v>
      </c>
      <c r="I1" s="93"/>
      <c r="J1" s="93"/>
      <c r="K1" s="93"/>
      <c r="L1" s="93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2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25">
      <c r="F6" s="22"/>
      <c r="I6" s="22"/>
    </row>
    <row r="7" spans="1:18" x14ac:dyDescent="0.2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2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2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2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45" customHeight="1" x14ac:dyDescent="0.2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97"/>
      <c r="O12" s="97"/>
      <c r="P12" s="97"/>
      <c r="Q12" s="97"/>
      <c r="R12" s="97"/>
    </row>
    <row r="13" spans="1:18" x14ac:dyDescent="0.2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97"/>
      <c r="O16" s="97"/>
      <c r="P16" s="97"/>
      <c r="Q16" s="97"/>
      <c r="R16" s="97"/>
    </row>
    <row r="17" spans="1:12" x14ac:dyDescent="0.2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5" x14ac:dyDescent="0.25"/>
  <cols>
    <col min="1" max="1" width="23.5703125" customWidth="1"/>
    <col min="6" max="6" width="10.140625" bestFit="1" customWidth="1"/>
    <col min="9" max="9" width="10.140625" bestFit="1" customWidth="1"/>
  </cols>
  <sheetData>
    <row r="4" spans="1:12" x14ac:dyDescent="0.25">
      <c r="A4" s="1"/>
      <c r="B4" s="94" t="s">
        <v>13</v>
      </c>
      <c r="C4" s="95"/>
      <c r="D4" s="95"/>
      <c r="E4" s="95"/>
      <c r="F4" s="95"/>
      <c r="G4" s="96"/>
      <c r="H4" s="98" t="s">
        <v>14</v>
      </c>
      <c r="I4" s="99"/>
      <c r="J4" s="99"/>
      <c r="K4" s="99"/>
      <c r="L4" s="100"/>
    </row>
    <row r="5" spans="1:12" x14ac:dyDescent="0.2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2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2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2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25">
      <c r="F9" s="22"/>
      <c r="I9" s="22"/>
    </row>
    <row r="10" spans="1:12" x14ac:dyDescent="0.2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2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2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2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2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2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2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25">
      <c r="F17" s="22"/>
      <c r="I17" s="22"/>
    </row>
    <row r="18" spans="1:12" x14ac:dyDescent="0.2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2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2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6" max="6" width="14" bestFit="1" customWidth="1"/>
    <col min="9" max="9" width="11.140625" bestFit="1" customWidth="1"/>
  </cols>
  <sheetData>
    <row r="1" spans="1:18" x14ac:dyDescent="0.25">
      <c r="A1" s="1"/>
      <c r="B1" s="94" t="s">
        <v>13</v>
      </c>
      <c r="C1" s="95"/>
      <c r="D1" s="95"/>
      <c r="E1" s="95"/>
      <c r="F1" s="95"/>
      <c r="G1" s="96"/>
      <c r="H1" s="98" t="s">
        <v>14</v>
      </c>
      <c r="I1" s="99"/>
      <c r="J1" s="99"/>
      <c r="K1" s="99"/>
      <c r="L1" s="100"/>
    </row>
    <row r="2" spans="1:18" x14ac:dyDescent="0.2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2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2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2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25">
      <c r="F6" s="22"/>
      <c r="I6" s="22"/>
    </row>
    <row r="7" spans="1:18" x14ac:dyDescent="0.2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2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2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2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45" customHeight="1" x14ac:dyDescent="0.2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97" t="s">
        <v>16</v>
      </c>
      <c r="O11" s="97"/>
      <c r="P11" s="97"/>
      <c r="Q11" s="97"/>
      <c r="R11" s="97"/>
    </row>
    <row r="12" spans="1:18" x14ac:dyDescent="0.2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97"/>
      <c r="O12" s="97"/>
      <c r="P12" s="97"/>
      <c r="Q12" s="97"/>
      <c r="R12" s="97"/>
    </row>
    <row r="13" spans="1:18" x14ac:dyDescent="0.2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97"/>
      <c r="O13" s="97"/>
      <c r="P13" s="97"/>
      <c r="Q13" s="97"/>
      <c r="R13" s="97"/>
    </row>
    <row r="14" spans="1:18" ht="14.45" customHeight="1" x14ac:dyDescent="0.25">
      <c r="F14" s="22"/>
      <c r="I14" s="22"/>
      <c r="N14" s="97"/>
      <c r="O14" s="97"/>
      <c r="P14" s="97"/>
      <c r="Q14" s="97"/>
      <c r="R14" s="97"/>
    </row>
    <row r="15" spans="1:18" x14ac:dyDescent="0.2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97"/>
      <c r="O15" s="97"/>
      <c r="P15" s="97"/>
      <c r="Q15" s="97"/>
      <c r="R15" s="97"/>
    </row>
    <row r="16" spans="1:18" x14ac:dyDescent="0.2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97"/>
      <c r="O16" s="97"/>
      <c r="P16" s="97"/>
      <c r="Q16" s="97"/>
      <c r="R16" s="97"/>
    </row>
    <row r="17" spans="1:14" x14ac:dyDescent="0.2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2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5" x14ac:dyDescent="0.25"/>
  <cols>
    <col min="1" max="1" width="20.85546875" bestFit="1" customWidth="1"/>
    <col min="2" max="2" width="11.5703125" bestFit="1" customWidth="1"/>
    <col min="3" max="3" width="9.42578125" bestFit="1" customWidth="1"/>
    <col min="4" max="4" width="7.5703125" customWidth="1"/>
    <col min="5" max="5" width="7.140625" bestFit="1" customWidth="1"/>
    <col min="6" max="6" width="14" bestFit="1" customWidth="1"/>
    <col min="7" max="7" width="7.85546875" customWidth="1"/>
    <col min="9" max="9" width="7.28515625" customWidth="1"/>
    <col min="10" max="10" width="8.140625" bestFit="1" customWidth="1"/>
    <col min="11" max="11" width="11.28515625" bestFit="1" customWidth="1"/>
    <col min="12" max="12" width="7.85546875" bestFit="1" customWidth="1"/>
  </cols>
  <sheetData>
    <row r="4" spans="1:16" x14ac:dyDescent="0.25">
      <c r="A4" s="1"/>
      <c r="B4" s="94" t="s">
        <v>13</v>
      </c>
      <c r="C4" s="95"/>
      <c r="D4" s="95"/>
      <c r="E4" s="95"/>
      <c r="F4" s="95"/>
      <c r="G4" s="95"/>
      <c r="H4" s="96"/>
      <c r="I4" s="28"/>
      <c r="J4" s="98" t="s">
        <v>14</v>
      </c>
      <c r="K4" s="99"/>
      <c r="L4" s="99"/>
      <c r="M4" s="99"/>
      <c r="N4" s="99"/>
      <c r="O4" s="99"/>
      <c r="P4" s="100"/>
    </row>
    <row r="5" spans="1:16" x14ac:dyDescent="0.2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2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2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2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25">
      <c r="F9" s="22"/>
      <c r="G9" s="22"/>
      <c r="K9" s="22"/>
      <c r="L9" s="22"/>
    </row>
    <row r="10" spans="1:16" x14ac:dyDescent="0.2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2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2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2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2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2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2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25">
      <c r="F17" s="22"/>
      <c r="G17" s="22"/>
      <c r="K17" s="22"/>
      <c r="L17" s="22"/>
    </row>
    <row r="18" spans="1:16" x14ac:dyDescent="0.2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2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2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ht="17.25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ht="17.25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ht="17.25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ht="17.25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ht="17.25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ht="17.25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ht="17.25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ht="17.25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ht="17.25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ht="17.25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ht="17.25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ht="17.25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ht="17.25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ht="17.25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ht="17.25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ht="17.25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ht="17.25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ht="17.25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ht="17.25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2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ht="17.25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ht="17.25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ht="17.25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ht="17.25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ht="17.25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ht="17.25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ht="17.25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ht="17.25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ht="17.25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ht="17.25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ht="17.25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D14" sqref="D14"/>
    </sheetView>
  </sheetViews>
  <sheetFormatPr defaultColWidth="9.140625" defaultRowHeight="15" x14ac:dyDescent="0.25"/>
  <cols>
    <col min="1" max="1" width="25.42578125" style="34" bestFit="1" customWidth="1"/>
    <col min="2" max="2" width="14.85546875" style="33" bestFit="1" customWidth="1"/>
    <col min="3" max="3" width="12.140625" style="33" bestFit="1" customWidth="1"/>
    <col min="4" max="4" width="8.85546875" style="33" customWidth="1"/>
    <col min="5" max="5" width="10.28515625" style="33" customWidth="1"/>
    <col min="6" max="6" width="19.42578125" style="33" customWidth="1"/>
    <col min="7" max="7" width="9.7109375" style="33" customWidth="1"/>
    <col min="8" max="8" width="7.42578125" style="33" customWidth="1"/>
    <col min="9" max="9" width="8.42578125" style="33" customWidth="1"/>
    <col min="10" max="10" width="11" style="33" customWidth="1"/>
    <col min="11" max="11" width="14.28515625" style="33" customWidth="1"/>
    <col min="12" max="12" width="10" style="33" customWidth="1"/>
    <col min="13" max="13" width="7.28515625" style="33" customWidth="1"/>
    <col min="14" max="14" width="10.140625" style="33" customWidth="1"/>
    <col min="15" max="15" width="11.42578125" style="33" customWidth="1"/>
    <col min="16" max="16" width="8.28515625" style="33" customWidth="1"/>
    <col min="17" max="17" width="9.140625" style="33"/>
    <col min="18" max="18" width="12" style="33" bestFit="1" customWidth="1"/>
    <col min="19" max="20" width="9.140625" style="33"/>
    <col min="21" max="21" width="9.7109375" style="33" bestFit="1" customWidth="1"/>
    <col min="22" max="16384" width="9.140625" style="33"/>
  </cols>
  <sheetData>
    <row r="1" spans="1:23" x14ac:dyDescent="0.25">
      <c r="S1" s="85"/>
      <c r="T1" s="85"/>
      <c r="U1" s="85"/>
      <c r="V1" s="85"/>
    </row>
    <row r="3" spans="1:23" ht="15.75" x14ac:dyDescent="0.25">
      <c r="Q3" s="74"/>
    </row>
    <row r="5" spans="1:23" x14ac:dyDescent="0.25">
      <c r="B5" s="92"/>
      <c r="C5" s="92"/>
      <c r="D5" s="92"/>
    </row>
    <row r="7" spans="1:23" x14ac:dyDescent="0.25">
      <c r="A7" s="32"/>
      <c r="B7" s="86" t="s">
        <v>13</v>
      </c>
      <c r="C7" s="87"/>
      <c r="D7" s="87"/>
      <c r="E7" s="87"/>
      <c r="F7" s="87"/>
      <c r="G7" s="87"/>
      <c r="H7" s="87"/>
      <c r="I7" s="87"/>
      <c r="J7" s="89" t="s">
        <v>14</v>
      </c>
      <c r="K7" s="90"/>
      <c r="L7" s="90"/>
      <c r="M7" s="90"/>
      <c r="N7" s="90"/>
      <c r="O7" s="90"/>
      <c r="P7" s="91"/>
      <c r="R7" s="34"/>
    </row>
    <row r="8" spans="1:23" x14ac:dyDescent="0.2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ht="17.25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85"/>
      <c r="T9" s="85"/>
      <c r="U9" s="85"/>
      <c r="V9" s="85"/>
      <c r="W9" s="85"/>
    </row>
    <row r="10" spans="1:23" ht="17.25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ht="17.25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ht="17.25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2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ht="17.25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ht="17.25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ht="17.25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ht="17.25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ht="17.25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ht="17.25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ht="17.25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ht="17.25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ht="17.25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2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2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25">
      <c r="A27" s="32"/>
      <c r="B27" s="86" t="s">
        <v>13</v>
      </c>
      <c r="C27" s="87"/>
      <c r="D27" s="87"/>
      <c r="E27" s="87"/>
      <c r="F27" s="87"/>
      <c r="G27" s="87"/>
      <c r="H27" s="87"/>
      <c r="I27" s="88"/>
      <c r="J27" s="89" t="s">
        <v>14</v>
      </c>
      <c r="K27" s="90"/>
      <c r="L27" s="90"/>
      <c r="M27" s="90"/>
      <c r="N27" s="90"/>
      <c r="O27" s="90"/>
      <c r="P27" s="91"/>
    </row>
    <row r="28" spans="1:21" x14ac:dyDescent="0.2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ht="17.25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ht="17.25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ht="17.25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ht="17.25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2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ht="17.25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ht="17.25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ht="17.25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ht="17.25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ht="17.25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ht="17.25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ht="17.25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ht="17.25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ht="17.25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ht="17.25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ht="17.25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2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8"/>
  <sheetViews>
    <sheetView tabSelected="1" workbookViewId="0">
      <selection activeCell="B5" sqref="B5"/>
    </sheetView>
  </sheetViews>
  <sheetFormatPr defaultRowHeight="15" x14ac:dyDescent="0.25"/>
  <cols>
    <col min="1" max="1" width="19.85546875" bestFit="1" customWidth="1"/>
    <col min="2" max="2" width="21.1406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2" x14ac:dyDescent="0.25">
      <c r="A1" t="s">
        <v>55</v>
      </c>
      <c r="B1" t="s">
        <v>56</v>
      </c>
    </row>
    <row r="2" spans="1:2" x14ac:dyDescent="0.25">
      <c r="A2" t="s">
        <v>57</v>
      </c>
      <c r="B2" t="s">
        <v>58</v>
      </c>
    </row>
    <row r="3" spans="1:2" x14ac:dyDescent="0.25">
      <c r="A3" t="s">
        <v>59</v>
      </c>
      <c r="B3" t="s">
        <v>60</v>
      </c>
    </row>
    <row r="4" spans="1:2" x14ac:dyDescent="0.25">
      <c r="A4" t="s">
        <v>61</v>
      </c>
      <c r="B4">
        <v>206</v>
      </c>
    </row>
    <row r="5" spans="1:2" x14ac:dyDescent="0.25">
      <c r="A5" t="s">
        <v>62</v>
      </c>
      <c r="B5">
        <v>394</v>
      </c>
    </row>
    <row r="6" spans="1:2" x14ac:dyDescent="0.25">
      <c r="A6" t="s">
        <v>63</v>
      </c>
      <c r="B6">
        <v>620</v>
      </c>
    </row>
    <row r="7" spans="1:2" x14ac:dyDescent="0.25">
      <c r="A7" t="s">
        <v>64</v>
      </c>
      <c r="B7">
        <v>566</v>
      </c>
    </row>
    <row r="8" spans="1:2" x14ac:dyDescent="0.25">
      <c r="A8" t="s">
        <v>65</v>
      </c>
      <c r="B8">
        <v>620</v>
      </c>
    </row>
    <row r="9" spans="1:2" x14ac:dyDescent="0.25">
      <c r="A9" t="s">
        <v>66</v>
      </c>
      <c r="B9">
        <v>407</v>
      </c>
    </row>
    <row r="10" spans="1:2" x14ac:dyDescent="0.25">
      <c r="A10" t="s">
        <v>67</v>
      </c>
      <c r="B10">
        <v>449</v>
      </c>
    </row>
    <row r="11" spans="1:2" x14ac:dyDescent="0.25">
      <c r="A11" t="s">
        <v>68</v>
      </c>
      <c r="B11">
        <v>298</v>
      </c>
    </row>
    <row r="12" spans="1:2" x14ac:dyDescent="0.25">
      <c r="A12" t="s">
        <v>69</v>
      </c>
      <c r="B12">
        <v>206</v>
      </c>
    </row>
    <row r="13" spans="1:2" x14ac:dyDescent="0.25">
      <c r="A13" t="s">
        <v>70</v>
      </c>
      <c r="B13">
        <v>408</v>
      </c>
    </row>
    <row r="14" spans="1:2" x14ac:dyDescent="0.25">
      <c r="A14" t="s">
        <v>71</v>
      </c>
      <c r="B14">
        <v>255</v>
      </c>
    </row>
    <row r="15" spans="1:2" x14ac:dyDescent="0.25">
      <c r="A15" t="s">
        <v>72</v>
      </c>
      <c r="B15">
        <v>386</v>
      </c>
    </row>
    <row r="16" spans="1:2" x14ac:dyDescent="0.25">
      <c r="A16" t="s">
        <v>73</v>
      </c>
      <c r="B16">
        <v>449</v>
      </c>
    </row>
    <row r="17" spans="1:2" x14ac:dyDescent="0.25">
      <c r="A17" t="s">
        <v>74</v>
      </c>
      <c r="B17">
        <v>290</v>
      </c>
    </row>
    <row r="18" spans="1:2" x14ac:dyDescent="0.25">
      <c r="A18" t="s">
        <v>33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8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.42578125" bestFit="1" customWidth="1"/>
    <col min="3" max="3" width="61.140625" bestFit="1" customWidth="1"/>
    <col min="4" max="4" width="32.5703125" bestFit="1" customWidth="1"/>
    <col min="5" max="5" width="30.85546875" bestFit="1" customWidth="1"/>
    <col min="6" max="6" width="19.28515625" bestFit="1" customWidth="1"/>
    <col min="7" max="7" width="9.42578125" bestFit="1" customWidth="1"/>
    <col min="8" max="8" width="14.140625" bestFit="1" customWidth="1"/>
    <col min="9" max="9" width="12.140625" bestFit="1" customWidth="1"/>
    <col min="10" max="10" width="12" bestFit="1" customWidth="1"/>
    <col min="11" max="11" width="16.140625" bestFit="1" customWidth="1"/>
    <col min="12" max="12" width="17.42578125" bestFit="1" customWidth="1"/>
    <col min="13" max="13" width="18" bestFit="1" customWidth="1"/>
    <col min="14" max="14" width="12" bestFit="1" customWidth="1"/>
    <col min="15" max="15" width="20.140625" bestFit="1" customWidth="1"/>
    <col min="16" max="16" width="8.85546875" bestFit="1" customWidth="1"/>
    <col min="17" max="17" width="24.7109375" bestFit="1" customWidth="1"/>
    <col min="18" max="18" width="21.140625" bestFit="1" customWidth="1"/>
    <col min="19" max="19" width="6.42578125" bestFit="1" customWidth="1"/>
  </cols>
  <sheetData>
    <row r="1" spans="1:1" x14ac:dyDescent="0.25">
      <c r="A1" t="s">
        <v>38</v>
      </c>
    </row>
    <row r="2" spans="1:1" x14ac:dyDescent="0.25">
      <c r="A2" t="s">
        <v>39</v>
      </c>
    </row>
    <row r="3" spans="1:1" x14ac:dyDescent="0.25">
      <c r="A3" t="s">
        <v>40</v>
      </c>
    </row>
    <row r="4" spans="1:1" x14ac:dyDescent="0.25">
      <c r="A4" t="s">
        <v>41</v>
      </c>
    </row>
    <row r="5" spans="1:1" x14ac:dyDescent="0.25">
      <c r="A5" t="s">
        <v>42</v>
      </c>
    </row>
    <row r="6" spans="1:1" x14ac:dyDescent="0.25">
      <c r="A6" t="s">
        <v>43</v>
      </c>
    </row>
    <row r="7" spans="1:1" x14ac:dyDescent="0.25">
      <c r="A7" t="s">
        <v>44</v>
      </c>
    </row>
    <row r="8" spans="1:1" x14ac:dyDescent="0.25">
      <c r="A8" t="s">
        <v>45</v>
      </c>
    </row>
    <row r="9" spans="1:1" x14ac:dyDescent="0.25">
      <c r="A9" t="s">
        <v>46</v>
      </c>
    </row>
    <row r="10" spans="1:1" x14ac:dyDescent="0.25">
      <c r="A10" t="s">
        <v>47</v>
      </c>
    </row>
    <row r="11" spans="1:1" x14ac:dyDescent="0.25">
      <c r="A11" t="s">
        <v>48</v>
      </c>
    </row>
    <row r="12" spans="1:1" x14ac:dyDescent="0.25">
      <c r="A12" t="s">
        <v>49</v>
      </c>
    </row>
    <row r="13" spans="1:1" x14ac:dyDescent="0.25">
      <c r="A13" t="s">
        <v>50</v>
      </c>
    </row>
    <row r="14" spans="1:1" x14ac:dyDescent="0.25">
      <c r="A14" t="s">
        <v>51</v>
      </c>
    </row>
    <row r="15" spans="1:1" x14ac:dyDescent="0.25">
      <c r="A15" t="s">
        <v>52</v>
      </c>
    </row>
    <row r="16" spans="1:1" x14ac:dyDescent="0.25">
      <c r="A16" t="s">
        <v>53</v>
      </c>
    </row>
    <row r="17" spans="1:1" x14ac:dyDescent="0.25">
      <c r="A17" t="s">
        <v>54</v>
      </c>
    </row>
    <row r="18" spans="1:1" x14ac:dyDescent="0.25">
      <c r="A1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35</vt:i4>
      </vt:variant>
    </vt:vector>
  </HeadingPairs>
  <TitlesOfParts>
    <vt:vector size="64" baseType="lpstr">
      <vt:lpstr>Report Generator</vt:lpstr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ppr1</vt:lpstr>
      <vt:lpstr>ppr2</vt:lpstr>
      <vt:lpstr>ppr3</vt:lpstr>
      <vt:lpstr>ppr4</vt:lpstr>
      <vt:lpstr>ppr5</vt:lpstr>
      <vt:lpstr>ppr6</vt:lpstr>
      <vt:lpstr>ppr7</vt:lpstr>
      <vt:lpstr>'ppr5'!website1</vt:lpstr>
      <vt:lpstr>'ppr5'!website1_1</vt:lpstr>
      <vt:lpstr>'ppr5'!website1_2</vt:lpstr>
      <vt:lpstr>'ppr5'!website1_3</vt:lpstr>
      <vt:lpstr>'ppr5'!website1_4</vt:lpstr>
      <vt:lpstr>'ppr6'!website2</vt:lpstr>
      <vt:lpstr>'ppr6'!website2_1</vt:lpstr>
      <vt:lpstr>'ppr6'!website2_2</vt:lpstr>
      <vt:lpstr>'ppr6'!website2_3</vt:lpstr>
      <vt:lpstr>'ppr6'!website2_4</vt:lpstr>
      <vt:lpstr>'ppr1'!website27</vt:lpstr>
      <vt:lpstr>'ppr1'!website27_1</vt:lpstr>
      <vt:lpstr>'ppr1'!website27_2</vt:lpstr>
      <vt:lpstr>'ppr1'!website27_3</vt:lpstr>
      <vt:lpstr>'ppr1'!website27_4</vt:lpstr>
      <vt:lpstr>'ppr2'!website28</vt:lpstr>
      <vt:lpstr>'ppr2'!website28_1</vt:lpstr>
      <vt:lpstr>'ppr2'!website28_2</vt:lpstr>
      <vt:lpstr>'ppr2'!website28_3</vt:lpstr>
      <vt:lpstr>'ppr2'!website28_4</vt:lpstr>
      <vt:lpstr>'ppr3'!website29</vt:lpstr>
      <vt:lpstr>'ppr3'!website29_1</vt:lpstr>
      <vt:lpstr>'ppr3'!website29_2</vt:lpstr>
      <vt:lpstr>'ppr3'!website29_3</vt:lpstr>
      <vt:lpstr>'ppr3'!website29_4</vt:lpstr>
      <vt:lpstr>'ppr7'!website3</vt:lpstr>
      <vt:lpstr>'ppr7'!website3_1</vt:lpstr>
      <vt:lpstr>'ppr7'!website3_2</vt:lpstr>
      <vt:lpstr>'ppr7'!website3_3</vt:lpstr>
      <vt:lpstr>'ppr7'!website3_4</vt:lpstr>
      <vt:lpstr>'ppr4'!website30</vt:lpstr>
      <vt:lpstr>'ppr4'!website30_1</vt:lpstr>
      <vt:lpstr>'ppr4'!website30_2</vt:lpstr>
      <vt:lpstr>'ppr4'!website30_3</vt:lpstr>
      <vt:lpstr>'ppr4'!website30_4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2020-10-07T18:01:49Z</dcterms:modified>
</cp:coreProperties>
</file>