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eomonto\Desktop\priority  projects\icqa_shift_comparison_report_v2\"/>
    </mc:Choice>
  </mc:AlternateContent>
  <bookViews>
    <workbookView xWindow="0" yWindow="0" windowWidth="2445" windowHeight="360" tabRatio="910"/>
  </bookViews>
  <sheets>
    <sheet name="Report Generator" sheetId="35" r:id="rId1"/>
    <sheet name="1.19" sheetId="1" r:id="rId2"/>
    <sheet name="1.26" sheetId="3" r:id="rId3"/>
    <sheet name="2.2" sheetId="6" r:id="rId4"/>
    <sheet name="2.9" sheetId="7" r:id="rId5"/>
    <sheet name="2.16" sheetId="9" r:id="rId6"/>
    <sheet name="2.23" sheetId="10" r:id="rId7"/>
    <sheet name="3.1" sheetId="11" r:id="rId8"/>
    <sheet name="3.8" sheetId="12" r:id="rId9"/>
    <sheet name="4.26" sheetId="14" r:id="rId10"/>
    <sheet name="5.3" sheetId="15" r:id="rId11"/>
    <sheet name="5.10" sheetId="17" r:id="rId12"/>
    <sheet name="5.17" sheetId="18" r:id="rId13"/>
    <sheet name="5.24" sheetId="19" r:id="rId14"/>
    <sheet name="5.31" sheetId="20" r:id="rId15"/>
    <sheet name="6.7" sheetId="21" r:id="rId16"/>
    <sheet name="7.19" sheetId="22" r:id="rId17"/>
    <sheet name="7.26" sheetId="24" r:id="rId18"/>
    <sheet name="8.30" sheetId="27" r:id="rId19"/>
    <sheet name="9.13" sheetId="41" r:id="rId20"/>
    <sheet name="9.20" sheetId="43" r:id="rId21"/>
    <sheet name="9.27" sheetId="44" r:id="rId22"/>
    <sheet name="ppr1" sheetId="88" r:id="rId23"/>
    <sheet name="ppr2" sheetId="89" r:id="rId24"/>
    <sheet name="ppr3" sheetId="90" r:id="rId25"/>
    <sheet name="ppr4" sheetId="91" r:id="rId26"/>
    <sheet name="ppr5" sheetId="92" r:id="rId27"/>
    <sheet name="ppr6" sheetId="93" r:id="rId28"/>
    <sheet name="ppr7" sheetId="94" r:id="rId29"/>
  </sheets>
  <functionGroups builtInGroupCount="18"/>
  <definedNames>
    <definedName name="website1" localSheetId="26">'ppr5'!$A$1:$A$186</definedName>
    <definedName name="website1_1" localSheetId="26">'ppr5'!$A$1:$A$186</definedName>
    <definedName name="website1_2" localSheetId="26">'ppr5'!$A$1:$A$186</definedName>
    <definedName name="website1_3" localSheetId="26">'ppr5'!$A$1:$A$186</definedName>
    <definedName name="website1_4" localSheetId="26">'ppr5'!$A$1:$A$186</definedName>
    <definedName name="website2" localSheetId="27">'ppr6'!$A$1:$A$186</definedName>
    <definedName name="website2_1" localSheetId="27">'ppr6'!$A$1:$A$186</definedName>
    <definedName name="website2_2" localSheetId="27">'ppr6'!$A$1:$A$186</definedName>
    <definedName name="website2_3" localSheetId="27">'ppr6'!$A$1:$A$186</definedName>
    <definedName name="website2_4" localSheetId="27">'ppr6'!$A$1:$A$186</definedName>
    <definedName name="website27" localSheetId="22">'ppr1'!$A$1:$A$186</definedName>
    <definedName name="website27_1" localSheetId="22">'ppr1'!$A$1:$A$186</definedName>
    <definedName name="website27_2" localSheetId="22">'ppr1'!$A$1:$A$186</definedName>
    <definedName name="website27_3" localSheetId="22">'ppr1'!$A$1:$A$186</definedName>
    <definedName name="website27_4" localSheetId="22">'ppr1'!$A$1:$A$186</definedName>
    <definedName name="website28" localSheetId="23">'ppr2'!$A$1:$A$186</definedName>
    <definedName name="website28_1" localSheetId="23">'ppr2'!$A$1:$A$186</definedName>
    <definedName name="website28_2" localSheetId="23">'ppr2'!$A$1:$A$186</definedName>
    <definedName name="website28_3" localSheetId="23">'ppr2'!$A$1:$A$186</definedName>
    <definedName name="website28_4" localSheetId="23">'ppr2'!$A$1:$A$186</definedName>
    <definedName name="website29" localSheetId="24">'ppr3'!$A$1:$A$186</definedName>
    <definedName name="website29_1" localSheetId="24">'ppr3'!$A$1:$A$186</definedName>
    <definedName name="website29_2" localSheetId="24">'ppr3'!$A$1:$A$186</definedName>
    <definedName name="website29_3" localSheetId="24">'ppr3'!$A$1:$A$186</definedName>
    <definedName name="website29_4" localSheetId="24">'ppr3'!$A$1:$A$186</definedName>
    <definedName name="website3" localSheetId="28">'ppr7'!$A$1:$A$186</definedName>
    <definedName name="website3_1" localSheetId="28">'ppr7'!$A$1:$A$186</definedName>
    <definedName name="website3_2" localSheetId="28">'ppr7'!$A$1:$A$186</definedName>
    <definedName name="website3_3" localSheetId="28">'ppr7'!$A$1:$A$186</definedName>
    <definedName name="website3_4" localSheetId="28">'ppr7'!$A$1:$A$186</definedName>
    <definedName name="website30" localSheetId="25">'ppr4'!$A$1:$A$186</definedName>
    <definedName name="website30_1" localSheetId="25">'ppr4'!$A$1:$A$186</definedName>
    <definedName name="website30_2" localSheetId="25">'ppr4'!$A$1:$A$186</definedName>
    <definedName name="website30_3" localSheetId="25">'ppr4'!$A$1:$A$186</definedName>
    <definedName name="website30_4" localSheetId="25">'ppr4'!$A$1:$A$186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4" i="35" l="1"/>
  <c r="D34" i="35"/>
  <c r="E34" i="35"/>
  <c r="F34" i="35"/>
  <c r="G34" i="35"/>
  <c r="H34" i="35"/>
  <c r="I34" i="35"/>
  <c r="J34" i="35"/>
  <c r="K34" i="35"/>
  <c r="L34" i="35"/>
  <c r="M34" i="35"/>
  <c r="N34" i="35"/>
  <c r="O34" i="35"/>
  <c r="P34" i="35"/>
  <c r="C35" i="35"/>
  <c r="D35" i="35"/>
  <c r="E35" i="35"/>
  <c r="F35" i="35"/>
  <c r="G35" i="35"/>
  <c r="H35" i="35"/>
  <c r="I35" i="35"/>
  <c r="J35" i="35"/>
  <c r="K35" i="35"/>
  <c r="L35" i="35"/>
  <c r="M35" i="35"/>
  <c r="N35" i="35"/>
  <c r="O35" i="35"/>
  <c r="P35" i="35"/>
  <c r="C36" i="35"/>
  <c r="D36" i="35"/>
  <c r="E36" i="35"/>
  <c r="F36" i="35"/>
  <c r="G36" i="35"/>
  <c r="H36" i="35"/>
  <c r="I36" i="35"/>
  <c r="J36" i="35"/>
  <c r="K36" i="35"/>
  <c r="L36" i="35"/>
  <c r="M36" i="35"/>
  <c r="N36" i="35"/>
  <c r="O36" i="35"/>
  <c r="P36" i="35"/>
  <c r="C37" i="35"/>
  <c r="D37" i="35"/>
  <c r="E37" i="35"/>
  <c r="F37" i="35"/>
  <c r="G37" i="35"/>
  <c r="H37" i="35"/>
  <c r="I37" i="35"/>
  <c r="J37" i="35"/>
  <c r="K37" i="35"/>
  <c r="L37" i="35"/>
  <c r="M37" i="35"/>
  <c r="N37" i="35"/>
  <c r="O37" i="35"/>
  <c r="P37" i="35"/>
  <c r="C38" i="35"/>
  <c r="D38" i="35"/>
  <c r="E38" i="35"/>
  <c r="F38" i="35"/>
  <c r="G38" i="35"/>
  <c r="H38" i="35"/>
  <c r="I38" i="35"/>
  <c r="J38" i="35"/>
  <c r="K38" i="35"/>
  <c r="L38" i="35"/>
  <c r="M38" i="35"/>
  <c r="N38" i="35"/>
  <c r="O38" i="35"/>
  <c r="P38" i="35"/>
  <c r="C39" i="35"/>
  <c r="D39" i="35"/>
  <c r="E39" i="35"/>
  <c r="F39" i="35"/>
  <c r="G39" i="35"/>
  <c r="H39" i="35"/>
  <c r="I39" i="35"/>
  <c r="J39" i="35"/>
  <c r="K39" i="35"/>
  <c r="L39" i="35"/>
  <c r="M39" i="35"/>
  <c r="N39" i="35"/>
  <c r="O39" i="35"/>
  <c r="P39" i="35"/>
  <c r="C40" i="35"/>
  <c r="D40" i="35"/>
  <c r="E40" i="35"/>
  <c r="F40" i="35"/>
  <c r="G40" i="35"/>
  <c r="H40" i="35"/>
  <c r="I40" i="35"/>
  <c r="J40" i="35"/>
  <c r="K40" i="35"/>
  <c r="L40" i="35"/>
  <c r="M40" i="35"/>
  <c r="N40" i="35"/>
  <c r="O40" i="35"/>
  <c r="P40" i="35"/>
  <c r="B36" i="35"/>
  <c r="B37" i="35"/>
  <c r="B38" i="35"/>
  <c r="B39" i="35"/>
  <c r="B40" i="35"/>
  <c r="B35" i="35"/>
  <c r="B34" i="35"/>
  <c r="A40" i="35"/>
  <c r="A39" i="35"/>
  <c r="A38" i="35"/>
  <c r="A37" i="35"/>
  <c r="A36" i="35"/>
  <c r="A35" i="35"/>
  <c r="A34" i="35"/>
  <c r="A14" i="35"/>
  <c r="A15" i="35" s="1"/>
  <c r="A16" i="35" s="1"/>
  <c r="A17" i="35" s="1"/>
  <c r="A18" i="35" s="1"/>
  <c r="A19" i="35" s="1"/>
  <c r="A20" i="35" s="1"/>
  <c r="P44" i="44" l="1"/>
  <c r="O44" i="44"/>
  <c r="N44" i="44"/>
  <c r="M44" i="44"/>
  <c r="L44" i="44"/>
  <c r="K44" i="44"/>
  <c r="J44" i="44"/>
  <c r="I44" i="44"/>
  <c r="H44" i="44"/>
  <c r="G44" i="44"/>
  <c r="F44" i="44"/>
  <c r="E44" i="44"/>
  <c r="D44" i="44"/>
  <c r="C44" i="44"/>
  <c r="B44" i="44"/>
  <c r="P43" i="44"/>
  <c r="O43" i="44"/>
  <c r="N43" i="44"/>
  <c r="M43" i="44"/>
  <c r="L43" i="44"/>
  <c r="K43" i="44"/>
  <c r="J43" i="44"/>
  <c r="I43" i="44"/>
  <c r="H43" i="44"/>
  <c r="G43" i="44"/>
  <c r="F43" i="44"/>
  <c r="E43" i="44"/>
  <c r="D43" i="44"/>
  <c r="C43" i="44"/>
  <c r="B43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C12" i="44"/>
  <c r="B12" i="44"/>
  <c r="P11" i="44"/>
  <c r="O11" i="44"/>
  <c r="N11" i="44"/>
  <c r="M11" i="44"/>
  <c r="L11" i="44"/>
  <c r="K11" i="44"/>
  <c r="J11" i="44"/>
  <c r="I11" i="44"/>
  <c r="H11" i="44"/>
  <c r="G11" i="44"/>
  <c r="F11" i="44"/>
  <c r="E11" i="44"/>
  <c r="D11" i="44"/>
  <c r="C11" i="44"/>
  <c r="B11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10" i="44"/>
  <c r="P44" i="43"/>
  <c r="O44" i="43"/>
  <c r="N44" i="43"/>
  <c r="M44" i="43"/>
  <c r="L44" i="43"/>
  <c r="K44" i="43"/>
  <c r="J44" i="43"/>
  <c r="I44" i="43"/>
  <c r="H44" i="43"/>
  <c r="G44" i="43"/>
  <c r="F44" i="43"/>
  <c r="E44" i="43"/>
  <c r="D44" i="43"/>
  <c r="C44" i="43"/>
  <c r="B44" i="43"/>
  <c r="P43" i="43"/>
  <c r="O43" i="43"/>
  <c r="N43" i="43"/>
  <c r="M43" i="43"/>
  <c r="L43" i="43"/>
  <c r="K43" i="43"/>
  <c r="J43" i="43"/>
  <c r="I43" i="43"/>
  <c r="H43" i="43"/>
  <c r="G43" i="43"/>
  <c r="F43" i="43"/>
  <c r="E43" i="43"/>
  <c r="D43" i="43"/>
  <c r="C43" i="43"/>
  <c r="B43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C12" i="43"/>
  <c r="B12" i="43"/>
  <c r="P11" i="43"/>
  <c r="O11" i="43"/>
  <c r="N11" i="43"/>
  <c r="M11" i="43"/>
  <c r="L11" i="43"/>
  <c r="K11" i="43"/>
  <c r="J11" i="43"/>
  <c r="I11" i="43"/>
  <c r="H11" i="43"/>
  <c r="G11" i="43"/>
  <c r="F11" i="43"/>
  <c r="E11" i="43"/>
  <c r="D11" i="43"/>
  <c r="C11" i="43"/>
  <c r="B11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10" i="43"/>
  <c r="P44" i="41"/>
  <c r="O44" i="41"/>
  <c r="N44" i="41"/>
  <c r="M44" i="41"/>
  <c r="L44" i="41"/>
  <c r="K44" i="41"/>
  <c r="J44" i="41"/>
  <c r="I44" i="41"/>
  <c r="H44" i="41"/>
  <c r="G44" i="41"/>
  <c r="F44" i="41"/>
  <c r="E44" i="41"/>
  <c r="D44" i="41"/>
  <c r="C44" i="41"/>
  <c r="B44" i="41"/>
  <c r="P43" i="41"/>
  <c r="O43" i="41"/>
  <c r="N43" i="41"/>
  <c r="M43" i="41"/>
  <c r="L43" i="41"/>
  <c r="K43" i="41"/>
  <c r="J43" i="41"/>
  <c r="I43" i="41"/>
  <c r="H43" i="41"/>
  <c r="G43" i="41"/>
  <c r="F43" i="41"/>
  <c r="E43" i="41"/>
  <c r="D43" i="41"/>
  <c r="C43" i="41"/>
  <c r="B43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C12" i="41"/>
  <c r="B12" i="41"/>
  <c r="P11" i="41"/>
  <c r="O11" i="41"/>
  <c r="N11" i="41"/>
  <c r="M11" i="41"/>
  <c r="L11" i="41"/>
  <c r="K11" i="41"/>
  <c r="J11" i="41"/>
  <c r="I11" i="41"/>
  <c r="H11" i="41"/>
  <c r="G11" i="41"/>
  <c r="F11" i="41"/>
  <c r="E11" i="41"/>
  <c r="D11" i="41"/>
  <c r="C11" i="41"/>
  <c r="B11" i="41"/>
  <c r="P10" i="41"/>
  <c r="O10" i="41"/>
  <c r="N10" i="41"/>
  <c r="M10" i="41"/>
  <c r="L10" i="41"/>
  <c r="K10" i="41"/>
  <c r="J10" i="41"/>
  <c r="I10" i="41"/>
  <c r="H10" i="41"/>
  <c r="G10" i="41"/>
  <c r="F10" i="41"/>
  <c r="E10" i="41"/>
  <c r="D10" i="41"/>
  <c r="C10" i="41"/>
  <c r="B10" i="41"/>
  <c r="P20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P8" i="27"/>
  <c r="O8" i="27"/>
  <c r="N8" i="27"/>
  <c r="M8" i="27"/>
  <c r="L8" i="27"/>
  <c r="K8" i="27"/>
  <c r="J8" i="27"/>
  <c r="I8" i="27"/>
  <c r="H8" i="27"/>
  <c r="G8" i="27"/>
  <c r="F8" i="27"/>
  <c r="E8" i="27"/>
  <c r="D8" i="27"/>
  <c r="C8" i="27"/>
  <c r="B8" i="27"/>
  <c r="P7" i="27"/>
  <c r="O7" i="27"/>
  <c r="N7" i="27"/>
  <c r="M7" i="27"/>
  <c r="L7" i="27"/>
  <c r="K7" i="27"/>
  <c r="J7" i="27"/>
  <c r="I7" i="27"/>
  <c r="H7" i="27"/>
  <c r="G7" i="27"/>
  <c r="F7" i="27"/>
  <c r="E7" i="27"/>
  <c r="D7" i="27"/>
  <c r="C7" i="27"/>
  <c r="B7" i="27"/>
  <c r="L17" i="24"/>
  <c r="K17" i="24"/>
  <c r="J17" i="24"/>
  <c r="I17" i="24"/>
  <c r="H17" i="24"/>
  <c r="G17" i="24"/>
  <c r="F17" i="24"/>
  <c r="E17" i="24"/>
  <c r="D17" i="24"/>
  <c r="C17" i="24"/>
  <c r="B17" i="24"/>
  <c r="L16" i="24"/>
  <c r="K16" i="24"/>
  <c r="J16" i="24"/>
  <c r="I16" i="24"/>
  <c r="H16" i="24"/>
  <c r="G16" i="24"/>
  <c r="F16" i="24"/>
  <c r="E16" i="24"/>
  <c r="D16" i="24"/>
  <c r="C16" i="24"/>
  <c r="B16" i="24"/>
  <c r="L5" i="24"/>
  <c r="K5" i="24"/>
  <c r="J5" i="24"/>
  <c r="I5" i="24"/>
  <c r="H5" i="24"/>
  <c r="G5" i="24"/>
  <c r="F5" i="24"/>
  <c r="E5" i="24"/>
  <c r="D5" i="24"/>
  <c r="C5" i="24"/>
  <c r="B5" i="24"/>
  <c r="L4" i="24"/>
  <c r="K4" i="24"/>
  <c r="J4" i="24"/>
  <c r="I4" i="24"/>
  <c r="H4" i="24"/>
  <c r="G4" i="24"/>
  <c r="F4" i="24"/>
  <c r="E4" i="24"/>
  <c r="D4" i="24"/>
  <c r="C4" i="24"/>
  <c r="B4" i="24"/>
  <c r="L20" i="22"/>
  <c r="K20" i="22"/>
  <c r="J20" i="22"/>
  <c r="I20" i="22"/>
  <c r="H20" i="22"/>
  <c r="G20" i="22"/>
  <c r="F20" i="22"/>
  <c r="E20" i="22"/>
  <c r="D20" i="22"/>
  <c r="C20" i="22"/>
  <c r="B20" i="22"/>
  <c r="L19" i="22"/>
  <c r="K19" i="22"/>
  <c r="J19" i="22"/>
  <c r="I19" i="22"/>
  <c r="H19" i="22"/>
  <c r="G19" i="22"/>
  <c r="F19" i="22"/>
  <c r="E19" i="22"/>
  <c r="D19" i="22"/>
  <c r="C19" i="22"/>
  <c r="B19" i="22"/>
  <c r="L8" i="22"/>
  <c r="K8" i="22"/>
  <c r="J8" i="22"/>
  <c r="I8" i="22"/>
  <c r="H8" i="22"/>
  <c r="G8" i="22"/>
  <c r="F8" i="22"/>
  <c r="E8" i="22"/>
  <c r="D8" i="22"/>
  <c r="C8" i="22"/>
  <c r="B8" i="22"/>
  <c r="L7" i="22"/>
  <c r="K7" i="22"/>
  <c r="J7" i="22"/>
  <c r="I7" i="22"/>
  <c r="H7" i="22"/>
  <c r="G7" i="22"/>
  <c r="F7" i="22"/>
  <c r="E7" i="22"/>
  <c r="D7" i="22"/>
  <c r="C7" i="22"/>
  <c r="B7" i="22"/>
  <c r="L17" i="21"/>
  <c r="K17" i="21"/>
  <c r="J17" i="21"/>
  <c r="I17" i="21"/>
  <c r="H17" i="21"/>
  <c r="G17" i="21"/>
  <c r="F17" i="21"/>
  <c r="E17" i="21"/>
  <c r="D17" i="21"/>
  <c r="C17" i="21"/>
  <c r="B17" i="21"/>
  <c r="L16" i="21"/>
  <c r="K16" i="21"/>
  <c r="J16" i="21"/>
  <c r="I16" i="21"/>
  <c r="H16" i="21"/>
  <c r="G16" i="21"/>
  <c r="F16" i="21"/>
  <c r="E16" i="21"/>
  <c r="D16" i="21"/>
  <c r="C16" i="21"/>
  <c r="B16" i="21"/>
  <c r="L5" i="21"/>
  <c r="K5" i="21"/>
  <c r="J5" i="21"/>
  <c r="I5" i="21"/>
  <c r="H5" i="21"/>
  <c r="G5" i="21"/>
  <c r="F5" i="21"/>
  <c r="E5" i="21"/>
  <c r="D5" i="21"/>
  <c r="C5" i="21"/>
  <c r="B5" i="21"/>
  <c r="L4" i="21"/>
  <c r="K4" i="21"/>
  <c r="J4" i="21"/>
  <c r="I4" i="21"/>
  <c r="H4" i="21"/>
  <c r="G4" i="21"/>
  <c r="F4" i="21"/>
  <c r="E4" i="21"/>
  <c r="D4" i="21"/>
  <c r="C4" i="21"/>
  <c r="B4" i="21"/>
  <c r="L17" i="20"/>
  <c r="K17" i="20"/>
  <c r="J17" i="20"/>
  <c r="I17" i="20"/>
  <c r="H17" i="20"/>
  <c r="G17" i="20"/>
  <c r="F17" i="20"/>
  <c r="E17" i="20"/>
  <c r="D17" i="20"/>
  <c r="C17" i="20"/>
  <c r="B17" i="20"/>
  <c r="L16" i="20"/>
  <c r="K16" i="20"/>
  <c r="J16" i="20"/>
  <c r="I16" i="20"/>
  <c r="H16" i="20"/>
  <c r="G16" i="20"/>
  <c r="F16" i="20"/>
  <c r="E16" i="20"/>
  <c r="D16" i="20"/>
  <c r="C16" i="20"/>
  <c r="B16" i="20"/>
  <c r="L5" i="20"/>
  <c r="K5" i="20"/>
  <c r="J5" i="20"/>
  <c r="I5" i="20"/>
  <c r="H5" i="20"/>
  <c r="G5" i="20"/>
  <c r="F5" i="20"/>
  <c r="E5" i="20"/>
  <c r="D5" i="20"/>
  <c r="C5" i="20"/>
  <c r="B5" i="20"/>
  <c r="L4" i="20"/>
  <c r="K4" i="20"/>
  <c r="J4" i="20"/>
  <c r="I4" i="20"/>
  <c r="H4" i="20"/>
  <c r="G4" i="20"/>
  <c r="F4" i="20"/>
  <c r="E4" i="20"/>
  <c r="D4" i="20"/>
  <c r="C4" i="20"/>
  <c r="B4" i="20"/>
  <c r="L17" i="19"/>
  <c r="K17" i="19"/>
  <c r="J17" i="19"/>
  <c r="I17" i="19"/>
  <c r="H17" i="19"/>
  <c r="G17" i="19"/>
  <c r="F17" i="19"/>
  <c r="E17" i="19"/>
  <c r="D17" i="19"/>
  <c r="C17" i="19"/>
  <c r="B17" i="19"/>
  <c r="L16" i="19"/>
  <c r="K16" i="19"/>
  <c r="J16" i="19"/>
  <c r="I16" i="19"/>
  <c r="H16" i="19"/>
  <c r="G16" i="19"/>
  <c r="F16" i="19"/>
  <c r="E16" i="19"/>
  <c r="D16" i="19"/>
  <c r="C16" i="19"/>
  <c r="B16" i="19"/>
  <c r="L5" i="19"/>
  <c r="K5" i="19"/>
  <c r="J5" i="19"/>
  <c r="I5" i="19"/>
  <c r="H5" i="19"/>
  <c r="G5" i="19"/>
  <c r="F5" i="19"/>
  <c r="E5" i="19"/>
  <c r="D5" i="19"/>
  <c r="C5" i="19"/>
  <c r="B5" i="19"/>
  <c r="L4" i="19"/>
  <c r="K4" i="19"/>
  <c r="J4" i="19"/>
  <c r="I4" i="19"/>
  <c r="H4" i="19"/>
  <c r="G4" i="19"/>
  <c r="F4" i="19"/>
  <c r="E4" i="19"/>
  <c r="D4" i="19"/>
  <c r="C4" i="19"/>
  <c r="B4" i="19"/>
  <c r="L17" i="18"/>
  <c r="K17" i="18"/>
  <c r="J17" i="18"/>
  <c r="I17" i="18"/>
  <c r="H17" i="18"/>
  <c r="G17" i="18"/>
  <c r="F17" i="18"/>
  <c r="E17" i="18"/>
  <c r="D17" i="18"/>
  <c r="C17" i="18"/>
  <c r="B17" i="18"/>
  <c r="L16" i="18"/>
  <c r="K16" i="18"/>
  <c r="J16" i="18"/>
  <c r="I16" i="18"/>
  <c r="H16" i="18"/>
  <c r="G16" i="18"/>
  <c r="F16" i="18"/>
  <c r="E16" i="18"/>
  <c r="D16" i="18"/>
  <c r="C16" i="18"/>
  <c r="B16" i="18"/>
  <c r="L5" i="18"/>
  <c r="K5" i="18"/>
  <c r="J5" i="18"/>
  <c r="I5" i="18"/>
  <c r="H5" i="18"/>
  <c r="G5" i="18"/>
  <c r="F5" i="18"/>
  <c r="E5" i="18"/>
  <c r="D5" i="18"/>
  <c r="C5" i="18"/>
  <c r="B5" i="18"/>
  <c r="L4" i="18"/>
  <c r="K4" i="18"/>
  <c r="J4" i="18"/>
  <c r="I4" i="18"/>
  <c r="H4" i="18"/>
  <c r="G4" i="18"/>
  <c r="F4" i="18"/>
  <c r="E4" i="18"/>
  <c r="D4" i="18"/>
  <c r="C4" i="18"/>
  <c r="B4" i="18"/>
  <c r="L17" i="17"/>
  <c r="K17" i="17"/>
  <c r="J17" i="17"/>
  <c r="I17" i="17"/>
  <c r="H17" i="17"/>
  <c r="G17" i="17"/>
  <c r="F17" i="17"/>
  <c r="E17" i="17"/>
  <c r="D17" i="17"/>
  <c r="C17" i="17"/>
  <c r="B17" i="17"/>
  <c r="L16" i="17"/>
  <c r="K16" i="17"/>
  <c r="J16" i="17"/>
  <c r="I16" i="17"/>
  <c r="H16" i="17"/>
  <c r="G16" i="17"/>
  <c r="F16" i="17"/>
  <c r="E16" i="17"/>
  <c r="D16" i="17"/>
  <c r="C16" i="17"/>
  <c r="B16" i="17"/>
  <c r="L5" i="17"/>
  <c r="K5" i="17"/>
  <c r="J5" i="17"/>
  <c r="I5" i="17"/>
  <c r="H5" i="17"/>
  <c r="G5" i="17"/>
  <c r="F5" i="17"/>
  <c r="E5" i="17"/>
  <c r="D5" i="17"/>
  <c r="C5" i="17"/>
  <c r="B5" i="17"/>
  <c r="L4" i="17"/>
  <c r="K4" i="17"/>
  <c r="J4" i="17"/>
  <c r="I4" i="17"/>
  <c r="H4" i="17"/>
  <c r="G4" i="17"/>
  <c r="F4" i="17"/>
  <c r="E4" i="17"/>
  <c r="D4" i="17"/>
  <c r="C4" i="17"/>
  <c r="B4" i="17"/>
  <c r="L17" i="15"/>
  <c r="K17" i="15"/>
  <c r="J17" i="15"/>
  <c r="I17" i="15"/>
  <c r="H17" i="15"/>
  <c r="G17" i="15"/>
  <c r="F17" i="15"/>
  <c r="E17" i="15"/>
  <c r="D17" i="15"/>
  <c r="C17" i="15"/>
  <c r="B17" i="15"/>
  <c r="L16" i="15"/>
  <c r="K16" i="15"/>
  <c r="J16" i="15"/>
  <c r="I16" i="15"/>
  <c r="H16" i="15"/>
  <c r="G16" i="15"/>
  <c r="F16" i="15"/>
  <c r="E16" i="15"/>
  <c r="D16" i="15"/>
  <c r="C16" i="15"/>
  <c r="B16" i="15"/>
  <c r="L5" i="15"/>
  <c r="K5" i="15"/>
  <c r="J5" i="15"/>
  <c r="I5" i="15"/>
  <c r="H5" i="15"/>
  <c r="G5" i="15"/>
  <c r="F5" i="15"/>
  <c r="E5" i="15"/>
  <c r="D5" i="15"/>
  <c r="C5" i="15"/>
  <c r="B5" i="15"/>
  <c r="L4" i="15"/>
  <c r="K4" i="15"/>
  <c r="J4" i="15"/>
  <c r="I4" i="15"/>
  <c r="H4" i="15"/>
  <c r="G4" i="15"/>
  <c r="F4" i="15"/>
  <c r="E4" i="15"/>
  <c r="D4" i="15"/>
  <c r="C4" i="15"/>
  <c r="B4" i="15"/>
  <c r="L17" i="14"/>
  <c r="K17" i="14"/>
  <c r="J17" i="14"/>
  <c r="I17" i="14"/>
  <c r="H17" i="14"/>
  <c r="G17" i="14"/>
  <c r="F17" i="14"/>
  <c r="E17" i="14"/>
  <c r="D17" i="14"/>
  <c r="C17" i="14"/>
  <c r="B17" i="14"/>
  <c r="L16" i="14"/>
  <c r="K16" i="14"/>
  <c r="J16" i="14"/>
  <c r="I16" i="14"/>
  <c r="H16" i="14"/>
  <c r="G16" i="14"/>
  <c r="F16" i="14"/>
  <c r="E16" i="14"/>
  <c r="D16" i="14"/>
  <c r="C16" i="14"/>
  <c r="B16" i="14"/>
  <c r="L5" i="14"/>
  <c r="K5" i="14"/>
  <c r="J5" i="14"/>
  <c r="I5" i="14"/>
  <c r="H5" i="14"/>
  <c r="G5" i="14"/>
  <c r="F5" i="14"/>
  <c r="E5" i="14"/>
  <c r="D5" i="14"/>
  <c r="C5" i="14"/>
  <c r="B5" i="14"/>
  <c r="L4" i="14"/>
  <c r="K4" i="14"/>
  <c r="J4" i="14"/>
  <c r="I4" i="14"/>
  <c r="H4" i="14"/>
  <c r="G4" i="14"/>
  <c r="F4" i="14"/>
  <c r="E4" i="14"/>
  <c r="D4" i="14"/>
  <c r="C4" i="14"/>
  <c r="B4" i="14"/>
  <c r="L17" i="12"/>
  <c r="K17" i="12"/>
  <c r="J17" i="12"/>
  <c r="I17" i="12"/>
  <c r="H17" i="12"/>
  <c r="G17" i="12"/>
  <c r="F17" i="12"/>
  <c r="E17" i="12"/>
  <c r="D17" i="12"/>
  <c r="C17" i="12"/>
  <c r="B17" i="12"/>
  <c r="L16" i="12"/>
  <c r="K16" i="12"/>
  <c r="J16" i="12"/>
  <c r="I16" i="12"/>
  <c r="H16" i="12"/>
  <c r="G16" i="12"/>
  <c r="F16" i="12"/>
  <c r="E16" i="12"/>
  <c r="D16" i="12"/>
  <c r="C16" i="12"/>
  <c r="B16" i="12"/>
  <c r="L5" i="12"/>
  <c r="K5" i="12"/>
  <c r="J5" i="12"/>
  <c r="I5" i="12"/>
  <c r="H5" i="12"/>
  <c r="G5" i="12"/>
  <c r="F5" i="12"/>
  <c r="E5" i="12"/>
  <c r="D5" i="12"/>
  <c r="C5" i="12"/>
  <c r="B5" i="12"/>
  <c r="L4" i="12"/>
  <c r="K4" i="12"/>
  <c r="J4" i="12"/>
  <c r="I4" i="12"/>
  <c r="H4" i="12"/>
  <c r="G4" i="12"/>
  <c r="F4" i="12"/>
  <c r="E4" i="12"/>
  <c r="D4" i="12"/>
  <c r="C4" i="12"/>
  <c r="B4" i="12"/>
  <c r="L17" i="11"/>
  <c r="K17" i="11"/>
  <c r="J17" i="11"/>
  <c r="I17" i="11"/>
  <c r="H17" i="11"/>
  <c r="G17" i="11"/>
  <c r="F17" i="11"/>
  <c r="E17" i="11"/>
  <c r="D17" i="11"/>
  <c r="C17" i="11"/>
  <c r="B17" i="11"/>
  <c r="L16" i="11"/>
  <c r="K16" i="11"/>
  <c r="J16" i="11"/>
  <c r="I16" i="11"/>
  <c r="H16" i="11"/>
  <c r="G16" i="11"/>
  <c r="F16" i="11"/>
  <c r="E16" i="11"/>
  <c r="D16" i="11"/>
  <c r="C16" i="11"/>
  <c r="B16" i="11"/>
  <c r="L5" i="11"/>
  <c r="K5" i="11"/>
  <c r="J5" i="11"/>
  <c r="I5" i="11"/>
  <c r="H5" i="11"/>
  <c r="G5" i="11"/>
  <c r="F5" i="11"/>
  <c r="E5" i="11"/>
  <c r="D5" i="11"/>
  <c r="C5" i="11"/>
  <c r="B5" i="11"/>
  <c r="L4" i="11"/>
  <c r="K4" i="11"/>
  <c r="J4" i="11"/>
  <c r="I4" i="11"/>
  <c r="H4" i="11"/>
  <c r="G4" i="11"/>
  <c r="F4" i="11"/>
  <c r="E4" i="11"/>
  <c r="D4" i="11"/>
  <c r="C4" i="11"/>
  <c r="B4" i="11"/>
  <c r="L17" i="10"/>
  <c r="K17" i="10"/>
  <c r="J17" i="10"/>
  <c r="I17" i="10"/>
  <c r="H17" i="10"/>
  <c r="G17" i="10"/>
  <c r="F17" i="10"/>
  <c r="E17" i="10"/>
  <c r="D17" i="10"/>
  <c r="C17" i="10"/>
  <c r="B17" i="10"/>
  <c r="L16" i="10"/>
  <c r="K16" i="10"/>
  <c r="J16" i="10"/>
  <c r="I16" i="10"/>
  <c r="H16" i="10"/>
  <c r="G16" i="10"/>
  <c r="F16" i="10"/>
  <c r="E16" i="10"/>
  <c r="D16" i="10"/>
  <c r="C16" i="10"/>
  <c r="B1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17" i="9"/>
  <c r="K17" i="9"/>
  <c r="J17" i="9"/>
  <c r="I17" i="9"/>
  <c r="H17" i="9"/>
  <c r="G17" i="9"/>
  <c r="F17" i="9"/>
  <c r="E17" i="9"/>
  <c r="D17" i="9"/>
  <c r="C17" i="9"/>
  <c r="B17" i="9"/>
  <c r="L16" i="9"/>
  <c r="K16" i="9"/>
  <c r="J16" i="9"/>
  <c r="I16" i="9"/>
  <c r="H16" i="9"/>
  <c r="G16" i="9"/>
  <c r="F16" i="9"/>
  <c r="E16" i="9"/>
  <c r="D16" i="9"/>
  <c r="C16" i="9"/>
  <c r="B1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J17" i="7"/>
  <c r="I17" i="7"/>
  <c r="H17" i="7"/>
  <c r="G17" i="7"/>
  <c r="F17" i="7"/>
  <c r="E17" i="7"/>
  <c r="D17" i="7"/>
  <c r="C17" i="7"/>
  <c r="B17" i="7"/>
  <c r="J16" i="7"/>
  <c r="I16" i="7"/>
  <c r="H16" i="7"/>
  <c r="G16" i="7"/>
  <c r="F16" i="7"/>
  <c r="E16" i="7"/>
  <c r="D16" i="7"/>
  <c r="C16" i="7"/>
  <c r="B16" i="7"/>
  <c r="J5" i="7"/>
  <c r="I5" i="7"/>
  <c r="H5" i="7"/>
  <c r="G5" i="7"/>
  <c r="F5" i="7"/>
  <c r="E5" i="7"/>
  <c r="D5" i="7"/>
  <c r="C5" i="7"/>
  <c r="B5" i="7"/>
  <c r="J4" i="7"/>
  <c r="I4" i="7"/>
  <c r="H4" i="7"/>
  <c r="G4" i="7"/>
  <c r="F4" i="7"/>
  <c r="E4" i="7"/>
  <c r="D4" i="7"/>
  <c r="C4" i="7"/>
  <c r="B4" i="7"/>
  <c r="J17" i="6"/>
  <c r="I17" i="6"/>
  <c r="H17" i="6"/>
  <c r="G17" i="6"/>
  <c r="F17" i="6"/>
  <c r="E17" i="6"/>
  <c r="D17" i="6"/>
  <c r="C17" i="6"/>
  <c r="B17" i="6"/>
  <c r="J16" i="6"/>
  <c r="I16" i="6"/>
  <c r="H16" i="6"/>
  <c r="G16" i="6"/>
  <c r="F16" i="6"/>
  <c r="E16" i="6"/>
  <c r="D16" i="6"/>
  <c r="C16" i="6"/>
  <c r="B16" i="6"/>
  <c r="J5" i="6"/>
  <c r="I5" i="6"/>
  <c r="H5" i="6"/>
  <c r="G5" i="6"/>
  <c r="F5" i="6"/>
  <c r="E5" i="6"/>
  <c r="D5" i="6"/>
  <c r="C5" i="6"/>
  <c r="B5" i="6"/>
  <c r="J4" i="6"/>
  <c r="I4" i="6"/>
  <c r="H4" i="6"/>
  <c r="G4" i="6"/>
  <c r="F4" i="6"/>
  <c r="E4" i="6"/>
  <c r="D4" i="6"/>
  <c r="C4" i="6"/>
  <c r="B4" i="6"/>
  <c r="J17" i="3"/>
  <c r="I17" i="3"/>
  <c r="H17" i="3"/>
  <c r="G17" i="3"/>
  <c r="F17" i="3"/>
  <c r="E17" i="3"/>
  <c r="D17" i="3"/>
  <c r="C17" i="3"/>
  <c r="B17" i="3"/>
  <c r="J16" i="3"/>
  <c r="I16" i="3"/>
  <c r="H16" i="3"/>
  <c r="G16" i="3"/>
  <c r="F16" i="3"/>
  <c r="E16" i="3"/>
  <c r="D16" i="3"/>
  <c r="C16" i="3"/>
  <c r="B16" i="3"/>
  <c r="J5" i="3"/>
  <c r="I5" i="3"/>
  <c r="H5" i="3"/>
  <c r="G5" i="3"/>
  <c r="F5" i="3"/>
  <c r="E5" i="3"/>
  <c r="D5" i="3"/>
  <c r="C5" i="3"/>
  <c r="B5" i="3"/>
  <c r="J4" i="3"/>
  <c r="I4" i="3"/>
  <c r="H4" i="3"/>
  <c r="G4" i="3"/>
  <c r="F4" i="3"/>
  <c r="E4" i="3"/>
  <c r="D4" i="3"/>
  <c r="C4" i="3"/>
  <c r="B4" i="3"/>
  <c r="J17" i="1"/>
  <c r="I17" i="1"/>
  <c r="H17" i="1"/>
  <c r="G17" i="1"/>
  <c r="F17" i="1"/>
  <c r="E17" i="1"/>
  <c r="D17" i="1"/>
  <c r="C17" i="1"/>
  <c r="B17" i="1"/>
  <c r="J16" i="1"/>
  <c r="I16" i="1"/>
  <c r="H16" i="1"/>
  <c r="G16" i="1"/>
  <c r="F16" i="1"/>
  <c r="E16" i="1"/>
  <c r="D16" i="1"/>
  <c r="C16" i="1"/>
  <c r="B16" i="1"/>
  <c r="J5" i="1"/>
  <c r="I5" i="1"/>
  <c r="H5" i="1"/>
  <c r="G5" i="1"/>
  <c r="F5" i="1"/>
  <c r="E5" i="1"/>
  <c r="D5" i="1"/>
  <c r="C5" i="1"/>
  <c r="B5" i="1"/>
  <c r="J4" i="1"/>
  <c r="I4" i="1"/>
  <c r="H4" i="1"/>
  <c r="G4" i="1"/>
  <c r="F4" i="1"/>
  <c r="E4" i="1"/>
  <c r="D4" i="1"/>
  <c r="C4" i="1"/>
  <c r="B4" i="1"/>
  <c r="P43" i="35"/>
  <c r="P44" i="35" s="1"/>
  <c r="M43" i="35"/>
  <c r="M44" i="35" s="1"/>
  <c r="L43" i="35"/>
  <c r="L44" i="35" s="1"/>
  <c r="J43" i="35"/>
  <c r="J44" i="35" s="1"/>
  <c r="I43" i="35"/>
  <c r="I44" i="35" s="1"/>
  <c r="G43" i="35"/>
  <c r="G44" i="35" s="1"/>
  <c r="C43" i="35"/>
  <c r="C44" i="35" s="1"/>
  <c r="O31" i="35"/>
  <c r="K30" i="35"/>
  <c r="F30" i="35"/>
  <c r="P31" i="35"/>
  <c r="P32" i="35" s="1"/>
  <c r="M31" i="35"/>
  <c r="L31" i="35"/>
  <c r="L32" i="35" s="1"/>
  <c r="J31" i="35"/>
  <c r="I31" i="35"/>
  <c r="G31" i="35"/>
  <c r="C31" i="35"/>
  <c r="P30" i="35"/>
  <c r="M30" i="35"/>
  <c r="M32" i="35" s="1"/>
  <c r="L30" i="35"/>
  <c r="J30" i="35"/>
  <c r="I30" i="35"/>
  <c r="G30" i="35"/>
  <c r="C30" i="35"/>
  <c r="P23" i="35"/>
  <c r="P24" i="35" s="1"/>
  <c r="O23" i="35"/>
  <c r="O24" i="35" s="1"/>
  <c r="N23" i="35"/>
  <c r="N24" i="35" s="1"/>
  <c r="M23" i="35"/>
  <c r="M24" i="35" s="1"/>
  <c r="L23" i="35"/>
  <c r="L24" i="35" s="1"/>
  <c r="K23" i="35"/>
  <c r="K24" i="35" s="1"/>
  <c r="J23" i="35"/>
  <c r="J24" i="35" s="1"/>
  <c r="I23" i="35"/>
  <c r="I24" i="35" s="1"/>
  <c r="H23" i="35"/>
  <c r="H24" i="35" s="1"/>
  <c r="G23" i="35"/>
  <c r="G24" i="35" s="1"/>
  <c r="F23" i="35"/>
  <c r="F24" i="35" s="1"/>
  <c r="E23" i="35"/>
  <c r="E24" i="35" s="1"/>
  <c r="D23" i="35"/>
  <c r="D24" i="35" s="1"/>
  <c r="C23" i="35"/>
  <c r="C24" i="35" s="1"/>
  <c r="B23" i="35"/>
  <c r="B24" i="35" s="1"/>
  <c r="P11" i="35"/>
  <c r="O11" i="35"/>
  <c r="N11" i="35"/>
  <c r="M11" i="35"/>
  <c r="L11" i="35"/>
  <c r="K11" i="35"/>
  <c r="J11" i="35"/>
  <c r="I11" i="35"/>
  <c r="H11" i="35"/>
  <c r="G11" i="35"/>
  <c r="F11" i="35"/>
  <c r="E11" i="35"/>
  <c r="D11" i="35"/>
  <c r="C11" i="35"/>
  <c r="B11" i="35"/>
  <c r="P10" i="35"/>
  <c r="P12" i="35" s="1"/>
  <c r="O10" i="35"/>
  <c r="N10" i="35"/>
  <c r="M10" i="35"/>
  <c r="L10" i="35"/>
  <c r="L12" i="35" s="1"/>
  <c r="K10" i="35"/>
  <c r="J10" i="35"/>
  <c r="I10" i="35"/>
  <c r="I12" i="35" s="1"/>
  <c r="H10" i="35"/>
  <c r="G10" i="35"/>
  <c r="F10" i="35"/>
  <c r="E10" i="35"/>
  <c r="D10" i="35"/>
  <c r="C10" i="35"/>
  <c r="C12" i="35" s="1"/>
  <c r="B10" i="35"/>
  <c r="G12" i="35" l="1"/>
  <c r="J12" i="35"/>
  <c r="M12" i="35"/>
  <c r="G32" i="35"/>
  <c r="I32" i="35"/>
  <c r="J32" i="35"/>
  <c r="C32" i="35"/>
  <c r="B31" i="35"/>
  <c r="N31" i="35"/>
  <c r="D31" i="35"/>
  <c r="H31" i="35"/>
  <c r="N30" i="35"/>
  <c r="H30" i="35"/>
  <c r="D30" i="35"/>
  <c r="F31" i="35"/>
  <c r="F32" i="35" s="1"/>
  <c r="E31" i="35"/>
  <c r="F12" i="35"/>
  <c r="O12" i="35"/>
  <c r="N12" i="35"/>
  <c r="K12" i="35"/>
  <c r="K31" i="35"/>
  <c r="K32" i="35" s="1"/>
  <c r="H12" i="35"/>
  <c r="E12" i="35"/>
  <c r="D12" i="35"/>
  <c r="B12" i="35"/>
  <c r="O30" i="35"/>
  <c r="O32" i="35" s="1"/>
  <c r="E30" i="35"/>
  <c r="O43" i="35"/>
  <c r="O44" i="35" s="1"/>
  <c r="N43" i="35"/>
  <c r="N44" i="35" s="1"/>
  <c r="K43" i="35"/>
  <c r="K44" i="35" s="1"/>
  <c r="H43" i="35"/>
  <c r="H44" i="35" s="1"/>
  <c r="F43" i="35"/>
  <c r="F44" i="35" s="1"/>
  <c r="E43" i="35"/>
  <c r="E44" i="35" s="1"/>
  <c r="B43" i="35"/>
  <c r="B44" i="35" s="1"/>
  <c r="D43" i="35"/>
  <c r="D44" i="35" s="1"/>
  <c r="B30" i="35"/>
  <c r="N32" i="35" l="1"/>
  <c r="D32" i="35"/>
  <c r="B32" i="35"/>
  <c r="H32" i="35"/>
  <c r="E32" i="35"/>
</calcChain>
</file>

<file path=xl/connections.xml><?xml version="1.0" encoding="utf-8"?>
<connections xmlns="http://schemas.openxmlformats.org/spreadsheetml/2006/main">
  <connection id="1" name="Connection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" name="Connection1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" name="Connection10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" name="Connection11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" name="Connection12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" name="Connection13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7" name="Connection14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8" name="Connection15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9" name="Connection16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" name="Connection17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1" name="Connection18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2" name="Connection19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3" name="Connection2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4" name="Connection20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5" name="Connection21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6" name="Connection22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7" name="Connection23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8" name="Connection24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9" name="Connection25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0" name="Connection26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1" name="Connection27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2" name="Connection28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3" name="Connection29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4" name="Connection3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5" name="Connection30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6" name="Connection31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7" name="Connection32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8" name="Connection33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9" name="Connection34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0" name="Connection4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1" name="Connection5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2" name="Connection6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3" name="Connection7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4" name="Connection8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5" name="Connection9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</connections>
</file>

<file path=xl/sharedStrings.xml><?xml version="1.0" encoding="utf-8"?>
<sst xmlns="http://schemas.openxmlformats.org/spreadsheetml/2006/main" count="8426" uniqueCount="452">
  <si>
    <t>Goal</t>
  </si>
  <si>
    <t>Front Half</t>
  </si>
  <si>
    <t>Back Half</t>
  </si>
  <si>
    <t xml:space="preserve">Previous Week Average </t>
  </si>
  <si>
    <t>Current Week Average</t>
  </si>
  <si>
    <t xml:space="preserve">WoW Improvement </t>
  </si>
  <si>
    <t>Receive Dock</t>
  </si>
  <si>
    <t>LP Receive</t>
  </si>
  <si>
    <t>Stow</t>
  </si>
  <si>
    <t>Pick</t>
  </si>
  <si>
    <t>TO Dock</t>
  </si>
  <si>
    <t>IB Total</t>
  </si>
  <si>
    <t xml:space="preserve">TO Total </t>
  </si>
  <si>
    <t>Inbound</t>
  </si>
  <si>
    <t>Trans Out</t>
  </si>
  <si>
    <t>UPC</t>
  </si>
  <si>
    <r>
      <t xml:space="preserve">Before you send this out, is everything the right color? </t>
    </r>
    <r>
      <rPr>
        <b/>
        <sz val="11"/>
        <color theme="1"/>
        <rFont val="Calibri"/>
        <family val="2"/>
        <scheme val="minor"/>
      </rPr>
      <t>Stop sending this out like a dingus.</t>
    </r>
    <r>
      <rPr>
        <sz val="11"/>
        <color theme="1"/>
        <rFont val="Calibri"/>
        <family val="2"/>
        <scheme val="minor"/>
      </rPr>
      <t xml:space="preserve"> 
Don't forget to </t>
    </r>
    <r>
      <rPr>
        <b/>
        <sz val="11"/>
        <color theme="1"/>
        <rFont val="Calibri"/>
        <family val="2"/>
        <scheme val="minor"/>
      </rPr>
      <t xml:space="preserve">copy the previous weeks average </t>
    </r>
    <r>
      <rPr>
        <sz val="11"/>
        <color theme="1"/>
        <rFont val="Calibri"/>
        <family val="2"/>
        <scheme val="minor"/>
      </rPr>
      <t xml:space="preserve">when you start a new week!! 
</t>
    </r>
  </si>
  <si>
    <t>Stow Volume</t>
  </si>
  <si>
    <t xml:space="preserve">Pick Volume </t>
  </si>
  <si>
    <t>Receive Volume</t>
  </si>
  <si>
    <t>Time at Bin</t>
  </si>
  <si>
    <t>Time at bin</t>
  </si>
  <si>
    <t>TOT%</t>
  </si>
  <si>
    <t>TO total</t>
  </si>
  <si>
    <t>Pick Rate</t>
  </si>
  <si>
    <t>IB CPLH</t>
  </si>
  <si>
    <t>OB CPLH</t>
  </si>
  <si>
    <t>Absolute difference</t>
  </si>
  <si>
    <t>* Wednesday is considered to be Front Half this week</t>
  </si>
  <si>
    <t>*Wednesday is considered to be Back Half this week</t>
  </si>
  <si>
    <t>OR/AND</t>
  </si>
  <si>
    <t>KRB1</t>
  </si>
  <si>
    <t>Building</t>
  </si>
  <si>
    <t xml:space="preserve"> </t>
  </si>
  <si>
    <t>Report</t>
  </si>
  <si>
    <t>Line Number</t>
  </si>
  <si>
    <t>LineItem Id</t>
  </si>
  <si>
    <t>LineItem Name</t>
  </si>
  <si>
    <t>Main Process</t>
  </si>
  <si>
    <t>Core Process</t>
  </si>
  <si>
    <t>Unit Type</t>
  </si>
  <si>
    <t>Actual Volume</t>
  </si>
  <si>
    <t>Actual Hours</t>
  </si>
  <si>
    <t>Actual Rate</t>
  </si>
  <si>
    <t>Plan Productivity</t>
  </si>
  <si>
    <t>Hours @ Plan Rate</t>
  </si>
  <si>
    <t>Plan Variance (Hrs)</t>
  </si>
  <si>
    <t>% to Plan</t>
  </si>
  <si>
    <t>YOY Baseline Volume</t>
  </si>
  <si>
    <t>YOY Rate</t>
  </si>
  <si>
    <t>YOY Vol / Actual Rate (Hrs)</t>
  </si>
  <si>
    <t>YOY Vol / PY Rate (Hrs)</t>
  </si>
  <si>
    <t>YOY %</t>
  </si>
  <si>
    <t>DETAIL_PPR</t>
  </si>
  <si>
    <t>ppr.detail.inbound.receive.receiveDock</t>
  </si>
  <si>
    <t>Receive</t>
  </si>
  <si>
    <t>-</t>
  </si>
  <si>
    <t>ppr.detail.inbound.receive.eachReceive.small</t>
  </si>
  <si>
    <t>Each Receive - Small</t>
  </si>
  <si>
    <t>EACH</t>
  </si>
  <si>
    <t>ppr.detail.inbound.receive.eachReceive.medium</t>
  </si>
  <si>
    <t>Each Receive - Medium</t>
  </si>
  <si>
    <t>ppr.detail.inbound.receive.eachReceive.large</t>
  </si>
  <si>
    <t>Each Receive - Large</t>
  </si>
  <si>
    <t>ppr.detail.inbound.receive.eachReceive.heavyBulky</t>
  </si>
  <si>
    <t>Each Receive - Heavy/Bulky</t>
  </si>
  <si>
    <t>ppr.detail.inbound.receive.eachReceive.total</t>
  </si>
  <si>
    <t>Each Receive - Total</t>
  </si>
  <si>
    <t>ppr.detail.inbound.receive.eachToBin.small</t>
  </si>
  <si>
    <t>Each To Bin - Small</t>
  </si>
  <si>
    <t>ppr.detail.inbound.receive.eachToBin.medium</t>
  </si>
  <si>
    <t>Each To Bin - Medium</t>
  </si>
  <si>
    <t>ppr.detail.inbound.receive.eachToBin.large</t>
  </si>
  <si>
    <t>Each To Bin - Large</t>
  </si>
  <si>
    <t>ppr.detail.inbound.receive.eachToBin.heavyBulky</t>
  </si>
  <si>
    <t>Each To Bin - Heavy/Bulky</t>
  </si>
  <si>
    <t>ppr.detail.inbound.receive.eachToBin.total</t>
  </si>
  <si>
    <t>Each To Bin - Total</t>
  </si>
  <si>
    <t>ppr.detail.inbound.receive.caseReceive</t>
  </si>
  <si>
    <t>Case Receive</t>
  </si>
  <si>
    <t>Case</t>
  </si>
  <si>
    <t>ppr.detail.inbound.receive.lpReceive</t>
  </si>
  <si>
    <t>ppr.detail.inbound.receive.palletReceive</t>
  </si>
  <si>
    <t>Pallet Receive</t>
  </si>
  <si>
    <t>Pallet</t>
  </si>
  <si>
    <t>ppr.detail.inbound.receive.receiveSupport</t>
  </si>
  <si>
    <t>Receive Support</t>
  </si>
  <si>
    <t>ppr.detail.inbound.receive.receiveTotal</t>
  </si>
  <si>
    <t>Receive - Total</t>
  </si>
  <si>
    <t>ppr.detail.inbound.transferInAndStow.transferInDecant</t>
  </si>
  <si>
    <t>Transfer In Decant</t>
  </si>
  <si>
    <t>Transfer In and Stow</t>
  </si>
  <si>
    <t>ppr.detail.inbound.transferInAndStow.eachTransferIn.small</t>
  </si>
  <si>
    <t>Each Transfer In - Small</t>
  </si>
  <si>
    <t>ppr.detail.inbound.transferInAndStow.eachTransferIn.medium</t>
  </si>
  <si>
    <t>Each Transfer In - Medium</t>
  </si>
  <si>
    <t>ppr.detail.inbound.transferInAndStow.eachTransferIn.large</t>
  </si>
  <si>
    <t>Each Transfer In - Large</t>
  </si>
  <si>
    <t>ppr.detail.inbound.transferInAndStow.eachTransferIn.heavyBulky</t>
  </si>
  <si>
    <t>Each Transfer In - Heavy/Bulky</t>
  </si>
  <si>
    <t>ppr.detail.inbound.transferInAndStow.eachTransferIn.total</t>
  </si>
  <si>
    <t>Each Transfer In - Total</t>
  </si>
  <si>
    <t>ppr.detail.inbound.transferInAndStow.caseTransferIn</t>
  </si>
  <si>
    <t>Case Transfer In</t>
  </si>
  <si>
    <t>ppr.detail.inbound.transferInAndStow.palletTransferIn</t>
  </si>
  <si>
    <t>Pallet Transfer In</t>
  </si>
  <si>
    <t>ppr.detail.inbound.transferInAndStow.transferInSupport</t>
  </si>
  <si>
    <t>Transfer In Support</t>
  </si>
  <si>
    <t>ppr.detail.inbound.transferInAndStow.transferInTotal</t>
  </si>
  <si>
    <t>Transfer In - Total</t>
  </si>
  <si>
    <t>ppr.detail.inbound.ibPrep.cubiscan</t>
  </si>
  <si>
    <t>Cubiscan</t>
  </si>
  <si>
    <t>IB Prep</t>
  </si>
  <si>
    <t>ppr.detail.inbound.ibPrep.sampleCenter</t>
  </si>
  <si>
    <t>Sample Center</t>
  </si>
  <si>
    <t>ppr.detail.inbound.ibPrep.prepRecorder.small</t>
  </si>
  <si>
    <t>Prep Recorder - Small</t>
  </si>
  <si>
    <t>ppr.detail.inbound.ibPrep.prepRecorder.medium</t>
  </si>
  <si>
    <t>Prep Recorder - Medium</t>
  </si>
  <si>
    <t>ppr.detail.inbound.ibPrep.prepRecorder.large</t>
  </si>
  <si>
    <t>Prep Recorder - Large</t>
  </si>
  <si>
    <t>ppr.detail.inbound.ibPrep.prepRecorder.heavyBulky</t>
  </si>
  <si>
    <t>Prep Recorder - Heavy/Bulky</t>
  </si>
  <si>
    <t>ppr.detail.inbound.ibPrep.prepRecorder.total</t>
  </si>
  <si>
    <t>Prep Recorder - Total</t>
  </si>
  <si>
    <t>ppr.detail.inbound.ibPrep.prepSupport</t>
  </si>
  <si>
    <t>Prep Support</t>
  </si>
  <si>
    <t>ppr.detail.inbound.ibPrep.ibPrep.total</t>
  </si>
  <si>
    <t>Prep - Total</t>
  </si>
  <si>
    <t>ppr.detail.inbound.stowToPrime.eachStowToPrime.small</t>
  </si>
  <si>
    <t>Each Stow To Prime - Small</t>
  </si>
  <si>
    <t>Stow to Prime</t>
  </si>
  <si>
    <t>ppr.detail.inbound.stowToPrime.eachStowToPrime.medium</t>
  </si>
  <si>
    <t>Each Stow To Prime - Medium</t>
  </si>
  <si>
    <t>ppr.detail.inbound.stowToPrime.eachStowToPrime.large</t>
  </si>
  <si>
    <t>Each Stow To Prime - Large</t>
  </si>
  <si>
    <t>ppr.detail.inbound.stowToPrime.eachStowToPrime.heavyBulky</t>
  </si>
  <si>
    <t>Each Stow To Prime - Heavy/Bulky</t>
  </si>
  <si>
    <t>ppr.detail.inbound.stowToPrime.eachStowToPrime.total</t>
  </si>
  <si>
    <t>Each Stow to Prime - Total</t>
  </si>
  <si>
    <t>ppr.detail.inbound.stowToPrime.caseStowToPrime</t>
  </si>
  <si>
    <t>Case Stow to Prime</t>
  </si>
  <si>
    <t>ppr.detail.inbound.stowToPrime.palletStowToPrime</t>
  </si>
  <si>
    <t>Pallet Stow to Prime</t>
  </si>
  <si>
    <t>ppr.detail.inbound.stowToPrime.stowToPrimeSupport</t>
  </si>
  <si>
    <t>Stow to Prime Support</t>
  </si>
  <si>
    <t>ppr.detail.inbound.stowToPrime.stowToPrimeTotal</t>
  </si>
  <si>
    <t>Stow to Prime - Total</t>
  </si>
  <si>
    <t>ppr.detail.inbound.rsr.caseStowToReserve</t>
  </si>
  <si>
    <t>Case Stow to Reserve</t>
  </si>
  <si>
    <t>RSR</t>
  </si>
  <si>
    <t>ppr.detail.inbound.rsr.caseReplenishment</t>
  </si>
  <si>
    <t>Case Replenishment</t>
  </si>
  <si>
    <t>CASE</t>
  </si>
  <si>
    <t>ppr.detail.inbound.rsr.palletStowToReserve</t>
  </si>
  <si>
    <t>Pallet Stow Reserve</t>
  </si>
  <si>
    <t>ppr.detail.inbound.rsr.palletReplenishment</t>
  </si>
  <si>
    <t>Pallet Replenishment</t>
  </si>
  <si>
    <t>PALLET</t>
  </si>
  <si>
    <t>ppr.detail.inbound.rsr.rsrSupport</t>
  </si>
  <si>
    <t>RSR Support</t>
  </si>
  <si>
    <t>ppr.detail.inbound.rsr.rsrTotal</t>
  </si>
  <si>
    <t>RSR - Total</t>
  </si>
  <si>
    <t>ppr.detail.inbound.ibLeadPa.ibLeadPa</t>
  </si>
  <si>
    <t>IB Lead/PA</t>
  </si>
  <si>
    <t>ppr.detail.inbound.ibDefect.ibProblemSolve</t>
  </si>
  <si>
    <t>IB Problem Solve</t>
  </si>
  <si>
    <t>IB Defect</t>
  </si>
  <si>
    <t>ppr.detail.inbound.inbound.total</t>
  </si>
  <si>
    <t>TOTAL</t>
  </si>
  <si>
    <t>ppr.detail.da.rcStow.rcCaseStow</t>
  </si>
  <si>
    <t>RC Case Stow</t>
  </si>
  <si>
    <t>DA - Building to Building Transfer</t>
  </si>
  <si>
    <t>RC Stow</t>
  </si>
  <si>
    <t>ppr.detail.da.rcStow.rcPalletStow</t>
  </si>
  <si>
    <t>RC Pallet Stow</t>
  </si>
  <si>
    <t>ppr.detail.da.rcPick.rcPickLibrary</t>
  </si>
  <si>
    <t>RC Pick - Library</t>
  </si>
  <si>
    <t>RC Pick</t>
  </si>
  <si>
    <t>ppr.detail.da.rcPick.rcPickPalletRack</t>
  </si>
  <si>
    <t>RC Pick - Pallet Rack</t>
  </si>
  <si>
    <t>ppr.detail.da.rcSort.rcSortCases</t>
  </si>
  <si>
    <t>RC Presort Cases</t>
  </si>
  <si>
    <t>RC Sort</t>
  </si>
  <si>
    <t>ppr.detail.da.rcSort.rcSort.small</t>
  </si>
  <si>
    <t>RC Sort - Small</t>
  </si>
  <si>
    <t>ppr.detail.da.rcSort.rcSort.medium</t>
  </si>
  <si>
    <t>RC Sort - Medium</t>
  </si>
  <si>
    <t>ppr.detail.da.rcSort.rcSort.large</t>
  </si>
  <si>
    <t>RC Sort - Large</t>
  </si>
  <si>
    <t>ppr.detail.da.rcSort.rcSort.heavyBulky</t>
  </si>
  <si>
    <t>RC Sort - Heavy/Bulky</t>
  </si>
  <si>
    <t>ppr.detail.da.rcSort.rcSort.total</t>
  </si>
  <si>
    <t>RC Sort - Total</t>
  </si>
  <si>
    <t>ppr.detail.da.rcPick.transferOutPick.small</t>
  </si>
  <si>
    <t>Transfer Out Pick - Small</t>
  </si>
  <si>
    <t>Transfer Out Pick</t>
  </si>
  <si>
    <t>ppr.detail.da.rcPick.transferOutPick.medium</t>
  </si>
  <si>
    <t>Transfer Out Pick - Medium</t>
  </si>
  <si>
    <t>ppr.detail.da.rcPick.transferOutPick.large</t>
  </si>
  <si>
    <t>Transfer Out Pick - Large</t>
  </si>
  <si>
    <t>ppr.detail.da.rcPick.transferOutPick.heavyBulky</t>
  </si>
  <si>
    <t>Transfer Out Pick - Heavy/Bulky</t>
  </si>
  <si>
    <t>ppr.detail.da.rcPick.transferOutPick.total</t>
  </si>
  <si>
    <t>Transfer Out Pick - Total</t>
  </si>
  <si>
    <t>ppr.detail.da.transferOut.transferOut</t>
  </si>
  <si>
    <t>Transfer Out</t>
  </si>
  <si>
    <t>ppr.detail.da.transferOutDock.transferOutDock</t>
  </si>
  <si>
    <t>Transfer Out Dock</t>
  </si>
  <si>
    <t>ppr.detail.da.toLeadPa.toLeadPa</t>
  </si>
  <si>
    <t>TO Lead/PA</t>
  </si>
  <si>
    <t>ppr.detail.da.toDefect.toProblemSolve</t>
  </si>
  <si>
    <t>TO Problem Solve</t>
  </si>
  <si>
    <t>TO Defect</t>
  </si>
  <si>
    <t>ppr.detail.da.da.total</t>
  </si>
  <si>
    <t>DA Bldg to Bldg Transfer TOTAL</t>
  </si>
  <si>
    <t>ppr.detail.outbound.pick.pick.small</t>
  </si>
  <si>
    <t>Pick - Small</t>
  </si>
  <si>
    <t>Outbound</t>
  </si>
  <si>
    <t>ppr.detail.outbound.pick.pick.medium</t>
  </si>
  <si>
    <t>Pick - Medium</t>
  </si>
  <si>
    <t>ppr.detail.outbound.pick.pick.large</t>
  </si>
  <si>
    <t>Pick - Large</t>
  </si>
  <si>
    <t>ppr.detail.outbound.pick.pick.heavyBulky</t>
  </si>
  <si>
    <t>Pick - Heavy/Bulky</t>
  </si>
  <si>
    <t>ppr.detail.outbound.pick.pick.total</t>
  </si>
  <si>
    <t>Pick - Total</t>
  </si>
  <si>
    <t>ppr.detail.outbound.pick.pickSupport</t>
  </si>
  <si>
    <t>Pick Support</t>
  </si>
  <si>
    <t>ppr.detail.outbound.pick.pick.grossTotal</t>
  </si>
  <si>
    <t>Pick Total (Incl. Support)</t>
  </si>
  <si>
    <t>ppr.detail.outbound.sort.batchSort.small</t>
  </si>
  <si>
    <t>Batch Sort - Small</t>
  </si>
  <si>
    <t>Sort</t>
  </si>
  <si>
    <t>ppr.detail.outbound.sort.batchSort.medium</t>
  </si>
  <si>
    <t>Batch Sort - Medium</t>
  </si>
  <si>
    <t>ppr.detail.outbound.sort.batchSort.large</t>
  </si>
  <si>
    <t>Batch Sort - Large</t>
  </si>
  <si>
    <t>ppr.detail.outbound.sort.batchSort.heavyBulky</t>
  </si>
  <si>
    <t>Batch Sort - Heavy/Bulky</t>
  </si>
  <si>
    <t>ppr.detail.outbound.sort.batchSort.total</t>
  </si>
  <si>
    <t>Batch Sort - Total</t>
  </si>
  <si>
    <t>ppr.detail.outbound.sort.flowSort.small</t>
  </si>
  <si>
    <t>Flow Sort - Small</t>
  </si>
  <si>
    <t>ppr.detail.outbound.sort.flowSort.medium</t>
  </si>
  <si>
    <t>Flow Sort - Medium</t>
  </si>
  <si>
    <t>ppr.detail.outbound.sort.flowSort.large</t>
  </si>
  <si>
    <t>Flow Sort - Large</t>
  </si>
  <si>
    <t>ppr.detail.outbound.sort.flowSort.heavyBulky</t>
  </si>
  <si>
    <t>Flow Sort - Heavy/Bulky</t>
  </si>
  <si>
    <t>ppr.detail.outbound.sort.flowSort.total</t>
  </si>
  <si>
    <t>Flow Sort - Total</t>
  </si>
  <si>
    <t>ppr.detail.outbound.sort.sortSupport</t>
  </si>
  <si>
    <t>Sort Support</t>
  </si>
  <si>
    <t>ppr.detail.outbound.sort.sort.total</t>
  </si>
  <si>
    <t>Sort - Total</t>
  </si>
  <si>
    <t>ppr.detail.outbound.pack.chuting.small</t>
  </si>
  <si>
    <t>Chutings - Small</t>
  </si>
  <si>
    <t>Pack</t>
  </si>
  <si>
    <t>ppr.detail.outbound.pack.chuting.medium</t>
  </si>
  <si>
    <t>Chutings - Medium</t>
  </si>
  <si>
    <t>ppr.detail.outbound.pack.chuting.large</t>
  </si>
  <si>
    <t>Chutings - Large</t>
  </si>
  <si>
    <t>ppr.detail.outbound.pack.chuting.heavyBulky</t>
  </si>
  <si>
    <t>Chutings - Heavy/Bulky</t>
  </si>
  <si>
    <t>ppr.detail.outbound.pack.chuting.total</t>
  </si>
  <si>
    <t>Pack Chuting - Total</t>
  </si>
  <si>
    <t>ppr.detail.outbound.pack.autoSlam</t>
  </si>
  <si>
    <t>Auto Slam</t>
  </si>
  <si>
    <t>Package</t>
  </si>
  <si>
    <t>ppr.detail.outbound.pack.packAutobox</t>
  </si>
  <si>
    <t>Pack - Autobox</t>
  </si>
  <si>
    <t>ppr.detail.outbound.pack.packLevAutofold</t>
  </si>
  <si>
    <t>Pack - Lev/Autofold</t>
  </si>
  <si>
    <t>ppr.detail.outbound.pack.packSingle.small</t>
  </si>
  <si>
    <t>Pack Singles - Small</t>
  </si>
  <si>
    <t>ppr.detail.outbound.pack.packSingle.medium</t>
  </si>
  <si>
    <t>Pack Singles - Medium</t>
  </si>
  <si>
    <t>ppr.detail.outbound.pack.packSingle.large</t>
  </si>
  <si>
    <t>Pack Singles - Large</t>
  </si>
  <si>
    <t>ppr.detail.outbound.pack.packSingle.heavyBulky</t>
  </si>
  <si>
    <t>Pack Singles - Heavy/Bulky</t>
  </si>
  <si>
    <t>ppr.detail.outbound.pack.packSingle.total</t>
  </si>
  <si>
    <t>Pack Singles - Total</t>
  </si>
  <si>
    <t>ppr.detail.outbound.pack.packMultis.small</t>
  </si>
  <si>
    <t>Pack Multis - Small</t>
  </si>
  <si>
    <t>ppr.detail.outbound.pack.packMultis.medium</t>
  </si>
  <si>
    <t>Pack Multis - Medium</t>
  </si>
  <si>
    <t>ppr.detail.outbound.pack.packMultis.large</t>
  </si>
  <si>
    <t>Pack Multis - Large</t>
  </si>
  <si>
    <t>ppr.detail.outbound.pack.packMultis.heavyBulky</t>
  </si>
  <si>
    <t>Pack Multis - Heavy/Bulky</t>
  </si>
  <si>
    <t>ppr.detail.outbound.pack.packMultis.total</t>
  </si>
  <si>
    <t>Pack Multis - Total</t>
  </si>
  <si>
    <t>ppr.detail.outbound.pack.packSupport</t>
  </si>
  <si>
    <t>Pack Support</t>
  </si>
  <si>
    <t>ppr.detail.outbound.outboundPrep.giftwrap</t>
  </si>
  <si>
    <t>Giftwrap</t>
  </si>
  <si>
    <t>Outbound Prep</t>
  </si>
  <si>
    <t>ppr.detail.outbound.outboundPrep.partnerPrep</t>
  </si>
  <si>
    <t>Partner Prep</t>
  </si>
  <si>
    <t>ppr.detail.outbound.outboundPrep.libraryServices</t>
  </si>
  <si>
    <t>Library Services</t>
  </si>
  <si>
    <t>ppr.detail.outbound.outboundPrep.customPackaging</t>
  </si>
  <si>
    <t>Custom Packaging</t>
  </si>
  <si>
    <t>ppr.detail.outbound.outboundPrep.packAndOBPrepTotal</t>
  </si>
  <si>
    <t>Pack and OB Prep Total</t>
  </si>
  <si>
    <t>ppr.detail.outbound.obLeadPA.obLeadPA</t>
  </si>
  <si>
    <t>OB Lead/PA</t>
  </si>
  <si>
    <t>ppr.detail.outbound.obDefect.obProblemSolve</t>
  </si>
  <si>
    <t>OB Problem Solve</t>
  </si>
  <si>
    <t>OB Defect</t>
  </si>
  <si>
    <t>ppr.detail.outbound.ship.shipDock</t>
  </si>
  <si>
    <t>Ship Dock</t>
  </si>
  <si>
    <t>Ship</t>
  </si>
  <si>
    <t>ppr.detail.outbound.outbound.total</t>
  </si>
  <si>
    <t>OB TOTAL</t>
  </si>
  <si>
    <t>ppr.detail.reverseLogistics.cReturn.cReturnProcessed.small</t>
  </si>
  <si>
    <t>C-Returns Processed - Small</t>
  </si>
  <si>
    <t>Reverse Logistics</t>
  </si>
  <si>
    <t>C-Return</t>
  </si>
  <si>
    <t>ppr.detail.reverseLogistics.cReturn.cReturnProcessed.medium</t>
  </si>
  <si>
    <t>C-Returns Processed - Medium</t>
  </si>
  <si>
    <t>ppr.detail.reverseLogistics.cReturn.cReturnProcessed.large</t>
  </si>
  <si>
    <t>C-Returns Processed - Large</t>
  </si>
  <si>
    <t>ppr.detail.reverseLogistics.cReturn.cReturnProcessed.heavyBulky</t>
  </si>
  <si>
    <t>C-Returns Processed - Heavy/Bulky</t>
  </si>
  <si>
    <t>ppr.detail.reverseLogistics.cReturn.cReturnProcessed.total</t>
  </si>
  <si>
    <t>C-Return Processed - Total</t>
  </si>
  <si>
    <t>ppr.detail.reverseLogistics.cReturn.cReturnStow.small</t>
  </si>
  <si>
    <t>C-Return Stow - Small</t>
  </si>
  <si>
    <t>ppr.detail.reverseLogistics.cReturn.cReturnStow.medium</t>
  </si>
  <si>
    <t>C-Return Stow - Medium</t>
  </si>
  <si>
    <t>ppr.detail.reverseLogistics.cReturn.cReturnStow.large</t>
  </si>
  <si>
    <t>C-Return Stow - Large</t>
  </si>
  <si>
    <t>ppr.detail.reverseLogistics.cReturn.cReturnStow.heavyBulky</t>
  </si>
  <si>
    <t>C-Return Stow - Heavy/Bulky</t>
  </si>
  <si>
    <t>ppr.detail.reverseLogistics.cReturn.cReturnStow.total</t>
  </si>
  <si>
    <t>C-Return Stow - Total</t>
  </si>
  <si>
    <t>ppr.detail.reverseLogistics.cReturn.cReturnSupport</t>
  </si>
  <si>
    <t>C-Return Support</t>
  </si>
  <si>
    <t>ppr.detail.reverseLogistics.cReturn.customerReturns.total</t>
  </si>
  <si>
    <t>Customer Returns - Total</t>
  </si>
  <si>
    <t>ppr.detail.reverseLogistics.vReturn.vReturnPick.small</t>
  </si>
  <si>
    <t>V-Return Pick - Small</t>
  </si>
  <si>
    <t>V-Return</t>
  </si>
  <si>
    <t>ppr.detail.reverseLogistics.vReturn.vReturnPick.medium</t>
  </si>
  <si>
    <t>V-Return Pick - Medium</t>
  </si>
  <si>
    <t>ppr.detail.reverseLogistics.vReturn.vReturnPick.large</t>
  </si>
  <si>
    <t>V-Return Pick - Large</t>
  </si>
  <si>
    <t>ppr.detail.reverseLogistics.vReturn.vReturnPick.heavyBulky</t>
  </si>
  <si>
    <t>V-Return Pick - Heavy/Bulky</t>
  </si>
  <si>
    <t>ppr.detail.reverseLogistics.vReturn.vReturnPick.total</t>
  </si>
  <si>
    <t>V-Return Pick - Total</t>
  </si>
  <si>
    <t>ppr.detail.reverseLogistics.vReturn.vReturnPack.small</t>
  </si>
  <si>
    <t>V-Return Pack - Small</t>
  </si>
  <si>
    <t>ppr.detail.reverseLogistics.vReturn.vReturnPack.medium</t>
  </si>
  <si>
    <t>V-Return Pack - Medium</t>
  </si>
  <si>
    <t>ppr.detail.reverseLogistics.vReturn.vReturnPack.large</t>
  </si>
  <si>
    <t>V-Return Pack - Large</t>
  </si>
  <si>
    <t>ppr.detail.reverseLogistics.vReturn.vReturnPack.heavyBulky</t>
  </si>
  <si>
    <t>V-Return Pack - Heavy/Bulky</t>
  </si>
  <si>
    <t>ppr.detail.reverseLogistics.vReturn.vReturnPack.total</t>
  </si>
  <si>
    <t>V-Return Pack - Total</t>
  </si>
  <si>
    <t>ppr.detail.reverseLogistics.vReturn.vReturnSupport</t>
  </si>
  <si>
    <t>V-Return Support</t>
  </si>
  <si>
    <t>ppr.detail.reverseLogistics.vReturn.vendorReturns.total</t>
  </si>
  <si>
    <t>Vendor Returns - Total</t>
  </si>
  <si>
    <t>ppr.detail.reverseLogistics.whseDeals.whdGrading</t>
  </si>
  <si>
    <t>WHD Grading</t>
  </si>
  <si>
    <t>Warehouse Deals</t>
  </si>
  <si>
    <t>ppr.detail.reverseLogistics.whseDeals.whdSpecialtyGrading</t>
  </si>
  <si>
    <t>WHD Specialty Grading</t>
  </si>
  <si>
    <t>ppr.detail.reverseLogistics.whseDeals.whdSupport</t>
  </si>
  <si>
    <t>WHD Support</t>
  </si>
  <si>
    <t>ppr.detail.reverseLogistics.whseDeals.whseDeals.total</t>
  </si>
  <si>
    <t>Warehouse Deals - Total</t>
  </si>
  <si>
    <t>ppr.detail.reverseLogistics.externalRepair.externalRepairPrep</t>
  </si>
  <si>
    <t>External Repair Prep</t>
  </si>
  <si>
    <t>External Repairs</t>
  </si>
  <si>
    <t>ppr.detail.reverseLogistics.externalRepair.externalRepairSupport</t>
  </si>
  <si>
    <t>External Repair Support</t>
  </si>
  <si>
    <t>ppr.detail.reverseLogistics.externalRepair.externalRepair.total</t>
  </si>
  <si>
    <t>External Repair - Total</t>
  </si>
  <si>
    <t>ppr.detail.reverseLogistics.tradeIn.tradeInGrading</t>
  </si>
  <si>
    <t>Trade In Grading</t>
  </si>
  <si>
    <t>Trade In</t>
  </si>
  <si>
    <t>ppr.detail.reverseLogistics.tradeIn.tradeInSupport</t>
  </si>
  <si>
    <t>Trade In Support</t>
  </si>
  <si>
    <t>ppr.detail.reverseLogistics.tradeIn.tradeIn.total</t>
  </si>
  <si>
    <t>Trade In - Total</t>
  </si>
  <si>
    <t>ppr.detail.reverseLogistics.kindleDiagnostics</t>
  </si>
  <si>
    <t>Kindle Diagnostics</t>
  </si>
  <si>
    <t>ppr.detail.reverseLogistics.reverseLogistics.total</t>
  </si>
  <si>
    <t>REVERSE LOGISTICS TOTAL</t>
  </si>
  <si>
    <t>ppr.detail.onDemand.onDemand.printOnDemand</t>
  </si>
  <si>
    <t>Print On Demand</t>
  </si>
  <si>
    <t>On-Demand</t>
  </si>
  <si>
    <t>On Demand</t>
  </si>
  <si>
    <t>ppr.detail.onDemand.onDemand.discOnDemand</t>
  </si>
  <si>
    <t>Disc On Demand</t>
  </si>
  <si>
    <t>ppr.detail.onDemand.onDemand.createYourOwnRing</t>
  </si>
  <si>
    <t>Create Your Own Ring (CYOR)</t>
  </si>
  <si>
    <t>ppr.detail.support.support.adminHRIT</t>
  </si>
  <si>
    <t>Admin/HR/IT</t>
  </si>
  <si>
    <t>Support</t>
  </si>
  <si>
    <t>ppr.detail.support.support.onBoarding</t>
  </si>
  <si>
    <t>On Boarding</t>
  </si>
  <si>
    <t>ppr.detail.support.support.arSupport</t>
  </si>
  <si>
    <t>AR Support</t>
  </si>
  <si>
    <t>ppr.detail.support.support.nonFCControllable</t>
  </si>
  <si>
    <t>Non_FC_Controllable</t>
  </si>
  <si>
    <t>ppr.detail.support.support.ICQACS</t>
  </si>
  <si>
    <t>IC/QA/CS</t>
  </si>
  <si>
    <t>ppr.detail.support.support.facilities</t>
  </si>
  <si>
    <t>Facilities</t>
  </si>
  <si>
    <t>ppr.detail.transport.amtran.amtranIn</t>
  </si>
  <si>
    <t>Amtran In</t>
  </si>
  <si>
    <t>Transport</t>
  </si>
  <si>
    <t>AmTran</t>
  </si>
  <si>
    <t>ppr.detail.transport.amtran.amtranSortation</t>
  </si>
  <si>
    <t>Amtran Sortation</t>
  </si>
  <si>
    <t>ppr.detail.transport.amtran.amtranOut</t>
  </si>
  <si>
    <t>Amtran Out</t>
  </si>
  <si>
    <t>FC_SUMMARY_PPR</t>
  </si>
  <si>
    <t>ppr.fcSummary.vendorRec</t>
  </si>
  <si>
    <t>Vendor Rec (incl. Stow+Prep+RSR)</t>
  </si>
  <si>
    <t>FC Summary</t>
  </si>
  <si>
    <t>ppr.fcSummary.transferIn</t>
  </si>
  <si>
    <t>Transfer-In</t>
  </si>
  <si>
    <t>ppr.fcSummary.totalInbound</t>
  </si>
  <si>
    <t>Total Inbound</t>
  </si>
  <si>
    <t>ppr.fcSummary.outbound</t>
  </si>
  <si>
    <t>ppr.fcSummary.transferOut</t>
  </si>
  <si>
    <t>Transfer-Out</t>
  </si>
  <si>
    <t>ppr.fcSummary.reverseLogistics</t>
  </si>
  <si>
    <t>ppr.fcSummary.onDemand</t>
  </si>
  <si>
    <t>ppr.fcSummary.support</t>
  </si>
  <si>
    <t>ppr.fcSummary.transport</t>
  </si>
  <si>
    <t>ppr.fcSummary.throughput</t>
  </si>
  <si>
    <t>THROUGHPUT</t>
  </si>
  <si>
    <t>RC_SUMMARY_PPR</t>
  </si>
  <si>
    <t>ppr.rcSummary.inbound</t>
  </si>
  <si>
    <t>RC Summary</t>
  </si>
  <si>
    <t>ppr.rcSummary.delayedAllocation</t>
  </si>
  <si>
    <t>DA</t>
  </si>
  <si>
    <t>ppr.rcSummary.reverseLogistics</t>
  </si>
  <si>
    <t>ppr.rcSummary.support</t>
  </si>
  <si>
    <t>ppr.rcSummary.transport</t>
  </si>
  <si>
    <t>ppr.rcSummary.throughput</t>
  </si>
  <si>
    <t>Start Date for report</t>
  </si>
  <si>
    <t>Inputs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</si>
</sst>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"/>
    <numFmt numFmtId="165" formatCode="_(* #,##0.0_);_(* \(#,##0.0\);_(* &quot;-&quot;??_);_(@_)"/>
    <numFmt numFmtId="166" formatCode="[$-409]h:mm\ AM/PM;@"/>
    <numFmt numFmtId="168" formatCode="m/d/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mazon Ember Display"/>
      <family val="2"/>
    </font>
    <font>
      <sz val="11"/>
      <color theme="1"/>
      <name val="Amazon Ember Heavy"/>
      <family val="2"/>
    </font>
    <font>
      <b/>
      <sz val="11"/>
      <name val="Amazon Ember Heavy"/>
      <family val="2"/>
    </font>
    <font>
      <b/>
      <sz val="11"/>
      <color theme="1"/>
      <name val="Amazon Ember Display"/>
      <family val="2"/>
    </font>
    <font>
      <sz val="11"/>
      <name val="Amazon Ember Display"/>
      <family val="2"/>
    </font>
    <font>
      <u/>
      <sz val="11"/>
      <color theme="10"/>
      <name val="Calibri"/>
      <family val="2"/>
      <scheme val="minor"/>
    </font>
    <font>
      <sz val="12"/>
      <color theme="1"/>
      <name val="Amazon Ember Heavy"/>
      <family val="2"/>
    </font>
    <font>
      <sz val="11"/>
      <color rgb="FF0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3CED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B481"/>
        <bgColor indexed="64"/>
      </patternFill>
    </fill>
    <fill>
      <patternFill patternType="solid">
        <fgColor rgb="FF96B3E2"/>
        <bgColor indexed="64"/>
      </patternFill>
    </fill>
    <fill>
      <patternFill patternType="solid">
        <fgColor rgb="FFBDE7B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9" fillId="0" borderId="0" applyNumberFormat="0" applyFill="0" applyBorder="0" applyAlignment="0" applyProtection="0"/>
  </cellStyleXfs>
  <cellXfs count="99">
    <xf numFmtId="0" fontId="0" fillId="0" borderId="0" xfId="0"/>
    <xf numFmtId="0" fontId="0" fillId="0" borderId="1" xfId="0" applyBorder="1"/>
    <xf numFmtId="0" fontId="0" fillId="0" borderId="1" xfId="0" applyFill="1" applyBorder="1"/>
    <xf numFmtId="14" fontId="0" fillId="0" borderId="1" xfId="0" applyNumberFormat="1" applyBorder="1" applyAlignment="1">
      <alignment horizontal="left"/>
    </xf>
    <xf numFmtId="164" fontId="0" fillId="0" borderId="1" xfId="0" applyNumberFormat="1" applyBorder="1"/>
    <xf numFmtId="1" fontId="0" fillId="0" borderId="1" xfId="0" applyNumberFormat="1" applyBorder="1"/>
    <xf numFmtId="9" fontId="0" fillId="0" borderId="1" xfId="1" applyFont="1" applyBorder="1"/>
    <xf numFmtId="0" fontId="0" fillId="5" borderId="1" xfId="0" applyFill="1" applyBorder="1"/>
    <xf numFmtId="0" fontId="0" fillId="6" borderId="1" xfId="0" applyFill="1" applyBorder="1"/>
    <xf numFmtId="3" fontId="0" fillId="6" borderId="1" xfId="0" applyNumberFormat="1" applyFill="1" applyBorder="1"/>
    <xf numFmtId="0" fontId="0" fillId="7" borderId="1" xfId="0" applyFill="1" applyBorder="1"/>
    <xf numFmtId="0" fontId="0" fillId="2" borderId="1" xfId="0" applyFill="1" applyBorder="1"/>
    <xf numFmtId="0" fontId="3" fillId="8" borderId="1" xfId="0" applyFont="1" applyFill="1" applyBorder="1"/>
    <xf numFmtId="1" fontId="0" fillId="0" borderId="1" xfId="0" applyNumberFormat="1" applyBorder="1" applyAlignment="1">
      <alignment horizontal="right"/>
    </xf>
    <xf numFmtId="14" fontId="0" fillId="0" borderId="1" xfId="0" applyNumberFormat="1" applyFill="1" applyBorder="1" applyAlignment="1">
      <alignment horizontal="left"/>
    </xf>
    <xf numFmtId="164" fontId="0" fillId="6" borderId="1" xfId="0" applyNumberFormat="1" applyFill="1" applyBorder="1"/>
    <xf numFmtId="164" fontId="3" fillId="8" borderId="1" xfId="0" applyNumberFormat="1" applyFont="1" applyFill="1" applyBorder="1"/>
    <xf numFmtId="164" fontId="0" fillId="7" borderId="1" xfId="0" applyNumberFormat="1" applyFill="1" applyBorder="1"/>
    <xf numFmtId="164" fontId="0" fillId="0" borderId="1" xfId="0" applyNumberFormat="1" applyBorder="1" applyAlignment="1">
      <alignment horizontal="right"/>
    </xf>
    <xf numFmtId="164" fontId="0" fillId="9" borderId="1" xfId="0" applyNumberFormat="1" applyFill="1" applyBorder="1"/>
    <xf numFmtId="164" fontId="0" fillId="0" borderId="1" xfId="0" applyNumberFormat="1" applyFill="1" applyBorder="1"/>
    <xf numFmtId="43" fontId="0" fillId="0" borderId="1" xfId="2" applyFont="1" applyBorder="1"/>
    <xf numFmtId="43" fontId="0" fillId="0" borderId="0" xfId="2" applyFont="1"/>
    <xf numFmtId="165" fontId="3" fillId="8" borderId="1" xfId="2" applyNumberFormat="1" applyFont="1" applyFill="1" applyBorder="1"/>
    <xf numFmtId="165" fontId="0" fillId="0" borderId="1" xfId="2" applyNumberFormat="1" applyFont="1" applyBorder="1"/>
    <xf numFmtId="165" fontId="0" fillId="0" borderId="1" xfId="2" applyNumberFormat="1" applyFont="1" applyFill="1" applyBorder="1"/>
    <xf numFmtId="165" fontId="0" fillId="6" borderId="1" xfId="2" applyNumberFormat="1" applyFont="1" applyFill="1" applyBorder="1"/>
    <xf numFmtId="165" fontId="0" fillId="7" borderId="1" xfId="2" applyNumberFormat="1" applyFont="1" applyFill="1" applyBorder="1"/>
    <xf numFmtId="0" fontId="0" fillId="3" borderId="3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9" fontId="0" fillId="5" borderId="1" xfId="0" applyNumberFormat="1" applyFill="1" applyBorder="1" applyAlignment="1">
      <alignment horizontal="center"/>
    </xf>
    <xf numFmtId="0" fontId="5" fillId="12" borderId="0" xfId="3" applyFont="1" applyFill="1" applyBorder="1"/>
    <xf numFmtId="0" fontId="0" fillId="12" borderId="0" xfId="3" applyFont="1" applyFill="1"/>
    <xf numFmtId="0" fontId="0" fillId="12" borderId="0" xfId="3" applyFont="1" applyFill="1" applyBorder="1"/>
    <xf numFmtId="0" fontId="4" fillId="12" borderId="0" xfId="3" applyFont="1" applyFill="1" applyBorder="1" applyAlignment="1">
      <alignment horizontal="right"/>
    </xf>
    <xf numFmtId="14" fontId="0" fillId="12" borderId="0" xfId="3" applyNumberFormat="1" applyFont="1" applyFill="1" applyBorder="1" applyAlignment="1">
      <alignment horizontal="left"/>
    </xf>
    <xf numFmtId="43" fontId="4" fillId="12" borderId="0" xfId="3" applyNumberFormat="1" applyFont="1" applyFill="1" applyBorder="1" applyAlignment="1">
      <alignment horizontal="center"/>
    </xf>
    <xf numFmtId="14" fontId="0" fillId="12" borderId="0" xfId="3" applyNumberFormat="1" applyFont="1" applyFill="1"/>
    <xf numFmtId="0" fontId="5" fillId="12" borderId="6" xfId="3" applyFont="1" applyFill="1" applyBorder="1" applyAlignment="1">
      <alignment horizontal="center"/>
    </xf>
    <xf numFmtId="164" fontId="4" fillId="12" borderId="1" xfId="3" applyNumberFormat="1" applyFont="1" applyFill="1" applyBorder="1" applyAlignment="1">
      <alignment horizontal="center"/>
    </xf>
    <xf numFmtId="9" fontId="6" fillId="12" borderId="1" xfId="3" applyNumberFormat="1" applyFont="1" applyFill="1" applyBorder="1" applyAlignment="1">
      <alignment horizontal="center"/>
    </xf>
    <xf numFmtId="164" fontId="4" fillId="13" borderId="1" xfId="3" applyNumberFormat="1" applyFont="1" applyFill="1" applyBorder="1" applyAlignment="1">
      <alignment horizontal="center"/>
    </xf>
    <xf numFmtId="165" fontId="4" fillId="13" borderId="1" xfId="3" applyNumberFormat="1" applyFont="1" applyFill="1" applyBorder="1" applyAlignment="1">
      <alignment horizontal="center"/>
    </xf>
    <xf numFmtId="164" fontId="4" fillId="14" borderId="1" xfId="3" applyNumberFormat="1" applyFont="1" applyFill="1" applyBorder="1" applyAlignment="1">
      <alignment horizontal="center"/>
    </xf>
    <xf numFmtId="165" fontId="4" fillId="14" borderId="1" xfId="3" applyNumberFormat="1" applyFont="1" applyFill="1" applyBorder="1" applyAlignment="1">
      <alignment horizontal="center"/>
    </xf>
    <xf numFmtId="164" fontId="8" fillId="15" borderId="1" xfId="3" applyNumberFormat="1" applyFont="1" applyFill="1" applyBorder="1" applyAlignment="1">
      <alignment horizontal="center"/>
    </xf>
    <xf numFmtId="165" fontId="8" fillId="15" borderId="1" xfId="3" applyNumberFormat="1" applyFont="1" applyFill="1" applyBorder="1" applyAlignment="1">
      <alignment horizontal="center"/>
    </xf>
    <xf numFmtId="164" fontId="4" fillId="16" borderId="1" xfId="3" applyNumberFormat="1" applyFont="1" applyFill="1" applyBorder="1" applyAlignment="1">
      <alignment horizontal="center"/>
    </xf>
    <xf numFmtId="0" fontId="7" fillId="16" borderId="1" xfId="3" applyFont="1" applyFill="1" applyBorder="1" applyAlignment="1">
      <alignment horizontal="center"/>
    </xf>
    <xf numFmtId="9" fontId="7" fillId="16" borderId="1" xfId="3" applyNumberFormat="1" applyFont="1" applyFill="1" applyBorder="1" applyAlignment="1">
      <alignment horizontal="center"/>
    </xf>
    <xf numFmtId="14" fontId="4" fillId="12" borderId="0" xfId="3" applyNumberFormat="1" applyFont="1" applyFill="1" applyBorder="1" applyAlignment="1">
      <alignment horizontal="center"/>
    </xf>
    <xf numFmtId="0" fontId="5" fillId="12" borderId="5" xfId="3" applyFont="1" applyFill="1" applyBorder="1" applyAlignment="1">
      <alignment horizontal="center"/>
    </xf>
    <xf numFmtId="164" fontId="4" fillId="12" borderId="2" xfId="3" applyNumberFormat="1" applyFont="1" applyFill="1" applyBorder="1" applyAlignment="1">
      <alignment horizontal="center"/>
    </xf>
    <xf numFmtId="0" fontId="5" fillId="12" borderId="9" xfId="3" applyFont="1" applyFill="1" applyBorder="1" applyAlignment="1">
      <alignment horizontal="center"/>
    </xf>
    <xf numFmtId="164" fontId="4" fillId="12" borderId="7" xfId="3" applyNumberFormat="1" applyFont="1" applyFill="1" applyBorder="1" applyAlignment="1">
      <alignment horizontal="center"/>
    </xf>
    <xf numFmtId="164" fontId="4" fillId="13" borderId="2" xfId="3" applyNumberFormat="1" applyFont="1" applyFill="1" applyBorder="1" applyAlignment="1">
      <alignment horizontal="center"/>
    </xf>
    <xf numFmtId="164" fontId="8" fillId="15" borderId="2" xfId="3" applyNumberFormat="1" applyFont="1" applyFill="1" applyBorder="1" applyAlignment="1">
      <alignment horizontal="center"/>
    </xf>
    <xf numFmtId="164" fontId="4" fillId="14" borderId="2" xfId="3" applyNumberFormat="1" applyFont="1" applyFill="1" applyBorder="1" applyAlignment="1">
      <alignment horizontal="center"/>
    </xf>
    <xf numFmtId="164" fontId="4" fillId="13" borderId="7" xfId="3" applyNumberFormat="1" applyFont="1" applyFill="1" applyBorder="1" applyAlignment="1">
      <alignment horizontal="center"/>
    </xf>
    <xf numFmtId="164" fontId="8" fillId="15" borderId="7" xfId="3" applyNumberFormat="1" applyFont="1" applyFill="1" applyBorder="1" applyAlignment="1">
      <alignment horizontal="center"/>
    </xf>
    <xf numFmtId="164" fontId="4" fillId="14" borderId="7" xfId="3" applyNumberFormat="1" applyFont="1" applyFill="1" applyBorder="1" applyAlignment="1">
      <alignment horizontal="center"/>
    </xf>
    <xf numFmtId="164" fontId="4" fillId="16" borderId="2" xfId="3" applyNumberFormat="1" applyFont="1" applyFill="1" applyBorder="1" applyAlignment="1">
      <alignment horizontal="center"/>
    </xf>
    <xf numFmtId="9" fontId="6" fillId="12" borderId="2" xfId="3" applyNumberFormat="1" applyFont="1" applyFill="1" applyBorder="1" applyAlignment="1">
      <alignment horizontal="center"/>
    </xf>
    <xf numFmtId="164" fontId="4" fillId="16" borderId="7" xfId="3" applyNumberFormat="1" applyFont="1" applyFill="1" applyBorder="1" applyAlignment="1">
      <alignment horizontal="center"/>
    </xf>
    <xf numFmtId="9" fontId="6" fillId="12" borderId="7" xfId="3" applyNumberFormat="1" applyFont="1" applyFill="1" applyBorder="1" applyAlignment="1">
      <alignment horizontal="center"/>
    </xf>
    <xf numFmtId="9" fontId="7" fillId="16" borderId="2" xfId="3" applyNumberFormat="1" applyFont="1" applyFill="1" applyBorder="1" applyAlignment="1">
      <alignment horizontal="center"/>
    </xf>
    <xf numFmtId="0" fontId="7" fillId="16" borderId="7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9" fillId="12" borderId="0" xfId="4" applyFill="1"/>
    <xf numFmtId="0" fontId="0" fillId="12" borderId="0" xfId="3" applyFont="1" applyFill="1" applyBorder="1" applyAlignment="1">
      <alignment horizontal="center"/>
    </xf>
    <xf numFmtId="0" fontId="4" fillId="12" borderId="0" xfId="3" applyFont="1" applyFill="1" applyBorder="1" applyAlignment="1"/>
    <xf numFmtId="0" fontId="0" fillId="12" borderId="0" xfId="3" applyFont="1" applyFill="1" applyAlignment="1">
      <alignment horizontal="left"/>
    </xf>
    <xf numFmtId="0" fontId="10" fillId="12" borderId="0" xfId="3" applyFont="1" applyFill="1"/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166" fontId="0" fillId="12" borderId="0" xfId="3" applyNumberFormat="1" applyFont="1" applyFill="1" applyBorder="1"/>
    <xf numFmtId="0" fontId="0" fillId="12" borderId="0" xfId="3" applyFont="1" applyFill="1" applyAlignment="1">
      <alignment horizontal="center"/>
    </xf>
    <xf numFmtId="0" fontId="0" fillId="12" borderId="0" xfId="3" applyFont="1" applyFill="1" applyAlignment="1">
      <alignment horizontal="center"/>
    </xf>
    <xf numFmtId="0" fontId="5" fillId="11" borderId="2" xfId="3" applyFont="1" applyFill="1" applyBorder="1" applyAlignment="1">
      <alignment horizontal="center"/>
    </xf>
    <xf numFmtId="0" fontId="5" fillId="11" borderId="3" xfId="3" applyFont="1" applyFill="1" applyBorder="1" applyAlignment="1">
      <alignment horizontal="center"/>
    </xf>
    <xf numFmtId="0" fontId="5" fillId="11" borderId="10" xfId="3" applyFont="1" applyFill="1" applyBorder="1" applyAlignment="1">
      <alignment horizontal="center"/>
    </xf>
    <xf numFmtId="0" fontId="5" fillId="10" borderId="8" xfId="3" applyFont="1" applyFill="1" applyBorder="1" applyAlignment="1">
      <alignment horizontal="center"/>
    </xf>
    <xf numFmtId="0" fontId="5" fillId="10" borderId="3" xfId="3" applyFont="1" applyFill="1" applyBorder="1" applyAlignment="1">
      <alignment horizontal="center"/>
    </xf>
    <xf numFmtId="0" fontId="5" fillId="10" borderId="4" xfId="3" applyFont="1" applyFill="1" applyBorder="1" applyAlignment="1">
      <alignment horizontal="center"/>
    </xf>
    <xf numFmtId="0" fontId="9" fillId="12" borderId="0" xfId="4" applyFill="1" applyAlignment="1">
      <alignment horizontal="center"/>
    </xf>
    <xf numFmtId="0" fontId="0" fillId="4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horizontal="center" vertical="top" wrapText="1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8" fontId="0" fillId="17" borderId="1" xfId="3" applyNumberFormat="1" applyFont="1" applyFill="1" applyBorder="1" applyAlignment="1">
      <alignment horizontal="center"/>
    </xf>
    <xf numFmtId="0" fontId="0" fillId="17" borderId="1" xfId="3" applyFont="1" applyFill="1" applyBorder="1" applyAlignment="1">
      <alignment horizontal="center"/>
    </xf>
  </cellXfs>
  <cellStyles count="5">
    <cellStyle name="Comma" xfId="2" builtinId="3"/>
    <cellStyle name="Hyperlink" xfId="4" builtinId="8"/>
    <cellStyle name="Normal" xfId="0" builtinId="0"/>
    <cellStyle name="Percent" xfId="1" builtinId="5"/>
    <cellStyle name="Style 1" xfId="3"/>
  </cellStyles>
  <dxfs count="243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8B31C"/>
      <color rgb="FFC68606"/>
      <color rgb="FF66CCFF"/>
      <color rgb="FF33CC33"/>
      <color rgb="FFFF4747"/>
      <color rgb="FFFFE593"/>
      <color rgb="FFBDE7BB"/>
      <color rgb="FF96B3E2"/>
      <color rgb="FFFFB481"/>
      <color rgb="FFFFD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5" name="TextBox 4"/>
        <xdr:cNvSpPr txBox="1"/>
      </xdr:nvSpPr>
      <xdr:spPr>
        <a:xfrm>
          <a:off x="4845844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17</xdr:col>
      <xdr:colOff>566395</xdr:colOff>
      <xdr:row>2</xdr:row>
      <xdr:rowOff>117363</xdr:rowOff>
    </xdr:from>
    <xdr:to>
      <xdr:col>21</xdr:col>
      <xdr:colOff>267040</xdr:colOff>
      <xdr:row>4</xdr:row>
      <xdr:rowOff>139475</xdr:rowOff>
    </xdr:to>
    <xdr:sp macro="[0]!openWebsites" textlink="">
      <xdr:nvSpPr>
        <xdr:cNvPr id="11" name="Rectangle 10"/>
        <xdr:cNvSpPr/>
      </xdr:nvSpPr>
      <xdr:spPr>
        <a:xfrm>
          <a:off x="13782333" y="498363"/>
          <a:ext cx="2355738" cy="415018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1)</a:t>
          </a:r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 Click to Open All Websites 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0</xdr:col>
      <xdr:colOff>1440655</xdr:colOff>
      <xdr:row>32</xdr:row>
      <xdr:rowOff>190499</xdr:rowOff>
    </xdr:from>
    <xdr:to>
      <xdr:col>1</xdr:col>
      <xdr:colOff>-1</xdr:colOff>
      <xdr:row>39</xdr:row>
      <xdr:rowOff>214311</xdr:rowOff>
    </xdr:to>
    <xdr:grpSp>
      <xdr:nvGrpSpPr>
        <xdr:cNvPr id="22" name="Group 21"/>
        <xdr:cNvGrpSpPr/>
      </xdr:nvGrpSpPr>
      <xdr:grpSpPr>
        <a:xfrm>
          <a:off x="1440655" y="6776356"/>
          <a:ext cx="260237" cy="1520598"/>
          <a:chOff x="1428749" y="6369844"/>
          <a:chExt cx="250032" cy="1500186"/>
        </a:xfrm>
      </xdr:grpSpPr>
      <xdr:sp macro="" textlink="">
        <xdr:nvSpPr>
          <xdr:cNvPr id="7" name="Rectangle 6"/>
          <xdr:cNvSpPr/>
        </xdr:nvSpPr>
        <xdr:spPr>
          <a:xfrm>
            <a:off x="1428749" y="7024689"/>
            <a:ext cx="250031" cy="84534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11</xdr:col>
      <xdr:colOff>583406</xdr:colOff>
      <xdr:row>2</xdr:row>
      <xdr:rowOff>166688</xdr:rowOff>
    </xdr:from>
    <xdr:to>
      <xdr:col>15</xdr:col>
      <xdr:colOff>440531</xdr:colOff>
      <xdr:row>5</xdr:row>
      <xdr:rowOff>11907</xdr:rowOff>
    </xdr:to>
    <xdr:sp macro="[0]!restart_report" textlink="">
      <xdr:nvSpPr>
        <xdr:cNvPr id="25" name="Rectangle 24"/>
        <xdr:cNvSpPr/>
      </xdr:nvSpPr>
      <xdr:spPr>
        <a:xfrm>
          <a:off x="10048875" y="547688"/>
          <a:ext cx="2452687" cy="416719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4) Click to Reset</a:t>
          </a:r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 Report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11</xdr:col>
      <xdr:colOff>583407</xdr:colOff>
      <xdr:row>0</xdr:row>
      <xdr:rowOff>45244</xdr:rowOff>
    </xdr:from>
    <xdr:to>
      <xdr:col>15</xdr:col>
      <xdr:colOff>438151</xdr:colOff>
      <xdr:row>2</xdr:row>
      <xdr:rowOff>80963</xdr:rowOff>
    </xdr:to>
    <xdr:sp macro="[0]!copy_report.copy_report" textlink="">
      <xdr:nvSpPr>
        <xdr:cNvPr id="26" name="Rectangle 25"/>
        <xdr:cNvSpPr/>
      </xdr:nvSpPr>
      <xdr:spPr>
        <a:xfrm>
          <a:off x="10048876" y="45244"/>
          <a:ext cx="2450306" cy="416719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3) Copy</a:t>
          </a:r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 Report to New Sheet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0</xdr:col>
      <xdr:colOff>1440656</xdr:colOff>
      <xdr:row>13</xdr:row>
      <xdr:rowOff>1</xdr:rowOff>
    </xdr:from>
    <xdr:to>
      <xdr:col>1</xdr:col>
      <xdr:colOff>-1</xdr:colOff>
      <xdr:row>20</xdr:row>
      <xdr:rowOff>2</xdr:rowOff>
    </xdr:to>
    <xdr:grpSp>
      <xdr:nvGrpSpPr>
        <xdr:cNvPr id="28" name="Group 27"/>
        <xdr:cNvGrpSpPr/>
      </xdr:nvGrpSpPr>
      <xdr:grpSpPr>
        <a:xfrm>
          <a:off x="1440656" y="2598965"/>
          <a:ext cx="260236" cy="1483180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63845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230982</xdr:colOff>
          <xdr:row>0</xdr:row>
          <xdr:rowOff>92868</xdr:rowOff>
        </xdr:from>
        <xdr:to>
          <xdr:col>5</xdr:col>
          <xdr:colOff>142876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210911</xdr:colOff>
          <xdr:row>3</xdr:row>
          <xdr:rowOff>9183</xdr:rowOff>
        </xdr:from>
        <xdr:to>
          <xdr:col>5</xdr:col>
          <xdr:colOff>166688</xdr:colOff>
          <xdr:row>5</xdr:row>
          <xdr:rowOff>5102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506888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715125"/>
          <a:ext cx="250031" cy="1512095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1777999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583657"/>
          <a:ext cx="251618" cy="1464470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1777999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583656"/>
          <a:ext cx="251618" cy="1464469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506888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715125"/>
          <a:ext cx="250031" cy="1512095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1777999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583657"/>
          <a:ext cx="251618" cy="1464470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1777999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583656"/>
          <a:ext cx="251618" cy="1464469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2860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3716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4843463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715125"/>
          <a:ext cx="250031" cy="1512095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1695449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583657"/>
          <a:ext cx="254793" cy="1464470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1692274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583656"/>
          <a:ext cx="251618" cy="1464469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2860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3716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name="website27_4" growShrinkType="overwriteClear" connectionId="2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website27_3" growShrinkType="overwriteClear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website27_2" growShrinkType="overwriteClear" connectionId="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website27_1" growShrinkType="overwriteClear" connectionId="3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website27" growShrinkType="overwriteClear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website28_4" growShrinkType="overwriteClear" connectionId="2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website28_3" growShrinkType="overwriteClear" connectionId="1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website28_2" growShrinkType="overwriteClear" connectionId="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website28_1" growShrinkType="overwriteClear" connectionId="3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website28" growShrinkType="overwriteClear" connectionId="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website29_4" growShrinkType="overwriteClear" connectionId="2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website29_3" growShrinkType="overwriteClear" connectionId="1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website29_2" growShrinkType="overwriteClear" connectionId="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website29_1" growShrinkType="overwriteClear" connectionId="3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website29" growShrinkType="overwriteClear" connectionId="1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website30_4" growShrinkType="overwriteClear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website30_3" growShrinkType="overwriteClear" connectionId="1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website30_2" growShrinkType="overwriteClear" connectionId="1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website30_1" growShrinkType="overwriteClear" connectionId="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website30" growShrinkType="overwriteClear" connectionId="2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website1_4" growShrinkType="overwriteClear" connectionId="2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website1_3" growShrinkType="overwriteClear" connectionId="1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website1_2" growShrinkType="overwriteClear" connectionId="1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website1_1" growShrinkType="overwriteClear" connectionId="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website1" growShrinkType="overwriteClear" connectionId="3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website2_4" growShrinkType="overwriteClear" connectionId="2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website2_3" growShrinkType="overwriteClear" connectionId="2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website2_2" growShrinkType="overwriteClear" connectionId="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website2_1" growShrinkType="overwriteClear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website2" growShrinkType="overwriteClear" connectionId="3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website3_4" growShrinkType="overwriteClear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website3_3" growShrinkType="overwriteClear" connectionId="2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website3_2" growShrinkType="overwriteClear" connectionId="1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website3_1" growShrinkType="overwriteClear" connectionId="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website3" growShrinkType="overwriteClear" connectionId="3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queryTable" Target="../queryTables/queryTable7.xml"/><Relationship Id="rId1" Type="http://schemas.openxmlformats.org/officeDocument/2006/relationships/queryTable" Target="../queryTables/queryTable6.xml"/><Relationship Id="rId5" Type="http://schemas.openxmlformats.org/officeDocument/2006/relationships/queryTable" Target="../queryTables/queryTable10.xml"/><Relationship Id="rId4" Type="http://schemas.openxmlformats.org/officeDocument/2006/relationships/queryTable" Target="../queryTables/queryTable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queryTable" Target="../queryTables/queryTable11.xml"/><Relationship Id="rId5" Type="http://schemas.openxmlformats.org/officeDocument/2006/relationships/queryTable" Target="../queryTables/queryTable15.xml"/><Relationship Id="rId4" Type="http://schemas.openxmlformats.org/officeDocument/2006/relationships/queryTable" Target="../queryTables/queryTable1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queryTable" Target="../queryTables/queryTable16.xml"/><Relationship Id="rId5" Type="http://schemas.openxmlformats.org/officeDocument/2006/relationships/queryTable" Target="../queryTables/queryTable20.xml"/><Relationship Id="rId4" Type="http://schemas.openxmlformats.org/officeDocument/2006/relationships/queryTable" Target="../queryTables/queryTable1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queryTable" Target="../queryTables/queryTable21.xml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queryTable" Target="../queryTables/queryTable26.xml"/><Relationship Id="rId5" Type="http://schemas.openxmlformats.org/officeDocument/2006/relationships/queryTable" Target="../queryTables/queryTable30.xml"/><Relationship Id="rId4" Type="http://schemas.openxmlformats.org/officeDocument/2006/relationships/queryTable" Target="../queryTables/queryTable2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queryTable" Target="../queryTables/queryTable32.xml"/><Relationship Id="rId1" Type="http://schemas.openxmlformats.org/officeDocument/2006/relationships/queryTable" Target="../queryTables/queryTable31.xml"/><Relationship Id="rId5" Type="http://schemas.openxmlformats.org/officeDocument/2006/relationships/queryTable" Target="../queryTables/queryTable35.xml"/><Relationship Id="rId4" Type="http://schemas.openxmlformats.org/officeDocument/2006/relationships/queryTable" Target="../queryTables/queryTable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00B050"/>
  </sheetPr>
  <dimension ref="A1:W45"/>
  <sheetViews>
    <sheetView tabSelected="1" zoomScale="70" zoomScaleNormal="70" workbookViewId="0">
      <selection activeCell="S19" sqref="S19"/>
    </sheetView>
  </sheetViews>
  <sheetFormatPr defaultColWidth="9.140625" defaultRowHeight="15" x14ac:dyDescent="0.25"/>
  <cols>
    <col min="1" max="1" width="25.42578125" style="34" bestFit="1" customWidth="1"/>
    <col min="2" max="2" width="14.85546875" style="33" bestFit="1" customWidth="1"/>
    <col min="3" max="3" width="12.140625" style="33" bestFit="1" customWidth="1"/>
    <col min="4" max="4" width="8.85546875" style="33" customWidth="1"/>
    <col min="5" max="5" width="10.28515625" style="33" customWidth="1"/>
    <col min="6" max="6" width="19.42578125" style="33" customWidth="1"/>
    <col min="7" max="7" width="9.7109375" style="33" customWidth="1"/>
    <col min="8" max="8" width="7.42578125" style="33" customWidth="1"/>
    <col min="9" max="9" width="8.42578125" style="33" customWidth="1"/>
    <col min="10" max="10" width="11" style="33" customWidth="1"/>
    <col min="11" max="11" width="14.28515625" style="33" customWidth="1"/>
    <col min="12" max="12" width="10" style="33" customWidth="1"/>
    <col min="13" max="13" width="7.28515625" style="33" customWidth="1"/>
    <col min="14" max="14" width="10.140625" style="33" customWidth="1"/>
    <col min="15" max="15" width="11.42578125" style="33" customWidth="1"/>
    <col min="16" max="16" width="8.28515625" style="33" customWidth="1"/>
    <col min="17" max="17" width="9.140625" style="33"/>
    <col min="18" max="18" width="12" style="33" bestFit="1" customWidth="1"/>
    <col min="19" max="20" width="9.140625" style="33"/>
    <col min="21" max="21" width="9.7109375" style="33" bestFit="1" customWidth="1"/>
    <col min="22" max="16384" width="9.140625" style="33"/>
  </cols>
  <sheetData>
    <row r="1" spans="1:23" x14ac:dyDescent="0.25">
      <c r="B1" s="80" t="s">
        <v>451</v>
      </c>
      <c r="S1" s="81"/>
      <c r="T1" s="81"/>
      <c r="U1" s="81"/>
      <c r="V1" s="81"/>
    </row>
    <row r="2" spans="1:23" x14ac:dyDescent="0.25">
      <c r="A2" s="34" t="s">
        <v>450</v>
      </c>
      <c r="B2" s="97">
        <v>44101</v>
      </c>
    </row>
    <row r="3" spans="1:23" ht="15.75" x14ac:dyDescent="0.25">
      <c r="A3" s="79" t="s">
        <v>32</v>
      </c>
      <c r="B3" s="98" t="s">
        <v>31</v>
      </c>
      <c r="Q3" s="74" t="s">
        <v>30</v>
      </c>
    </row>
    <row r="5" spans="1:23" x14ac:dyDescent="0.25">
      <c r="B5" s="88"/>
      <c r="C5" s="88"/>
      <c r="D5" s="88"/>
    </row>
    <row r="7" spans="1:23" x14ac:dyDescent="0.25">
      <c r="A7" s="32"/>
      <c r="B7" s="82" t="s">
        <v>13</v>
      </c>
      <c r="C7" s="83"/>
      <c r="D7" s="83"/>
      <c r="E7" s="83"/>
      <c r="F7" s="83"/>
      <c r="G7" s="83"/>
      <c r="H7" s="83"/>
      <c r="I7" s="83"/>
      <c r="J7" s="85" t="s">
        <v>14</v>
      </c>
      <c r="K7" s="86"/>
      <c r="L7" s="86"/>
      <c r="M7" s="86"/>
      <c r="N7" s="86"/>
      <c r="O7" s="86"/>
      <c r="P7" s="87"/>
      <c r="R7" s="34"/>
    </row>
    <row r="8" spans="1:23" x14ac:dyDescent="0.2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ht="17.25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81"/>
      <c r="T9" s="81"/>
      <c r="U9" s="81"/>
      <c r="V9" s="81"/>
      <c r="W9" s="81"/>
    </row>
    <row r="10" spans="1:23" ht="17.25" x14ac:dyDescent="0.35">
      <c r="A10" s="35" t="s">
        <v>1</v>
      </c>
      <c r="B10" s="40" t="str">
        <f>IFERROR(AVERAGE(B$14:B$17),"")</f>
        <v/>
      </c>
      <c r="C10" s="40" t="str">
        <f t="shared" ref="C10:P10" si="0">IFERROR(AVERAGE(C$14:C$17),"")</f>
        <v/>
      </c>
      <c r="D10" s="40" t="str">
        <f t="shared" si="0"/>
        <v/>
      </c>
      <c r="E10" s="40" t="str">
        <f t="shared" si="0"/>
        <v/>
      </c>
      <c r="F10" s="40" t="str">
        <f t="shared" si="0"/>
        <v/>
      </c>
      <c r="G10" s="40" t="str">
        <f t="shared" si="0"/>
        <v/>
      </c>
      <c r="H10" s="40" t="str">
        <f t="shared" si="0"/>
        <v/>
      </c>
      <c r="I10" s="53" t="str">
        <f t="shared" si="0"/>
        <v/>
      </c>
      <c r="J10" s="55" t="str">
        <f t="shared" si="0"/>
        <v/>
      </c>
      <c r="K10" s="40" t="str">
        <f t="shared" si="0"/>
        <v/>
      </c>
      <c r="L10" s="40" t="str">
        <f t="shared" si="0"/>
        <v/>
      </c>
      <c r="M10" s="40" t="str">
        <f t="shared" si="0"/>
        <v/>
      </c>
      <c r="N10" s="40" t="str">
        <f t="shared" si="0"/>
        <v/>
      </c>
      <c r="O10" s="40" t="str">
        <f t="shared" si="0"/>
        <v/>
      </c>
      <c r="P10" s="40" t="str">
        <f t="shared" si="0"/>
        <v/>
      </c>
      <c r="Q10" s="34"/>
      <c r="R10" s="34"/>
    </row>
    <row r="11" spans="1:23" ht="17.25" x14ac:dyDescent="0.35">
      <c r="A11" s="35" t="s">
        <v>2</v>
      </c>
      <c r="B11" s="40" t="str">
        <f t="shared" ref="B11:P11" si="1">IFERROR(AVERAGE(B$18:B$20),"")</f>
        <v/>
      </c>
      <c r="C11" s="40" t="str">
        <f t="shared" si="1"/>
        <v/>
      </c>
      <c r="D11" s="40" t="str">
        <f t="shared" si="1"/>
        <v/>
      </c>
      <c r="E11" s="40" t="str">
        <f t="shared" si="1"/>
        <v/>
      </c>
      <c r="F11" s="40" t="str">
        <f t="shared" si="1"/>
        <v/>
      </c>
      <c r="G11" s="40" t="str">
        <f t="shared" si="1"/>
        <v/>
      </c>
      <c r="H11" s="40" t="str">
        <f t="shared" si="1"/>
        <v/>
      </c>
      <c r="I11" s="53" t="str">
        <f t="shared" si="1"/>
        <v/>
      </c>
      <c r="J11" s="55" t="str">
        <f t="shared" si="1"/>
        <v/>
      </c>
      <c r="K11" s="40" t="str">
        <f t="shared" si="1"/>
        <v/>
      </c>
      <c r="L11" s="40" t="str">
        <f t="shared" si="1"/>
        <v/>
      </c>
      <c r="M11" s="40" t="str">
        <f t="shared" si="1"/>
        <v/>
      </c>
      <c r="N11" s="40" t="str">
        <f t="shared" si="1"/>
        <v/>
      </c>
      <c r="O11" s="40" t="str">
        <f t="shared" si="1"/>
        <v/>
      </c>
      <c r="P11" s="40" t="str">
        <f t="shared" si="1"/>
        <v/>
      </c>
      <c r="Q11" s="34"/>
      <c r="R11" s="36"/>
      <c r="S11" s="70"/>
    </row>
    <row r="12" spans="1:23" ht="17.25" x14ac:dyDescent="0.35">
      <c r="A12" s="35" t="s">
        <v>27</v>
      </c>
      <c r="B12" s="48" t="str">
        <f t="shared" ref="B12:P12" si="2">IFERROR(ABS(B$10-B$11), "")</f>
        <v/>
      </c>
      <c r="C12" s="48" t="str">
        <f t="shared" si="2"/>
        <v/>
      </c>
      <c r="D12" s="48" t="str">
        <f t="shared" si="2"/>
        <v/>
      </c>
      <c r="E12" s="48" t="str">
        <f t="shared" si="2"/>
        <v/>
      </c>
      <c r="F12" s="48" t="str">
        <f t="shared" si="2"/>
        <v/>
      </c>
      <c r="G12" s="48" t="str">
        <f t="shared" si="2"/>
        <v/>
      </c>
      <c r="H12" s="48" t="str">
        <f t="shared" si="2"/>
        <v/>
      </c>
      <c r="I12" s="62" t="str">
        <f t="shared" si="2"/>
        <v/>
      </c>
      <c r="J12" s="64" t="str">
        <f t="shared" si="2"/>
        <v/>
      </c>
      <c r="K12" s="48" t="str">
        <f t="shared" si="2"/>
        <v/>
      </c>
      <c r="L12" s="48" t="str">
        <f t="shared" si="2"/>
        <v/>
      </c>
      <c r="M12" s="48" t="str">
        <f t="shared" si="2"/>
        <v/>
      </c>
      <c r="N12" s="48" t="str">
        <f t="shared" si="2"/>
        <v/>
      </c>
      <c r="O12" s="48" t="str">
        <f t="shared" si="2"/>
        <v/>
      </c>
      <c r="P12" s="48" t="str">
        <f t="shared" si="2"/>
        <v/>
      </c>
      <c r="Q12" s="69"/>
      <c r="R12" s="34"/>
    </row>
    <row r="13" spans="1:23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ht="17.25" x14ac:dyDescent="0.35">
      <c r="A14" s="51">
        <f>B2</f>
        <v>44101</v>
      </c>
      <c r="B14" s="42"/>
      <c r="C14" s="42"/>
      <c r="D14" s="42"/>
      <c r="E14" s="42"/>
      <c r="F14" s="43"/>
      <c r="G14" s="42"/>
      <c r="H14" s="42"/>
      <c r="I14" s="56"/>
      <c r="J14" s="59"/>
      <c r="K14" s="43"/>
      <c r="L14" s="42"/>
      <c r="M14" s="42"/>
      <c r="N14" s="42"/>
      <c r="O14" s="42"/>
      <c r="P14" s="42"/>
      <c r="Q14" s="34"/>
      <c r="U14" s="38"/>
    </row>
    <row r="15" spans="1:23" ht="17.25" x14ac:dyDescent="0.35">
      <c r="A15" s="51">
        <f>A14+1</f>
        <v>44102</v>
      </c>
      <c r="B15" s="42"/>
      <c r="C15" s="42"/>
      <c r="D15" s="42"/>
      <c r="E15" s="42"/>
      <c r="F15" s="43"/>
      <c r="G15" s="42"/>
      <c r="H15" s="42"/>
      <c r="I15" s="56"/>
      <c r="J15" s="59"/>
      <c r="K15" s="43"/>
      <c r="L15" s="42"/>
      <c r="M15" s="42"/>
      <c r="N15" s="42"/>
      <c r="O15" s="42"/>
      <c r="P15" s="42"/>
      <c r="Q15" s="34"/>
      <c r="R15" s="38"/>
      <c r="U15" s="38"/>
    </row>
    <row r="16" spans="1:23" ht="17.25" x14ac:dyDescent="0.35">
      <c r="A16" s="51">
        <f>A15+1</f>
        <v>44103</v>
      </c>
      <c r="B16" s="42"/>
      <c r="C16" s="42"/>
      <c r="D16" s="42"/>
      <c r="E16" s="42"/>
      <c r="F16" s="43"/>
      <c r="G16" s="42"/>
      <c r="H16" s="42"/>
      <c r="I16" s="56"/>
      <c r="J16" s="59"/>
      <c r="K16" s="43"/>
      <c r="L16" s="42"/>
      <c r="M16" s="42"/>
      <c r="N16" s="42"/>
      <c r="O16" s="42"/>
      <c r="P16" s="42"/>
      <c r="Q16" s="34"/>
      <c r="R16" s="38"/>
      <c r="U16" s="38"/>
    </row>
    <row r="17" spans="1:21" ht="15.75" customHeight="1" x14ac:dyDescent="0.35">
      <c r="A17" s="51">
        <f>A16+1</f>
        <v>44104</v>
      </c>
      <c r="B17" s="46"/>
      <c r="C17" s="46"/>
      <c r="D17" s="46"/>
      <c r="E17" s="46"/>
      <c r="F17" s="47"/>
      <c r="G17" s="46"/>
      <c r="H17" s="46"/>
      <c r="I17" s="57"/>
      <c r="J17" s="60"/>
      <c r="K17" s="47"/>
      <c r="L17" s="46"/>
      <c r="M17" s="46"/>
      <c r="N17" s="46"/>
      <c r="O17" s="46"/>
      <c r="P17" s="46"/>
      <c r="Q17" s="34"/>
      <c r="R17" s="38"/>
      <c r="U17" s="38"/>
    </row>
    <row r="18" spans="1:21" ht="15" customHeight="1" x14ac:dyDescent="0.35">
      <c r="A18" s="51">
        <f>A17+1</f>
        <v>44105</v>
      </c>
      <c r="B18" s="44"/>
      <c r="C18" s="44"/>
      <c r="D18" s="44"/>
      <c r="E18" s="44"/>
      <c r="F18" s="45"/>
      <c r="G18" s="44"/>
      <c r="H18" s="44"/>
      <c r="I18" s="58"/>
      <c r="J18" s="61"/>
      <c r="K18" s="45"/>
      <c r="L18" s="44"/>
      <c r="M18" s="44"/>
      <c r="N18" s="44"/>
      <c r="O18" s="44"/>
      <c r="P18" s="44"/>
      <c r="Q18" s="34"/>
      <c r="R18" s="38"/>
      <c r="U18" s="38"/>
    </row>
    <row r="19" spans="1:21" ht="17.25" x14ac:dyDescent="0.35">
      <c r="A19" s="51">
        <f>A18+1</f>
        <v>44106</v>
      </c>
      <c r="B19" s="44"/>
      <c r="C19" s="44"/>
      <c r="D19" s="44"/>
      <c r="E19" s="44"/>
      <c r="F19" s="45"/>
      <c r="G19" s="44"/>
      <c r="H19" s="44"/>
      <c r="I19" s="58"/>
      <c r="J19" s="61"/>
      <c r="K19" s="45"/>
      <c r="L19" s="44"/>
      <c r="M19" s="44"/>
      <c r="N19" s="44"/>
      <c r="O19" s="44"/>
      <c r="P19" s="44"/>
      <c r="Q19" s="34"/>
      <c r="R19" s="38"/>
      <c r="U19" s="38"/>
    </row>
    <row r="20" spans="1:21" ht="17.25" x14ac:dyDescent="0.35">
      <c r="A20" s="51">
        <f>A19+1</f>
        <v>44107</v>
      </c>
      <c r="B20" s="44"/>
      <c r="C20" s="44"/>
      <c r="D20" s="44"/>
      <c r="E20" s="44"/>
      <c r="F20" s="45"/>
      <c r="G20" s="44"/>
      <c r="H20" s="44"/>
      <c r="I20" s="58"/>
      <c r="J20" s="61"/>
      <c r="K20" s="45"/>
      <c r="L20" s="44"/>
      <c r="M20" s="44"/>
      <c r="N20" s="44"/>
      <c r="O20" s="44"/>
      <c r="P20" s="44"/>
      <c r="Q20" s="34"/>
      <c r="R20" s="38"/>
      <c r="U20" s="38"/>
    </row>
    <row r="21" spans="1:21" ht="17.25" x14ac:dyDescent="0.35">
      <c r="A21" s="35"/>
      <c r="B21" s="69"/>
      <c r="C21" s="69"/>
      <c r="D21" s="69"/>
      <c r="E21" s="69"/>
      <c r="F21" s="37"/>
      <c r="G21" s="69"/>
      <c r="H21" s="69"/>
      <c r="I21" s="69"/>
      <c r="J21" s="69"/>
      <c r="K21" s="37"/>
      <c r="L21" s="69"/>
      <c r="M21" s="69"/>
      <c r="N21" s="69"/>
      <c r="O21" s="69"/>
      <c r="P21" s="69"/>
      <c r="Q21" s="34"/>
      <c r="R21" s="38"/>
    </row>
    <row r="22" spans="1:21" ht="17.25" x14ac:dyDescent="0.35">
      <c r="A22" s="35" t="s">
        <v>3</v>
      </c>
      <c r="B22" s="48"/>
      <c r="C22" s="48"/>
      <c r="D22" s="48"/>
      <c r="E22" s="48"/>
      <c r="F22" s="48"/>
      <c r="G22" s="48"/>
      <c r="H22" s="48"/>
      <c r="I22" s="62"/>
      <c r="J22" s="64"/>
      <c r="K22" s="48"/>
      <c r="L22" s="48"/>
      <c r="M22" s="48"/>
      <c r="N22" s="48"/>
      <c r="O22" s="48"/>
      <c r="P22" s="48"/>
      <c r="Q22" s="34"/>
    </row>
    <row r="23" spans="1:21" ht="17.25" x14ac:dyDescent="0.35">
      <c r="A23" s="35" t="s">
        <v>4</v>
      </c>
      <c r="B23" s="48" t="str">
        <f t="shared" ref="B23:N23" si="3">IFERROR(AVERAGE(B14:B20),"")</f>
        <v/>
      </c>
      <c r="C23" s="48" t="str">
        <f>IFERROR(AVERAGE(C14:C20),"")</f>
        <v/>
      </c>
      <c r="D23" s="48" t="str">
        <f>IFERROR(AVERAGE(D14:D20),"")</f>
        <v/>
      </c>
      <c r="E23" s="48" t="str">
        <f>IFERROR(AVERAGE(E14:E20),"")</f>
        <v/>
      </c>
      <c r="F23" s="48" t="str">
        <f t="shared" si="3"/>
        <v/>
      </c>
      <c r="G23" s="48" t="str">
        <f t="shared" si="3"/>
        <v/>
      </c>
      <c r="H23" s="48" t="str">
        <f t="shared" si="3"/>
        <v/>
      </c>
      <c r="I23" s="62" t="str">
        <f t="shared" si="3"/>
        <v/>
      </c>
      <c r="J23" s="64" t="str">
        <f>IFERROR(AVERAGE(J14:J20),"")</f>
        <v/>
      </c>
      <c r="K23" s="48" t="str">
        <f>IFERROR(AVERAGE(K14:K20),"")</f>
        <v/>
      </c>
      <c r="L23" s="48" t="str">
        <f>IFERROR(AVERAGE(L14:L20),"")</f>
        <v/>
      </c>
      <c r="M23" s="48" t="str">
        <f>IFERROR(AVERAGE(M14:M20),"")</f>
        <v/>
      </c>
      <c r="N23" s="48" t="str">
        <f t="shared" si="3"/>
        <v/>
      </c>
      <c r="O23" s="48" t="str">
        <f>IFERROR(AVERAGE(O14:O20),"")</f>
        <v/>
      </c>
      <c r="P23" s="48" t="str">
        <f>IFERROR(AVERAGE(P14:P20),"")</f>
        <v/>
      </c>
      <c r="Q23" s="34"/>
    </row>
    <row r="24" spans="1:21" ht="17.25" x14ac:dyDescent="0.35">
      <c r="A24" s="35" t="s">
        <v>5</v>
      </c>
      <c r="B24" s="41" t="str">
        <f t="shared" ref="B24:P24" si="4">IFERROR(-(B22-B23)/B22,"")</f>
        <v/>
      </c>
      <c r="C24" s="41" t="str">
        <f t="shared" si="4"/>
        <v/>
      </c>
      <c r="D24" s="41" t="str">
        <f t="shared" si="4"/>
        <v/>
      </c>
      <c r="E24" s="41" t="str">
        <f t="shared" si="4"/>
        <v/>
      </c>
      <c r="F24" s="41" t="str">
        <f t="shared" si="4"/>
        <v/>
      </c>
      <c r="G24" s="41" t="str">
        <f t="shared" si="4"/>
        <v/>
      </c>
      <c r="H24" s="41" t="str">
        <f t="shared" si="4"/>
        <v/>
      </c>
      <c r="I24" s="63" t="str">
        <f t="shared" si="4"/>
        <v/>
      </c>
      <c r="J24" s="65" t="str">
        <f t="shared" si="4"/>
        <v/>
      </c>
      <c r="K24" s="41" t="str">
        <f t="shared" si="4"/>
        <v/>
      </c>
      <c r="L24" s="41" t="str">
        <f t="shared" si="4"/>
        <v/>
      </c>
      <c r="M24" s="41" t="str">
        <f t="shared" si="4"/>
        <v/>
      </c>
      <c r="N24" s="41" t="str">
        <f t="shared" si="4"/>
        <v/>
      </c>
      <c r="O24" s="41" t="str">
        <f t="shared" si="4"/>
        <v/>
      </c>
      <c r="P24" s="41" t="str">
        <f t="shared" si="4"/>
        <v/>
      </c>
    </row>
    <row r="25" spans="1:21" x14ac:dyDescent="0.25">
      <c r="B25" s="73" t="s">
        <v>28</v>
      </c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</row>
    <row r="26" spans="1:21" x14ac:dyDescent="0.25"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</row>
    <row r="27" spans="1:21" x14ac:dyDescent="0.25">
      <c r="A27" s="32"/>
      <c r="B27" s="82" t="s">
        <v>13</v>
      </c>
      <c r="C27" s="83"/>
      <c r="D27" s="83"/>
      <c r="E27" s="83"/>
      <c r="F27" s="83"/>
      <c r="G27" s="83"/>
      <c r="H27" s="83"/>
      <c r="I27" s="84"/>
      <c r="J27" s="85" t="s">
        <v>14</v>
      </c>
      <c r="K27" s="86"/>
      <c r="L27" s="86"/>
      <c r="M27" s="86"/>
      <c r="N27" s="86"/>
      <c r="O27" s="86"/>
      <c r="P27" s="87"/>
    </row>
    <row r="28" spans="1:21" x14ac:dyDescent="0.2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ht="17.25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ht="17.25" x14ac:dyDescent="0.35">
      <c r="A30" s="35" t="s">
        <v>1</v>
      </c>
      <c r="B30" s="40">
        <f t="shared" ref="B30:P30" si="5">IFERROR(AVERAGE(B$34:B$36),"")</f>
        <v>0</v>
      </c>
      <c r="C30" s="40">
        <f t="shared" si="5"/>
        <v>0</v>
      </c>
      <c r="D30" s="40">
        <f t="shared" si="5"/>
        <v>0</v>
      </c>
      <c r="E30" s="40">
        <f t="shared" si="5"/>
        <v>0</v>
      </c>
      <c r="F30" s="40">
        <f t="shared" si="5"/>
        <v>0</v>
      </c>
      <c r="G30" s="40">
        <f t="shared" si="5"/>
        <v>0</v>
      </c>
      <c r="H30" s="40">
        <f t="shared" si="5"/>
        <v>0</v>
      </c>
      <c r="I30" s="53">
        <f t="shared" si="5"/>
        <v>0</v>
      </c>
      <c r="J30" s="55">
        <f t="shared" si="5"/>
        <v>0</v>
      </c>
      <c r="K30" s="40">
        <f t="shared" si="5"/>
        <v>0</v>
      </c>
      <c r="L30" s="40">
        <f t="shared" si="5"/>
        <v>0</v>
      </c>
      <c r="M30" s="40">
        <f t="shared" si="5"/>
        <v>0</v>
      </c>
      <c r="N30" s="40">
        <f t="shared" si="5"/>
        <v>0</v>
      </c>
      <c r="O30" s="40">
        <f t="shared" si="5"/>
        <v>0</v>
      </c>
      <c r="P30" s="40">
        <f t="shared" si="5"/>
        <v>0</v>
      </c>
      <c r="Q30" s="34"/>
    </row>
    <row r="31" spans="1:21" ht="17.25" x14ac:dyDescent="0.35">
      <c r="A31" s="35" t="s">
        <v>2</v>
      </c>
      <c r="B31" s="40">
        <f>IFERROR(AVERAGE(B$37:B$40),"")</f>
        <v>0</v>
      </c>
      <c r="C31" s="40">
        <f t="shared" ref="C31:P31" si="6">IFERROR(AVERAGE(C$37:C$40),"")</f>
        <v>0</v>
      </c>
      <c r="D31" s="40">
        <f t="shared" si="6"/>
        <v>0</v>
      </c>
      <c r="E31" s="40">
        <f t="shared" si="6"/>
        <v>0</v>
      </c>
      <c r="F31" s="40">
        <f t="shared" si="6"/>
        <v>0</v>
      </c>
      <c r="G31" s="40">
        <f t="shared" si="6"/>
        <v>0</v>
      </c>
      <c r="H31" s="40">
        <f t="shared" si="6"/>
        <v>0</v>
      </c>
      <c r="I31" s="53">
        <f t="shared" si="6"/>
        <v>0</v>
      </c>
      <c r="J31" s="55">
        <f t="shared" si="6"/>
        <v>0</v>
      </c>
      <c r="K31" s="40">
        <f t="shared" si="6"/>
        <v>0</v>
      </c>
      <c r="L31" s="40">
        <f t="shared" si="6"/>
        <v>0</v>
      </c>
      <c r="M31" s="40">
        <f t="shared" si="6"/>
        <v>0</v>
      </c>
      <c r="N31" s="40">
        <f t="shared" si="6"/>
        <v>0</v>
      </c>
      <c r="O31" s="40">
        <f t="shared" si="6"/>
        <v>0</v>
      </c>
      <c r="P31" s="40">
        <f t="shared" si="6"/>
        <v>0</v>
      </c>
      <c r="Q31" s="34"/>
    </row>
    <row r="32" spans="1:21" ht="17.25" x14ac:dyDescent="0.35">
      <c r="A32" s="35" t="s">
        <v>27</v>
      </c>
      <c r="B32" s="48">
        <f t="shared" ref="B32:P32" si="7">IFERROR(ABS(B$31-B$30), "")</f>
        <v>0</v>
      </c>
      <c r="C32" s="48">
        <f t="shared" si="7"/>
        <v>0</v>
      </c>
      <c r="D32" s="48">
        <f t="shared" si="7"/>
        <v>0</v>
      </c>
      <c r="E32" s="48">
        <f t="shared" si="7"/>
        <v>0</v>
      </c>
      <c r="F32" s="48">
        <f t="shared" si="7"/>
        <v>0</v>
      </c>
      <c r="G32" s="48">
        <f t="shared" si="7"/>
        <v>0</v>
      </c>
      <c r="H32" s="48">
        <f t="shared" si="7"/>
        <v>0</v>
      </c>
      <c r="I32" s="62">
        <f t="shared" si="7"/>
        <v>0</v>
      </c>
      <c r="J32" s="64">
        <f t="shared" si="7"/>
        <v>0</v>
      </c>
      <c r="K32" s="48">
        <f t="shared" si="7"/>
        <v>0</v>
      </c>
      <c r="L32" s="48">
        <f t="shared" si="7"/>
        <v>0</v>
      </c>
      <c r="M32" s="48">
        <f t="shared" si="7"/>
        <v>0</v>
      </c>
      <c r="N32" s="48">
        <f t="shared" si="7"/>
        <v>0</v>
      </c>
      <c r="O32" s="48">
        <f t="shared" si="7"/>
        <v>0</v>
      </c>
      <c r="P32" s="48">
        <f t="shared" si="7"/>
        <v>0</v>
      </c>
      <c r="Q32" s="72"/>
    </row>
    <row r="33" spans="1:18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ht="17.25" x14ac:dyDescent="0.35">
      <c r="A34" s="51">
        <f>A14</f>
        <v>44101</v>
      </c>
      <c r="B34" s="42">
        <f>B14</f>
        <v>0</v>
      </c>
      <c r="C34" s="42">
        <f t="shared" ref="C34:P34" si="8">C14</f>
        <v>0</v>
      </c>
      <c r="D34" s="42">
        <f t="shared" si="8"/>
        <v>0</v>
      </c>
      <c r="E34" s="42">
        <f t="shared" si="8"/>
        <v>0</v>
      </c>
      <c r="F34" s="42">
        <f t="shared" si="8"/>
        <v>0</v>
      </c>
      <c r="G34" s="42">
        <f t="shared" si="8"/>
        <v>0</v>
      </c>
      <c r="H34" s="42">
        <f t="shared" si="8"/>
        <v>0</v>
      </c>
      <c r="I34" s="42">
        <f t="shared" si="8"/>
        <v>0</v>
      </c>
      <c r="J34" s="42">
        <f t="shared" si="8"/>
        <v>0</v>
      </c>
      <c r="K34" s="42">
        <f t="shared" si="8"/>
        <v>0</v>
      </c>
      <c r="L34" s="42">
        <f t="shared" si="8"/>
        <v>0</v>
      </c>
      <c r="M34" s="42">
        <f t="shared" si="8"/>
        <v>0</v>
      </c>
      <c r="N34" s="42">
        <f t="shared" si="8"/>
        <v>0</v>
      </c>
      <c r="O34" s="42">
        <f t="shared" si="8"/>
        <v>0</v>
      </c>
      <c r="P34" s="42">
        <f t="shared" si="8"/>
        <v>0</v>
      </c>
      <c r="Q34" s="34"/>
    </row>
    <row r="35" spans="1:18" ht="17.25" x14ac:dyDescent="0.35">
      <c r="A35" s="51">
        <f>A15</f>
        <v>44102</v>
      </c>
      <c r="B35" s="42">
        <f>B15</f>
        <v>0</v>
      </c>
      <c r="C35" s="42">
        <f t="shared" ref="C35:P35" si="9">C15</f>
        <v>0</v>
      </c>
      <c r="D35" s="42">
        <f t="shared" si="9"/>
        <v>0</v>
      </c>
      <c r="E35" s="42">
        <f t="shared" si="9"/>
        <v>0</v>
      </c>
      <c r="F35" s="42">
        <f t="shared" si="9"/>
        <v>0</v>
      </c>
      <c r="G35" s="42">
        <f t="shared" si="9"/>
        <v>0</v>
      </c>
      <c r="H35" s="42">
        <f t="shared" si="9"/>
        <v>0</v>
      </c>
      <c r="I35" s="42">
        <f t="shared" si="9"/>
        <v>0</v>
      </c>
      <c r="J35" s="42">
        <f t="shared" si="9"/>
        <v>0</v>
      </c>
      <c r="K35" s="42">
        <f t="shared" si="9"/>
        <v>0</v>
      </c>
      <c r="L35" s="42">
        <f t="shared" si="9"/>
        <v>0</v>
      </c>
      <c r="M35" s="42">
        <f t="shared" si="9"/>
        <v>0</v>
      </c>
      <c r="N35" s="42">
        <f t="shared" si="9"/>
        <v>0</v>
      </c>
      <c r="O35" s="42">
        <f t="shared" si="9"/>
        <v>0</v>
      </c>
      <c r="P35" s="42">
        <f t="shared" si="9"/>
        <v>0</v>
      </c>
      <c r="Q35" s="34"/>
    </row>
    <row r="36" spans="1:18" ht="17.25" x14ac:dyDescent="0.35">
      <c r="A36" s="51">
        <f>A16</f>
        <v>44103</v>
      </c>
      <c r="B36" s="42">
        <f t="shared" ref="B36:P40" si="10">B16</f>
        <v>0</v>
      </c>
      <c r="C36" s="42">
        <f t="shared" si="10"/>
        <v>0</v>
      </c>
      <c r="D36" s="42">
        <f t="shared" si="10"/>
        <v>0</v>
      </c>
      <c r="E36" s="42">
        <f t="shared" si="10"/>
        <v>0</v>
      </c>
      <c r="F36" s="42">
        <f t="shared" si="10"/>
        <v>0</v>
      </c>
      <c r="G36" s="42">
        <f t="shared" si="10"/>
        <v>0</v>
      </c>
      <c r="H36" s="42">
        <f t="shared" si="10"/>
        <v>0</v>
      </c>
      <c r="I36" s="42">
        <f t="shared" si="10"/>
        <v>0</v>
      </c>
      <c r="J36" s="42">
        <f t="shared" si="10"/>
        <v>0</v>
      </c>
      <c r="K36" s="42">
        <f t="shared" si="10"/>
        <v>0</v>
      </c>
      <c r="L36" s="42">
        <f t="shared" si="10"/>
        <v>0</v>
      </c>
      <c r="M36" s="42">
        <f t="shared" si="10"/>
        <v>0</v>
      </c>
      <c r="N36" s="42">
        <f t="shared" si="10"/>
        <v>0</v>
      </c>
      <c r="O36" s="42">
        <f t="shared" si="10"/>
        <v>0</v>
      </c>
      <c r="P36" s="42">
        <f t="shared" si="10"/>
        <v>0</v>
      </c>
      <c r="Q36" s="34"/>
    </row>
    <row r="37" spans="1:18" ht="17.25" x14ac:dyDescent="0.35">
      <c r="A37" s="51">
        <f>A17</f>
        <v>44104</v>
      </c>
      <c r="B37" s="42">
        <f t="shared" si="10"/>
        <v>0</v>
      </c>
      <c r="C37" s="42">
        <f t="shared" si="10"/>
        <v>0</v>
      </c>
      <c r="D37" s="42">
        <f t="shared" si="10"/>
        <v>0</v>
      </c>
      <c r="E37" s="42">
        <f t="shared" si="10"/>
        <v>0</v>
      </c>
      <c r="F37" s="42">
        <f t="shared" si="10"/>
        <v>0</v>
      </c>
      <c r="G37" s="42">
        <f t="shared" si="10"/>
        <v>0</v>
      </c>
      <c r="H37" s="42">
        <f t="shared" si="10"/>
        <v>0</v>
      </c>
      <c r="I37" s="42">
        <f t="shared" si="10"/>
        <v>0</v>
      </c>
      <c r="J37" s="42">
        <f t="shared" si="10"/>
        <v>0</v>
      </c>
      <c r="K37" s="42">
        <f t="shared" si="10"/>
        <v>0</v>
      </c>
      <c r="L37" s="42">
        <f t="shared" si="10"/>
        <v>0</v>
      </c>
      <c r="M37" s="42">
        <f t="shared" si="10"/>
        <v>0</v>
      </c>
      <c r="N37" s="42">
        <f t="shared" si="10"/>
        <v>0</v>
      </c>
      <c r="O37" s="42">
        <f t="shared" si="10"/>
        <v>0</v>
      </c>
      <c r="P37" s="42">
        <f t="shared" si="10"/>
        <v>0</v>
      </c>
      <c r="Q37" s="34"/>
    </row>
    <row r="38" spans="1:18" ht="17.25" x14ac:dyDescent="0.35">
      <c r="A38" s="51">
        <f>A18</f>
        <v>44105</v>
      </c>
      <c r="B38" s="42">
        <f t="shared" si="10"/>
        <v>0</v>
      </c>
      <c r="C38" s="42">
        <f t="shared" si="10"/>
        <v>0</v>
      </c>
      <c r="D38" s="42">
        <f t="shared" si="10"/>
        <v>0</v>
      </c>
      <c r="E38" s="42">
        <f t="shared" si="10"/>
        <v>0</v>
      </c>
      <c r="F38" s="42">
        <f t="shared" si="10"/>
        <v>0</v>
      </c>
      <c r="G38" s="42">
        <f t="shared" si="10"/>
        <v>0</v>
      </c>
      <c r="H38" s="42">
        <f t="shared" si="10"/>
        <v>0</v>
      </c>
      <c r="I38" s="42">
        <f t="shared" si="10"/>
        <v>0</v>
      </c>
      <c r="J38" s="42">
        <f t="shared" si="10"/>
        <v>0</v>
      </c>
      <c r="K38" s="42">
        <f t="shared" si="10"/>
        <v>0</v>
      </c>
      <c r="L38" s="42">
        <f t="shared" si="10"/>
        <v>0</v>
      </c>
      <c r="M38" s="42">
        <f t="shared" si="10"/>
        <v>0</v>
      </c>
      <c r="N38" s="42">
        <f t="shared" si="10"/>
        <v>0</v>
      </c>
      <c r="O38" s="42">
        <f t="shared" si="10"/>
        <v>0</v>
      </c>
      <c r="P38" s="42">
        <f t="shared" si="10"/>
        <v>0</v>
      </c>
      <c r="Q38" s="34"/>
    </row>
    <row r="39" spans="1:18" ht="17.25" x14ac:dyDescent="0.35">
      <c r="A39" s="51">
        <f>A19</f>
        <v>44106</v>
      </c>
      <c r="B39" s="42">
        <f t="shared" si="10"/>
        <v>0</v>
      </c>
      <c r="C39" s="42">
        <f t="shared" si="10"/>
        <v>0</v>
      </c>
      <c r="D39" s="42">
        <f t="shared" si="10"/>
        <v>0</v>
      </c>
      <c r="E39" s="42">
        <f t="shared" si="10"/>
        <v>0</v>
      </c>
      <c r="F39" s="42">
        <f t="shared" si="10"/>
        <v>0</v>
      </c>
      <c r="G39" s="42">
        <f t="shared" si="10"/>
        <v>0</v>
      </c>
      <c r="H39" s="42">
        <f t="shared" si="10"/>
        <v>0</v>
      </c>
      <c r="I39" s="42">
        <f t="shared" si="10"/>
        <v>0</v>
      </c>
      <c r="J39" s="42">
        <f t="shared" si="10"/>
        <v>0</v>
      </c>
      <c r="K39" s="42">
        <f t="shared" si="10"/>
        <v>0</v>
      </c>
      <c r="L39" s="42">
        <f t="shared" si="10"/>
        <v>0</v>
      </c>
      <c r="M39" s="42">
        <f t="shared" si="10"/>
        <v>0</v>
      </c>
      <c r="N39" s="42">
        <f t="shared" si="10"/>
        <v>0</v>
      </c>
      <c r="O39" s="42">
        <f t="shared" si="10"/>
        <v>0</v>
      </c>
      <c r="P39" s="42">
        <f t="shared" si="10"/>
        <v>0</v>
      </c>
      <c r="Q39" s="34"/>
    </row>
    <row r="40" spans="1:18" ht="17.25" x14ac:dyDescent="0.35">
      <c r="A40" s="51">
        <f>A20</f>
        <v>44107</v>
      </c>
      <c r="B40" s="42">
        <f t="shared" si="10"/>
        <v>0</v>
      </c>
      <c r="C40" s="42">
        <f t="shared" si="10"/>
        <v>0</v>
      </c>
      <c r="D40" s="42">
        <f t="shared" si="10"/>
        <v>0</v>
      </c>
      <c r="E40" s="42">
        <f t="shared" si="10"/>
        <v>0</v>
      </c>
      <c r="F40" s="42">
        <f t="shared" si="10"/>
        <v>0</v>
      </c>
      <c r="G40" s="42">
        <f t="shared" si="10"/>
        <v>0</v>
      </c>
      <c r="H40" s="42">
        <f t="shared" si="10"/>
        <v>0</v>
      </c>
      <c r="I40" s="42">
        <f t="shared" si="10"/>
        <v>0</v>
      </c>
      <c r="J40" s="42">
        <f t="shared" si="10"/>
        <v>0</v>
      </c>
      <c r="K40" s="42">
        <f t="shared" si="10"/>
        <v>0</v>
      </c>
      <c r="L40" s="42">
        <f t="shared" si="10"/>
        <v>0</v>
      </c>
      <c r="M40" s="42">
        <f t="shared" si="10"/>
        <v>0</v>
      </c>
      <c r="N40" s="42">
        <f t="shared" si="10"/>
        <v>0</v>
      </c>
      <c r="O40" s="42">
        <f t="shared" si="10"/>
        <v>0</v>
      </c>
      <c r="P40" s="42">
        <f t="shared" si="10"/>
        <v>0</v>
      </c>
      <c r="Q40" s="34"/>
    </row>
    <row r="41" spans="1:18" ht="17.25" x14ac:dyDescent="0.35">
      <c r="A41" s="35"/>
      <c r="B41" s="69"/>
      <c r="C41" s="69"/>
      <c r="D41" s="69"/>
      <c r="E41" s="69"/>
      <c r="F41" s="37"/>
      <c r="G41" s="69"/>
      <c r="H41" s="69"/>
      <c r="I41" s="69"/>
      <c r="J41" s="69"/>
      <c r="K41" s="37"/>
      <c r="L41" s="69"/>
      <c r="M41" s="69"/>
      <c r="N41" s="69"/>
      <c r="O41" s="69"/>
      <c r="P41" s="69"/>
      <c r="Q41" s="34"/>
    </row>
    <row r="42" spans="1:18" ht="17.25" x14ac:dyDescent="0.35">
      <c r="A42" s="35" t="s">
        <v>3</v>
      </c>
      <c r="B42" s="48"/>
      <c r="C42" s="48"/>
      <c r="D42" s="48"/>
      <c r="E42" s="48"/>
      <c r="F42" s="48"/>
      <c r="G42" s="48"/>
      <c r="H42" s="48"/>
      <c r="I42" s="62"/>
      <c r="J42" s="64"/>
      <c r="K42" s="48"/>
      <c r="L42" s="48"/>
      <c r="M42" s="48"/>
      <c r="N42" s="48"/>
      <c r="O42" s="48"/>
      <c r="P42" s="48"/>
      <c r="Q42" s="34"/>
    </row>
    <row r="43" spans="1:18" ht="17.25" x14ac:dyDescent="0.35">
      <c r="A43" s="35" t="s">
        <v>4</v>
      </c>
      <c r="B43" s="48">
        <f>IFERROR(AVERAGE(B34:B40),"")</f>
        <v>0</v>
      </c>
      <c r="C43" s="48">
        <f>IFERROR(AVERAGE(C34:C40),"")</f>
        <v>0</v>
      </c>
      <c r="D43" s="48">
        <f>IFERROR(AVERAGE(D34:D40),"")</f>
        <v>0</v>
      </c>
      <c r="E43" s="48">
        <f>IFERROR(AVERAGE(E34:E40),"")</f>
        <v>0</v>
      </c>
      <c r="F43" s="48">
        <f t="shared" ref="F43:N43" si="11">IFERROR(AVERAGE(F34:F40),"")</f>
        <v>0</v>
      </c>
      <c r="G43" s="48">
        <f t="shared" si="11"/>
        <v>0</v>
      </c>
      <c r="H43" s="48">
        <f t="shared" si="11"/>
        <v>0</v>
      </c>
      <c r="I43" s="62">
        <f t="shared" si="11"/>
        <v>0</v>
      </c>
      <c r="J43" s="64">
        <f>IFERROR(AVERAGE(J34:J40),"")</f>
        <v>0</v>
      </c>
      <c r="K43" s="48">
        <f>IFERROR(AVERAGE(K34:K40),"")</f>
        <v>0</v>
      </c>
      <c r="L43" s="48">
        <f>IFERROR(AVERAGE(L34:L40),"")</f>
        <v>0</v>
      </c>
      <c r="M43" s="48">
        <f>IFERROR(AVERAGE(M34:M40),"")</f>
        <v>0</v>
      </c>
      <c r="N43" s="48">
        <f t="shared" si="11"/>
        <v>0</v>
      </c>
      <c r="O43" s="48">
        <f>IFERROR(AVERAGE(O34:O40),"")</f>
        <v>0</v>
      </c>
      <c r="P43" s="48">
        <f>IFERROR(AVERAGE(P34:P40),"")</f>
        <v>0</v>
      </c>
      <c r="Q43" s="34"/>
    </row>
    <row r="44" spans="1:18" ht="17.25" x14ac:dyDescent="0.35">
      <c r="A44" s="35" t="s">
        <v>5</v>
      </c>
      <c r="B44" s="41" t="str">
        <f>IFERROR((B43-B42)/B42,"")</f>
        <v/>
      </c>
      <c r="C44" s="41" t="str">
        <f t="shared" ref="C44:P44" si="12">IFERROR(-(C42-C43)/C42,"")</f>
        <v/>
      </c>
      <c r="D44" s="41" t="str">
        <f t="shared" si="12"/>
        <v/>
      </c>
      <c r="E44" s="41" t="str">
        <f t="shared" si="12"/>
        <v/>
      </c>
      <c r="F44" s="41" t="str">
        <f t="shared" si="12"/>
        <v/>
      </c>
      <c r="G44" s="41" t="str">
        <f t="shared" si="12"/>
        <v/>
      </c>
      <c r="H44" s="41" t="str">
        <f t="shared" si="12"/>
        <v/>
      </c>
      <c r="I44" s="63" t="str">
        <f t="shared" si="12"/>
        <v/>
      </c>
      <c r="J44" s="65" t="str">
        <f t="shared" si="12"/>
        <v/>
      </c>
      <c r="K44" s="41" t="str">
        <f t="shared" si="12"/>
        <v/>
      </c>
      <c r="L44" s="41" t="str">
        <f t="shared" si="12"/>
        <v/>
      </c>
      <c r="M44" s="41" t="str">
        <f t="shared" si="12"/>
        <v/>
      </c>
      <c r="N44" s="41" t="str">
        <f t="shared" si="12"/>
        <v/>
      </c>
      <c r="O44" s="41" t="str">
        <f t="shared" si="12"/>
        <v/>
      </c>
      <c r="P44" s="41" t="str">
        <f t="shared" si="12"/>
        <v/>
      </c>
    </row>
    <row r="45" spans="1:18" x14ac:dyDescent="0.25">
      <c r="B45" s="33" t="s">
        <v>29</v>
      </c>
    </row>
  </sheetData>
  <mergeCells count="7">
    <mergeCell ref="S1:V1"/>
    <mergeCell ref="S9:W9"/>
    <mergeCell ref="B27:I27"/>
    <mergeCell ref="J27:P27"/>
    <mergeCell ref="B5:D5"/>
    <mergeCell ref="B7:I7"/>
    <mergeCell ref="J7:P7"/>
  </mergeCells>
  <conditionalFormatting sqref="B10:P11">
    <cfRule type="colorScale" priority="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77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51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Procedure.mainProcedure">
                <anchor moveWithCells="1" sizeWithCells="1">
                  <from>
                    <xdr:col>2</xdr:col>
                    <xdr:colOff>228600</xdr:colOff>
                    <xdr:row>0</xdr:row>
                    <xdr:rowOff>95250</xdr:rowOff>
                  </from>
                  <to>
                    <xdr:col>5</xdr:col>
                    <xdr:colOff>142875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PPR">
                <anchor moveWithCells="1" sizeWithCells="1">
                  <from>
                    <xdr:col>2</xdr:col>
                    <xdr:colOff>209550</xdr:colOff>
                    <xdr:row>3</xdr:row>
                    <xdr:rowOff>9525</xdr:rowOff>
                  </from>
                  <to>
                    <xdr:col>5</xdr:col>
                    <xdr:colOff>171450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7"/>
  <sheetViews>
    <sheetView workbookViewId="0">
      <selection activeCell="B10" sqref="B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</cols>
  <sheetData>
    <row r="1" spans="1:10" x14ac:dyDescent="0.25">
      <c r="A1" s="1"/>
      <c r="B1" s="90" t="s">
        <v>13</v>
      </c>
      <c r="C1" s="91"/>
      <c r="D1" s="91"/>
      <c r="E1" s="91"/>
      <c r="F1" s="92"/>
      <c r="G1" s="89" t="s">
        <v>14</v>
      </c>
      <c r="H1" s="89"/>
      <c r="I1" s="89"/>
      <c r="J1" s="89"/>
    </row>
    <row r="2" spans="1:10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0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0" x14ac:dyDescent="0.25">
      <c r="A4" s="1" t="s">
        <v>1</v>
      </c>
      <c r="B4" s="5">
        <f>IFERROR(AVERAGE(B7:B10),"")</f>
        <v>999.25</v>
      </c>
      <c r="C4" s="5">
        <f t="shared" ref="C4:J4" si="0">IFERROR(AVERAGE(C7:C10),"")</f>
        <v>305.25</v>
      </c>
      <c r="D4" s="5">
        <f t="shared" si="0"/>
        <v>67</v>
      </c>
      <c r="E4" s="5">
        <f t="shared" si="0"/>
        <v>218.5</v>
      </c>
      <c r="F4" s="4">
        <f t="shared" si="0"/>
        <v>8</v>
      </c>
      <c r="G4" s="5">
        <f t="shared" si="0"/>
        <v>47</v>
      </c>
      <c r="H4" s="4">
        <f t="shared" si="0"/>
        <v>12.15</v>
      </c>
      <c r="I4" s="5">
        <f t="shared" si="0"/>
        <v>577</v>
      </c>
      <c r="J4" s="5">
        <f t="shared" si="0"/>
        <v>204.5</v>
      </c>
    </row>
    <row r="5" spans="1:10" x14ac:dyDescent="0.25">
      <c r="A5" s="1" t="s">
        <v>2</v>
      </c>
      <c r="B5" s="5">
        <f>IFERROR(AVERAGE(B10:B13),"")</f>
        <v>1049.6666666666667</v>
      </c>
      <c r="C5" s="5">
        <f t="shared" ref="C5:J5" si="1">IFERROR(AVERAGE(C10:C13),"")</f>
        <v>331.25</v>
      </c>
      <c r="D5" s="5">
        <f t="shared" si="1"/>
        <v>62</v>
      </c>
      <c r="E5" s="5">
        <f t="shared" si="1"/>
        <v>231.75</v>
      </c>
      <c r="F5" s="4">
        <f t="shared" si="1"/>
        <v>8.7750000000000004</v>
      </c>
      <c r="G5" s="5">
        <f t="shared" si="1"/>
        <v>45.75</v>
      </c>
      <c r="H5" s="4">
        <f t="shared" si="1"/>
        <v>6.25</v>
      </c>
      <c r="I5" s="5">
        <f t="shared" si="1"/>
        <v>770.75</v>
      </c>
      <c r="J5" s="5">
        <f t="shared" si="1"/>
        <v>383.25</v>
      </c>
    </row>
    <row r="7" spans="1:10" x14ac:dyDescent="0.25">
      <c r="A7" s="3">
        <v>43849</v>
      </c>
      <c r="B7" s="8">
        <v>1223</v>
      </c>
      <c r="C7" s="9">
        <v>316</v>
      </c>
      <c r="D7" s="8">
        <v>61</v>
      </c>
      <c r="E7" s="8">
        <v>202</v>
      </c>
      <c r="F7" s="8">
        <v>8.4</v>
      </c>
      <c r="G7" s="8">
        <v>41</v>
      </c>
      <c r="H7" s="8">
        <v>26</v>
      </c>
      <c r="I7" s="8">
        <v>558</v>
      </c>
      <c r="J7" s="8">
        <v>310</v>
      </c>
    </row>
    <row r="8" spans="1:10" x14ac:dyDescent="0.25">
      <c r="A8" s="3">
        <v>43850</v>
      </c>
      <c r="B8" s="8">
        <v>987</v>
      </c>
      <c r="C8" s="8">
        <v>321</v>
      </c>
      <c r="D8" s="8">
        <v>68</v>
      </c>
      <c r="E8" s="8">
        <v>217</v>
      </c>
      <c r="F8" s="8">
        <v>7.9</v>
      </c>
      <c r="G8" s="8">
        <v>43</v>
      </c>
      <c r="H8" s="8">
        <v>11.1</v>
      </c>
      <c r="I8" s="8">
        <v>454</v>
      </c>
      <c r="J8" s="8">
        <v>209</v>
      </c>
    </row>
    <row r="9" spans="1:10" x14ac:dyDescent="0.25">
      <c r="A9" s="3">
        <v>43851</v>
      </c>
      <c r="B9" s="8">
        <v>886</v>
      </c>
      <c r="C9" s="8">
        <v>308</v>
      </c>
      <c r="D9" s="8">
        <v>76</v>
      </c>
      <c r="E9" s="8">
        <v>229</v>
      </c>
      <c r="F9" s="8">
        <v>7.4</v>
      </c>
      <c r="G9" s="8">
        <v>53</v>
      </c>
      <c r="H9" s="8">
        <v>4.5</v>
      </c>
      <c r="I9" s="8">
        <v>428</v>
      </c>
      <c r="J9" s="8">
        <v>126</v>
      </c>
    </row>
    <row r="10" spans="1:10" x14ac:dyDescent="0.25">
      <c r="A10" s="3">
        <v>43852</v>
      </c>
      <c r="B10" s="11">
        <v>901</v>
      </c>
      <c r="C10" s="11">
        <v>276</v>
      </c>
      <c r="D10" s="11">
        <v>63</v>
      </c>
      <c r="E10" s="11">
        <v>226</v>
      </c>
      <c r="F10" s="11">
        <v>8.3000000000000007</v>
      </c>
      <c r="G10" s="11">
        <v>51</v>
      </c>
      <c r="H10" s="11">
        <v>7</v>
      </c>
      <c r="I10" s="11">
        <v>868</v>
      </c>
      <c r="J10" s="11">
        <v>173</v>
      </c>
    </row>
    <row r="11" spans="1:10" x14ac:dyDescent="0.25">
      <c r="A11" s="3">
        <v>43853</v>
      </c>
      <c r="B11" s="10"/>
      <c r="C11" s="10">
        <v>381</v>
      </c>
      <c r="D11" s="10">
        <v>70</v>
      </c>
      <c r="E11" s="10">
        <v>189</v>
      </c>
      <c r="F11" s="10">
        <v>6.3</v>
      </c>
      <c r="G11" s="10">
        <v>40</v>
      </c>
      <c r="H11" s="10">
        <v>7.5</v>
      </c>
      <c r="I11" s="10">
        <v>952</v>
      </c>
      <c r="J11" s="10">
        <v>192</v>
      </c>
    </row>
    <row r="12" spans="1:10" x14ac:dyDescent="0.25">
      <c r="A12" s="3">
        <v>43854</v>
      </c>
      <c r="B12" s="10">
        <v>1239</v>
      </c>
      <c r="C12" s="10">
        <v>345</v>
      </c>
      <c r="D12" s="10">
        <v>57</v>
      </c>
      <c r="E12" s="10">
        <v>259</v>
      </c>
      <c r="F12" s="10">
        <v>9.6999999999999993</v>
      </c>
      <c r="G12" s="10">
        <v>42</v>
      </c>
      <c r="H12" s="10">
        <v>5.9</v>
      </c>
      <c r="I12" s="10">
        <v>663</v>
      </c>
      <c r="J12" s="10">
        <v>150</v>
      </c>
    </row>
    <row r="13" spans="1:10" x14ac:dyDescent="0.25">
      <c r="A13" s="3">
        <v>43855</v>
      </c>
      <c r="B13" s="10">
        <v>1009</v>
      </c>
      <c r="C13" s="10">
        <v>323</v>
      </c>
      <c r="D13" s="10">
        <v>58</v>
      </c>
      <c r="E13" s="10">
        <v>253</v>
      </c>
      <c r="F13" s="10">
        <v>10.8</v>
      </c>
      <c r="G13" s="10">
        <v>50</v>
      </c>
      <c r="H13" s="10">
        <v>4.5999999999999996</v>
      </c>
      <c r="I13" s="10">
        <v>600</v>
      </c>
      <c r="J13" s="10">
        <v>1018</v>
      </c>
    </row>
    <row r="15" spans="1:10" x14ac:dyDescent="0.25">
      <c r="A15" s="1" t="s">
        <v>3</v>
      </c>
      <c r="B15" s="5">
        <v>729</v>
      </c>
      <c r="C15" s="5">
        <v>318</v>
      </c>
      <c r="D15" s="5">
        <v>64</v>
      </c>
      <c r="E15" s="5">
        <v>182</v>
      </c>
      <c r="F15" s="4">
        <v>6.7</v>
      </c>
      <c r="G15" s="5">
        <v>308</v>
      </c>
      <c r="H15" s="5">
        <v>6.4</v>
      </c>
      <c r="I15" s="5">
        <v>705</v>
      </c>
      <c r="J15" s="5">
        <v>169</v>
      </c>
    </row>
    <row r="16" spans="1:10" x14ac:dyDescent="0.25">
      <c r="A16" s="1" t="s">
        <v>4</v>
      </c>
      <c r="B16" s="5">
        <f>IFERROR(AVERAGE(B7:B13),"")</f>
        <v>1040.8333333333333</v>
      </c>
      <c r="C16" s="5">
        <f t="shared" ref="C16:J16" si="2">IFERROR(AVERAGE(C7:C13),"")</f>
        <v>324.28571428571428</v>
      </c>
      <c r="D16" s="5">
        <f t="shared" si="2"/>
        <v>64.714285714285708</v>
      </c>
      <c r="E16" s="5">
        <f t="shared" si="2"/>
        <v>225</v>
      </c>
      <c r="F16" s="4">
        <f t="shared" si="2"/>
        <v>8.4</v>
      </c>
      <c r="G16" s="5">
        <f t="shared" si="2"/>
        <v>45.714285714285715</v>
      </c>
      <c r="H16" s="5">
        <f t="shared" si="2"/>
        <v>9.5142857142857142</v>
      </c>
      <c r="I16" s="5">
        <f t="shared" si="2"/>
        <v>646.14285714285711</v>
      </c>
      <c r="J16" s="5">
        <f t="shared" si="2"/>
        <v>311.14285714285717</v>
      </c>
    </row>
    <row r="17" spans="1:10" x14ac:dyDescent="0.25">
      <c r="A17" s="1" t="s">
        <v>5</v>
      </c>
      <c r="B17" s="6">
        <f>IFERROR(-(B15-B16)/B15,"")</f>
        <v>0.42775491540923627</v>
      </c>
      <c r="C17" s="6">
        <f t="shared" ref="C17:J17" si="3">IFERROR(-(C15-C16)/C15,"")</f>
        <v>1.9766397124887664E-2</v>
      </c>
      <c r="D17" s="6">
        <f t="shared" si="3"/>
        <v>1.1160714285714191E-2</v>
      </c>
      <c r="E17" s="6">
        <f t="shared" si="3"/>
        <v>0.23626373626373626</v>
      </c>
      <c r="F17" s="6">
        <f t="shared" si="3"/>
        <v>0.2537313432835821</v>
      </c>
      <c r="G17" s="6">
        <f t="shared" si="3"/>
        <v>-0.85157699443413726</v>
      </c>
      <c r="H17" s="6">
        <f t="shared" si="3"/>
        <v>0.48660714285714279</v>
      </c>
      <c r="I17" s="6">
        <f t="shared" si="3"/>
        <v>-8.3485309017223952E-2</v>
      </c>
      <c r="J17" s="6">
        <f t="shared" si="3"/>
        <v>0.84108199492814895</v>
      </c>
    </row>
  </sheetData>
  <mergeCells count="2">
    <mergeCell ref="G1:J1"/>
    <mergeCell ref="B1:F1"/>
  </mergeCells>
  <conditionalFormatting sqref="B4:B5">
    <cfRule type="top10" dxfId="242" priority="26" bottom="1" rank="1"/>
    <cfRule type="top10" dxfId="241" priority="27" rank="1"/>
  </conditionalFormatting>
  <conditionalFormatting sqref="B17">
    <cfRule type="cellIs" dxfId="240" priority="24" operator="greaterThanOrEqual">
      <formula>0</formula>
    </cfRule>
    <cfRule type="cellIs" dxfId="239" priority="25" operator="lessThan">
      <formula>0</formula>
    </cfRule>
  </conditionalFormatting>
  <conditionalFormatting sqref="C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38" priority="23" rank="1"/>
  </conditionalFormatting>
  <conditionalFormatting sqref="C5">
    <cfRule type="top10" dxfId="237" priority="22" bottom="1" rank="1"/>
  </conditionalFormatting>
  <conditionalFormatting sqref="D4:D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7"/>
  <sheetViews>
    <sheetView workbookViewId="0">
      <selection activeCell="F7" sqref="F7:F13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</cols>
  <sheetData>
    <row r="1" spans="1:16" x14ac:dyDescent="0.25">
      <c r="A1" s="1"/>
      <c r="B1" s="90" t="s">
        <v>13</v>
      </c>
      <c r="C1" s="91"/>
      <c r="D1" s="91"/>
      <c r="E1" s="91"/>
      <c r="F1" s="92"/>
      <c r="G1" s="89" t="s">
        <v>14</v>
      </c>
      <c r="H1" s="89"/>
      <c r="I1" s="89"/>
      <c r="J1" s="89"/>
    </row>
    <row r="2" spans="1:16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25">
      <c r="A4" s="1" t="s">
        <v>1</v>
      </c>
      <c r="B4" s="5">
        <f>IFERROR(AVERAGE(B7:B10),"")</f>
        <v>981.5</v>
      </c>
      <c r="C4" s="5">
        <f t="shared" ref="C4:J4" si="0">IFERROR(AVERAGE(C7:C10),"")</f>
        <v>349.25</v>
      </c>
      <c r="D4" s="5">
        <f t="shared" si="0"/>
        <v>79.5</v>
      </c>
      <c r="E4" s="5">
        <f t="shared" si="0"/>
        <v>216.5</v>
      </c>
      <c r="F4" s="4">
        <f t="shared" si="0"/>
        <v>6.7750000000000004</v>
      </c>
      <c r="G4" s="5">
        <f t="shared" si="0"/>
        <v>57.333333333333336</v>
      </c>
      <c r="H4" s="4">
        <f t="shared" si="0"/>
        <v>6.9000000000000012</v>
      </c>
      <c r="I4" s="5">
        <f t="shared" si="0"/>
        <v>464.33333333333331</v>
      </c>
      <c r="J4" s="5">
        <f t="shared" si="0"/>
        <v>146.66666666666666</v>
      </c>
    </row>
    <row r="5" spans="1:16" x14ac:dyDescent="0.25">
      <c r="A5" s="1" t="s">
        <v>2</v>
      </c>
      <c r="B5" s="5">
        <f>IFERROR(AVERAGE(B10:B13),"")</f>
        <v>1093.5</v>
      </c>
      <c r="C5" s="13">
        <f t="shared" ref="C5:J5" si="1">IFERROR(AVERAGE(C10:C13),"")</f>
        <v>451.25</v>
      </c>
      <c r="D5" s="5">
        <f t="shared" si="1"/>
        <v>66.25</v>
      </c>
      <c r="E5" s="5">
        <f t="shared" si="1"/>
        <v>243</v>
      </c>
      <c r="F5" s="4">
        <f t="shared" si="1"/>
        <v>8.125</v>
      </c>
      <c r="G5" s="5">
        <f t="shared" si="1"/>
        <v>44</v>
      </c>
      <c r="H5" s="4">
        <f t="shared" si="1"/>
        <v>6.55</v>
      </c>
      <c r="I5" s="5">
        <f t="shared" si="1"/>
        <v>946.75</v>
      </c>
      <c r="J5" s="5">
        <f t="shared" si="1"/>
        <v>163.75</v>
      </c>
    </row>
    <row r="7" spans="1:16" x14ac:dyDescent="0.25">
      <c r="A7" s="3">
        <v>43856</v>
      </c>
      <c r="B7" s="8">
        <v>831</v>
      </c>
      <c r="C7" s="9">
        <v>347</v>
      </c>
      <c r="D7" s="8">
        <v>87</v>
      </c>
      <c r="E7" s="8">
        <v>181</v>
      </c>
      <c r="F7" s="8">
        <v>5.6</v>
      </c>
      <c r="G7" s="8"/>
      <c r="H7" s="8"/>
      <c r="I7" s="8"/>
      <c r="J7" s="8"/>
    </row>
    <row r="8" spans="1:16" x14ac:dyDescent="0.25">
      <c r="A8" s="3">
        <v>43857</v>
      </c>
      <c r="B8" s="8">
        <v>866</v>
      </c>
      <c r="C8" s="8">
        <v>299</v>
      </c>
      <c r="D8" s="8">
        <v>83</v>
      </c>
      <c r="E8" s="8">
        <v>171</v>
      </c>
      <c r="F8" s="8">
        <v>5.7</v>
      </c>
      <c r="G8" s="8">
        <v>60</v>
      </c>
      <c r="H8" s="8">
        <v>5.6</v>
      </c>
      <c r="I8" s="8">
        <v>296</v>
      </c>
      <c r="J8" s="8">
        <v>119</v>
      </c>
    </row>
    <row r="9" spans="1:16" x14ac:dyDescent="0.25">
      <c r="A9" s="3">
        <v>43858</v>
      </c>
      <c r="B9" s="8">
        <v>962</v>
      </c>
      <c r="C9" s="8">
        <v>368</v>
      </c>
      <c r="D9" s="8">
        <v>73</v>
      </c>
      <c r="E9" s="8">
        <v>246</v>
      </c>
      <c r="F9" s="8">
        <v>8.1999999999999993</v>
      </c>
      <c r="G9" s="8">
        <v>44</v>
      </c>
      <c r="H9" s="8">
        <v>10.5</v>
      </c>
      <c r="I9" s="8">
        <v>544</v>
      </c>
      <c r="J9" s="8">
        <v>148</v>
      </c>
    </row>
    <row r="10" spans="1:16" x14ac:dyDescent="0.25">
      <c r="A10" s="3">
        <v>43859</v>
      </c>
      <c r="B10" s="12">
        <v>1267</v>
      </c>
      <c r="C10" s="12">
        <v>383</v>
      </c>
      <c r="D10" s="12">
        <v>75</v>
      </c>
      <c r="E10" s="12">
        <v>268</v>
      </c>
      <c r="F10" s="12">
        <v>7.6</v>
      </c>
      <c r="G10" s="12">
        <v>68</v>
      </c>
      <c r="H10" s="12">
        <v>4.5999999999999996</v>
      </c>
      <c r="I10" s="12">
        <v>553</v>
      </c>
      <c r="J10" s="12">
        <v>173</v>
      </c>
    </row>
    <row r="11" spans="1:16" ht="14.45" customHeight="1" x14ac:dyDescent="0.25">
      <c r="A11" s="14">
        <v>43860</v>
      </c>
      <c r="B11" s="10">
        <v>896</v>
      </c>
      <c r="C11" s="10">
        <v>435</v>
      </c>
      <c r="D11" s="10">
        <v>69</v>
      </c>
      <c r="E11" s="10">
        <v>194</v>
      </c>
      <c r="F11" s="10">
        <v>5.9</v>
      </c>
      <c r="G11" s="10">
        <v>30</v>
      </c>
      <c r="H11" s="10">
        <v>8.9</v>
      </c>
      <c r="I11" s="10">
        <v>1251</v>
      </c>
      <c r="J11" s="10">
        <v>153</v>
      </c>
      <c r="L11" s="93" t="s">
        <v>16</v>
      </c>
      <c r="M11" s="93"/>
      <c r="N11" s="93"/>
      <c r="O11" s="93"/>
      <c r="P11" s="93"/>
    </row>
    <row r="12" spans="1:16" x14ac:dyDescent="0.25">
      <c r="A12" s="3">
        <v>43861</v>
      </c>
      <c r="B12" s="10">
        <v>1008</v>
      </c>
      <c r="C12" s="10">
        <v>476</v>
      </c>
      <c r="D12" s="10">
        <v>59</v>
      </c>
      <c r="E12" s="10">
        <v>227</v>
      </c>
      <c r="F12" s="10">
        <v>8.4</v>
      </c>
      <c r="G12" s="10">
        <v>38</v>
      </c>
      <c r="H12" s="10">
        <v>6.2</v>
      </c>
      <c r="I12" s="10">
        <v>921</v>
      </c>
      <c r="J12" s="10">
        <v>157</v>
      </c>
      <c r="L12" s="93"/>
      <c r="M12" s="93"/>
      <c r="N12" s="93"/>
      <c r="O12" s="93"/>
      <c r="P12" s="93"/>
    </row>
    <row r="13" spans="1:16" x14ac:dyDescent="0.25">
      <c r="A13" s="3">
        <v>43862</v>
      </c>
      <c r="B13" s="10">
        <v>1203</v>
      </c>
      <c r="C13" s="10">
        <v>511</v>
      </c>
      <c r="D13" s="10">
        <v>62</v>
      </c>
      <c r="E13" s="10">
        <v>283</v>
      </c>
      <c r="F13" s="10">
        <v>10.6</v>
      </c>
      <c r="G13" s="10">
        <v>40</v>
      </c>
      <c r="H13" s="10">
        <v>6.5</v>
      </c>
      <c r="I13" s="10">
        <v>1062</v>
      </c>
      <c r="J13" s="10">
        <v>172</v>
      </c>
      <c r="L13" s="93"/>
      <c r="M13" s="93"/>
      <c r="N13" s="93"/>
      <c r="O13" s="93"/>
      <c r="P13" s="93"/>
    </row>
    <row r="14" spans="1:16" ht="14.45" customHeight="1" x14ac:dyDescent="0.25">
      <c r="L14" s="93"/>
      <c r="M14" s="93"/>
      <c r="N14" s="93"/>
      <c r="O14" s="93"/>
      <c r="P14" s="93"/>
    </row>
    <row r="15" spans="1:16" x14ac:dyDescent="0.25">
      <c r="A15" s="1" t="s">
        <v>3</v>
      </c>
      <c r="B15" s="5">
        <v>1040.8333333333333</v>
      </c>
      <c r="C15" s="5">
        <v>324.28571428571428</v>
      </c>
      <c r="D15" s="5">
        <v>64.714285714285708</v>
      </c>
      <c r="E15" s="5">
        <v>225</v>
      </c>
      <c r="F15" s="4">
        <v>8.4</v>
      </c>
      <c r="G15" s="5">
        <v>45.714285714285715</v>
      </c>
      <c r="H15" s="5">
        <v>9.5142857142857142</v>
      </c>
      <c r="I15" s="5">
        <v>646.14285714285711</v>
      </c>
      <c r="J15" s="5">
        <v>311.14285714285717</v>
      </c>
      <c r="L15" s="93"/>
      <c r="M15" s="93"/>
      <c r="N15" s="93"/>
      <c r="O15" s="93"/>
      <c r="P15" s="93"/>
    </row>
    <row r="16" spans="1:16" x14ac:dyDescent="0.25">
      <c r="A16" s="1" t="s">
        <v>4</v>
      </c>
      <c r="B16" s="5">
        <f>IFERROR(AVERAGE(B7:B13),"")</f>
        <v>1004.7142857142857</v>
      </c>
      <c r="C16" s="5">
        <f t="shared" ref="C16:J16" si="2">IFERROR(AVERAGE(C7:C13),"")</f>
        <v>402.71428571428572</v>
      </c>
      <c r="D16" s="5">
        <f t="shared" si="2"/>
        <v>72.571428571428569</v>
      </c>
      <c r="E16" s="5">
        <f t="shared" si="2"/>
        <v>224.28571428571428</v>
      </c>
      <c r="F16" s="4">
        <f t="shared" si="2"/>
        <v>7.4285714285714288</v>
      </c>
      <c r="G16" s="5">
        <f t="shared" si="2"/>
        <v>46.666666666666664</v>
      </c>
      <c r="H16" s="5">
        <f t="shared" si="2"/>
        <v>7.0500000000000007</v>
      </c>
      <c r="I16" s="5">
        <f t="shared" si="2"/>
        <v>771.16666666666663</v>
      </c>
      <c r="J16" s="5">
        <f t="shared" si="2"/>
        <v>153.66666666666666</v>
      </c>
      <c r="L16" s="93"/>
      <c r="M16" s="93"/>
      <c r="N16" s="93"/>
      <c r="O16" s="93"/>
      <c r="P16" s="93"/>
    </row>
    <row r="17" spans="1:10" x14ac:dyDescent="0.25">
      <c r="A17" s="1" t="s">
        <v>5</v>
      </c>
      <c r="B17" s="6">
        <f>IFERROR(-(B15-B16)/B15,"")</f>
        <v>-3.4702047352167427E-2</v>
      </c>
      <c r="C17" s="6">
        <f t="shared" ref="C17:J17" si="3">IFERROR(-(C15-C16)/C15,"")</f>
        <v>0.24185022026431724</v>
      </c>
      <c r="D17" s="6">
        <f t="shared" si="3"/>
        <v>0.12141280353200891</v>
      </c>
      <c r="E17" s="6">
        <f t="shared" si="3"/>
        <v>-3.1746031746032106E-3</v>
      </c>
      <c r="F17" s="6">
        <f t="shared" si="3"/>
        <v>-0.11564625850340136</v>
      </c>
      <c r="G17" s="6">
        <f t="shared" si="3"/>
        <v>2.0833333333333259E-2</v>
      </c>
      <c r="H17" s="6">
        <f t="shared" si="3"/>
        <v>-0.25900900900900892</v>
      </c>
      <c r="I17" s="6">
        <f t="shared" si="3"/>
        <v>0.1934925197140541</v>
      </c>
      <c r="J17" s="6">
        <f t="shared" si="3"/>
        <v>-0.50612182430364261</v>
      </c>
    </row>
  </sheetData>
  <mergeCells count="3">
    <mergeCell ref="B1:F1"/>
    <mergeCell ref="G1:J1"/>
    <mergeCell ref="L11:P16"/>
  </mergeCells>
  <conditionalFormatting sqref="B4:B5">
    <cfRule type="top10" dxfId="236" priority="44" bottom="1" rank="1"/>
    <cfRule type="top10" dxfId="235" priority="45" rank="1"/>
  </conditionalFormatting>
  <conditionalFormatting sqref="B17">
    <cfRule type="cellIs" dxfId="234" priority="42" operator="greaterThanOrEqual">
      <formula>0</formula>
    </cfRule>
    <cfRule type="cellIs" dxfId="233" priority="43" operator="lessThan">
      <formula>0</formula>
    </cfRule>
  </conditionalFormatting>
  <conditionalFormatting sqref="C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32" priority="41" rank="1"/>
  </conditionalFormatting>
  <conditionalFormatting sqref="C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31" priority="40" bottom="1" rank="1"/>
  </conditionalFormatting>
  <conditionalFormatting sqref="D4:D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30" priority="24" operator="greaterThanOrEqual">
      <formula>0</formula>
    </cfRule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:J17">
    <cfRule type="cellIs" dxfId="229" priority="23" operator="greaterThanOrEqual">
      <formula>0</formula>
    </cfRule>
  </conditionalFormatting>
  <conditionalFormatting sqref="E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7"/>
  <sheetViews>
    <sheetView workbookViewId="0">
      <selection activeCell="J21" sqref="J21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</cols>
  <sheetData>
    <row r="1" spans="1:16" x14ac:dyDescent="0.25">
      <c r="A1" s="1"/>
      <c r="B1" s="90" t="s">
        <v>13</v>
      </c>
      <c r="C1" s="91"/>
      <c r="D1" s="91"/>
      <c r="E1" s="91"/>
      <c r="F1" s="92"/>
      <c r="G1" s="89" t="s">
        <v>14</v>
      </c>
      <c r="H1" s="89"/>
      <c r="I1" s="89"/>
      <c r="J1" s="89"/>
    </row>
    <row r="2" spans="1:16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25">
      <c r="A4" s="1" t="s">
        <v>1</v>
      </c>
      <c r="B4" s="4">
        <f>IFERROR(AVERAGE(B7:B10),"")</f>
        <v>898.81</v>
      </c>
      <c r="C4" s="4">
        <f t="shared" ref="C4:J4" si="0">IFERROR(AVERAGE(C7:C10),"")</f>
        <v>381.07249999999999</v>
      </c>
      <c r="D4" s="4">
        <f t="shared" si="0"/>
        <v>61.850000000000009</v>
      </c>
      <c r="E4" s="4">
        <f t="shared" si="0"/>
        <v>192.78250000000003</v>
      </c>
      <c r="F4" s="4">
        <f t="shared" si="0"/>
        <v>7.3</v>
      </c>
      <c r="G4" s="4">
        <f t="shared" si="0"/>
        <v>42.787499999999994</v>
      </c>
      <c r="H4" s="4">
        <f t="shared" si="0"/>
        <v>9.6</v>
      </c>
      <c r="I4" s="4">
        <f t="shared" si="0"/>
        <v>933.14499999999998</v>
      </c>
      <c r="J4" s="4">
        <f t="shared" si="0"/>
        <v>182.32</v>
      </c>
    </row>
    <row r="5" spans="1:16" x14ac:dyDescent="0.25">
      <c r="A5" s="1" t="s">
        <v>2</v>
      </c>
      <c r="B5" s="4">
        <f>IFERROR(AVERAGE(B10:B13),"")</f>
        <v>1102.3175000000001</v>
      </c>
      <c r="C5" s="18">
        <f t="shared" ref="C5:J5" si="1">IFERROR(AVERAGE(C10:C13),"")</f>
        <v>529.20749999999998</v>
      </c>
      <c r="D5" s="4">
        <f t="shared" si="1"/>
        <v>62.032499999999999</v>
      </c>
      <c r="E5" s="4">
        <f t="shared" si="1"/>
        <v>186.82499999999999</v>
      </c>
      <c r="F5" s="4">
        <f t="shared" si="1"/>
        <v>8.0749999999999993</v>
      </c>
      <c r="G5" s="4">
        <f t="shared" si="1"/>
        <v>42.67</v>
      </c>
      <c r="H5" s="4">
        <f t="shared" si="1"/>
        <v>6.2000000000000011</v>
      </c>
      <c r="I5" s="4">
        <f t="shared" si="1"/>
        <v>686.11750000000006</v>
      </c>
      <c r="J5" s="4">
        <f t="shared" si="1"/>
        <v>172.84500000000003</v>
      </c>
    </row>
    <row r="7" spans="1:16" x14ac:dyDescent="0.25">
      <c r="A7" s="3">
        <v>43863</v>
      </c>
      <c r="B7" s="15">
        <v>1255.5999999999999</v>
      </c>
      <c r="C7" s="15">
        <v>339.1</v>
      </c>
      <c r="D7" s="15">
        <v>69.7</v>
      </c>
      <c r="E7" s="15">
        <v>303.3</v>
      </c>
      <c r="F7" s="15">
        <v>10.199999999999999</v>
      </c>
      <c r="G7" s="15">
        <v>58.1</v>
      </c>
      <c r="H7" s="15">
        <v>9.8000000000000007</v>
      </c>
      <c r="I7" s="15">
        <v>726.9</v>
      </c>
      <c r="J7" s="15">
        <v>230.1</v>
      </c>
    </row>
    <row r="8" spans="1:16" x14ac:dyDescent="0.25">
      <c r="A8" s="3">
        <v>43864</v>
      </c>
      <c r="B8" s="15">
        <v>686.04</v>
      </c>
      <c r="C8" s="15">
        <v>326.19</v>
      </c>
      <c r="D8" s="15">
        <v>61.1</v>
      </c>
      <c r="E8" s="15">
        <v>135.13</v>
      </c>
      <c r="F8" s="15">
        <v>4.8</v>
      </c>
      <c r="G8" s="15">
        <v>29.35</v>
      </c>
      <c r="H8" s="15">
        <v>11.1</v>
      </c>
      <c r="I8" s="15">
        <v>971.68</v>
      </c>
      <c r="J8" s="15">
        <v>127.58</v>
      </c>
    </row>
    <row r="9" spans="1:16" x14ac:dyDescent="0.25">
      <c r="A9" s="3">
        <v>43865</v>
      </c>
      <c r="B9" s="15">
        <v>823.1</v>
      </c>
      <c r="C9" s="15">
        <v>311.60000000000002</v>
      </c>
      <c r="D9" s="15">
        <v>59.9</v>
      </c>
      <c r="E9" s="15">
        <v>163</v>
      </c>
      <c r="F9" s="15">
        <v>5.4</v>
      </c>
      <c r="G9" s="15">
        <v>39.9</v>
      </c>
      <c r="H9" s="15">
        <v>11.1</v>
      </c>
      <c r="I9" s="15">
        <v>1310.5</v>
      </c>
      <c r="J9" s="15">
        <v>175.1</v>
      </c>
    </row>
    <row r="10" spans="1:16" x14ac:dyDescent="0.25">
      <c r="A10" s="3">
        <v>43866</v>
      </c>
      <c r="B10" s="16">
        <v>830.5</v>
      </c>
      <c r="C10" s="16">
        <v>547.4</v>
      </c>
      <c r="D10" s="16">
        <v>56.7</v>
      </c>
      <c r="E10" s="16">
        <v>169.7</v>
      </c>
      <c r="F10" s="16">
        <v>8.8000000000000007</v>
      </c>
      <c r="G10" s="16">
        <v>43.8</v>
      </c>
      <c r="H10" s="16">
        <v>6.4</v>
      </c>
      <c r="I10" s="16">
        <v>723.5</v>
      </c>
      <c r="J10" s="16">
        <v>196.5</v>
      </c>
    </row>
    <row r="11" spans="1:16" ht="14.45" customHeight="1" x14ac:dyDescent="0.25">
      <c r="A11" s="3">
        <v>43867</v>
      </c>
      <c r="B11" s="17">
        <v>1674.99</v>
      </c>
      <c r="C11" s="17">
        <v>434.46</v>
      </c>
      <c r="D11" s="17">
        <v>55.5</v>
      </c>
      <c r="E11" s="17">
        <v>159.13</v>
      </c>
      <c r="F11" s="17">
        <v>9.1999999999999993</v>
      </c>
      <c r="G11" s="17">
        <v>43.39</v>
      </c>
      <c r="H11" s="17">
        <v>5.9</v>
      </c>
      <c r="I11" s="17">
        <v>925.92</v>
      </c>
      <c r="J11" s="17">
        <v>183.74</v>
      </c>
      <c r="L11" s="93" t="s">
        <v>16</v>
      </c>
      <c r="M11" s="93"/>
      <c r="N11" s="93"/>
      <c r="O11" s="93"/>
      <c r="P11" s="93"/>
    </row>
    <row r="12" spans="1:16" x14ac:dyDescent="0.25">
      <c r="A12" s="3">
        <v>43868</v>
      </c>
      <c r="B12" s="17">
        <v>982.59</v>
      </c>
      <c r="C12" s="17">
        <v>482.03</v>
      </c>
      <c r="D12" s="17">
        <v>46.08</v>
      </c>
      <c r="E12" s="17">
        <v>207.16</v>
      </c>
      <c r="F12" s="17">
        <v>7.8</v>
      </c>
      <c r="G12" s="17">
        <v>40.1</v>
      </c>
      <c r="H12" s="17">
        <v>5.4</v>
      </c>
      <c r="I12" s="17">
        <v>595.52</v>
      </c>
      <c r="J12" s="17">
        <v>144.18</v>
      </c>
      <c r="L12" s="93"/>
      <c r="M12" s="93"/>
      <c r="N12" s="93"/>
      <c r="O12" s="93"/>
      <c r="P12" s="93"/>
    </row>
    <row r="13" spans="1:16" x14ac:dyDescent="0.25">
      <c r="A13" s="3">
        <v>43869</v>
      </c>
      <c r="B13" s="17">
        <v>921.19</v>
      </c>
      <c r="C13" s="17">
        <v>652.94000000000005</v>
      </c>
      <c r="D13" s="17">
        <v>89.85</v>
      </c>
      <c r="E13" s="17">
        <v>211.31</v>
      </c>
      <c r="F13" s="17">
        <v>6.5</v>
      </c>
      <c r="G13" s="17">
        <v>43.39</v>
      </c>
      <c r="H13" s="17">
        <v>7.1</v>
      </c>
      <c r="I13" s="17">
        <v>499.53</v>
      </c>
      <c r="J13" s="17">
        <v>166.96</v>
      </c>
      <c r="L13" s="93"/>
      <c r="M13" s="93"/>
      <c r="N13" s="93"/>
      <c r="O13" s="93"/>
      <c r="P13" s="93"/>
    </row>
    <row r="14" spans="1:16" ht="14.45" customHeight="1" x14ac:dyDescent="0.25">
      <c r="L14" s="93"/>
      <c r="M14" s="93"/>
      <c r="N14" s="93"/>
      <c r="O14" s="93"/>
      <c r="P14" s="93"/>
    </row>
    <row r="15" spans="1:16" x14ac:dyDescent="0.25">
      <c r="A15" s="1" t="s">
        <v>3</v>
      </c>
      <c r="B15" s="4">
        <v>1004.7142857142857</v>
      </c>
      <c r="C15" s="4">
        <v>402.71428571428572</v>
      </c>
      <c r="D15" s="4">
        <v>72.571428571428569</v>
      </c>
      <c r="E15" s="4">
        <v>224.28571428571428</v>
      </c>
      <c r="F15" s="4">
        <v>7.4285714285714288</v>
      </c>
      <c r="G15" s="4">
        <v>46.666666666666664</v>
      </c>
      <c r="H15" s="4">
        <v>7.0500000000000007</v>
      </c>
      <c r="I15" s="4">
        <v>771.16666666666663</v>
      </c>
      <c r="J15" s="4">
        <v>153.66666666666666</v>
      </c>
      <c r="L15" s="93"/>
      <c r="M15" s="93"/>
      <c r="N15" s="93"/>
      <c r="O15" s="93"/>
      <c r="P15" s="93"/>
    </row>
    <row r="16" spans="1:16" x14ac:dyDescent="0.25">
      <c r="A16" s="1" t="s">
        <v>4</v>
      </c>
      <c r="B16" s="4">
        <f>IFERROR(AVERAGE(B7:B13),"")</f>
        <v>1024.8585714285714</v>
      </c>
      <c r="C16" s="4">
        <f t="shared" ref="C16:J16" si="2">IFERROR(AVERAGE(C7:C13),"")</f>
        <v>441.96</v>
      </c>
      <c r="D16" s="4">
        <f t="shared" si="2"/>
        <v>62.690000000000005</v>
      </c>
      <c r="E16" s="4">
        <f t="shared" si="2"/>
        <v>192.67571428571429</v>
      </c>
      <c r="F16" s="4">
        <f t="shared" si="2"/>
        <v>7.5285714285714276</v>
      </c>
      <c r="G16" s="4">
        <f t="shared" si="2"/>
        <v>42.575714285714284</v>
      </c>
      <c r="H16" s="4">
        <f t="shared" si="2"/>
        <v>8.1142857142857139</v>
      </c>
      <c r="I16" s="4">
        <f t="shared" si="2"/>
        <v>821.93571428571431</v>
      </c>
      <c r="J16" s="4">
        <f t="shared" si="2"/>
        <v>174.88000000000002</v>
      </c>
      <c r="L16" s="93"/>
      <c r="M16" s="93"/>
      <c r="N16" s="93"/>
      <c r="O16" s="93"/>
      <c r="P16" s="93"/>
    </row>
    <row r="17" spans="1:10" x14ac:dyDescent="0.25">
      <c r="A17" s="1" t="s">
        <v>5</v>
      </c>
      <c r="B17" s="6">
        <f>IFERROR(-(B15-B16)/B15,"")</f>
        <v>2.0049765391724744E-2</v>
      </c>
      <c r="C17" s="6">
        <f t="shared" ref="C17:J17" si="3">IFERROR(-(C15-C16)/C15,"")</f>
        <v>9.7452997516849868E-2</v>
      </c>
      <c r="D17" s="6">
        <f t="shared" si="3"/>
        <v>-0.13616141732283454</v>
      </c>
      <c r="E17" s="6">
        <f t="shared" si="3"/>
        <v>-0.140936305732484</v>
      </c>
      <c r="F17" s="6">
        <f t="shared" si="3"/>
        <v>1.3461538461538294E-2</v>
      </c>
      <c r="G17" s="6">
        <f t="shared" si="3"/>
        <v>-8.7663265306122437E-2</v>
      </c>
      <c r="H17" s="6">
        <f t="shared" si="3"/>
        <v>0.15096251266464014</v>
      </c>
      <c r="I17" s="6">
        <f t="shared" si="3"/>
        <v>6.5834079471425569E-2</v>
      </c>
      <c r="J17" s="6">
        <f t="shared" si="3"/>
        <v>0.13804772234273341</v>
      </c>
    </row>
  </sheetData>
  <mergeCells count="3">
    <mergeCell ref="B1:F1"/>
    <mergeCell ref="G1:J1"/>
    <mergeCell ref="L11:P16"/>
  </mergeCells>
  <conditionalFormatting sqref="B4:B5">
    <cfRule type="top10" dxfId="228" priority="41" bottom="1" rank="1"/>
    <cfRule type="top10" dxfId="227" priority="42" rank="1"/>
  </conditionalFormatting>
  <conditionalFormatting sqref="B17">
    <cfRule type="cellIs" dxfId="226" priority="39" operator="greaterThanOrEqual">
      <formula>0</formula>
    </cfRule>
    <cfRule type="cellIs" dxfId="225" priority="40" operator="lessThan">
      <formula>0</formula>
    </cfRule>
  </conditionalFormatting>
  <conditionalFormatting sqref="C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24" priority="38" rank="1"/>
  </conditionalFormatting>
  <conditionalFormatting sqref="C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23" priority="37" bottom="1" rank="1"/>
  </conditionalFormatting>
  <conditionalFormatting sqref="D4:D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22" priority="5" operator="lessThan">
      <formula>0</formula>
    </cfRule>
    <cfRule type="cellIs" dxfId="221" priority="25" operator="greaterThanOrEqual">
      <formula>0</formula>
    </cfRule>
  </conditionalFormatting>
  <conditionalFormatting sqref="D17:J17">
    <cfRule type="cellIs" dxfId="220" priority="24" operator="greaterThanOrEqual">
      <formula>0</formula>
    </cfRule>
  </conditionalFormatting>
  <conditionalFormatting sqref="E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ellIs" dxfId="219" priority="11" operator="lessThan">
      <formula>0</formula>
    </cfRule>
  </conditionalFormatting>
  <conditionalFormatting sqref="H17">
    <cfRule type="cellIs" dxfId="218" priority="10" operator="lessThan">
      <formula>0</formula>
    </cfRule>
  </conditionalFormatting>
  <conditionalFormatting sqref="G17">
    <cfRule type="cellIs" dxfId="217" priority="9" operator="lessThan">
      <formula>0</formula>
    </cfRule>
  </conditionalFormatting>
  <conditionalFormatting sqref="F17">
    <cfRule type="cellIs" dxfId="216" priority="8" operator="lessThan">
      <formula>0</formula>
    </cfRule>
  </conditionalFormatting>
  <conditionalFormatting sqref="E17">
    <cfRule type="cellIs" dxfId="215" priority="7" operator="lessThan">
      <formula>0</formula>
    </cfRule>
  </conditionalFormatting>
  <conditionalFormatting sqref="D17">
    <cfRule type="cellIs" dxfId="214" priority="6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7"/>
  <sheetViews>
    <sheetView workbookViewId="0">
      <selection activeCell="H3" sqref="H3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</cols>
  <sheetData>
    <row r="1" spans="1:16" x14ac:dyDescent="0.25">
      <c r="A1" s="1"/>
      <c r="B1" s="90" t="s">
        <v>13</v>
      </c>
      <c r="C1" s="91"/>
      <c r="D1" s="91"/>
      <c r="E1" s="91"/>
      <c r="F1" s="92"/>
      <c r="G1" s="89" t="s">
        <v>14</v>
      </c>
      <c r="H1" s="89"/>
      <c r="I1" s="89"/>
      <c r="J1" s="89"/>
    </row>
    <row r="2" spans="1:16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25">
      <c r="A4" s="1" t="s">
        <v>1</v>
      </c>
      <c r="B4" s="4">
        <f>IFERROR(AVERAGE(B7:B10),"")</f>
        <v>762.19749999999999</v>
      </c>
      <c r="C4" s="4">
        <f t="shared" ref="C4:J4" si="0">IFERROR(AVERAGE(C7:C10),"")</f>
        <v>402.69749999999999</v>
      </c>
      <c r="D4" s="4">
        <f t="shared" si="0"/>
        <v>60.585000000000008</v>
      </c>
      <c r="E4" s="4">
        <f t="shared" si="0"/>
        <v>177.22500000000002</v>
      </c>
      <c r="F4" s="4">
        <f t="shared" si="0"/>
        <v>6.1999999999999993</v>
      </c>
      <c r="G4" s="4">
        <f t="shared" si="0"/>
        <v>37.425000000000004</v>
      </c>
      <c r="H4" s="4">
        <f t="shared" si="0"/>
        <v>6.9</v>
      </c>
      <c r="I4" s="4">
        <f t="shared" si="0"/>
        <v>1007.4100000000001</v>
      </c>
      <c r="J4" s="4">
        <f t="shared" si="0"/>
        <v>156.92750000000001</v>
      </c>
    </row>
    <row r="5" spans="1:16" x14ac:dyDescent="0.25">
      <c r="A5" s="1" t="s">
        <v>2</v>
      </c>
      <c r="B5" s="4">
        <f>IFERROR(AVERAGE(B10:B13),"")</f>
        <v>862.43999999999994</v>
      </c>
      <c r="C5" s="18">
        <f t="shared" ref="C5:J5" si="1">IFERROR(AVERAGE(C10:C13),"")</f>
        <v>487.41499999999996</v>
      </c>
      <c r="D5" s="4">
        <f t="shared" si="1"/>
        <v>81.142500000000013</v>
      </c>
      <c r="E5" s="4">
        <f t="shared" si="1"/>
        <v>222.26</v>
      </c>
      <c r="F5" s="4">
        <f t="shared" si="1"/>
        <v>6.5074999999999994</v>
      </c>
      <c r="G5" s="19">
        <f t="shared" si="1"/>
        <v>37.392499999999998</v>
      </c>
      <c r="H5" s="4">
        <f t="shared" si="1"/>
        <v>8.0350000000000001</v>
      </c>
      <c r="I5" s="4">
        <f t="shared" si="1"/>
        <v>1072.865</v>
      </c>
      <c r="J5" s="4">
        <f t="shared" si="1"/>
        <v>209.31250000000003</v>
      </c>
    </row>
    <row r="7" spans="1:16" x14ac:dyDescent="0.25">
      <c r="A7" s="3">
        <v>43870</v>
      </c>
      <c r="B7" s="15">
        <v>770</v>
      </c>
      <c r="C7" s="15">
        <v>395.64</v>
      </c>
      <c r="D7" s="15">
        <v>53.94</v>
      </c>
      <c r="E7" s="15">
        <v>158.96</v>
      </c>
      <c r="F7" s="15">
        <v>6.1</v>
      </c>
      <c r="G7" s="15">
        <v>41.44</v>
      </c>
      <c r="H7" s="15">
        <v>6</v>
      </c>
      <c r="I7" s="15">
        <v>951</v>
      </c>
      <c r="J7" s="15">
        <v>123.8</v>
      </c>
    </row>
    <row r="8" spans="1:16" x14ac:dyDescent="0.25">
      <c r="A8" s="3">
        <v>43871</v>
      </c>
      <c r="B8" s="15">
        <v>964.72</v>
      </c>
      <c r="C8" s="15">
        <v>391.39</v>
      </c>
      <c r="D8" s="15">
        <v>62.65</v>
      </c>
      <c r="E8" s="15">
        <v>195.75</v>
      </c>
      <c r="F8" s="15">
        <v>6.6</v>
      </c>
      <c r="G8" s="15">
        <v>34.590000000000003</v>
      </c>
      <c r="H8" s="15">
        <v>6.4</v>
      </c>
      <c r="I8" s="15">
        <v>1043.04</v>
      </c>
      <c r="J8" s="15">
        <v>167.99</v>
      </c>
    </row>
    <row r="9" spans="1:16" x14ac:dyDescent="0.25">
      <c r="A9" s="3">
        <v>43872</v>
      </c>
      <c r="B9" s="15">
        <v>625.12</v>
      </c>
      <c r="C9" s="15">
        <v>431.18</v>
      </c>
      <c r="D9" s="15">
        <v>53.77</v>
      </c>
      <c r="E9" s="15">
        <v>156.96</v>
      </c>
      <c r="F9" s="15">
        <v>6.1</v>
      </c>
      <c r="G9" s="15">
        <v>39.770000000000003</v>
      </c>
      <c r="H9" s="15">
        <v>8.6</v>
      </c>
      <c r="I9" s="15">
        <v>1104.0899999999999</v>
      </c>
      <c r="J9" s="15">
        <v>189.61</v>
      </c>
    </row>
    <row r="10" spans="1:16" x14ac:dyDescent="0.25">
      <c r="A10" s="3">
        <v>43873</v>
      </c>
      <c r="B10" s="16">
        <v>688.95</v>
      </c>
      <c r="C10" s="16">
        <v>392.58</v>
      </c>
      <c r="D10" s="16">
        <v>71.98</v>
      </c>
      <c r="E10" s="16">
        <v>197.23</v>
      </c>
      <c r="F10" s="16">
        <v>6</v>
      </c>
      <c r="G10" s="16">
        <v>33.9</v>
      </c>
      <c r="H10" s="16">
        <v>6.6</v>
      </c>
      <c r="I10" s="16">
        <v>931.51</v>
      </c>
      <c r="J10" s="16">
        <v>146.31</v>
      </c>
    </row>
    <row r="11" spans="1:16" ht="14.45" customHeight="1" x14ac:dyDescent="0.25">
      <c r="A11" s="3">
        <v>43874</v>
      </c>
      <c r="B11" s="17">
        <v>1019.42</v>
      </c>
      <c r="C11" s="17">
        <v>466</v>
      </c>
      <c r="D11" s="17">
        <v>79.069999999999993</v>
      </c>
      <c r="E11" s="17">
        <v>252.7</v>
      </c>
      <c r="F11" s="17">
        <v>7.3</v>
      </c>
      <c r="G11" s="17">
        <v>35.29</v>
      </c>
      <c r="H11" s="17">
        <v>7.2</v>
      </c>
      <c r="I11" s="17">
        <v>1304.8800000000001</v>
      </c>
      <c r="J11" s="17">
        <v>173.28</v>
      </c>
      <c r="L11" s="93" t="s">
        <v>16</v>
      </c>
      <c r="M11" s="93"/>
      <c r="N11" s="93"/>
      <c r="O11" s="93"/>
      <c r="P11" s="93"/>
    </row>
    <row r="12" spans="1:16" x14ac:dyDescent="0.25">
      <c r="A12" s="3">
        <v>43875</v>
      </c>
      <c r="B12" s="17">
        <v>738.39</v>
      </c>
      <c r="C12" s="17">
        <v>539.80999999999995</v>
      </c>
      <c r="D12" s="17">
        <v>75.3</v>
      </c>
      <c r="E12" s="17">
        <v>194.11</v>
      </c>
      <c r="F12" s="17">
        <v>5.6</v>
      </c>
      <c r="G12" s="17">
        <v>38.19</v>
      </c>
      <c r="H12" s="17">
        <v>9.94</v>
      </c>
      <c r="I12" s="17">
        <v>1218</v>
      </c>
      <c r="J12" s="17">
        <v>261.3</v>
      </c>
      <c r="L12" s="93"/>
      <c r="M12" s="93"/>
      <c r="N12" s="93"/>
      <c r="O12" s="93"/>
      <c r="P12" s="93"/>
    </row>
    <row r="13" spans="1:16" x14ac:dyDescent="0.25">
      <c r="A13" s="3">
        <v>43876</v>
      </c>
      <c r="B13" s="17">
        <v>1003</v>
      </c>
      <c r="C13" s="17">
        <v>551.27</v>
      </c>
      <c r="D13" s="17">
        <v>98.22</v>
      </c>
      <c r="E13" s="17">
        <v>245</v>
      </c>
      <c r="F13" s="17">
        <v>7.13</v>
      </c>
      <c r="G13" s="17">
        <v>42.19</v>
      </c>
      <c r="H13" s="17">
        <v>8.4</v>
      </c>
      <c r="I13" s="17">
        <v>837.07</v>
      </c>
      <c r="J13" s="17">
        <v>256.36</v>
      </c>
      <c r="L13" s="93"/>
      <c r="M13" s="93"/>
      <c r="N13" s="93"/>
      <c r="O13" s="93"/>
      <c r="P13" s="93"/>
    </row>
    <row r="14" spans="1:16" ht="14.45" customHeight="1" x14ac:dyDescent="0.25">
      <c r="L14" s="93"/>
      <c r="M14" s="93"/>
      <c r="N14" s="93"/>
      <c r="O14" s="93"/>
      <c r="P14" s="93"/>
    </row>
    <row r="15" spans="1:16" x14ac:dyDescent="0.25">
      <c r="A15" s="1" t="s">
        <v>3</v>
      </c>
      <c r="B15" s="4">
        <v>1024.8585714285714</v>
      </c>
      <c r="C15" s="4">
        <v>441.96</v>
      </c>
      <c r="D15" s="4">
        <v>62.690000000000005</v>
      </c>
      <c r="E15" s="4">
        <v>192.67571428571429</v>
      </c>
      <c r="F15" s="4">
        <v>7.5285714285714276</v>
      </c>
      <c r="G15" s="4">
        <v>42.575714285714284</v>
      </c>
      <c r="H15" s="4">
        <v>8.1142857142857139</v>
      </c>
      <c r="I15" s="4">
        <v>821.93571428571431</v>
      </c>
      <c r="J15" s="4">
        <v>174.88000000000002</v>
      </c>
      <c r="L15" s="93"/>
      <c r="M15" s="93"/>
      <c r="N15" s="93"/>
      <c r="O15" s="93"/>
      <c r="P15" s="93"/>
    </row>
    <row r="16" spans="1:16" x14ac:dyDescent="0.25">
      <c r="A16" s="1" t="s">
        <v>4</v>
      </c>
      <c r="B16" s="4">
        <f>IFERROR(AVERAGE(B7:B13),"")</f>
        <v>829.94285714285718</v>
      </c>
      <c r="C16" s="4">
        <f t="shared" ref="C16:J16" si="2">IFERROR(AVERAGE(C7:C13),"")</f>
        <v>452.55285714285714</v>
      </c>
      <c r="D16" s="4">
        <f t="shared" si="2"/>
        <v>70.704285714285717</v>
      </c>
      <c r="E16" s="4">
        <f t="shared" si="2"/>
        <v>200.10142857142858</v>
      </c>
      <c r="F16" s="4">
        <f t="shared" si="2"/>
        <v>6.4042857142857139</v>
      </c>
      <c r="G16" s="4">
        <f t="shared" si="2"/>
        <v>37.910000000000004</v>
      </c>
      <c r="H16" s="4">
        <f t="shared" si="2"/>
        <v>7.5914285714285716</v>
      </c>
      <c r="I16" s="4">
        <f t="shared" si="2"/>
        <v>1055.6557142857143</v>
      </c>
      <c r="J16" s="4">
        <f t="shared" si="2"/>
        <v>188.37857142857143</v>
      </c>
      <c r="L16" s="93"/>
      <c r="M16" s="93"/>
      <c r="N16" s="93"/>
      <c r="O16" s="93"/>
      <c r="P16" s="93"/>
    </row>
    <row r="17" spans="1:10" x14ac:dyDescent="0.25">
      <c r="A17" s="1" t="s">
        <v>5</v>
      </c>
      <c r="B17" s="6">
        <f>IFERROR(-(B15-B16)/B15,"")</f>
        <v>-0.19018791443000491</v>
      </c>
      <c r="C17" s="6">
        <f t="shared" ref="C17:J17" si="3">IFERROR(-(C15-C16)/C15,"")</f>
        <v>2.3967909183765852E-2</v>
      </c>
      <c r="D17" s="6">
        <f t="shared" si="3"/>
        <v>0.12783993801699972</v>
      </c>
      <c r="E17" s="6">
        <f t="shared" si="3"/>
        <v>3.8539959814047321E-2</v>
      </c>
      <c r="F17" s="6">
        <f t="shared" si="3"/>
        <v>-0.14933586337760904</v>
      </c>
      <c r="G17" s="6">
        <f t="shared" si="3"/>
        <v>-0.10958628326007436</v>
      </c>
      <c r="H17" s="6">
        <f t="shared" si="3"/>
        <v>-6.4436619718309787E-2</v>
      </c>
      <c r="I17" s="6">
        <f t="shared" si="3"/>
        <v>0.28435313849710181</v>
      </c>
      <c r="J17" s="6">
        <f t="shared" si="3"/>
        <v>7.7187622533002098E-2</v>
      </c>
    </row>
  </sheetData>
  <mergeCells count="3">
    <mergeCell ref="B1:F1"/>
    <mergeCell ref="G1:J1"/>
    <mergeCell ref="L11:P16"/>
  </mergeCells>
  <conditionalFormatting sqref="B17">
    <cfRule type="cellIs" dxfId="213" priority="48" operator="greaterThanOrEqual">
      <formula>0</formula>
    </cfRule>
    <cfRule type="cellIs" dxfId="212" priority="49" operator="lessThan">
      <formula>0</formula>
    </cfRule>
  </conditionalFormatting>
  <conditionalFormatting sqref="C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11" priority="46" bottom="1" rank="1"/>
  </conditionalFormatting>
  <conditionalFormatting sqref="D4:D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4:F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10" priority="26" operator="lessThan">
      <formula>0</formula>
    </cfRule>
    <cfRule type="cellIs" dxfId="209" priority="38" operator="greaterThanOrEqual">
      <formula>0</formula>
    </cfRule>
  </conditionalFormatting>
  <conditionalFormatting sqref="D17:I17">
    <cfRule type="cellIs" dxfId="208" priority="37" operator="greaterThanOrEqual">
      <formula>0</formula>
    </cfRule>
  </conditionalFormatting>
  <conditionalFormatting sqref="E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ellIs" dxfId="207" priority="32" operator="lessThan">
      <formula>0</formula>
    </cfRule>
  </conditionalFormatting>
  <conditionalFormatting sqref="H17">
    <cfRule type="cellIs" dxfId="206" priority="31" operator="lessThan">
      <formula>0</formula>
    </cfRule>
  </conditionalFormatting>
  <conditionalFormatting sqref="G17">
    <cfRule type="cellIs" dxfId="205" priority="30" operator="lessThan">
      <formula>0</formula>
    </cfRule>
  </conditionalFormatting>
  <conditionalFormatting sqref="F17">
    <cfRule type="cellIs" dxfId="204" priority="29" operator="lessThan">
      <formula>0</formula>
    </cfRule>
  </conditionalFormatting>
  <conditionalFormatting sqref="E17">
    <cfRule type="cellIs" dxfId="203" priority="28" operator="lessThan">
      <formula>0</formula>
    </cfRule>
  </conditionalFormatting>
  <conditionalFormatting sqref="D17">
    <cfRule type="cellIs" dxfId="202" priority="27" operator="lessThan">
      <formula>0</formula>
    </cfRule>
  </conditionalFormatting>
  <conditionalFormatting sqref="B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ellIs" dxfId="201" priority="12" operator="greaterThanOrEqual">
      <formula>0</formula>
    </cfRule>
    <cfRule type="cellIs" dxfId="200" priority="13" operator="lessThan">
      <formula>0</formula>
    </cfRule>
  </conditionalFormatting>
  <conditionalFormatting sqref="C4:C5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17"/>
  <sheetViews>
    <sheetView workbookViewId="0">
      <selection activeCell="G7" sqref="G7:G13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1.85546875" bestFit="1" customWidth="1"/>
    <col min="9" max="9" width="11.140625" bestFit="1" customWidth="1"/>
  </cols>
  <sheetData>
    <row r="1" spans="1:18" x14ac:dyDescent="0.25">
      <c r="A1" s="1"/>
      <c r="B1" s="90" t="s">
        <v>13</v>
      </c>
      <c r="C1" s="91"/>
      <c r="D1" s="91"/>
      <c r="E1" s="91"/>
      <c r="F1" s="91"/>
      <c r="G1" s="92"/>
      <c r="H1" s="89" t="s">
        <v>14</v>
      </c>
      <c r="I1" s="89"/>
      <c r="J1" s="89"/>
      <c r="K1" s="89"/>
      <c r="L1" s="89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17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IFERROR(AVERAGE(B7:B10),"")</f>
        <v>900.53250000000003</v>
      </c>
      <c r="C4" s="4">
        <f t="shared" ref="C4:L4" si="0">IFERROR(AVERAGE(C7:C10),"")</f>
        <v>376.26</v>
      </c>
      <c r="D4" s="4">
        <f t="shared" si="0"/>
        <v>65.587500000000006</v>
      </c>
      <c r="E4" s="4">
        <f>IFERROR(AVERAGE(E7:E10),"")</f>
        <v>182.38249999999999</v>
      </c>
      <c r="F4" s="24">
        <f t="shared" si="0"/>
        <v>71464.25</v>
      </c>
      <c r="G4" s="4">
        <f t="shared" si="0"/>
        <v>6.45</v>
      </c>
      <c r="H4" s="4">
        <f t="shared" si="0"/>
        <v>30.914999999999999</v>
      </c>
      <c r="I4" s="24">
        <f>IFERROR(AVERAGE(I7:I10),"")</f>
        <v>17030</v>
      </c>
      <c r="J4" s="4">
        <f t="shared" si="0"/>
        <v>10.524999999999999</v>
      </c>
      <c r="K4" s="4">
        <f t="shared" si="0"/>
        <v>1019.6599999999999</v>
      </c>
      <c r="L4" s="4">
        <f t="shared" si="0"/>
        <v>196.25</v>
      </c>
    </row>
    <row r="5" spans="1:18" x14ac:dyDescent="0.25">
      <c r="A5" s="1" t="s">
        <v>2</v>
      </c>
      <c r="B5" s="4">
        <f>IFERROR(AVERAGE(B10:B13),"")</f>
        <v>1212.68</v>
      </c>
      <c r="C5" s="18">
        <f t="shared" ref="C5:L5" si="1">IFERROR(AVERAGE(C10:C13),"")</f>
        <v>497.66500000000002</v>
      </c>
      <c r="D5" s="4">
        <f t="shared" si="1"/>
        <v>65.02000000000001</v>
      </c>
      <c r="E5" s="4">
        <f t="shared" si="1"/>
        <v>251.41500000000002</v>
      </c>
      <c r="F5" s="24">
        <f t="shared" si="1"/>
        <v>84317</v>
      </c>
      <c r="G5" s="4">
        <f t="shared" si="1"/>
        <v>10.025</v>
      </c>
      <c r="H5" s="20">
        <f t="shared" si="1"/>
        <v>39.147499999999994</v>
      </c>
      <c r="I5" s="25">
        <f t="shared" si="1"/>
        <v>31592</v>
      </c>
      <c r="J5" s="4">
        <f t="shared" si="1"/>
        <v>7.7725</v>
      </c>
      <c r="K5" s="4">
        <f t="shared" si="1"/>
        <v>1256.5625</v>
      </c>
      <c r="L5" s="4">
        <f t="shared" si="1"/>
        <v>255.13749999999999</v>
      </c>
    </row>
    <row r="6" spans="1:18" x14ac:dyDescent="0.25">
      <c r="F6" s="22"/>
      <c r="I6" s="22"/>
    </row>
    <row r="7" spans="1:18" x14ac:dyDescent="0.25">
      <c r="A7" s="3">
        <v>43877</v>
      </c>
      <c r="B7" s="15">
        <v>984.65</v>
      </c>
      <c r="C7" s="15">
        <v>404.78</v>
      </c>
      <c r="D7" s="15">
        <v>62.42</v>
      </c>
      <c r="E7" s="15">
        <v>217.75</v>
      </c>
      <c r="F7" s="26">
        <v>78783</v>
      </c>
      <c r="G7" s="15">
        <v>7.3</v>
      </c>
      <c r="H7" s="15">
        <v>27.16</v>
      </c>
      <c r="I7" s="26">
        <v>9895</v>
      </c>
      <c r="J7" s="15">
        <v>12.6</v>
      </c>
      <c r="K7" s="15">
        <v>1102.5899999999999</v>
      </c>
      <c r="L7" s="15">
        <v>252.49</v>
      </c>
    </row>
    <row r="8" spans="1:18" x14ac:dyDescent="0.25">
      <c r="A8" s="3">
        <v>43878</v>
      </c>
      <c r="B8" s="15">
        <v>744.91</v>
      </c>
      <c r="C8" s="15">
        <v>321.02</v>
      </c>
      <c r="D8" s="15">
        <v>66.180000000000007</v>
      </c>
      <c r="E8" s="15">
        <v>147.43</v>
      </c>
      <c r="F8" s="26">
        <v>65670</v>
      </c>
      <c r="G8" s="15">
        <v>4.7</v>
      </c>
      <c r="H8" s="15">
        <v>31.44</v>
      </c>
      <c r="I8" s="26">
        <v>6122</v>
      </c>
      <c r="J8" s="15">
        <v>6.3</v>
      </c>
      <c r="K8" s="15">
        <v>455.3</v>
      </c>
      <c r="L8" s="15">
        <v>91.39</v>
      </c>
    </row>
    <row r="9" spans="1:18" x14ac:dyDescent="0.25">
      <c r="A9" s="3">
        <v>43879</v>
      </c>
      <c r="B9" s="15">
        <v>871.32</v>
      </c>
      <c r="C9" s="15">
        <v>372.12</v>
      </c>
      <c r="D9" s="15">
        <v>64.58</v>
      </c>
      <c r="E9" s="15">
        <v>139.97</v>
      </c>
      <c r="F9" s="26">
        <v>49322</v>
      </c>
      <c r="G9" s="15">
        <v>5.5</v>
      </c>
      <c r="H9" s="15">
        <v>27.93</v>
      </c>
      <c r="I9" s="26">
        <v>16702</v>
      </c>
      <c r="J9" s="15">
        <v>13</v>
      </c>
      <c r="K9" s="15">
        <v>1091.93</v>
      </c>
      <c r="L9" s="15">
        <v>192.13</v>
      </c>
    </row>
    <row r="10" spans="1:18" x14ac:dyDescent="0.25">
      <c r="A10" s="3">
        <v>43880</v>
      </c>
      <c r="B10" s="16">
        <v>1001.25</v>
      </c>
      <c r="C10" s="16">
        <v>407.12</v>
      </c>
      <c r="D10" s="16">
        <v>69.17</v>
      </c>
      <c r="E10" s="16">
        <v>224.38</v>
      </c>
      <c r="F10" s="23">
        <v>92082</v>
      </c>
      <c r="G10" s="16">
        <v>8.3000000000000007</v>
      </c>
      <c r="H10" s="16">
        <v>37.130000000000003</v>
      </c>
      <c r="I10" s="23">
        <v>35401</v>
      </c>
      <c r="J10" s="16">
        <v>10.199999999999999</v>
      </c>
      <c r="K10" s="16">
        <v>1428.82</v>
      </c>
      <c r="L10" s="16">
        <v>248.99</v>
      </c>
    </row>
    <row r="11" spans="1:18" ht="14.45" customHeight="1" x14ac:dyDescent="0.25">
      <c r="A11" s="3">
        <v>43881</v>
      </c>
      <c r="B11" s="17">
        <v>1062.4000000000001</v>
      </c>
      <c r="C11" s="17">
        <v>474.54</v>
      </c>
      <c r="D11" s="17">
        <v>55.98</v>
      </c>
      <c r="E11" s="17">
        <v>209.48</v>
      </c>
      <c r="F11" s="27">
        <v>83686</v>
      </c>
      <c r="G11" s="17">
        <v>11.5</v>
      </c>
      <c r="H11" s="17">
        <v>45.81</v>
      </c>
      <c r="I11" s="27">
        <v>30612</v>
      </c>
      <c r="J11" s="17">
        <v>7.5</v>
      </c>
      <c r="K11" s="17">
        <v>1309.33</v>
      </c>
      <c r="L11" s="17">
        <v>232.3</v>
      </c>
      <c r="N11" s="93" t="s">
        <v>16</v>
      </c>
      <c r="O11" s="93"/>
      <c r="P11" s="93"/>
      <c r="Q11" s="93"/>
      <c r="R11" s="93"/>
    </row>
    <row r="12" spans="1:18" x14ac:dyDescent="0.25">
      <c r="A12" s="3">
        <v>43882</v>
      </c>
      <c r="B12" s="17">
        <v>1307.17</v>
      </c>
      <c r="C12" s="17">
        <v>598.79999999999995</v>
      </c>
      <c r="D12" s="17">
        <v>73.87</v>
      </c>
      <c r="E12" s="17">
        <v>254.87</v>
      </c>
      <c r="F12" s="27">
        <v>72876</v>
      </c>
      <c r="G12" s="17">
        <v>8</v>
      </c>
      <c r="H12" s="17">
        <v>34.82</v>
      </c>
      <c r="I12" s="27">
        <v>33155</v>
      </c>
      <c r="J12" s="17">
        <v>8.25</v>
      </c>
      <c r="K12" s="17">
        <v>1292.48</v>
      </c>
      <c r="L12" s="17">
        <v>287.45999999999998</v>
      </c>
      <c r="N12" s="93"/>
      <c r="O12" s="93"/>
      <c r="P12" s="93"/>
      <c r="Q12" s="93"/>
      <c r="R12" s="93"/>
    </row>
    <row r="13" spans="1:18" x14ac:dyDescent="0.25">
      <c r="A13" s="3">
        <v>43883</v>
      </c>
      <c r="B13" s="17">
        <v>1479.9</v>
      </c>
      <c r="C13" s="17">
        <v>510.2</v>
      </c>
      <c r="D13" s="17">
        <v>61.06</v>
      </c>
      <c r="E13" s="17">
        <v>316.93</v>
      </c>
      <c r="F13" s="27">
        <v>88624</v>
      </c>
      <c r="G13" s="17">
        <v>12.3</v>
      </c>
      <c r="H13" s="17">
        <v>38.83</v>
      </c>
      <c r="I13" s="27">
        <v>27200</v>
      </c>
      <c r="J13" s="17">
        <v>5.14</v>
      </c>
      <c r="K13" s="17">
        <v>995.62</v>
      </c>
      <c r="L13" s="17">
        <v>251.8</v>
      </c>
      <c r="N13" s="93"/>
      <c r="O13" s="93"/>
      <c r="P13" s="93"/>
      <c r="Q13" s="93"/>
      <c r="R13" s="93"/>
    </row>
    <row r="14" spans="1:18" ht="14.45" customHeight="1" x14ac:dyDescent="0.25">
      <c r="F14" s="22"/>
      <c r="I14" s="22"/>
      <c r="N14" s="93"/>
      <c r="O14" s="93"/>
      <c r="P14" s="93"/>
      <c r="Q14" s="93"/>
      <c r="R14" s="93"/>
    </row>
    <row r="15" spans="1:18" x14ac:dyDescent="0.25">
      <c r="A15" s="1" t="s">
        <v>3</v>
      </c>
      <c r="B15" s="4">
        <v>829.94285714285718</v>
      </c>
      <c r="C15" s="4">
        <v>452.55285714285714</v>
      </c>
      <c r="D15" s="4">
        <v>70.704285714285717</v>
      </c>
      <c r="E15" s="4">
        <v>200.10142857142858</v>
      </c>
      <c r="F15" s="21">
        <v>498713</v>
      </c>
      <c r="G15" s="4">
        <v>6.4042857142857139</v>
      </c>
      <c r="H15" s="4">
        <v>37.910000000000004</v>
      </c>
      <c r="I15" s="21">
        <v>225892</v>
      </c>
      <c r="J15" s="4">
        <v>7.5914285714285716</v>
      </c>
      <c r="K15" s="4">
        <v>1055.6557142857143</v>
      </c>
      <c r="L15" s="4">
        <v>188.37857142857143</v>
      </c>
      <c r="N15" s="93"/>
      <c r="O15" s="93"/>
      <c r="P15" s="93"/>
      <c r="Q15" s="93"/>
      <c r="R15" s="93"/>
    </row>
    <row r="16" spans="1:18" x14ac:dyDescent="0.25">
      <c r="A16" s="1" t="s">
        <v>4</v>
      </c>
      <c r="B16" s="4">
        <f>IFERROR(AVERAGE(B7:B13),"")</f>
        <v>1064.5142857142857</v>
      </c>
      <c r="C16" s="4">
        <f t="shared" ref="C16:L16" si="2">IFERROR(AVERAGE(C7:C13),"")</f>
        <v>441.22571428571428</v>
      </c>
      <c r="D16" s="4">
        <f t="shared" si="2"/>
        <v>64.751428571428576</v>
      </c>
      <c r="E16" s="4">
        <f t="shared" si="2"/>
        <v>215.83</v>
      </c>
      <c r="F16" s="4">
        <f t="shared" si="2"/>
        <v>75863.28571428571</v>
      </c>
      <c r="G16" s="4">
        <f t="shared" si="2"/>
        <v>8.2285714285714278</v>
      </c>
      <c r="H16" s="4">
        <f t="shared" si="2"/>
        <v>34.731428571428573</v>
      </c>
      <c r="I16" s="4">
        <f t="shared" si="2"/>
        <v>22726.714285714286</v>
      </c>
      <c r="J16" s="4">
        <f t="shared" si="2"/>
        <v>8.9985714285714273</v>
      </c>
      <c r="K16" s="4">
        <f t="shared" si="2"/>
        <v>1096.5814285714284</v>
      </c>
      <c r="L16" s="4">
        <f t="shared" si="2"/>
        <v>222.36571428571429</v>
      </c>
      <c r="N16" s="93"/>
      <c r="O16" s="93"/>
      <c r="P16" s="93"/>
      <c r="Q16" s="93"/>
      <c r="R16" s="93"/>
    </row>
    <row r="17" spans="1:12" x14ac:dyDescent="0.25">
      <c r="A17" s="1" t="s">
        <v>5</v>
      </c>
      <c r="B17" s="6">
        <f>IFERROR(-(B15-B16)/B15,"")</f>
        <v>0.28263563756540894</v>
      </c>
      <c r="C17" s="6">
        <f t="shared" ref="C17:L17" si="3">IFERROR(-(C15-C16)/C15,"")</f>
        <v>-2.5029436182671644E-2</v>
      </c>
      <c r="D17" s="6">
        <f t="shared" si="3"/>
        <v>-8.4193724365061701E-2</v>
      </c>
      <c r="E17" s="6">
        <f t="shared" si="3"/>
        <v>7.8602994195800691E-2</v>
      </c>
      <c r="F17" s="6">
        <f t="shared" si="3"/>
        <v>-0.84788187652159519</v>
      </c>
      <c r="G17" s="6">
        <f t="shared" si="3"/>
        <v>0.28485389248271242</v>
      </c>
      <c r="H17" s="6">
        <f t="shared" si="3"/>
        <v>-8.3845197271733854E-2</v>
      </c>
      <c r="I17" s="6">
        <f t="shared" si="3"/>
        <v>-0.89939123879679539</v>
      </c>
      <c r="J17" s="6">
        <f t="shared" si="3"/>
        <v>0.18535942792623239</v>
      </c>
      <c r="K17" s="6">
        <f t="shared" si="3"/>
        <v>3.8768050730825204E-2</v>
      </c>
      <c r="L17" s="6">
        <f t="shared" si="3"/>
        <v>0.1804193682933303</v>
      </c>
    </row>
  </sheetData>
  <mergeCells count="3">
    <mergeCell ref="B1:G1"/>
    <mergeCell ref="H1:L1"/>
    <mergeCell ref="N11:R16"/>
  </mergeCells>
  <conditionalFormatting sqref="B17">
    <cfRule type="cellIs" dxfId="199" priority="45" operator="greaterThanOrEqual">
      <formula>0</formula>
    </cfRule>
    <cfRule type="cellIs" dxfId="198" priority="46" operator="lessThan">
      <formula>0</formula>
    </cfRule>
  </conditionalFormatting>
  <conditionalFormatting sqref="C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97" priority="44" bottom="1" rank="1"/>
  </conditionalFormatting>
  <conditionalFormatting sqref="D4:D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96" priority="31" operator="lessThan">
      <formula>0</formula>
    </cfRule>
    <cfRule type="cellIs" dxfId="195" priority="42" operator="greaterThanOrEqual">
      <formula>0</formula>
    </cfRule>
  </conditionalFormatting>
  <conditionalFormatting sqref="D17:K17">
    <cfRule type="cellIs" dxfId="194" priority="41" operator="greaterThanOrEqual">
      <formula>0</formula>
    </cfRule>
  </conditionalFormatting>
  <conditionalFormatting sqref="E4:F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93" priority="37" operator="lessThan">
      <formula>0</formula>
    </cfRule>
  </conditionalFormatting>
  <conditionalFormatting sqref="J17">
    <cfRule type="cellIs" dxfId="192" priority="36" operator="lessThan">
      <formula>0</formula>
    </cfRule>
  </conditionalFormatting>
  <conditionalFormatting sqref="H17:I17">
    <cfRule type="cellIs" dxfId="191" priority="35" operator="lessThan">
      <formula>0</formula>
    </cfRule>
  </conditionalFormatting>
  <conditionalFormatting sqref="G17">
    <cfRule type="cellIs" dxfId="190" priority="34" operator="lessThan">
      <formula>0</formula>
    </cfRule>
  </conditionalFormatting>
  <conditionalFormatting sqref="E17:F17">
    <cfRule type="cellIs" dxfId="189" priority="33" operator="lessThan">
      <formula>0</formula>
    </cfRule>
  </conditionalFormatting>
  <conditionalFormatting sqref="D17">
    <cfRule type="cellIs" dxfId="188" priority="32" operator="lessThan">
      <formula>0</formula>
    </cfRule>
  </conditionalFormatting>
  <conditionalFormatting sqref="B4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87" priority="22" operator="greaterThanOrEqual">
      <formula>0</formula>
    </cfRule>
    <cfRule type="cellIs" dxfId="186" priority="23" operator="lessThan">
      <formula>0</formula>
    </cfRule>
  </conditionalFormatting>
  <conditionalFormatting sqref="C4:C5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5">
      <colorScale>
        <cfvo type="min"/>
        <cfvo type="max"/>
        <color rgb="FFFFEF9C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7"/>
  <sheetViews>
    <sheetView workbookViewId="0">
      <selection activeCell="G7" sqref="G7:G13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1.85546875" bestFit="1" customWidth="1"/>
    <col min="9" max="9" width="11.140625" bestFit="1" customWidth="1"/>
  </cols>
  <sheetData>
    <row r="1" spans="1:18" x14ac:dyDescent="0.25">
      <c r="A1" s="1"/>
      <c r="B1" s="90" t="s">
        <v>13</v>
      </c>
      <c r="C1" s="91"/>
      <c r="D1" s="91"/>
      <c r="E1" s="91"/>
      <c r="F1" s="91"/>
      <c r="G1" s="92"/>
      <c r="H1" s="89" t="s">
        <v>14</v>
      </c>
      <c r="I1" s="89"/>
      <c r="J1" s="89"/>
      <c r="K1" s="89"/>
      <c r="L1" s="89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17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IFERROR(AVERAGE(B7:B10),"")</f>
        <v>1567.0325</v>
      </c>
      <c r="C4" s="4">
        <f t="shared" ref="C4:L4" si="0">IFERROR(AVERAGE(C7:C10),"")</f>
        <v>248.13749999999999</v>
      </c>
      <c r="D4" s="4">
        <f t="shared" si="0"/>
        <v>55.552499999999995</v>
      </c>
      <c r="E4" s="4">
        <f>IFERROR(AVERAGE(E7:E10),"")</f>
        <v>247.02750000000003</v>
      </c>
      <c r="F4" s="24">
        <f t="shared" si="0"/>
        <v>41759.5</v>
      </c>
      <c r="G4" s="4">
        <f t="shared" si="0"/>
        <v>12.8675</v>
      </c>
      <c r="H4" s="4">
        <f t="shared" si="0"/>
        <v>45.407499999999999</v>
      </c>
      <c r="I4" s="24">
        <f>IFERROR(AVERAGE(I7:I10),"")</f>
        <v>20581.75</v>
      </c>
      <c r="J4" s="4">
        <f t="shared" si="0"/>
        <v>5.9075000000000006</v>
      </c>
      <c r="K4" s="4">
        <f t="shared" si="0"/>
        <v>986.65249999999992</v>
      </c>
      <c r="L4" s="4">
        <f t="shared" si="0"/>
        <v>172.82499999999999</v>
      </c>
    </row>
    <row r="5" spans="1:18" x14ac:dyDescent="0.25">
      <c r="A5" s="1" t="s">
        <v>2</v>
      </c>
      <c r="B5" s="4">
        <f>IFERROR(AVERAGE(B10:B13),"")</f>
        <v>993.80250000000001</v>
      </c>
      <c r="C5" s="18">
        <f t="shared" ref="C5:L5" si="1">IFERROR(AVERAGE(C10:C13),"")</f>
        <v>280.83249999999998</v>
      </c>
      <c r="D5" s="4">
        <f t="shared" si="1"/>
        <v>56.352499999999992</v>
      </c>
      <c r="E5" s="4">
        <f t="shared" si="1"/>
        <v>223.97500000000002</v>
      </c>
      <c r="F5" s="24">
        <f t="shared" si="1"/>
        <v>42996</v>
      </c>
      <c r="G5" s="4">
        <f t="shared" si="1"/>
        <v>21.324999999999999</v>
      </c>
      <c r="H5" s="20">
        <f t="shared" si="1"/>
        <v>40.299999999999997</v>
      </c>
      <c r="I5" s="25">
        <f t="shared" si="1"/>
        <v>31336</v>
      </c>
      <c r="J5" s="4">
        <f t="shared" si="1"/>
        <v>8.9749999999999996</v>
      </c>
      <c r="K5" s="4">
        <f t="shared" si="1"/>
        <v>1248.3599999999999</v>
      </c>
      <c r="L5" s="4">
        <f t="shared" si="1"/>
        <v>243.55250000000001</v>
      </c>
    </row>
    <row r="6" spans="1:18" x14ac:dyDescent="0.25">
      <c r="F6" s="22"/>
      <c r="I6" s="22"/>
    </row>
    <row r="7" spans="1:18" x14ac:dyDescent="0.25">
      <c r="A7" s="3">
        <v>43884</v>
      </c>
      <c r="B7" s="15">
        <v>1582.13</v>
      </c>
      <c r="C7" s="15">
        <v>190.83</v>
      </c>
      <c r="D7" s="15">
        <v>46.34</v>
      </c>
      <c r="E7" s="15">
        <v>266.92</v>
      </c>
      <c r="F7" s="26">
        <v>37326</v>
      </c>
      <c r="G7" s="15">
        <v>14.3</v>
      </c>
      <c r="H7" s="15">
        <v>48.08</v>
      </c>
      <c r="I7" s="26">
        <v>21069</v>
      </c>
      <c r="J7" s="15">
        <v>4.2300000000000004</v>
      </c>
      <c r="K7" s="15">
        <v>909.83</v>
      </c>
      <c r="L7" s="15">
        <v>115.15</v>
      </c>
    </row>
    <row r="8" spans="1:18" x14ac:dyDescent="0.25">
      <c r="A8" s="3">
        <v>43885</v>
      </c>
      <c r="B8" s="15">
        <v>2438.7399999999998</v>
      </c>
      <c r="C8" s="15">
        <v>371.7</v>
      </c>
      <c r="D8" s="15">
        <v>58.69</v>
      </c>
      <c r="E8" s="15">
        <v>270.5</v>
      </c>
      <c r="F8" s="26">
        <v>38207</v>
      </c>
      <c r="G8" s="15">
        <v>11.7</v>
      </c>
      <c r="H8" s="15">
        <v>46.48</v>
      </c>
      <c r="I8" s="26">
        <v>14938</v>
      </c>
      <c r="J8" s="15">
        <v>5.3</v>
      </c>
      <c r="K8" s="15">
        <v>771.77</v>
      </c>
      <c r="L8" s="15">
        <v>167.05</v>
      </c>
    </row>
    <row r="9" spans="1:18" x14ac:dyDescent="0.25">
      <c r="A9" s="3">
        <v>43886</v>
      </c>
      <c r="B9" s="15">
        <v>1375.16</v>
      </c>
      <c r="C9" s="15">
        <v>212.32</v>
      </c>
      <c r="D9" s="15">
        <v>68.88</v>
      </c>
      <c r="E9" s="15">
        <v>287.19</v>
      </c>
      <c r="F9" s="26">
        <v>55035</v>
      </c>
      <c r="G9" s="15">
        <v>13.97</v>
      </c>
      <c r="H9" s="15">
        <v>43.47</v>
      </c>
      <c r="I9" s="26">
        <v>19585</v>
      </c>
      <c r="J9" s="15">
        <v>7.2</v>
      </c>
      <c r="K9" s="15">
        <v>1124.71</v>
      </c>
      <c r="L9" s="15">
        <v>219.9</v>
      </c>
    </row>
    <row r="10" spans="1:18" x14ac:dyDescent="0.25">
      <c r="A10" s="3">
        <v>43887</v>
      </c>
      <c r="B10" s="16">
        <v>872.1</v>
      </c>
      <c r="C10" s="16">
        <v>217.7</v>
      </c>
      <c r="D10" s="16">
        <v>48.3</v>
      </c>
      <c r="E10" s="16">
        <v>163.5</v>
      </c>
      <c r="F10" s="23">
        <v>36470</v>
      </c>
      <c r="G10" s="16">
        <v>11.5</v>
      </c>
      <c r="H10" s="16">
        <v>43.6</v>
      </c>
      <c r="I10" s="23">
        <v>26735</v>
      </c>
      <c r="J10" s="16">
        <v>6.9</v>
      </c>
      <c r="K10" s="16">
        <v>1140.3</v>
      </c>
      <c r="L10" s="16">
        <v>189.2</v>
      </c>
    </row>
    <row r="11" spans="1:18" ht="14.45" customHeight="1" x14ac:dyDescent="0.25">
      <c r="A11" s="3">
        <v>43888</v>
      </c>
      <c r="B11" s="17">
        <v>1009.4</v>
      </c>
      <c r="C11" s="17">
        <v>418</v>
      </c>
      <c r="D11" s="17">
        <v>41.7</v>
      </c>
      <c r="E11" s="17">
        <v>249.5</v>
      </c>
      <c r="F11" s="27">
        <v>51346</v>
      </c>
      <c r="G11" s="17">
        <v>27.1</v>
      </c>
      <c r="H11" s="17">
        <v>42.4</v>
      </c>
      <c r="I11" s="27">
        <v>35351</v>
      </c>
      <c r="J11" s="17">
        <v>9.6</v>
      </c>
      <c r="K11" s="17">
        <v>1133.3</v>
      </c>
      <c r="L11" s="17">
        <v>256.5</v>
      </c>
      <c r="N11" s="93" t="s">
        <v>16</v>
      </c>
      <c r="O11" s="93"/>
      <c r="P11" s="93"/>
      <c r="Q11" s="93"/>
      <c r="R11" s="93"/>
    </row>
    <row r="12" spans="1:18" x14ac:dyDescent="0.25">
      <c r="A12" s="3">
        <v>43889</v>
      </c>
      <c r="B12" s="17">
        <v>728.5</v>
      </c>
      <c r="C12" s="17">
        <v>175.5</v>
      </c>
      <c r="D12" s="17">
        <v>60.2</v>
      </c>
      <c r="E12" s="17">
        <v>192.2</v>
      </c>
      <c r="F12" s="27">
        <v>42597</v>
      </c>
      <c r="G12" s="17">
        <v>30.9</v>
      </c>
      <c r="H12" s="17">
        <v>35.299999999999997</v>
      </c>
      <c r="I12" s="27">
        <v>33627</v>
      </c>
      <c r="J12" s="17">
        <v>10.7</v>
      </c>
      <c r="K12" s="17">
        <v>1340.1</v>
      </c>
      <c r="L12" s="17">
        <v>261.7</v>
      </c>
      <c r="N12" s="93"/>
      <c r="O12" s="93"/>
      <c r="P12" s="93"/>
      <c r="Q12" s="93"/>
      <c r="R12" s="93"/>
    </row>
    <row r="13" spans="1:18" x14ac:dyDescent="0.25">
      <c r="A13" s="3">
        <v>43890</v>
      </c>
      <c r="B13" s="17">
        <v>1365.21</v>
      </c>
      <c r="C13" s="17">
        <v>312.13</v>
      </c>
      <c r="D13" s="17">
        <v>75.209999999999994</v>
      </c>
      <c r="E13" s="17">
        <v>290.7</v>
      </c>
      <c r="F13" s="27">
        <v>41571</v>
      </c>
      <c r="G13" s="17">
        <v>15.8</v>
      </c>
      <c r="H13" s="17">
        <v>39.9</v>
      </c>
      <c r="I13" s="27">
        <v>29631</v>
      </c>
      <c r="J13" s="17">
        <v>8.6999999999999993</v>
      </c>
      <c r="K13" s="17">
        <v>1379.74</v>
      </c>
      <c r="L13" s="17">
        <v>266.81</v>
      </c>
      <c r="N13" s="93"/>
      <c r="O13" s="93"/>
      <c r="P13" s="93"/>
      <c r="Q13" s="93"/>
      <c r="R13" s="93"/>
    </row>
    <row r="14" spans="1:18" ht="14.45" customHeight="1" x14ac:dyDescent="0.25">
      <c r="F14" s="22"/>
      <c r="I14" s="22"/>
      <c r="N14" s="93"/>
      <c r="O14" s="93"/>
      <c r="P14" s="93"/>
      <c r="Q14" s="93"/>
      <c r="R14" s="93"/>
    </row>
    <row r="15" spans="1:18" x14ac:dyDescent="0.25">
      <c r="A15" s="1" t="s">
        <v>3</v>
      </c>
      <c r="B15" s="4">
        <v>1064.5142857142857</v>
      </c>
      <c r="C15" s="4">
        <v>441.22571428571428</v>
      </c>
      <c r="D15" s="4">
        <v>64.751428571428576</v>
      </c>
      <c r="E15" s="4">
        <v>215.83</v>
      </c>
      <c r="F15" s="21">
        <v>75863.28571428571</v>
      </c>
      <c r="G15" s="4">
        <v>8.2285714285714278</v>
      </c>
      <c r="H15" s="4">
        <v>34.731428571428573</v>
      </c>
      <c r="I15" s="21">
        <v>22726.714285714286</v>
      </c>
      <c r="J15" s="4">
        <v>8.9985714285714273</v>
      </c>
      <c r="K15" s="4">
        <v>1096.5814285714284</v>
      </c>
      <c r="L15" s="4">
        <v>222.36571428571429</v>
      </c>
      <c r="N15" s="93"/>
      <c r="O15" s="93"/>
      <c r="P15" s="93"/>
      <c r="Q15" s="93"/>
      <c r="R15" s="93"/>
    </row>
    <row r="16" spans="1:18" x14ac:dyDescent="0.25">
      <c r="A16" s="1" t="s">
        <v>4</v>
      </c>
      <c r="B16" s="4">
        <f>IFERROR(AVERAGE(B7:B13),"")</f>
        <v>1338.7485714285715</v>
      </c>
      <c r="C16" s="4">
        <f t="shared" ref="C16:L16" si="2">IFERROR(AVERAGE(C7:C13),"")</f>
        <v>271.1685714285714</v>
      </c>
      <c r="D16" s="4">
        <f t="shared" si="2"/>
        <v>57.045714285714276</v>
      </c>
      <c r="E16" s="4">
        <f t="shared" si="2"/>
        <v>245.7871428571429</v>
      </c>
      <c r="F16" s="4">
        <f t="shared" si="2"/>
        <v>43221.714285714283</v>
      </c>
      <c r="G16" s="4">
        <f t="shared" si="2"/>
        <v>17.895714285714284</v>
      </c>
      <c r="H16" s="4">
        <f t="shared" si="2"/>
        <v>42.747142857142855</v>
      </c>
      <c r="I16" s="4">
        <f t="shared" si="2"/>
        <v>25848</v>
      </c>
      <c r="J16" s="4">
        <f t="shared" si="2"/>
        <v>7.5185714285714296</v>
      </c>
      <c r="K16" s="4">
        <f t="shared" si="2"/>
        <v>1114.25</v>
      </c>
      <c r="L16" s="4">
        <f t="shared" si="2"/>
        <v>210.90142857142857</v>
      </c>
      <c r="N16" s="93"/>
      <c r="O16" s="93"/>
      <c r="P16" s="93"/>
      <c r="Q16" s="93"/>
      <c r="R16" s="93"/>
    </row>
    <row r="17" spans="1:12" x14ac:dyDescent="0.25">
      <c r="A17" s="1" t="s">
        <v>5</v>
      </c>
      <c r="B17" s="6">
        <f>IFERROR(-(B15-B16)/B15,"")</f>
        <v>0.2576144720596919</v>
      </c>
      <c r="C17" s="6">
        <f t="shared" ref="C17:L17" si="3">IFERROR(-(C15-C16)/C15,"")</f>
        <v>-0.38541983694772358</v>
      </c>
      <c r="D17" s="6">
        <f t="shared" si="3"/>
        <v>-0.11900454485284406</v>
      </c>
      <c r="E17" s="6">
        <f t="shared" si="3"/>
        <v>0.13879971670825594</v>
      </c>
      <c r="F17" s="6">
        <f t="shared" si="3"/>
        <v>-0.43026835868281854</v>
      </c>
      <c r="G17" s="6">
        <f t="shared" si="3"/>
        <v>1.174826388888889</v>
      </c>
      <c r="H17" s="6">
        <f t="shared" si="3"/>
        <v>0.23079137874300742</v>
      </c>
      <c r="I17" s="6">
        <f t="shared" si="3"/>
        <v>0.1373399460672462</v>
      </c>
      <c r="J17" s="6">
        <f t="shared" si="3"/>
        <v>-0.164470550881092</v>
      </c>
      <c r="K17" s="6">
        <f t="shared" si="3"/>
        <v>1.6112411689836202E-2</v>
      </c>
      <c r="L17" s="6">
        <f t="shared" si="3"/>
        <v>-5.1555995271624647E-2</v>
      </c>
    </row>
  </sheetData>
  <mergeCells count="3">
    <mergeCell ref="B1:G1"/>
    <mergeCell ref="H1:L1"/>
    <mergeCell ref="N11:R16"/>
  </mergeCells>
  <conditionalFormatting sqref="B17">
    <cfRule type="cellIs" dxfId="185" priority="41" operator="greaterThanOrEqual">
      <formula>0</formula>
    </cfRule>
    <cfRule type="cellIs" dxfId="184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83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82" priority="27" operator="lessThan">
      <formula>0</formula>
    </cfRule>
    <cfRule type="cellIs" dxfId="181" priority="38" operator="greaterThanOrEqual">
      <formula>0</formula>
    </cfRule>
  </conditionalFormatting>
  <conditionalFormatting sqref="D17:K17">
    <cfRule type="cellIs" dxfId="180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79" priority="33" operator="lessThan">
      <formula>0</formula>
    </cfRule>
  </conditionalFormatting>
  <conditionalFormatting sqref="J17">
    <cfRule type="cellIs" dxfId="178" priority="32" operator="lessThan">
      <formula>0</formula>
    </cfRule>
  </conditionalFormatting>
  <conditionalFormatting sqref="H17:I17">
    <cfRule type="cellIs" dxfId="177" priority="31" operator="lessThan">
      <formula>0</formula>
    </cfRule>
  </conditionalFormatting>
  <conditionalFormatting sqref="G17">
    <cfRule type="cellIs" dxfId="176" priority="30" operator="lessThan">
      <formula>0</formula>
    </cfRule>
  </conditionalFormatting>
  <conditionalFormatting sqref="E17:F17">
    <cfRule type="cellIs" dxfId="175" priority="29" operator="lessThan">
      <formula>0</formula>
    </cfRule>
  </conditionalFormatting>
  <conditionalFormatting sqref="D17">
    <cfRule type="cellIs" dxfId="174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73" priority="18" operator="greaterThanOrEqual">
      <formula>0</formula>
    </cfRule>
    <cfRule type="cellIs" dxfId="172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7"/>
  <sheetViews>
    <sheetView workbookViewId="0">
      <selection activeCell="B10" sqref="B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0" t="s">
        <v>13</v>
      </c>
      <c r="C1" s="91"/>
      <c r="D1" s="91"/>
      <c r="E1" s="91"/>
      <c r="F1" s="91"/>
      <c r="G1" s="92"/>
      <c r="H1" s="89" t="s">
        <v>14</v>
      </c>
      <c r="I1" s="89"/>
      <c r="J1" s="89"/>
      <c r="K1" s="89"/>
      <c r="L1" s="89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 t="shared" ref="B4:L4" si="0">IFERROR(AVERAGE(B7:B10),"")</f>
        <v>1243.03</v>
      </c>
      <c r="C4" s="4">
        <f t="shared" si="0"/>
        <v>398.22250000000003</v>
      </c>
      <c r="D4" s="4">
        <f t="shared" si="0"/>
        <v>72.622500000000002</v>
      </c>
      <c r="E4" s="4">
        <f t="shared" si="0"/>
        <v>271.745</v>
      </c>
      <c r="F4" s="24">
        <f t="shared" si="0"/>
        <v>46258.75</v>
      </c>
      <c r="G4" s="4">
        <f t="shared" si="0"/>
        <v>21.035</v>
      </c>
      <c r="H4" s="4">
        <f t="shared" si="0"/>
        <v>48.395000000000003</v>
      </c>
      <c r="I4" s="24">
        <f t="shared" si="0"/>
        <v>18875.5</v>
      </c>
      <c r="J4" s="4">
        <f t="shared" si="0"/>
        <v>6.25</v>
      </c>
      <c r="K4" s="4">
        <f t="shared" si="0"/>
        <v>1385.5475000000001</v>
      </c>
      <c r="L4" s="4">
        <f t="shared" si="0"/>
        <v>201.92500000000001</v>
      </c>
    </row>
    <row r="5" spans="1:18" x14ac:dyDescent="0.25">
      <c r="A5" s="1" t="s">
        <v>2</v>
      </c>
      <c r="B5" s="4" t="str">
        <f>IFERROR(AVERAGE(B10:B13),"")</f>
        <v/>
      </c>
      <c r="C5" s="18">
        <f t="shared" ref="C5:L5" si="1">IFERROR(AVERAGE(C10:C13),"")</f>
        <v>384.495</v>
      </c>
      <c r="D5" s="4">
        <f t="shared" si="1"/>
        <v>81.0625</v>
      </c>
      <c r="E5" s="4">
        <f t="shared" si="1"/>
        <v>289.21000000000004</v>
      </c>
      <c r="F5" s="24">
        <f t="shared" si="1"/>
        <v>36790.5</v>
      </c>
      <c r="G5" s="4">
        <f t="shared" si="1"/>
        <v>24.4</v>
      </c>
      <c r="H5" s="20">
        <f t="shared" si="1"/>
        <v>47.274999999999999</v>
      </c>
      <c r="I5" s="25">
        <f t="shared" si="1"/>
        <v>24312.75</v>
      </c>
      <c r="J5" s="4">
        <f t="shared" si="1"/>
        <v>9</v>
      </c>
      <c r="K5" s="4">
        <f t="shared" si="1"/>
        <v>1475.675</v>
      </c>
      <c r="L5" s="4">
        <f t="shared" si="1"/>
        <v>301.505</v>
      </c>
    </row>
    <row r="6" spans="1:18" x14ac:dyDescent="0.25">
      <c r="F6" s="22"/>
      <c r="I6" s="22"/>
    </row>
    <row r="7" spans="1:18" x14ac:dyDescent="0.25">
      <c r="A7" s="3">
        <v>43891</v>
      </c>
      <c r="B7" s="15">
        <v>1304.67</v>
      </c>
      <c r="C7" s="15">
        <v>300.77999999999997</v>
      </c>
      <c r="D7" s="15">
        <v>60.24</v>
      </c>
      <c r="E7" s="15">
        <v>313.67</v>
      </c>
      <c r="F7" s="26">
        <v>58626</v>
      </c>
      <c r="G7" s="15">
        <v>35.200000000000003</v>
      </c>
      <c r="H7" s="15">
        <v>48.52</v>
      </c>
      <c r="I7" s="26">
        <v>16734</v>
      </c>
      <c r="J7" s="15">
        <v>5</v>
      </c>
      <c r="K7" s="15">
        <v>1074.4000000000001</v>
      </c>
      <c r="L7" s="15">
        <v>157.06</v>
      </c>
    </row>
    <row r="8" spans="1:18" x14ac:dyDescent="0.25">
      <c r="A8" s="3">
        <v>43892</v>
      </c>
      <c r="B8" s="15">
        <v>1410.17</v>
      </c>
      <c r="C8" s="15">
        <v>355.91</v>
      </c>
      <c r="D8" s="15">
        <v>73.19</v>
      </c>
      <c r="E8" s="15">
        <v>268.37</v>
      </c>
      <c r="F8" s="26">
        <v>57227</v>
      </c>
      <c r="G8" s="15">
        <v>16.5</v>
      </c>
      <c r="H8" s="15">
        <v>51.96</v>
      </c>
      <c r="I8" s="26">
        <v>16215</v>
      </c>
      <c r="J8" s="15">
        <v>5.8</v>
      </c>
      <c r="K8" s="15">
        <v>1158.96</v>
      </c>
      <c r="L8" s="15">
        <v>186.53</v>
      </c>
    </row>
    <row r="9" spans="1:18" x14ac:dyDescent="0.25">
      <c r="A9" s="3">
        <v>43893</v>
      </c>
      <c r="B9" s="15">
        <v>1014.25</v>
      </c>
      <c r="C9" s="15">
        <v>572.04</v>
      </c>
      <c r="D9" s="15">
        <v>63.2</v>
      </c>
      <c r="E9" s="15">
        <v>225.37</v>
      </c>
      <c r="F9" s="26">
        <v>39560</v>
      </c>
      <c r="G9" s="15">
        <v>19.14</v>
      </c>
      <c r="H9" s="15">
        <v>44.26</v>
      </c>
      <c r="I9" s="26">
        <v>20819</v>
      </c>
      <c r="J9" s="15">
        <v>6.6</v>
      </c>
      <c r="K9" s="15">
        <v>1875.89</v>
      </c>
      <c r="L9" s="15">
        <v>178.8</v>
      </c>
    </row>
    <row r="10" spans="1:18" x14ac:dyDescent="0.25">
      <c r="A10" s="3">
        <v>43894</v>
      </c>
      <c r="B10" s="16"/>
      <c r="C10" s="16">
        <v>364.16</v>
      </c>
      <c r="D10" s="16">
        <v>93.86</v>
      </c>
      <c r="E10" s="16">
        <v>279.57</v>
      </c>
      <c r="F10" s="23">
        <v>29622</v>
      </c>
      <c r="G10" s="16">
        <v>13.3</v>
      </c>
      <c r="H10" s="16">
        <v>48.84</v>
      </c>
      <c r="I10" s="23">
        <v>21734</v>
      </c>
      <c r="J10" s="16">
        <v>7.6</v>
      </c>
      <c r="K10" s="16">
        <v>1432.94</v>
      </c>
      <c r="L10" s="16">
        <v>285.31</v>
      </c>
    </row>
    <row r="11" spans="1:18" ht="14.45" customHeight="1" x14ac:dyDescent="0.25">
      <c r="A11" s="3">
        <v>43895</v>
      </c>
      <c r="B11" s="17"/>
      <c r="C11" s="17">
        <v>564.29999999999995</v>
      </c>
      <c r="D11" s="17">
        <v>111.4</v>
      </c>
      <c r="E11" s="17">
        <v>275.89999999999998</v>
      </c>
      <c r="F11" s="27">
        <v>30035</v>
      </c>
      <c r="G11" s="17">
        <v>14.7</v>
      </c>
      <c r="H11" s="17">
        <v>46</v>
      </c>
      <c r="I11" s="27">
        <v>30184</v>
      </c>
      <c r="J11" s="17">
        <v>8.6</v>
      </c>
      <c r="K11" s="17">
        <v>1444.7</v>
      </c>
      <c r="L11" s="17">
        <v>264.60000000000002</v>
      </c>
      <c r="N11" s="93" t="s">
        <v>16</v>
      </c>
      <c r="O11" s="93"/>
      <c r="P11" s="93"/>
      <c r="Q11" s="93"/>
      <c r="R11" s="93"/>
    </row>
    <row r="12" spans="1:18" x14ac:dyDescent="0.25">
      <c r="A12" s="3">
        <v>43896</v>
      </c>
      <c r="B12" s="17"/>
      <c r="C12" s="17">
        <v>286.10000000000002</v>
      </c>
      <c r="D12" s="17">
        <v>68.7</v>
      </c>
      <c r="E12" s="17">
        <v>256.89999999999998</v>
      </c>
      <c r="F12" s="27">
        <v>40512</v>
      </c>
      <c r="G12" s="17">
        <v>26.7</v>
      </c>
      <c r="H12" s="17">
        <v>40.6</v>
      </c>
      <c r="I12" s="27">
        <v>19349</v>
      </c>
      <c r="J12" s="17">
        <v>11.6</v>
      </c>
      <c r="K12" s="17">
        <v>1219.2</v>
      </c>
      <c r="L12" s="17">
        <v>307</v>
      </c>
      <c r="N12" s="93"/>
      <c r="O12" s="93"/>
      <c r="P12" s="93"/>
      <c r="Q12" s="93"/>
      <c r="R12" s="93"/>
    </row>
    <row r="13" spans="1:18" x14ac:dyDescent="0.25">
      <c r="A13" s="3">
        <v>43897</v>
      </c>
      <c r="B13" s="17"/>
      <c r="C13" s="17">
        <v>323.42</v>
      </c>
      <c r="D13" s="17">
        <v>50.29</v>
      </c>
      <c r="E13" s="17">
        <v>344.47</v>
      </c>
      <c r="F13" s="27">
        <v>46993</v>
      </c>
      <c r="G13" s="17">
        <v>42.9</v>
      </c>
      <c r="H13" s="17">
        <v>53.66</v>
      </c>
      <c r="I13" s="27">
        <v>25984</v>
      </c>
      <c r="J13" s="17">
        <v>8.1999999999999993</v>
      </c>
      <c r="K13" s="17">
        <v>1805.86</v>
      </c>
      <c r="L13" s="17">
        <v>349.11</v>
      </c>
      <c r="N13" s="93"/>
      <c r="O13" s="93"/>
      <c r="P13" s="93"/>
      <c r="Q13" s="93"/>
      <c r="R13" s="93"/>
    </row>
    <row r="14" spans="1:18" ht="14.45" customHeight="1" x14ac:dyDescent="0.25">
      <c r="F14" s="22"/>
      <c r="I14" s="22"/>
      <c r="N14" s="93"/>
      <c r="O14" s="93"/>
      <c r="P14" s="93"/>
      <c r="Q14" s="93"/>
      <c r="R14" s="93"/>
    </row>
    <row r="15" spans="1:18" x14ac:dyDescent="0.25">
      <c r="A15" s="1" t="s">
        <v>3</v>
      </c>
      <c r="B15" s="4">
        <v>1338.7485714285715</v>
      </c>
      <c r="C15" s="4">
        <v>271.1685714285714</v>
      </c>
      <c r="D15" s="4">
        <v>57.045714285714276</v>
      </c>
      <c r="E15" s="4">
        <v>245.7871428571429</v>
      </c>
      <c r="F15" s="4">
        <v>43221.714285714283</v>
      </c>
      <c r="G15" s="4">
        <v>17.895714285714284</v>
      </c>
      <c r="H15" s="4">
        <v>42.747142857142855</v>
      </c>
      <c r="I15" s="4">
        <v>25848</v>
      </c>
      <c r="J15" s="4">
        <v>7.5185714285714296</v>
      </c>
      <c r="K15" s="4">
        <v>1114.25</v>
      </c>
      <c r="L15" s="4">
        <v>210.90142857142857</v>
      </c>
      <c r="N15" s="93"/>
      <c r="O15" s="93"/>
      <c r="P15" s="93"/>
      <c r="Q15" s="93"/>
      <c r="R15" s="93"/>
    </row>
    <row r="16" spans="1:18" x14ac:dyDescent="0.25">
      <c r="A16" s="1" t="s">
        <v>4</v>
      </c>
      <c r="B16" s="4">
        <f t="shared" ref="B16:L16" si="2">IFERROR(AVERAGE(B7:B13),"")</f>
        <v>1243.03</v>
      </c>
      <c r="C16" s="4">
        <f t="shared" si="2"/>
        <v>395.2442857142857</v>
      </c>
      <c r="D16" s="4">
        <f t="shared" si="2"/>
        <v>74.411428571428573</v>
      </c>
      <c r="E16" s="4">
        <f t="shared" si="2"/>
        <v>280.60714285714289</v>
      </c>
      <c r="F16" s="4">
        <f t="shared" si="2"/>
        <v>43225</v>
      </c>
      <c r="G16" s="4">
        <f t="shared" si="2"/>
        <v>24.062857142857144</v>
      </c>
      <c r="H16" s="4">
        <f t="shared" si="2"/>
        <v>47.691428571428574</v>
      </c>
      <c r="I16" s="4">
        <f t="shared" si="2"/>
        <v>21574.142857142859</v>
      </c>
      <c r="J16" s="4">
        <f t="shared" si="2"/>
        <v>7.628571428571429</v>
      </c>
      <c r="K16" s="4">
        <f t="shared" si="2"/>
        <v>1430.2785714285715</v>
      </c>
      <c r="L16" s="4">
        <f t="shared" si="2"/>
        <v>246.91571428571433</v>
      </c>
      <c r="N16" s="93"/>
      <c r="O16" s="93"/>
      <c r="P16" s="93"/>
      <c r="Q16" s="93"/>
      <c r="R16" s="93"/>
    </row>
    <row r="17" spans="1:12" x14ac:dyDescent="0.25">
      <c r="A17" s="1" t="s">
        <v>5</v>
      </c>
      <c r="B17" s="6">
        <f>IFERROR(-(B15-B16)/B15,"")</f>
        <v>-7.1498542348718053E-2</v>
      </c>
      <c r="C17" s="6">
        <f t="shared" ref="C17:L17" si="3">IFERROR(-(C15-C16)/C15,"")</f>
        <v>0.45755934632121303</v>
      </c>
      <c r="D17" s="6">
        <f t="shared" si="3"/>
        <v>0.30441750976660348</v>
      </c>
      <c r="E17" s="6">
        <f t="shared" si="3"/>
        <v>0.14166729632492686</v>
      </c>
      <c r="F17" s="6">
        <f t="shared" si="3"/>
        <v>7.6019989952212603E-5</v>
      </c>
      <c r="G17" s="6">
        <f t="shared" si="3"/>
        <v>0.34461563023868463</v>
      </c>
      <c r="H17" s="6">
        <f t="shared" si="3"/>
        <v>0.11566353641011944</v>
      </c>
      <c r="I17" s="6">
        <f t="shared" si="3"/>
        <v>-0.16534575761595255</v>
      </c>
      <c r="J17" s="6">
        <f t="shared" si="3"/>
        <v>1.4630438913167317E-2</v>
      </c>
      <c r="K17" s="6">
        <f t="shared" si="3"/>
        <v>0.28362447514343414</v>
      </c>
      <c r="L17" s="6">
        <f t="shared" si="3"/>
        <v>0.17076359301230795</v>
      </c>
    </row>
  </sheetData>
  <mergeCells count="3">
    <mergeCell ref="B1:G1"/>
    <mergeCell ref="H1:L1"/>
    <mergeCell ref="N11:R16"/>
  </mergeCells>
  <conditionalFormatting sqref="B17">
    <cfRule type="cellIs" dxfId="171" priority="41" operator="greaterThanOrEqual">
      <formula>0</formula>
    </cfRule>
    <cfRule type="cellIs" dxfId="17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6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68" priority="27" operator="lessThan">
      <formula>0</formula>
    </cfRule>
    <cfRule type="cellIs" dxfId="167" priority="38" operator="greaterThanOrEqual">
      <formula>0</formula>
    </cfRule>
  </conditionalFormatting>
  <conditionalFormatting sqref="D17:K17">
    <cfRule type="cellIs" dxfId="16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65" priority="33" operator="lessThan">
      <formula>0</formula>
    </cfRule>
  </conditionalFormatting>
  <conditionalFormatting sqref="J17">
    <cfRule type="cellIs" dxfId="164" priority="32" operator="lessThan">
      <formula>0</formula>
    </cfRule>
  </conditionalFormatting>
  <conditionalFormatting sqref="H17:I17">
    <cfRule type="cellIs" dxfId="163" priority="31" operator="lessThan">
      <formula>0</formula>
    </cfRule>
  </conditionalFormatting>
  <conditionalFormatting sqref="G17">
    <cfRule type="cellIs" dxfId="162" priority="30" operator="lessThan">
      <formula>0</formula>
    </cfRule>
  </conditionalFormatting>
  <conditionalFormatting sqref="E17:F17">
    <cfRule type="cellIs" dxfId="161" priority="29" operator="lessThan">
      <formula>0</formula>
    </cfRule>
  </conditionalFormatting>
  <conditionalFormatting sqref="D17">
    <cfRule type="cellIs" dxfId="16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59" priority="18" operator="greaterThanOrEqual">
      <formula>0</formula>
    </cfRule>
    <cfRule type="cellIs" dxfId="15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21"/>
  <sheetViews>
    <sheetView workbookViewId="0">
      <selection activeCell="B10" sqref="B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0" t="s">
        <v>13</v>
      </c>
      <c r="C1" s="91"/>
      <c r="D1" s="91"/>
      <c r="E1" s="91"/>
      <c r="F1" s="91"/>
      <c r="G1" s="92"/>
      <c r="H1" s="89" t="s">
        <v>14</v>
      </c>
      <c r="I1" s="89"/>
      <c r="J1" s="89"/>
      <c r="K1" s="89"/>
      <c r="L1" s="89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 t="shared" ref="B4:L4" si="0">IFERROR(AVERAGE(B7:B10),"")</f>
        <v>2780.74</v>
      </c>
      <c r="C4" s="4">
        <f t="shared" si="0"/>
        <v>376.68</v>
      </c>
      <c r="D4" s="4">
        <f t="shared" si="0"/>
        <v>66.64</v>
      </c>
      <c r="E4" s="4">
        <f t="shared" si="0"/>
        <v>249.255</v>
      </c>
      <c r="F4" s="24">
        <f t="shared" si="0"/>
        <v>21146.5</v>
      </c>
      <c r="G4" s="4">
        <f t="shared" si="0"/>
        <v>37.700000000000003</v>
      </c>
      <c r="H4" s="4">
        <f t="shared" si="0"/>
        <v>48.555000000000007</v>
      </c>
      <c r="I4" s="24">
        <f t="shared" si="0"/>
        <v>32515.75</v>
      </c>
      <c r="J4" s="4">
        <f t="shared" si="0"/>
        <v>8.99</v>
      </c>
      <c r="K4" s="4">
        <f t="shared" si="0"/>
        <v>1606.0775000000001</v>
      </c>
      <c r="L4" s="4">
        <f t="shared" si="0"/>
        <v>256.71749999999997</v>
      </c>
    </row>
    <row r="5" spans="1:18" x14ac:dyDescent="0.25">
      <c r="A5" s="1" t="s">
        <v>2</v>
      </c>
      <c r="B5" s="4" t="str">
        <f>IFERROR(AVERAGE(B10:B13),"")</f>
        <v/>
      </c>
      <c r="C5" s="18" t="str">
        <f t="shared" ref="C5:L5" si="1">IFERROR(AVERAGE(C10:C13),"")</f>
        <v/>
      </c>
      <c r="D5" s="4" t="str">
        <f t="shared" si="1"/>
        <v/>
      </c>
      <c r="E5" s="4" t="str">
        <f t="shared" si="1"/>
        <v/>
      </c>
      <c r="F5" s="24" t="str">
        <f t="shared" si="1"/>
        <v/>
      </c>
      <c r="G5" s="4" t="str">
        <f t="shared" si="1"/>
        <v/>
      </c>
      <c r="H5" s="20">
        <f t="shared" si="1"/>
        <v>33.799999999999997</v>
      </c>
      <c r="I5" s="25">
        <f t="shared" si="1"/>
        <v>45277</v>
      </c>
      <c r="J5" s="4">
        <f t="shared" si="1"/>
        <v>12.16</v>
      </c>
      <c r="K5" s="4">
        <f t="shared" si="1"/>
        <v>1486.88</v>
      </c>
      <c r="L5" s="4">
        <f t="shared" si="1"/>
        <v>270.08999999999997</v>
      </c>
    </row>
    <row r="6" spans="1:18" x14ac:dyDescent="0.25">
      <c r="F6" s="22"/>
      <c r="I6" s="22"/>
    </row>
    <row r="7" spans="1:18" x14ac:dyDescent="0.25">
      <c r="A7" s="3">
        <v>43898</v>
      </c>
      <c r="B7" s="15">
        <v>2780.74</v>
      </c>
      <c r="C7" s="15">
        <v>376.68</v>
      </c>
      <c r="D7" s="15">
        <v>66.19</v>
      </c>
      <c r="E7" s="15">
        <v>459.63</v>
      </c>
      <c r="F7" s="26">
        <v>40228</v>
      </c>
      <c r="G7" s="15">
        <v>37.700000000000003</v>
      </c>
      <c r="H7" s="15">
        <v>66.42</v>
      </c>
      <c r="I7" s="26">
        <v>25984</v>
      </c>
      <c r="J7" s="15">
        <v>7.6</v>
      </c>
      <c r="K7" s="15">
        <v>1451.55</v>
      </c>
      <c r="L7" s="15">
        <v>235.98</v>
      </c>
    </row>
    <row r="8" spans="1:18" x14ac:dyDescent="0.25">
      <c r="A8" s="3">
        <v>43899</v>
      </c>
      <c r="B8" s="15"/>
      <c r="C8" s="15"/>
      <c r="D8" s="15">
        <v>67.09</v>
      </c>
      <c r="E8" s="15">
        <v>38.880000000000003</v>
      </c>
      <c r="F8" s="26">
        <v>2065</v>
      </c>
      <c r="G8" s="15"/>
      <c r="H8" s="15">
        <v>55.33</v>
      </c>
      <c r="I8" s="26">
        <v>20586</v>
      </c>
      <c r="J8" s="15">
        <v>7.2</v>
      </c>
      <c r="K8" s="15">
        <v>1999</v>
      </c>
      <c r="L8" s="15">
        <v>299.38</v>
      </c>
    </row>
    <row r="9" spans="1:18" x14ac:dyDescent="0.25">
      <c r="A9" s="3">
        <v>43900</v>
      </c>
      <c r="B9" s="15"/>
      <c r="C9" s="15"/>
      <c r="D9" s="15"/>
      <c r="E9" s="15"/>
      <c r="F9" s="26"/>
      <c r="G9" s="15"/>
      <c r="H9" s="15">
        <v>38.67</v>
      </c>
      <c r="I9" s="26">
        <v>38216</v>
      </c>
      <c r="J9" s="15">
        <v>9</v>
      </c>
      <c r="K9" s="15">
        <v>1486.88</v>
      </c>
      <c r="L9" s="15">
        <v>221.42</v>
      </c>
    </row>
    <row r="10" spans="1:18" x14ac:dyDescent="0.25">
      <c r="A10" s="3">
        <v>43901</v>
      </c>
      <c r="B10" s="16"/>
      <c r="C10" s="16"/>
      <c r="D10" s="16"/>
      <c r="E10" s="16"/>
      <c r="F10" s="23"/>
      <c r="G10" s="16"/>
      <c r="H10" s="16">
        <v>33.799999999999997</v>
      </c>
      <c r="I10" s="23">
        <v>45277</v>
      </c>
      <c r="J10" s="16">
        <v>12.16</v>
      </c>
      <c r="K10" s="16">
        <v>1486.88</v>
      </c>
      <c r="L10" s="16">
        <v>270.08999999999997</v>
      </c>
    </row>
    <row r="11" spans="1:18" ht="14.45" customHeight="1" x14ac:dyDescent="0.25">
      <c r="A11" s="3">
        <v>43902</v>
      </c>
      <c r="B11" s="17"/>
      <c r="C11" s="17"/>
      <c r="D11" s="17"/>
      <c r="E11" s="17"/>
      <c r="F11" s="27"/>
      <c r="G11" s="17"/>
      <c r="H11" s="17"/>
      <c r="I11" s="27"/>
      <c r="J11" s="17"/>
      <c r="K11" s="17"/>
      <c r="L11" s="17"/>
      <c r="N11" s="93" t="s">
        <v>16</v>
      </c>
      <c r="O11" s="93"/>
      <c r="P11" s="93"/>
      <c r="Q11" s="93"/>
      <c r="R11" s="93"/>
    </row>
    <row r="12" spans="1:18" x14ac:dyDescent="0.25">
      <c r="A12" s="3">
        <v>43903</v>
      </c>
      <c r="B12" s="17"/>
      <c r="C12" s="17"/>
      <c r="D12" s="17"/>
      <c r="E12" s="17"/>
      <c r="F12" s="27"/>
      <c r="G12" s="17"/>
      <c r="H12" s="17"/>
      <c r="I12" s="27"/>
      <c r="J12" s="17"/>
      <c r="K12" s="17"/>
      <c r="L12" s="17"/>
      <c r="N12" s="93"/>
      <c r="O12" s="93"/>
      <c r="P12" s="93"/>
      <c r="Q12" s="93"/>
      <c r="R12" s="93"/>
    </row>
    <row r="13" spans="1:18" x14ac:dyDescent="0.25">
      <c r="A13" s="3">
        <v>43904</v>
      </c>
      <c r="B13" s="17"/>
      <c r="C13" s="17"/>
      <c r="D13" s="17"/>
      <c r="E13" s="17"/>
      <c r="F13" s="27"/>
      <c r="G13" s="17"/>
      <c r="H13" s="17"/>
      <c r="I13" s="27"/>
      <c r="J13" s="17"/>
      <c r="K13" s="17"/>
      <c r="L13" s="17"/>
      <c r="N13" s="93"/>
      <c r="O13" s="93"/>
      <c r="P13" s="93"/>
      <c r="Q13" s="93"/>
      <c r="R13" s="93"/>
    </row>
    <row r="14" spans="1:18" ht="14.45" customHeight="1" x14ac:dyDescent="0.25">
      <c r="F14" s="22"/>
      <c r="I14" s="22"/>
      <c r="N14" s="93"/>
      <c r="O14" s="93"/>
      <c r="P14" s="93"/>
      <c r="Q14" s="93"/>
      <c r="R14" s="93"/>
    </row>
    <row r="15" spans="1:18" x14ac:dyDescent="0.25">
      <c r="A15" s="1" t="s">
        <v>3</v>
      </c>
      <c r="B15" s="4">
        <v>1338.7485714285715</v>
      </c>
      <c r="C15" s="4">
        <v>271.1685714285714</v>
      </c>
      <c r="D15" s="4">
        <v>57.045714285714276</v>
      </c>
      <c r="E15" s="4">
        <v>245.7871428571429</v>
      </c>
      <c r="F15" s="4">
        <v>43221.714285714283</v>
      </c>
      <c r="G15" s="4">
        <v>17.895714285714284</v>
      </c>
      <c r="H15" s="4">
        <v>42.747142857142855</v>
      </c>
      <c r="I15" s="4">
        <v>25848</v>
      </c>
      <c r="J15" s="4">
        <v>7.5185714285714296</v>
      </c>
      <c r="K15" s="4">
        <v>1114.25</v>
      </c>
      <c r="L15" s="4">
        <v>210.90142857142857</v>
      </c>
      <c r="N15" s="93"/>
      <c r="O15" s="93"/>
      <c r="P15" s="93"/>
      <c r="Q15" s="93"/>
      <c r="R15" s="93"/>
    </row>
    <row r="16" spans="1:18" x14ac:dyDescent="0.25">
      <c r="A16" s="1" t="s">
        <v>4</v>
      </c>
      <c r="B16" s="4">
        <f t="shared" ref="B16:L16" si="2">IFERROR(AVERAGE(B7:B13),"")</f>
        <v>2780.74</v>
      </c>
      <c r="C16" s="4">
        <f t="shared" si="2"/>
        <v>376.68</v>
      </c>
      <c r="D16" s="4">
        <f t="shared" si="2"/>
        <v>66.64</v>
      </c>
      <c r="E16" s="4">
        <f t="shared" si="2"/>
        <v>249.255</v>
      </c>
      <c r="F16" s="4">
        <f t="shared" si="2"/>
        <v>21146.5</v>
      </c>
      <c r="G16" s="4">
        <f t="shared" si="2"/>
        <v>37.700000000000003</v>
      </c>
      <c r="H16" s="4">
        <f t="shared" si="2"/>
        <v>48.555000000000007</v>
      </c>
      <c r="I16" s="4">
        <f t="shared" si="2"/>
        <v>32515.75</v>
      </c>
      <c r="J16" s="4">
        <f t="shared" si="2"/>
        <v>8.99</v>
      </c>
      <c r="K16" s="4">
        <f t="shared" si="2"/>
        <v>1606.0775000000001</v>
      </c>
      <c r="L16" s="4">
        <f t="shared" si="2"/>
        <v>256.71749999999997</v>
      </c>
      <c r="N16" s="93"/>
      <c r="O16" s="93"/>
      <c r="P16" s="93"/>
      <c r="Q16" s="93"/>
      <c r="R16" s="93"/>
    </row>
    <row r="17" spans="1:14" x14ac:dyDescent="0.25">
      <c r="A17" s="1" t="s">
        <v>5</v>
      </c>
      <c r="B17" s="6">
        <f>IFERROR(-(B15-B16)/B15,"")</f>
        <v>1.0771189298321244</v>
      </c>
      <c r="C17" s="6">
        <f t="shared" ref="C17:L17" si="3">IFERROR(-(C15-C16)/C15,"")</f>
        <v>0.38909903170405352</v>
      </c>
      <c r="D17" s="6">
        <f t="shared" si="3"/>
        <v>0.16818591605729763</v>
      </c>
      <c r="E17" s="6">
        <f t="shared" si="3"/>
        <v>1.4109188554556317E-2</v>
      </c>
      <c r="F17" s="6">
        <f t="shared" si="3"/>
        <v>-0.51074360771041005</v>
      </c>
      <c r="G17" s="6">
        <f t="shared" si="3"/>
        <v>1.1066496367845458</v>
      </c>
      <c r="H17" s="6">
        <f t="shared" si="3"/>
        <v>0.1358653878287607</v>
      </c>
      <c r="I17" s="6">
        <f t="shared" si="3"/>
        <v>0.257959996904983</v>
      </c>
      <c r="J17" s="6">
        <f t="shared" si="3"/>
        <v>0.19570587117613517</v>
      </c>
      <c r="K17" s="6">
        <f t="shared" si="3"/>
        <v>0.4413978012115774</v>
      </c>
      <c r="L17" s="6">
        <f t="shared" si="3"/>
        <v>0.21723926546592506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157" priority="41" operator="greaterThanOrEqual">
      <formula>0</formula>
    </cfRule>
    <cfRule type="cellIs" dxfId="156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55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54" priority="27" operator="lessThan">
      <formula>0</formula>
    </cfRule>
    <cfRule type="cellIs" dxfId="153" priority="38" operator="greaterThanOrEqual">
      <formula>0</formula>
    </cfRule>
  </conditionalFormatting>
  <conditionalFormatting sqref="D17:K17">
    <cfRule type="cellIs" dxfId="152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51" priority="33" operator="lessThan">
      <formula>0</formula>
    </cfRule>
  </conditionalFormatting>
  <conditionalFormatting sqref="J17">
    <cfRule type="cellIs" dxfId="150" priority="32" operator="lessThan">
      <formula>0</formula>
    </cfRule>
  </conditionalFormatting>
  <conditionalFormatting sqref="H17:I17">
    <cfRule type="cellIs" dxfId="149" priority="31" operator="lessThan">
      <formula>0</formula>
    </cfRule>
  </conditionalFormatting>
  <conditionalFormatting sqref="G17">
    <cfRule type="cellIs" dxfId="148" priority="30" operator="lessThan">
      <formula>0</formula>
    </cfRule>
  </conditionalFormatting>
  <conditionalFormatting sqref="E17:F17">
    <cfRule type="cellIs" dxfId="147" priority="29" operator="lessThan">
      <formula>0</formula>
    </cfRule>
  </conditionalFormatting>
  <conditionalFormatting sqref="D17">
    <cfRule type="cellIs" dxfId="146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45" priority="18" operator="greaterThanOrEqual">
      <formula>0</formula>
    </cfRule>
    <cfRule type="cellIs" dxfId="144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21"/>
  <sheetViews>
    <sheetView workbookViewId="0">
      <selection activeCell="B15" sqref="B15:L15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0" t="s">
        <v>13</v>
      </c>
      <c r="C1" s="91"/>
      <c r="D1" s="91"/>
      <c r="E1" s="91"/>
      <c r="F1" s="91"/>
      <c r="G1" s="92"/>
      <c r="H1" s="89" t="s">
        <v>14</v>
      </c>
      <c r="I1" s="89"/>
      <c r="J1" s="89"/>
      <c r="K1" s="89"/>
      <c r="L1" s="89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 t="shared" ref="B4:L4" si="0">IFERROR(AVERAGE(B7:B10),"")</f>
        <v>1973.23</v>
      </c>
      <c r="C4" s="4">
        <f t="shared" si="0"/>
        <v>565.83500000000004</v>
      </c>
      <c r="D4" s="4">
        <f t="shared" si="0"/>
        <v>94.75500000000001</v>
      </c>
      <c r="E4" s="4">
        <f t="shared" si="0"/>
        <v>357.82</v>
      </c>
      <c r="F4" s="24">
        <f t="shared" si="0"/>
        <v>54500.75</v>
      </c>
      <c r="G4" s="4">
        <f t="shared" si="0"/>
        <v>11.515000000000001</v>
      </c>
      <c r="H4" s="4">
        <f t="shared" si="0"/>
        <v>44.182500000000005</v>
      </c>
      <c r="I4" s="24">
        <f t="shared" si="0"/>
        <v>46839.25</v>
      </c>
      <c r="J4" s="4">
        <f t="shared" si="0"/>
        <v>8.7225000000000001</v>
      </c>
      <c r="K4" s="4">
        <f t="shared" si="0"/>
        <v>1306.6975</v>
      </c>
      <c r="L4" s="4">
        <f t="shared" si="0"/>
        <v>248.29499999999999</v>
      </c>
    </row>
    <row r="5" spans="1:18" x14ac:dyDescent="0.25">
      <c r="A5" s="1" t="s">
        <v>2</v>
      </c>
      <c r="B5" s="4">
        <f>IFERROR(AVERAGE(B10:B13),"")</f>
        <v>2216.7125000000001</v>
      </c>
      <c r="C5" s="18">
        <f t="shared" ref="C5:L5" si="1">IFERROR(AVERAGE(C10:C13),"")</f>
        <v>657.82</v>
      </c>
      <c r="D5" s="4">
        <f t="shared" si="1"/>
        <v>96.67</v>
      </c>
      <c r="E5" s="4">
        <f t="shared" si="1"/>
        <v>281.59500000000003</v>
      </c>
      <c r="F5" s="24">
        <f t="shared" si="1"/>
        <v>52432.75</v>
      </c>
      <c r="G5" s="4">
        <f t="shared" si="1"/>
        <v>8.7424999999999997</v>
      </c>
      <c r="H5" s="20">
        <f t="shared" si="1"/>
        <v>40.575000000000003</v>
      </c>
      <c r="I5" s="25">
        <f t="shared" si="1"/>
        <v>87100.5</v>
      </c>
      <c r="J5" s="4">
        <f t="shared" si="1"/>
        <v>16.61</v>
      </c>
      <c r="K5" s="4">
        <f t="shared" si="1"/>
        <v>2921.7425000000003</v>
      </c>
      <c r="L5" s="4">
        <f t="shared" si="1"/>
        <v>405.40750000000003</v>
      </c>
    </row>
    <row r="6" spans="1:18" x14ac:dyDescent="0.25">
      <c r="F6" s="22"/>
      <c r="I6" s="22"/>
    </row>
    <row r="7" spans="1:18" x14ac:dyDescent="0.25">
      <c r="A7" s="3">
        <v>43947</v>
      </c>
      <c r="B7" s="15">
        <v>1304.73</v>
      </c>
      <c r="C7" s="15">
        <v>544.99</v>
      </c>
      <c r="D7" s="15">
        <v>76.36</v>
      </c>
      <c r="E7" s="15">
        <v>349.02</v>
      </c>
      <c r="F7" s="26">
        <v>50584</v>
      </c>
      <c r="G7" s="15">
        <v>16.8</v>
      </c>
      <c r="H7" s="15">
        <v>52.02</v>
      </c>
      <c r="I7" s="26">
        <v>31381</v>
      </c>
      <c r="J7" s="15">
        <v>5.4</v>
      </c>
      <c r="K7" s="15">
        <v>704.45</v>
      </c>
      <c r="L7" s="15">
        <v>148.94999999999999</v>
      </c>
    </row>
    <row r="8" spans="1:18" x14ac:dyDescent="0.25">
      <c r="A8" s="3">
        <v>43948</v>
      </c>
      <c r="B8" s="15">
        <v>2891.03</v>
      </c>
      <c r="C8" s="15">
        <v>552.13</v>
      </c>
      <c r="D8" s="15">
        <v>76.680000000000007</v>
      </c>
      <c r="E8" s="15">
        <v>396.24</v>
      </c>
      <c r="F8" s="26">
        <v>55438</v>
      </c>
      <c r="G8" s="15">
        <v>9.33</v>
      </c>
      <c r="H8" s="15">
        <v>40.270000000000003</v>
      </c>
      <c r="I8" s="26">
        <v>74433</v>
      </c>
      <c r="J8" s="15">
        <v>16.03</v>
      </c>
      <c r="K8" s="15">
        <v>2661.19</v>
      </c>
      <c r="L8" s="15">
        <v>473.13</v>
      </c>
    </row>
    <row r="9" spans="1:18" x14ac:dyDescent="0.25">
      <c r="A9" s="3">
        <v>43949</v>
      </c>
      <c r="B9" s="15">
        <v>2245</v>
      </c>
      <c r="C9" s="15">
        <v>525.61</v>
      </c>
      <c r="D9" s="15">
        <v>104.49</v>
      </c>
      <c r="E9" s="15">
        <v>426.55</v>
      </c>
      <c r="F9" s="26">
        <v>78501</v>
      </c>
      <c r="G9" s="15">
        <v>11.5</v>
      </c>
      <c r="H9" s="15">
        <v>36.42</v>
      </c>
      <c r="I9" s="26">
        <v>49063</v>
      </c>
      <c r="J9" s="15">
        <v>8.9</v>
      </c>
      <c r="K9" s="15">
        <v>973.45</v>
      </c>
      <c r="L9" s="15">
        <v>207.43</v>
      </c>
    </row>
    <row r="10" spans="1:18" x14ac:dyDescent="0.25">
      <c r="A10" s="3">
        <v>43950</v>
      </c>
      <c r="B10" s="16">
        <v>1452.16</v>
      </c>
      <c r="C10" s="16">
        <v>640.61</v>
      </c>
      <c r="D10" s="16">
        <v>121.49</v>
      </c>
      <c r="E10" s="16">
        <v>259.47000000000003</v>
      </c>
      <c r="F10" s="23">
        <v>33480</v>
      </c>
      <c r="G10" s="16">
        <v>8.43</v>
      </c>
      <c r="H10" s="16">
        <v>48.02</v>
      </c>
      <c r="I10" s="23">
        <v>32480</v>
      </c>
      <c r="J10" s="16">
        <v>4.5599999999999996</v>
      </c>
      <c r="K10" s="16">
        <v>887.7</v>
      </c>
      <c r="L10" s="16">
        <v>163.66999999999999</v>
      </c>
    </row>
    <row r="11" spans="1:18" ht="14.45" customHeight="1" x14ac:dyDescent="0.25">
      <c r="A11" s="3">
        <v>43951</v>
      </c>
      <c r="B11" s="17">
        <v>2003.74</v>
      </c>
      <c r="C11" s="17">
        <v>853.79</v>
      </c>
      <c r="D11" s="17">
        <v>89.19</v>
      </c>
      <c r="E11" s="17">
        <v>281.02999999999997</v>
      </c>
      <c r="F11" s="27">
        <v>50919</v>
      </c>
      <c r="G11" s="17">
        <v>8.7200000000000006</v>
      </c>
      <c r="H11" s="17">
        <v>39</v>
      </c>
      <c r="I11" s="27">
        <v>61108</v>
      </c>
      <c r="J11" s="17">
        <v>8.8800000000000008</v>
      </c>
      <c r="K11" s="17">
        <v>1543.31</v>
      </c>
      <c r="L11" s="17">
        <v>239.08</v>
      </c>
      <c r="N11" s="93" t="s">
        <v>16</v>
      </c>
      <c r="O11" s="93"/>
      <c r="P11" s="93"/>
      <c r="Q11" s="93"/>
      <c r="R11" s="93"/>
    </row>
    <row r="12" spans="1:18" x14ac:dyDescent="0.25">
      <c r="A12" s="3">
        <v>43952</v>
      </c>
      <c r="B12" s="17">
        <v>1932.79</v>
      </c>
      <c r="C12" s="17">
        <v>534.21</v>
      </c>
      <c r="D12" s="17">
        <v>92.29</v>
      </c>
      <c r="E12" s="17">
        <v>289.91000000000003</v>
      </c>
      <c r="F12" s="27">
        <v>71605</v>
      </c>
      <c r="G12" s="17">
        <v>8.9</v>
      </c>
      <c r="H12" s="17">
        <v>29.45</v>
      </c>
      <c r="I12" s="27">
        <v>173012</v>
      </c>
      <c r="J12" s="17">
        <v>41.05</v>
      </c>
      <c r="K12" s="17">
        <v>6276.6</v>
      </c>
      <c r="L12" s="17">
        <v>776.36</v>
      </c>
      <c r="N12" s="93"/>
      <c r="O12" s="93"/>
      <c r="P12" s="93"/>
      <c r="Q12" s="93"/>
      <c r="R12" s="93"/>
    </row>
    <row r="13" spans="1:18" x14ac:dyDescent="0.25">
      <c r="A13" s="3">
        <v>43953</v>
      </c>
      <c r="B13" s="17">
        <v>3478.16</v>
      </c>
      <c r="C13" s="17">
        <v>602.66999999999996</v>
      </c>
      <c r="D13" s="17">
        <v>83.71</v>
      </c>
      <c r="E13" s="17">
        <v>295.97000000000003</v>
      </c>
      <c r="F13" s="27">
        <v>53727</v>
      </c>
      <c r="G13" s="17">
        <v>8.92</v>
      </c>
      <c r="H13" s="17">
        <v>45.83</v>
      </c>
      <c r="I13" s="27">
        <v>81802</v>
      </c>
      <c r="J13" s="17">
        <v>11.95</v>
      </c>
      <c r="K13" s="17">
        <v>2979.36</v>
      </c>
      <c r="L13" s="17">
        <v>442.52</v>
      </c>
      <c r="N13" s="93"/>
      <c r="O13" s="93"/>
      <c r="P13" s="93"/>
      <c r="Q13" s="93"/>
      <c r="R13" s="93"/>
    </row>
    <row r="14" spans="1:18" ht="14.45" customHeight="1" x14ac:dyDescent="0.25">
      <c r="F14" s="22"/>
      <c r="I14" s="22"/>
      <c r="N14" s="93"/>
      <c r="O14" s="93"/>
      <c r="P14" s="93"/>
      <c r="Q14" s="93"/>
      <c r="R14" s="93"/>
    </row>
    <row r="15" spans="1:18" x14ac:dyDescent="0.25">
      <c r="A15" s="1" t="s">
        <v>3</v>
      </c>
      <c r="B15" s="4">
        <v>2780.74</v>
      </c>
      <c r="C15" s="4">
        <v>376.68</v>
      </c>
      <c r="D15" s="4">
        <v>66.64</v>
      </c>
      <c r="E15" s="4">
        <v>249.255</v>
      </c>
      <c r="F15" s="4">
        <v>21146.5</v>
      </c>
      <c r="G15" s="4">
        <v>37.700000000000003</v>
      </c>
      <c r="H15" s="4">
        <v>48.555000000000007</v>
      </c>
      <c r="I15" s="4">
        <v>32515.75</v>
      </c>
      <c r="J15" s="4">
        <v>8.99</v>
      </c>
      <c r="K15" s="4">
        <v>1606.0775000000001</v>
      </c>
      <c r="L15" s="4">
        <v>256.71749999999997</v>
      </c>
      <c r="N15" s="93"/>
      <c r="O15" s="93"/>
      <c r="P15" s="93"/>
      <c r="Q15" s="93"/>
      <c r="R15" s="93"/>
    </row>
    <row r="16" spans="1:18" x14ac:dyDescent="0.25">
      <c r="A16" s="1" t="s">
        <v>4</v>
      </c>
      <c r="B16" s="4">
        <f t="shared" ref="B16:L16" si="2">IFERROR(AVERAGE(B7:B13),"")</f>
        <v>2186.8014285714285</v>
      </c>
      <c r="C16" s="4">
        <f t="shared" si="2"/>
        <v>607.71571428571428</v>
      </c>
      <c r="D16" s="4">
        <f t="shared" si="2"/>
        <v>92.03</v>
      </c>
      <c r="E16" s="4">
        <f t="shared" si="2"/>
        <v>328.31285714285713</v>
      </c>
      <c r="F16" s="4">
        <f t="shared" si="2"/>
        <v>56322</v>
      </c>
      <c r="G16" s="4">
        <f t="shared" si="2"/>
        <v>10.37142857142857</v>
      </c>
      <c r="H16" s="4">
        <f t="shared" si="2"/>
        <v>41.572857142857139</v>
      </c>
      <c r="I16" s="4">
        <f t="shared" si="2"/>
        <v>71897</v>
      </c>
      <c r="J16" s="4">
        <f t="shared" si="2"/>
        <v>13.824285714285713</v>
      </c>
      <c r="K16" s="4">
        <f t="shared" si="2"/>
        <v>2289.437142857143</v>
      </c>
      <c r="L16" s="4">
        <f t="shared" si="2"/>
        <v>350.16285714285715</v>
      </c>
      <c r="N16" s="93"/>
      <c r="O16" s="93"/>
      <c r="P16" s="93"/>
      <c r="Q16" s="93"/>
      <c r="R16" s="93"/>
    </row>
    <row r="17" spans="1:14" x14ac:dyDescent="0.25">
      <c r="A17" s="1" t="s">
        <v>5</v>
      </c>
      <c r="B17" s="6">
        <f>IFERROR(-(B15-B16)/B15,"")</f>
        <v>-0.2135901132175505</v>
      </c>
      <c r="C17" s="6">
        <f t="shared" ref="C17:L17" si="3">IFERROR(-(C15-C16)/C15,"")</f>
        <v>0.61334744155706244</v>
      </c>
      <c r="D17" s="6">
        <f t="shared" si="3"/>
        <v>0.38100240096038418</v>
      </c>
      <c r="E17" s="6">
        <f t="shared" si="3"/>
        <v>0.31717661488378218</v>
      </c>
      <c r="F17" s="6">
        <f t="shared" si="3"/>
        <v>1.6634194784006811</v>
      </c>
      <c r="G17" s="6">
        <f t="shared" si="3"/>
        <v>-0.7248957938613112</v>
      </c>
      <c r="H17" s="6">
        <f t="shared" si="3"/>
        <v>-0.1437986377745416</v>
      </c>
      <c r="I17" s="6">
        <f t="shared" si="3"/>
        <v>1.211143830297625</v>
      </c>
      <c r="J17" s="6">
        <f t="shared" si="3"/>
        <v>0.53774034641665325</v>
      </c>
      <c r="K17" s="6">
        <f t="shared" si="3"/>
        <v>0.42548360390899126</v>
      </c>
      <c r="L17" s="6">
        <f t="shared" si="3"/>
        <v>0.36400072898363839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143" priority="41" operator="greaterThanOrEqual">
      <formula>0</formula>
    </cfRule>
    <cfRule type="cellIs" dxfId="142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41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40" priority="27" operator="lessThan">
      <formula>0</formula>
    </cfRule>
    <cfRule type="cellIs" dxfId="139" priority="38" operator="greaterThanOrEqual">
      <formula>0</formula>
    </cfRule>
  </conditionalFormatting>
  <conditionalFormatting sqref="D17:K17">
    <cfRule type="cellIs" dxfId="138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37" priority="33" operator="lessThan">
      <formula>0</formula>
    </cfRule>
  </conditionalFormatting>
  <conditionalFormatting sqref="J17">
    <cfRule type="cellIs" dxfId="136" priority="32" operator="lessThan">
      <formula>0</formula>
    </cfRule>
  </conditionalFormatting>
  <conditionalFormatting sqref="H17:I17">
    <cfRule type="cellIs" dxfId="135" priority="31" operator="lessThan">
      <formula>0</formula>
    </cfRule>
  </conditionalFormatting>
  <conditionalFormatting sqref="G17">
    <cfRule type="cellIs" dxfId="134" priority="30" operator="lessThan">
      <formula>0</formula>
    </cfRule>
  </conditionalFormatting>
  <conditionalFormatting sqref="E17:F17">
    <cfRule type="cellIs" dxfId="133" priority="29" operator="lessThan">
      <formula>0</formula>
    </cfRule>
  </conditionalFormatting>
  <conditionalFormatting sqref="D17">
    <cfRule type="cellIs" dxfId="132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31" priority="18" operator="greaterThanOrEqual">
      <formula>0</formula>
    </cfRule>
    <cfRule type="cellIs" dxfId="130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21"/>
  <sheetViews>
    <sheetView workbookViewId="0">
      <selection activeCell="H7" sqref="H7:H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0" t="s">
        <v>13</v>
      </c>
      <c r="C1" s="91"/>
      <c r="D1" s="91"/>
      <c r="E1" s="91"/>
      <c r="F1" s="91"/>
      <c r="G1" s="92"/>
      <c r="H1" s="89" t="s">
        <v>14</v>
      </c>
      <c r="I1" s="89"/>
      <c r="J1" s="89"/>
      <c r="K1" s="89"/>
      <c r="L1" s="89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IFERROR(AVERAGE(B7:B10),"")</f>
        <v>1606.2350000000001</v>
      </c>
      <c r="C4" s="4">
        <f t="shared" ref="C4:L4" si="0">IFERROR(AVERAGE(C7:C10),"")</f>
        <v>1145.9425000000001</v>
      </c>
      <c r="D4" s="4">
        <f t="shared" si="0"/>
        <v>74.497500000000002</v>
      </c>
      <c r="E4" s="4">
        <f t="shared" si="0"/>
        <v>381.67999999999995</v>
      </c>
      <c r="F4" s="24">
        <f t="shared" si="0"/>
        <v>122767</v>
      </c>
      <c r="G4" s="4">
        <f t="shared" si="0"/>
        <v>12.397500000000001</v>
      </c>
      <c r="H4" s="4">
        <f t="shared" si="0"/>
        <v>41.202500000000001</v>
      </c>
      <c r="I4" s="24">
        <f t="shared" si="0"/>
        <v>86525</v>
      </c>
      <c r="J4" s="4">
        <f t="shared" si="0"/>
        <v>13.004999999999999</v>
      </c>
      <c r="K4" s="4">
        <f t="shared" si="0"/>
        <v>3569.09</v>
      </c>
      <c r="L4" s="4">
        <f t="shared" si="0"/>
        <v>311.26749999999998</v>
      </c>
    </row>
    <row r="5" spans="1:18" x14ac:dyDescent="0.25">
      <c r="A5" s="1" t="s">
        <v>2</v>
      </c>
      <c r="B5" s="4">
        <f>IFERROR(AVERAGE(B10:B13),"")</f>
        <v>1357.3150000000001</v>
      </c>
      <c r="C5" s="18">
        <f t="shared" ref="C5:L5" si="1">IFERROR(AVERAGE(C10:C13),"")</f>
        <v>1451.9999999999998</v>
      </c>
      <c r="D5" s="4">
        <f t="shared" si="1"/>
        <v>91.317499999999995</v>
      </c>
      <c r="E5" s="4">
        <f t="shared" si="1"/>
        <v>299.16750000000002</v>
      </c>
      <c r="F5" s="24">
        <f t="shared" si="1"/>
        <v>107486</v>
      </c>
      <c r="G5" s="4">
        <f t="shared" si="1"/>
        <v>7.5150000000000006</v>
      </c>
      <c r="H5" s="20">
        <f t="shared" si="1"/>
        <v>41.1875</v>
      </c>
      <c r="I5" s="25">
        <f t="shared" si="1"/>
        <v>67821.25</v>
      </c>
      <c r="J5" s="4">
        <f t="shared" si="1"/>
        <v>11.19</v>
      </c>
      <c r="K5" s="4">
        <f t="shared" si="1"/>
        <v>3848.7750000000001</v>
      </c>
      <c r="L5" s="4">
        <f t="shared" si="1"/>
        <v>526.39750000000004</v>
      </c>
    </row>
    <row r="6" spans="1:18" x14ac:dyDescent="0.25">
      <c r="F6" s="22"/>
      <c r="I6" s="22"/>
    </row>
    <row r="7" spans="1:18" x14ac:dyDescent="0.25">
      <c r="A7" s="3">
        <v>43954</v>
      </c>
      <c r="B7" s="15">
        <v>1576.53</v>
      </c>
      <c r="C7" s="15">
        <v>507.92</v>
      </c>
      <c r="D7" s="15">
        <v>66.28</v>
      </c>
      <c r="E7" s="15">
        <v>371.9</v>
      </c>
      <c r="F7" s="26">
        <v>101914</v>
      </c>
      <c r="G7" s="15">
        <v>14.19</v>
      </c>
      <c r="H7" s="15">
        <v>42.36</v>
      </c>
      <c r="I7" s="26">
        <v>89418</v>
      </c>
      <c r="J7" s="15">
        <v>13.8</v>
      </c>
      <c r="K7" s="15">
        <v>2523.5300000000002</v>
      </c>
      <c r="L7" s="15">
        <v>278.87</v>
      </c>
    </row>
    <row r="8" spans="1:18" x14ac:dyDescent="0.25">
      <c r="A8" s="3">
        <v>43955</v>
      </c>
      <c r="B8" s="15">
        <v>1565.77</v>
      </c>
      <c r="C8" s="15">
        <v>2009.6</v>
      </c>
      <c r="D8" s="15">
        <v>75.66</v>
      </c>
      <c r="E8" s="15">
        <v>370.4</v>
      </c>
      <c r="F8" s="26">
        <v>101647</v>
      </c>
      <c r="G8" s="15">
        <v>12.7</v>
      </c>
      <c r="H8" s="15">
        <v>42.89</v>
      </c>
      <c r="I8" s="26">
        <v>92590</v>
      </c>
      <c r="J8" s="15">
        <v>12.6</v>
      </c>
      <c r="K8" s="15">
        <v>2171.73</v>
      </c>
      <c r="L8" s="15">
        <v>376.47</v>
      </c>
    </row>
    <row r="9" spans="1:18" x14ac:dyDescent="0.25">
      <c r="A9" s="3">
        <v>43956</v>
      </c>
      <c r="B9" s="15">
        <v>1326.97</v>
      </c>
      <c r="C9" s="15">
        <v>817.28</v>
      </c>
      <c r="D9" s="15">
        <v>79.510000000000005</v>
      </c>
      <c r="E9" s="15">
        <v>404.65</v>
      </c>
      <c r="F9" s="26">
        <v>178104</v>
      </c>
      <c r="G9" s="15">
        <v>12.4</v>
      </c>
      <c r="H9" s="15">
        <v>35.89</v>
      </c>
      <c r="I9" s="26">
        <v>83401</v>
      </c>
      <c r="J9" s="15">
        <v>13.53</v>
      </c>
      <c r="K9" s="15">
        <v>2327.38</v>
      </c>
      <c r="L9" s="15">
        <v>226.15</v>
      </c>
    </row>
    <row r="10" spans="1:18" x14ac:dyDescent="0.25">
      <c r="A10" s="3">
        <v>43957</v>
      </c>
      <c r="B10" s="16">
        <v>1955.67</v>
      </c>
      <c r="C10" s="16">
        <v>1248.97</v>
      </c>
      <c r="D10" s="16">
        <v>76.540000000000006</v>
      </c>
      <c r="E10" s="16">
        <v>379.77</v>
      </c>
      <c r="F10" s="23">
        <v>109403</v>
      </c>
      <c r="G10" s="16">
        <v>10.3</v>
      </c>
      <c r="H10" s="16">
        <v>43.67</v>
      </c>
      <c r="I10" s="23">
        <v>80691</v>
      </c>
      <c r="J10" s="16">
        <v>12.09</v>
      </c>
      <c r="K10" s="16">
        <v>7253.72</v>
      </c>
      <c r="L10" s="16">
        <v>363.58</v>
      </c>
    </row>
    <row r="11" spans="1:18" ht="14.45" customHeight="1" x14ac:dyDescent="0.25">
      <c r="A11" s="3">
        <v>43958</v>
      </c>
      <c r="B11" s="17">
        <v>1108.19</v>
      </c>
      <c r="C11" s="17">
        <v>927.13</v>
      </c>
      <c r="D11" s="17">
        <v>88.23</v>
      </c>
      <c r="E11" s="17">
        <v>262.89999999999998</v>
      </c>
      <c r="F11" s="27">
        <v>106195</v>
      </c>
      <c r="G11" s="17">
        <v>7.76</v>
      </c>
      <c r="H11" s="17">
        <v>47.18</v>
      </c>
      <c r="I11" s="27">
        <v>63293</v>
      </c>
      <c r="J11" s="17">
        <v>7.77</v>
      </c>
      <c r="K11" s="17">
        <v>2624.38</v>
      </c>
      <c r="L11" s="17">
        <v>244.31</v>
      </c>
      <c r="N11" s="93" t="s">
        <v>16</v>
      </c>
      <c r="O11" s="93"/>
      <c r="P11" s="93"/>
      <c r="Q11" s="93"/>
      <c r="R11" s="93"/>
    </row>
    <row r="12" spans="1:18" x14ac:dyDescent="0.25">
      <c r="A12" s="3">
        <v>43959</v>
      </c>
      <c r="B12" s="17">
        <v>1235.7</v>
      </c>
      <c r="C12" s="17">
        <v>2082.1999999999998</v>
      </c>
      <c r="D12" s="17">
        <v>85.5</v>
      </c>
      <c r="E12" s="17">
        <v>315</v>
      </c>
      <c r="F12" s="27">
        <v>123331</v>
      </c>
      <c r="G12" s="17">
        <v>7.4</v>
      </c>
      <c r="H12" s="17">
        <v>32.1</v>
      </c>
      <c r="I12" s="27">
        <v>85627</v>
      </c>
      <c r="J12" s="17">
        <v>18.600000000000001</v>
      </c>
      <c r="K12" s="17">
        <v>4059</v>
      </c>
      <c r="L12" s="17">
        <v>414.2</v>
      </c>
      <c r="N12" s="93"/>
      <c r="O12" s="93"/>
      <c r="P12" s="93"/>
      <c r="Q12" s="93"/>
      <c r="R12" s="93"/>
    </row>
    <row r="13" spans="1:18" x14ac:dyDescent="0.25">
      <c r="A13" s="3">
        <v>43960</v>
      </c>
      <c r="B13" s="17">
        <v>1129.7</v>
      </c>
      <c r="C13" s="17">
        <v>1549.7</v>
      </c>
      <c r="D13" s="17">
        <v>115</v>
      </c>
      <c r="E13" s="17">
        <v>239</v>
      </c>
      <c r="F13" s="27">
        <v>91015</v>
      </c>
      <c r="G13" s="17">
        <v>4.5999999999999996</v>
      </c>
      <c r="H13" s="17">
        <v>41.8</v>
      </c>
      <c r="I13" s="27">
        <v>41674</v>
      </c>
      <c r="J13" s="17">
        <v>6.3</v>
      </c>
      <c r="K13" s="17">
        <v>1458</v>
      </c>
      <c r="L13" s="17">
        <v>1083.5</v>
      </c>
      <c r="N13" s="93"/>
      <c r="O13" s="93"/>
      <c r="P13" s="93"/>
      <c r="Q13" s="93"/>
      <c r="R13" s="93"/>
    </row>
    <row r="14" spans="1:18" ht="14.45" customHeight="1" x14ac:dyDescent="0.25">
      <c r="F14" s="22"/>
      <c r="I14" s="22"/>
      <c r="N14" s="93"/>
      <c r="O14" s="93"/>
      <c r="P14" s="93"/>
      <c r="Q14" s="93"/>
      <c r="R14" s="93"/>
    </row>
    <row r="15" spans="1:18" x14ac:dyDescent="0.25">
      <c r="A15" s="1" t="s">
        <v>3</v>
      </c>
      <c r="B15" s="4">
        <v>2780.74</v>
      </c>
      <c r="C15" s="4">
        <v>376.68</v>
      </c>
      <c r="D15" s="4">
        <v>66.64</v>
      </c>
      <c r="E15" s="4">
        <v>249.255</v>
      </c>
      <c r="F15" s="4">
        <v>21146.5</v>
      </c>
      <c r="G15" s="4">
        <v>37.700000000000003</v>
      </c>
      <c r="H15" s="4">
        <v>48.555000000000007</v>
      </c>
      <c r="I15" s="4">
        <v>32515.75</v>
      </c>
      <c r="J15" s="4">
        <v>8.99</v>
      </c>
      <c r="K15" s="4">
        <v>1606.0775000000001</v>
      </c>
      <c r="L15" s="4">
        <v>256.71749999999997</v>
      </c>
      <c r="N15" s="93"/>
      <c r="O15" s="93"/>
      <c r="P15" s="93"/>
      <c r="Q15" s="93"/>
      <c r="R15" s="93"/>
    </row>
    <row r="16" spans="1:18" x14ac:dyDescent="0.25">
      <c r="A16" s="1" t="s">
        <v>4</v>
      </c>
      <c r="B16" s="4">
        <f t="shared" ref="B16:L16" si="2">IFERROR(AVERAGE(B7:B13),"")</f>
        <v>1414.0757142857146</v>
      </c>
      <c r="C16" s="4">
        <f t="shared" si="2"/>
        <v>1306.1142857142859</v>
      </c>
      <c r="D16" s="4">
        <f t="shared" si="2"/>
        <v>83.817142857142855</v>
      </c>
      <c r="E16" s="4">
        <f t="shared" si="2"/>
        <v>334.80285714285714</v>
      </c>
      <c r="F16" s="4">
        <f t="shared" si="2"/>
        <v>115944.14285714286</v>
      </c>
      <c r="G16" s="4">
        <f t="shared" si="2"/>
        <v>9.9071428571428566</v>
      </c>
      <c r="H16" s="4">
        <f t="shared" si="2"/>
        <v>40.841428571428573</v>
      </c>
      <c r="I16" s="4">
        <f t="shared" si="2"/>
        <v>76670.571428571435</v>
      </c>
      <c r="J16" s="4">
        <f t="shared" si="2"/>
        <v>12.098571428571427</v>
      </c>
      <c r="K16" s="4">
        <f t="shared" si="2"/>
        <v>3202.5342857142859</v>
      </c>
      <c r="L16" s="4">
        <f t="shared" si="2"/>
        <v>426.72571428571428</v>
      </c>
      <c r="N16" s="93"/>
      <c r="O16" s="93"/>
      <c r="P16" s="93"/>
      <c r="Q16" s="93"/>
      <c r="R16" s="93"/>
    </row>
    <row r="17" spans="1:14" x14ac:dyDescent="0.25">
      <c r="A17" s="1" t="s">
        <v>5</v>
      </c>
      <c r="B17" s="6">
        <f>IFERROR(-(B15-B16)/B15,"")</f>
        <v>-0.49147503388101199</v>
      </c>
      <c r="C17" s="6">
        <f t="shared" ref="C17:L17" si="3">IFERROR(-(C15-C16)/C15,"")</f>
        <v>2.467437309425204</v>
      </c>
      <c r="D17" s="6">
        <f t="shared" si="3"/>
        <v>0.2577602469559252</v>
      </c>
      <c r="E17" s="6">
        <f t="shared" si="3"/>
        <v>0.34321420690801446</v>
      </c>
      <c r="F17" s="6">
        <f t="shared" si="3"/>
        <v>4.4828999057594805</v>
      </c>
      <c r="G17" s="6">
        <f t="shared" si="3"/>
        <v>-0.73721106479727172</v>
      </c>
      <c r="H17" s="6">
        <f t="shared" si="3"/>
        <v>-0.158862556452918</v>
      </c>
      <c r="I17" s="6">
        <f t="shared" si="3"/>
        <v>1.3579518057732463</v>
      </c>
      <c r="J17" s="6">
        <f t="shared" si="3"/>
        <v>0.34578102653742232</v>
      </c>
      <c r="K17" s="6">
        <f t="shared" si="3"/>
        <v>0.99400980694535956</v>
      </c>
      <c r="L17" s="6">
        <f t="shared" si="3"/>
        <v>0.66223850842156973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129" priority="41" operator="greaterThanOrEqual">
      <formula>0</formula>
    </cfRule>
    <cfRule type="cellIs" dxfId="128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27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26" priority="27" operator="lessThan">
      <formula>0</formula>
    </cfRule>
    <cfRule type="cellIs" dxfId="125" priority="38" operator="greaterThanOrEqual">
      <formula>0</formula>
    </cfRule>
  </conditionalFormatting>
  <conditionalFormatting sqref="D17:K17">
    <cfRule type="cellIs" dxfId="124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23" priority="33" operator="lessThan">
      <formula>0</formula>
    </cfRule>
  </conditionalFormatting>
  <conditionalFormatting sqref="J17">
    <cfRule type="cellIs" dxfId="122" priority="32" operator="lessThan">
      <formula>0</formula>
    </cfRule>
  </conditionalFormatting>
  <conditionalFormatting sqref="H17:I17">
    <cfRule type="cellIs" dxfId="121" priority="31" operator="lessThan">
      <formula>0</formula>
    </cfRule>
  </conditionalFormatting>
  <conditionalFormatting sqref="G17">
    <cfRule type="cellIs" dxfId="120" priority="30" operator="lessThan">
      <formula>0</formula>
    </cfRule>
  </conditionalFormatting>
  <conditionalFormatting sqref="E17:F17">
    <cfRule type="cellIs" dxfId="119" priority="29" operator="lessThan">
      <formula>0</formula>
    </cfRule>
  </conditionalFormatting>
  <conditionalFormatting sqref="D17">
    <cfRule type="cellIs" dxfId="118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17" priority="18" operator="greaterThanOrEqual">
      <formula>0</formula>
    </cfRule>
    <cfRule type="cellIs" dxfId="116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21"/>
  <sheetViews>
    <sheetView workbookViewId="0">
      <selection activeCell="G10" sqref="G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0" t="s">
        <v>13</v>
      </c>
      <c r="C1" s="91"/>
      <c r="D1" s="91"/>
      <c r="E1" s="91"/>
      <c r="F1" s="91"/>
      <c r="G1" s="92"/>
      <c r="H1" s="89" t="s">
        <v>14</v>
      </c>
      <c r="I1" s="89"/>
      <c r="J1" s="89"/>
      <c r="K1" s="89"/>
      <c r="L1" s="89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IFERROR(AVERAGE(B7:B9),"")</f>
        <v>1011.73</v>
      </c>
      <c r="C4" s="4">
        <f>IFERROR(AVERAGE(C7:C9),"")</f>
        <v>952.30000000000007</v>
      </c>
      <c r="D4" s="4">
        <f>IFERROR(AVERAGE(D7:D9),"")</f>
        <v>92.59999999999998</v>
      </c>
      <c r="E4" s="4">
        <f>IFERROR(AVERAGE(E7:E10),"")</f>
        <v>269.83749999999998</v>
      </c>
      <c r="F4" s="24">
        <f t="shared" ref="F4:L4" si="0">IFERROR(AVERAGE(F7:F9),"")</f>
        <v>100853</v>
      </c>
      <c r="G4" s="4">
        <f t="shared" si="0"/>
        <v>7.1133333333333333</v>
      </c>
      <c r="H4" s="4">
        <f t="shared" si="0"/>
        <v>41.673333333333332</v>
      </c>
      <c r="I4" s="24">
        <f t="shared" si="0"/>
        <v>65291</v>
      </c>
      <c r="J4" s="4">
        <f t="shared" si="0"/>
        <v>9.4366666666666656</v>
      </c>
      <c r="K4" s="4">
        <f t="shared" si="0"/>
        <v>1500.11</v>
      </c>
      <c r="L4" s="4">
        <f t="shared" si="0"/>
        <v>271.28000000000003</v>
      </c>
    </row>
    <row r="5" spans="1:18" x14ac:dyDescent="0.25">
      <c r="A5" s="1" t="s">
        <v>2</v>
      </c>
      <c r="B5" s="4">
        <f t="shared" ref="B5:L5" si="1">IFERROR(AVERAGE(B10:B13),"")</f>
        <v>1156.5374999999999</v>
      </c>
      <c r="C5" s="18">
        <f t="shared" si="1"/>
        <v>1600.26</v>
      </c>
      <c r="D5" s="4">
        <f t="shared" si="1"/>
        <v>94.702500000000001</v>
      </c>
      <c r="E5" s="4">
        <f t="shared" si="1"/>
        <v>255.78750000000002</v>
      </c>
      <c r="F5" s="24">
        <f t="shared" si="1"/>
        <v>96977</v>
      </c>
      <c r="G5" s="4">
        <f t="shared" si="1"/>
        <v>6.4597499999999988</v>
      </c>
      <c r="H5" s="20">
        <f t="shared" si="1"/>
        <v>48.114999999999995</v>
      </c>
      <c r="I5" s="25">
        <f t="shared" si="1"/>
        <v>81242.75</v>
      </c>
      <c r="J5" s="4">
        <f t="shared" si="1"/>
        <v>11.49475</v>
      </c>
      <c r="K5" s="4">
        <f t="shared" si="1"/>
        <v>1920.7674999999999</v>
      </c>
      <c r="L5" s="4">
        <f t="shared" si="1"/>
        <v>314.45249999999999</v>
      </c>
    </row>
    <row r="6" spans="1:18" x14ac:dyDescent="0.25">
      <c r="F6" s="22"/>
      <c r="I6" s="22"/>
    </row>
    <row r="7" spans="1:18" x14ac:dyDescent="0.25">
      <c r="A7" s="3">
        <v>43961</v>
      </c>
      <c r="B7" s="15">
        <v>984.46</v>
      </c>
      <c r="C7" s="15">
        <v>899.35</v>
      </c>
      <c r="D7" s="15">
        <v>91.84</v>
      </c>
      <c r="E7" s="15">
        <v>272.70999999999998</v>
      </c>
      <c r="F7" s="26">
        <v>103784</v>
      </c>
      <c r="G7" s="15">
        <v>7.73</v>
      </c>
      <c r="H7" s="15">
        <v>38.97</v>
      </c>
      <c r="I7" s="26">
        <v>82423</v>
      </c>
      <c r="J7" s="15">
        <v>13.34</v>
      </c>
      <c r="K7" s="15">
        <v>1856.24</v>
      </c>
      <c r="L7" s="15">
        <v>374.51</v>
      </c>
    </row>
    <row r="8" spans="1:18" x14ac:dyDescent="0.25">
      <c r="A8" s="3">
        <v>43962</v>
      </c>
      <c r="B8" s="15">
        <v>996.15</v>
      </c>
      <c r="C8" s="15">
        <v>1129.1099999999999</v>
      </c>
      <c r="D8" s="15">
        <v>86.74</v>
      </c>
      <c r="E8" s="15">
        <v>230.55</v>
      </c>
      <c r="F8" s="26">
        <v>83513</v>
      </c>
      <c r="G8" s="15">
        <v>6.41</v>
      </c>
      <c r="H8" s="15">
        <v>40.89</v>
      </c>
      <c r="I8" s="26">
        <v>59842</v>
      </c>
      <c r="J8" s="15">
        <v>8.66</v>
      </c>
      <c r="K8" s="15">
        <v>1596.68</v>
      </c>
      <c r="L8" s="15">
        <v>241.86</v>
      </c>
    </row>
    <row r="9" spans="1:18" x14ac:dyDescent="0.25">
      <c r="A9" s="3">
        <v>43963</v>
      </c>
      <c r="B9" s="15">
        <v>1054.58</v>
      </c>
      <c r="C9" s="15">
        <v>828.44</v>
      </c>
      <c r="D9" s="15">
        <v>99.22</v>
      </c>
      <c r="E9" s="15">
        <v>281.19</v>
      </c>
      <c r="F9" s="26">
        <v>115262</v>
      </c>
      <c r="G9" s="15">
        <v>7.2</v>
      </c>
      <c r="H9" s="15">
        <v>45.16</v>
      </c>
      <c r="I9" s="26">
        <v>53608</v>
      </c>
      <c r="J9" s="15">
        <v>6.31</v>
      </c>
      <c r="K9" s="15">
        <v>1047.4100000000001</v>
      </c>
      <c r="L9" s="15">
        <v>197.47</v>
      </c>
    </row>
    <row r="10" spans="1:18" x14ac:dyDescent="0.25">
      <c r="A10" s="3">
        <v>43964</v>
      </c>
      <c r="B10" s="16">
        <v>1392.43</v>
      </c>
      <c r="C10" s="16">
        <v>1731.27</v>
      </c>
      <c r="D10" s="16">
        <v>85.29</v>
      </c>
      <c r="E10" s="16">
        <v>294.89999999999998</v>
      </c>
      <c r="F10" s="23">
        <v>99926</v>
      </c>
      <c r="G10" s="16">
        <v>8.3689999999999998</v>
      </c>
      <c r="H10" s="16">
        <v>60.37</v>
      </c>
      <c r="I10" s="23">
        <v>23929</v>
      </c>
      <c r="J10" s="16">
        <v>2.48</v>
      </c>
      <c r="K10" s="16">
        <v>552.66</v>
      </c>
      <c r="L10" s="16">
        <v>91.82</v>
      </c>
    </row>
    <row r="11" spans="1:18" ht="14.45" customHeight="1" x14ac:dyDescent="0.25">
      <c r="A11" s="3">
        <v>43965</v>
      </c>
      <c r="B11" s="17">
        <v>1425.16</v>
      </c>
      <c r="C11" s="17">
        <v>2087.4699999999998</v>
      </c>
      <c r="D11" s="17">
        <v>89.84</v>
      </c>
      <c r="E11" s="17">
        <v>352.1</v>
      </c>
      <c r="F11" s="27">
        <v>143077</v>
      </c>
      <c r="G11" s="17">
        <v>9.3699999999999992</v>
      </c>
      <c r="H11" s="17">
        <v>48.12</v>
      </c>
      <c r="I11" s="27">
        <v>57896</v>
      </c>
      <c r="J11" s="17">
        <v>6.92</v>
      </c>
      <c r="K11" s="17">
        <v>1399.51</v>
      </c>
      <c r="L11" s="17">
        <v>211.72</v>
      </c>
      <c r="N11" s="93" t="s">
        <v>16</v>
      </c>
      <c r="O11" s="93"/>
      <c r="P11" s="93"/>
      <c r="Q11" s="93"/>
      <c r="R11" s="93"/>
    </row>
    <row r="12" spans="1:18" x14ac:dyDescent="0.25">
      <c r="A12" s="3">
        <v>43966</v>
      </c>
      <c r="B12" s="17">
        <v>577.39</v>
      </c>
      <c r="C12" s="17">
        <v>992.02</v>
      </c>
      <c r="D12" s="17">
        <v>106.14</v>
      </c>
      <c r="E12" s="17">
        <v>111.22</v>
      </c>
      <c r="F12" s="27">
        <v>43781</v>
      </c>
      <c r="G12" s="17">
        <v>2.33</v>
      </c>
      <c r="H12" s="17">
        <v>44.93</v>
      </c>
      <c r="I12" s="27">
        <v>112521</v>
      </c>
      <c r="J12" s="17">
        <v>13.96</v>
      </c>
      <c r="K12" s="17">
        <v>2498.37</v>
      </c>
      <c r="L12" s="17">
        <v>408.12</v>
      </c>
      <c r="N12" s="93"/>
      <c r="O12" s="93"/>
      <c r="P12" s="93"/>
      <c r="Q12" s="93"/>
      <c r="R12" s="93"/>
    </row>
    <row r="13" spans="1:18" x14ac:dyDescent="0.25">
      <c r="A13" s="3">
        <v>43967</v>
      </c>
      <c r="B13" s="17">
        <v>1231.17</v>
      </c>
      <c r="C13" s="17">
        <v>1590.28</v>
      </c>
      <c r="D13" s="17">
        <v>97.54</v>
      </c>
      <c r="E13" s="17">
        <v>264.93</v>
      </c>
      <c r="F13" s="27">
        <v>101124</v>
      </c>
      <c r="G13" s="17">
        <v>5.77</v>
      </c>
      <c r="H13" s="17">
        <v>39.04</v>
      </c>
      <c r="I13" s="27">
        <v>130625</v>
      </c>
      <c r="J13" s="17">
        <v>22.619</v>
      </c>
      <c r="K13" s="17">
        <v>3232.53</v>
      </c>
      <c r="L13" s="17">
        <v>546.15</v>
      </c>
      <c r="N13" s="93"/>
      <c r="O13" s="93"/>
      <c r="P13" s="93"/>
      <c r="Q13" s="93"/>
      <c r="R13" s="93"/>
    </row>
    <row r="14" spans="1:18" ht="14.45" customHeight="1" x14ac:dyDescent="0.25">
      <c r="F14" s="22"/>
      <c r="I14" s="22"/>
      <c r="N14" s="93"/>
      <c r="O14" s="93"/>
      <c r="P14" s="93"/>
      <c r="Q14" s="93"/>
      <c r="R14" s="93"/>
    </row>
    <row r="15" spans="1:18" x14ac:dyDescent="0.25">
      <c r="A15" s="1" t="s">
        <v>3</v>
      </c>
      <c r="B15" s="4">
        <v>1414.1</v>
      </c>
      <c r="C15" s="4">
        <v>1306.0999999999999</v>
      </c>
      <c r="D15" s="4">
        <v>83.8</v>
      </c>
      <c r="E15" s="4">
        <v>334.8</v>
      </c>
      <c r="F15" s="4">
        <v>115944.1</v>
      </c>
      <c r="G15" s="4">
        <v>9.9</v>
      </c>
      <c r="H15" s="4">
        <v>40.799999999999997</v>
      </c>
      <c r="I15" s="4">
        <v>76670.600000000006</v>
      </c>
      <c r="J15" s="4">
        <v>12.1</v>
      </c>
      <c r="K15" s="4">
        <v>3202.5</v>
      </c>
      <c r="L15" s="4">
        <v>426.7</v>
      </c>
      <c r="N15" s="93"/>
      <c r="O15" s="93"/>
      <c r="P15" s="93"/>
      <c r="Q15" s="93"/>
      <c r="R15" s="93"/>
    </row>
    <row r="16" spans="1:18" x14ac:dyDescent="0.25">
      <c r="A16" s="1" t="s">
        <v>4</v>
      </c>
      <c r="B16" s="4">
        <f t="shared" ref="B16:L16" si="2">IFERROR(AVERAGE(B7:B13),"")</f>
        <v>1094.4771428571428</v>
      </c>
      <c r="C16" s="4">
        <f t="shared" si="2"/>
        <v>1322.5628571428572</v>
      </c>
      <c r="D16" s="4">
        <f t="shared" si="2"/>
        <v>93.801428571428559</v>
      </c>
      <c r="E16" s="4">
        <f t="shared" si="2"/>
        <v>258.2285714285714</v>
      </c>
      <c r="F16" s="4">
        <f t="shared" si="2"/>
        <v>98638.142857142855</v>
      </c>
      <c r="G16" s="4">
        <f t="shared" si="2"/>
        <v>6.7398571428571428</v>
      </c>
      <c r="H16" s="4">
        <f t="shared" si="2"/>
        <v>45.354285714285716</v>
      </c>
      <c r="I16" s="4">
        <f t="shared" si="2"/>
        <v>74406.28571428571</v>
      </c>
      <c r="J16" s="4">
        <f t="shared" si="2"/>
        <v>10.612714285714286</v>
      </c>
      <c r="K16" s="4">
        <f t="shared" si="2"/>
        <v>1740.4857142857143</v>
      </c>
      <c r="L16" s="4">
        <f t="shared" si="2"/>
        <v>295.95</v>
      </c>
      <c r="N16" s="93"/>
      <c r="O16" s="93"/>
      <c r="P16" s="93"/>
      <c r="Q16" s="93"/>
      <c r="R16" s="93"/>
    </row>
    <row r="17" spans="1:14" x14ac:dyDescent="0.25">
      <c r="A17" s="1" t="s">
        <v>5</v>
      </c>
      <c r="B17" s="6">
        <f>IFERROR(-(B15-B16)/B15,"")</f>
        <v>-0.22602563973046966</v>
      </c>
      <c r="C17" s="6">
        <f t="shared" ref="C17:L17" si="3">IFERROR(-(C15-C16)/C15,"")</f>
        <v>1.2604591641418939E-2</v>
      </c>
      <c r="D17" s="6">
        <f t="shared" si="3"/>
        <v>0.11934878963518571</v>
      </c>
      <c r="E17" s="6">
        <f t="shared" si="3"/>
        <v>-0.22870797064345463</v>
      </c>
      <c r="F17" s="6">
        <f t="shared" si="3"/>
        <v>-0.14926121417870464</v>
      </c>
      <c r="G17" s="6">
        <f t="shared" si="3"/>
        <v>-0.31920634920634922</v>
      </c>
      <c r="H17" s="6">
        <f t="shared" si="3"/>
        <v>0.11162464985994409</v>
      </c>
      <c r="I17" s="6">
        <f t="shared" si="3"/>
        <v>-2.9533018989212234E-2</v>
      </c>
      <c r="J17" s="6">
        <f t="shared" si="3"/>
        <v>-0.12291617473435647</v>
      </c>
      <c r="K17" s="6">
        <f t="shared" si="3"/>
        <v>-0.45652280584364896</v>
      </c>
      <c r="L17" s="6">
        <f t="shared" si="3"/>
        <v>-0.30642137333020858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115" priority="41" operator="greaterThanOrEqual">
      <formula>0</formula>
    </cfRule>
    <cfRule type="cellIs" dxfId="114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13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12" priority="27" operator="lessThan">
      <formula>0</formula>
    </cfRule>
    <cfRule type="cellIs" dxfId="111" priority="38" operator="greaterThanOrEqual">
      <formula>0</formula>
    </cfRule>
  </conditionalFormatting>
  <conditionalFormatting sqref="D17:K17">
    <cfRule type="cellIs" dxfId="110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09" priority="33" operator="lessThan">
      <formula>0</formula>
    </cfRule>
  </conditionalFormatting>
  <conditionalFormatting sqref="J17">
    <cfRule type="cellIs" dxfId="108" priority="32" operator="lessThan">
      <formula>0</formula>
    </cfRule>
  </conditionalFormatting>
  <conditionalFormatting sqref="H17:I17">
    <cfRule type="cellIs" dxfId="107" priority="31" operator="lessThan">
      <formula>0</formula>
    </cfRule>
  </conditionalFormatting>
  <conditionalFormatting sqref="G17">
    <cfRule type="cellIs" dxfId="106" priority="30" operator="lessThan">
      <formula>0</formula>
    </cfRule>
  </conditionalFormatting>
  <conditionalFormatting sqref="E17:F17">
    <cfRule type="cellIs" dxfId="105" priority="29" operator="lessThan">
      <formula>0</formula>
    </cfRule>
  </conditionalFormatting>
  <conditionalFormatting sqref="D17">
    <cfRule type="cellIs" dxfId="104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03" priority="18" operator="greaterThanOrEqual">
      <formula>0</formula>
    </cfRule>
    <cfRule type="cellIs" dxfId="102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21"/>
  <sheetViews>
    <sheetView workbookViewId="0">
      <selection activeCell="H7" sqref="H7:H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0" t="s">
        <v>13</v>
      </c>
      <c r="C1" s="91"/>
      <c r="D1" s="91"/>
      <c r="E1" s="91"/>
      <c r="F1" s="91"/>
      <c r="G1" s="92"/>
      <c r="H1" s="94" t="s">
        <v>14</v>
      </c>
      <c r="I1" s="95"/>
      <c r="J1" s="95"/>
      <c r="K1" s="95"/>
      <c r="L1" s="96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IFERROR(AVERAGE(B7:B10),"")</f>
        <v>1207.6824999999999</v>
      </c>
      <c r="C4" s="4">
        <f>IFERROR(AVERAGE(C7:C9),"")</f>
        <v>2767.3133333333335</v>
      </c>
      <c r="D4" s="4">
        <f>IFERROR(AVERAGE(D7:D10),"")</f>
        <v>103.52500000000001</v>
      </c>
      <c r="E4" s="4">
        <f>IFERROR(AVERAGE(E7:E10),"")</f>
        <v>339.53</v>
      </c>
      <c r="F4" s="24">
        <f t="shared" ref="F4:L4" si="0">IFERROR(AVERAGE(F7:F9),"")</f>
        <v>124581.33333333333</v>
      </c>
      <c r="G4" s="4">
        <f t="shared" si="0"/>
        <v>8.5633333333333344</v>
      </c>
      <c r="H4" s="4">
        <f t="shared" si="0"/>
        <v>54.443333333333328</v>
      </c>
      <c r="I4" s="24">
        <f t="shared" si="0"/>
        <v>37877.666666666664</v>
      </c>
      <c r="J4" s="4">
        <f t="shared" si="0"/>
        <v>4.0166666666666666</v>
      </c>
      <c r="K4" s="4">
        <f t="shared" si="0"/>
        <v>565.52666666666676</v>
      </c>
      <c r="L4" s="4">
        <f t="shared" si="0"/>
        <v>133.73666666666665</v>
      </c>
    </row>
    <row r="5" spans="1:18" x14ac:dyDescent="0.25">
      <c r="A5" s="1" t="s">
        <v>2</v>
      </c>
      <c r="B5" s="4">
        <f t="shared" ref="B5:L5" si="1">IFERROR(AVERAGE(B11:B13),"")</f>
        <v>1075.1666666666667</v>
      </c>
      <c r="C5" s="18">
        <f t="shared" si="1"/>
        <v>1909.26</v>
      </c>
      <c r="D5" s="4">
        <f t="shared" si="1"/>
        <v>96.206666666666663</v>
      </c>
      <c r="E5" s="4">
        <f t="shared" si="1"/>
        <v>216.51666666666668</v>
      </c>
      <c r="F5" s="24">
        <f t="shared" si="1"/>
        <v>94607.666666666672</v>
      </c>
      <c r="G5" s="4">
        <f t="shared" si="1"/>
        <v>4.8066666666666675</v>
      </c>
      <c r="H5" s="20">
        <f t="shared" si="1"/>
        <v>48.916666666666664</v>
      </c>
      <c r="I5" s="25">
        <f t="shared" si="1"/>
        <v>99345</v>
      </c>
      <c r="J5" s="4">
        <f t="shared" si="1"/>
        <v>16.889666666666667</v>
      </c>
      <c r="K5" s="4">
        <f t="shared" si="1"/>
        <v>3861.6933333333332</v>
      </c>
      <c r="L5" s="4">
        <f t="shared" si="1"/>
        <v>486.62000000000006</v>
      </c>
    </row>
    <row r="6" spans="1:18" x14ac:dyDescent="0.25">
      <c r="F6" s="22"/>
      <c r="I6" s="22"/>
    </row>
    <row r="7" spans="1:18" x14ac:dyDescent="0.25">
      <c r="A7" s="3">
        <v>43968</v>
      </c>
      <c r="B7" s="15">
        <v>1068.96</v>
      </c>
      <c r="C7" s="15">
        <v>5942.09</v>
      </c>
      <c r="D7" s="15">
        <v>142.25</v>
      </c>
      <c r="E7" s="15">
        <v>318.89999999999998</v>
      </c>
      <c r="F7" s="26">
        <v>103705</v>
      </c>
      <c r="G7" s="15">
        <v>8.4600000000000009</v>
      </c>
      <c r="H7" s="15">
        <v>57.16</v>
      </c>
      <c r="I7" s="26">
        <v>37749</v>
      </c>
      <c r="J7" s="15">
        <v>3.33</v>
      </c>
      <c r="K7" s="15">
        <v>613.69000000000005</v>
      </c>
      <c r="L7" s="15">
        <v>121.77</v>
      </c>
    </row>
    <row r="8" spans="1:18" x14ac:dyDescent="0.25">
      <c r="A8" s="3">
        <v>43969</v>
      </c>
      <c r="B8" s="15">
        <v>1071.97</v>
      </c>
      <c r="C8" s="15">
        <v>1055.53</v>
      </c>
      <c r="D8" s="15">
        <v>104.14</v>
      </c>
      <c r="E8" s="15">
        <v>317.95</v>
      </c>
      <c r="F8" s="26">
        <v>100229</v>
      </c>
      <c r="G8" s="15">
        <v>6.58</v>
      </c>
      <c r="H8" s="15">
        <v>60.63</v>
      </c>
      <c r="I8" s="26">
        <v>42984</v>
      </c>
      <c r="J8" s="15">
        <v>4.0599999999999996</v>
      </c>
      <c r="K8" s="15">
        <v>634.63</v>
      </c>
      <c r="L8" s="15">
        <v>156.75</v>
      </c>
    </row>
    <row r="9" spans="1:18" x14ac:dyDescent="0.25">
      <c r="A9" s="3">
        <v>43970</v>
      </c>
      <c r="B9" s="15">
        <v>1620.61</v>
      </c>
      <c r="C9" s="15">
        <v>1304.32</v>
      </c>
      <c r="D9" s="15">
        <v>88.06</v>
      </c>
      <c r="E9" s="15">
        <v>407.78</v>
      </c>
      <c r="F9" s="26">
        <v>169810</v>
      </c>
      <c r="G9" s="15">
        <v>10.65</v>
      </c>
      <c r="H9" s="15">
        <v>45.54</v>
      </c>
      <c r="I9" s="26">
        <v>32900</v>
      </c>
      <c r="J9" s="15">
        <v>4.66</v>
      </c>
      <c r="K9" s="15">
        <v>448.26</v>
      </c>
      <c r="L9" s="15">
        <v>122.69</v>
      </c>
    </row>
    <row r="10" spans="1:18" x14ac:dyDescent="0.25">
      <c r="A10" s="3">
        <v>43971</v>
      </c>
      <c r="B10" s="16">
        <v>1069.19</v>
      </c>
      <c r="C10" s="16">
        <v>1266.78</v>
      </c>
      <c r="D10" s="16">
        <v>79.650000000000006</v>
      </c>
      <c r="E10" s="16">
        <v>313.49</v>
      </c>
      <c r="F10" s="23">
        <v>106494</v>
      </c>
      <c r="G10" s="16">
        <v>8</v>
      </c>
      <c r="H10" s="16">
        <v>47.01</v>
      </c>
      <c r="I10" s="23">
        <v>25888</v>
      </c>
      <c r="J10" s="16">
        <v>3.84</v>
      </c>
      <c r="K10" s="16">
        <v>647.37</v>
      </c>
      <c r="L10" s="16">
        <v>135.44</v>
      </c>
    </row>
    <row r="11" spans="1:18" ht="14.45" customHeight="1" x14ac:dyDescent="0.25">
      <c r="A11" s="3">
        <v>43972</v>
      </c>
      <c r="B11" s="17">
        <v>1452.52</v>
      </c>
      <c r="C11" s="17">
        <v>2004</v>
      </c>
      <c r="D11" s="17">
        <v>94.05</v>
      </c>
      <c r="E11" s="17">
        <v>276.10000000000002</v>
      </c>
      <c r="F11" s="27">
        <v>118792</v>
      </c>
      <c r="G11" s="17">
        <v>6.24</v>
      </c>
      <c r="H11" s="17">
        <v>55.67</v>
      </c>
      <c r="I11" s="27">
        <v>35961</v>
      </c>
      <c r="J11" s="17">
        <v>3.22</v>
      </c>
      <c r="K11" s="17">
        <v>825.66</v>
      </c>
      <c r="L11" s="17">
        <v>125.96</v>
      </c>
      <c r="N11" s="93" t="s">
        <v>16</v>
      </c>
      <c r="O11" s="93"/>
      <c r="P11" s="93"/>
      <c r="Q11" s="93"/>
      <c r="R11" s="93"/>
    </row>
    <row r="12" spans="1:18" x14ac:dyDescent="0.25">
      <c r="A12" s="3">
        <v>43973</v>
      </c>
      <c r="B12" s="17">
        <v>1237.9100000000001</v>
      </c>
      <c r="C12" s="17">
        <v>1687.56</v>
      </c>
      <c r="D12" s="17">
        <v>100.59</v>
      </c>
      <c r="E12" s="17">
        <v>246.21</v>
      </c>
      <c r="F12" s="27">
        <v>113550</v>
      </c>
      <c r="G12" s="17">
        <v>5.48</v>
      </c>
      <c r="H12" s="17">
        <v>47.39</v>
      </c>
      <c r="I12" s="27">
        <v>124646</v>
      </c>
      <c r="J12" s="17">
        <v>19.02</v>
      </c>
      <c r="K12" s="17">
        <v>4281.1400000000003</v>
      </c>
      <c r="L12" s="17">
        <v>573.48</v>
      </c>
      <c r="N12" s="93"/>
      <c r="O12" s="93"/>
      <c r="P12" s="93"/>
      <c r="Q12" s="93"/>
      <c r="R12" s="93"/>
    </row>
    <row r="13" spans="1:18" x14ac:dyDescent="0.25">
      <c r="A13" s="3">
        <v>43974</v>
      </c>
      <c r="B13" s="17">
        <v>535.07000000000005</v>
      </c>
      <c r="C13" s="17">
        <v>2036.22</v>
      </c>
      <c r="D13" s="17">
        <v>93.98</v>
      </c>
      <c r="E13" s="17">
        <v>127.24</v>
      </c>
      <c r="F13" s="27">
        <v>51481</v>
      </c>
      <c r="G13" s="17">
        <v>2.7</v>
      </c>
      <c r="H13" s="17">
        <v>43.69</v>
      </c>
      <c r="I13" s="27">
        <v>137428</v>
      </c>
      <c r="J13" s="17">
        <v>28.428999999999998</v>
      </c>
      <c r="K13" s="17">
        <v>6478.28</v>
      </c>
      <c r="L13" s="17">
        <v>760.42</v>
      </c>
      <c r="N13" s="93"/>
      <c r="O13" s="93"/>
      <c r="P13" s="93"/>
      <c r="Q13" s="93"/>
      <c r="R13" s="93"/>
    </row>
    <row r="14" spans="1:18" ht="14.45" customHeight="1" x14ac:dyDescent="0.25">
      <c r="F14" s="22"/>
      <c r="I14" s="22"/>
      <c r="N14" s="93"/>
      <c r="O14" s="93"/>
      <c r="P14" s="93"/>
      <c r="Q14" s="93"/>
      <c r="R14" s="93"/>
    </row>
    <row r="15" spans="1:18" x14ac:dyDescent="0.25">
      <c r="A15" s="1" t="s">
        <v>3</v>
      </c>
      <c r="B15" s="4">
        <v>1094.5</v>
      </c>
      <c r="C15" s="4">
        <v>1322.6</v>
      </c>
      <c r="D15" s="4">
        <v>93.8</v>
      </c>
      <c r="E15" s="4">
        <v>258.2</v>
      </c>
      <c r="F15" s="4">
        <v>98638.1</v>
      </c>
      <c r="G15" s="4">
        <v>6.7</v>
      </c>
      <c r="H15" s="4">
        <v>45.4</v>
      </c>
      <c r="I15" s="4">
        <v>74406.3</v>
      </c>
      <c r="J15" s="4">
        <v>10.6</v>
      </c>
      <c r="K15" s="4">
        <v>1740.5</v>
      </c>
      <c r="L15" s="4">
        <v>296</v>
      </c>
      <c r="N15" s="93"/>
      <c r="O15" s="93"/>
      <c r="P15" s="93"/>
      <c r="Q15" s="93"/>
      <c r="R15" s="93"/>
    </row>
    <row r="16" spans="1:18" x14ac:dyDescent="0.25">
      <c r="A16" s="1" t="s">
        <v>4</v>
      </c>
      <c r="B16" s="4">
        <f>IFERROR(AVERAGE(B7:B13),"")</f>
        <v>1150.8899999999999</v>
      </c>
      <c r="C16" s="4">
        <f t="shared" ref="C16:L16" si="2">IFERROR(AVERAGE(C7:C13),"")</f>
        <v>2185.2142857142858</v>
      </c>
      <c r="D16" s="4">
        <f t="shared" si="2"/>
        <v>100.38857142857144</v>
      </c>
      <c r="E16" s="4">
        <f t="shared" si="2"/>
        <v>286.81</v>
      </c>
      <c r="F16" s="4">
        <f t="shared" si="2"/>
        <v>109151.57142857143</v>
      </c>
      <c r="G16" s="4">
        <f t="shared" si="2"/>
        <v>6.8728571428571428</v>
      </c>
      <c r="H16" s="4">
        <f t="shared" si="2"/>
        <v>51.012857142857136</v>
      </c>
      <c r="I16" s="4">
        <f t="shared" si="2"/>
        <v>62508</v>
      </c>
      <c r="J16" s="4">
        <f t="shared" si="2"/>
        <v>9.5084285714285706</v>
      </c>
      <c r="K16" s="4">
        <f t="shared" si="2"/>
        <v>1989.8614285714284</v>
      </c>
      <c r="L16" s="4">
        <f t="shared" si="2"/>
        <v>285.21571428571434</v>
      </c>
      <c r="N16" s="93"/>
      <c r="O16" s="93"/>
      <c r="P16" s="93"/>
      <c r="Q16" s="93"/>
      <c r="R16" s="93"/>
    </row>
    <row r="17" spans="1:14" x14ac:dyDescent="0.25">
      <c r="A17" s="1" t="s">
        <v>5</v>
      </c>
      <c r="B17" s="6">
        <f>IFERROR(-(B15-B16)/B15,"")</f>
        <v>5.1521242576518841E-2</v>
      </c>
      <c r="C17" s="6">
        <f t="shared" ref="C17:L17" si="3">IFERROR(-(C15-C16)/C15,"")</f>
        <v>0.65221101293988049</v>
      </c>
      <c r="D17" s="6">
        <f t="shared" si="3"/>
        <v>7.0240633566859723E-2</v>
      </c>
      <c r="E17" s="6">
        <f t="shared" si="3"/>
        <v>0.11080557707203724</v>
      </c>
      <c r="F17" s="6">
        <f t="shared" si="3"/>
        <v>0.10658631328636124</v>
      </c>
      <c r="G17" s="6">
        <f t="shared" si="3"/>
        <v>2.579957356076755E-2</v>
      </c>
      <c r="H17" s="6">
        <f t="shared" si="3"/>
        <v>0.12363121460037749</v>
      </c>
      <c r="I17" s="6">
        <f t="shared" si="3"/>
        <v>-0.1599098463436564</v>
      </c>
      <c r="J17" s="6">
        <f t="shared" si="3"/>
        <v>-0.102978436657682</v>
      </c>
      <c r="K17" s="6">
        <f t="shared" si="3"/>
        <v>0.14326999630647999</v>
      </c>
      <c r="L17" s="6">
        <f t="shared" si="3"/>
        <v>-3.6433397683397498E-2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101" priority="41" operator="greaterThanOrEqual">
      <formula>0</formula>
    </cfRule>
    <cfRule type="cellIs" dxfId="10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9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98" priority="27" operator="lessThan">
      <formula>0</formula>
    </cfRule>
    <cfRule type="cellIs" dxfId="97" priority="38" operator="greaterThanOrEqual">
      <formula>0</formula>
    </cfRule>
  </conditionalFormatting>
  <conditionalFormatting sqref="D17:K17">
    <cfRule type="cellIs" dxfId="9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95" priority="33" operator="lessThan">
      <formula>0</formula>
    </cfRule>
  </conditionalFormatting>
  <conditionalFormatting sqref="J17">
    <cfRule type="cellIs" dxfId="94" priority="32" operator="lessThan">
      <formula>0</formula>
    </cfRule>
  </conditionalFormatting>
  <conditionalFormatting sqref="H17:I17">
    <cfRule type="cellIs" dxfId="93" priority="31" operator="lessThan">
      <formula>0</formula>
    </cfRule>
  </conditionalFormatting>
  <conditionalFormatting sqref="G17">
    <cfRule type="cellIs" dxfId="92" priority="30" operator="lessThan">
      <formula>0</formula>
    </cfRule>
  </conditionalFormatting>
  <conditionalFormatting sqref="E17:F17">
    <cfRule type="cellIs" dxfId="91" priority="29" operator="lessThan">
      <formula>0</formula>
    </cfRule>
  </conditionalFormatting>
  <conditionalFormatting sqref="D17">
    <cfRule type="cellIs" dxfId="9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89" priority="18" operator="greaterThanOrEqual">
      <formula>0</formula>
    </cfRule>
    <cfRule type="cellIs" dxfId="8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17"/>
  <sheetViews>
    <sheetView workbookViewId="0">
      <selection activeCell="H7" sqref="H7:H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0" t="s">
        <v>13</v>
      </c>
      <c r="C1" s="91"/>
      <c r="D1" s="91"/>
      <c r="E1" s="91"/>
      <c r="F1" s="91"/>
      <c r="G1" s="92"/>
      <c r="H1" s="89" t="s">
        <v>14</v>
      </c>
      <c r="I1" s="89"/>
      <c r="J1" s="89"/>
      <c r="K1" s="89"/>
      <c r="L1" s="89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IFERROR(AVERAGE(B7:B9),"")</f>
        <v>1053.9066666666665</v>
      </c>
      <c r="C4" s="4">
        <f>IFERROR(AVERAGE(C7:C9),"")</f>
        <v>1534.3733333333332</v>
      </c>
      <c r="D4" s="4">
        <f>IFERROR(AVERAGE(D7:D9),"")</f>
        <v>87.566666666666663</v>
      </c>
      <c r="E4" s="4">
        <f>IFERROR(AVERAGE(E7:E10),"")</f>
        <v>314.51499999999999</v>
      </c>
      <c r="F4" s="24">
        <f t="shared" ref="F4:L4" si="0">IFERROR(AVERAGE(F7:F9),"")</f>
        <v>93826.333333333328</v>
      </c>
      <c r="G4" s="4">
        <f t="shared" si="0"/>
        <v>6.3639999999999999</v>
      </c>
      <c r="H4" s="4">
        <f t="shared" si="0"/>
        <v>62.446666666666658</v>
      </c>
      <c r="I4" s="24">
        <f t="shared" si="0"/>
        <v>32231.333333333332</v>
      </c>
      <c r="J4" s="4">
        <f t="shared" si="0"/>
        <v>3.2086666666666672</v>
      </c>
      <c r="K4" s="4">
        <f t="shared" si="0"/>
        <v>548.85</v>
      </c>
      <c r="L4" s="4">
        <f t="shared" si="0"/>
        <v>133.43333333333334</v>
      </c>
    </row>
    <row r="5" spans="1:18" x14ac:dyDescent="0.25">
      <c r="A5" s="1" t="s">
        <v>2</v>
      </c>
      <c r="B5" s="4">
        <f t="shared" ref="B5:H5" si="1">IFERROR(AVERAGE(B10:B13),"")</f>
        <v>1850.6975</v>
      </c>
      <c r="C5" s="18">
        <f t="shared" si="1"/>
        <v>1644.7024999999999</v>
      </c>
      <c r="D5" s="4">
        <f t="shared" si="1"/>
        <v>91.125</v>
      </c>
      <c r="E5" s="4">
        <f t="shared" si="1"/>
        <v>348.73750000000001</v>
      </c>
      <c r="F5" s="24">
        <f t="shared" si="1"/>
        <v>133172.75</v>
      </c>
      <c r="G5" s="4">
        <f t="shared" si="1"/>
        <v>8.8525000000000009</v>
      </c>
      <c r="H5" s="20">
        <f t="shared" si="1"/>
        <v>43.870000000000005</v>
      </c>
      <c r="I5" s="25">
        <f>IFERROR(AVERAGE(I10:I13),"")</f>
        <v>87549.25</v>
      </c>
      <c r="J5" s="4">
        <f>IFERROR(AVERAGE(J10:J13),"")</f>
        <v>16.600000000000001</v>
      </c>
      <c r="K5" s="4">
        <f>IFERROR(AVERAGE(K10:K13),"")</f>
        <v>4004.2024999999999</v>
      </c>
      <c r="L5" s="4">
        <f>IFERROR(AVERAGE(L10:L13),"")</f>
        <v>439.52500000000003</v>
      </c>
    </row>
    <row r="6" spans="1:18" x14ac:dyDescent="0.25">
      <c r="F6" s="22"/>
      <c r="I6" s="22"/>
    </row>
    <row r="7" spans="1:18" x14ac:dyDescent="0.25">
      <c r="A7" s="3">
        <v>43975</v>
      </c>
      <c r="B7" s="15">
        <v>643.38</v>
      </c>
      <c r="C7" s="15">
        <v>1222.78</v>
      </c>
      <c r="D7" s="15">
        <v>87.64</v>
      </c>
      <c r="E7" s="15">
        <v>157.82</v>
      </c>
      <c r="F7" s="26">
        <v>44533</v>
      </c>
      <c r="G7" s="15">
        <v>3.9689999999999999</v>
      </c>
      <c r="H7" s="15">
        <v>67.92</v>
      </c>
      <c r="I7" s="26">
        <v>22922</v>
      </c>
      <c r="J7" s="15">
        <v>2.6960000000000002</v>
      </c>
      <c r="K7" s="15">
        <v>469.42</v>
      </c>
      <c r="L7" s="15">
        <v>114.94</v>
      </c>
    </row>
    <row r="8" spans="1:18" x14ac:dyDescent="0.25">
      <c r="A8" s="3">
        <v>43976</v>
      </c>
      <c r="B8" s="15">
        <v>1225.53</v>
      </c>
      <c r="C8" s="15">
        <v>1757.67</v>
      </c>
      <c r="D8" s="15">
        <v>94.77</v>
      </c>
      <c r="E8" s="15">
        <v>277.97000000000003</v>
      </c>
      <c r="F8" s="26">
        <v>109887</v>
      </c>
      <c r="G8" s="15">
        <v>6.32</v>
      </c>
      <c r="H8" s="15">
        <v>58.87</v>
      </c>
      <c r="I8" s="26">
        <v>32856</v>
      </c>
      <c r="J8" s="15">
        <v>3.2</v>
      </c>
      <c r="K8" s="15">
        <v>617.33000000000004</v>
      </c>
      <c r="L8" s="15">
        <v>135.93</v>
      </c>
    </row>
    <row r="9" spans="1:18" x14ac:dyDescent="0.25">
      <c r="A9" s="3">
        <v>43977</v>
      </c>
      <c r="B9" s="15">
        <v>1292.81</v>
      </c>
      <c r="C9" s="15">
        <v>1622.67</v>
      </c>
      <c r="D9" s="15">
        <v>80.290000000000006</v>
      </c>
      <c r="E9" s="15">
        <v>338.19</v>
      </c>
      <c r="F9" s="26">
        <v>127059</v>
      </c>
      <c r="G9" s="15">
        <v>8.8030000000000008</v>
      </c>
      <c r="H9" s="15">
        <v>60.55</v>
      </c>
      <c r="I9" s="26">
        <v>40916</v>
      </c>
      <c r="J9" s="15">
        <v>3.73</v>
      </c>
      <c r="K9" s="15">
        <v>559.79999999999995</v>
      </c>
      <c r="L9" s="15">
        <v>149.43</v>
      </c>
    </row>
    <row r="10" spans="1:18" x14ac:dyDescent="0.25">
      <c r="A10" s="3">
        <v>43978</v>
      </c>
      <c r="B10" s="16">
        <v>2155.27</v>
      </c>
      <c r="C10" s="16">
        <v>1056.33</v>
      </c>
      <c r="D10" s="16">
        <v>87.36</v>
      </c>
      <c r="E10" s="16">
        <v>484.08</v>
      </c>
      <c r="F10" s="23">
        <v>123953</v>
      </c>
      <c r="G10" s="16">
        <v>13.14</v>
      </c>
      <c r="H10" s="16">
        <v>49.92</v>
      </c>
      <c r="I10" s="23">
        <v>33349</v>
      </c>
      <c r="J10" s="16">
        <v>4.04</v>
      </c>
      <c r="K10" s="16">
        <v>882.28</v>
      </c>
      <c r="L10" s="16">
        <v>144.06</v>
      </c>
    </row>
    <row r="11" spans="1:18" ht="14.45" customHeight="1" x14ac:dyDescent="0.25">
      <c r="A11" s="3">
        <v>43979</v>
      </c>
      <c r="B11" s="17">
        <v>1639.6</v>
      </c>
      <c r="C11" s="17">
        <v>1807.78</v>
      </c>
      <c r="D11" s="17">
        <v>78.099999999999994</v>
      </c>
      <c r="E11" s="17">
        <v>320.85000000000002</v>
      </c>
      <c r="F11" s="27">
        <v>145217</v>
      </c>
      <c r="G11" s="17">
        <v>8.73</v>
      </c>
      <c r="H11" s="17">
        <v>51.86</v>
      </c>
      <c r="I11" s="27">
        <v>72143</v>
      </c>
      <c r="J11" s="17">
        <v>7.54</v>
      </c>
      <c r="K11" s="17">
        <v>3088.8</v>
      </c>
      <c r="L11" s="17">
        <v>300.63</v>
      </c>
      <c r="N11" s="93" t="s">
        <v>16</v>
      </c>
      <c r="O11" s="93"/>
      <c r="P11" s="93"/>
      <c r="Q11" s="93"/>
      <c r="R11" s="93"/>
    </row>
    <row r="12" spans="1:18" x14ac:dyDescent="0.25">
      <c r="A12" s="3">
        <v>43980</v>
      </c>
      <c r="B12" s="17">
        <v>2384.5</v>
      </c>
      <c r="C12" s="17">
        <v>1603.7</v>
      </c>
      <c r="D12" s="17">
        <v>102.55</v>
      </c>
      <c r="E12" s="17">
        <v>401.28</v>
      </c>
      <c r="F12" s="27">
        <v>184422</v>
      </c>
      <c r="G12" s="17">
        <v>9.07</v>
      </c>
      <c r="H12" s="17">
        <v>36.33</v>
      </c>
      <c r="I12" s="27">
        <v>144197</v>
      </c>
      <c r="J12" s="17">
        <v>31.5</v>
      </c>
      <c r="K12" s="17">
        <v>5529.4</v>
      </c>
      <c r="L12" s="17">
        <v>722.46</v>
      </c>
      <c r="N12" s="93"/>
      <c r="O12" s="93"/>
      <c r="P12" s="93"/>
      <c r="Q12" s="93"/>
      <c r="R12" s="93"/>
    </row>
    <row r="13" spans="1:18" x14ac:dyDescent="0.25">
      <c r="A13" s="3">
        <v>43981</v>
      </c>
      <c r="B13" s="17">
        <v>1223.42</v>
      </c>
      <c r="C13" s="17">
        <v>2111</v>
      </c>
      <c r="D13" s="17">
        <v>96.49</v>
      </c>
      <c r="E13" s="17">
        <v>188.74</v>
      </c>
      <c r="F13" s="27">
        <v>79099</v>
      </c>
      <c r="G13" s="17">
        <v>4.47</v>
      </c>
      <c r="H13" s="17">
        <v>37.369999999999997</v>
      </c>
      <c r="I13" s="27">
        <v>100508</v>
      </c>
      <c r="J13" s="17">
        <v>23.32</v>
      </c>
      <c r="K13" s="17">
        <v>6516.33</v>
      </c>
      <c r="L13" s="17">
        <v>590.95000000000005</v>
      </c>
      <c r="N13" s="93"/>
      <c r="O13" s="93"/>
      <c r="P13" s="93"/>
      <c r="Q13" s="93"/>
      <c r="R13" s="93"/>
    </row>
    <row r="14" spans="1:18" ht="14.45" customHeight="1" x14ac:dyDescent="0.25">
      <c r="F14" s="22"/>
      <c r="I14" s="22"/>
      <c r="N14" s="93"/>
      <c r="O14" s="93"/>
      <c r="P14" s="93"/>
      <c r="Q14" s="93"/>
      <c r="R14" s="93"/>
    </row>
    <row r="15" spans="1:18" x14ac:dyDescent="0.25">
      <c r="A15" s="1" t="s">
        <v>3</v>
      </c>
      <c r="B15" s="4">
        <v>1150.9000000000001</v>
      </c>
      <c r="C15" s="4">
        <v>2185.1999999999998</v>
      </c>
      <c r="D15" s="4">
        <v>100.4</v>
      </c>
      <c r="E15" s="4">
        <v>286.8</v>
      </c>
      <c r="F15" s="4">
        <v>109151.6</v>
      </c>
      <c r="G15" s="4">
        <v>6.9</v>
      </c>
      <c r="H15" s="4">
        <v>51</v>
      </c>
      <c r="I15" s="4">
        <v>62508</v>
      </c>
      <c r="J15" s="4">
        <v>9.5</v>
      </c>
      <c r="K15" s="4">
        <v>1989.9</v>
      </c>
      <c r="L15" s="4">
        <v>285.2</v>
      </c>
      <c r="N15" s="93"/>
      <c r="O15" s="93"/>
      <c r="P15" s="93"/>
      <c r="Q15" s="93"/>
      <c r="R15" s="93"/>
    </row>
    <row r="16" spans="1:18" x14ac:dyDescent="0.25">
      <c r="A16" s="1" t="s">
        <v>4</v>
      </c>
      <c r="B16" s="4">
        <f t="shared" ref="B16:L16" si="2">IFERROR(AVERAGE(B7:B13),"")</f>
        <v>1509.2157142857143</v>
      </c>
      <c r="C16" s="4">
        <f t="shared" si="2"/>
        <v>1597.4185714285716</v>
      </c>
      <c r="D16" s="4">
        <f t="shared" si="2"/>
        <v>89.6</v>
      </c>
      <c r="E16" s="4">
        <f t="shared" si="2"/>
        <v>309.84714285714284</v>
      </c>
      <c r="F16" s="4">
        <f t="shared" si="2"/>
        <v>116310</v>
      </c>
      <c r="G16" s="4">
        <f t="shared" si="2"/>
        <v>7.7860000000000005</v>
      </c>
      <c r="H16" s="4">
        <f t="shared" si="2"/>
        <v>51.831428571428567</v>
      </c>
      <c r="I16" s="4">
        <f t="shared" si="2"/>
        <v>63841.571428571428</v>
      </c>
      <c r="J16" s="4">
        <f t="shared" si="2"/>
        <v>10.860857142857144</v>
      </c>
      <c r="K16" s="4">
        <f t="shared" si="2"/>
        <v>2523.3371428571431</v>
      </c>
      <c r="L16" s="4">
        <f t="shared" si="2"/>
        <v>308.34285714285716</v>
      </c>
      <c r="N16" s="93"/>
      <c r="O16" s="93"/>
      <c r="P16" s="93"/>
      <c r="Q16" s="93"/>
      <c r="R16" s="93"/>
    </row>
    <row r="17" spans="1:12" x14ac:dyDescent="0.25">
      <c r="A17" s="1" t="s">
        <v>5</v>
      </c>
      <c r="B17" s="6">
        <f t="shared" ref="B17:L17" si="3">IFERROR(-(B15-B16)/B15,"")</f>
        <v>0.31133522833062316</v>
      </c>
      <c r="C17" s="6">
        <f t="shared" si="3"/>
        <v>-0.26898289793676933</v>
      </c>
      <c r="D17" s="6">
        <f t="shared" si="3"/>
        <v>-0.10756972111553796</v>
      </c>
      <c r="E17" s="6">
        <f t="shared" si="3"/>
        <v>8.0359633393106103E-2</v>
      </c>
      <c r="F17" s="6">
        <f t="shared" si="3"/>
        <v>6.5582181113240615E-2</v>
      </c>
      <c r="G17" s="6">
        <f t="shared" si="3"/>
        <v>0.12840579710144928</v>
      </c>
      <c r="H17" s="6">
        <f t="shared" si="3"/>
        <v>1.6302521008403282E-2</v>
      </c>
      <c r="I17" s="6">
        <f t="shared" si="3"/>
        <v>2.1334412052400133E-2</v>
      </c>
      <c r="J17" s="6">
        <f t="shared" si="3"/>
        <v>0.14324812030075201</v>
      </c>
      <c r="K17" s="6">
        <f t="shared" si="3"/>
        <v>0.26807233672905323</v>
      </c>
      <c r="L17" s="6">
        <f t="shared" si="3"/>
        <v>8.114606291324393E-2</v>
      </c>
    </row>
  </sheetData>
  <mergeCells count="3">
    <mergeCell ref="B1:G1"/>
    <mergeCell ref="H1:L1"/>
    <mergeCell ref="N11:R16"/>
  </mergeCells>
  <conditionalFormatting sqref="B17">
    <cfRule type="cellIs" dxfId="87" priority="41" operator="greaterThanOrEqual">
      <formula>0</formula>
    </cfRule>
    <cfRule type="cellIs" dxfId="86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85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84" priority="27" operator="lessThan">
      <formula>0</formula>
    </cfRule>
    <cfRule type="cellIs" dxfId="83" priority="38" operator="greaterThanOrEqual">
      <formula>0</formula>
    </cfRule>
  </conditionalFormatting>
  <conditionalFormatting sqref="D17:K17">
    <cfRule type="cellIs" dxfId="82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81" priority="33" operator="lessThan">
      <formula>0</formula>
    </cfRule>
  </conditionalFormatting>
  <conditionalFormatting sqref="J17">
    <cfRule type="cellIs" dxfId="80" priority="32" operator="lessThan">
      <formula>0</formula>
    </cfRule>
  </conditionalFormatting>
  <conditionalFormatting sqref="H17:I17">
    <cfRule type="cellIs" dxfId="79" priority="31" operator="lessThan">
      <formula>0</formula>
    </cfRule>
  </conditionalFormatting>
  <conditionalFormatting sqref="G17">
    <cfRule type="cellIs" dxfId="78" priority="30" operator="lessThan">
      <formula>0</formula>
    </cfRule>
  </conditionalFormatting>
  <conditionalFormatting sqref="E17:F17">
    <cfRule type="cellIs" dxfId="77" priority="29" operator="lessThan">
      <formula>0</formula>
    </cfRule>
  </conditionalFormatting>
  <conditionalFormatting sqref="D17">
    <cfRule type="cellIs" dxfId="76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75" priority="18" operator="greaterThanOrEqual">
      <formula>0</formula>
    </cfRule>
    <cfRule type="cellIs" dxfId="74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R21"/>
  <sheetViews>
    <sheetView workbookViewId="0">
      <selection activeCell="G10" sqref="G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0" t="s">
        <v>13</v>
      </c>
      <c r="C1" s="91"/>
      <c r="D1" s="91"/>
      <c r="E1" s="91"/>
      <c r="F1" s="91"/>
      <c r="G1" s="92"/>
      <c r="H1" s="94" t="s">
        <v>14</v>
      </c>
      <c r="I1" s="95"/>
      <c r="J1" s="95"/>
      <c r="K1" s="95"/>
      <c r="L1" s="96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IFERROR(AVERAGE(B7:B10),"")</f>
        <v>1087.5074999999999</v>
      </c>
      <c r="C4" s="4">
        <f t="shared" ref="C4:L4" si="0">IFERROR(AVERAGE(C7:C10),"")</f>
        <v>1475.1224999999999</v>
      </c>
      <c r="D4" s="4">
        <f t="shared" si="0"/>
        <v>97.987499999999997</v>
      </c>
      <c r="E4" s="4">
        <f>IFERROR(AVERAGE(E7:E10),"")</f>
        <v>256.44499999999999</v>
      </c>
      <c r="F4" s="24">
        <f t="shared" si="0"/>
        <v>79125</v>
      </c>
      <c r="G4" s="4">
        <f t="shared" si="0"/>
        <v>5.9350000000000005</v>
      </c>
      <c r="H4" s="4">
        <f t="shared" si="0"/>
        <v>57.965000000000003</v>
      </c>
      <c r="I4" s="24">
        <f t="shared" si="0"/>
        <v>33437.75</v>
      </c>
      <c r="J4" s="4">
        <f t="shared" si="0"/>
        <v>3.3287499999999999</v>
      </c>
      <c r="K4" s="4">
        <f t="shared" si="0"/>
        <v>779.80749999999989</v>
      </c>
      <c r="L4" s="4">
        <f t="shared" si="0"/>
        <v>138.745</v>
      </c>
    </row>
    <row r="5" spans="1:18" x14ac:dyDescent="0.25">
      <c r="A5" s="1" t="s">
        <v>2</v>
      </c>
      <c r="B5" s="4">
        <f>IFERROR(AVERAGE(B11:B13),"")</f>
        <v>2410.5766666666664</v>
      </c>
      <c r="C5" s="18">
        <f t="shared" ref="C5:L5" si="1">IFERROR(AVERAGE(C11:C13),"")</f>
        <v>1224.3333333333333</v>
      </c>
      <c r="D5" s="4">
        <f t="shared" si="1"/>
        <v>88.58</v>
      </c>
      <c r="E5" s="4">
        <f>IFERROR(AVERAGE(E11:E13),"")</f>
        <v>282.24333333333334</v>
      </c>
      <c r="F5" s="24">
        <f t="shared" si="1"/>
        <v>77525.666666666672</v>
      </c>
      <c r="G5" s="4">
        <f t="shared" si="1"/>
        <v>7.112333333333333</v>
      </c>
      <c r="H5" s="20">
        <f t="shared" si="1"/>
        <v>44.793333333333329</v>
      </c>
      <c r="I5" s="25">
        <f t="shared" si="1"/>
        <v>90259</v>
      </c>
      <c r="J5" s="4">
        <f t="shared" si="1"/>
        <v>12.792666666666667</v>
      </c>
      <c r="K5" s="4">
        <f t="shared" si="1"/>
        <v>3007.6066666666666</v>
      </c>
      <c r="L5" s="4">
        <f t="shared" si="1"/>
        <v>393.31666666666666</v>
      </c>
    </row>
    <row r="6" spans="1:18" x14ac:dyDescent="0.25">
      <c r="F6" s="22"/>
      <c r="I6" s="22"/>
    </row>
    <row r="7" spans="1:18" x14ac:dyDescent="0.25">
      <c r="A7" s="3">
        <v>43982</v>
      </c>
      <c r="B7" s="15">
        <v>624.57000000000005</v>
      </c>
      <c r="C7" s="15">
        <v>1620.33</v>
      </c>
      <c r="D7" s="15">
        <v>114.34</v>
      </c>
      <c r="E7" s="15">
        <v>182.7</v>
      </c>
      <c r="F7" s="26">
        <v>58385</v>
      </c>
      <c r="G7" s="15">
        <v>3.77</v>
      </c>
      <c r="H7" s="15">
        <v>65.069999999999993</v>
      </c>
      <c r="I7" s="26">
        <v>32999</v>
      </c>
      <c r="J7" s="15">
        <v>3.0449999999999999</v>
      </c>
      <c r="K7" s="15">
        <v>694.56</v>
      </c>
      <c r="L7" s="15">
        <v>135.61000000000001</v>
      </c>
    </row>
    <row r="8" spans="1:18" x14ac:dyDescent="0.25">
      <c r="A8" s="3">
        <v>43983</v>
      </c>
      <c r="B8" s="15">
        <v>1039.74</v>
      </c>
      <c r="C8" s="15">
        <v>1450.6</v>
      </c>
      <c r="D8" s="15">
        <v>92.3</v>
      </c>
      <c r="E8" s="15">
        <v>234.04</v>
      </c>
      <c r="F8" s="26">
        <v>70598</v>
      </c>
      <c r="G8" s="15">
        <v>5.37</v>
      </c>
      <c r="H8" s="15">
        <v>59.18</v>
      </c>
      <c r="I8" s="26">
        <v>31462</v>
      </c>
      <c r="J8" s="15">
        <v>3.63</v>
      </c>
      <c r="K8" s="15">
        <v>802.89</v>
      </c>
      <c r="L8" s="15">
        <v>144.12</v>
      </c>
    </row>
    <row r="9" spans="1:18" x14ac:dyDescent="0.25">
      <c r="A9" s="3">
        <v>43984</v>
      </c>
      <c r="B9" s="15">
        <v>1063.69</v>
      </c>
      <c r="C9" s="15">
        <v>1411.78</v>
      </c>
      <c r="D9" s="15">
        <v>93.43</v>
      </c>
      <c r="E9" s="15">
        <v>310.83</v>
      </c>
      <c r="F9" s="26">
        <v>101203</v>
      </c>
      <c r="G9" s="15">
        <v>7.73</v>
      </c>
      <c r="H9" s="15">
        <v>52.84</v>
      </c>
      <c r="I9" s="26">
        <v>41098</v>
      </c>
      <c r="J9" s="15">
        <v>3.31</v>
      </c>
      <c r="K9" s="15">
        <v>850.43</v>
      </c>
      <c r="L9" s="15">
        <v>128.33000000000001</v>
      </c>
    </row>
    <row r="10" spans="1:18" x14ac:dyDescent="0.25">
      <c r="A10" s="3">
        <v>43985</v>
      </c>
      <c r="B10" s="16">
        <v>1622.03</v>
      </c>
      <c r="C10" s="16">
        <v>1417.78</v>
      </c>
      <c r="D10" s="16">
        <v>91.88</v>
      </c>
      <c r="E10" s="16">
        <v>298.20999999999998</v>
      </c>
      <c r="F10" s="23">
        <v>86314</v>
      </c>
      <c r="G10" s="16">
        <v>6.87</v>
      </c>
      <c r="H10" s="16">
        <v>54.77</v>
      </c>
      <c r="I10" s="23">
        <v>28192</v>
      </c>
      <c r="J10" s="16">
        <v>3.33</v>
      </c>
      <c r="K10" s="16">
        <v>771.35</v>
      </c>
      <c r="L10" s="16">
        <v>146.91999999999999</v>
      </c>
    </row>
    <row r="11" spans="1:18" ht="14.45" customHeight="1" x14ac:dyDescent="0.25">
      <c r="A11" s="3">
        <v>43986</v>
      </c>
      <c r="B11" s="17">
        <v>2687.51</v>
      </c>
      <c r="C11" s="17">
        <v>756.33</v>
      </c>
      <c r="D11" s="17">
        <v>90.68</v>
      </c>
      <c r="E11" s="17">
        <v>196.17</v>
      </c>
      <c r="F11" s="27">
        <v>30136</v>
      </c>
      <c r="G11" s="17">
        <v>5.9470000000000001</v>
      </c>
      <c r="H11" s="17">
        <v>51</v>
      </c>
      <c r="I11" s="27">
        <v>54157</v>
      </c>
      <c r="J11" s="17">
        <v>3.7589999999999999</v>
      </c>
      <c r="K11" s="17">
        <v>1276.8499999999999</v>
      </c>
      <c r="L11" s="17">
        <v>150.66</v>
      </c>
      <c r="N11" s="93" t="s">
        <v>16</v>
      </c>
      <c r="O11" s="93"/>
      <c r="P11" s="93"/>
      <c r="Q11" s="93"/>
      <c r="R11" s="93"/>
    </row>
    <row r="12" spans="1:18" x14ac:dyDescent="0.25">
      <c r="A12" s="3">
        <v>43987</v>
      </c>
      <c r="B12" s="17">
        <v>2184.9499999999998</v>
      </c>
      <c r="C12" s="17">
        <v>1432.89</v>
      </c>
      <c r="D12" s="17">
        <v>91.96</v>
      </c>
      <c r="E12" s="17">
        <v>273.54000000000002</v>
      </c>
      <c r="F12" s="27">
        <v>85653</v>
      </c>
      <c r="G12" s="17">
        <v>6.39</v>
      </c>
      <c r="H12" s="17">
        <v>37.03</v>
      </c>
      <c r="I12" s="27">
        <v>144359</v>
      </c>
      <c r="J12" s="17">
        <v>22.239000000000001</v>
      </c>
      <c r="K12" s="17">
        <v>5773.15</v>
      </c>
      <c r="L12" s="17">
        <v>625.69000000000005</v>
      </c>
      <c r="N12" s="93"/>
      <c r="O12" s="93"/>
      <c r="P12" s="93"/>
      <c r="Q12" s="93"/>
      <c r="R12" s="93"/>
    </row>
    <row r="13" spans="1:18" x14ac:dyDescent="0.25">
      <c r="A13" s="3">
        <v>43988</v>
      </c>
      <c r="B13" s="17">
        <v>2359.27</v>
      </c>
      <c r="C13" s="17">
        <v>1483.78</v>
      </c>
      <c r="D13" s="17">
        <v>83.1</v>
      </c>
      <c r="E13" s="17">
        <v>377.02</v>
      </c>
      <c r="F13" s="27">
        <v>116788</v>
      </c>
      <c r="G13" s="17">
        <v>9</v>
      </c>
      <c r="H13" s="17">
        <v>46.35</v>
      </c>
      <c r="I13" s="27">
        <v>72261</v>
      </c>
      <c r="J13" s="17">
        <v>12.38</v>
      </c>
      <c r="K13" s="17">
        <v>1972.82</v>
      </c>
      <c r="L13" s="17">
        <v>403.6</v>
      </c>
      <c r="N13" s="93"/>
      <c r="O13" s="93"/>
      <c r="P13" s="93"/>
      <c r="Q13" s="93"/>
      <c r="R13" s="93"/>
    </row>
    <row r="14" spans="1:18" ht="14.45" customHeight="1" x14ac:dyDescent="0.25">
      <c r="F14" s="22"/>
      <c r="I14" s="22"/>
      <c r="N14" s="93"/>
      <c r="O14" s="93"/>
      <c r="P14" s="93"/>
      <c r="Q14" s="93"/>
      <c r="R14" s="93"/>
    </row>
    <row r="15" spans="1:18" x14ac:dyDescent="0.25">
      <c r="A15" s="1" t="s">
        <v>3</v>
      </c>
      <c r="B15" s="4">
        <v>1509.2</v>
      </c>
      <c r="C15" s="4">
        <v>1597.4</v>
      </c>
      <c r="D15" s="4">
        <v>89.6</v>
      </c>
      <c r="E15" s="4">
        <v>309.8</v>
      </c>
      <c r="F15" s="4">
        <v>116310</v>
      </c>
      <c r="G15" s="4">
        <v>7.8</v>
      </c>
      <c r="H15" s="4">
        <v>51.8</v>
      </c>
      <c r="I15" s="4">
        <v>63841.599999999999</v>
      </c>
      <c r="J15" s="4">
        <v>10.9</v>
      </c>
      <c r="K15" s="4">
        <v>2523.3000000000002</v>
      </c>
      <c r="L15" s="4">
        <v>308.3</v>
      </c>
      <c r="N15" s="93"/>
      <c r="O15" s="93"/>
      <c r="P15" s="93"/>
      <c r="Q15" s="93"/>
      <c r="R15" s="93"/>
    </row>
    <row r="16" spans="1:18" x14ac:dyDescent="0.25">
      <c r="A16" s="1" t="s">
        <v>4</v>
      </c>
      <c r="B16" s="4">
        <f t="shared" ref="B16:L16" si="2">IFERROR(AVERAGE(B7:B13),"")</f>
        <v>1654.537142857143</v>
      </c>
      <c r="C16" s="4">
        <f t="shared" si="2"/>
        <v>1367.6414285714286</v>
      </c>
      <c r="D16" s="4">
        <f t="shared" si="2"/>
        <v>93.955714285714294</v>
      </c>
      <c r="E16" s="4">
        <f t="shared" si="2"/>
        <v>267.50142857142856</v>
      </c>
      <c r="F16" s="4">
        <f t="shared" si="2"/>
        <v>78439.571428571435</v>
      </c>
      <c r="G16" s="4">
        <f t="shared" si="2"/>
        <v>6.4395714285714281</v>
      </c>
      <c r="H16" s="4">
        <f t="shared" si="2"/>
        <v>52.32</v>
      </c>
      <c r="I16" s="4">
        <f t="shared" si="2"/>
        <v>57789.714285714283</v>
      </c>
      <c r="J16" s="4">
        <f t="shared" si="2"/>
        <v>7.3847142857142867</v>
      </c>
      <c r="K16" s="4">
        <f t="shared" si="2"/>
        <v>1734.5785714285714</v>
      </c>
      <c r="L16" s="4">
        <f t="shared" si="2"/>
        <v>247.84714285714284</v>
      </c>
      <c r="N16" s="93"/>
      <c r="O16" s="93"/>
      <c r="P16" s="93"/>
      <c r="Q16" s="93"/>
      <c r="R16" s="93"/>
    </row>
    <row r="17" spans="1:14" x14ac:dyDescent="0.25">
      <c r="A17" s="1" t="s">
        <v>5</v>
      </c>
      <c r="B17" s="6">
        <f t="shared" ref="B17:L17" si="3">IFERROR(-(B15-B16)/B15,"")</f>
        <v>9.6300783764340647E-2</v>
      </c>
      <c r="C17" s="6">
        <f t="shared" si="3"/>
        <v>-0.14383283550054557</v>
      </c>
      <c r="D17" s="6">
        <f t="shared" si="3"/>
        <v>4.8612882653061379E-2</v>
      </c>
      <c r="E17" s="6">
        <f t="shared" si="3"/>
        <v>-0.13653509176427195</v>
      </c>
      <c r="F17" s="6">
        <f t="shared" si="3"/>
        <v>-0.32559907635997393</v>
      </c>
      <c r="G17" s="6">
        <f t="shared" si="3"/>
        <v>-0.17441391941391945</v>
      </c>
      <c r="H17" s="6">
        <f t="shared" si="3"/>
        <v>1.0038610038610099E-2</v>
      </c>
      <c r="I17" s="6">
        <f t="shared" si="3"/>
        <v>-9.4795332734231533E-2</v>
      </c>
      <c r="J17" s="6">
        <f t="shared" si="3"/>
        <v>-0.32250327653997374</v>
      </c>
      <c r="K17" s="6">
        <f t="shared" si="3"/>
        <v>-0.31257536898958854</v>
      </c>
      <c r="L17" s="6">
        <f t="shared" si="3"/>
        <v>-0.19608451878967617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73" priority="41" operator="greaterThanOrEqual">
      <formula>0</formula>
    </cfRule>
    <cfRule type="cellIs" dxfId="72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71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70" priority="27" operator="lessThan">
      <formula>0</formula>
    </cfRule>
    <cfRule type="cellIs" dxfId="69" priority="38" operator="greaterThanOrEqual">
      <formula>0</formula>
    </cfRule>
  </conditionalFormatting>
  <conditionalFormatting sqref="D17:K17">
    <cfRule type="cellIs" dxfId="68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67" priority="33" operator="lessThan">
      <formula>0</formula>
    </cfRule>
  </conditionalFormatting>
  <conditionalFormatting sqref="J17">
    <cfRule type="cellIs" dxfId="66" priority="32" operator="lessThan">
      <formula>0</formula>
    </cfRule>
  </conditionalFormatting>
  <conditionalFormatting sqref="H17:I17">
    <cfRule type="cellIs" dxfId="65" priority="31" operator="lessThan">
      <formula>0</formula>
    </cfRule>
  </conditionalFormatting>
  <conditionalFormatting sqref="G17">
    <cfRule type="cellIs" dxfId="64" priority="30" operator="lessThan">
      <formula>0</formula>
    </cfRule>
  </conditionalFormatting>
  <conditionalFormatting sqref="E17:F17">
    <cfRule type="cellIs" dxfId="63" priority="29" operator="lessThan">
      <formula>0</formula>
    </cfRule>
  </conditionalFormatting>
  <conditionalFormatting sqref="D17">
    <cfRule type="cellIs" dxfId="62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61" priority="18" operator="greaterThanOrEqual">
      <formula>0</formula>
    </cfRule>
    <cfRule type="cellIs" dxfId="60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R17"/>
  <sheetViews>
    <sheetView workbookViewId="0">
      <selection sqref="A1:XFD1048576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0" t="s">
        <v>13</v>
      </c>
      <c r="C1" s="91"/>
      <c r="D1" s="91"/>
      <c r="E1" s="91"/>
      <c r="F1" s="91"/>
      <c r="G1" s="92"/>
      <c r="H1" s="89" t="s">
        <v>14</v>
      </c>
      <c r="I1" s="89"/>
      <c r="J1" s="89"/>
      <c r="K1" s="89"/>
      <c r="L1" s="89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IFERROR(AVERAGE(B7:B9),"")</f>
        <v>1429.3266666666666</v>
      </c>
      <c r="C4" s="4">
        <f>IFERROR(AVERAGE(C7:C9),"")</f>
        <v>1455.4433333333334</v>
      </c>
      <c r="D4" s="4">
        <f>IFERROR(AVERAGE(D7:D9),"")</f>
        <v>95.806666666666672</v>
      </c>
      <c r="E4" s="4">
        <f>IFERROR(AVERAGE(E7:E10),"")</f>
        <v>271.67500000000001</v>
      </c>
      <c r="F4" s="24">
        <f t="shared" ref="F4:L4" si="0">IFERROR(AVERAGE(F7:F9),"")</f>
        <v>81408</v>
      </c>
      <c r="G4" s="4">
        <f t="shared" si="0"/>
        <v>6.3793333333333324</v>
      </c>
      <c r="H4" s="4">
        <f t="shared" si="0"/>
        <v>49.94</v>
      </c>
      <c r="I4" s="24">
        <f t="shared" si="0"/>
        <v>37229.333333333336</v>
      </c>
      <c r="J4" s="4">
        <f t="shared" si="0"/>
        <v>4.3809999999999993</v>
      </c>
      <c r="K4" s="4">
        <f t="shared" si="0"/>
        <v>998.20666666666659</v>
      </c>
      <c r="L4" s="4">
        <f t="shared" si="0"/>
        <v>163.04666666666665</v>
      </c>
    </row>
    <row r="5" spans="1:18" x14ac:dyDescent="0.25">
      <c r="A5" s="1" t="s">
        <v>2</v>
      </c>
      <c r="B5" s="4">
        <f t="shared" ref="B5:I5" si="1">IFERROR(AVERAGE(B10:B13),"")</f>
        <v>1776.4449999999999</v>
      </c>
      <c r="C5" s="18">
        <f t="shared" si="1"/>
        <v>736.87749999999994</v>
      </c>
      <c r="D5" s="4">
        <f t="shared" si="1"/>
        <v>100.67999999999999</v>
      </c>
      <c r="E5" s="4">
        <f t="shared" si="1"/>
        <v>264.875</v>
      </c>
      <c r="F5" s="24">
        <f t="shared" si="1"/>
        <v>39539</v>
      </c>
      <c r="G5" s="4">
        <f t="shared" si="1"/>
        <v>7.4625000000000004</v>
      </c>
      <c r="H5" s="20">
        <f t="shared" si="1"/>
        <v>44.414999999999999</v>
      </c>
      <c r="I5" s="25">
        <f t="shared" si="1"/>
        <v>113365.75</v>
      </c>
      <c r="J5" s="4">
        <f>IFERROR(AVERAGE(J10:J13),"")</f>
        <v>10.327249999999999</v>
      </c>
      <c r="K5" s="4">
        <f>IFERROR(AVERAGE(K10:K13),"")</f>
        <v>2714.8975</v>
      </c>
      <c r="L5" s="4">
        <f>IFERROR(AVERAGE(L10:L13),"")</f>
        <v>331.47749999999996</v>
      </c>
    </row>
    <row r="6" spans="1:18" x14ac:dyDescent="0.25">
      <c r="F6" s="22"/>
      <c r="I6" s="22"/>
    </row>
    <row r="7" spans="1:18" x14ac:dyDescent="0.25">
      <c r="A7" s="3">
        <v>43989</v>
      </c>
      <c r="B7" s="15">
        <v>1144.8499999999999</v>
      </c>
      <c r="C7" s="15">
        <v>1055.33</v>
      </c>
      <c r="D7" s="15">
        <v>79.260000000000005</v>
      </c>
      <c r="E7" s="15">
        <v>213.07</v>
      </c>
      <c r="F7" s="26">
        <v>58122</v>
      </c>
      <c r="G7" s="15">
        <v>5.95</v>
      </c>
      <c r="H7" s="15">
        <v>58.26</v>
      </c>
      <c r="I7" s="26">
        <v>33753</v>
      </c>
      <c r="J7" s="15">
        <v>3.74</v>
      </c>
      <c r="K7" s="15">
        <v>866.52</v>
      </c>
      <c r="L7" s="15">
        <v>146.31</v>
      </c>
    </row>
    <row r="8" spans="1:18" x14ac:dyDescent="0.25">
      <c r="A8" s="3">
        <v>43990</v>
      </c>
      <c r="B8" s="15">
        <v>2214.89</v>
      </c>
      <c r="C8" s="15">
        <v>1471.33</v>
      </c>
      <c r="D8" s="15">
        <v>101.58</v>
      </c>
      <c r="E8" s="15">
        <v>500.79</v>
      </c>
      <c r="F8" s="26">
        <v>121381</v>
      </c>
      <c r="G8" s="15">
        <v>9.4179999999999993</v>
      </c>
      <c r="H8" s="15">
        <v>49.57</v>
      </c>
      <c r="I8" s="26">
        <v>38680</v>
      </c>
      <c r="J8" s="15">
        <v>4.6139999999999999</v>
      </c>
      <c r="K8" s="15">
        <v>915.04</v>
      </c>
      <c r="L8" s="15">
        <v>169.68</v>
      </c>
    </row>
    <row r="9" spans="1:18" x14ac:dyDescent="0.25">
      <c r="A9" s="3">
        <v>43991</v>
      </c>
      <c r="B9" s="15">
        <v>928.24</v>
      </c>
      <c r="C9" s="15">
        <v>1839.67</v>
      </c>
      <c r="D9" s="15">
        <v>106.58</v>
      </c>
      <c r="E9" s="15">
        <v>178.03</v>
      </c>
      <c r="F9" s="26">
        <v>64721</v>
      </c>
      <c r="G9" s="15">
        <v>3.77</v>
      </c>
      <c r="H9" s="15">
        <v>41.99</v>
      </c>
      <c r="I9" s="26">
        <v>39255</v>
      </c>
      <c r="J9" s="15">
        <v>4.7889999999999997</v>
      </c>
      <c r="K9" s="15">
        <v>1213.06</v>
      </c>
      <c r="L9" s="15">
        <v>173.15</v>
      </c>
    </row>
    <row r="10" spans="1:18" x14ac:dyDescent="0.25">
      <c r="A10" s="3">
        <v>43992</v>
      </c>
      <c r="B10" s="16">
        <v>1564.35</v>
      </c>
      <c r="C10" s="16">
        <v>1254.1099999999999</v>
      </c>
      <c r="D10" s="16">
        <v>97.82</v>
      </c>
      <c r="E10" s="16">
        <v>194.81</v>
      </c>
      <c r="F10" s="23">
        <v>54554</v>
      </c>
      <c r="G10" s="16">
        <v>5.9</v>
      </c>
      <c r="H10" s="16">
        <v>51.69</v>
      </c>
      <c r="I10" s="23">
        <v>64554</v>
      </c>
      <c r="J10" s="16">
        <v>6.8890000000000002</v>
      </c>
      <c r="K10" s="16">
        <v>1892.09</v>
      </c>
      <c r="L10" s="16">
        <v>248.94</v>
      </c>
    </row>
    <row r="11" spans="1:18" ht="14.45" customHeight="1" x14ac:dyDescent="0.25">
      <c r="A11" s="3">
        <v>43993</v>
      </c>
      <c r="B11" s="17">
        <v>759.87</v>
      </c>
      <c r="C11" s="17">
        <v>454.44</v>
      </c>
      <c r="D11" s="17">
        <v>107.21</v>
      </c>
      <c r="E11" s="17">
        <v>177.82</v>
      </c>
      <c r="F11" s="27">
        <v>26281</v>
      </c>
      <c r="G11" s="17">
        <v>6.55</v>
      </c>
      <c r="H11" s="17">
        <v>45.22</v>
      </c>
      <c r="I11" s="27">
        <v>96955</v>
      </c>
      <c r="J11" s="17">
        <v>7.31</v>
      </c>
      <c r="K11" s="17">
        <v>2337.7800000000002</v>
      </c>
      <c r="L11" s="17">
        <v>258.33</v>
      </c>
      <c r="N11" s="93" t="s">
        <v>16</v>
      </c>
      <c r="O11" s="93"/>
      <c r="P11" s="93"/>
      <c r="Q11" s="93"/>
      <c r="R11" s="93"/>
    </row>
    <row r="12" spans="1:18" x14ac:dyDescent="0.25">
      <c r="A12" s="3">
        <v>43994</v>
      </c>
      <c r="B12" s="17">
        <v>1675.22</v>
      </c>
      <c r="C12" s="17">
        <v>558.13</v>
      </c>
      <c r="D12" s="17">
        <v>108.2</v>
      </c>
      <c r="E12" s="17">
        <v>189.82</v>
      </c>
      <c r="F12" s="27">
        <v>26132</v>
      </c>
      <c r="G12" s="17">
        <v>5.05</v>
      </c>
      <c r="H12" s="17">
        <v>38.99</v>
      </c>
      <c r="I12" s="27">
        <v>164439</v>
      </c>
      <c r="J12" s="17">
        <v>15.51</v>
      </c>
      <c r="K12" s="17">
        <v>3619.24</v>
      </c>
      <c r="L12" s="17">
        <v>462.37</v>
      </c>
      <c r="N12" s="93"/>
      <c r="O12" s="93"/>
      <c r="P12" s="93"/>
      <c r="Q12" s="93"/>
      <c r="R12" s="93"/>
    </row>
    <row r="13" spans="1:18" x14ac:dyDescent="0.25">
      <c r="A13" s="3">
        <v>43995</v>
      </c>
      <c r="B13" s="17">
        <v>3106.34</v>
      </c>
      <c r="C13" s="17">
        <v>680.83</v>
      </c>
      <c r="D13" s="17">
        <v>89.49</v>
      </c>
      <c r="E13" s="17">
        <v>497.05</v>
      </c>
      <c r="F13" s="27">
        <v>51189</v>
      </c>
      <c r="G13" s="17">
        <v>12.35</v>
      </c>
      <c r="H13" s="17">
        <v>41.76</v>
      </c>
      <c r="I13" s="27">
        <v>127515</v>
      </c>
      <c r="J13" s="17">
        <v>11.6</v>
      </c>
      <c r="K13" s="17">
        <v>3010.48</v>
      </c>
      <c r="L13" s="17">
        <v>356.27</v>
      </c>
      <c r="N13" s="93"/>
      <c r="O13" s="93"/>
      <c r="P13" s="93"/>
      <c r="Q13" s="93"/>
      <c r="R13" s="93"/>
    </row>
    <row r="14" spans="1:18" ht="14.45" customHeight="1" x14ac:dyDescent="0.25">
      <c r="F14" s="22"/>
      <c r="I14" s="22"/>
      <c r="N14" s="93"/>
      <c r="O14" s="93"/>
      <c r="P14" s="93"/>
      <c r="Q14" s="93"/>
      <c r="R14" s="93"/>
    </row>
    <row r="15" spans="1:18" x14ac:dyDescent="0.25">
      <c r="A15" s="1" t="s">
        <v>3</v>
      </c>
      <c r="B15" s="4">
        <v>1654.5</v>
      </c>
      <c r="C15" s="4">
        <v>1367.6</v>
      </c>
      <c r="D15" s="4">
        <v>94</v>
      </c>
      <c r="E15" s="4">
        <v>267.5</v>
      </c>
      <c r="F15" s="4">
        <v>78439.600000000006</v>
      </c>
      <c r="G15" s="4">
        <v>6.4</v>
      </c>
      <c r="H15" s="4">
        <v>52.3</v>
      </c>
      <c r="I15" s="4">
        <v>57789.7</v>
      </c>
      <c r="J15" s="4">
        <v>7.4</v>
      </c>
      <c r="K15" s="4">
        <v>1734.6</v>
      </c>
      <c r="L15" s="4">
        <v>247.8</v>
      </c>
      <c r="N15" s="93"/>
      <c r="O15" s="93"/>
      <c r="P15" s="93"/>
      <c r="Q15" s="93"/>
      <c r="R15" s="93"/>
    </row>
    <row r="16" spans="1:18" x14ac:dyDescent="0.25">
      <c r="A16" s="1" t="s">
        <v>4</v>
      </c>
      <c r="B16" s="4">
        <f t="shared" ref="B16:K16" si="2">IFERROR(AVERAGE(B7:B13),"")</f>
        <v>1627.68</v>
      </c>
      <c r="C16" s="4">
        <f>IFERROR(AVERAGE(C7:C13),"")</f>
        <v>1044.8342857142857</v>
      </c>
      <c r="D16" s="4">
        <f>IFERROR(AVERAGE(D7:D13),"")</f>
        <v>98.591428571428565</v>
      </c>
      <c r="E16" s="4">
        <f>IFERROR(AVERAGE(E7:E13),"")</f>
        <v>278.77</v>
      </c>
      <c r="F16" s="4">
        <f t="shared" si="2"/>
        <v>57482.857142857145</v>
      </c>
      <c r="G16" s="4">
        <f t="shared" si="2"/>
        <v>6.9982857142857142</v>
      </c>
      <c r="H16" s="4">
        <f t="shared" si="2"/>
        <v>46.782857142857139</v>
      </c>
      <c r="I16" s="4">
        <f>IFERROR(AVERAGE(I7:I13),"")</f>
        <v>80735.857142857145</v>
      </c>
      <c r="J16" s="4">
        <f>IFERROR(AVERAGE(J7:J13),"")</f>
        <v>7.7788571428571425</v>
      </c>
      <c r="K16" s="4">
        <f t="shared" si="2"/>
        <v>1979.1728571428571</v>
      </c>
      <c r="L16" s="4">
        <f>IFERROR(AVERAGE(L7:L13),"")</f>
        <v>259.29285714285709</v>
      </c>
      <c r="N16" s="93"/>
      <c r="O16" s="93"/>
      <c r="P16" s="93"/>
      <c r="Q16" s="93"/>
      <c r="R16" s="93"/>
    </row>
    <row r="17" spans="1:12" x14ac:dyDescent="0.25">
      <c r="A17" s="1" t="s">
        <v>5</v>
      </c>
      <c r="B17" s="6">
        <f>IFERROR(-(B15-B16)/B15,"")</f>
        <v>-1.6210335448776026E-2</v>
      </c>
      <c r="C17" s="6">
        <f>IFERROR(-(C15-C16)/C15,"")</f>
        <v>-0.23600885806208999</v>
      </c>
      <c r="D17" s="6">
        <f t="shared" ref="D17:K17" si="3">IFERROR(-(D15-D16)/D15,"")</f>
        <v>4.8844984802431546E-2</v>
      </c>
      <c r="E17" s="6">
        <f t="shared" si="3"/>
        <v>4.2130841121495261E-2</v>
      </c>
      <c r="F17" s="6">
        <f>IFERROR(-(F15-F16)/F15,"")</f>
        <v>-0.26717044524886485</v>
      </c>
      <c r="G17" s="6">
        <f>IFERROR(-(G15-G16)/G15,"")</f>
        <v>9.3482142857142791E-2</v>
      </c>
      <c r="H17" s="6">
        <f t="shared" si="3"/>
        <v>-0.10549030319584815</v>
      </c>
      <c r="I17" s="6">
        <f t="shared" si="3"/>
        <v>0.3970630950300339</v>
      </c>
      <c r="J17" s="6">
        <f>IFERROR(-(J15-J16)/J15,"")</f>
        <v>5.1196911196911096E-2</v>
      </c>
      <c r="K17" s="6">
        <f t="shared" si="3"/>
        <v>0.14099668923259379</v>
      </c>
      <c r="L17" s="6">
        <f>IFERROR(-(L15-L16)/L15,"")</f>
        <v>4.6379568776662938E-2</v>
      </c>
    </row>
  </sheetData>
  <mergeCells count="3">
    <mergeCell ref="B1:G1"/>
    <mergeCell ref="H1:L1"/>
    <mergeCell ref="N11:R16"/>
  </mergeCells>
  <conditionalFormatting sqref="B17">
    <cfRule type="cellIs" dxfId="59" priority="41" operator="greaterThanOrEqual">
      <formula>0</formula>
    </cfRule>
    <cfRule type="cellIs" dxfId="58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57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56" priority="27" operator="lessThan">
      <formula>0</formula>
    </cfRule>
    <cfRule type="cellIs" dxfId="55" priority="38" operator="greaterThanOrEqual">
      <formula>0</formula>
    </cfRule>
  </conditionalFormatting>
  <conditionalFormatting sqref="D17:K17">
    <cfRule type="cellIs" dxfId="54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53" priority="33" operator="lessThan">
      <formula>0</formula>
    </cfRule>
  </conditionalFormatting>
  <conditionalFormatting sqref="J17">
    <cfRule type="cellIs" dxfId="52" priority="32" operator="lessThan">
      <formula>0</formula>
    </cfRule>
  </conditionalFormatting>
  <conditionalFormatting sqref="H17:I17">
    <cfRule type="cellIs" dxfId="51" priority="31" operator="lessThan">
      <formula>0</formula>
    </cfRule>
  </conditionalFormatting>
  <conditionalFormatting sqref="G17">
    <cfRule type="cellIs" dxfId="50" priority="30" operator="lessThan">
      <formula>0</formula>
    </cfRule>
  </conditionalFormatting>
  <conditionalFormatting sqref="E17:F17">
    <cfRule type="cellIs" dxfId="49" priority="29" operator="lessThan">
      <formula>0</formula>
    </cfRule>
  </conditionalFormatting>
  <conditionalFormatting sqref="D17">
    <cfRule type="cellIs" dxfId="48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47" priority="18" operator="greaterThanOrEqual">
      <formula>0</formula>
    </cfRule>
    <cfRule type="cellIs" dxfId="46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4:L20"/>
  <sheetViews>
    <sheetView topLeftCell="A4" workbookViewId="0">
      <selection activeCell="G13" sqref="G13"/>
    </sheetView>
  </sheetViews>
  <sheetFormatPr defaultRowHeight="15" x14ac:dyDescent="0.25"/>
  <cols>
    <col min="1" max="1" width="23.5703125" customWidth="1"/>
    <col min="6" max="6" width="10.140625" bestFit="1" customWidth="1"/>
    <col min="9" max="9" width="10.140625" bestFit="1" customWidth="1"/>
  </cols>
  <sheetData>
    <row r="4" spans="1:12" x14ac:dyDescent="0.25">
      <c r="A4" s="1"/>
      <c r="B4" s="90" t="s">
        <v>13</v>
      </c>
      <c r="C4" s="91"/>
      <c r="D4" s="91"/>
      <c r="E4" s="91"/>
      <c r="F4" s="91"/>
      <c r="G4" s="92"/>
      <c r="H4" s="94" t="s">
        <v>14</v>
      </c>
      <c r="I4" s="95"/>
      <c r="J4" s="95"/>
      <c r="K4" s="95"/>
      <c r="L4" s="96"/>
    </row>
    <row r="5" spans="1:12" x14ac:dyDescent="0.25">
      <c r="A5" s="1"/>
      <c r="B5" s="1" t="s">
        <v>6</v>
      </c>
      <c r="C5" s="1" t="s">
        <v>7</v>
      </c>
      <c r="D5" s="1" t="s">
        <v>8</v>
      </c>
      <c r="E5" s="1" t="s">
        <v>11</v>
      </c>
      <c r="F5" s="1" t="s">
        <v>19</v>
      </c>
      <c r="G5" s="1" t="s">
        <v>15</v>
      </c>
      <c r="H5" s="1" t="s">
        <v>20</v>
      </c>
      <c r="I5" s="1" t="s">
        <v>18</v>
      </c>
      <c r="J5" s="1" t="s">
        <v>15</v>
      </c>
      <c r="K5" s="1" t="s">
        <v>10</v>
      </c>
      <c r="L5" s="1" t="s">
        <v>12</v>
      </c>
    </row>
    <row r="6" spans="1:12" x14ac:dyDescent="0.25">
      <c r="A6" s="2" t="s">
        <v>0</v>
      </c>
      <c r="B6" s="7">
        <v>995</v>
      </c>
      <c r="C6" s="7">
        <v>475</v>
      </c>
      <c r="D6" s="7">
        <v>85</v>
      </c>
      <c r="E6" s="7">
        <v>250</v>
      </c>
      <c r="F6" s="7"/>
      <c r="G6" s="7">
        <v>9</v>
      </c>
      <c r="H6" s="7">
        <v>0</v>
      </c>
      <c r="I6" s="7"/>
      <c r="J6" s="7">
        <v>9</v>
      </c>
      <c r="K6" s="7">
        <v>1400</v>
      </c>
      <c r="L6" s="7">
        <v>200</v>
      </c>
    </row>
    <row r="7" spans="1:12" x14ac:dyDescent="0.25">
      <c r="A7" s="1" t="s">
        <v>1</v>
      </c>
      <c r="B7" s="4">
        <f>IFERROR(AVERAGE(B10:B13),"")</f>
        <v>1905.5974999999999</v>
      </c>
      <c r="C7" s="4">
        <f t="shared" ref="C7:L7" si="0">IFERROR(AVERAGE(C10:C13),"")</f>
        <v>1167.6175000000001</v>
      </c>
      <c r="D7" s="4">
        <f t="shared" si="0"/>
        <v>81.754999999999995</v>
      </c>
      <c r="E7" s="4">
        <f>IFERROR(AVERAGE(E10:E13),"")</f>
        <v>377.27750000000003</v>
      </c>
      <c r="F7" s="24">
        <f t="shared" si="0"/>
        <v>107286.25</v>
      </c>
      <c r="G7" s="4">
        <f t="shared" si="0"/>
        <v>11.012500000000001</v>
      </c>
      <c r="H7" s="4">
        <f t="shared" si="0"/>
        <v>29.68</v>
      </c>
      <c r="I7" s="24">
        <f t="shared" si="0"/>
        <v>77586.5</v>
      </c>
      <c r="J7" s="4">
        <f t="shared" si="0"/>
        <v>10.994999999999999</v>
      </c>
      <c r="K7" s="4">
        <f t="shared" si="0"/>
        <v>2725.7799999999997</v>
      </c>
      <c r="L7" s="4">
        <f t="shared" si="0"/>
        <v>321.76249999999999</v>
      </c>
    </row>
    <row r="8" spans="1:12" x14ac:dyDescent="0.25">
      <c r="A8" s="1" t="s">
        <v>2</v>
      </c>
      <c r="B8" s="4">
        <f>IFERROR(AVERAGE(B14:B16),"")</f>
        <v>2390.4133333333334</v>
      </c>
      <c r="C8" s="18">
        <f t="shared" ref="C8:L8" si="1">IFERROR(AVERAGE(C14:C16),"")</f>
        <v>1064.2633333333335</v>
      </c>
      <c r="D8" s="4">
        <f t="shared" si="1"/>
        <v>52.75</v>
      </c>
      <c r="E8" s="4">
        <f>IFERROR(AVERAGE(E14:E16),"")</f>
        <v>270.10000000000002</v>
      </c>
      <c r="F8" s="24">
        <f t="shared" si="1"/>
        <v>113840.66666666667</v>
      </c>
      <c r="G8" s="4">
        <f t="shared" si="1"/>
        <v>12.503333333333332</v>
      </c>
      <c r="H8" s="20">
        <f t="shared" si="1"/>
        <v>26.02</v>
      </c>
      <c r="I8" s="25">
        <f t="shared" si="1"/>
        <v>69659.666666666672</v>
      </c>
      <c r="J8" s="4">
        <f t="shared" si="1"/>
        <v>12.806666666666667</v>
      </c>
      <c r="K8" s="4">
        <f t="shared" si="1"/>
        <v>2138.3266666666664</v>
      </c>
      <c r="L8" s="4">
        <f t="shared" si="1"/>
        <v>305.65333333333336</v>
      </c>
    </row>
    <row r="9" spans="1:12" x14ac:dyDescent="0.25">
      <c r="F9" s="22"/>
      <c r="I9" s="22"/>
    </row>
    <row r="10" spans="1:12" x14ac:dyDescent="0.25">
      <c r="A10" s="3">
        <v>44031</v>
      </c>
      <c r="B10" s="15">
        <v>1473.85</v>
      </c>
      <c r="C10" s="15">
        <v>1272.67</v>
      </c>
      <c r="D10" s="15">
        <v>76.239999999999995</v>
      </c>
      <c r="E10" s="15">
        <v>323.91000000000003</v>
      </c>
      <c r="F10" s="26">
        <v>92493</v>
      </c>
      <c r="G10" s="15">
        <v>8.27</v>
      </c>
      <c r="H10" s="15">
        <v>23.87</v>
      </c>
      <c r="I10" s="26">
        <v>90196</v>
      </c>
      <c r="J10" s="15">
        <v>12.24</v>
      </c>
      <c r="K10" s="15">
        <v>1721.9</v>
      </c>
      <c r="L10" s="15">
        <v>303.7</v>
      </c>
    </row>
    <row r="11" spans="1:12" x14ac:dyDescent="0.25">
      <c r="A11" s="3">
        <v>44032</v>
      </c>
      <c r="B11" s="15">
        <v>1511.68</v>
      </c>
      <c r="C11" s="15">
        <v>719.33</v>
      </c>
      <c r="D11" s="15">
        <v>118.23</v>
      </c>
      <c r="E11" s="15">
        <v>485.58</v>
      </c>
      <c r="F11" s="26">
        <v>82126</v>
      </c>
      <c r="G11" s="15">
        <v>12.75</v>
      </c>
      <c r="H11" s="15">
        <v>31.58</v>
      </c>
      <c r="I11" s="26">
        <v>84709</v>
      </c>
      <c r="J11" s="15">
        <v>7.84</v>
      </c>
      <c r="K11" s="15">
        <v>2624.25</v>
      </c>
      <c r="L11" s="15">
        <v>263.77999999999997</v>
      </c>
    </row>
    <row r="12" spans="1:12" x14ac:dyDescent="0.25">
      <c r="A12" s="3">
        <v>44033</v>
      </c>
      <c r="B12" s="15">
        <v>1703.7</v>
      </c>
      <c r="C12" s="15">
        <v>1415.8</v>
      </c>
      <c r="D12" s="15">
        <v>65.900000000000006</v>
      </c>
      <c r="E12" s="15">
        <v>338.7</v>
      </c>
      <c r="F12" s="26">
        <v>129255</v>
      </c>
      <c r="G12" s="15">
        <v>11.43</v>
      </c>
      <c r="H12" s="15">
        <v>27.74</v>
      </c>
      <c r="I12" s="26">
        <v>49563</v>
      </c>
      <c r="J12" s="15">
        <v>9.11</v>
      </c>
      <c r="K12" s="15">
        <v>1755.07</v>
      </c>
      <c r="L12" s="15">
        <v>269.07</v>
      </c>
    </row>
    <row r="13" spans="1:12" x14ac:dyDescent="0.25">
      <c r="A13" s="3">
        <v>44034</v>
      </c>
      <c r="B13" s="16">
        <v>2933.16</v>
      </c>
      <c r="C13" s="16">
        <v>1262.67</v>
      </c>
      <c r="D13" s="16">
        <v>66.650000000000006</v>
      </c>
      <c r="E13" s="16">
        <v>360.92</v>
      </c>
      <c r="F13" s="23">
        <v>125271</v>
      </c>
      <c r="G13" s="16">
        <v>11.6</v>
      </c>
      <c r="H13" s="16">
        <v>35.53</v>
      </c>
      <c r="I13" s="23">
        <v>85878</v>
      </c>
      <c r="J13" s="16">
        <v>14.79</v>
      </c>
      <c r="K13" s="16">
        <v>4801.8999999999996</v>
      </c>
      <c r="L13" s="16">
        <v>450.5</v>
      </c>
    </row>
    <row r="14" spans="1:12" x14ac:dyDescent="0.25">
      <c r="A14" s="3">
        <v>44035</v>
      </c>
      <c r="B14" s="17">
        <v>2982.9</v>
      </c>
      <c r="C14" s="17">
        <v>1117.67</v>
      </c>
      <c r="D14" s="17">
        <v>56.67</v>
      </c>
      <c r="E14" s="17">
        <v>365.74</v>
      </c>
      <c r="F14" s="27">
        <v>153764</v>
      </c>
      <c r="G14" s="17">
        <v>15.82</v>
      </c>
      <c r="H14" s="17">
        <v>27.5</v>
      </c>
      <c r="I14" s="27">
        <v>76675</v>
      </c>
      <c r="J14" s="17">
        <v>12.8</v>
      </c>
      <c r="K14" s="17">
        <v>1965.56</v>
      </c>
      <c r="L14" s="17">
        <v>336.98</v>
      </c>
    </row>
    <row r="15" spans="1:12" x14ac:dyDescent="0.25">
      <c r="A15" s="3">
        <v>44036</v>
      </c>
      <c r="B15" s="17">
        <v>1818.44</v>
      </c>
      <c r="C15" s="17">
        <v>983.22</v>
      </c>
      <c r="D15" s="17">
        <v>43.98</v>
      </c>
      <c r="E15" s="17">
        <v>244.96</v>
      </c>
      <c r="F15" s="27">
        <v>102600</v>
      </c>
      <c r="G15" s="17">
        <v>12.29</v>
      </c>
      <c r="H15" s="17">
        <v>24.26</v>
      </c>
      <c r="I15" s="27">
        <v>68481</v>
      </c>
      <c r="J15" s="17">
        <v>13.02</v>
      </c>
      <c r="K15" s="17">
        <v>2384.02</v>
      </c>
      <c r="L15" s="17">
        <v>316.98</v>
      </c>
    </row>
    <row r="16" spans="1:12" x14ac:dyDescent="0.25">
      <c r="A16" s="3">
        <v>44037</v>
      </c>
      <c r="B16" s="17">
        <v>2369.9</v>
      </c>
      <c r="C16" s="17">
        <v>1091.9000000000001</v>
      </c>
      <c r="D16" s="17">
        <v>57.6</v>
      </c>
      <c r="E16" s="17">
        <v>199.6</v>
      </c>
      <c r="F16" s="27">
        <v>85158</v>
      </c>
      <c r="G16" s="17">
        <v>9.4</v>
      </c>
      <c r="H16" s="17">
        <v>26.3</v>
      </c>
      <c r="I16" s="27">
        <v>63823</v>
      </c>
      <c r="J16" s="17">
        <v>12.6</v>
      </c>
      <c r="K16" s="17">
        <v>2065.4</v>
      </c>
      <c r="L16" s="17">
        <v>263</v>
      </c>
    </row>
    <row r="17" spans="1:12" x14ac:dyDescent="0.25">
      <c r="F17" s="22"/>
      <c r="I17" s="22"/>
    </row>
    <row r="18" spans="1:12" x14ac:dyDescent="0.25">
      <c r="A18" s="1" t="s">
        <v>3</v>
      </c>
      <c r="B18" s="4">
        <v>2504.5</v>
      </c>
      <c r="C18" s="4">
        <v>811.5</v>
      </c>
      <c r="D18" s="4">
        <v>85.5</v>
      </c>
      <c r="E18" s="4">
        <v>416.6</v>
      </c>
      <c r="F18" s="4">
        <v>85053.3</v>
      </c>
      <c r="G18" s="4">
        <v>17.399999999999999</v>
      </c>
      <c r="H18" s="4">
        <v>33.5</v>
      </c>
      <c r="I18" s="4">
        <v>106092.9</v>
      </c>
      <c r="J18" s="4">
        <v>15.4</v>
      </c>
      <c r="K18" s="4">
        <v>17640.900000000001</v>
      </c>
      <c r="L18" s="4">
        <v>405.6</v>
      </c>
    </row>
    <row r="19" spans="1:12" x14ac:dyDescent="0.25">
      <c r="A19" s="1" t="s">
        <v>4</v>
      </c>
      <c r="B19" s="4">
        <f t="shared" ref="B19:L19" si="2">IFERROR(AVERAGE(B10:B16),"")</f>
        <v>2113.3757142857144</v>
      </c>
      <c r="C19" s="4">
        <f t="shared" si="2"/>
        <v>1123.3228571428572</v>
      </c>
      <c r="D19" s="4">
        <f t="shared" si="2"/>
        <v>69.324285714285722</v>
      </c>
      <c r="E19" s="4">
        <f t="shared" si="2"/>
        <v>331.34428571428572</v>
      </c>
      <c r="F19" s="4">
        <f t="shared" si="2"/>
        <v>110095.28571428571</v>
      </c>
      <c r="G19" s="4">
        <f t="shared" si="2"/>
        <v>11.651428571428571</v>
      </c>
      <c r="H19" s="4">
        <f t="shared" si="2"/>
        <v>28.111428571428572</v>
      </c>
      <c r="I19" s="4">
        <f t="shared" si="2"/>
        <v>74189.28571428571</v>
      </c>
      <c r="J19" s="4">
        <f t="shared" si="2"/>
        <v>11.77142857142857</v>
      </c>
      <c r="K19" s="4">
        <f t="shared" si="2"/>
        <v>2474.0142857142855</v>
      </c>
      <c r="L19" s="4">
        <f t="shared" si="2"/>
        <v>314.85857142857145</v>
      </c>
    </row>
    <row r="20" spans="1:12" x14ac:dyDescent="0.25">
      <c r="A20" s="1" t="s">
        <v>5</v>
      </c>
      <c r="B20" s="6">
        <f t="shared" ref="B20:L20" si="3">IFERROR(-(B18-B19)/B18,"")</f>
        <v>-0.15616861078629893</v>
      </c>
      <c r="C20" s="6">
        <f t="shared" si="3"/>
        <v>0.38425490713845617</v>
      </c>
      <c r="D20" s="6">
        <f t="shared" si="3"/>
        <v>-0.18918964076858805</v>
      </c>
      <c r="E20" s="6">
        <f t="shared" si="3"/>
        <v>-0.20464645771894935</v>
      </c>
      <c r="F20" s="6">
        <f t="shared" si="3"/>
        <v>0.29442697360697007</v>
      </c>
      <c r="G20" s="6">
        <f t="shared" si="3"/>
        <v>-0.33037766830870274</v>
      </c>
      <c r="H20" s="6">
        <f t="shared" si="3"/>
        <v>-0.16085287846481874</v>
      </c>
      <c r="I20" s="6">
        <f t="shared" si="3"/>
        <v>-0.30071394302271204</v>
      </c>
      <c r="J20" s="6">
        <f t="shared" si="3"/>
        <v>-0.23562152133580713</v>
      </c>
      <c r="K20" s="6">
        <f t="shared" si="3"/>
        <v>-0.85975691230525175</v>
      </c>
      <c r="L20" s="6">
        <f t="shared" si="3"/>
        <v>-0.22372147083685545</v>
      </c>
    </row>
  </sheetData>
  <mergeCells count="2">
    <mergeCell ref="B4:G4"/>
    <mergeCell ref="H4:L4"/>
  </mergeCells>
  <conditionalFormatting sqref="B20">
    <cfRule type="cellIs" dxfId="45" priority="41" operator="greaterThanOrEqual">
      <formula>0</formula>
    </cfRule>
    <cfRule type="cellIs" dxfId="44" priority="42" operator="lessThan">
      <formula>0</formula>
    </cfRule>
  </conditionalFormatting>
  <conditionalFormatting sqref="C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43" priority="40" bottom="1" rank="1"/>
  </conditionalFormatting>
  <conditionalFormatting sqref="D7:D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F8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7:G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I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ellIs" dxfId="42" priority="27" operator="lessThan">
      <formula>0</formula>
    </cfRule>
    <cfRule type="cellIs" dxfId="41" priority="38" operator="greaterThanOrEqual">
      <formula>0</formula>
    </cfRule>
  </conditionalFormatting>
  <conditionalFormatting sqref="D20:K20">
    <cfRule type="cellIs" dxfId="40" priority="37" operator="greaterThanOrEqual">
      <formula>0</formula>
    </cfRule>
  </conditionalFormatting>
  <conditionalFormatting sqref="E7:F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0">
    <cfRule type="cellIs" dxfId="39" priority="33" operator="lessThan">
      <formula>0</formula>
    </cfRule>
  </conditionalFormatting>
  <conditionalFormatting sqref="J20">
    <cfRule type="cellIs" dxfId="38" priority="32" operator="lessThan">
      <formula>0</formula>
    </cfRule>
  </conditionalFormatting>
  <conditionalFormatting sqref="H20:I20">
    <cfRule type="cellIs" dxfId="37" priority="31" operator="lessThan">
      <formula>0</formula>
    </cfRule>
  </conditionalFormatting>
  <conditionalFormatting sqref="G20">
    <cfRule type="cellIs" dxfId="36" priority="30" operator="lessThan">
      <formula>0</formula>
    </cfRule>
  </conditionalFormatting>
  <conditionalFormatting sqref="E20:F20">
    <cfRule type="cellIs" dxfId="35" priority="29" operator="lessThan">
      <formula>0</formula>
    </cfRule>
  </conditionalFormatting>
  <conditionalFormatting sqref="D20">
    <cfRule type="cellIs" dxfId="34" priority="28" operator="lessThan">
      <formula>0</formula>
    </cfRule>
  </conditionalFormatting>
  <conditionalFormatting sqref="B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0">
    <cfRule type="cellIs" dxfId="33" priority="18" operator="greaterThanOrEqual">
      <formula>0</formula>
    </cfRule>
    <cfRule type="cellIs" dxfId="32" priority="19" operator="lessThan">
      <formula>0</formula>
    </cfRule>
  </conditionalFormatting>
  <conditionalFormatting sqref="C7:C8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B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I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8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7:F8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7:E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21"/>
  <sheetViews>
    <sheetView workbookViewId="0">
      <selection activeCell="I5" sqref="I5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0" t="s">
        <v>13</v>
      </c>
      <c r="C1" s="91"/>
      <c r="D1" s="91"/>
      <c r="E1" s="91"/>
      <c r="F1" s="91"/>
      <c r="G1" s="92"/>
      <c r="H1" s="94" t="s">
        <v>14</v>
      </c>
      <c r="I1" s="95"/>
      <c r="J1" s="95"/>
      <c r="K1" s="95"/>
      <c r="L1" s="96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21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/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IFERROR(AVERAGE(B7:B10),"")</f>
        <v>1120.5250000000001</v>
      </c>
      <c r="C4" s="4">
        <f t="shared" ref="C4:L4" si="0">IFERROR(AVERAGE(C7:C10),"")</f>
        <v>1236.075</v>
      </c>
      <c r="D4" s="4">
        <f t="shared" si="0"/>
        <v>62.875</v>
      </c>
      <c r="E4" s="4">
        <f>IFERROR(AVERAGE(E7:E10),"")</f>
        <v>205.95</v>
      </c>
      <c r="F4" s="24">
        <f t="shared" si="0"/>
        <v>68658</v>
      </c>
      <c r="G4" s="4">
        <f t="shared" si="0"/>
        <v>6.8500000000000005</v>
      </c>
      <c r="H4" s="4">
        <f t="shared" si="0"/>
        <v>24.049999999999997</v>
      </c>
      <c r="I4" s="24">
        <f t="shared" si="0"/>
        <v>53560.25</v>
      </c>
      <c r="J4" s="4">
        <f t="shared" si="0"/>
        <v>6.85</v>
      </c>
      <c r="K4" s="4">
        <f t="shared" si="0"/>
        <v>1627.25</v>
      </c>
      <c r="L4" s="4">
        <f t="shared" si="0"/>
        <v>213.15</v>
      </c>
    </row>
    <row r="5" spans="1:18" x14ac:dyDescent="0.25">
      <c r="A5" s="1" t="s">
        <v>2</v>
      </c>
      <c r="B5" s="4">
        <f>IFERROR(AVERAGE(B11:B13),"")</f>
        <v>1413.0199999999998</v>
      </c>
      <c r="C5" s="18">
        <f t="shared" ref="C5:L5" si="1">IFERROR(AVERAGE(C11:C13),"")</f>
        <v>1144.6299999999999</v>
      </c>
      <c r="D5" s="4">
        <f t="shared" si="1"/>
        <v>65.213333333333324</v>
      </c>
      <c r="E5" s="4">
        <f>IFERROR(AVERAGE(E11:E13),"")</f>
        <v>242.31333333333336</v>
      </c>
      <c r="F5" s="24">
        <f t="shared" si="1"/>
        <v>87605</v>
      </c>
      <c r="G5" s="4">
        <f t="shared" si="1"/>
        <v>9.2299999999999986</v>
      </c>
      <c r="H5" s="20">
        <f t="shared" si="1"/>
        <v>25.466666666666665</v>
      </c>
      <c r="I5" s="25">
        <f t="shared" si="1"/>
        <v>52193.666666666664</v>
      </c>
      <c r="J5" s="4">
        <f t="shared" si="1"/>
        <v>6.1933333333333325</v>
      </c>
      <c r="K5" s="4">
        <f t="shared" si="1"/>
        <v>1857.4833333333333</v>
      </c>
      <c r="L5" s="4">
        <f t="shared" si="1"/>
        <v>190.10666666666665</v>
      </c>
    </row>
    <row r="6" spans="1:18" x14ac:dyDescent="0.25">
      <c r="F6" s="22"/>
      <c r="I6" s="22"/>
    </row>
    <row r="7" spans="1:18" x14ac:dyDescent="0.25">
      <c r="A7" s="3">
        <v>44038</v>
      </c>
      <c r="B7" s="15">
        <v>2050.5</v>
      </c>
      <c r="C7" s="15">
        <v>1105.7</v>
      </c>
      <c r="D7" s="15">
        <v>53.7</v>
      </c>
      <c r="E7" s="15">
        <v>341.1</v>
      </c>
      <c r="F7" s="26">
        <v>118759</v>
      </c>
      <c r="G7" s="15">
        <v>12.5</v>
      </c>
      <c r="H7" s="15">
        <v>26</v>
      </c>
      <c r="I7" s="26">
        <v>65696</v>
      </c>
      <c r="J7" s="15">
        <v>9</v>
      </c>
      <c r="K7" s="15">
        <v>1690.1</v>
      </c>
      <c r="L7" s="15">
        <v>258.7</v>
      </c>
    </row>
    <row r="8" spans="1:18" x14ac:dyDescent="0.25">
      <c r="A8" s="3">
        <v>44039</v>
      </c>
      <c r="B8" s="15">
        <v>798.1</v>
      </c>
      <c r="C8" s="15">
        <v>924.9</v>
      </c>
      <c r="D8" s="15">
        <v>52.3</v>
      </c>
      <c r="E8" s="15">
        <v>177.7</v>
      </c>
      <c r="F8" s="26">
        <v>53861</v>
      </c>
      <c r="G8" s="15">
        <v>6.6</v>
      </c>
      <c r="H8" s="15">
        <v>29.4</v>
      </c>
      <c r="I8" s="26">
        <v>52970</v>
      </c>
      <c r="J8" s="15">
        <v>6.2</v>
      </c>
      <c r="K8" s="15">
        <v>1802.4</v>
      </c>
      <c r="L8" s="15">
        <v>210.3</v>
      </c>
    </row>
    <row r="9" spans="1:18" x14ac:dyDescent="0.25">
      <c r="A9" s="3">
        <v>44040</v>
      </c>
      <c r="B9" s="15">
        <v>1064.4000000000001</v>
      </c>
      <c r="C9" s="15">
        <v>1622</v>
      </c>
      <c r="D9" s="15">
        <v>82.7</v>
      </c>
      <c r="E9" s="15">
        <v>149.69999999999999</v>
      </c>
      <c r="F9" s="26">
        <v>43287</v>
      </c>
      <c r="G9" s="15">
        <v>3.1</v>
      </c>
      <c r="H9" s="15">
        <v>14.4</v>
      </c>
      <c r="I9" s="26">
        <v>44898</v>
      </c>
      <c r="J9" s="15">
        <v>5.2</v>
      </c>
      <c r="K9" s="15">
        <v>1585.5</v>
      </c>
      <c r="L9" s="15">
        <v>187.5</v>
      </c>
    </row>
    <row r="10" spans="1:18" x14ac:dyDescent="0.25">
      <c r="A10" s="3">
        <v>44041</v>
      </c>
      <c r="B10" s="16">
        <v>569.1</v>
      </c>
      <c r="C10" s="16">
        <v>1291.7</v>
      </c>
      <c r="D10" s="16">
        <v>62.8</v>
      </c>
      <c r="E10" s="16">
        <v>155.30000000000001</v>
      </c>
      <c r="F10" s="23">
        <v>58725</v>
      </c>
      <c r="G10" s="16">
        <v>5.2</v>
      </c>
      <c r="H10" s="16">
        <v>26.4</v>
      </c>
      <c r="I10" s="23">
        <v>50677</v>
      </c>
      <c r="J10" s="16">
        <v>7</v>
      </c>
      <c r="K10" s="16">
        <v>1431</v>
      </c>
      <c r="L10" s="16">
        <v>196.1</v>
      </c>
    </row>
    <row r="11" spans="1:18" ht="14.45" customHeight="1" x14ac:dyDescent="0.25">
      <c r="A11" s="3">
        <v>44042</v>
      </c>
      <c r="B11" s="17">
        <v>1744.67</v>
      </c>
      <c r="C11" s="17">
        <v>1031.56</v>
      </c>
      <c r="D11" s="17">
        <v>58.45</v>
      </c>
      <c r="E11" s="17">
        <v>349.02</v>
      </c>
      <c r="F11" s="27">
        <v>110619</v>
      </c>
      <c r="G11" s="17">
        <v>13.08</v>
      </c>
      <c r="H11" s="17">
        <v>23.81</v>
      </c>
      <c r="I11" s="27">
        <v>40086</v>
      </c>
      <c r="J11" s="17">
        <v>4.9400000000000004</v>
      </c>
      <c r="K11" s="17">
        <v>923.43</v>
      </c>
      <c r="L11" s="17">
        <v>147.41</v>
      </c>
      <c r="N11" s="93" t="s">
        <v>16</v>
      </c>
      <c r="O11" s="93"/>
      <c r="P11" s="93"/>
      <c r="Q11" s="93"/>
      <c r="R11" s="93"/>
    </row>
    <row r="12" spans="1:18" x14ac:dyDescent="0.25">
      <c r="A12" s="3">
        <v>44043</v>
      </c>
      <c r="B12" s="17">
        <v>892.54</v>
      </c>
      <c r="C12" s="17">
        <v>1079.22</v>
      </c>
      <c r="D12" s="17">
        <v>59.95</v>
      </c>
      <c r="E12" s="17">
        <v>147.96</v>
      </c>
      <c r="F12" s="27">
        <v>49950</v>
      </c>
      <c r="G12" s="17">
        <v>5.43</v>
      </c>
      <c r="H12" s="17">
        <v>25.57</v>
      </c>
      <c r="I12" s="27">
        <v>59512</v>
      </c>
      <c r="J12" s="17">
        <v>6.38</v>
      </c>
      <c r="K12" s="17">
        <v>1813.79</v>
      </c>
      <c r="L12" s="17">
        <v>201.02</v>
      </c>
      <c r="N12" s="93"/>
      <c r="O12" s="93"/>
      <c r="P12" s="93"/>
      <c r="Q12" s="93"/>
      <c r="R12" s="93"/>
    </row>
    <row r="13" spans="1:18" x14ac:dyDescent="0.25">
      <c r="A13" s="3">
        <v>44044</v>
      </c>
      <c r="B13" s="17">
        <v>1601.85</v>
      </c>
      <c r="C13" s="17">
        <v>1323.11</v>
      </c>
      <c r="D13" s="17">
        <v>77.239999999999995</v>
      </c>
      <c r="E13" s="17">
        <v>229.96</v>
      </c>
      <c r="F13" s="27">
        <v>102246</v>
      </c>
      <c r="G13" s="17">
        <v>9.18</v>
      </c>
      <c r="H13" s="17">
        <v>27.02</v>
      </c>
      <c r="I13" s="27">
        <v>56983</v>
      </c>
      <c r="J13" s="17">
        <v>7.26</v>
      </c>
      <c r="K13" s="17">
        <v>2835.23</v>
      </c>
      <c r="L13" s="17">
        <v>221.89</v>
      </c>
      <c r="N13" s="93"/>
      <c r="O13" s="93"/>
      <c r="P13" s="93"/>
      <c r="Q13" s="93"/>
      <c r="R13" s="93"/>
    </row>
    <row r="14" spans="1:18" ht="14.45" customHeight="1" x14ac:dyDescent="0.25">
      <c r="F14" s="22"/>
      <c r="I14" s="22"/>
      <c r="N14" s="93"/>
      <c r="O14" s="93"/>
      <c r="P14" s="93"/>
      <c r="Q14" s="93"/>
      <c r="R14" s="93"/>
    </row>
    <row r="15" spans="1:18" x14ac:dyDescent="0.25">
      <c r="A15" s="1" t="s">
        <v>3</v>
      </c>
      <c r="B15" s="4">
        <v>2113.4</v>
      </c>
      <c r="C15" s="4">
        <v>1123.3</v>
      </c>
      <c r="D15" s="4">
        <v>69.3</v>
      </c>
      <c r="E15" s="4">
        <v>331.3</v>
      </c>
      <c r="F15" s="4">
        <v>110095.3</v>
      </c>
      <c r="G15" s="4">
        <v>11.6</v>
      </c>
      <c r="H15" s="4">
        <v>24.6</v>
      </c>
      <c r="I15" s="4">
        <v>74189.3</v>
      </c>
      <c r="J15" s="4">
        <v>11.8</v>
      </c>
      <c r="K15" s="4">
        <v>2474</v>
      </c>
      <c r="L15" s="4">
        <v>314.89999999999998</v>
      </c>
      <c r="N15" s="93"/>
      <c r="O15" s="93"/>
      <c r="P15" s="93"/>
      <c r="Q15" s="93"/>
      <c r="R15" s="93"/>
    </row>
    <row r="16" spans="1:18" x14ac:dyDescent="0.25">
      <c r="A16" s="1" t="s">
        <v>4</v>
      </c>
      <c r="B16" s="4">
        <f t="shared" ref="B16:L16" si="2">IFERROR(AVERAGE(B7:B13),"")</f>
        <v>1245.8799999999999</v>
      </c>
      <c r="C16" s="4">
        <f t="shared" si="2"/>
        <v>1196.8842857142859</v>
      </c>
      <c r="D16" s="4">
        <f t="shared" si="2"/>
        <v>63.877142857142857</v>
      </c>
      <c r="E16" s="4">
        <f t="shared" si="2"/>
        <v>221.53428571428572</v>
      </c>
      <c r="F16" s="4">
        <f t="shared" si="2"/>
        <v>76778.142857142855</v>
      </c>
      <c r="G16" s="4">
        <f t="shared" si="2"/>
        <v>7.87</v>
      </c>
      <c r="H16" s="4">
        <f t="shared" si="2"/>
        <v>24.657142857142855</v>
      </c>
      <c r="I16" s="4">
        <f t="shared" si="2"/>
        <v>52974.571428571428</v>
      </c>
      <c r="J16" s="4">
        <f t="shared" si="2"/>
        <v>6.5685714285714285</v>
      </c>
      <c r="K16" s="4">
        <f t="shared" si="2"/>
        <v>1725.9214285714286</v>
      </c>
      <c r="L16" s="4">
        <f t="shared" si="2"/>
        <v>203.27428571428572</v>
      </c>
      <c r="N16" s="93"/>
      <c r="O16" s="93"/>
      <c r="P16" s="93"/>
      <c r="Q16" s="93"/>
      <c r="R16" s="93"/>
    </row>
    <row r="17" spans="1:14" x14ac:dyDescent="0.25">
      <c r="A17" s="1" t="s">
        <v>5</v>
      </c>
      <c r="B17" s="6">
        <f t="shared" ref="B17:L17" si="3">IFERROR(-(B15-B16)/B15,"")</f>
        <v>-0.41048547364436461</v>
      </c>
      <c r="C17" s="6">
        <f t="shared" si="3"/>
        <v>6.5507242690542061E-2</v>
      </c>
      <c r="D17" s="6">
        <f t="shared" si="3"/>
        <v>-7.8251906823335354E-2</v>
      </c>
      <c r="E17" s="6">
        <f t="shared" si="3"/>
        <v>-0.33131818377818983</v>
      </c>
      <c r="F17" s="6">
        <f t="shared" si="3"/>
        <v>-0.30262106686531709</v>
      </c>
      <c r="G17" s="6">
        <f t="shared" si="3"/>
        <v>-0.32155172413793098</v>
      </c>
      <c r="H17" s="6">
        <f t="shared" si="3"/>
        <v>2.3228803716607068E-3</v>
      </c>
      <c r="I17" s="6">
        <f t="shared" si="3"/>
        <v>-0.28595401993857034</v>
      </c>
      <c r="J17" s="6">
        <f t="shared" si="3"/>
        <v>-0.44334140435835356</v>
      </c>
      <c r="K17" s="6">
        <f t="shared" si="3"/>
        <v>-0.30237614043192051</v>
      </c>
      <c r="L17" s="6">
        <f t="shared" si="3"/>
        <v>-0.35447988023408783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31" priority="41" operator="greaterThanOrEqual">
      <formula>0</formula>
    </cfRule>
    <cfRule type="cellIs" dxfId="3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8" priority="27" operator="lessThan">
      <formula>0</formula>
    </cfRule>
    <cfRule type="cellIs" dxfId="27" priority="38" operator="greaterThanOrEqual">
      <formula>0</formula>
    </cfRule>
  </conditionalFormatting>
  <conditionalFormatting sqref="D17:K17">
    <cfRule type="cellIs" dxfId="2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25" priority="33" operator="lessThan">
      <formula>0</formula>
    </cfRule>
  </conditionalFormatting>
  <conditionalFormatting sqref="J17">
    <cfRule type="cellIs" dxfId="24" priority="32" operator="lessThan">
      <formula>0</formula>
    </cfRule>
  </conditionalFormatting>
  <conditionalFormatting sqref="H17:I17">
    <cfRule type="cellIs" dxfId="23" priority="31" operator="lessThan">
      <formula>0</formula>
    </cfRule>
  </conditionalFormatting>
  <conditionalFormatting sqref="G17">
    <cfRule type="cellIs" dxfId="22" priority="30" operator="lessThan">
      <formula>0</formula>
    </cfRule>
  </conditionalFormatting>
  <conditionalFormatting sqref="E17:F17">
    <cfRule type="cellIs" dxfId="21" priority="29" operator="lessThan">
      <formula>0</formula>
    </cfRule>
  </conditionalFormatting>
  <conditionalFormatting sqref="D17">
    <cfRule type="cellIs" dxfId="2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9" priority="18" operator="greaterThanOrEqual">
      <formula>0</formula>
    </cfRule>
    <cfRule type="cellIs" dxfId="1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4:P20"/>
  <sheetViews>
    <sheetView zoomScale="90" zoomScaleNormal="90" workbookViewId="0">
      <selection activeCell="B19" sqref="B19:P19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4" max="4" width="7.5703125" customWidth="1"/>
    <col min="5" max="5" width="7.140625" bestFit="1" customWidth="1"/>
    <col min="6" max="6" width="14" bestFit="1" customWidth="1"/>
    <col min="7" max="7" width="7.85546875" customWidth="1"/>
    <col min="9" max="9" width="7.28515625" customWidth="1"/>
    <col min="10" max="10" width="8.140625" bestFit="1" customWidth="1"/>
    <col min="11" max="11" width="11.28515625" bestFit="1" customWidth="1"/>
    <col min="12" max="12" width="7.85546875" bestFit="1" customWidth="1"/>
  </cols>
  <sheetData>
    <row r="4" spans="1:16" x14ac:dyDescent="0.25">
      <c r="A4" s="1"/>
      <c r="B4" s="90" t="s">
        <v>13</v>
      </c>
      <c r="C4" s="91"/>
      <c r="D4" s="91"/>
      <c r="E4" s="91"/>
      <c r="F4" s="91"/>
      <c r="G4" s="91"/>
      <c r="H4" s="92"/>
      <c r="I4" s="28"/>
      <c r="J4" s="94" t="s">
        <v>14</v>
      </c>
      <c r="K4" s="95"/>
      <c r="L4" s="95"/>
      <c r="M4" s="95"/>
      <c r="N4" s="95"/>
      <c r="O4" s="95"/>
      <c r="P4" s="96"/>
    </row>
    <row r="5" spans="1:16" x14ac:dyDescent="0.25">
      <c r="A5" s="1"/>
      <c r="B5" s="29" t="s">
        <v>6</v>
      </c>
      <c r="C5" s="29" t="s">
        <v>7</v>
      </c>
      <c r="D5" s="29" t="s">
        <v>8</v>
      </c>
      <c r="E5" s="29" t="s">
        <v>11</v>
      </c>
      <c r="F5" s="29" t="s">
        <v>19</v>
      </c>
      <c r="G5" s="29" t="s">
        <v>25</v>
      </c>
      <c r="H5" s="29" t="s">
        <v>15</v>
      </c>
      <c r="I5" s="29" t="s">
        <v>22</v>
      </c>
      <c r="J5" s="29" t="s">
        <v>24</v>
      </c>
      <c r="K5" s="29" t="s">
        <v>18</v>
      </c>
      <c r="L5" s="29" t="s">
        <v>26</v>
      </c>
      <c r="M5" s="29" t="s">
        <v>15</v>
      </c>
      <c r="N5" s="29" t="s">
        <v>10</v>
      </c>
      <c r="O5" s="29" t="s">
        <v>23</v>
      </c>
      <c r="P5" s="29" t="s">
        <v>22</v>
      </c>
    </row>
    <row r="6" spans="1:16" x14ac:dyDescent="0.25">
      <c r="A6" s="2" t="s">
        <v>0</v>
      </c>
      <c r="B6" s="30">
        <v>995</v>
      </c>
      <c r="C6" s="30">
        <v>475</v>
      </c>
      <c r="D6" s="30">
        <v>85</v>
      </c>
      <c r="E6" s="30">
        <v>250</v>
      </c>
      <c r="F6" s="30"/>
      <c r="G6" s="30">
        <v>40</v>
      </c>
      <c r="H6" s="30">
        <v>9</v>
      </c>
      <c r="I6" s="31">
        <v>0.1</v>
      </c>
      <c r="J6" s="30">
        <v>0</v>
      </c>
      <c r="K6" s="30"/>
      <c r="L6" s="30">
        <v>30</v>
      </c>
      <c r="M6" s="30">
        <v>9</v>
      </c>
      <c r="N6" s="30">
        <v>1400</v>
      </c>
      <c r="O6" s="30">
        <v>200</v>
      </c>
      <c r="P6" s="31">
        <v>0.1</v>
      </c>
    </row>
    <row r="7" spans="1:16" x14ac:dyDescent="0.25">
      <c r="A7" s="1" t="s">
        <v>1</v>
      </c>
      <c r="B7" s="4">
        <f>IFERROR(AVERAGE(B10:B13),"")</f>
        <v>3017.0450000000001</v>
      </c>
      <c r="C7" s="4">
        <f t="shared" ref="C7:P7" si="0">IFERROR(AVERAGE(C10:C13),"")</f>
        <v>723.0675</v>
      </c>
      <c r="D7" s="4">
        <f t="shared" si="0"/>
        <v>69.314999999999998</v>
      </c>
      <c r="E7" s="4">
        <f>IFERROR(AVERAGE(E10:E13),"")</f>
        <v>445.07</v>
      </c>
      <c r="F7" s="24">
        <f t="shared" si="0"/>
        <v>127153.75</v>
      </c>
      <c r="G7" s="24">
        <f t="shared" si="0"/>
        <v>30</v>
      </c>
      <c r="H7" s="4">
        <f t="shared" si="0"/>
        <v>15.765000000000001</v>
      </c>
      <c r="I7" s="4">
        <f t="shared" si="0"/>
        <v>25.622499999999999</v>
      </c>
      <c r="J7" s="4">
        <f t="shared" si="0"/>
        <v>21.835000000000001</v>
      </c>
      <c r="K7" s="24">
        <f t="shared" si="0"/>
        <v>108044.75</v>
      </c>
      <c r="L7" s="24">
        <f t="shared" si="0"/>
        <v>30</v>
      </c>
      <c r="M7" s="4">
        <f t="shared" si="0"/>
        <v>10.0825</v>
      </c>
      <c r="N7" s="4">
        <f t="shared" si="0"/>
        <v>2127.1</v>
      </c>
      <c r="O7" s="4">
        <f t="shared" si="0"/>
        <v>329.65750000000003</v>
      </c>
      <c r="P7" s="4">
        <f t="shared" si="0"/>
        <v>27.657499999999999</v>
      </c>
    </row>
    <row r="8" spans="1:16" x14ac:dyDescent="0.25">
      <c r="A8" s="1" t="s">
        <v>2</v>
      </c>
      <c r="B8" s="4">
        <f>IFERROR(AVERAGE(B14:B16),"")</f>
        <v>4031.0833333333335</v>
      </c>
      <c r="C8" s="18">
        <f t="shared" ref="C8:P8" si="1">IFERROR(AVERAGE(C14:C16),"")</f>
        <v>1056.9099999999999</v>
      </c>
      <c r="D8" s="4">
        <f t="shared" si="1"/>
        <v>67.886666666666656</v>
      </c>
      <c r="E8" s="4">
        <f>IFERROR(AVERAGE(E14:E16),"")</f>
        <v>421.87666666666672</v>
      </c>
      <c r="F8" s="24">
        <f t="shared" si="1"/>
        <v>163210</v>
      </c>
      <c r="G8" s="24">
        <f t="shared" si="1"/>
        <v>34</v>
      </c>
      <c r="H8" s="4">
        <f t="shared" si="1"/>
        <v>14.566666666666668</v>
      </c>
      <c r="I8" s="20">
        <f t="shared" si="1"/>
        <v>31.223333333333333</v>
      </c>
      <c r="J8" s="20">
        <f t="shared" si="1"/>
        <v>39.343333333333334</v>
      </c>
      <c r="K8" s="25">
        <f t="shared" si="1"/>
        <v>87496.666666666672</v>
      </c>
      <c r="L8" s="25">
        <f t="shared" si="1"/>
        <v>34</v>
      </c>
      <c r="M8" s="4">
        <f t="shared" si="1"/>
        <v>10.226666666666667</v>
      </c>
      <c r="N8" s="4">
        <f t="shared" si="1"/>
        <v>2539.6033333333335</v>
      </c>
      <c r="O8" s="4">
        <f t="shared" si="1"/>
        <v>285.48666666666668</v>
      </c>
      <c r="P8" s="4">
        <f t="shared" si="1"/>
        <v>34.700000000000003</v>
      </c>
    </row>
    <row r="9" spans="1:16" x14ac:dyDescent="0.25">
      <c r="F9" s="22"/>
      <c r="G9" s="22"/>
      <c r="K9" s="22"/>
      <c r="L9" s="22"/>
    </row>
    <row r="10" spans="1:16" x14ac:dyDescent="0.25">
      <c r="A10" s="3">
        <v>44073</v>
      </c>
      <c r="B10" s="15">
        <v>3007.11</v>
      </c>
      <c r="C10" s="15">
        <v>883</v>
      </c>
      <c r="D10" s="15">
        <v>76.94</v>
      </c>
      <c r="E10" s="15">
        <v>467.7</v>
      </c>
      <c r="F10" s="26">
        <v>155147</v>
      </c>
      <c r="G10" s="26">
        <v>32</v>
      </c>
      <c r="H10" s="15">
        <v>16</v>
      </c>
      <c r="I10" s="15">
        <v>21</v>
      </c>
      <c r="J10" s="15">
        <v>28.23</v>
      </c>
      <c r="K10" s="26">
        <v>99627</v>
      </c>
      <c r="L10" s="26">
        <v>32</v>
      </c>
      <c r="M10" s="15">
        <v>11.23</v>
      </c>
      <c r="N10" s="15">
        <v>2258.46</v>
      </c>
      <c r="O10" s="15">
        <v>380.95</v>
      </c>
      <c r="P10" s="15">
        <v>25</v>
      </c>
    </row>
    <row r="11" spans="1:16" x14ac:dyDescent="0.25">
      <c r="A11" s="3">
        <v>44074</v>
      </c>
      <c r="B11" s="15">
        <v>3544.19</v>
      </c>
      <c r="C11" s="15">
        <v>734.73</v>
      </c>
      <c r="D11" s="15">
        <v>60.02</v>
      </c>
      <c r="E11" s="15">
        <v>479.84</v>
      </c>
      <c r="F11" s="26">
        <v>152913</v>
      </c>
      <c r="G11" s="26">
        <v>44</v>
      </c>
      <c r="H11" s="15">
        <v>18.97</v>
      </c>
      <c r="I11" s="15">
        <v>25</v>
      </c>
      <c r="J11" s="15">
        <v>21.85</v>
      </c>
      <c r="K11" s="26">
        <v>96812</v>
      </c>
      <c r="L11" s="26">
        <v>44</v>
      </c>
      <c r="M11" s="15">
        <v>9.19</v>
      </c>
      <c r="N11" s="15">
        <v>2097.4499999999998</v>
      </c>
      <c r="O11" s="15">
        <v>327.74</v>
      </c>
      <c r="P11" s="15">
        <v>28</v>
      </c>
    </row>
    <row r="12" spans="1:16" x14ac:dyDescent="0.25">
      <c r="A12" s="3">
        <v>44075</v>
      </c>
      <c r="B12" s="15">
        <v>1987.27</v>
      </c>
      <c r="C12" s="15">
        <v>515.27</v>
      </c>
      <c r="D12" s="15">
        <v>62.85</v>
      </c>
      <c r="E12" s="15">
        <v>307.19</v>
      </c>
      <c r="F12" s="26">
        <v>66327</v>
      </c>
      <c r="G12" s="26">
        <v>11</v>
      </c>
      <c r="H12" s="15">
        <v>11.67</v>
      </c>
      <c r="I12" s="15">
        <v>31.8</v>
      </c>
      <c r="J12" s="15">
        <v>19.510000000000002</v>
      </c>
      <c r="K12" s="26">
        <v>122506</v>
      </c>
      <c r="L12" s="26">
        <v>11</v>
      </c>
      <c r="M12" s="15">
        <v>10.01</v>
      </c>
      <c r="N12" s="15">
        <v>2148.4</v>
      </c>
      <c r="O12" s="15">
        <v>290.83</v>
      </c>
      <c r="P12" s="15">
        <v>30</v>
      </c>
    </row>
    <row r="13" spans="1:16" x14ac:dyDescent="0.25">
      <c r="A13" s="3">
        <v>44076</v>
      </c>
      <c r="B13" s="16">
        <v>3529.61</v>
      </c>
      <c r="C13" s="16">
        <v>759.27</v>
      </c>
      <c r="D13" s="16">
        <v>77.45</v>
      </c>
      <c r="E13" s="16">
        <v>525.54999999999995</v>
      </c>
      <c r="F13" s="23">
        <v>134228</v>
      </c>
      <c r="G13" s="23">
        <v>33</v>
      </c>
      <c r="H13" s="16">
        <v>16.420000000000002</v>
      </c>
      <c r="I13" s="16">
        <v>24.69</v>
      </c>
      <c r="J13" s="23">
        <v>17.75</v>
      </c>
      <c r="K13" s="16">
        <v>113234</v>
      </c>
      <c r="L13" s="23">
        <v>33</v>
      </c>
      <c r="M13" s="16">
        <v>9.9</v>
      </c>
      <c r="N13" s="16">
        <v>2004.09</v>
      </c>
      <c r="O13" s="16">
        <v>319.11</v>
      </c>
      <c r="P13" s="16">
        <v>27.63</v>
      </c>
    </row>
    <row r="14" spans="1:16" x14ac:dyDescent="0.25">
      <c r="A14" s="3">
        <v>44077</v>
      </c>
      <c r="B14" s="17">
        <v>4316.93</v>
      </c>
      <c r="C14" s="17">
        <v>998.55</v>
      </c>
      <c r="D14" s="17">
        <v>56.48</v>
      </c>
      <c r="E14" s="17">
        <v>387.23</v>
      </c>
      <c r="F14" s="27">
        <v>160628</v>
      </c>
      <c r="G14" s="27">
        <v>32</v>
      </c>
      <c r="H14" s="17">
        <v>15.05</v>
      </c>
      <c r="I14" s="17">
        <v>30.87</v>
      </c>
      <c r="J14" s="17">
        <v>43.06</v>
      </c>
      <c r="K14" s="27">
        <v>80153</v>
      </c>
      <c r="L14" s="27">
        <v>32</v>
      </c>
      <c r="M14" s="17">
        <v>9.8000000000000007</v>
      </c>
      <c r="N14" s="17">
        <v>1741.26</v>
      </c>
      <c r="O14" s="17">
        <v>267.13</v>
      </c>
      <c r="P14" s="17">
        <v>37.4</v>
      </c>
    </row>
    <row r="15" spans="1:16" x14ac:dyDescent="0.25">
      <c r="A15" s="3">
        <v>44078</v>
      </c>
      <c r="B15" s="17">
        <v>2614.98</v>
      </c>
      <c r="C15" s="17">
        <v>1138.0899999999999</v>
      </c>
      <c r="D15" s="17">
        <v>72.319999999999993</v>
      </c>
      <c r="E15" s="17">
        <v>302.64</v>
      </c>
      <c r="F15" s="27">
        <v>122580</v>
      </c>
      <c r="G15" s="27">
        <v>44</v>
      </c>
      <c r="H15" s="17">
        <v>9.93</v>
      </c>
      <c r="I15" s="17">
        <v>31.8</v>
      </c>
      <c r="J15" s="17">
        <v>38.380000000000003</v>
      </c>
      <c r="K15" s="27">
        <v>93962</v>
      </c>
      <c r="L15" s="27">
        <v>44</v>
      </c>
      <c r="M15" s="17">
        <v>9.75</v>
      </c>
      <c r="N15" s="17">
        <v>3368.26</v>
      </c>
      <c r="O15" s="17">
        <v>317.83999999999997</v>
      </c>
      <c r="P15" s="17">
        <v>32</v>
      </c>
    </row>
    <row r="16" spans="1:16" x14ac:dyDescent="0.25">
      <c r="A16" s="3">
        <v>44079</v>
      </c>
      <c r="B16" s="17">
        <v>5161.34</v>
      </c>
      <c r="C16" s="17">
        <v>1034.0899999999999</v>
      </c>
      <c r="D16" s="17">
        <v>74.86</v>
      </c>
      <c r="E16" s="17">
        <v>575.76</v>
      </c>
      <c r="F16" s="27">
        <v>206422</v>
      </c>
      <c r="G16" s="27">
        <v>26</v>
      </c>
      <c r="H16" s="17">
        <v>18.72</v>
      </c>
      <c r="I16" s="17">
        <v>31</v>
      </c>
      <c r="J16" s="17">
        <v>36.590000000000003</v>
      </c>
      <c r="K16" s="27">
        <v>88375</v>
      </c>
      <c r="L16" s="27">
        <v>26</v>
      </c>
      <c r="M16" s="17">
        <v>11.13</v>
      </c>
      <c r="N16" s="17">
        <v>2509.29</v>
      </c>
      <c r="O16" s="17">
        <v>271.49</v>
      </c>
      <c r="P16" s="17">
        <v>34.700000000000003</v>
      </c>
    </row>
    <row r="17" spans="1:16" x14ac:dyDescent="0.25">
      <c r="F17" s="22"/>
      <c r="G17" s="22"/>
      <c r="K17" s="22"/>
      <c r="L17" s="22"/>
    </row>
    <row r="18" spans="1:16" x14ac:dyDescent="0.25">
      <c r="A18" s="1" t="s">
        <v>3</v>
      </c>
      <c r="B18" s="4">
        <v>2756.9</v>
      </c>
      <c r="C18" s="4">
        <v>847.7</v>
      </c>
      <c r="D18" s="4">
        <v>84.4</v>
      </c>
      <c r="E18" s="4">
        <v>398.4</v>
      </c>
      <c r="F18" s="4">
        <v>116993.1</v>
      </c>
      <c r="G18" s="4">
        <v>29.2</v>
      </c>
      <c r="H18" s="4">
        <v>12.7</v>
      </c>
      <c r="I18" s="4">
        <v>23</v>
      </c>
      <c r="J18" s="4">
        <v>27</v>
      </c>
      <c r="K18" s="4">
        <v>84332.6</v>
      </c>
      <c r="L18" s="4">
        <v>29.7</v>
      </c>
      <c r="M18" s="4">
        <v>9.1</v>
      </c>
      <c r="N18" s="4">
        <v>2014.7</v>
      </c>
      <c r="O18" s="4">
        <v>306.7</v>
      </c>
      <c r="P18" s="4">
        <v>26.6</v>
      </c>
    </row>
    <row r="19" spans="1:16" x14ac:dyDescent="0.25">
      <c r="A19" s="1" t="s">
        <v>4</v>
      </c>
      <c r="B19" s="4">
        <v>3451.6328571428571</v>
      </c>
      <c r="C19" s="4">
        <v>866.14285714285711</v>
      </c>
      <c r="D19" s="4">
        <v>68.702857142857141</v>
      </c>
      <c r="E19" s="4">
        <v>435.13</v>
      </c>
      <c r="F19" s="4">
        <v>142606.42857142858</v>
      </c>
      <c r="G19" s="4">
        <v>31.714285714285715</v>
      </c>
      <c r="H19" s="4">
        <v>15.251428571428571</v>
      </c>
      <c r="I19" s="4">
        <v>28.022857142857141</v>
      </c>
      <c r="J19" s="4">
        <v>29.338571428571431</v>
      </c>
      <c r="K19" s="4">
        <v>99238.428571428565</v>
      </c>
      <c r="L19" s="4">
        <v>31.714285714285715</v>
      </c>
      <c r="M19" s="4">
        <v>10.144285714285713</v>
      </c>
      <c r="N19" s="4">
        <v>2303.8871428571429</v>
      </c>
      <c r="O19" s="4">
        <v>310.72714285714289</v>
      </c>
      <c r="P19" s="4">
        <v>30.675714285714289</v>
      </c>
    </row>
    <row r="20" spans="1:16" x14ac:dyDescent="0.25">
      <c r="A20" s="1" t="s">
        <v>5</v>
      </c>
      <c r="B20" s="6">
        <f t="shared" ref="B20:G20" si="2">IFERROR(-(B18-B19)/B18,"")</f>
        <v>0.25199784436971129</v>
      </c>
      <c r="C20" s="6">
        <f t="shared" si="2"/>
        <v>2.1756349112725094E-2</v>
      </c>
      <c r="D20" s="6">
        <f t="shared" si="2"/>
        <v>-0.18598510494245099</v>
      </c>
      <c r="E20" s="6">
        <f t="shared" si="2"/>
        <v>9.2193775100401651E-2</v>
      </c>
      <c r="F20" s="6">
        <f t="shared" si="2"/>
        <v>0.2189302494884619</v>
      </c>
      <c r="G20" s="6">
        <f t="shared" si="2"/>
        <v>8.6105675146771102E-2</v>
      </c>
      <c r="H20" s="6">
        <f t="shared" ref="H20:O20" si="3">IFERROR(-(H18-H19)/H18,"")</f>
        <v>0.20089988751406077</v>
      </c>
      <c r="I20" s="6">
        <f>IFERROR((I18-I19)/I18,"")</f>
        <v>-0.2183850931677018</v>
      </c>
      <c r="J20" s="6">
        <f>IFERROR(-(J18-J19)/J18,"")</f>
        <v>8.6613756613756698E-2</v>
      </c>
      <c r="K20" s="6">
        <f>IFERROR(-(K18-K19)/K18,"")</f>
        <v>0.17675049235323656</v>
      </c>
      <c r="L20" s="6">
        <f>IFERROR(-(L18-L19)/L18,"")</f>
        <v>6.7821067821067879E-2</v>
      </c>
      <c r="M20" s="6">
        <f t="shared" si="3"/>
        <v>0.11475667189952897</v>
      </c>
      <c r="N20" s="6">
        <f t="shared" si="3"/>
        <v>0.14353856299059056</v>
      </c>
      <c r="O20" s="6">
        <f t="shared" si="3"/>
        <v>1.3130560342820037E-2</v>
      </c>
      <c r="P20" s="6">
        <f>IFERROR((P18-P19)/P18,"")</f>
        <v>-0.15322234156820627</v>
      </c>
    </row>
  </sheetData>
  <mergeCells count="2">
    <mergeCell ref="B4:H4"/>
    <mergeCell ref="J4:P4"/>
  </mergeCells>
  <conditionalFormatting sqref="B20">
    <cfRule type="cellIs" dxfId="17" priority="53" operator="greaterThanOrEqual">
      <formula>0</formula>
    </cfRule>
    <cfRule type="cellIs" dxfId="16" priority="54" operator="lessThan">
      <formula>0</formula>
    </cfRule>
  </conditionalFormatting>
  <conditionalFormatting sqref="C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5" priority="52" bottom="1" rank="1"/>
  </conditionalFormatting>
  <conditionalFormatting sqref="D7:D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G8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7:H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L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ellIs" dxfId="14" priority="39" operator="lessThan">
      <formula>0</formula>
    </cfRule>
    <cfRule type="cellIs" dxfId="13" priority="50" operator="greaterThanOrEqual">
      <formula>0</formula>
    </cfRule>
  </conditionalFormatting>
  <conditionalFormatting sqref="D20:H20 J20:N20">
    <cfRule type="cellIs" dxfId="12" priority="49" operator="greaterThanOrEqual">
      <formula>0</formula>
    </cfRule>
  </conditionalFormatting>
  <conditionalFormatting sqref="E7:G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0">
    <cfRule type="cellIs" dxfId="11" priority="45" operator="lessThan">
      <formula>0</formula>
    </cfRule>
  </conditionalFormatting>
  <conditionalFormatting sqref="M20">
    <cfRule type="cellIs" dxfId="10" priority="44" operator="lessThan">
      <formula>0</formula>
    </cfRule>
  </conditionalFormatting>
  <conditionalFormatting sqref="J20:L20">
    <cfRule type="cellIs" dxfId="9" priority="43" operator="lessThan">
      <formula>0</formula>
    </cfRule>
  </conditionalFormatting>
  <conditionalFormatting sqref="H20">
    <cfRule type="cellIs" dxfId="8" priority="42" operator="lessThan">
      <formula>0</formula>
    </cfRule>
  </conditionalFormatting>
  <conditionalFormatting sqref="E20:G20">
    <cfRule type="cellIs" dxfId="7" priority="41" operator="lessThan">
      <formula>0</formula>
    </cfRule>
  </conditionalFormatting>
  <conditionalFormatting sqref="D20">
    <cfRule type="cellIs" dxfId="6" priority="40" operator="lessThan">
      <formula>0</formula>
    </cfRule>
  </conditionalFormatting>
  <conditionalFormatting sqref="B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C8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B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:L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L8">
    <cfRule type="colorScale" priority="19">
      <colorScale>
        <cfvo type="min"/>
        <cfvo type="max"/>
        <color rgb="FFFFEF9C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7:G8">
    <cfRule type="colorScale" priority="20">
      <colorScale>
        <cfvo type="min"/>
        <cfvo type="max"/>
        <color rgb="FFFFEF9C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7:E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ellIs" dxfId="5" priority="16" operator="greaterThanOrEqual">
      <formula>0</formula>
    </cfRule>
  </conditionalFormatting>
  <conditionalFormatting sqref="I20">
    <cfRule type="cellIs" dxfId="4" priority="15" operator="lessThan">
      <formula>0</formula>
    </cfRule>
  </conditionalFormatting>
  <conditionalFormatting sqref="I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">
    <cfRule type="cellIs" dxfId="3" priority="10" operator="greaterThanOrEqual">
      <formula>0</formula>
    </cfRule>
  </conditionalFormatting>
  <conditionalFormatting sqref="O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">
    <cfRule type="cellIs" dxfId="2" priority="9" operator="lessThan">
      <formula>0</formula>
    </cfRule>
  </conditionalFormatting>
  <conditionalFormatting sqref="P7:P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">
    <cfRule type="cellIs" dxfId="1" priority="6" operator="greaterThanOrEqual">
      <formula>0</formula>
    </cfRule>
  </conditionalFormatting>
  <conditionalFormatting sqref="P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">
    <cfRule type="cellIs" dxfId="0" priority="5" operator="lessThan">
      <formula>0</formula>
    </cfRule>
  </conditionalFormatting>
  <conditionalFormatting sqref="G7:G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1:W45"/>
  <sheetViews>
    <sheetView zoomScale="80" zoomScaleNormal="80" workbookViewId="0">
      <selection activeCell="R29" sqref="R29"/>
    </sheetView>
  </sheetViews>
  <sheetFormatPr defaultColWidth="9.140625" defaultRowHeight="15" x14ac:dyDescent="0.25"/>
  <cols>
    <col min="1" max="1" width="25.42578125" style="34" bestFit="1" customWidth="1"/>
    <col min="2" max="2" width="14.85546875" style="33" bestFit="1" customWidth="1"/>
    <col min="3" max="3" width="12.140625" style="33" bestFit="1" customWidth="1"/>
    <col min="4" max="4" width="8.85546875" style="33" customWidth="1"/>
    <col min="5" max="5" width="10.28515625" style="33" customWidth="1"/>
    <col min="6" max="6" width="19.42578125" style="33" customWidth="1"/>
    <col min="7" max="7" width="9.7109375" style="33" customWidth="1"/>
    <col min="8" max="8" width="7.42578125" style="33" customWidth="1"/>
    <col min="9" max="9" width="8.42578125" style="33" customWidth="1"/>
    <col min="10" max="10" width="11" style="33" customWidth="1"/>
    <col min="11" max="11" width="14.28515625" style="33" customWidth="1"/>
    <col min="12" max="12" width="10" style="33" customWidth="1"/>
    <col min="13" max="13" width="7.28515625" style="33" customWidth="1"/>
    <col min="14" max="14" width="10.140625" style="33" customWidth="1"/>
    <col min="15" max="15" width="11.42578125" style="33" customWidth="1"/>
    <col min="16" max="16" width="8.28515625" style="33" customWidth="1"/>
    <col min="17" max="17" width="9.140625" style="33"/>
    <col min="18" max="18" width="12" style="33" bestFit="1" customWidth="1"/>
    <col min="19" max="20" width="9.140625" style="33"/>
    <col min="21" max="21" width="9.7109375" style="33" bestFit="1" customWidth="1"/>
    <col min="22" max="16384" width="9.140625" style="33"/>
  </cols>
  <sheetData>
    <row r="1" spans="1:23" x14ac:dyDescent="0.25">
      <c r="S1" s="81"/>
      <c r="T1" s="81"/>
      <c r="U1" s="81"/>
      <c r="V1" s="81"/>
    </row>
    <row r="3" spans="1:23" ht="15.75" x14ac:dyDescent="0.25">
      <c r="Q3" s="74"/>
    </row>
    <row r="5" spans="1:23" x14ac:dyDescent="0.25">
      <c r="B5" s="88"/>
      <c r="C5" s="88"/>
      <c r="D5" s="88"/>
    </row>
    <row r="7" spans="1:23" x14ac:dyDescent="0.25">
      <c r="A7" s="32"/>
      <c r="B7" s="82" t="s">
        <v>13</v>
      </c>
      <c r="C7" s="83"/>
      <c r="D7" s="83"/>
      <c r="E7" s="83"/>
      <c r="F7" s="83"/>
      <c r="G7" s="83"/>
      <c r="H7" s="83"/>
      <c r="I7" s="83"/>
      <c r="J7" s="85" t="s">
        <v>14</v>
      </c>
      <c r="K7" s="86"/>
      <c r="L7" s="86"/>
      <c r="M7" s="86"/>
      <c r="N7" s="86"/>
      <c r="O7" s="86"/>
      <c r="P7" s="87"/>
      <c r="R7" s="34"/>
    </row>
    <row r="8" spans="1:23" x14ac:dyDescent="0.2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ht="17.25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81"/>
      <c r="T9" s="81"/>
      <c r="U9" s="81"/>
      <c r="V9" s="81"/>
      <c r="W9" s="81"/>
    </row>
    <row r="10" spans="1:23" ht="17.25" x14ac:dyDescent="0.35">
      <c r="A10" s="35" t="s">
        <v>1</v>
      </c>
      <c r="B10" s="40">
        <f>IFERROR(AVERAGE(B$14:B$17),"")</f>
        <v>1548.3749999999998</v>
      </c>
      <c r="C10" s="40">
        <f t="shared" ref="C10:P10" si="0">IFERROR(AVERAGE(C$14:C$17),"")</f>
        <v>796</v>
      </c>
      <c r="D10" s="40">
        <f t="shared" si="0"/>
        <v>56.050000000000004</v>
      </c>
      <c r="E10" s="40">
        <f t="shared" si="0"/>
        <v>230.52499999999998</v>
      </c>
      <c r="F10" s="40">
        <f t="shared" si="0"/>
        <v>88794</v>
      </c>
      <c r="G10" s="40">
        <f t="shared" si="0"/>
        <v>23.349999999999998</v>
      </c>
      <c r="H10" s="40">
        <f t="shared" si="0"/>
        <v>10.375</v>
      </c>
      <c r="I10" s="53">
        <f t="shared" si="0"/>
        <v>29.125</v>
      </c>
      <c r="J10" s="55">
        <f t="shared" si="0"/>
        <v>39.174999999999997</v>
      </c>
      <c r="K10" s="40">
        <f t="shared" si="0"/>
        <v>91542</v>
      </c>
      <c r="L10" s="40">
        <f t="shared" si="0"/>
        <v>29.075000000000003</v>
      </c>
      <c r="M10" s="40">
        <f t="shared" si="0"/>
        <v>8.1750000000000007</v>
      </c>
      <c r="N10" s="40">
        <f t="shared" si="0"/>
        <v>1705.8249999999998</v>
      </c>
      <c r="O10" s="40">
        <f t="shared" si="0"/>
        <v>242.05</v>
      </c>
      <c r="P10" s="40">
        <f t="shared" si="0"/>
        <v>35.174999999999997</v>
      </c>
      <c r="Q10" s="34"/>
      <c r="R10" s="34"/>
    </row>
    <row r="11" spans="1:23" ht="17.25" x14ac:dyDescent="0.35">
      <c r="A11" s="35" t="s">
        <v>2</v>
      </c>
      <c r="B11" s="40">
        <f t="shared" ref="B11:P11" si="1">IFERROR(AVERAGE(B$18:B$20),"")</f>
        <v>2851.9333333333329</v>
      </c>
      <c r="C11" s="40">
        <f t="shared" si="1"/>
        <v>821.4666666666667</v>
      </c>
      <c r="D11" s="40">
        <f t="shared" si="1"/>
        <v>75.133333333333326</v>
      </c>
      <c r="E11" s="40">
        <f t="shared" si="1"/>
        <v>350.66666666666669</v>
      </c>
      <c r="F11" s="40">
        <f t="shared" si="1"/>
        <v>118610.33333333333</v>
      </c>
      <c r="G11" s="40">
        <f t="shared" si="1"/>
        <v>26</v>
      </c>
      <c r="H11" s="40">
        <f t="shared" si="1"/>
        <v>14.4</v>
      </c>
      <c r="I11" s="53">
        <f t="shared" si="1"/>
        <v>26.966666666666669</v>
      </c>
      <c r="J11" s="55">
        <f t="shared" si="1"/>
        <v>34.4</v>
      </c>
      <c r="K11" s="40">
        <f t="shared" si="1"/>
        <v>96051.333333333328</v>
      </c>
      <c r="L11" s="40">
        <f t="shared" si="1"/>
        <v>23.666666666666668</v>
      </c>
      <c r="M11" s="40">
        <f t="shared" si="1"/>
        <v>8.7000000000000011</v>
      </c>
      <c r="N11" s="40">
        <f t="shared" si="1"/>
        <v>1822.1666666666667</v>
      </c>
      <c r="O11" s="40">
        <f t="shared" si="1"/>
        <v>208.5333333333333</v>
      </c>
      <c r="P11" s="40">
        <f t="shared" si="1"/>
        <v>42.233333333333334</v>
      </c>
      <c r="Q11" s="34"/>
      <c r="R11" s="36"/>
      <c r="S11" s="70"/>
    </row>
    <row r="12" spans="1:23" ht="17.25" x14ac:dyDescent="0.35">
      <c r="A12" s="35" t="s">
        <v>27</v>
      </c>
      <c r="B12" s="48">
        <f t="shared" ref="B12:P12" si="2">IFERROR(ABS(B$10-B$11), "")</f>
        <v>1303.5583333333332</v>
      </c>
      <c r="C12" s="48">
        <f t="shared" si="2"/>
        <v>25.466666666666697</v>
      </c>
      <c r="D12" s="48">
        <f t="shared" si="2"/>
        <v>19.083333333333321</v>
      </c>
      <c r="E12" s="48">
        <f t="shared" si="2"/>
        <v>120.14166666666671</v>
      </c>
      <c r="F12" s="48">
        <f t="shared" si="2"/>
        <v>29816.333333333328</v>
      </c>
      <c r="G12" s="48">
        <f t="shared" si="2"/>
        <v>2.6500000000000021</v>
      </c>
      <c r="H12" s="48">
        <f t="shared" si="2"/>
        <v>4.0250000000000004</v>
      </c>
      <c r="I12" s="62">
        <f t="shared" si="2"/>
        <v>2.1583333333333314</v>
      </c>
      <c r="J12" s="64">
        <f t="shared" si="2"/>
        <v>4.7749999999999986</v>
      </c>
      <c r="K12" s="48">
        <f t="shared" si="2"/>
        <v>4509.3333333333285</v>
      </c>
      <c r="L12" s="48">
        <f t="shared" si="2"/>
        <v>5.408333333333335</v>
      </c>
      <c r="M12" s="48">
        <f t="shared" si="2"/>
        <v>0.52500000000000036</v>
      </c>
      <c r="N12" s="48">
        <f t="shared" si="2"/>
        <v>116.34166666666692</v>
      </c>
      <c r="O12" s="48">
        <f t="shared" si="2"/>
        <v>33.516666666666708</v>
      </c>
      <c r="P12" s="48">
        <f t="shared" si="2"/>
        <v>7.0583333333333371</v>
      </c>
      <c r="Q12" s="76"/>
      <c r="R12" s="34"/>
    </row>
    <row r="13" spans="1:23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ht="17.25" x14ac:dyDescent="0.35">
      <c r="A14" s="51">
        <v>44087</v>
      </c>
      <c r="B14" s="42">
        <v>1434.8</v>
      </c>
      <c r="C14" s="42">
        <v>857.3</v>
      </c>
      <c r="D14" s="42">
        <v>58.5</v>
      </c>
      <c r="E14" s="42">
        <v>212.6</v>
      </c>
      <c r="F14" s="43">
        <v>78144</v>
      </c>
      <c r="G14" s="42">
        <v>26.8</v>
      </c>
      <c r="H14" s="42">
        <v>8.5</v>
      </c>
      <c r="I14" s="56">
        <v>29</v>
      </c>
      <c r="J14" s="59">
        <v>43</v>
      </c>
      <c r="K14" s="43">
        <v>110809</v>
      </c>
      <c r="L14" s="42">
        <v>29.4</v>
      </c>
      <c r="M14" s="42">
        <v>9.1</v>
      </c>
      <c r="N14" s="42">
        <v>1427.1</v>
      </c>
      <c r="O14" s="42">
        <v>262.8</v>
      </c>
      <c r="P14" s="42">
        <v>29</v>
      </c>
      <c r="Q14" s="34"/>
      <c r="U14" s="38"/>
    </row>
    <row r="15" spans="1:23" ht="17.25" x14ac:dyDescent="0.35">
      <c r="A15" s="51">
        <v>44088</v>
      </c>
      <c r="B15" s="42">
        <v>1239.9000000000001</v>
      </c>
      <c r="C15" s="42">
        <v>807.6</v>
      </c>
      <c r="D15" s="42">
        <v>56.9</v>
      </c>
      <c r="E15" s="42">
        <v>238.2</v>
      </c>
      <c r="F15" s="43">
        <v>94609</v>
      </c>
      <c r="G15" s="42">
        <v>23</v>
      </c>
      <c r="H15" s="42">
        <v>10.9</v>
      </c>
      <c r="I15" s="56">
        <v>31.6</v>
      </c>
      <c r="J15" s="59">
        <v>41.3</v>
      </c>
      <c r="K15" s="43">
        <v>103110</v>
      </c>
      <c r="L15" s="42">
        <v>32.6</v>
      </c>
      <c r="M15" s="42">
        <v>8.5</v>
      </c>
      <c r="N15" s="42">
        <v>1894.8</v>
      </c>
      <c r="O15" s="42">
        <v>277.2</v>
      </c>
      <c r="P15" s="42">
        <v>34.799999999999997</v>
      </c>
      <c r="Q15" s="34"/>
      <c r="R15" s="38"/>
      <c r="U15" s="38"/>
    </row>
    <row r="16" spans="1:23" ht="17.25" x14ac:dyDescent="0.35">
      <c r="A16" s="51">
        <v>44089</v>
      </c>
      <c r="B16" s="42">
        <v>1636.1</v>
      </c>
      <c r="C16" s="42">
        <v>739.5</v>
      </c>
      <c r="D16" s="42">
        <v>48.2</v>
      </c>
      <c r="E16" s="42">
        <v>262.8</v>
      </c>
      <c r="F16" s="43">
        <v>103607</v>
      </c>
      <c r="G16" s="42">
        <v>20.399999999999999</v>
      </c>
      <c r="H16" s="42">
        <v>12.8</v>
      </c>
      <c r="I16" s="56">
        <v>33.299999999999997</v>
      </c>
      <c r="J16" s="59">
        <v>34.6</v>
      </c>
      <c r="K16" s="43">
        <v>84920</v>
      </c>
      <c r="L16" s="42">
        <v>27.2</v>
      </c>
      <c r="M16" s="42">
        <v>8.4</v>
      </c>
      <c r="N16" s="42">
        <v>2103.9</v>
      </c>
      <c r="O16" s="42">
        <v>248.5</v>
      </c>
      <c r="P16" s="42">
        <v>42</v>
      </c>
      <c r="Q16" s="34"/>
      <c r="R16" s="38"/>
      <c r="U16" s="38"/>
    </row>
    <row r="17" spans="1:21" ht="15.75" customHeight="1" x14ac:dyDescent="0.35">
      <c r="A17" s="51">
        <v>44090</v>
      </c>
      <c r="B17" s="46">
        <v>1882.7</v>
      </c>
      <c r="C17" s="46">
        <v>779.6</v>
      </c>
      <c r="D17" s="46">
        <v>60.6</v>
      </c>
      <c r="E17" s="46">
        <v>208.5</v>
      </c>
      <c r="F17" s="47">
        <v>78816</v>
      </c>
      <c r="G17" s="46">
        <v>23.2</v>
      </c>
      <c r="H17" s="46">
        <v>9.3000000000000007</v>
      </c>
      <c r="I17" s="57">
        <v>22.6</v>
      </c>
      <c r="J17" s="60">
        <v>37.799999999999997</v>
      </c>
      <c r="K17" s="47">
        <v>67329</v>
      </c>
      <c r="L17" s="46">
        <v>27.1</v>
      </c>
      <c r="M17" s="46">
        <v>6.7</v>
      </c>
      <c r="N17" s="46">
        <v>1397.5</v>
      </c>
      <c r="O17" s="46">
        <v>179.7</v>
      </c>
      <c r="P17" s="46">
        <v>34.9</v>
      </c>
      <c r="Q17" s="34"/>
      <c r="R17" s="38"/>
      <c r="U17" s="38"/>
    </row>
    <row r="18" spans="1:21" ht="15" customHeight="1" x14ac:dyDescent="0.35">
      <c r="A18" s="51">
        <v>44091</v>
      </c>
      <c r="B18" s="44">
        <v>2985.3</v>
      </c>
      <c r="C18" s="44">
        <v>1072.5</v>
      </c>
      <c r="D18" s="44">
        <v>70.2</v>
      </c>
      <c r="E18" s="44">
        <v>308.7</v>
      </c>
      <c r="F18" s="45">
        <v>120357</v>
      </c>
      <c r="G18" s="44">
        <v>28.6</v>
      </c>
      <c r="H18" s="44">
        <v>10.7</v>
      </c>
      <c r="I18" s="58">
        <v>25.4</v>
      </c>
      <c r="J18" s="61">
        <v>40.700000000000003</v>
      </c>
      <c r="K18" s="45">
        <v>78837</v>
      </c>
      <c r="L18" s="44">
        <v>27.2</v>
      </c>
      <c r="M18" s="44">
        <v>6.7</v>
      </c>
      <c r="N18" s="44">
        <v>1139.8</v>
      </c>
      <c r="O18" s="44">
        <v>184.2</v>
      </c>
      <c r="P18" s="44">
        <v>38.5</v>
      </c>
      <c r="Q18" s="34"/>
      <c r="R18" s="38"/>
      <c r="U18" s="38"/>
    </row>
    <row r="19" spans="1:21" ht="17.25" x14ac:dyDescent="0.35">
      <c r="A19" s="51">
        <v>44092</v>
      </c>
      <c r="B19" s="44">
        <v>2824.7</v>
      </c>
      <c r="C19" s="44">
        <v>678.4</v>
      </c>
      <c r="D19" s="44">
        <v>97</v>
      </c>
      <c r="E19" s="44">
        <v>411</v>
      </c>
      <c r="F19" s="45">
        <v>116456</v>
      </c>
      <c r="G19" s="44">
        <v>27.3</v>
      </c>
      <c r="H19" s="44">
        <v>16.7</v>
      </c>
      <c r="I19" s="58">
        <v>22.1</v>
      </c>
      <c r="J19" s="61">
        <v>33.799999999999997</v>
      </c>
      <c r="K19" s="45">
        <v>95447</v>
      </c>
      <c r="L19" s="44">
        <v>24.8</v>
      </c>
      <c r="M19" s="44">
        <v>7.8</v>
      </c>
      <c r="N19" s="44">
        <v>1675.3</v>
      </c>
      <c r="O19" s="44">
        <v>199.1</v>
      </c>
      <c r="P19" s="44">
        <v>44.7</v>
      </c>
      <c r="Q19" s="34"/>
      <c r="R19" s="38"/>
      <c r="U19" s="38"/>
    </row>
    <row r="20" spans="1:21" ht="17.25" x14ac:dyDescent="0.35">
      <c r="A20" s="51">
        <v>44093</v>
      </c>
      <c r="B20" s="44">
        <v>2745.8</v>
      </c>
      <c r="C20" s="44">
        <v>713.5</v>
      </c>
      <c r="D20" s="44">
        <v>58.2</v>
      </c>
      <c r="E20" s="44">
        <v>332.3</v>
      </c>
      <c r="F20" s="45">
        <v>119018</v>
      </c>
      <c r="G20" s="44">
        <v>22.1</v>
      </c>
      <c r="H20" s="44">
        <v>15.8</v>
      </c>
      <c r="I20" s="58">
        <v>33.4</v>
      </c>
      <c r="J20" s="61">
        <v>28.7</v>
      </c>
      <c r="K20" s="45">
        <v>113870</v>
      </c>
      <c r="L20" s="44">
        <v>19</v>
      </c>
      <c r="M20" s="44">
        <v>11.6</v>
      </c>
      <c r="N20" s="44">
        <v>2651.4</v>
      </c>
      <c r="O20" s="44">
        <v>242.3</v>
      </c>
      <c r="P20" s="44">
        <v>43.5</v>
      </c>
      <c r="Q20" s="34"/>
      <c r="R20" s="38"/>
      <c r="U20" s="38"/>
    </row>
    <row r="21" spans="1:21" ht="17.25" x14ac:dyDescent="0.35">
      <c r="A21" s="35"/>
      <c r="B21" s="76"/>
      <c r="C21" s="76"/>
      <c r="D21" s="76"/>
      <c r="E21" s="76"/>
      <c r="F21" s="37"/>
      <c r="G21" s="76"/>
      <c r="H21" s="76"/>
      <c r="I21" s="76"/>
      <c r="J21" s="76"/>
      <c r="K21" s="37"/>
      <c r="L21" s="76"/>
      <c r="M21" s="76"/>
      <c r="N21" s="76"/>
      <c r="O21" s="76"/>
      <c r="P21" s="76"/>
      <c r="Q21" s="34"/>
      <c r="R21" s="38"/>
    </row>
    <row r="22" spans="1:21" ht="17.25" x14ac:dyDescent="0.35">
      <c r="A22" s="35" t="s">
        <v>3</v>
      </c>
      <c r="B22" s="48">
        <v>3451.6328571428571</v>
      </c>
      <c r="C22" s="48">
        <v>866.14285714285711</v>
      </c>
      <c r="D22" s="48">
        <v>68.702857142857141</v>
      </c>
      <c r="E22" s="48">
        <v>435.13</v>
      </c>
      <c r="F22" s="48">
        <v>142606.42857142858</v>
      </c>
      <c r="G22" s="48">
        <v>31.714285714285715</v>
      </c>
      <c r="H22" s="48">
        <v>15.251428571428571</v>
      </c>
      <c r="I22" s="62">
        <v>28.022857142857141</v>
      </c>
      <c r="J22" s="64">
        <v>29.338571428571431</v>
      </c>
      <c r="K22" s="48">
        <v>99238.428571428565</v>
      </c>
      <c r="L22" s="48">
        <v>31.714285714285715</v>
      </c>
      <c r="M22" s="48">
        <v>10.144285714285713</v>
      </c>
      <c r="N22" s="48">
        <v>2303.8871428571429</v>
      </c>
      <c r="O22" s="48">
        <v>310.72714285714289</v>
      </c>
      <c r="P22" s="48">
        <v>30.675714285714289</v>
      </c>
      <c r="Q22" s="34"/>
    </row>
    <row r="23" spans="1:21" ht="17.25" x14ac:dyDescent="0.35">
      <c r="A23" s="35" t="s">
        <v>4</v>
      </c>
      <c r="B23" s="48">
        <f t="shared" ref="B23:N23" si="3">IFERROR(AVERAGE(B14:B20),"")</f>
        <v>2107.042857142857</v>
      </c>
      <c r="C23" s="48">
        <f>IFERROR(AVERAGE(C14:C20),"")</f>
        <v>806.91428571428571</v>
      </c>
      <c r="D23" s="48">
        <f>IFERROR(AVERAGE(D14:D20),"")</f>
        <v>64.228571428571428</v>
      </c>
      <c r="E23" s="48">
        <f>IFERROR(AVERAGE(E14:E20),"")</f>
        <v>282.01428571428568</v>
      </c>
      <c r="F23" s="48">
        <f t="shared" si="3"/>
        <v>101572.42857142857</v>
      </c>
      <c r="G23" s="48">
        <f t="shared" si="3"/>
        <v>24.485714285714288</v>
      </c>
      <c r="H23" s="48">
        <f t="shared" si="3"/>
        <v>12.1</v>
      </c>
      <c r="I23" s="62">
        <f t="shared" si="3"/>
        <v>28.2</v>
      </c>
      <c r="J23" s="64">
        <f>IFERROR(AVERAGE(J14:J20),"")</f>
        <v>37.128571428571426</v>
      </c>
      <c r="K23" s="48">
        <f>IFERROR(AVERAGE(K14:K20),"")</f>
        <v>93474.571428571435</v>
      </c>
      <c r="L23" s="48">
        <f>IFERROR(AVERAGE(L14:L20),"")</f>
        <v>26.75714285714286</v>
      </c>
      <c r="M23" s="48">
        <f>IFERROR(AVERAGE(M14:M20),"")</f>
        <v>8.4</v>
      </c>
      <c r="N23" s="48">
        <f t="shared" si="3"/>
        <v>1755.6857142857141</v>
      </c>
      <c r="O23" s="48">
        <f>IFERROR(AVERAGE(O14:O20),"")</f>
        <v>227.68571428571428</v>
      </c>
      <c r="P23" s="48">
        <f>IFERROR(AVERAGE(P14:P20),"")</f>
        <v>38.199999999999996</v>
      </c>
      <c r="Q23" s="34"/>
    </row>
    <row r="24" spans="1:21" ht="17.25" x14ac:dyDescent="0.35">
      <c r="A24" s="35" t="s">
        <v>5</v>
      </c>
      <c r="B24" s="41">
        <f t="shared" ref="B24:P24" si="4">IFERROR(-(B22-B23)/B22,"")</f>
        <v>-0.38955186013410636</v>
      </c>
      <c r="C24" s="41">
        <f t="shared" si="4"/>
        <v>-6.8381989114299824E-2</v>
      </c>
      <c r="D24" s="41">
        <f t="shared" si="4"/>
        <v>-6.5125176744572896E-2</v>
      </c>
      <c r="E24" s="41">
        <f t="shared" si="4"/>
        <v>-0.3518849867527275</v>
      </c>
      <c r="F24" s="41">
        <f t="shared" si="4"/>
        <v>-0.28774298894559963</v>
      </c>
      <c r="G24" s="41">
        <f t="shared" si="4"/>
        <v>-0.2279279279279279</v>
      </c>
      <c r="H24" s="41">
        <f t="shared" si="4"/>
        <v>-0.20663169726489322</v>
      </c>
      <c r="I24" s="63">
        <f t="shared" si="4"/>
        <v>6.3213703099510889E-3</v>
      </c>
      <c r="J24" s="65">
        <f t="shared" si="4"/>
        <v>0.26552076739543246</v>
      </c>
      <c r="K24" s="41">
        <f t="shared" si="4"/>
        <v>-5.8080898960512009E-2</v>
      </c>
      <c r="L24" s="41">
        <f t="shared" si="4"/>
        <v>-0.15630630630630624</v>
      </c>
      <c r="M24" s="41">
        <f t="shared" si="4"/>
        <v>-0.17194761301225167</v>
      </c>
      <c r="N24" s="41">
        <f t="shared" si="4"/>
        <v>-0.23794630317333262</v>
      </c>
      <c r="O24" s="41">
        <f t="shared" si="4"/>
        <v>-0.26724871154756824</v>
      </c>
      <c r="P24" s="41">
        <f t="shared" si="4"/>
        <v>0.24528477623061493</v>
      </c>
    </row>
    <row r="25" spans="1:21" x14ac:dyDescent="0.25">
      <c r="B25" s="73" t="s">
        <v>28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</row>
    <row r="26" spans="1:21" x14ac:dyDescent="0.2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</row>
    <row r="27" spans="1:21" x14ac:dyDescent="0.25">
      <c r="A27" s="32"/>
      <c r="B27" s="82" t="s">
        <v>13</v>
      </c>
      <c r="C27" s="83"/>
      <c r="D27" s="83"/>
      <c r="E27" s="83"/>
      <c r="F27" s="83"/>
      <c r="G27" s="83"/>
      <c r="H27" s="83"/>
      <c r="I27" s="84"/>
      <c r="J27" s="85" t="s">
        <v>14</v>
      </c>
      <c r="K27" s="86"/>
      <c r="L27" s="86"/>
      <c r="M27" s="86"/>
      <c r="N27" s="86"/>
      <c r="O27" s="86"/>
      <c r="P27" s="87"/>
    </row>
    <row r="28" spans="1:21" x14ac:dyDescent="0.2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ht="17.25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ht="17.25" x14ac:dyDescent="0.35">
      <c r="A30" s="35" t="s">
        <v>1</v>
      </c>
      <c r="B30" s="40">
        <f t="shared" ref="B30:P30" si="5">IFERROR(AVERAGE(B$34:B$36),"")</f>
        <v>1436.9333333333332</v>
      </c>
      <c r="C30" s="40">
        <f t="shared" si="5"/>
        <v>801.4666666666667</v>
      </c>
      <c r="D30" s="40">
        <f t="shared" si="5"/>
        <v>54.533333333333339</v>
      </c>
      <c r="E30" s="40">
        <f t="shared" si="5"/>
        <v>237.86666666666665</v>
      </c>
      <c r="F30" s="40">
        <f t="shared" si="5"/>
        <v>92120</v>
      </c>
      <c r="G30" s="40">
        <f t="shared" si="5"/>
        <v>23.399999999999995</v>
      </c>
      <c r="H30" s="40">
        <f t="shared" si="5"/>
        <v>10.733333333333334</v>
      </c>
      <c r="I30" s="53">
        <f t="shared" si="5"/>
        <v>31.3</v>
      </c>
      <c r="J30" s="55">
        <f t="shared" si="5"/>
        <v>39.633333333333333</v>
      </c>
      <c r="K30" s="40">
        <f t="shared" si="5"/>
        <v>99613</v>
      </c>
      <c r="L30" s="40">
        <f t="shared" si="5"/>
        <v>29.733333333333334</v>
      </c>
      <c r="M30" s="40">
        <f t="shared" si="5"/>
        <v>8.6666666666666661</v>
      </c>
      <c r="N30" s="40">
        <f t="shared" si="5"/>
        <v>1808.5999999999997</v>
      </c>
      <c r="O30" s="40">
        <f t="shared" si="5"/>
        <v>262.83333333333331</v>
      </c>
      <c r="P30" s="40">
        <f t="shared" si="5"/>
        <v>35.266666666666666</v>
      </c>
      <c r="Q30" s="34"/>
    </row>
    <row r="31" spans="1:21" ht="17.25" x14ac:dyDescent="0.35">
      <c r="A31" s="35" t="s">
        <v>2</v>
      </c>
      <c r="B31" s="40">
        <f>IFERROR(AVERAGE(B$37:B$40),"")</f>
        <v>2609.625</v>
      </c>
      <c r="C31" s="40">
        <f t="shared" ref="C31:P31" si="6">IFERROR(AVERAGE(C$37:C$40),"")</f>
        <v>811</v>
      </c>
      <c r="D31" s="40">
        <f t="shared" si="6"/>
        <v>71.5</v>
      </c>
      <c r="E31" s="40">
        <f t="shared" si="6"/>
        <v>315.125</v>
      </c>
      <c r="F31" s="40">
        <f t="shared" si="6"/>
        <v>108661.75</v>
      </c>
      <c r="G31" s="40">
        <f t="shared" si="6"/>
        <v>25.299999999999997</v>
      </c>
      <c r="H31" s="40">
        <f t="shared" si="6"/>
        <v>13.125</v>
      </c>
      <c r="I31" s="53">
        <f t="shared" si="6"/>
        <v>25.875</v>
      </c>
      <c r="J31" s="55">
        <f t="shared" si="6"/>
        <v>35.25</v>
      </c>
      <c r="K31" s="40">
        <f t="shared" si="6"/>
        <v>88870.75</v>
      </c>
      <c r="L31" s="40">
        <f t="shared" si="6"/>
        <v>24.524999999999999</v>
      </c>
      <c r="M31" s="40">
        <f t="shared" si="6"/>
        <v>8.1999999999999993</v>
      </c>
      <c r="N31" s="40">
        <f t="shared" si="6"/>
        <v>1716</v>
      </c>
      <c r="O31" s="40">
        <f t="shared" si="6"/>
        <v>201.32499999999999</v>
      </c>
      <c r="P31" s="40">
        <f t="shared" si="6"/>
        <v>40.400000000000006</v>
      </c>
      <c r="Q31" s="34"/>
    </row>
    <row r="32" spans="1:21" ht="17.25" x14ac:dyDescent="0.35">
      <c r="A32" s="35" t="s">
        <v>27</v>
      </c>
      <c r="B32" s="48">
        <f t="shared" ref="B32:P32" si="7">IFERROR(ABS(B$31-B$30), "")</f>
        <v>1172.6916666666668</v>
      </c>
      <c r="C32" s="48">
        <f t="shared" si="7"/>
        <v>9.533333333333303</v>
      </c>
      <c r="D32" s="48">
        <f t="shared" si="7"/>
        <v>16.966666666666661</v>
      </c>
      <c r="E32" s="48">
        <f t="shared" si="7"/>
        <v>77.258333333333354</v>
      </c>
      <c r="F32" s="48">
        <f t="shared" si="7"/>
        <v>16541.75</v>
      </c>
      <c r="G32" s="48">
        <f t="shared" si="7"/>
        <v>1.9000000000000021</v>
      </c>
      <c r="H32" s="48">
        <f t="shared" si="7"/>
        <v>2.3916666666666657</v>
      </c>
      <c r="I32" s="62">
        <f t="shared" si="7"/>
        <v>5.4250000000000007</v>
      </c>
      <c r="J32" s="64">
        <f t="shared" si="7"/>
        <v>4.3833333333333329</v>
      </c>
      <c r="K32" s="48">
        <f t="shared" si="7"/>
        <v>10742.25</v>
      </c>
      <c r="L32" s="48">
        <f t="shared" si="7"/>
        <v>5.2083333333333357</v>
      </c>
      <c r="M32" s="48">
        <f t="shared" si="7"/>
        <v>0.46666666666666679</v>
      </c>
      <c r="N32" s="48">
        <f t="shared" si="7"/>
        <v>92.599999999999682</v>
      </c>
      <c r="O32" s="48">
        <f t="shared" si="7"/>
        <v>61.508333333333326</v>
      </c>
      <c r="P32" s="48">
        <f t="shared" si="7"/>
        <v>5.13333333333334</v>
      </c>
      <c r="Q32" s="72"/>
    </row>
    <row r="33" spans="1:18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ht="17.25" x14ac:dyDescent="0.35">
      <c r="A34" s="51">
        <v>44087</v>
      </c>
      <c r="B34" s="42">
        <v>1434.8</v>
      </c>
      <c r="C34" s="42">
        <v>857.3</v>
      </c>
      <c r="D34" s="42">
        <v>58.5</v>
      </c>
      <c r="E34" s="42">
        <v>212.6</v>
      </c>
      <c r="F34" s="43">
        <v>78144</v>
      </c>
      <c r="G34" s="42">
        <v>26.8</v>
      </c>
      <c r="H34" s="42">
        <v>8.5</v>
      </c>
      <c r="I34" s="56">
        <v>29</v>
      </c>
      <c r="J34" s="59">
        <v>43</v>
      </c>
      <c r="K34" s="43">
        <v>110809</v>
      </c>
      <c r="L34" s="42">
        <v>29.4</v>
      </c>
      <c r="M34" s="42">
        <v>9.1</v>
      </c>
      <c r="N34" s="42">
        <v>1427.1</v>
      </c>
      <c r="O34" s="42">
        <v>262.8</v>
      </c>
      <c r="P34" s="42">
        <v>29</v>
      </c>
      <c r="Q34" s="34"/>
    </row>
    <row r="35" spans="1:18" ht="17.25" x14ac:dyDescent="0.35">
      <c r="A35" s="51">
        <v>44088</v>
      </c>
      <c r="B35" s="42">
        <v>1239.9000000000001</v>
      </c>
      <c r="C35" s="42">
        <v>807.6</v>
      </c>
      <c r="D35" s="42">
        <v>56.9</v>
      </c>
      <c r="E35" s="42">
        <v>238.2</v>
      </c>
      <c r="F35" s="43">
        <v>94609</v>
      </c>
      <c r="G35" s="42">
        <v>23</v>
      </c>
      <c r="H35" s="42">
        <v>10.9</v>
      </c>
      <c r="I35" s="56">
        <v>31.6</v>
      </c>
      <c r="J35" s="59">
        <v>41.3</v>
      </c>
      <c r="K35" s="43">
        <v>103110</v>
      </c>
      <c r="L35" s="42">
        <v>32.6</v>
      </c>
      <c r="M35" s="42">
        <v>8.5</v>
      </c>
      <c r="N35" s="42">
        <v>1894.8</v>
      </c>
      <c r="O35" s="42">
        <v>277.2</v>
      </c>
      <c r="P35" s="42">
        <v>34.799999999999997</v>
      </c>
      <c r="Q35" s="34"/>
    </row>
    <row r="36" spans="1:18" ht="17.25" x14ac:dyDescent="0.35">
      <c r="A36" s="51">
        <v>44089</v>
      </c>
      <c r="B36" s="42">
        <v>1636.1</v>
      </c>
      <c r="C36" s="42">
        <v>739.5</v>
      </c>
      <c r="D36" s="42">
        <v>48.2</v>
      </c>
      <c r="E36" s="42">
        <v>262.8</v>
      </c>
      <c r="F36" s="43">
        <v>103607</v>
      </c>
      <c r="G36" s="42">
        <v>20.399999999999999</v>
      </c>
      <c r="H36" s="42">
        <v>12.8</v>
      </c>
      <c r="I36" s="56">
        <v>33.299999999999997</v>
      </c>
      <c r="J36" s="59">
        <v>34.6</v>
      </c>
      <c r="K36" s="43">
        <v>84920</v>
      </c>
      <c r="L36" s="42">
        <v>27.2</v>
      </c>
      <c r="M36" s="42">
        <v>8.4</v>
      </c>
      <c r="N36" s="42">
        <v>2103.9</v>
      </c>
      <c r="O36" s="42">
        <v>248.5</v>
      </c>
      <c r="P36" s="42">
        <v>42</v>
      </c>
      <c r="Q36" s="34"/>
    </row>
    <row r="37" spans="1:18" ht="17.25" x14ac:dyDescent="0.35">
      <c r="A37" s="51">
        <v>44090</v>
      </c>
      <c r="B37" s="46">
        <v>1882.7</v>
      </c>
      <c r="C37" s="46">
        <v>779.6</v>
      </c>
      <c r="D37" s="46">
        <v>60.6</v>
      </c>
      <c r="E37" s="46">
        <v>208.5</v>
      </c>
      <c r="F37" s="47">
        <v>78816</v>
      </c>
      <c r="G37" s="46">
        <v>23.2</v>
      </c>
      <c r="H37" s="46">
        <v>9.3000000000000007</v>
      </c>
      <c r="I37" s="57">
        <v>22.6</v>
      </c>
      <c r="J37" s="60">
        <v>37.799999999999997</v>
      </c>
      <c r="K37" s="47">
        <v>67329</v>
      </c>
      <c r="L37" s="46">
        <v>27.1</v>
      </c>
      <c r="M37" s="46">
        <v>6.7</v>
      </c>
      <c r="N37" s="46">
        <v>1397.5</v>
      </c>
      <c r="O37" s="46">
        <v>179.7</v>
      </c>
      <c r="P37" s="46">
        <v>34.9</v>
      </c>
      <c r="Q37" s="34"/>
    </row>
    <row r="38" spans="1:18" ht="17.25" x14ac:dyDescent="0.35">
      <c r="A38" s="51">
        <v>44091</v>
      </c>
      <c r="B38" s="44">
        <v>2985.3</v>
      </c>
      <c r="C38" s="44">
        <v>1072.5</v>
      </c>
      <c r="D38" s="44">
        <v>70.2</v>
      </c>
      <c r="E38" s="44">
        <v>308.7</v>
      </c>
      <c r="F38" s="45">
        <v>120357</v>
      </c>
      <c r="G38" s="44">
        <v>28.6</v>
      </c>
      <c r="H38" s="44">
        <v>10.7</v>
      </c>
      <c r="I38" s="58">
        <v>25.4</v>
      </c>
      <c r="J38" s="61">
        <v>40.700000000000003</v>
      </c>
      <c r="K38" s="45">
        <v>78837</v>
      </c>
      <c r="L38" s="44">
        <v>27.2</v>
      </c>
      <c r="M38" s="44">
        <v>6.7</v>
      </c>
      <c r="N38" s="44">
        <v>1139.8</v>
      </c>
      <c r="O38" s="44">
        <v>184.2</v>
      </c>
      <c r="P38" s="44">
        <v>38.5</v>
      </c>
      <c r="Q38" s="34"/>
    </row>
    <row r="39" spans="1:18" ht="17.25" x14ac:dyDescent="0.35">
      <c r="A39" s="51">
        <v>44092</v>
      </c>
      <c r="B39" s="44">
        <v>2824.7</v>
      </c>
      <c r="C39" s="44">
        <v>678.4</v>
      </c>
      <c r="D39" s="44">
        <v>97</v>
      </c>
      <c r="E39" s="44">
        <v>411</v>
      </c>
      <c r="F39" s="45">
        <v>116456</v>
      </c>
      <c r="G39" s="44">
        <v>27.3</v>
      </c>
      <c r="H39" s="44">
        <v>16.7</v>
      </c>
      <c r="I39" s="58">
        <v>22.1</v>
      </c>
      <c r="J39" s="61">
        <v>33.799999999999997</v>
      </c>
      <c r="K39" s="45">
        <v>95447</v>
      </c>
      <c r="L39" s="44">
        <v>24.8</v>
      </c>
      <c r="M39" s="44">
        <v>7.8</v>
      </c>
      <c r="N39" s="44">
        <v>1675.3</v>
      </c>
      <c r="O39" s="44">
        <v>199.1</v>
      </c>
      <c r="P39" s="44">
        <v>44.7</v>
      </c>
      <c r="Q39" s="34"/>
    </row>
    <row r="40" spans="1:18" ht="17.25" x14ac:dyDescent="0.35">
      <c r="A40" s="51">
        <v>44093</v>
      </c>
      <c r="B40" s="44">
        <v>2745.8</v>
      </c>
      <c r="C40" s="44">
        <v>713.5</v>
      </c>
      <c r="D40" s="44">
        <v>58.2</v>
      </c>
      <c r="E40" s="44">
        <v>332.3</v>
      </c>
      <c r="F40" s="45">
        <v>119018</v>
      </c>
      <c r="G40" s="44">
        <v>22.1</v>
      </c>
      <c r="H40" s="44">
        <v>15.8</v>
      </c>
      <c r="I40" s="58">
        <v>33.4</v>
      </c>
      <c r="J40" s="61">
        <v>28.7</v>
      </c>
      <c r="K40" s="45">
        <v>113870</v>
      </c>
      <c r="L40" s="44">
        <v>19</v>
      </c>
      <c r="M40" s="44">
        <v>11.6</v>
      </c>
      <c r="N40" s="44">
        <v>2651.4</v>
      </c>
      <c r="O40" s="44">
        <v>242.3</v>
      </c>
      <c r="P40" s="44">
        <v>43.5</v>
      </c>
      <c r="Q40" s="34"/>
    </row>
    <row r="41" spans="1:18" ht="17.25" x14ac:dyDescent="0.35">
      <c r="A41" s="35"/>
      <c r="B41" s="76"/>
      <c r="C41" s="76"/>
      <c r="D41" s="76"/>
      <c r="E41" s="76"/>
      <c r="F41" s="37"/>
      <c r="G41" s="76"/>
      <c r="H41" s="76"/>
      <c r="I41" s="76"/>
      <c r="J41" s="76"/>
      <c r="K41" s="37"/>
      <c r="L41" s="76"/>
      <c r="M41" s="76"/>
      <c r="N41" s="76"/>
      <c r="O41" s="76"/>
      <c r="P41" s="76"/>
      <c r="Q41" s="34"/>
    </row>
    <row r="42" spans="1:18" ht="17.25" x14ac:dyDescent="0.35">
      <c r="A42" s="35" t="s">
        <v>3</v>
      </c>
      <c r="B42" s="48">
        <v>3451.6328571428571</v>
      </c>
      <c r="C42" s="48">
        <v>866.14285714285711</v>
      </c>
      <c r="D42" s="48">
        <v>68.702857142857141</v>
      </c>
      <c r="E42" s="48">
        <v>435.13</v>
      </c>
      <c r="F42" s="48">
        <v>142606.42857142858</v>
      </c>
      <c r="G42" s="48">
        <v>31.714285714285715</v>
      </c>
      <c r="H42" s="48">
        <v>15.251428571428571</v>
      </c>
      <c r="I42" s="62">
        <v>28.022857142857141</v>
      </c>
      <c r="J42" s="64">
        <v>29.338571428571431</v>
      </c>
      <c r="K42" s="48">
        <v>99238.428571428565</v>
      </c>
      <c r="L42" s="48">
        <v>31.714285714285715</v>
      </c>
      <c r="M42" s="48">
        <v>10.144285714285713</v>
      </c>
      <c r="N42" s="48">
        <v>2303.8871428571429</v>
      </c>
      <c r="O42" s="48">
        <v>310.72714285714289</v>
      </c>
      <c r="P42" s="48">
        <v>30.675714285714289</v>
      </c>
      <c r="Q42" s="34"/>
    </row>
    <row r="43" spans="1:18" ht="17.25" x14ac:dyDescent="0.35">
      <c r="A43" s="35" t="s">
        <v>4</v>
      </c>
      <c r="B43" s="48">
        <f>IFERROR(AVERAGE(B34:B40),"")</f>
        <v>2107.042857142857</v>
      </c>
      <c r="C43" s="48">
        <f>IFERROR(AVERAGE(C34:C40),"")</f>
        <v>806.91428571428571</v>
      </c>
      <c r="D43" s="48">
        <f>IFERROR(AVERAGE(D34:D40),"")</f>
        <v>64.228571428571428</v>
      </c>
      <c r="E43" s="48">
        <f>IFERROR(AVERAGE(E34:E40),"")</f>
        <v>282.01428571428568</v>
      </c>
      <c r="F43" s="48">
        <f t="shared" ref="F43:N43" si="8">IFERROR(AVERAGE(F34:F40),"")</f>
        <v>101572.42857142857</v>
      </c>
      <c r="G43" s="48">
        <f t="shared" si="8"/>
        <v>24.485714285714288</v>
      </c>
      <c r="H43" s="48">
        <f t="shared" si="8"/>
        <v>12.1</v>
      </c>
      <c r="I43" s="62">
        <f t="shared" si="8"/>
        <v>28.2</v>
      </c>
      <c r="J43" s="64">
        <f>IFERROR(AVERAGE(J34:J40),"")</f>
        <v>37.128571428571426</v>
      </c>
      <c r="K43" s="48">
        <f>IFERROR(AVERAGE(K34:K40),"")</f>
        <v>93474.571428571435</v>
      </c>
      <c r="L43" s="48">
        <f>IFERROR(AVERAGE(L34:L40),"")</f>
        <v>26.75714285714286</v>
      </c>
      <c r="M43" s="48">
        <f>IFERROR(AVERAGE(M34:M40),"")</f>
        <v>8.4</v>
      </c>
      <c r="N43" s="48">
        <f t="shared" si="8"/>
        <v>1755.6857142857141</v>
      </c>
      <c r="O43" s="48">
        <f>IFERROR(AVERAGE(O34:O40),"")</f>
        <v>227.68571428571428</v>
      </c>
      <c r="P43" s="48">
        <f>IFERROR(AVERAGE(P34:P40),"")</f>
        <v>38.199999999999996</v>
      </c>
      <c r="Q43" s="34"/>
    </row>
    <row r="44" spans="1:18" ht="17.25" x14ac:dyDescent="0.35">
      <c r="A44" s="35" t="s">
        <v>5</v>
      </c>
      <c r="B44" s="41">
        <f>IFERROR((B43-B42)/B42,"")</f>
        <v>-0.38955186013410636</v>
      </c>
      <c r="C44" s="41">
        <f t="shared" ref="C44:P44" si="9">IFERROR(-(C42-C43)/C42,"")</f>
        <v>-6.8381989114299824E-2</v>
      </c>
      <c r="D44" s="41">
        <f t="shared" si="9"/>
        <v>-6.5125176744572896E-2</v>
      </c>
      <c r="E44" s="41">
        <f t="shared" si="9"/>
        <v>-0.3518849867527275</v>
      </c>
      <c r="F44" s="41">
        <f t="shared" si="9"/>
        <v>-0.28774298894559963</v>
      </c>
      <c r="G44" s="41">
        <f t="shared" si="9"/>
        <v>-0.2279279279279279</v>
      </c>
      <c r="H44" s="41">
        <f t="shared" si="9"/>
        <v>-0.20663169726489322</v>
      </c>
      <c r="I44" s="63">
        <f t="shared" si="9"/>
        <v>6.3213703099510889E-3</v>
      </c>
      <c r="J44" s="65">
        <f t="shared" si="9"/>
        <v>0.26552076739543246</v>
      </c>
      <c r="K44" s="41">
        <f t="shared" si="9"/>
        <v>-5.8080898960512009E-2</v>
      </c>
      <c r="L44" s="41">
        <f t="shared" si="9"/>
        <v>-0.15630630630630624</v>
      </c>
      <c r="M44" s="41">
        <f t="shared" si="9"/>
        <v>-0.17194761301225167</v>
      </c>
      <c r="N44" s="41">
        <f t="shared" si="9"/>
        <v>-0.23794630317333262</v>
      </c>
      <c r="O44" s="41">
        <f t="shared" si="9"/>
        <v>-0.26724871154756824</v>
      </c>
      <c r="P44" s="41">
        <f t="shared" si="9"/>
        <v>0.24528477623061493</v>
      </c>
    </row>
    <row r="45" spans="1:18" x14ac:dyDescent="0.2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50"/>
  </sheetPr>
  <dimension ref="A1:W45"/>
  <sheetViews>
    <sheetView zoomScale="80" zoomScaleNormal="80" workbookViewId="0">
      <selection activeCell="B43" sqref="B43:P43"/>
    </sheetView>
  </sheetViews>
  <sheetFormatPr defaultColWidth="9.140625" defaultRowHeight="15" x14ac:dyDescent="0.25"/>
  <cols>
    <col min="1" max="1" width="25.42578125" style="34" bestFit="1" customWidth="1"/>
    <col min="2" max="2" width="14.85546875" style="33" bestFit="1" customWidth="1"/>
    <col min="3" max="3" width="12.140625" style="33" bestFit="1" customWidth="1"/>
    <col min="4" max="4" width="8.85546875" style="33" customWidth="1"/>
    <col min="5" max="5" width="10.28515625" style="33" customWidth="1"/>
    <col min="6" max="6" width="19.42578125" style="33" customWidth="1"/>
    <col min="7" max="7" width="9.7109375" style="33" customWidth="1"/>
    <col min="8" max="8" width="7.42578125" style="33" customWidth="1"/>
    <col min="9" max="9" width="8.42578125" style="33" customWidth="1"/>
    <col min="10" max="10" width="11" style="33" customWidth="1"/>
    <col min="11" max="11" width="14.28515625" style="33" customWidth="1"/>
    <col min="12" max="12" width="10" style="33" customWidth="1"/>
    <col min="13" max="13" width="7.28515625" style="33" customWidth="1"/>
    <col min="14" max="14" width="10.140625" style="33" customWidth="1"/>
    <col min="15" max="15" width="11.42578125" style="33" customWidth="1"/>
    <col min="16" max="16" width="8.28515625" style="33" customWidth="1"/>
    <col min="17" max="17" width="9.140625" style="33"/>
    <col min="18" max="18" width="12" style="33" bestFit="1" customWidth="1"/>
    <col min="19" max="20" width="9.140625" style="33"/>
    <col min="21" max="21" width="9.7109375" style="33" bestFit="1" customWidth="1"/>
    <col min="22" max="16384" width="9.140625" style="33"/>
  </cols>
  <sheetData>
    <row r="1" spans="1:23" x14ac:dyDescent="0.25">
      <c r="S1" s="81"/>
      <c r="T1" s="81"/>
      <c r="U1" s="81"/>
      <c r="V1" s="81"/>
    </row>
    <row r="3" spans="1:23" ht="15.75" x14ac:dyDescent="0.25">
      <c r="Q3" s="74"/>
    </row>
    <row r="5" spans="1:23" x14ac:dyDescent="0.25">
      <c r="B5" s="88"/>
      <c r="C5" s="88"/>
      <c r="D5" s="88"/>
    </row>
    <row r="7" spans="1:23" x14ac:dyDescent="0.25">
      <c r="A7" s="32"/>
      <c r="B7" s="82" t="s">
        <v>13</v>
      </c>
      <c r="C7" s="83"/>
      <c r="D7" s="83"/>
      <c r="E7" s="83"/>
      <c r="F7" s="83"/>
      <c r="G7" s="83"/>
      <c r="H7" s="83"/>
      <c r="I7" s="83"/>
      <c r="J7" s="85" t="s">
        <v>14</v>
      </c>
      <c r="K7" s="86"/>
      <c r="L7" s="86"/>
      <c r="M7" s="86"/>
      <c r="N7" s="86"/>
      <c r="O7" s="86"/>
      <c r="P7" s="87"/>
      <c r="R7" s="34"/>
    </row>
    <row r="8" spans="1:23" x14ac:dyDescent="0.2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ht="17.25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81"/>
      <c r="T9" s="81"/>
      <c r="U9" s="81"/>
      <c r="V9" s="81"/>
      <c r="W9" s="81"/>
    </row>
    <row r="10" spans="1:23" ht="17.25" x14ac:dyDescent="0.35">
      <c r="A10" s="35" t="s">
        <v>1</v>
      </c>
      <c r="B10" s="40">
        <f>IFERROR(AVERAGE(B$14:B$17),"")</f>
        <v>1518.9</v>
      </c>
      <c r="C10" s="40">
        <f t="shared" ref="C10:P10" si="0">IFERROR(AVERAGE(C$14:C$17),"")</f>
        <v>996.5</v>
      </c>
      <c r="D10" s="40">
        <f t="shared" si="0"/>
        <v>69.675000000000011</v>
      </c>
      <c r="E10" s="40">
        <f t="shared" si="0"/>
        <v>269.92499999999995</v>
      </c>
      <c r="F10" s="40">
        <f t="shared" si="0"/>
        <v>104357.75</v>
      </c>
      <c r="G10" s="40">
        <f t="shared" si="0"/>
        <v>27.499999999999996</v>
      </c>
      <c r="H10" s="40">
        <f t="shared" si="0"/>
        <v>10.875</v>
      </c>
      <c r="I10" s="53">
        <f t="shared" si="0"/>
        <v>27.475000000000001</v>
      </c>
      <c r="J10" s="55">
        <f t="shared" si="0"/>
        <v>43.524999999999999</v>
      </c>
      <c r="K10" s="40">
        <f t="shared" si="0"/>
        <v>102906.5</v>
      </c>
      <c r="L10" s="40">
        <f t="shared" si="0"/>
        <v>32.1</v>
      </c>
      <c r="M10" s="40">
        <f t="shared" si="0"/>
        <v>7.5250000000000004</v>
      </c>
      <c r="N10" s="40">
        <f t="shared" si="0"/>
        <v>1752.0500000000002</v>
      </c>
      <c r="O10" s="40">
        <f t="shared" si="0"/>
        <v>241.9</v>
      </c>
      <c r="P10" s="40">
        <f t="shared" si="0"/>
        <v>34.675000000000004</v>
      </c>
      <c r="Q10" s="34"/>
      <c r="R10" s="34"/>
    </row>
    <row r="11" spans="1:23" ht="17.25" x14ac:dyDescent="0.35">
      <c r="A11" s="35" t="s">
        <v>2</v>
      </c>
      <c r="B11" s="40">
        <f t="shared" ref="B11:P11" si="1">IFERROR(AVERAGE(B$18:B$20),"")</f>
        <v>1803.9666666666665</v>
      </c>
      <c r="C11" s="40">
        <f t="shared" si="1"/>
        <v>605.20000000000005</v>
      </c>
      <c r="D11" s="40">
        <f t="shared" si="1"/>
        <v>60.266666666666673</v>
      </c>
      <c r="E11" s="40">
        <f t="shared" si="1"/>
        <v>166.86666666666667</v>
      </c>
      <c r="F11" s="40">
        <f t="shared" si="1"/>
        <v>49754.666666666664</v>
      </c>
      <c r="G11" s="40">
        <f t="shared" si="1"/>
        <v>21.733333333333334</v>
      </c>
      <c r="H11" s="40">
        <f t="shared" si="1"/>
        <v>8.9333333333333336</v>
      </c>
      <c r="I11" s="53">
        <f t="shared" si="1"/>
        <v>32.199999999999996</v>
      </c>
      <c r="J11" s="55">
        <f t="shared" si="1"/>
        <v>36.06666666666667</v>
      </c>
      <c r="K11" s="40">
        <f t="shared" si="1"/>
        <v>99702.666666666672</v>
      </c>
      <c r="L11" s="40">
        <f t="shared" si="1"/>
        <v>26.3</v>
      </c>
      <c r="M11" s="40">
        <f t="shared" si="1"/>
        <v>7.7</v>
      </c>
      <c r="N11" s="40">
        <f t="shared" si="1"/>
        <v>1604.1333333333334</v>
      </c>
      <c r="O11" s="40">
        <f t="shared" si="1"/>
        <v>200.20000000000002</v>
      </c>
      <c r="P11" s="40">
        <f t="shared" si="1"/>
        <v>38.833333333333336</v>
      </c>
      <c r="Q11" s="34"/>
      <c r="R11" s="36"/>
      <c r="S11" s="70"/>
    </row>
    <row r="12" spans="1:23" ht="17.25" x14ac:dyDescent="0.35">
      <c r="A12" s="35" t="s">
        <v>27</v>
      </c>
      <c r="B12" s="48">
        <f t="shared" ref="B12:P12" si="2">IFERROR(ABS(B$10-B$11), "")</f>
        <v>285.06666666666638</v>
      </c>
      <c r="C12" s="48">
        <f t="shared" si="2"/>
        <v>391.29999999999995</v>
      </c>
      <c r="D12" s="48">
        <f t="shared" si="2"/>
        <v>9.4083333333333385</v>
      </c>
      <c r="E12" s="48">
        <f t="shared" si="2"/>
        <v>103.05833333333328</v>
      </c>
      <c r="F12" s="48">
        <f t="shared" si="2"/>
        <v>54603.083333333336</v>
      </c>
      <c r="G12" s="48">
        <f t="shared" si="2"/>
        <v>5.7666666666666622</v>
      </c>
      <c r="H12" s="48">
        <f t="shared" si="2"/>
        <v>1.9416666666666664</v>
      </c>
      <c r="I12" s="62">
        <f t="shared" si="2"/>
        <v>4.7249999999999943</v>
      </c>
      <c r="J12" s="64">
        <f t="shared" si="2"/>
        <v>7.4583333333333286</v>
      </c>
      <c r="K12" s="48">
        <f t="shared" si="2"/>
        <v>3203.8333333333285</v>
      </c>
      <c r="L12" s="48">
        <f t="shared" si="2"/>
        <v>5.8000000000000007</v>
      </c>
      <c r="M12" s="48">
        <f t="shared" si="2"/>
        <v>0.17499999999999982</v>
      </c>
      <c r="N12" s="48">
        <f t="shared" si="2"/>
        <v>147.91666666666674</v>
      </c>
      <c r="O12" s="48">
        <f t="shared" si="2"/>
        <v>41.699999999999989</v>
      </c>
      <c r="P12" s="48">
        <f t="shared" si="2"/>
        <v>4.1583333333333314</v>
      </c>
      <c r="Q12" s="76"/>
      <c r="R12" s="34"/>
    </row>
    <row r="13" spans="1:23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ht="17.25" x14ac:dyDescent="0.35">
      <c r="A14" s="51">
        <v>44094</v>
      </c>
      <c r="B14" s="42">
        <v>1614.6</v>
      </c>
      <c r="C14" s="42">
        <v>666.4</v>
      </c>
      <c r="D14" s="42">
        <v>62.7</v>
      </c>
      <c r="E14" s="42">
        <v>313.89999999999998</v>
      </c>
      <c r="F14" s="43">
        <v>109106</v>
      </c>
      <c r="G14" s="42">
        <v>22.3</v>
      </c>
      <c r="H14" s="42">
        <v>15.2</v>
      </c>
      <c r="I14" s="56">
        <v>26.1</v>
      </c>
      <c r="J14" s="59">
        <v>37.9</v>
      </c>
      <c r="K14" s="43">
        <v>106027</v>
      </c>
      <c r="L14" s="42">
        <v>28.6</v>
      </c>
      <c r="M14" s="42">
        <v>8</v>
      </c>
      <c r="N14" s="42">
        <v>1720.6</v>
      </c>
      <c r="O14" s="42">
        <v>228.3</v>
      </c>
      <c r="P14" s="42">
        <v>35</v>
      </c>
      <c r="Q14" s="34"/>
      <c r="U14" s="38"/>
    </row>
    <row r="15" spans="1:23" ht="17.25" x14ac:dyDescent="0.35">
      <c r="A15" s="51">
        <v>44095</v>
      </c>
      <c r="B15" s="42">
        <v>1468.5</v>
      </c>
      <c r="C15" s="42">
        <v>706.8</v>
      </c>
      <c r="D15" s="42">
        <v>50</v>
      </c>
      <c r="E15" s="42">
        <v>279.39999999999998</v>
      </c>
      <c r="F15" s="43">
        <v>100155</v>
      </c>
      <c r="G15" s="42">
        <v>21.5</v>
      </c>
      <c r="H15" s="42">
        <v>13.3</v>
      </c>
      <c r="I15" s="56">
        <v>31.4</v>
      </c>
      <c r="J15" s="59">
        <v>43.9</v>
      </c>
      <c r="K15" s="43">
        <v>106117</v>
      </c>
      <c r="L15" s="42">
        <v>31.6</v>
      </c>
      <c r="M15" s="42">
        <v>7.4</v>
      </c>
      <c r="N15" s="42">
        <v>1638.5</v>
      </c>
      <c r="O15" s="42">
        <v>232.4</v>
      </c>
      <c r="P15" s="42">
        <v>34.4</v>
      </c>
      <c r="Q15" s="34"/>
      <c r="R15" s="38"/>
      <c r="U15" s="38"/>
    </row>
    <row r="16" spans="1:23" ht="17.25" x14ac:dyDescent="0.35">
      <c r="A16" s="51">
        <v>44096</v>
      </c>
      <c r="B16" s="42">
        <v>1273.4000000000001</v>
      </c>
      <c r="C16" s="42">
        <v>1207.5999999999999</v>
      </c>
      <c r="D16" s="42">
        <v>75.900000000000006</v>
      </c>
      <c r="E16" s="42">
        <v>226.9</v>
      </c>
      <c r="F16" s="43">
        <v>98718</v>
      </c>
      <c r="G16" s="42">
        <v>28.4</v>
      </c>
      <c r="H16" s="42">
        <v>7.7</v>
      </c>
      <c r="I16" s="56">
        <v>26</v>
      </c>
      <c r="J16" s="59">
        <v>50.4</v>
      </c>
      <c r="K16" s="43">
        <v>99764</v>
      </c>
      <c r="L16" s="42">
        <v>36.6</v>
      </c>
      <c r="M16" s="42">
        <v>7.3</v>
      </c>
      <c r="N16" s="42">
        <v>2109.5</v>
      </c>
      <c r="O16" s="42">
        <v>279</v>
      </c>
      <c r="P16" s="42">
        <v>28.9</v>
      </c>
      <c r="Q16" s="34"/>
      <c r="R16" s="38"/>
      <c r="U16" s="38"/>
    </row>
    <row r="17" spans="1:21" ht="15.75" customHeight="1" x14ac:dyDescent="0.35">
      <c r="A17" s="51">
        <v>44097</v>
      </c>
      <c r="B17" s="46">
        <v>1719.1</v>
      </c>
      <c r="C17" s="46">
        <v>1405.2</v>
      </c>
      <c r="D17" s="46">
        <v>90.1</v>
      </c>
      <c r="E17" s="46">
        <v>259.5</v>
      </c>
      <c r="F17" s="47">
        <v>109452</v>
      </c>
      <c r="G17" s="46">
        <v>37.799999999999997</v>
      </c>
      <c r="H17" s="46">
        <v>7.3</v>
      </c>
      <c r="I17" s="57">
        <v>26.4</v>
      </c>
      <c r="J17" s="60">
        <v>41.9</v>
      </c>
      <c r="K17" s="47">
        <v>99718</v>
      </c>
      <c r="L17" s="46">
        <v>31.6</v>
      </c>
      <c r="M17" s="46">
        <v>7.4</v>
      </c>
      <c r="N17" s="46">
        <v>1539.6</v>
      </c>
      <c r="O17" s="46">
        <v>227.9</v>
      </c>
      <c r="P17" s="46">
        <v>40.4</v>
      </c>
      <c r="Q17" s="34"/>
      <c r="R17" s="38"/>
      <c r="U17" s="38"/>
    </row>
    <row r="18" spans="1:21" ht="15" customHeight="1" x14ac:dyDescent="0.35">
      <c r="A18" s="51">
        <v>44098</v>
      </c>
      <c r="B18" s="44">
        <v>1062.5999999999999</v>
      </c>
      <c r="C18" s="44">
        <v>832.5</v>
      </c>
      <c r="D18" s="44">
        <v>81.8</v>
      </c>
      <c r="E18" s="44">
        <v>153.5</v>
      </c>
      <c r="F18" s="45">
        <v>49321</v>
      </c>
      <c r="G18" s="44">
        <v>28.9</v>
      </c>
      <c r="H18" s="44">
        <v>5.5</v>
      </c>
      <c r="I18" s="58">
        <v>27.7</v>
      </c>
      <c r="J18" s="61">
        <v>34.4</v>
      </c>
      <c r="K18" s="45">
        <v>100026</v>
      </c>
      <c r="L18" s="44">
        <v>26.3</v>
      </c>
      <c r="M18" s="44">
        <v>8.3000000000000007</v>
      </c>
      <c r="N18" s="44">
        <v>1737.2</v>
      </c>
      <c r="O18" s="44">
        <v>213.7</v>
      </c>
      <c r="P18" s="44">
        <v>41.9</v>
      </c>
      <c r="Q18" s="34"/>
      <c r="R18" s="38"/>
      <c r="U18" s="38"/>
    </row>
    <row r="19" spans="1:21" ht="17.25" x14ac:dyDescent="0.35">
      <c r="A19" s="51">
        <v>44099</v>
      </c>
      <c r="B19" s="44">
        <v>956.3</v>
      </c>
      <c r="C19" s="44">
        <v>422.9</v>
      </c>
      <c r="D19" s="44">
        <v>45.7</v>
      </c>
      <c r="E19" s="44">
        <v>94.7</v>
      </c>
      <c r="F19" s="45">
        <v>19754</v>
      </c>
      <c r="G19" s="44">
        <v>17</v>
      </c>
      <c r="H19" s="44">
        <v>7.8</v>
      </c>
      <c r="I19" s="58">
        <v>39.6</v>
      </c>
      <c r="J19" s="61">
        <v>36</v>
      </c>
      <c r="K19" s="45">
        <v>108529</v>
      </c>
      <c r="L19" s="44">
        <v>25.9</v>
      </c>
      <c r="M19" s="44">
        <v>7.7</v>
      </c>
      <c r="N19" s="44">
        <v>1420.4</v>
      </c>
      <c r="O19" s="44">
        <v>197.5</v>
      </c>
      <c r="P19" s="44">
        <v>40.6</v>
      </c>
      <c r="Q19" s="34"/>
      <c r="R19" s="38"/>
      <c r="U19" s="38"/>
    </row>
    <row r="20" spans="1:21" ht="17.25" x14ac:dyDescent="0.35">
      <c r="A20" s="51">
        <v>44100</v>
      </c>
      <c r="B20" s="44">
        <v>3393</v>
      </c>
      <c r="C20" s="44">
        <v>560.20000000000005</v>
      </c>
      <c r="D20" s="44">
        <v>53.3</v>
      </c>
      <c r="E20" s="44">
        <v>252.4</v>
      </c>
      <c r="F20" s="45">
        <v>80189</v>
      </c>
      <c r="G20" s="44">
        <v>19.3</v>
      </c>
      <c r="H20" s="44">
        <v>13.5</v>
      </c>
      <c r="I20" s="58">
        <v>29.3</v>
      </c>
      <c r="J20" s="61">
        <v>37.799999999999997</v>
      </c>
      <c r="K20" s="45">
        <v>90553</v>
      </c>
      <c r="L20" s="44">
        <v>26.7</v>
      </c>
      <c r="M20" s="44">
        <v>7.1</v>
      </c>
      <c r="N20" s="44">
        <v>1654.8</v>
      </c>
      <c r="O20" s="44">
        <v>189.4</v>
      </c>
      <c r="P20" s="44">
        <v>34</v>
      </c>
      <c r="Q20" s="34"/>
      <c r="R20" s="38"/>
      <c r="U20" s="38"/>
    </row>
    <row r="21" spans="1:21" ht="17.25" x14ac:dyDescent="0.35">
      <c r="A21" s="35"/>
      <c r="B21" s="76"/>
      <c r="C21" s="76"/>
      <c r="D21" s="76"/>
      <c r="E21" s="76"/>
      <c r="F21" s="37"/>
      <c r="G21" s="76"/>
      <c r="H21" s="76"/>
      <c r="I21" s="76"/>
      <c r="J21" s="76"/>
      <c r="K21" s="37"/>
      <c r="L21" s="76"/>
      <c r="M21" s="76"/>
      <c r="N21" s="76"/>
      <c r="O21" s="76"/>
      <c r="P21" s="76"/>
      <c r="Q21" s="34"/>
      <c r="R21" s="38"/>
    </row>
    <row r="22" spans="1:21" ht="17.25" x14ac:dyDescent="0.35">
      <c r="A22" s="35" t="s">
        <v>3</v>
      </c>
      <c r="B22" s="48">
        <v>2107.042857142857</v>
      </c>
      <c r="C22" s="48">
        <v>806.91428571428571</v>
      </c>
      <c r="D22" s="48">
        <v>64.228571428571428</v>
      </c>
      <c r="E22" s="48">
        <v>282.01428571428568</v>
      </c>
      <c r="F22" s="48">
        <v>101572.42857142857</v>
      </c>
      <c r="G22" s="48">
        <v>24.485714285714288</v>
      </c>
      <c r="H22" s="48">
        <v>12.1</v>
      </c>
      <c r="I22" s="62">
        <v>28.2</v>
      </c>
      <c r="J22" s="64">
        <v>37.128571428571426</v>
      </c>
      <c r="K22" s="48">
        <v>93474.571428571435</v>
      </c>
      <c r="L22" s="48">
        <v>26.75714285714286</v>
      </c>
      <c r="M22" s="48">
        <v>8.4</v>
      </c>
      <c r="N22" s="48">
        <v>1755.6857142857141</v>
      </c>
      <c r="O22" s="48">
        <v>227.68571428571428</v>
      </c>
      <c r="P22" s="48">
        <v>38.199999999999996</v>
      </c>
      <c r="Q22" s="34"/>
    </row>
    <row r="23" spans="1:21" ht="17.25" x14ac:dyDescent="0.35">
      <c r="A23" s="35" t="s">
        <v>4</v>
      </c>
      <c r="B23" s="48">
        <f t="shared" ref="B23:N23" si="3">IFERROR(AVERAGE(B14:B20),"")</f>
        <v>1641.0714285714287</v>
      </c>
      <c r="C23" s="48">
        <f>IFERROR(AVERAGE(C14:C20),"")</f>
        <v>828.8</v>
      </c>
      <c r="D23" s="48">
        <f>IFERROR(AVERAGE(D14:D20),"")</f>
        <v>65.642857142857153</v>
      </c>
      <c r="E23" s="48">
        <f>IFERROR(AVERAGE(E14:E20),"")</f>
        <v>225.75714285714284</v>
      </c>
      <c r="F23" s="48">
        <f t="shared" si="3"/>
        <v>80956.428571428565</v>
      </c>
      <c r="G23" s="48">
        <f t="shared" si="3"/>
        <v>25.028571428571428</v>
      </c>
      <c r="H23" s="48">
        <f t="shared" si="3"/>
        <v>10.042857142857143</v>
      </c>
      <c r="I23" s="62">
        <f t="shared" si="3"/>
        <v>29.5</v>
      </c>
      <c r="J23" s="64">
        <f>IFERROR(AVERAGE(J14:J20),"")</f>
        <v>40.328571428571429</v>
      </c>
      <c r="K23" s="48">
        <f>IFERROR(AVERAGE(K14:K20),"")</f>
        <v>101533.42857142857</v>
      </c>
      <c r="L23" s="48">
        <f>IFERROR(AVERAGE(L14:L20),"")</f>
        <v>29.614285714285717</v>
      </c>
      <c r="M23" s="48">
        <f>IFERROR(AVERAGE(M14:M20),"")</f>
        <v>7.6000000000000014</v>
      </c>
      <c r="N23" s="48">
        <f t="shared" si="3"/>
        <v>1688.6571428571428</v>
      </c>
      <c r="O23" s="48">
        <f>IFERROR(AVERAGE(O14:O20),"")</f>
        <v>224.02857142857144</v>
      </c>
      <c r="P23" s="48">
        <f>IFERROR(AVERAGE(P14:P20),"")</f>
        <v>36.457142857142863</v>
      </c>
      <c r="Q23" s="34"/>
    </row>
    <row r="24" spans="1:21" ht="17.25" x14ac:dyDescent="0.35">
      <c r="A24" s="35" t="s">
        <v>5</v>
      </c>
      <c r="B24" s="41">
        <f t="shared" ref="B24:P24" si="4">IFERROR(-(B22-B23)/B22,"")</f>
        <v>-0.22114947828032505</v>
      </c>
      <c r="C24" s="41">
        <f t="shared" si="4"/>
        <v>2.7122725019474488E-2</v>
      </c>
      <c r="D24" s="41">
        <f t="shared" si="4"/>
        <v>2.2019572953736827E-2</v>
      </c>
      <c r="E24" s="41">
        <f t="shared" si="4"/>
        <v>-0.1994833088496023</v>
      </c>
      <c r="F24" s="41">
        <f t="shared" si="4"/>
        <v>-0.20296846585195366</v>
      </c>
      <c r="G24" s="41">
        <f t="shared" si="4"/>
        <v>2.2170361726954413E-2</v>
      </c>
      <c r="H24" s="41">
        <f t="shared" si="4"/>
        <v>-0.17001180637544272</v>
      </c>
      <c r="I24" s="63">
        <f t="shared" si="4"/>
        <v>4.6099290780141869E-2</v>
      </c>
      <c r="J24" s="65">
        <f t="shared" si="4"/>
        <v>8.6186994998076263E-2</v>
      </c>
      <c r="K24" s="41">
        <f t="shared" si="4"/>
        <v>8.6214432649368219E-2</v>
      </c>
      <c r="L24" s="41">
        <f t="shared" si="4"/>
        <v>0.10678056593699947</v>
      </c>
      <c r="M24" s="41">
        <f t="shared" si="4"/>
        <v>-9.5238095238095108E-2</v>
      </c>
      <c r="N24" s="41">
        <f t="shared" si="4"/>
        <v>-3.8178001269345209E-2</v>
      </c>
      <c r="O24" s="41">
        <f t="shared" si="4"/>
        <v>-1.606224118459023E-2</v>
      </c>
      <c r="P24" s="41">
        <f t="shared" si="4"/>
        <v>-4.5624532535527049E-2</v>
      </c>
    </row>
    <row r="25" spans="1:21" x14ac:dyDescent="0.25">
      <c r="B25" s="73" t="s">
        <v>28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</row>
    <row r="26" spans="1:21" x14ac:dyDescent="0.2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</row>
    <row r="27" spans="1:21" x14ac:dyDescent="0.25">
      <c r="A27" s="32"/>
      <c r="B27" s="82" t="s">
        <v>13</v>
      </c>
      <c r="C27" s="83"/>
      <c r="D27" s="83"/>
      <c r="E27" s="83"/>
      <c r="F27" s="83"/>
      <c r="G27" s="83"/>
      <c r="H27" s="83"/>
      <c r="I27" s="84"/>
      <c r="J27" s="85" t="s">
        <v>14</v>
      </c>
      <c r="K27" s="86"/>
      <c r="L27" s="86"/>
      <c r="M27" s="86"/>
      <c r="N27" s="86"/>
      <c r="O27" s="86"/>
      <c r="P27" s="87"/>
    </row>
    <row r="28" spans="1:21" x14ac:dyDescent="0.2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ht="17.25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ht="17.25" x14ac:dyDescent="0.35">
      <c r="A30" s="35" t="s">
        <v>1</v>
      </c>
      <c r="B30" s="40">
        <f t="shared" ref="B30:P30" si="5">IFERROR(AVERAGE(B$34:B$36),"")</f>
        <v>1452.1666666666667</v>
      </c>
      <c r="C30" s="40">
        <f t="shared" si="5"/>
        <v>860.26666666666654</v>
      </c>
      <c r="D30" s="40">
        <f t="shared" si="5"/>
        <v>62.866666666666674</v>
      </c>
      <c r="E30" s="40">
        <f t="shared" si="5"/>
        <v>273.39999999999998</v>
      </c>
      <c r="F30" s="40">
        <f t="shared" si="5"/>
        <v>102659.66666666667</v>
      </c>
      <c r="G30" s="40">
        <f t="shared" si="5"/>
        <v>24.066666666666663</v>
      </c>
      <c r="H30" s="40">
        <f t="shared" si="5"/>
        <v>12.066666666666668</v>
      </c>
      <c r="I30" s="53">
        <f t="shared" si="5"/>
        <v>27.833333333333332</v>
      </c>
      <c r="J30" s="55">
        <f t="shared" si="5"/>
        <v>44.066666666666663</v>
      </c>
      <c r="K30" s="40">
        <f t="shared" si="5"/>
        <v>103969.33333333333</v>
      </c>
      <c r="L30" s="40">
        <f t="shared" si="5"/>
        <v>32.266666666666673</v>
      </c>
      <c r="M30" s="40">
        <f t="shared" si="5"/>
        <v>7.5666666666666664</v>
      </c>
      <c r="N30" s="40">
        <f t="shared" si="5"/>
        <v>1822.8666666666668</v>
      </c>
      <c r="O30" s="40">
        <f t="shared" si="5"/>
        <v>246.56666666666669</v>
      </c>
      <c r="P30" s="40">
        <f t="shared" si="5"/>
        <v>32.766666666666673</v>
      </c>
      <c r="Q30" s="34"/>
    </row>
    <row r="31" spans="1:21" ht="17.25" x14ac:dyDescent="0.35">
      <c r="A31" s="35" t="s">
        <v>2</v>
      </c>
      <c r="B31" s="40">
        <f>IFERROR(AVERAGE(B$37:B$40),"")</f>
        <v>1782.75</v>
      </c>
      <c r="C31" s="40">
        <f t="shared" ref="C31:P31" si="6">IFERROR(AVERAGE(C$37:C$40),"")</f>
        <v>805.2</v>
      </c>
      <c r="D31" s="40">
        <f t="shared" si="6"/>
        <v>67.724999999999994</v>
      </c>
      <c r="E31" s="40">
        <f t="shared" si="6"/>
        <v>190.02500000000001</v>
      </c>
      <c r="F31" s="40">
        <f t="shared" si="6"/>
        <v>64679</v>
      </c>
      <c r="G31" s="40">
        <f t="shared" si="6"/>
        <v>25.749999999999996</v>
      </c>
      <c r="H31" s="40">
        <f t="shared" si="6"/>
        <v>8.5250000000000004</v>
      </c>
      <c r="I31" s="53">
        <f t="shared" si="6"/>
        <v>30.749999999999996</v>
      </c>
      <c r="J31" s="55">
        <f t="shared" si="6"/>
        <v>37.524999999999999</v>
      </c>
      <c r="K31" s="40">
        <f t="shared" si="6"/>
        <v>99706.5</v>
      </c>
      <c r="L31" s="40">
        <f t="shared" si="6"/>
        <v>27.625000000000004</v>
      </c>
      <c r="M31" s="40">
        <f t="shared" si="6"/>
        <v>7.625</v>
      </c>
      <c r="N31" s="40">
        <f t="shared" si="6"/>
        <v>1588.0000000000002</v>
      </c>
      <c r="O31" s="40">
        <f t="shared" si="6"/>
        <v>207.125</v>
      </c>
      <c r="P31" s="40">
        <f t="shared" si="6"/>
        <v>39.225000000000001</v>
      </c>
      <c r="Q31" s="34"/>
    </row>
    <row r="32" spans="1:21" ht="17.25" x14ac:dyDescent="0.35">
      <c r="A32" s="35" t="s">
        <v>27</v>
      </c>
      <c r="B32" s="48">
        <f t="shared" ref="B32:P32" si="7">IFERROR(ABS(B$31-B$30), "")</f>
        <v>330.58333333333326</v>
      </c>
      <c r="C32" s="48">
        <f t="shared" si="7"/>
        <v>55.066666666666492</v>
      </c>
      <c r="D32" s="48">
        <f t="shared" si="7"/>
        <v>4.8583333333333201</v>
      </c>
      <c r="E32" s="48">
        <f t="shared" si="7"/>
        <v>83.374999999999972</v>
      </c>
      <c r="F32" s="48">
        <f t="shared" si="7"/>
        <v>37980.666666666672</v>
      </c>
      <c r="G32" s="48">
        <f t="shared" si="7"/>
        <v>1.6833333333333336</v>
      </c>
      <c r="H32" s="48">
        <f t="shared" si="7"/>
        <v>3.5416666666666679</v>
      </c>
      <c r="I32" s="62">
        <f t="shared" si="7"/>
        <v>2.9166666666666643</v>
      </c>
      <c r="J32" s="64">
        <f t="shared" si="7"/>
        <v>6.5416666666666643</v>
      </c>
      <c r="K32" s="48">
        <f t="shared" si="7"/>
        <v>4262.8333333333285</v>
      </c>
      <c r="L32" s="48">
        <f t="shared" si="7"/>
        <v>4.6416666666666693</v>
      </c>
      <c r="M32" s="48">
        <f t="shared" si="7"/>
        <v>5.833333333333357E-2</v>
      </c>
      <c r="N32" s="48">
        <f t="shared" si="7"/>
        <v>234.86666666666656</v>
      </c>
      <c r="O32" s="48">
        <f t="shared" si="7"/>
        <v>39.441666666666691</v>
      </c>
      <c r="P32" s="48">
        <f t="shared" si="7"/>
        <v>6.4583333333333286</v>
      </c>
      <c r="Q32" s="72"/>
    </row>
    <row r="33" spans="1:18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ht="17.25" x14ac:dyDescent="0.35">
      <c r="A34" s="51">
        <v>44094</v>
      </c>
      <c r="B34" s="42">
        <v>1614.6</v>
      </c>
      <c r="C34" s="42">
        <v>666.4</v>
      </c>
      <c r="D34" s="42">
        <v>62.7</v>
      </c>
      <c r="E34" s="42">
        <v>313.89999999999998</v>
      </c>
      <c r="F34" s="43">
        <v>109106</v>
      </c>
      <c r="G34" s="42">
        <v>22.3</v>
      </c>
      <c r="H34" s="42">
        <v>15.2</v>
      </c>
      <c r="I34" s="56">
        <v>26.1</v>
      </c>
      <c r="J34" s="59">
        <v>37.9</v>
      </c>
      <c r="K34" s="43">
        <v>106027</v>
      </c>
      <c r="L34" s="42">
        <v>28.6</v>
      </c>
      <c r="M34" s="42">
        <v>8</v>
      </c>
      <c r="N34" s="42">
        <v>1720.6</v>
      </c>
      <c r="O34" s="42">
        <v>228.3</v>
      </c>
      <c r="P34" s="42">
        <v>35</v>
      </c>
      <c r="Q34" s="34"/>
    </row>
    <row r="35" spans="1:18" ht="17.25" x14ac:dyDescent="0.35">
      <c r="A35" s="51">
        <v>44095</v>
      </c>
      <c r="B35" s="42">
        <v>1468.5</v>
      </c>
      <c r="C35" s="42">
        <v>706.8</v>
      </c>
      <c r="D35" s="42">
        <v>50</v>
      </c>
      <c r="E35" s="42">
        <v>279.39999999999998</v>
      </c>
      <c r="F35" s="43">
        <v>100155</v>
      </c>
      <c r="G35" s="42">
        <v>21.5</v>
      </c>
      <c r="H35" s="42">
        <v>13.3</v>
      </c>
      <c r="I35" s="56">
        <v>31.4</v>
      </c>
      <c r="J35" s="59">
        <v>43.9</v>
      </c>
      <c r="K35" s="43">
        <v>106117</v>
      </c>
      <c r="L35" s="42">
        <v>31.6</v>
      </c>
      <c r="M35" s="42">
        <v>7.4</v>
      </c>
      <c r="N35" s="42">
        <v>1638.5</v>
      </c>
      <c r="O35" s="42">
        <v>232.4</v>
      </c>
      <c r="P35" s="42">
        <v>34.4</v>
      </c>
      <c r="Q35" s="34"/>
    </row>
    <row r="36" spans="1:18" ht="17.25" x14ac:dyDescent="0.35">
      <c r="A36" s="51">
        <v>44096</v>
      </c>
      <c r="B36" s="42">
        <v>1273.4000000000001</v>
      </c>
      <c r="C36" s="42">
        <v>1207.5999999999999</v>
      </c>
      <c r="D36" s="42">
        <v>75.900000000000006</v>
      </c>
      <c r="E36" s="42">
        <v>226.9</v>
      </c>
      <c r="F36" s="43">
        <v>98718</v>
      </c>
      <c r="G36" s="42">
        <v>28.4</v>
      </c>
      <c r="H36" s="42">
        <v>7.7</v>
      </c>
      <c r="I36" s="56">
        <v>26</v>
      </c>
      <c r="J36" s="59">
        <v>50.4</v>
      </c>
      <c r="K36" s="43">
        <v>99764</v>
      </c>
      <c r="L36" s="42">
        <v>36.6</v>
      </c>
      <c r="M36" s="42">
        <v>7.3</v>
      </c>
      <c r="N36" s="42">
        <v>2109.5</v>
      </c>
      <c r="O36" s="42">
        <v>279</v>
      </c>
      <c r="P36" s="42">
        <v>28.9</v>
      </c>
      <c r="Q36" s="34"/>
    </row>
    <row r="37" spans="1:18" ht="17.25" x14ac:dyDescent="0.35">
      <c r="A37" s="51">
        <v>44097</v>
      </c>
      <c r="B37" s="46">
        <v>1719.1</v>
      </c>
      <c r="C37" s="46">
        <v>1405.2</v>
      </c>
      <c r="D37" s="46">
        <v>90.1</v>
      </c>
      <c r="E37" s="46">
        <v>259.5</v>
      </c>
      <c r="F37" s="47">
        <v>109452</v>
      </c>
      <c r="G37" s="46">
        <v>37.799999999999997</v>
      </c>
      <c r="H37" s="46">
        <v>7.3</v>
      </c>
      <c r="I37" s="57">
        <v>26.4</v>
      </c>
      <c r="J37" s="60">
        <v>41.9</v>
      </c>
      <c r="K37" s="47">
        <v>99718</v>
      </c>
      <c r="L37" s="46">
        <v>31.6</v>
      </c>
      <c r="M37" s="46">
        <v>7.4</v>
      </c>
      <c r="N37" s="46">
        <v>1539.6</v>
      </c>
      <c r="O37" s="46">
        <v>227.9</v>
      </c>
      <c r="P37" s="46">
        <v>40.4</v>
      </c>
      <c r="Q37" s="34"/>
    </row>
    <row r="38" spans="1:18" ht="17.25" x14ac:dyDescent="0.35">
      <c r="A38" s="51">
        <v>44098</v>
      </c>
      <c r="B38" s="44">
        <v>1062.5999999999999</v>
      </c>
      <c r="C38" s="44">
        <v>832.5</v>
      </c>
      <c r="D38" s="44">
        <v>81.8</v>
      </c>
      <c r="E38" s="44">
        <v>153.5</v>
      </c>
      <c r="F38" s="45">
        <v>49321</v>
      </c>
      <c r="G38" s="44">
        <v>28.9</v>
      </c>
      <c r="H38" s="44">
        <v>5.5</v>
      </c>
      <c r="I38" s="58">
        <v>27.7</v>
      </c>
      <c r="J38" s="61">
        <v>34.4</v>
      </c>
      <c r="K38" s="45">
        <v>100026</v>
      </c>
      <c r="L38" s="44">
        <v>26.3</v>
      </c>
      <c r="M38" s="44">
        <v>8.3000000000000007</v>
      </c>
      <c r="N38" s="44">
        <v>1737.2</v>
      </c>
      <c r="O38" s="44">
        <v>213.7</v>
      </c>
      <c r="P38" s="44">
        <v>41.9</v>
      </c>
      <c r="Q38" s="34"/>
    </row>
    <row r="39" spans="1:18" ht="17.25" x14ac:dyDescent="0.35">
      <c r="A39" s="51">
        <v>44099</v>
      </c>
      <c r="B39" s="44">
        <v>956.3</v>
      </c>
      <c r="C39" s="44">
        <v>422.9</v>
      </c>
      <c r="D39" s="44">
        <v>45.7</v>
      </c>
      <c r="E39" s="44">
        <v>94.7</v>
      </c>
      <c r="F39" s="45">
        <v>19754</v>
      </c>
      <c r="G39" s="44">
        <v>17</v>
      </c>
      <c r="H39" s="44">
        <v>7.8</v>
      </c>
      <c r="I39" s="58">
        <v>39.6</v>
      </c>
      <c r="J39" s="61">
        <v>36</v>
      </c>
      <c r="K39" s="45">
        <v>108529</v>
      </c>
      <c r="L39" s="44">
        <v>25.9</v>
      </c>
      <c r="M39" s="44">
        <v>7.7</v>
      </c>
      <c r="N39" s="44">
        <v>1420.4</v>
      </c>
      <c r="O39" s="44">
        <v>197.5</v>
      </c>
      <c r="P39" s="44">
        <v>40.6</v>
      </c>
      <c r="Q39" s="34"/>
    </row>
    <row r="40" spans="1:18" ht="17.25" x14ac:dyDescent="0.35">
      <c r="A40" s="51">
        <v>44100</v>
      </c>
      <c r="B40" s="44">
        <v>3393</v>
      </c>
      <c r="C40" s="44">
        <v>560.20000000000005</v>
      </c>
      <c r="D40" s="44">
        <v>53.3</v>
      </c>
      <c r="E40" s="44">
        <v>252.4</v>
      </c>
      <c r="F40" s="45">
        <v>80189</v>
      </c>
      <c r="G40" s="44">
        <v>19.3</v>
      </c>
      <c r="H40" s="44">
        <v>13.5</v>
      </c>
      <c r="I40" s="58">
        <v>29.3</v>
      </c>
      <c r="J40" s="61">
        <v>37.799999999999997</v>
      </c>
      <c r="K40" s="45">
        <v>90553</v>
      </c>
      <c r="L40" s="44">
        <v>26.7</v>
      </c>
      <c r="M40" s="44">
        <v>7.1</v>
      </c>
      <c r="N40" s="44">
        <v>1654.8</v>
      </c>
      <c r="O40" s="44">
        <v>189.4</v>
      </c>
      <c r="P40" s="44">
        <v>34</v>
      </c>
      <c r="Q40" s="34"/>
    </row>
    <row r="41" spans="1:18" ht="17.25" x14ac:dyDescent="0.35">
      <c r="A41" s="35"/>
      <c r="B41" s="76"/>
      <c r="C41" s="76"/>
      <c r="D41" s="76"/>
      <c r="E41" s="76"/>
      <c r="F41" s="37"/>
      <c r="G41" s="76"/>
      <c r="H41" s="76"/>
      <c r="I41" s="76"/>
      <c r="J41" s="76"/>
      <c r="K41" s="37"/>
      <c r="L41" s="76"/>
      <c r="M41" s="76"/>
      <c r="N41" s="76"/>
      <c r="O41" s="76"/>
      <c r="P41" s="76"/>
      <c r="Q41" s="34"/>
    </row>
    <row r="42" spans="1:18" ht="17.25" x14ac:dyDescent="0.35">
      <c r="A42" s="35" t="s">
        <v>3</v>
      </c>
      <c r="B42" s="48">
        <v>2107.042857142857</v>
      </c>
      <c r="C42" s="48">
        <v>806.91428571428571</v>
      </c>
      <c r="D42" s="48">
        <v>64.228571428571428</v>
      </c>
      <c r="E42" s="48">
        <v>282.01428571428568</v>
      </c>
      <c r="F42" s="48">
        <v>101572.42857142857</v>
      </c>
      <c r="G42" s="48">
        <v>24.485714285714288</v>
      </c>
      <c r="H42" s="48">
        <v>12.1</v>
      </c>
      <c r="I42" s="62">
        <v>28.2</v>
      </c>
      <c r="J42" s="64">
        <v>37.128571428571426</v>
      </c>
      <c r="K42" s="48">
        <v>93474.571428571435</v>
      </c>
      <c r="L42" s="48">
        <v>26.75714285714286</v>
      </c>
      <c r="M42" s="48">
        <v>8.4</v>
      </c>
      <c r="N42" s="48">
        <v>1755.6857142857141</v>
      </c>
      <c r="O42" s="48">
        <v>227.68571428571428</v>
      </c>
      <c r="P42" s="48">
        <v>38.199999999999996</v>
      </c>
      <c r="Q42" s="34"/>
    </row>
    <row r="43" spans="1:18" ht="17.25" x14ac:dyDescent="0.35">
      <c r="A43" s="35" t="s">
        <v>4</v>
      </c>
      <c r="B43" s="48">
        <f>IFERROR(AVERAGE(B34:B40),"")</f>
        <v>1641.0714285714287</v>
      </c>
      <c r="C43" s="48">
        <f>IFERROR(AVERAGE(C34:C40),"")</f>
        <v>828.8</v>
      </c>
      <c r="D43" s="48">
        <f>IFERROR(AVERAGE(D34:D40),"")</f>
        <v>65.642857142857153</v>
      </c>
      <c r="E43" s="48">
        <f>IFERROR(AVERAGE(E34:E40),"")</f>
        <v>225.75714285714284</v>
      </c>
      <c r="F43" s="48">
        <f t="shared" ref="F43:N43" si="8">IFERROR(AVERAGE(F34:F40),"")</f>
        <v>80956.428571428565</v>
      </c>
      <c r="G43" s="48">
        <f t="shared" si="8"/>
        <v>25.028571428571428</v>
      </c>
      <c r="H43" s="48">
        <f t="shared" si="8"/>
        <v>10.042857142857143</v>
      </c>
      <c r="I43" s="62">
        <f t="shared" si="8"/>
        <v>29.5</v>
      </c>
      <c r="J43" s="64">
        <f>IFERROR(AVERAGE(J34:J40),"")</f>
        <v>40.328571428571429</v>
      </c>
      <c r="K43" s="48">
        <f>IFERROR(AVERAGE(K34:K40),"")</f>
        <v>101533.42857142857</v>
      </c>
      <c r="L43" s="48">
        <f>IFERROR(AVERAGE(L34:L40),"")</f>
        <v>29.614285714285717</v>
      </c>
      <c r="M43" s="48">
        <f>IFERROR(AVERAGE(M34:M40),"")</f>
        <v>7.6000000000000014</v>
      </c>
      <c r="N43" s="48">
        <f t="shared" si="8"/>
        <v>1688.6571428571428</v>
      </c>
      <c r="O43" s="48">
        <f>IFERROR(AVERAGE(O34:O40),"")</f>
        <v>224.02857142857144</v>
      </c>
      <c r="P43" s="48">
        <f>IFERROR(AVERAGE(P34:P40),"")</f>
        <v>36.457142857142863</v>
      </c>
      <c r="Q43" s="34"/>
    </row>
    <row r="44" spans="1:18" ht="17.25" x14ac:dyDescent="0.35">
      <c r="A44" s="35" t="s">
        <v>5</v>
      </c>
      <c r="B44" s="41">
        <f>IFERROR((B43-B42)/B42,"")</f>
        <v>-0.22114947828032505</v>
      </c>
      <c r="C44" s="41">
        <f t="shared" ref="C44:P44" si="9">IFERROR(-(C42-C43)/C42,"")</f>
        <v>2.7122725019474488E-2</v>
      </c>
      <c r="D44" s="41">
        <f t="shared" si="9"/>
        <v>2.2019572953736827E-2</v>
      </c>
      <c r="E44" s="41">
        <f t="shared" si="9"/>
        <v>-0.1994833088496023</v>
      </c>
      <c r="F44" s="41">
        <f t="shared" si="9"/>
        <v>-0.20296846585195366</v>
      </c>
      <c r="G44" s="41">
        <f t="shared" si="9"/>
        <v>2.2170361726954413E-2</v>
      </c>
      <c r="H44" s="41">
        <f t="shared" si="9"/>
        <v>-0.17001180637544272</v>
      </c>
      <c r="I44" s="63">
        <f t="shared" si="9"/>
        <v>4.6099290780141869E-2</v>
      </c>
      <c r="J44" s="65">
        <f t="shared" si="9"/>
        <v>8.6186994998076263E-2</v>
      </c>
      <c r="K44" s="41">
        <f t="shared" si="9"/>
        <v>8.6214432649368219E-2</v>
      </c>
      <c r="L44" s="41">
        <f t="shared" si="9"/>
        <v>0.10678056593699947</v>
      </c>
      <c r="M44" s="41">
        <f t="shared" si="9"/>
        <v>-9.5238095238095108E-2</v>
      </c>
      <c r="N44" s="41">
        <f t="shared" si="9"/>
        <v>-3.8178001269345209E-2</v>
      </c>
      <c r="O44" s="41">
        <f t="shared" si="9"/>
        <v>-1.606224118459023E-2</v>
      </c>
      <c r="P44" s="41">
        <f t="shared" si="9"/>
        <v>-4.5624532535527049E-2</v>
      </c>
    </row>
    <row r="45" spans="1:18" x14ac:dyDescent="0.2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00B050"/>
  </sheetPr>
  <dimension ref="A1:W45"/>
  <sheetViews>
    <sheetView zoomScale="80" zoomScaleNormal="80" workbookViewId="0">
      <selection activeCell="D14" sqref="D14"/>
    </sheetView>
  </sheetViews>
  <sheetFormatPr defaultColWidth="9.140625" defaultRowHeight="15" x14ac:dyDescent="0.25"/>
  <cols>
    <col min="1" max="1" width="25.42578125" style="34" bestFit="1" customWidth="1"/>
    <col min="2" max="2" width="14.85546875" style="33" bestFit="1" customWidth="1"/>
    <col min="3" max="3" width="12.140625" style="33" bestFit="1" customWidth="1"/>
    <col min="4" max="4" width="8.85546875" style="33" customWidth="1"/>
    <col min="5" max="5" width="10.28515625" style="33" customWidth="1"/>
    <col min="6" max="6" width="19.42578125" style="33" customWidth="1"/>
    <col min="7" max="7" width="9.7109375" style="33" customWidth="1"/>
    <col min="8" max="8" width="7.42578125" style="33" customWidth="1"/>
    <col min="9" max="9" width="8.42578125" style="33" customWidth="1"/>
    <col min="10" max="10" width="11" style="33" customWidth="1"/>
    <col min="11" max="11" width="14.28515625" style="33" customWidth="1"/>
    <col min="12" max="12" width="10" style="33" customWidth="1"/>
    <col min="13" max="13" width="7.28515625" style="33" customWidth="1"/>
    <col min="14" max="14" width="10.140625" style="33" customWidth="1"/>
    <col min="15" max="15" width="11.42578125" style="33" customWidth="1"/>
    <col min="16" max="16" width="8.28515625" style="33" customWidth="1"/>
    <col min="17" max="17" width="9.140625" style="33"/>
    <col min="18" max="18" width="12" style="33" bestFit="1" customWidth="1"/>
    <col min="19" max="20" width="9.140625" style="33"/>
    <col min="21" max="21" width="9.7109375" style="33" bestFit="1" customWidth="1"/>
    <col min="22" max="16384" width="9.140625" style="33"/>
  </cols>
  <sheetData>
    <row r="1" spans="1:23" x14ac:dyDescent="0.25">
      <c r="S1" s="81"/>
      <c r="T1" s="81"/>
      <c r="U1" s="81"/>
      <c r="V1" s="81"/>
    </row>
    <row r="3" spans="1:23" ht="15.75" x14ac:dyDescent="0.25">
      <c r="Q3" s="74"/>
    </row>
    <row r="5" spans="1:23" x14ac:dyDescent="0.25">
      <c r="B5" s="88"/>
      <c r="C5" s="88"/>
      <c r="D5" s="88"/>
    </row>
    <row r="7" spans="1:23" x14ac:dyDescent="0.25">
      <c r="A7" s="32"/>
      <c r="B7" s="82" t="s">
        <v>13</v>
      </c>
      <c r="C7" s="83"/>
      <c r="D7" s="83"/>
      <c r="E7" s="83"/>
      <c r="F7" s="83"/>
      <c r="G7" s="83"/>
      <c r="H7" s="83"/>
      <c r="I7" s="83"/>
      <c r="J7" s="85" t="s">
        <v>14</v>
      </c>
      <c r="K7" s="86"/>
      <c r="L7" s="86"/>
      <c r="M7" s="86"/>
      <c r="N7" s="86"/>
      <c r="O7" s="86"/>
      <c r="P7" s="87"/>
      <c r="R7" s="34"/>
    </row>
    <row r="8" spans="1:23" x14ac:dyDescent="0.2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ht="17.25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81"/>
      <c r="T9" s="81"/>
      <c r="U9" s="81"/>
      <c r="V9" s="81"/>
      <c r="W9" s="81"/>
    </row>
    <row r="10" spans="1:23" ht="17.25" x14ac:dyDescent="0.35">
      <c r="A10" s="35" t="s">
        <v>1</v>
      </c>
      <c r="B10" s="40">
        <f>IFERROR(AVERAGE(B$14:B$17),"")</f>
        <v>1788.35</v>
      </c>
      <c r="C10" s="40">
        <f t="shared" ref="C10:P10" si="0">IFERROR(AVERAGE(C$14:C$17),"")</f>
        <v>569.875</v>
      </c>
      <c r="D10" s="40">
        <f t="shared" si="0"/>
        <v>63.875</v>
      </c>
      <c r="E10" s="40">
        <f t="shared" si="0"/>
        <v>261.35000000000002</v>
      </c>
      <c r="F10" s="40">
        <f t="shared" si="0"/>
        <v>65903</v>
      </c>
      <c r="G10" s="40">
        <f t="shared" si="0"/>
        <v>24.5</v>
      </c>
      <c r="H10" s="40">
        <f t="shared" si="0"/>
        <v>11.975</v>
      </c>
      <c r="I10" s="53">
        <f t="shared" si="0"/>
        <v>27.375000000000004</v>
      </c>
      <c r="J10" s="55">
        <f t="shared" si="0"/>
        <v>42.325000000000003</v>
      </c>
      <c r="K10" s="40">
        <f t="shared" si="0"/>
        <v>80334.5</v>
      </c>
      <c r="L10" s="40">
        <f t="shared" si="0"/>
        <v>31.25</v>
      </c>
      <c r="M10" s="40">
        <f t="shared" si="0"/>
        <v>5.75</v>
      </c>
      <c r="N10" s="40">
        <f t="shared" si="0"/>
        <v>1202.9749999999999</v>
      </c>
      <c r="O10" s="40">
        <f t="shared" si="0"/>
        <v>179.75</v>
      </c>
      <c r="P10" s="40">
        <f t="shared" si="0"/>
        <v>33.200000000000003</v>
      </c>
      <c r="Q10" s="34"/>
      <c r="R10" s="34"/>
    </row>
    <row r="11" spans="1:23" ht="17.25" x14ac:dyDescent="0.35">
      <c r="A11" s="35" t="s">
        <v>2</v>
      </c>
      <c r="B11" s="40">
        <f t="shared" ref="B11:P11" si="1">IFERROR(AVERAGE(B$18:B$20),"")</f>
        <v>3170.2999999999997</v>
      </c>
      <c r="C11" s="40">
        <f t="shared" si="1"/>
        <v>560.9</v>
      </c>
      <c r="D11" s="40">
        <f t="shared" si="1"/>
        <v>63.199999999999996</v>
      </c>
      <c r="E11" s="40">
        <f t="shared" si="1"/>
        <v>294.40000000000003</v>
      </c>
      <c r="F11" s="40">
        <f t="shared" si="1"/>
        <v>89432.666666666672</v>
      </c>
      <c r="G11" s="40">
        <f t="shared" si="1"/>
        <v>19.833333333333332</v>
      </c>
      <c r="H11" s="40">
        <f t="shared" si="1"/>
        <v>16.466666666666665</v>
      </c>
      <c r="I11" s="53">
        <f t="shared" si="1"/>
        <v>27.099999999999998</v>
      </c>
      <c r="J11" s="55">
        <f t="shared" si="1"/>
        <v>45.9</v>
      </c>
      <c r="K11" s="40">
        <f t="shared" si="1"/>
        <v>73236</v>
      </c>
      <c r="L11" s="40">
        <f t="shared" si="1"/>
        <v>32.166666666666664</v>
      </c>
      <c r="M11" s="40">
        <f t="shared" si="1"/>
        <v>4.6333333333333337</v>
      </c>
      <c r="N11" s="40">
        <f t="shared" si="1"/>
        <v>1064.5333333333335</v>
      </c>
      <c r="O11" s="40">
        <f t="shared" si="1"/>
        <v>150.20000000000002</v>
      </c>
      <c r="P11" s="40">
        <f t="shared" si="1"/>
        <v>35.06666666666667</v>
      </c>
      <c r="Q11" s="34"/>
      <c r="R11" s="36"/>
      <c r="S11" s="70"/>
    </row>
    <row r="12" spans="1:23" ht="17.25" x14ac:dyDescent="0.35">
      <c r="A12" s="35" t="s">
        <v>27</v>
      </c>
      <c r="B12" s="48">
        <f t="shared" ref="B12:P12" si="2">IFERROR(ABS(B$10-B$11), "")</f>
        <v>1381.9499999999998</v>
      </c>
      <c r="C12" s="48">
        <f t="shared" si="2"/>
        <v>8.9750000000000227</v>
      </c>
      <c r="D12" s="48">
        <f t="shared" si="2"/>
        <v>0.67500000000000426</v>
      </c>
      <c r="E12" s="48">
        <f t="shared" si="2"/>
        <v>33.050000000000011</v>
      </c>
      <c r="F12" s="48">
        <f t="shared" si="2"/>
        <v>23529.666666666672</v>
      </c>
      <c r="G12" s="48">
        <f t="shared" si="2"/>
        <v>4.6666666666666679</v>
      </c>
      <c r="H12" s="48">
        <f t="shared" si="2"/>
        <v>4.4916666666666654</v>
      </c>
      <c r="I12" s="62">
        <f t="shared" si="2"/>
        <v>0.27500000000000568</v>
      </c>
      <c r="J12" s="64">
        <f t="shared" si="2"/>
        <v>3.5749999999999957</v>
      </c>
      <c r="K12" s="48">
        <f t="shared" si="2"/>
        <v>7098.5</v>
      </c>
      <c r="L12" s="48">
        <f t="shared" si="2"/>
        <v>0.9166666666666643</v>
      </c>
      <c r="M12" s="48">
        <f t="shared" si="2"/>
        <v>1.1166666666666663</v>
      </c>
      <c r="N12" s="48">
        <f t="shared" si="2"/>
        <v>138.44166666666638</v>
      </c>
      <c r="O12" s="48">
        <f t="shared" si="2"/>
        <v>29.549999999999983</v>
      </c>
      <c r="P12" s="48">
        <f t="shared" si="2"/>
        <v>1.8666666666666671</v>
      </c>
      <c r="Q12" s="78"/>
      <c r="R12" s="34"/>
    </row>
    <row r="13" spans="1:23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ht="17.25" x14ac:dyDescent="0.35">
      <c r="A14" s="51">
        <v>44101</v>
      </c>
      <c r="B14" s="42">
        <v>1650.1</v>
      </c>
      <c r="C14" s="42">
        <v>528.29999999999995</v>
      </c>
      <c r="D14" s="42">
        <v>55.1</v>
      </c>
      <c r="E14" s="42">
        <v>264.10000000000002</v>
      </c>
      <c r="F14" s="43">
        <v>58660</v>
      </c>
      <c r="G14" s="42">
        <v>24.4</v>
      </c>
      <c r="H14" s="42">
        <v>11</v>
      </c>
      <c r="I14" s="56">
        <v>25.8</v>
      </c>
      <c r="J14" s="59">
        <v>38.200000000000003</v>
      </c>
      <c r="K14" s="43">
        <v>85405</v>
      </c>
      <c r="L14" s="42">
        <v>28</v>
      </c>
      <c r="M14" s="42">
        <v>6.6</v>
      </c>
      <c r="N14" s="42">
        <v>1079.7</v>
      </c>
      <c r="O14" s="42">
        <v>181.4</v>
      </c>
      <c r="P14" s="42">
        <v>36.299999999999997</v>
      </c>
      <c r="Q14" s="34"/>
      <c r="U14" s="38"/>
    </row>
    <row r="15" spans="1:23" ht="17.25" x14ac:dyDescent="0.35">
      <c r="A15" s="51">
        <v>44102</v>
      </c>
      <c r="B15" s="42">
        <v>1749</v>
      </c>
      <c r="C15" s="42">
        <v>497.7</v>
      </c>
      <c r="D15" s="42">
        <v>74.599999999999994</v>
      </c>
      <c r="E15" s="42">
        <v>228.6</v>
      </c>
      <c r="F15" s="43">
        <v>52761</v>
      </c>
      <c r="G15" s="42">
        <v>24.8</v>
      </c>
      <c r="H15" s="42">
        <v>10.3</v>
      </c>
      <c r="I15" s="56">
        <v>23.6</v>
      </c>
      <c r="J15" s="59">
        <v>37.700000000000003</v>
      </c>
      <c r="K15" s="43">
        <v>78257</v>
      </c>
      <c r="L15" s="42">
        <v>29.1</v>
      </c>
      <c r="M15" s="42">
        <v>6</v>
      </c>
      <c r="N15" s="42">
        <v>1074.5999999999999</v>
      </c>
      <c r="O15" s="42">
        <v>176.1</v>
      </c>
      <c r="P15" s="42">
        <v>34</v>
      </c>
      <c r="Q15" s="34"/>
      <c r="R15" s="38"/>
      <c r="U15" s="38"/>
    </row>
    <row r="16" spans="1:23" ht="17.25" x14ac:dyDescent="0.35">
      <c r="A16" s="51">
        <v>44103</v>
      </c>
      <c r="B16" s="42">
        <v>1387.3</v>
      </c>
      <c r="C16" s="42">
        <v>859.5</v>
      </c>
      <c r="D16" s="42">
        <v>66.3</v>
      </c>
      <c r="E16" s="42">
        <v>298.5</v>
      </c>
      <c r="F16" s="43">
        <v>88113</v>
      </c>
      <c r="G16" s="42">
        <v>30.8</v>
      </c>
      <c r="H16" s="42">
        <v>10.7</v>
      </c>
      <c r="I16" s="56">
        <v>28.9</v>
      </c>
      <c r="J16" s="59">
        <v>47.4</v>
      </c>
      <c r="K16" s="43">
        <v>78728</v>
      </c>
      <c r="L16" s="42">
        <v>33.5</v>
      </c>
      <c r="M16" s="42">
        <v>5.6</v>
      </c>
      <c r="N16" s="42">
        <v>1110.7</v>
      </c>
      <c r="O16" s="42">
        <v>188.9</v>
      </c>
      <c r="P16" s="42">
        <v>29.1</v>
      </c>
      <c r="Q16" s="34"/>
      <c r="R16" s="38"/>
      <c r="U16" s="38"/>
    </row>
    <row r="17" spans="1:21" ht="15.75" customHeight="1" x14ac:dyDescent="0.35">
      <c r="A17" s="51">
        <v>44104</v>
      </c>
      <c r="B17" s="46">
        <v>2367</v>
      </c>
      <c r="C17" s="46">
        <v>394</v>
      </c>
      <c r="D17" s="46">
        <v>59.5</v>
      </c>
      <c r="E17" s="46">
        <v>254.2</v>
      </c>
      <c r="F17" s="47">
        <v>64078</v>
      </c>
      <c r="G17" s="46">
        <v>18</v>
      </c>
      <c r="H17" s="46">
        <v>15.9</v>
      </c>
      <c r="I17" s="57">
        <v>31.2</v>
      </c>
      <c r="J17" s="60">
        <v>46</v>
      </c>
      <c r="K17" s="47">
        <v>78948</v>
      </c>
      <c r="L17" s="46">
        <v>34.4</v>
      </c>
      <c r="M17" s="46">
        <v>4.8</v>
      </c>
      <c r="N17" s="46">
        <v>1546.9</v>
      </c>
      <c r="O17" s="46">
        <v>172.6</v>
      </c>
      <c r="P17" s="46">
        <v>33.4</v>
      </c>
      <c r="Q17" s="34"/>
      <c r="R17" s="38"/>
      <c r="U17" s="38"/>
    </row>
    <row r="18" spans="1:21" ht="15" customHeight="1" x14ac:dyDescent="0.35">
      <c r="A18" s="51">
        <v>44105</v>
      </c>
      <c r="B18" s="44">
        <v>4767.2</v>
      </c>
      <c r="C18" s="44">
        <v>615.6</v>
      </c>
      <c r="D18" s="44">
        <v>71.599999999999994</v>
      </c>
      <c r="E18" s="44">
        <v>464</v>
      </c>
      <c r="F18" s="45">
        <v>147069</v>
      </c>
      <c r="G18" s="44">
        <v>20.6</v>
      </c>
      <c r="H18" s="44">
        <v>25.3</v>
      </c>
      <c r="I18" s="58">
        <v>27.2</v>
      </c>
      <c r="J18" s="61">
        <v>43</v>
      </c>
      <c r="K18" s="45">
        <v>76481</v>
      </c>
      <c r="L18" s="44">
        <v>29.9</v>
      </c>
      <c r="M18" s="44">
        <v>5.2</v>
      </c>
      <c r="N18" s="44">
        <v>1284</v>
      </c>
      <c r="O18" s="44">
        <v>156.6</v>
      </c>
      <c r="P18" s="44">
        <v>35.6</v>
      </c>
      <c r="Q18" s="34"/>
      <c r="R18" s="38"/>
      <c r="U18" s="38"/>
    </row>
    <row r="19" spans="1:21" ht="17.25" x14ac:dyDescent="0.35">
      <c r="A19" s="51">
        <v>44106</v>
      </c>
      <c r="B19" s="44">
        <v>3193.9</v>
      </c>
      <c r="C19" s="44">
        <v>402.6</v>
      </c>
      <c r="D19" s="44">
        <v>46.9</v>
      </c>
      <c r="E19" s="44">
        <v>225.4</v>
      </c>
      <c r="F19" s="45">
        <v>61165</v>
      </c>
      <c r="G19" s="44">
        <v>15.2</v>
      </c>
      <c r="H19" s="44">
        <v>15.7</v>
      </c>
      <c r="I19" s="58">
        <v>27.8</v>
      </c>
      <c r="J19" s="61">
        <v>49.4</v>
      </c>
      <c r="K19" s="45">
        <v>73257</v>
      </c>
      <c r="L19" s="44">
        <v>33.799999999999997</v>
      </c>
      <c r="M19" s="44">
        <v>4.3</v>
      </c>
      <c r="N19" s="44">
        <v>921.4</v>
      </c>
      <c r="O19" s="44">
        <v>147.6</v>
      </c>
      <c r="P19" s="44">
        <v>34.299999999999997</v>
      </c>
      <c r="Q19" s="34"/>
      <c r="R19" s="38"/>
      <c r="U19" s="38"/>
    </row>
    <row r="20" spans="1:21" ht="17.25" x14ac:dyDescent="0.35">
      <c r="A20" s="51">
        <v>44107</v>
      </c>
      <c r="B20" s="44">
        <v>1549.8</v>
      </c>
      <c r="C20" s="44">
        <v>664.5</v>
      </c>
      <c r="D20" s="44">
        <v>71.099999999999994</v>
      </c>
      <c r="E20" s="44">
        <v>193.8</v>
      </c>
      <c r="F20" s="45">
        <v>60064</v>
      </c>
      <c r="G20" s="44">
        <v>23.7</v>
      </c>
      <c r="H20" s="44">
        <v>8.4</v>
      </c>
      <c r="I20" s="58">
        <v>26.3</v>
      </c>
      <c r="J20" s="61">
        <v>45.3</v>
      </c>
      <c r="K20" s="45">
        <v>69970</v>
      </c>
      <c r="L20" s="44">
        <v>32.799999999999997</v>
      </c>
      <c r="M20" s="44">
        <v>4.4000000000000004</v>
      </c>
      <c r="N20" s="44">
        <v>988.2</v>
      </c>
      <c r="O20" s="44">
        <v>146.4</v>
      </c>
      <c r="P20" s="44">
        <v>35.299999999999997</v>
      </c>
      <c r="Q20" s="34"/>
      <c r="R20" s="38"/>
      <c r="U20" s="38"/>
    </row>
    <row r="21" spans="1:21" ht="17.25" x14ac:dyDescent="0.35">
      <c r="A21" s="35"/>
      <c r="B21" s="78"/>
      <c r="C21" s="78"/>
      <c r="D21" s="78"/>
      <c r="E21" s="78"/>
      <c r="F21" s="37"/>
      <c r="G21" s="78"/>
      <c r="H21" s="78"/>
      <c r="I21" s="78"/>
      <c r="J21" s="78"/>
      <c r="K21" s="37"/>
      <c r="L21" s="78"/>
      <c r="M21" s="78"/>
      <c r="N21" s="78"/>
      <c r="O21" s="78"/>
      <c r="P21" s="78"/>
      <c r="Q21" s="34"/>
      <c r="R21" s="38"/>
    </row>
    <row r="22" spans="1:21" ht="17.25" x14ac:dyDescent="0.35">
      <c r="A22" s="35" t="s">
        <v>3</v>
      </c>
      <c r="B22" s="48">
        <v>1641.0714285714287</v>
      </c>
      <c r="C22" s="48">
        <v>828.8</v>
      </c>
      <c r="D22" s="48">
        <v>65.642857142857153</v>
      </c>
      <c r="E22" s="48">
        <v>225.75714285714284</v>
      </c>
      <c r="F22" s="48">
        <v>80956.428571428565</v>
      </c>
      <c r="G22" s="48">
        <v>25.028571428571428</v>
      </c>
      <c r="H22" s="48">
        <v>10.042857142857143</v>
      </c>
      <c r="I22" s="62">
        <v>29.5</v>
      </c>
      <c r="J22" s="64">
        <v>40.328571428571429</v>
      </c>
      <c r="K22" s="48">
        <v>101533.42857142857</v>
      </c>
      <c r="L22" s="48">
        <v>29.614285714285717</v>
      </c>
      <c r="M22" s="48">
        <v>7.6000000000000014</v>
      </c>
      <c r="N22" s="48">
        <v>1688.6571428571428</v>
      </c>
      <c r="O22" s="48">
        <v>224.02857142857144</v>
      </c>
      <c r="P22" s="48">
        <v>36.457142857142863</v>
      </c>
      <c r="Q22" s="34"/>
    </row>
    <row r="23" spans="1:21" ht="17.25" x14ac:dyDescent="0.35">
      <c r="A23" s="35" t="s">
        <v>4</v>
      </c>
      <c r="B23" s="48">
        <f t="shared" ref="B23:N23" si="3">IFERROR(AVERAGE(B14:B20),"")</f>
        <v>2380.6142857142854</v>
      </c>
      <c r="C23" s="48">
        <f>IFERROR(AVERAGE(C14:C20),"")</f>
        <v>566.02857142857135</v>
      </c>
      <c r="D23" s="48">
        <f>IFERROR(AVERAGE(D14:D20),"")</f>
        <v>63.585714285714289</v>
      </c>
      <c r="E23" s="48">
        <f>IFERROR(AVERAGE(E14:E20),"")</f>
        <v>275.51428571428573</v>
      </c>
      <c r="F23" s="48">
        <f t="shared" si="3"/>
        <v>75987.142857142855</v>
      </c>
      <c r="G23" s="48">
        <f t="shared" si="3"/>
        <v>22.499999999999996</v>
      </c>
      <c r="H23" s="48">
        <f t="shared" si="3"/>
        <v>13.900000000000002</v>
      </c>
      <c r="I23" s="62">
        <f t="shared" si="3"/>
        <v>27.257142857142863</v>
      </c>
      <c r="J23" s="64">
        <f>IFERROR(AVERAGE(J14:J20),"")</f>
        <v>43.857142857142854</v>
      </c>
      <c r="K23" s="48">
        <f>IFERROR(AVERAGE(K14:K20),"")</f>
        <v>77292.28571428571</v>
      </c>
      <c r="L23" s="48">
        <f>IFERROR(AVERAGE(L14:L20),"")</f>
        <v>31.642857142857142</v>
      </c>
      <c r="M23" s="48">
        <f>IFERROR(AVERAGE(M14:M20),"")</f>
        <v>5.2714285714285714</v>
      </c>
      <c r="N23" s="48">
        <f t="shared" si="3"/>
        <v>1143.6428571428571</v>
      </c>
      <c r="O23" s="48">
        <f>IFERROR(AVERAGE(O14:O20),"")</f>
        <v>167.08571428571432</v>
      </c>
      <c r="P23" s="48">
        <f>IFERROR(AVERAGE(P14:P20),"")</f>
        <v>34</v>
      </c>
      <c r="Q23" s="34"/>
    </row>
    <row r="24" spans="1:21" ht="17.25" x14ac:dyDescent="0.35">
      <c r="A24" s="35" t="s">
        <v>5</v>
      </c>
      <c r="B24" s="41">
        <f t="shared" ref="B24:P24" si="4">IFERROR(-(B22-B23)/B22,"")</f>
        <v>0.45064635473340559</v>
      </c>
      <c r="C24" s="41">
        <f t="shared" si="4"/>
        <v>-0.31705046883618315</v>
      </c>
      <c r="D24" s="41">
        <f t="shared" si="4"/>
        <v>-3.1338411316648634E-2</v>
      </c>
      <c r="E24" s="41">
        <f t="shared" si="4"/>
        <v>0.22040118964753547</v>
      </c>
      <c r="F24" s="41">
        <f t="shared" si="4"/>
        <v>-6.1382225006396694E-2</v>
      </c>
      <c r="G24" s="41">
        <f t="shared" si="4"/>
        <v>-0.10102739726027411</v>
      </c>
      <c r="H24" s="41">
        <f t="shared" si="4"/>
        <v>0.38406827880512112</v>
      </c>
      <c r="I24" s="63">
        <f t="shared" si="4"/>
        <v>-7.6029055690072428E-2</v>
      </c>
      <c r="J24" s="65">
        <f t="shared" si="4"/>
        <v>8.7495572086432785E-2</v>
      </c>
      <c r="K24" s="41">
        <f t="shared" si="4"/>
        <v>-0.23875036230150801</v>
      </c>
      <c r="L24" s="41">
        <f t="shared" si="4"/>
        <v>6.8499758803666058E-2</v>
      </c>
      <c r="M24" s="41">
        <f t="shared" si="4"/>
        <v>-0.30639097744360916</v>
      </c>
      <c r="N24" s="41">
        <f t="shared" si="4"/>
        <v>-0.32275011420740063</v>
      </c>
      <c r="O24" s="41">
        <f t="shared" si="4"/>
        <v>-0.25417676316796317</v>
      </c>
      <c r="P24" s="41">
        <f t="shared" si="4"/>
        <v>-6.7398119122257197E-2</v>
      </c>
    </row>
    <row r="25" spans="1:21" x14ac:dyDescent="0.25">
      <c r="B25" s="73" t="s">
        <v>28</v>
      </c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</row>
    <row r="26" spans="1:21" x14ac:dyDescent="0.25"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</row>
    <row r="27" spans="1:21" x14ac:dyDescent="0.25">
      <c r="A27" s="32"/>
      <c r="B27" s="82" t="s">
        <v>13</v>
      </c>
      <c r="C27" s="83"/>
      <c r="D27" s="83"/>
      <c r="E27" s="83"/>
      <c r="F27" s="83"/>
      <c r="G27" s="83"/>
      <c r="H27" s="83"/>
      <c r="I27" s="84"/>
      <c r="J27" s="85" t="s">
        <v>14</v>
      </c>
      <c r="K27" s="86"/>
      <c r="L27" s="86"/>
      <c r="M27" s="86"/>
      <c r="N27" s="86"/>
      <c r="O27" s="86"/>
      <c r="P27" s="87"/>
    </row>
    <row r="28" spans="1:21" x14ac:dyDescent="0.2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ht="17.25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ht="17.25" x14ac:dyDescent="0.35">
      <c r="A30" s="35" t="s">
        <v>1</v>
      </c>
      <c r="B30" s="40">
        <f t="shared" ref="B30:P30" si="5">IFERROR(AVERAGE(B$34:B$36),"")</f>
        <v>1595.4666666666665</v>
      </c>
      <c r="C30" s="40">
        <f t="shared" si="5"/>
        <v>628.5</v>
      </c>
      <c r="D30" s="40">
        <f t="shared" si="5"/>
        <v>65.333333333333329</v>
      </c>
      <c r="E30" s="40">
        <f t="shared" si="5"/>
        <v>263.73333333333335</v>
      </c>
      <c r="F30" s="40">
        <f t="shared" si="5"/>
        <v>66511.333333333328</v>
      </c>
      <c r="G30" s="40">
        <f t="shared" si="5"/>
        <v>26.666666666666668</v>
      </c>
      <c r="H30" s="40">
        <f t="shared" si="5"/>
        <v>10.666666666666666</v>
      </c>
      <c r="I30" s="53">
        <f t="shared" si="5"/>
        <v>26.100000000000005</v>
      </c>
      <c r="J30" s="55">
        <f t="shared" si="5"/>
        <v>41.1</v>
      </c>
      <c r="K30" s="40">
        <f t="shared" si="5"/>
        <v>80796.666666666672</v>
      </c>
      <c r="L30" s="40">
        <f t="shared" si="5"/>
        <v>30.2</v>
      </c>
      <c r="M30" s="40">
        <f t="shared" si="5"/>
        <v>6.0666666666666664</v>
      </c>
      <c r="N30" s="40">
        <f t="shared" si="5"/>
        <v>1088.3333333333333</v>
      </c>
      <c r="O30" s="40">
        <f t="shared" si="5"/>
        <v>182.13333333333333</v>
      </c>
      <c r="P30" s="40">
        <f t="shared" si="5"/>
        <v>33.133333333333333</v>
      </c>
      <c r="Q30" s="34"/>
    </row>
    <row r="31" spans="1:21" ht="17.25" x14ac:dyDescent="0.35">
      <c r="A31" s="35" t="s">
        <v>2</v>
      </c>
      <c r="B31" s="40">
        <f>IFERROR(AVERAGE(B$37:B$40),"")</f>
        <v>2969.4749999999999</v>
      </c>
      <c r="C31" s="40">
        <f t="shared" ref="C31:P31" si="6">IFERROR(AVERAGE(C$37:C$40),"")</f>
        <v>519.17499999999995</v>
      </c>
      <c r="D31" s="40">
        <f t="shared" si="6"/>
        <v>62.274999999999999</v>
      </c>
      <c r="E31" s="40">
        <f t="shared" si="6"/>
        <v>284.35000000000002</v>
      </c>
      <c r="F31" s="40">
        <f t="shared" si="6"/>
        <v>83094</v>
      </c>
      <c r="G31" s="40">
        <f t="shared" si="6"/>
        <v>19.375</v>
      </c>
      <c r="H31" s="40">
        <f t="shared" si="6"/>
        <v>16.325000000000003</v>
      </c>
      <c r="I31" s="53">
        <f t="shared" si="6"/>
        <v>28.125</v>
      </c>
      <c r="J31" s="55">
        <f t="shared" si="6"/>
        <v>45.924999999999997</v>
      </c>
      <c r="K31" s="40">
        <f t="shared" si="6"/>
        <v>74664</v>
      </c>
      <c r="L31" s="40">
        <f t="shared" si="6"/>
        <v>32.724999999999994</v>
      </c>
      <c r="M31" s="40">
        <f t="shared" si="6"/>
        <v>4.6750000000000007</v>
      </c>
      <c r="N31" s="40">
        <f t="shared" si="6"/>
        <v>1185.125</v>
      </c>
      <c r="O31" s="40">
        <f t="shared" si="6"/>
        <v>155.79999999999998</v>
      </c>
      <c r="P31" s="40">
        <f t="shared" si="6"/>
        <v>34.65</v>
      </c>
      <c r="Q31" s="34"/>
    </row>
    <row r="32" spans="1:21" ht="17.25" x14ac:dyDescent="0.35">
      <c r="A32" s="35" t="s">
        <v>27</v>
      </c>
      <c r="B32" s="48">
        <f t="shared" ref="B32:P32" si="7">IFERROR(ABS(B$31-B$30), "")</f>
        <v>1374.0083333333334</v>
      </c>
      <c r="C32" s="48">
        <f t="shared" si="7"/>
        <v>109.32500000000005</v>
      </c>
      <c r="D32" s="48">
        <f t="shared" si="7"/>
        <v>3.05833333333333</v>
      </c>
      <c r="E32" s="48">
        <f t="shared" si="7"/>
        <v>20.616666666666674</v>
      </c>
      <c r="F32" s="48">
        <f t="shared" si="7"/>
        <v>16582.666666666672</v>
      </c>
      <c r="G32" s="48">
        <f t="shared" si="7"/>
        <v>7.2916666666666679</v>
      </c>
      <c r="H32" s="48">
        <f t="shared" si="7"/>
        <v>5.6583333333333368</v>
      </c>
      <c r="I32" s="62">
        <f t="shared" si="7"/>
        <v>2.024999999999995</v>
      </c>
      <c r="J32" s="64">
        <f t="shared" si="7"/>
        <v>4.8249999999999957</v>
      </c>
      <c r="K32" s="48">
        <f t="shared" si="7"/>
        <v>6132.6666666666715</v>
      </c>
      <c r="L32" s="48">
        <f t="shared" si="7"/>
        <v>2.524999999999995</v>
      </c>
      <c r="M32" s="48">
        <f t="shared" si="7"/>
        <v>1.3916666666666657</v>
      </c>
      <c r="N32" s="48">
        <f t="shared" si="7"/>
        <v>96.791666666666742</v>
      </c>
      <c r="O32" s="48">
        <f t="shared" si="7"/>
        <v>26.333333333333343</v>
      </c>
      <c r="P32" s="48">
        <f t="shared" si="7"/>
        <v>1.5166666666666657</v>
      </c>
      <c r="Q32" s="72"/>
    </row>
    <row r="33" spans="1:18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ht="17.25" x14ac:dyDescent="0.35">
      <c r="A34" s="51">
        <v>44101</v>
      </c>
      <c r="B34" s="42">
        <v>1650.1</v>
      </c>
      <c r="C34" s="42">
        <v>528.29999999999995</v>
      </c>
      <c r="D34" s="42">
        <v>55.1</v>
      </c>
      <c r="E34" s="42">
        <v>264.10000000000002</v>
      </c>
      <c r="F34" s="43">
        <v>58660</v>
      </c>
      <c r="G34" s="42">
        <v>24.4</v>
      </c>
      <c r="H34" s="42">
        <v>11</v>
      </c>
      <c r="I34" s="56">
        <v>25.8</v>
      </c>
      <c r="J34" s="59">
        <v>38.200000000000003</v>
      </c>
      <c r="K34" s="43">
        <v>85405</v>
      </c>
      <c r="L34" s="42">
        <v>28</v>
      </c>
      <c r="M34" s="42">
        <v>6.6</v>
      </c>
      <c r="N34" s="42">
        <v>1079.7</v>
      </c>
      <c r="O34" s="42">
        <v>181.4</v>
      </c>
      <c r="P34" s="42">
        <v>36.299999999999997</v>
      </c>
      <c r="Q34" s="34"/>
    </row>
    <row r="35" spans="1:18" ht="17.25" x14ac:dyDescent="0.35">
      <c r="A35" s="51">
        <v>44102</v>
      </c>
      <c r="B35" s="42">
        <v>1749</v>
      </c>
      <c r="C35" s="42">
        <v>497.7</v>
      </c>
      <c r="D35" s="42">
        <v>74.599999999999994</v>
      </c>
      <c r="E35" s="42">
        <v>228.6</v>
      </c>
      <c r="F35" s="43">
        <v>52761</v>
      </c>
      <c r="G35" s="42">
        <v>24.8</v>
      </c>
      <c r="H35" s="42">
        <v>10.3</v>
      </c>
      <c r="I35" s="56">
        <v>23.6</v>
      </c>
      <c r="J35" s="59">
        <v>37.700000000000003</v>
      </c>
      <c r="K35" s="43">
        <v>78257</v>
      </c>
      <c r="L35" s="42">
        <v>29.1</v>
      </c>
      <c r="M35" s="42">
        <v>6</v>
      </c>
      <c r="N35" s="42">
        <v>1074.5999999999999</v>
      </c>
      <c r="O35" s="42">
        <v>176.1</v>
      </c>
      <c r="P35" s="42">
        <v>34</v>
      </c>
      <c r="Q35" s="34"/>
    </row>
    <row r="36" spans="1:18" ht="17.25" x14ac:dyDescent="0.35">
      <c r="A36" s="51">
        <v>44103</v>
      </c>
      <c r="B36" s="42">
        <v>1387.3</v>
      </c>
      <c r="C36" s="42">
        <v>859.5</v>
      </c>
      <c r="D36" s="42">
        <v>66.3</v>
      </c>
      <c r="E36" s="42">
        <v>298.5</v>
      </c>
      <c r="F36" s="43">
        <v>88113</v>
      </c>
      <c r="G36" s="42">
        <v>30.8</v>
      </c>
      <c r="H36" s="42">
        <v>10.7</v>
      </c>
      <c r="I36" s="56">
        <v>28.9</v>
      </c>
      <c r="J36" s="59">
        <v>47.4</v>
      </c>
      <c r="K36" s="43">
        <v>78728</v>
      </c>
      <c r="L36" s="42">
        <v>33.5</v>
      </c>
      <c r="M36" s="42">
        <v>5.6</v>
      </c>
      <c r="N36" s="42">
        <v>1110.7</v>
      </c>
      <c r="O36" s="42">
        <v>188.9</v>
      </c>
      <c r="P36" s="42">
        <v>29.1</v>
      </c>
      <c r="Q36" s="34"/>
    </row>
    <row r="37" spans="1:18" ht="17.25" x14ac:dyDescent="0.35">
      <c r="A37" s="51">
        <v>44104</v>
      </c>
      <c r="B37" s="46">
        <v>2367</v>
      </c>
      <c r="C37" s="46">
        <v>394</v>
      </c>
      <c r="D37" s="46">
        <v>59.5</v>
      </c>
      <c r="E37" s="46">
        <v>254.2</v>
      </c>
      <c r="F37" s="47">
        <v>64078</v>
      </c>
      <c r="G37" s="46">
        <v>18</v>
      </c>
      <c r="H37" s="46">
        <v>15.9</v>
      </c>
      <c r="I37" s="57">
        <v>31.2</v>
      </c>
      <c r="J37" s="60">
        <v>46</v>
      </c>
      <c r="K37" s="47">
        <v>78948</v>
      </c>
      <c r="L37" s="46">
        <v>34.4</v>
      </c>
      <c r="M37" s="46">
        <v>4.8</v>
      </c>
      <c r="N37" s="46">
        <v>1546.9</v>
      </c>
      <c r="O37" s="46">
        <v>172.6</v>
      </c>
      <c r="P37" s="46">
        <v>33.4</v>
      </c>
      <c r="Q37" s="34"/>
    </row>
    <row r="38" spans="1:18" ht="17.25" x14ac:dyDescent="0.35">
      <c r="A38" s="51">
        <v>44105</v>
      </c>
      <c r="B38" s="44">
        <v>4767.2</v>
      </c>
      <c r="C38" s="44">
        <v>615.6</v>
      </c>
      <c r="D38" s="44">
        <v>71.599999999999994</v>
      </c>
      <c r="E38" s="44">
        <v>464</v>
      </c>
      <c r="F38" s="45">
        <v>147069</v>
      </c>
      <c r="G38" s="44">
        <v>20.6</v>
      </c>
      <c r="H38" s="44">
        <v>25.3</v>
      </c>
      <c r="I38" s="58">
        <v>27.2</v>
      </c>
      <c r="J38" s="61">
        <v>43</v>
      </c>
      <c r="K38" s="45">
        <v>76481</v>
      </c>
      <c r="L38" s="44">
        <v>29.9</v>
      </c>
      <c r="M38" s="44">
        <v>5.2</v>
      </c>
      <c r="N38" s="44">
        <v>1284</v>
      </c>
      <c r="O38" s="44">
        <v>156.6</v>
      </c>
      <c r="P38" s="44">
        <v>35.6</v>
      </c>
      <c r="Q38" s="34"/>
    </row>
    <row r="39" spans="1:18" ht="17.25" x14ac:dyDescent="0.35">
      <c r="A39" s="51">
        <v>44106</v>
      </c>
      <c r="B39" s="44">
        <v>3193.9</v>
      </c>
      <c r="C39" s="44">
        <v>402.6</v>
      </c>
      <c r="D39" s="44">
        <v>46.9</v>
      </c>
      <c r="E39" s="44">
        <v>225.4</v>
      </c>
      <c r="F39" s="45">
        <v>61165</v>
      </c>
      <c r="G39" s="44">
        <v>15.2</v>
      </c>
      <c r="H39" s="44">
        <v>15.7</v>
      </c>
      <c r="I39" s="58">
        <v>27.8</v>
      </c>
      <c r="J39" s="61">
        <v>49.4</v>
      </c>
      <c r="K39" s="45">
        <v>73257</v>
      </c>
      <c r="L39" s="44">
        <v>33.799999999999997</v>
      </c>
      <c r="M39" s="44">
        <v>4.3</v>
      </c>
      <c r="N39" s="44">
        <v>921.4</v>
      </c>
      <c r="O39" s="44">
        <v>147.6</v>
      </c>
      <c r="P39" s="44">
        <v>34.299999999999997</v>
      </c>
      <c r="Q39" s="34"/>
    </row>
    <row r="40" spans="1:18" ht="17.25" x14ac:dyDescent="0.35">
      <c r="A40" s="51">
        <v>44107</v>
      </c>
      <c r="B40" s="44">
        <v>1549.8</v>
      </c>
      <c r="C40" s="44">
        <v>664.5</v>
      </c>
      <c r="D40" s="44">
        <v>71.099999999999994</v>
      </c>
      <c r="E40" s="44">
        <v>193.8</v>
      </c>
      <c r="F40" s="45">
        <v>60064</v>
      </c>
      <c r="G40" s="44">
        <v>23.7</v>
      </c>
      <c r="H40" s="44">
        <v>8.4</v>
      </c>
      <c r="I40" s="58">
        <v>26.3</v>
      </c>
      <c r="J40" s="61">
        <v>45.3</v>
      </c>
      <c r="K40" s="45">
        <v>69970</v>
      </c>
      <c r="L40" s="44">
        <v>32.799999999999997</v>
      </c>
      <c r="M40" s="44">
        <v>4.4000000000000004</v>
      </c>
      <c r="N40" s="44">
        <v>988.2</v>
      </c>
      <c r="O40" s="44">
        <v>146.4</v>
      </c>
      <c r="P40" s="44">
        <v>35.299999999999997</v>
      </c>
      <c r="Q40" s="34"/>
    </row>
    <row r="41" spans="1:18" ht="17.25" x14ac:dyDescent="0.35">
      <c r="A41" s="35"/>
      <c r="B41" s="78"/>
      <c r="C41" s="78"/>
      <c r="D41" s="78"/>
      <c r="E41" s="78"/>
      <c r="F41" s="37"/>
      <c r="G41" s="78"/>
      <c r="H41" s="78"/>
      <c r="I41" s="78"/>
      <c r="J41" s="78"/>
      <c r="K41" s="37"/>
      <c r="L41" s="78"/>
      <c r="M41" s="78"/>
      <c r="N41" s="78"/>
      <c r="O41" s="78"/>
      <c r="P41" s="78"/>
      <c r="Q41" s="34"/>
    </row>
    <row r="42" spans="1:18" ht="17.25" x14ac:dyDescent="0.35">
      <c r="A42" s="35" t="s">
        <v>3</v>
      </c>
      <c r="B42" s="48">
        <v>1641.0714285714287</v>
      </c>
      <c r="C42" s="48">
        <v>828.8</v>
      </c>
      <c r="D42" s="48">
        <v>65.642857142857153</v>
      </c>
      <c r="E42" s="48">
        <v>225.75714285714284</v>
      </c>
      <c r="F42" s="48">
        <v>80956.428571428565</v>
      </c>
      <c r="G42" s="48">
        <v>25.028571428571428</v>
      </c>
      <c r="H42" s="48">
        <v>10.042857142857143</v>
      </c>
      <c r="I42" s="62">
        <v>29.5</v>
      </c>
      <c r="J42" s="64">
        <v>40.328571428571429</v>
      </c>
      <c r="K42" s="48">
        <v>101533.42857142857</v>
      </c>
      <c r="L42" s="48">
        <v>29.614285714285717</v>
      </c>
      <c r="M42" s="48">
        <v>7.6000000000000014</v>
      </c>
      <c r="N42" s="48">
        <v>1688.6571428571428</v>
      </c>
      <c r="O42" s="48">
        <v>224.02857142857144</v>
      </c>
      <c r="P42" s="48">
        <v>36.457142857142863</v>
      </c>
      <c r="Q42" s="34"/>
    </row>
    <row r="43" spans="1:18" ht="17.25" x14ac:dyDescent="0.35">
      <c r="A43" s="35" t="s">
        <v>4</v>
      </c>
      <c r="B43" s="48">
        <f>IFERROR(AVERAGE(B34:B40),"")</f>
        <v>2380.6142857142854</v>
      </c>
      <c r="C43" s="48">
        <f>IFERROR(AVERAGE(C34:C40),"")</f>
        <v>566.02857142857135</v>
      </c>
      <c r="D43" s="48">
        <f>IFERROR(AVERAGE(D34:D40),"")</f>
        <v>63.585714285714289</v>
      </c>
      <c r="E43" s="48">
        <f>IFERROR(AVERAGE(E34:E40),"")</f>
        <v>275.51428571428573</v>
      </c>
      <c r="F43" s="48">
        <f t="shared" ref="F43:N43" si="8">IFERROR(AVERAGE(F34:F40),"")</f>
        <v>75987.142857142855</v>
      </c>
      <c r="G43" s="48">
        <f t="shared" si="8"/>
        <v>22.499999999999996</v>
      </c>
      <c r="H43" s="48">
        <f t="shared" si="8"/>
        <v>13.900000000000002</v>
      </c>
      <c r="I43" s="62">
        <f t="shared" si="8"/>
        <v>27.257142857142863</v>
      </c>
      <c r="J43" s="64">
        <f>IFERROR(AVERAGE(J34:J40),"")</f>
        <v>43.857142857142854</v>
      </c>
      <c r="K43" s="48">
        <f>IFERROR(AVERAGE(K34:K40),"")</f>
        <v>77292.28571428571</v>
      </c>
      <c r="L43" s="48">
        <f>IFERROR(AVERAGE(L34:L40),"")</f>
        <v>31.642857142857142</v>
      </c>
      <c r="M43" s="48">
        <f>IFERROR(AVERAGE(M34:M40),"")</f>
        <v>5.2714285714285714</v>
      </c>
      <c r="N43" s="48">
        <f t="shared" si="8"/>
        <v>1143.6428571428571</v>
      </c>
      <c r="O43" s="48">
        <f>IFERROR(AVERAGE(O34:O40),"")</f>
        <v>167.08571428571432</v>
      </c>
      <c r="P43" s="48">
        <f>IFERROR(AVERAGE(P34:P40),"")</f>
        <v>34</v>
      </c>
      <c r="Q43" s="34"/>
    </row>
    <row r="44" spans="1:18" ht="17.25" x14ac:dyDescent="0.35">
      <c r="A44" s="35" t="s">
        <v>5</v>
      </c>
      <c r="B44" s="41">
        <f>IFERROR((B43-B42)/B42,"")</f>
        <v>0.45064635473340559</v>
      </c>
      <c r="C44" s="41">
        <f t="shared" ref="C44:P44" si="9">IFERROR(-(C42-C43)/C42,"")</f>
        <v>-0.31705046883618315</v>
      </c>
      <c r="D44" s="41">
        <f t="shared" si="9"/>
        <v>-3.1338411316648634E-2</v>
      </c>
      <c r="E44" s="41">
        <f t="shared" si="9"/>
        <v>0.22040118964753547</v>
      </c>
      <c r="F44" s="41">
        <f t="shared" si="9"/>
        <v>-6.1382225006396694E-2</v>
      </c>
      <c r="G44" s="41">
        <f t="shared" si="9"/>
        <v>-0.10102739726027411</v>
      </c>
      <c r="H44" s="41">
        <f t="shared" si="9"/>
        <v>0.38406827880512112</v>
      </c>
      <c r="I44" s="63">
        <f t="shared" si="9"/>
        <v>-7.6029055690072428E-2</v>
      </c>
      <c r="J44" s="65">
        <f t="shared" si="9"/>
        <v>8.7495572086432785E-2</v>
      </c>
      <c r="K44" s="41">
        <f t="shared" si="9"/>
        <v>-0.23875036230150801</v>
      </c>
      <c r="L44" s="41">
        <f t="shared" si="9"/>
        <v>6.8499758803666058E-2</v>
      </c>
      <c r="M44" s="41">
        <f t="shared" si="9"/>
        <v>-0.30639097744360916</v>
      </c>
      <c r="N44" s="41">
        <f t="shared" si="9"/>
        <v>-0.32275011420740063</v>
      </c>
      <c r="O44" s="41">
        <f t="shared" si="9"/>
        <v>-0.25417676316796317</v>
      </c>
      <c r="P44" s="41">
        <f t="shared" si="9"/>
        <v>-6.7398119122257197E-2</v>
      </c>
    </row>
    <row r="45" spans="1:18" x14ac:dyDescent="0.2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S186"/>
  <sheetViews>
    <sheetView workbookViewId="0">
      <selection sqref="A1:A1048576"/>
    </sheetView>
  </sheetViews>
  <sheetFormatPr defaultRowHeight="15" x14ac:dyDescent="0.25"/>
  <cols>
    <col min="1" max="1" width="18.140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9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</row>
    <row r="2" spans="1:19" x14ac:dyDescent="0.25">
      <c r="A2" t="s">
        <v>53</v>
      </c>
      <c r="B2">
        <v>1</v>
      </c>
      <c r="C2" t="s">
        <v>54</v>
      </c>
      <c r="D2" t="s">
        <v>6</v>
      </c>
      <c r="E2" t="s">
        <v>13</v>
      </c>
      <c r="F2" t="s">
        <v>55</v>
      </c>
      <c r="G2" t="s">
        <v>56</v>
      </c>
      <c r="H2">
        <v>58660</v>
      </c>
      <c r="I2">
        <v>35.549999999999997</v>
      </c>
      <c r="J2">
        <v>1650.07032348804</v>
      </c>
      <c r="K2">
        <v>995.00000399999999</v>
      </c>
      <c r="L2">
        <v>58.954773632342601</v>
      </c>
      <c r="M2">
        <v>23.4047736323426</v>
      </c>
      <c r="N2">
        <v>1.6583621274920499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25">
      <c r="A3" t="s">
        <v>53</v>
      </c>
      <c r="B3">
        <v>2</v>
      </c>
      <c r="C3" t="s">
        <v>57</v>
      </c>
      <c r="D3" t="s">
        <v>58</v>
      </c>
      <c r="E3" t="s">
        <v>13</v>
      </c>
      <c r="F3" t="s">
        <v>55</v>
      </c>
      <c r="G3" t="s">
        <v>59</v>
      </c>
      <c r="H3">
        <v>500</v>
      </c>
      <c r="I3">
        <v>0.80555555555555503</v>
      </c>
      <c r="J3">
        <v>620.68965517241304</v>
      </c>
      <c r="K3">
        <v>275.00000399999999</v>
      </c>
      <c r="L3">
        <v>1.8181817917355301</v>
      </c>
      <c r="M3">
        <v>1.01262623617998</v>
      </c>
      <c r="N3">
        <v>2.25705325870618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25">
      <c r="A4" t="s">
        <v>53</v>
      </c>
      <c r="B4">
        <v>3</v>
      </c>
      <c r="C4" t="s">
        <v>60</v>
      </c>
      <c r="D4" t="s">
        <v>61</v>
      </c>
      <c r="E4" t="s">
        <v>13</v>
      </c>
      <c r="F4" t="s">
        <v>55</v>
      </c>
      <c r="G4" t="s">
        <v>59</v>
      </c>
      <c r="H4">
        <v>1290</v>
      </c>
      <c r="I4">
        <v>2.72444444444444</v>
      </c>
      <c r="J4">
        <v>473.49102773246301</v>
      </c>
      <c r="K4">
        <v>101.999988</v>
      </c>
      <c r="L4">
        <v>12.6470603114188</v>
      </c>
      <c r="M4">
        <v>9.9226158669744091</v>
      </c>
      <c r="N4">
        <v>4.6420694454636902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25">
      <c r="A5" t="s">
        <v>53</v>
      </c>
      <c r="B5">
        <v>4</v>
      </c>
      <c r="C5" t="s">
        <v>62</v>
      </c>
      <c r="D5" t="s">
        <v>63</v>
      </c>
      <c r="E5" t="s">
        <v>13</v>
      </c>
      <c r="F5" t="s">
        <v>55</v>
      </c>
      <c r="G5" t="s">
        <v>59</v>
      </c>
      <c r="H5">
        <v>10</v>
      </c>
      <c r="I5">
        <v>0.77666666666666595</v>
      </c>
      <c r="J5">
        <v>12.8755364806866</v>
      </c>
      <c r="K5">
        <v>52.999991999999999</v>
      </c>
      <c r="L5">
        <v>0.18867927376290899</v>
      </c>
      <c r="M5">
        <v>-0.58798739290375701</v>
      </c>
      <c r="N5">
        <v>0.24293468724838099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25">
      <c r="A6" t="s">
        <v>53</v>
      </c>
      <c r="B6">
        <v>5</v>
      </c>
      <c r="C6" t="s">
        <v>64</v>
      </c>
      <c r="D6" t="s">
        <v>65</v>
      </c>
      <c r="E6" t="s">
        <v>13</v>
      </c>
      <c r="F6" t="s">
        <v>55</v>
      </c>
      <c r="G6" t="s">
        <v>59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25">
      <c r="A7" t="s">
        <v>53</v>
      </c>
      <c r="B7">
        <v>6</v>
      </c>
      <c r="C7" t="s">
        <v>66</v>
      </c>
      <c r="D7" t="s">
        <v>67</v>
      </c>
      <c r="E7" t="s">
        <v>13</v>
      </c>
      <c r="F7" t="s">
        <v>55</v>
      </c>
      <c r="G7" t="s">
        <v>59</v>
      </c>
      <c r="H7">
        <v>1800</v>
      </c>
      <c r="I7">
        <v>4.3066666666666604</v>
      </c>
      <c r="J7">
        <v>417.95665634674901</v>
      </c>
      <c r="K7">
        <v>122.834015121395</v>
      </c>
      <c r="L7">
        <v>14.6539213769173</v>
      </c>
      <c r="M7">
        <v>10.347254710250599</v>
      </c>
      <c r="N7">
        <v>3.4026133228136102</v>
      </c>
      <c r="P7">
        <v>0</v>
      </c>
      <c r="Q7">
        <v>0</v>
      </c>
      <c r="R7">
        <v>0</v>
      </c>
      <c r="S7">
        <v>0</v>
      </c>
    </row>
    <row r="8" spans="1:19" x14ac:dyDescent="0.25">
      <c r="A8" t="s">
        <v>53</v>
      </c>
      <c r="B8">
        <v>7</v>
      </c>
      <c r="C8" t="s">
        <v>68</v>
      </c>
      <c r="D8" t="s">
        <v>69</v>
      </c>
      <c r="E8" t="s">
        <v>13</v>
      </c>
      <c r="F8" t="s">
        <v>55</v>
      </c>
      <c r="G8" t="s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25">
      <c r="A9" t="s">
        <v>53</v>
      </c>
      <c r="B9">
        <v>8</v>
      </c>
      <c r="C9" t="s">
        <v>70</v>
      </c>
      <c r="D9" t="s">
        <v>71</v>
      </c>
      <c r="E9" t="s">
        <v>13</v>
      </c>
      <c r="F9" t="s">
        <v>55</v>
      </c>
      <c r="G9" t="s">
        <v>59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25">
      <c r="A10" t="s">
        <v>53</v>
      </c>
      <c r="B10">
        <v>9</v>
      </c>
      <c r="C10" t="s">
        <v>72</v>
      </c>
      <c r="D10" t="s">
        <v>73</v>
      </c>
      <c r="E10" t="s">
        <v>13</v>
      </c>
      <c r="F10" t="s">
        <v>55</v>
      </c>
      <c r="G10" t="s">
        <v>59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25">
      <c r="A11" t="s">
        <v>53</v>
      </c>
      <c r="B11">
        <v>10</v>
      </c>
      <c r="C11" t="s">
        <v>74</v>
      </c>
      <c r="D11" t="s">
        <v>75</v>
      </c>
      <c r="E11" t="s">
        <v>13</v>
      </c>
      <c r="F11" t="s">
        <v>55</v>
      </c>
      <c r="G11" t="s">
        <v>59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25">
      <c r="A12" t="s">
        <v>53</v>
      </c>
      <c r="B12">
        <v>11</v>
      </c>
      <c r="C12" t="s">
        <v>76</v>
      </c>
      <c r="D12" t="s">
        <v>77</v>
      </c>
      <c r="E12" t="s">
        <v>13</v>
      </c>
      <c r="F12" t="s">
        <v>55</v>
      </c>
      <c r="G12" t="s">
        <v>59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25">
      <c r="A13" t="s">
        <v>53</v>
      </c>
      <c r="B13">
        <v>12</v>
      </c>
      <c r="C13" t="s">
        <v>78</v>
      </c>
      <c r="D13" t="s">
        <v>79</v>
      </c>
      <c r="E13" t="s">
        <v>13</v>
      </c>
      <c r="F13" t="s">
        <v>55</v>
      </c>
      <c r="G13" t="s">
        <v>80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25">
      <c r="A14" t="s">
        <v>53</v>
      </c>
      <c r="B14">
        <v>13</v>
      </c>
      <c r="C14" t="s">
        <v>81</v>
      </c>
      <c r="D14" t="s">
        <v>7</v>
      </c>
      <c r="E14" t="s">
        <v>13</v>
      </c>
      <c r="F14" t="s">
        <v>55</v>
      </c>
      <c r="G14" t="s">
        <v>80</v>
      </c>
      <c r="H14">
        <v>5318</v>
      </c>
      <c r="I14">
        <v>5.3366666666666598</v>
      </c>
      <c r="J14">
        <v>996.50218613366599</v>
      </c>
      <c r="K14">
        <v>524.99998800000003</v>
      </c>
      <c r="L14">
        <v>10.129524041055699</v>
      </c>
      <c r="M14">
        <v>4.7928573743891203</v>
      </c>
      <c r="N14">
        <v>1.8980994455444899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25">
      <c r="A15" t="s">
        <v>53</v>
      </c>
      <c r="B15">
        <v>14</v>
      </c>
      <c r="C15" t="s">
        <v>82</v>
      </c>
      <c r="D15" t="s">
        <v>83</v>
      </c>
      <c r="E15" t="s">
        <v>13</v>
      </c>
      <c r="F15" t="s">
        <v>55</v>
      </c>
      <c r="G15" t="s">
        <v>84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25">
      <c r="A16" t="s">
        <v>53</v>
      </c>
      <c r="B16">
        <v>15</v>
      </c>
      <c r="C16" t="s">
        <v>85</v>
      </c>
      <c r="D16" t="s">
        <v>86</v>
      </c>
      <c r="E16" t="s">
        <v>13</v>
      </c>
      <c r="F16" t="s">
        <v>55</v>
      </c>
      <c r="G16" t="s">
        <v>56</v>
      </c>
      <c r="H16">
        <v>58660</v>
      </c>
      <c r="I16">
        <v>38.843611111111102</v>
      </c>
      <c r="J16">
        <v>1510.1582556834001</v>
      </c>
      <c r="K16">
        <v>2000.00001599999</v>
      </c>
      <c r="L16">
        <v>29.32999976536</v>
      </c>
      <c r="M16">
        <v>-9.5136113457510998</v>
      </c>
      <c r="N16">
        <v>0.75507912180106795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25">
      <c r="A17" t="s">
        <v>53</v>
      </c>
      <c r="B17">
        <v>16</v>
      </c>
      <c r="C17" t="s">
        <v>87</v>
      </c>
      <c r="D17" t="s">
        <v>88</v>
      </c>
      <c r="E17" t="s">
        <v>13</v>
      </c>
      <c r="F17" t="s">
        <v>55</v>
      </c>
      <c r="G17" t="s">
        <v>59</v>
      </c>
      <c r="H17">
        <v>58660</v>
      </c>
      <c r="I17">
        <v>84.036944444444401</v>
      </c>
      <c r="J17">
        <v>698.026331011823</v>
      </c>
      <c r="K17">
        <v>518.80184029101702</v>
      </c>
      <c r="L17">
        <v>113.068218815675</v>
      </c>
      <c r="M17">
        <v>29.031274371231198</v>
      </c>
      <c r="N17">
        <v>1.34545847142768</v>
      </c>
      <c r="P17">
        <v>0</v>
      </c>
      <c r="Q17">
        <v>0</v>
      </c>
      <c r="R17">
        <v>0</v>
      </c>
      <c r="S17">
        <v>0</v>
      </c>
    </row>
    <row r="18" spans="1:19" x14ac:dyDescent="0.25">
      <c r="A18" t="s">
        <v>53</v>
      </c>
      <c r="B18">
        <v>17</v>
      </c>
      <c r="C18" t="s">
        <v>89</v>
      </c>
      <c r="D18" t="s">
        <v>90</v>
      </c>
      <c r="E18" t="s">
        <v>13</v>
      </c>
      <c r="F18" t="s">
        <v>91</v>
      </c>
      <c r="G18" t="s">
        <v>80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25">
      <c r="A19" t="s">
        <v>53</v>
      </c>
      <c r="B19">
        <v>18</v>
      </c>
      <c r="C19" t="s">
        <v>92</v>
      </c>
      <c r="D19" t="s">
        <v>93</v>
      </c>
      <c r="E19" t="s">
        <v>13</v>
      </c>
      <c r="F19" t="s">
        <v>91</v>
      </c>
      <c r="G19" t="s">
        <v>59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25">
      <c r="A20" t="s">
        <v>53</v>
      </c>
      <c r="B20">
        <v>19</v>
      </c>
      <c r="C20" t="s">
        <v>94</v>
      </c>
      <c r="D20" t="s">
        <v>95</v>
      </c>
      <c r="E20" t="s">
        <v>13</v>
      </c>
      <c r="F20" t="s">
        <v>91</v>
      </c>
      <c r="G20" t="s">
        <v>59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25">
      <c r="A21" t="s">
        <v>53</v>
      </c>
      <c r="B21">
        <v>20</v>
      </c>
      <c r="C21" t="s">
        <v>96</v>
      </c>
      <c r="D21" t="s">
        <v>97</v>
      </c>
      <c r="E21" t="s">
        <v>13</v>
      </c>
      <c r="F21" t="s">
        <v>91</v>
      </c>
      <c r="G21" t="s">
        <v>59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25">
      <c r="A22" t="s">
        <v>53</v>
      </c>
      <c r="B22">
        <v>21</v>
      </c>
      <c r="C22" t="s">
        <v>98</v>
      </c>
      <c r="D22" t="s">
        <v>99</v>
      </c>
      <c r="E22" t="s">
        <v>13</v>
      </c>
      <c r="F22" t="s">
        <v>91</v>
      </c>
      <c r="G22" t="s">
        <v>59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25">
      <c r="A23" t="s">
        <v>53</v>
      </c>
      <c r="B23">
        <v>22</v>
      </c>
      <c r="C23" t="s">
        <v>100</v>
      </c>
      <c r="D23" t="s">
        <v>101</v>
      </c>
      <c r="E23" t="s">
        <v>13</v>
      </c>
      <c r="F23" t="s">
        <v>91</v>
      </c>
      <c r="G23" t="s">
        <v>59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25">
      <c r="A24" t="s">
        <v>53</v>
      </c>
      <c r="B24">
        <v>23</v>
      </c>
      <c r="C24" t="s">
        <v>102</v>
      </c>
      <c r="D24" t="s">
        <v>103</v>
      </c>
      <c r="E24" t="s">
        <v>13</v>
      </c>
      <c r="F24" t="s">
        <v>91</v>
      </c>
      <c r="G24" t="s">
        <v>80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25">
      <c r="A25" t="s">
        <v>53</v>
      </c>
      <c r="B25">
        <v>24</v>
      </c>
      <c r="C25" t="s">
        <v>104</v>
      </c>
      <c r="D25" t="s">
        <v>105</v>
      </c>
      <c r="E25" t="s">
        <v>13</v>
      </c>
      <c r="F25" t="s">
        <v>91</v>
      </c>
      <c r="G25" t="s">
        <v>84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25">
      <c r="A26" t="s">
        <v>53</v>
      </c>
      <c r="B26">
        <v>25</v>
      </c>
      <c r="C26" t="s">
        <v>106</v>
      </c>
      <c r="D26" t="s">
        <v>107</v>
      </c>
      <c r="E26" t="s">
        <v>13</v>
      </c>
      <c r="F26" t="s">
        <v>91</v>
      </c>
      <c r="G26" t="s">
        <v>56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25">
      <c r="A27" t="s">
        <v>53</v>
      </c>
      <c r="B27">
        <v>26</v>
      </c>
      <c r="C27" t="s">
        <v>108</v>
      </c>
      <c r="D27" t="s">
        <v>109</v>
      </c>
      <c r="E27" t="s">
        <v>13</v>
      </c>
      <c r="F27" t="s">
        <v>91</v>
      </c>
      <c r="G27" t="s">
        <v>59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25">
      <c r="A28" t="s">
        <v>53</v>
      </c>
      <c r="B28">
        <v>27</v>
      </c>
      <c r="C28" t="s">
        <v>110</v>
      </c>
      <c r="D28" t="s">
        <v>111</v>
      </c>
      <c r="E28" t="s">
        <v>13</v>
      </c>
      <c r="F28" t="s">
        <v>112</v>
      </c>
      <c r="G28" t="s">
        <v>59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25">
      <c r="A29" t="s">
        <v>53</v>
      </c>
      <c r="B29">
        <v>28</v>
      </c>
      <c r="C29" t="s">
        <v>113</v>
      </c>
      <c r="D29" t="s">
        <v>114</v>
      </c>
      <c r="E29" t="s">
        <v>13</v>
      </c>
      <c r="F29" t="s">
        <v>112</v>
      </c>
      <c r="G29" t="s">
        <v>59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25">
      <c r="A30" t="s">
        <v>53</v>
      </c>
      <c r="B30">
        <v>29</v>
      </c>
      <c r="C30" t="s">
        <v>115</v>
      </c>
      <c r="D30" t="s">
        <v>116</v>
      </c>
      <c r="E30" t="s">
        <v>13</v>
      </c>
      <c r="F30" t="s">
        <v>112</v>
      </c>
      <c r="G30" t="s">
        <v>59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25">
      <c r="A31" t="s">
        <v>53</v>
      </c>
      <c r="B31">
        <v>30</v>
      </c>
      <c r="C31" t="s">
        <v>117</v>
      </c>
      <c r="D31" t="s">
        <v>118</v>
      </c>
      <c r="E31" t="s">
        <v>13</v>
      </c>
      <c r="F31" t="s">
        <v>112</v>
      </c>
      <c r="G31" t="s">
        <v>59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25">
      <c r="A32" t="s">
        <v>53</v>
      </c>
      <c r="B32">
        <v>31</v>
      </c>
      <c r="C32" t="s">
        <v>119</v>
      </c>
      <c r="D32" t="s">
        <v>120</v>
      </c>
      <c r="E32" t="s">
        <v>13</v>
      </c>
      <c r="F32" t="s">
        <v>112</v>
      </c>
      <c r="G32" t="s">
        <v>59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25">
      <c r="A33" t="s">
        <v>53</v>
      </c>
      <c r="B33">
        <v>32</v>
      </c>
      <c r="C33" t="s">
        <v>121</v>
      </c>
      <c r="D33" t="s">
        <v>122</v>
      </c>
      <c r="E33" t="s">
        <v>13</v>
      </c>
      <c r="F33" t="s">
        <v>112</v>
      </c>
      <c r="G33" t="s">
        <v>59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25">
      <c r="A34" t="s">
        <v>53</v>
      </c>
      <c r="B34">
        <v>33</v>
      </c>
      <c r="C34" t="s">
        <v>123</v>
      </c>
      <c r="D34" t="s">
        <v>124</v>
      </c>
      <c r="E34" t="s">
        <v>13</v>
      </c>
      <c r="F34" t="s">
        <v>112</v>
      </c>
      <c r="G34" t="s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25">
      <c r="A35" t="s">
        <v>53</v>
      </c>
      <c r="B35">
        <v>34</v>
      </c>
      <c r="C35" t="s">
        <v>125</v>
      </c>
      <c r="D35" t="s">
        <v>126</v>
      </c>
      <c r="E35" t="s">
        <v>13</v>
      </c>
      <c r="F35" t="s">
        <v>112</v>
      </c>
      <c r="G35" t="s">
        <v>56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25">
      <c r="A36" t="s">
        <v>53</v>
      </c>
      <c r="B36">
        <v>35</v>
      </c>
      <c r="C36" t="s">
        <v>127</v>
      </c>
      <c r="D36" t="s">
        <v>128</v>
      </c>
      <c r="E36" t="s">
        <v>13</v>
      </c>
      <c r="F36" t="s">
        <v>112</v>
      </c>
      <c r="G36" t="s">
        <v>56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25">
      <c r="A37" t="s">
        <v>53</v>
      </c>
      <c r="B37">
        <v>36</v>
      </c>
      <c r="C37" t="s">
        <v>129</v>
      </c>
      <c r="D37" t="s">
        <v>130</v>
      </c>
      <c r="E37" t="s">
        <v>13</v>
      </c>
      <c r="F37" t="s">
        <v>131</v>
      </c>
      <c r="G37" t="s">
        <v>59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25">
      <c r="A38" t="s">
        <v>53</v>
      </c>
      <c r="B38">
        <v>37</v>
      </c>
      <c r="C38" t="s">
        <v>132</v>
      </c>
      <c r="D38" t="s">
        <v>133</v>
      </c>
      <c r="E38" t="s">
        <v>13</v>
      </c>
      <c r="F38" t="s">
        <v>131</v>
      </c>
      <c r="G38" t="s">
        <v>59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25">
      <c r="A39" t="s">
        <v>53</v>
      </c>
      <c r="B39">
        <v>38</v>
      </c>
      <c r="C39" t="s">
        <v>134</v>
      </c>
      <c r="D39" t="s">
        <v>135</v>
      </c>
      <c r="E39" t="s">
        <v>13</v>
      </c>
      <c r="F39" t="s">
        <v>131</v>
      </c>
      <c r="G39" t="s">
        <v>59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25">
      <c r="A40" t="s">
        <v>53</v>
      </c>
      <c r="B40">
        <v>39</v>
      </c>
      <c r="C40" t="s">
        <v>136</v>
      </c>
      <c r="D40" t="s">
        <v>137</v>
      </c>
      <c r="E40" t="s">
        <v>13</v>
      </c>
      <c r="F40" t="s">
        <v>131</v>
      </c>
      <c r="G40" t="s">
        <v>59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25">
      <c r="A41" t="s">
        <v>53</v>
      </c>
      <c r="B41">
        <v>40</v>
      </c>
      <c r="C41" t="s">
        <v>138</v>
      </c>
      <c r="D41" t="s">
        <v>139</v>
      </c>
      <c r="E41" t="s">
        <v>13</v>
      </c>
      <c r="F41" t="s">
        <v>131</v>
      </c>
      <c r="G41" t="s">
        <v>59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25">
      <c r="A42" t="s">
        <v>53</v>
      </c>
      <c r="B42">
        <v>41</v>
      </c>
      <c r="C42" t="s">
        <v>140</v>
      </c>
      <c r="D42" t="s">
        <v>141</v>
      </c>
      <c r="E42" t="s">
        <v>13</v>
      </c>
      <c r="F42" t="s">
        <v>131</v>
      </c>
      <c r="G42" t="s">
        <v>80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25">
      <c r="A43" t="s">
        <v>53</v>
      </c>
      <c r="B43">
        <v>42</v>
      </c>
      <c r="C43" t="s">
        <v>142</v>
      </c>
      <c r="D43" t="s">
        <v>143</v>
      </c>
      <c r="E43" t="s">
        <v>13</v>
      </c>
      <c r="F43" t="s">
        <v>131</v>
      </c>
      <c r="G43" t="s">
        <v>84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25">
      <c r="A44" t="s">
        <v>53</v>
      </c>
      <c r="B44">
        <v>43</v>
      </c>
      <c r="C44" t="s">
        <v>144</v>
      </c>
      <c r="D44" t="s">
        <v>145</v>
      </c>
      <c r="E44" t="s">
        <v>13</v>
      </c>
      <c r="F44" t="s">
        <v>131</v>
      </c>
      <c r="G44" t="s">
        <v>59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25">
      <c r="A45" t="s">
        <v>53</v>
      </c>
      <c r="B45">
        <v>44</v>
      </c>
      <c r="C45" t="s">
        <v>146</v>
      </c>
      <c r="D45" t="s">
        <v>147</v>
      </c>
      <c r="E45" t="s">
        <v>13</v>
      </c>
      <c r="F45" t="s">
        <v>131</v>
      </c>
      <c r="G45" t="s">
        <v>59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25">
      <c r="A46" t="s">
        <v>53</v>
      </c>
      <c r="B46">
        <v>45</v>
      </c>
      <c r="C46" t="s">
        <v>148</v>
      </c>
      <c r="D46" t="s">
        <v>149</v>
      </c>
      <c r="E46" t="s">
        <v>13</v>
      </c>
      <c r="F46" t="s">
        <v>150</v>
      </c>
      <c r="G46" t="s">
        <v>80</v>
      </c>
      <c r="H46">
        <v>5413</v>
      </c>
      <c r="I46">
        <v>98.203888888888798</v>
      </c>
      <c r="J46">
        <v>55.120016745206897</v>
      </c>
      <c r="K46">
        <v>86.000004000000004</v>
      </c>
      <c r="L46">
        <v>62.941857537588</v>
      </c>
      <c r="M46">
        <v>-35.262031351300799</v>
      </c>
      <c r="N46">
        <v>0.64093039745913205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25">
      <c r="A47" t="s">
        <v>53</v>
      </c>
      <c r="B47">
        <v>46</v>
      </c>
      <c r="C47" t="s">
        <v>151</v>
      </c>
      <c r="D47" t="s">
        <v>152</v>
      </c>
      <c r="E47" t="s">
        <v>13</v>
      </c>
      <c r="F47" t="s">
        <v>150</v>
      </c>
      <c r="G47" t="s">
        <v>153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25">
      <c r="A48" t="s">
        <v>53</v>
      </c>
      <c r="B48">
        <v>47</v>
      </c>
      <c r="C48" t="s">
        <v>154</v>
      </c>
      <c r="D48" t="s">
        <v>155</v>
      </c>
      <c r="E48" t="s">
        <v>13</v>
      </c>
      <c r="F48" t="s">
        <v>150</v>
      </c>
      <c r="G48" t="s">
        <v>84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25">
      <c r="A49" t="s">
        <v>53</v>
      </c>
      <c r="B49">
        <v>48</v>
      </c>
      <c r="C49" t="s">
        <v>156</v>
      </c>
      <c r="D49" t="s">
        <v>157</v>
      </c>
      <c r="E49" t="s">
        <v>13</v>
      </c>
      <c r="F49" t="s">
        <v>150</v>
      </c>
      <c r="G49" t="s">
        <v>158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25">
      <c r="A50" t="s">
        <v>53</v>
      </c>
      <c r="B50">
        <v>49</v>
      </c>
      <c r="C50" t="s">
        <v>159</v>
      </c>
      <c r="D50" t="s">
        <v>160</v>
      </c>
      <c r="E50" t="s">
        <v>13</v>
      </c>
      <c r="F50" t="s">
        <v>150</v>
      </c>
      <c r="G50" t="s">
        <v>56</v>
      </c>
      <c r="H50">
        <v>141857</v>
      </c>
      <c r="I50">
        <v>16.502777777777698</v>
      </c>
      <c r="J50">
        <v>8595.9468103012896</v>
      </c>
      <c r="K50">
        <v>15000.0000119999</v>
      </c>
      <c r="L50">
        <v>9.4571333257676198</v>
      </c>
      <c r="M50">
        <v>-7.0456444520101504</v>
      </c>
      <c r="N50">
        <v>0.57306312022830197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25">
      <c r="A51" t="s">
        <v>53</v>
      </c>
      <c r="B51">
        <v>50</v>
      </c>
      <c r="C51" t="s">
        <v>161</v>
      </c>
      <c r="D51" t="s">
        <v>162</v>
      </c>
      <c r="E51" t="s">
        <v>13</v>
      </c>
      <c r="F51" t="s">
        <v>150</v>
      </c>
      <c r="G51" t="s">
        <v>56</v>
      </c>
      <c r="H51">
        <v>141857</v>
      </c>
      <c r="I51">
        <v>114.706666666666</v>
      </c>
      <c r="J51">
        <v>1236.6935952574599</v>
      </c>
      <c r="K51">
        <v>1959.3781392303899</v>
      </c>
      <c r="L51">
        <v>72.398990863355607</v>
      </c>
      <c r="M51">
        <v>-42.307675803311</v>
      </c>
      <c r="N51">
        <v>0.63116637391045805</v>
      </c>
      <c r="P51">
        <v>0</v>
      </c>
      <c r="Q51">
        <v>0</v>
      </c>
      <c r="R51">
        <v>0</v>
      </c>
      <c r="S51">
        <v>0</v>
      </c>
    </row>
    <row r="52" spans="1:19" x14ac:dyDescent="0.25">
      <c r="A52" t="s">
        <v>53</v>
      </c>
      <c r="B52">
        <v>51</v>
      </c>
      <c r="C52" t="s">
        <v>163</v>
      </c>
      <c r="D52" t="s">
        <v>164</v>
      </c>
      <c r="E52" t="s">
        <v>13</v>
      </c>
      <c r="F52" t="s">
        <v>164</v>
      </c>
      <c r="G52" t="s">
        <v>56</v>
      </c>
      <c r="H52">
        <v>58660</v>
      </c>
      <c r="I52">
        <v>15.6</v>
      </c>
      <c r="J52">
        <v>3760.2564102564102</v>
      </c>
      <c r="K52">
        <v>4500</v>
      </c>
      <c r="L52">
        <v>13.035555555555501</v>
      </c>
      <c r="M52">
        <v>-2.5644444444444399</v>
      </c>
      <c r="N52">
        <v>0.83561253561253501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25">
      <c r="A53" t="s">
        <v>53</v>
      </c>
      <c r="B53">
        <v>52</v>
      </c>
      <c r="C53" t="s">
        <v>165</v>
      </c>
      <c r="D53" t="s">
        <v>166</v>
      </c>
      <c r="E53" t="s">
        <v>13</v>
      </c>
      <c r="F53" t="s">
        <v>167</v>
      </c>
      <c r="G53" t="s">
        <v>56</v>
      </c>
      <c r="H53">
        <v>58660</v>
      </c>
      <c r="I53">
        <v>7.7844444444444401</v>
      </c>
      <c r="J53">
        <v>7535.5409648872301</v>
      </c>
      <c r="K53">
        <v>1850.000004</v>
      </c>
      <c r="L53">
        <v>31.708108039550002</v>
      </c>
      <c r="M53">
        <v>23.923663595105499</v>
      </c>
      <c r="N53">
        <v>4.07326537761847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25">
      <c r="A54" t="s">
        <v>53</v>
      </c>
      <c r="B54">
        <v>53</v>
      </c>
      <c r="C54" t="s">
        <v>168</v>
      </c>
      <c r="D54" t="s">
        <v>11</v>
      </c>
      <c r="E54" t="s">
        <v>13</v>
      </c>
      <c r="F54" t="s">
        <v>169</v>
      </c>
      <c r="G54" t="s">
        <v>59</v>
      </c>
      <c r="H54">
        <v>58660</v>
      </c>
      <c r="I54">
        <v>222.12805555555499</v>
      </c>
      <c r="J54">
        <v>264.08190470711901</v>
      </c>
      <c r="K54">
        <v>254.809858308244</v>
      </c>
      <c r="L54">
        <v>230.21087327413699</v>
      </c>
      <c r="M54">
        <v>8.0828177185814098</v>
      </c>
      <c r="N54">
        <v>1.03638809919064</v>
      </c>
      <c r="P54">
        <v>0</v>
      </c>
      <c r="Q54">
        <v>0</v>
      </c>
      <c r="R54">
        <v>0</v>
      </c>
      <c r="S54">
        <v>0</v>
      </c>
    </row>
    <row r="55" spans="1:19" x14ac:dyDescent="0.25">
      <c r="A55" t="s">
        <v>53</v>
      </c>
      <c r="B55">
        <v>54</v>
      </c>
      <c r="C55" t="s">
        <v>170</v>
      </c>
      <c r="D55" t="s">
        <v>171</v>
      </c>
      <c r="E55" t="s">
        <v>172</v>
      </c>
      <c r="F55" t="s">
        <v>173</v>
      </c>
      <c r="G55" t="s">
        <v>80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25">
      <c r="A56" t="s">
        <v>53</v>
      </c>
      <c r="B56">
        <v>55</v>
      </c>
      <c r="C56" t="s">
        <v>174</v>
      </c>
      <c r="D56" t="s">
        <v>175</v>
      </c>
      <c r="E56" t="s">
        <v>172</v>
      </c>
      <c r="F56" t="s">
        <v>173</v>
      </c>
      <c r="G56" t="s">
        <v>84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25">
      <c r="A57" t="s">
        <v>53</v>
      </c>
      <c r="B57">
        <v>56</v>
      </c>
      <c r="C57" t="s">
        <v>176</v>
      </c>
      <c r="D57" t="s">
        <v>177</v>
      </c>
      <c r="E57" t="s">
        <v>172</v>
      </c>
      <c r="F57" t="s">
        <v>178</v>
      </c>
      <c r="G57" t="s">
        <v>80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25">
      <c r="A58" t="s">
        <v>53</v>
      </c>
      <c r="B58">
        <v>57</v>
      </c>
      <c r="C58" t="s">
        <v>179</v>
      </c>
      <c r="D58" t="s">
        <v>180</v>
      </c>
      <c r="E58" t="s">
        <v>172</v>
      </c>
      <c r="F58" t="s">
        <v>178</v>
      </c>
      <c r="G58" t="s">
        <v>80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25">
      <c r="A59" t="s">
        <v>53</v>
      </c>
      <c r="B59">
        <v>58</v>
      </c>
      <c r="C59" t="s">
        <v>181</v>
      </c>
      <c r="D59" t="s">
        <v>182</v>
      </c>
      <c r="E59" t="s">
        <v>172</v>
      </c>
      <c r="F59" t="s">
        <v>183</v>
      </c>
      <c r="G59" t="s">
        <v>80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25">
      <c r="A60" t="s">
        <v>53</v>
      </c>
      <c r="B60">
        <v>59</v>
      </c>
      <c r="C60" t="s">
        <v>184</v>
      </c>
      <c r="D60" t="s">
        <v>185</v>
      </c>
      <c r="E60" t="s">
        <v>172</v>
      </c>
      <c r="F60" t="s">
        <v>183</v>
      </c>
      <c r="G60" t="s">
        <v>59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25">
      <c r="A61" t="s">
        <v>53</v>
      </c>
      <c r="B61">
        <v>60</v>
      </c>
      <c r="C61" t="s">
        <v>186</v>
      </c>
      <c r="D61" t="s">
        <v>187</v>
      </c>
      <c r="E61" t="s">
        <v>172</v>
      </c>
      <c r="F61" t="s">
        <v>183</v>
      </c>
      <c r="G61" t="s">
        <v>59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25">
      <c r="A62" t="s">
        <v>53</v>
      </c>
      <c r="B62">
        <v>61</v>
      </c>
      <c r="C62" t="s">
        <v>188</v>
      </c>
      <c r="D62" t="s">
        <v>189</v>
      </c>
      <c r="E62" t="s">
        <v>172</v>
      </c>
      <c r="F62" t="s">
        <v>183</v>
      </c>
      <c r="G62" t="s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25">
      <c r="A63" t="s">
        <v>53</v>
      </c>
      <c r="B63">
        <v>62</v>
      </c>
      <c r="C63" t="s">
        <v>190</v>
      </c>
      <c r="D63" t="s">
        <v>191</v>
      </c>
      <c r="E63" t="s">
        <v>172</v>
      </c>
      <c r="F63" t="s">
        <v>183</v>
      </c>
      <c r="G63" t="s">
        <v>59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25">
      <c r="A64" t="s">
        <v>53</v>
      </c>
      <c r="B64">
        <v>63</v>
      </c>
      <c r="C64" t="s">
        <v>192</v>
      </c>
      <c r="D64" t="s">
        <v>193</v>
      </c>
      <c r="E64" t="s">
        <v>172</v>
      </c>
      <c r="F64" t="s">
        <v>183</v>
      </c>
      <c r="G64" t="s">
        <v>56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25">
      <c r="A65" t="s">
        <v>53</v>
      </c>
      <c r="B65">
        <v>64</v>
      </c>
      <c r="C65" t="s">
        <v>194</v>
      </c>
      <c r="D65" t="s">
        <v>195</v>
      </c>
      <c r="E65" t="s">
        <v>172</v>
      </c>
      <c r="F65" t="s">
        <v>196</v>
      </c>
      <c r="G65" t="s">
        <v>59</v>
      </c>
      <c r="H65">
        <v>14511</v>
      </c>
      <c r="I65">
        <v>10.281388888888801</v>
      </c>
      <c r="J65">
        <v>1411.3851889876501</v>
      </c>
      <c r="K65">
        <v>1244.000016</v>
      </c>
      <c r="L65">
        <v>11.6647908467551</v>
      </c>
      <c r="M65">
        <v>1.38340195786621</v>
      </c>
      <c r="N65">
        <v>1.1345539958479001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25">
      <c r="A66" t="s">
        <v>53</v>
      </c>
      <c r="B66">
        <v>65</v>
      </c>
      <c r="C66" t="s">
        <v>197</v>
      </c>
      <c r="D66" t="s">
        <v>198</v>
      </c>
      <c r="E66" t="s">
        <v>172</v>
      </c>
      <c r="F66" t="s">
        <v>196</v>
      </c>
      <c r="G66" t="s">
        <v>59</v>
      </c>
      <c r="H66">
        <v>70747</v>
      </c>
      <c r="I66">
        <v>325.04638888888798</v>
      </c>
      <c r="J66">
        <v>217.65201035407699</v>
      </c>
      <c r="K66">
        <v>288</v>
      </c>
      <c r="L66">
        <v>245.649305555555</v>
      </c>
      <c r="M66">
        <v>-79.397083333333299</v>
      </c>
      <c r="N66">
        <v>0.75573614706276904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25">
      <c r="A67" t="s">
        <v>53</v>
      </c>
      <c r="B67">
        <v>66</v>
      </c>
      <c r="C67" t="s">
        <v>199</v>
      </c>
      <c r="D67" t="s">
        <v>200</v>
      </c>
      <c r="E67" t="s">
        <v>172</v>
      </c>
      <c r="F67" t="s">
        <v>196</v>
      </c>
      <c r="G67" t="s">
        <v>59</v>
      </c>
      <c r="H67">
        <v>147</v>
      </c>
      <c r="I67">
        <v>0.88194444444444398</v>
      </c>
      <c r="J67">
        <v>166.67716535432999</v>
      </c>
      <c r="K67">
        <v>117</v>
      </c>
      <c r="L67">
        <v>1.2564102564102499</v>
      </c>
      <c r="M67">
        <v>0.37446581196581102</v>
      </c>
      <c r="N67">
        <v>1.4245911568746199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25">
      <c r="A68" t="s">
        <v>53</v>
      </c>
      <c r="B68">
        <v>67</v>
      </c>
      <c r="C68" t="s">
        <v>201</v>
      </c>
      <c r="D68" t="s">
        <v>202</v>
      </c>
      <c r="E68" t="s">
        <v>172</v>
      </c>
      <c r="F68" t="s">
        <v>196</v>
      </c>
      <c r="G68" t="s">
        <v>59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25">
      <c r="A69" t="s">
        <v>53</v>
      </c>
      <c r="B69">
        <v>68</v>
      </c>
      <c r="C69" t="s">
        <v>203</v>
      </c>
      <c r="D69" t="s">
        <v>204</v>
      </c>
      <c r="E69" t="s">
        <v>172</v>
      </c>
      <c r="F69" t="s">
        <v>196</v>
      </c>
      <c r="G69" t="s">
        <v>59</v>
      </c>
      <c r="H69">
        <v>85405</v>
      </c>
      <c r="I69">
        <v>336.20972222222201</v>
      </c>
      <c r="J69">
        <v>254.02299325404499</v>
      </c>
      <c r="K69">
        <v>330.29675775328599</v>
      </c>
      <c r="L69">
        <v>258.57050665871998</v>
      </c>
      <c r="M69">
        <v>-77.639215563501295</v>
      </c>
      <c r="N69">
        <v>0.76907504324879405</v>
      </c>
      <c r="P69">
        <v>0</v>
      </c>
      <c r="Q69">
        <v>0</v>
      </c>
      <c r="R69">
        <v>0</v>
      </c>
      <c r="S69">
        <v>0</v>
      </c>
    </row>
    <row r="70" spans="1:19" x14ac:dyDescent="0.25">
      <c r="A70" t="s">
        <v>53</v>
      </c>
      <c r="B70">
        <v>69</v>
      </c>
      <c r="C70" t="s">
        <v>205</v>
      </c>
      <c r="D70" t="s">
        <v>206</v>
      </c>
      <c r="E70" t="s">
        <v>172</v>
      </c>
      <c r="F70" t="s">
        <v>206</v>
      </c>
      <c r="G70" t="s">
        <v>59</v>
      </c>
      <c r="H70">
        <v>83197</v>
      </c>
      <c r="I70">
        <v>19.466666666666601</v>
      </c>
      <c r="J70">
        <v>4273.8184931506803</v>
      </c>
      <c r="K70">
        <v>3465</v>
      </c>
      <c r="L70">
        <v>24.010678210678201</v>
      </c>
      <c r="M70">
        <v>4.5440115440115401</v>
      </c>
      <c r="N70">
        <v>1.2334252505485299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25">
      <c r="A71" t="s">
        <v>53</v>
      </c>
      <c r="B71">
        <v>70</v>
      </c>
      <c r="C71" t="s">
        <v>207</v>
      </c>
      <c r="D71" t="s">
        <v>208</v>
      </c>
      <c r="E71" t="s">
        <v>172</v>
      </c>
      <c r="F71" t="s">
        <v>208</v>
      </c>
      <c r="G71" t="s">
        <v>56</v>
      </c>
      <c r="H71">
        <v>83197</v>
      </c>
      <c r="I71">
        <v>77.057500000000005</v>
      </c>
      <c r="J71">
        <v>1079.6742692145399</v>
      </c>
      <c r="K71">
        <v>1524.999996</v>
      </c>
      <c r="L71">
        <v>54.555409979161702</v>
      </c>
      <c r="M71">
        <v>-22.5020900208382</v>
      </c>
      <c r="N71">
        <v>0.70798312921080597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25">
      <c r="A72" t="s">
        <v>53</v>
      </c>
      <c r="B72">
        <v>71</v>
      </c>
      <c r="C72" t="s">
        <v>209</v>
      </c>
      <c r="D72" t="s">
        <v>210</v>
      </c>
      <c r="E72" t="s">
        <v>172</v>
      </c>
      <c r="F72" t="s">
        <v>210</v>
      </c>
      <c r="G72" t="s">
        <v>56</v>
      </c>
      <c r="H72">
        <v>83197</v>
      </c>
      <c r="I72">
        <v>14.7111111111111</v>
      </c>
      <c r="J72">
        <v>5655.3851963746201</v>
      </c>
      <c r="K72">
        <v>3499.999992</v>
      </c>
      <c r="L72">
        <v>23.770571482904099</v>
      </c>
      <c r="M72">
        <v>9.0594603717930493</v>
      </c>
      <c r="N72">
        <v>1.6158243455146299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25">
      <c r="A73" t="s">
        <v>53</v>
      </c>
      <c r="B73">
        <v>72</v>
      </c>
      <c r="C73" t="s">
        <v>211</v>
      </c>
      <c r="D73" t="s">
        <v>212</v>
      </c>
      <c r="E73" t="s">
        <v>172</v>
      </c>
      <c r="F73" t="s">
        <v>213</v>
      </c>
      <c r="G73" t="s">
        <v>56</v>
      </c>
      <c r="H73">
        <v>83197</v>
      </c>
      <c r="I73">
        <v>11.1419444444444</v>
      </c>
      <c r="J73">
        <v>7467.0090498865602</v>
      </c>
      <c r="K73">
        <v>5000.0000040000004</v>
      </c>
      <c r="L73">
        <v>16.639399986688399</v>
      </c>
      <c r="M73">
        <v>5.4974555422440297</v>
      </c>
      <c r="N73">
        <v>1.49340180878259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25">
      <c r="A74" t="s">
        <v>53</v>
      </c>
      <c r="B74">
        <v>73</v>
      </c>
      <c r="C74" t="s">
        <v>214</v>
      </c>
      <c r="D74" t="s">
        <v>215</v>
      </c>
      <c r="E74" t="s">
        <v>172</v>
      </c>
      <c r="F74" t="s">
        <v>169</v>
      </c>
      <c r="G74" t="s">
        <v>56</v>
      </c>
      <c r="H74">
        <v>83197</v>
      </c>
      <c r="I74">
        <v>458.58694444444399</v>
      </c>
      <c r="J74">
        <v>181.42034135051301</v>
      </c>
      <c r="K74">
        <v>220.36222130514801</v>
      </c>
      <c r="L74">
        <v>377.546566318153</v>
      </c>
      <c r="M74">
        <v>-81.040378126290904</v>
      </c>
      <c r="N74">
        <v>0.82328241327395901</v>
      </c>
      <c r="P74">
        <v>0</v>
      </c>
      <c r="Q74">
        <v>0</v>
      </c>
      <c r="R74">
        <v>0</v>
      </c>
      <c r="S74">
        <v>0</v>
      </c>
    </row>
    <row r="75" spans="1:19" x14ac:dyDescent="0.25">
      <c r="A75" t="s">
        <v>53</v>
      </c>
      <c r="B75">
        <v>74</v>
      </c>
      <c r="C75" t="s">
        <v>216</v>
      </c>
      <c r="D75" t="s">
        <v>217</v>
      </c>
      <c r="E75" t="s">
        <v>218</v>
      </c>
      <c r="F75" t="s">
        <v>9</v>
      </c>
      <c r="G75" t="s">
        <v>59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25">
      <c r="A76" t="s">
        <v>53</v>
      </c>
      <c r="B76">
        <v>75</v>
      </c>
      <c r="C76" t="s">
        <v>219</v>
      </c>
      <c r="D76" t="s">
        <v>220</v>
      </c>
      <c r="E76" t="s">
        <v>218</v>
      </c>
      <c r="F76" t="s">
        <v>9</v>
      </c>
      <c r="G76" t="s">
        <v>59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25">
      <c r="A77" t="s">
        <v>53</v>
      </c>
      <c r="B77">
        <v>76</v>
      </c>
      <c r="C77" t="s">
        <v>221</v>
      </c>
      <c r="D77" t="s">
        <v>222</v>
      </c>
      <c r="E77" t="s">
        <v>218</v>
      </c>
      <c r="F77" t="s">
        <v>9</v>
      </c>
      <c r="G77" t="s">
        <v>59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25">
      <c r="A78" t="s">
        <v>53</v>
      </c>
      <c r="B78">
        <v>77</v>
      </c>
      <c r="C78" t="s">
        <v>223</v>
      </c>
      <c r="D78" t="s">
        <v>224</v>
      </c>
      <c r="E78" t="s">
        <v>218</v>
      </c>
      <c r="F78" t="s">
        <v>9</v>
      </c>
      <c r="G78" t="s">
        <v>59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25">
      <c r="A79" t="s">
        <v>53</v>
      </c>
      <c r="B79">
        <v>78</v>
      </c>
      <c r="C79" t="s">
        <v>225</v>
      </c>
      <c r="D79" t="s">
        <v>226</v>
      </c>
      <c r="E79" t="s">
        <v>218</v>
      </c>
      <c r="F79" t="s">
        <v>9</v>
      </c>
      <c r="G79" t="s">
        <v>59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25">
      <c r="A80" t="s">
        <v>53</v>
      </c>
      <c r="B80">
        <v>79</v>
      </c>
      <c r="C80" t="s">
        <v>227</v>
      </c>
      <c r="D80" t="s">
        <v>228</v>
      </c>
      <c r="E80" t="s">
        <v>218</v>
      </c>
      <c r="F80" t="s">
        <v>9</v>
      </c>
      <c r="G80" t="s">
        <v>56</v>
      </c>
      <c r="H80">
        <v>85405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25">
      <c r="A81" t="s">
        <v>53</v>
      </c>
      <c r="B81">
        <v>80</v>
      </c>
      <c r="C81" t="s">
        <v>229</v>
      </c>
      <c r="D81" t="s">
        <v>230</v>
      </c>
      <c r="E81" t="s">
        <v>218</v>
      </c>
      <c r="F81" t="s">
        <v>9</v>
      </c>
      <c r="G81" t="s">
        <v>56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25">
      <c r="A82" t="s">
        <v>53</v>
      </c>
      <c r="B82">
        <v>81</v>
      </c>
      <c r="C82" t="s">
        <v>231</v>
      </c>
      <c r="D82" t="s">
        <v>232</v>
      </c>
      <c r="E82" t="s">
        <v>218</v>
      </c>
      <c r="F82" t="s">
        <v>233</v>
      </c>
      <c r="G82" t="s">
        <v>59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25">
      <c r="A83" t="s">
        <v>53</v>
      </c>
      <c r="B83">
        <v>82</v>
      </c>
      <c r="C83" t="s">
        <v>234</v>
      </c>
      <c r="D83" t="s">
        <v>235</v>
      </c>
      <c r="E83" t="s">
        <v>218</v>
      </c>
      <c r="F83" t="s">
        <v>233</v>
      </c>
      <c r="G83" t="s">
        <v>59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25">
      <c r="A84" t="s">
        <v>53</v>
      </c>
      <c r="B84">
        <v>83</v>
      </c>
      <c r="C84" t="s">
        <v>236</v>
      </c>
      <c r="D84" t="s">
        <v>237</v>
      </c>
      <c r="E84" t="s">
        <v>218</v>
      </c>
      <c r="F84" t="s">
        <v>233</v>
      </c>
      <c r="G84" t="s">
        <v>59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25">
      <c r="A85" t="s">
        <v>53</v>
      </c>
      <c r="B85">
        <v>84</v>
      </c>
      <c r="C85" t="s">
        <v>238</v>
      </c>
      <c r="D85" t="s">
        <v>239</v>
      </c>
      <c r="E85" t="s">
        <v>218</v>
      </c>
      <c r="F85" t="s">
        <v>233</v>
      </c>
      <c r="G85" t="s">
        <v>59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25">
      <c r="A86" t="s">
        <v>53</v>
      </c>
      <c r="B86">
        <v>85</v>
      </c>
      <c r="C86" t="s">
        <v>240</v>
      </c>
      <c r="D86" t="s">
        <v>241</v>
      </c>
      <c r="E86" t="s">
        <v>218</v>
      </c>
      <c r="F86" t="s">
        <v>233</v>
      </c>
      <c r="G86" t="s">
        <v>59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25">
      <c r="A87" t="s">
        <v>53</v>
      </c>
      <c r="B87">
        <v>86</v>
      </c>
      <c r="C87" t="s">
        <v>242</v>
      </c>
      <c r="D87" t="s">
        <v>243</v>
      </c>
      <c r="E87" t="s">
        <v>218</v>
      </c>
      <c r="F87" t="s">
        <v>233</v>
      </c>
      <c r="G87" t="s">
        <v>59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25">
      <c r="A88" t="s">
        <v>53</v>
      </c>
      <c r="B88">
        <v>87</v>
      </c>
      <c r="C88" t="s">
        <v>244</v>
      </c>
      <c r="D88" t="s">
        <v>245</v>
      </c>
      <c r="E88" t="s">
        <v>218</v>
      </c>
      <c r="F88" t="s">
        <v>233</v>
      </c>
      <c r="G88" t="s">
        <v>59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25">
      <c r="A89" t="s">
        <v>53</v>
      </c>
      <c r="B89">
        <v>88</v>
      </c>
      <c r="C89" t="s">
        <v>246</v>
      </c>
      <c r="D89" t="s">
        <v>247</v>
      </c>
      <c r="E89" t="s">
        <v>218</v>
      </c>
      <c r="F89" t="s">
        <v>233</v>
      </c>
      <c r="G89" t="s">
        <v>59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25">
      <c r="A90" t="s">
        <v>53</v>
      </c>
      <c r="B90">
        <v>89</v>
      </c>
      <c r="C90" t="s">
        <v>248</v>
      </c>
      <c r="D90" t="s">
        <v>249</v>
      </c>
      <c r="E90" t="s">
        <v>218</v>
      </c>
      <c r="F90" t="s">
        <v>233</v>
      </c>
      <c r="G90" t="s">
        <v>59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25">
      <c r="A91" t="s">
        <v>53</v>
      </c>
      <c r="B91">
        <v>90</v>
      </c>
      <c r="C91" t="s">
        <v>250</v>
      </c>
      <c r="D91" t="s">
        <v>251</v>
      </c>
      <c r="E91" t="s">
        <v>218</v>
      </c>
      <c r="F91" t="s">
        <v>233</v>
      </c>
      <c r="G91" t="s">
        <v>59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25">
      <c r="A92" t="s">
        <v>53</v>
      </c>
      <c r="B92">
        <v>91</v>
      </c>
      <c r="C92" t="s">
        <v>252</v>
      </c>
      <c r="D92" t="s">
        <v>253</v>
      </c>
      <c r="E92" t="s">
        <v>218</v>
      </c>
      <c r="F92" t="s">
        <v>233</v>
      </c>
      <c r="G92" t="s">
        <v>56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25">
      <c r="A93" t="s">
        <v>53</v>
      </c>
      <c r="B93">
        <v>92</v>
      </c>
      <c r="C93" t="s">
        <v>254</v>
      </c>
      <c r="D93" t="s">
        <v>255</v>
      </c>
      <c r="E93" t="s">
        <v>218</v>
      </c>
      <c r="F93" t="s">
        <v>233</v>
      </c>
      <c r="G93" t="s">
        <v>59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25">
      <c r="A94" t="s">
        <v>53</v>
      </c>
      <c r="B94">
        <v>93</v>
      </c>
      <c r="C94" t="s">
        <v>256</v>
      </c>
      <c r="D94" t="s">
        <v>257</v>
      </c>
      <c r="E94" t="s">
        <v>218</v>
      </c>
      <c r="F94" t="s">
        <v>258</v>
      </c>
      <c r="G94" t="s">
        <v>59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25">
      <c r="A95" t="s">
        <v>53</v>
      </c>
      <c r="B95">
        <v>94</v>
      </c>
      <c r="C95" t="s">
        <v>259</v>
      </c>
      <c r="D95" t="s">
        <v>260</v>
      </c>
      <c r="E95" t="s">
        <v>218</v>
      </c>
      <c r="F95" t="s">
        <v>258</v>
      </c>
      <c r="G95" t="s">
        <v>59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25">
      <c r="A96" t="s">
        <v>53</v>
      </c>
      <c r="B96">
        <v>95</v>
      </c>
      <c r="C96" t="s">
        <v>261</v>
      </c>
      <c r="D96" t="s">
        <v>262</v>
      </c>
      <c r="E96" t="s">
        <v>218</v>
      </c>
      <c r="F96" t="s">
        <v>258</v>
      </c>
      <c r="G96" t="s">
        <v>59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25">
      <c r="A97" t="s">
        <v>53</v>
      </c>
      <c r="B97">
        <v>96</v>
      </c>
      <c r="C97" t="s">
        <v>263</v>
      </c>
      <c r="D97" t="s">
        <v>264</v>
      </c>
      <c r="E97" t="s">
        <v>218</v>
      </c>
      <c r="F97" t="s">
        <v>258</v>
      </c>
      <c r="G97" t="s">
        <v>59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25">
      <c r="A98" t="s">
        <v>53</v>
      </c>
      <c r="B98">
        <v>97</v>
      </c>
      <c r="C98" t="s">
        <v>265</v>
      </c>
      <c r="D98" t="s">
        <v>266</v>
      </c>
      <c r="E98" t="s">
        <v>218</v>
      </c>
      <c r="F98" t="s">
        <v>258</v>
      </c>
      <c r="G98" t="s">
        <v>59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25">
      <c r="A99" t="s">
        <v>53</v>
      </c>
      <c r="B99">
        <v>98</v>
      </c>
      <c r="C99" t="s">
        <v>267</v>
      </c>
      <c r="D99" t="s">
        <v>268</v>
      </c>
      <c r="E99" t="s">
        <v>218</v>
      </c>
      <c r="F99" t="s">
        <v>258</v>
      </c>
      <c r="G99" t="s">
        <v>269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25">
      <c r="A100" t="s">
        <v>53</v>
      </c>
      <c r="B100">
        <v>99</v>
      </c>
      <c r="C100" t="s">
        <v>270</v>
      </c>
      <c r="D100" t="s">
        <v>271</v>
      </c>
      <c r="E100" t="s">
        <v>218</v>
      </c>
      <c r="F100" t="s">
        <v>258</v>
      </c>
      <c r="G100" t="s">
        <v>59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25">
      <c r="A101" t="s">
        <v>53</v>
      </c>
      <c r="B101">
        <v>100</v>
      </c>
      <c r="C101" t="s">
        <v>272</v>
      </c>
      <c r="D101" t="s">
        <v>273</v>
      </c>
      <c r="E101" t="s">
        <v>218</v>
      </c>
      <c r="F101" t="s">
        <v>258</v>
      </c>
      <c r="G101" t="s">
        <v>59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25">
      <c r="A102" t="s">
        <v>53</v>
      </c>
      <c r="B102">
        <v>101</v>
      </c>
      <c r="C102" t="s">
        <v>274</v>
      </c>
      <c r="D102" t="s">
        <v>275</v>
      </c>
      <c r="E102" t="s">
        <v>218</v>
      </c>
      <c r="F102" t="s">
        <v>258</v>
      </c>
      <c r="G102" t="s">
        <v>59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25">
      <c r="A103" t="s">
        <v>53</v>
      </c>
      <c r="B103">
        <v>102</v>
      </c>
      <c r="C103" t="s">
        <v>276</v>
      </c>
      <c r="D103" t="s">
        <v>277</v>
      </c>
      <c r="E103" t="s">
        <v>218</v>
      </c>
      <c r="F103" t="s">
        <v>258</v>
      </c>
      <c r="G103" t="s">
        <v>59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25">
      <c r="A104" t="s">
        <v>53</v>
      </c>
      <c r="B104">
        <v>103</v>
      </c>
      <c r="C104" t="s">
        <v>278</v>
      </c>
      <c r="D104" t="s">
        <v>279</v>
      </c>
      <c r="E104" t="s">
        <v>218</v>
      </c>
      <c r="F104" t="s">
        <v>258</v>
      </c>
      <c r="G104" t="s">
        <v>59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25">
      <c r="A105" t="s">
        <v>53</v>
      </c>
      <c r="B105">
        <v>104</v>
      </c>
      <c r="C105" t="s">
        <v>280</v>
      </c>
      <c r="D105" t="s">
        <v>281</v>
      </c>
      <c r="E105" t="s">
        <v>218</v>
      </c>
      <c r="F105" t="s">
        <v>258</v>
      </c>
      <c r="G105" t="s">
        <v>59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25">
      <c r="A106" t="s">
        <v>53</v>
      </c>
      <c r="B106">
        <v>105</v>
      </c>
      <c r="C106" t="s">
        <v>282</v>
      </c>
      <c r="D106" t="s">
        <v>283</v>
      </c>
      <c r="E106" t="s">
        <v>218</v>
      </c>
      <c r="F106" t="s">
        <v>258</v>
      </c>
      <c r="G106" t="s">
        <v>59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25">
      <c r="A107" t="s">
        <v>53</v>
      </c>
      <c r="B107">
        <v>106</v>
      </c>
      <c r="C107" t="s">
        <v>284</v>
      </c>
      <c r="D107" t="s">
        <v>285</v>
      </c>
      <c r="E107" t="s">
        <v>218</v>
      </c>
      <c r="F107" t="s">
        <v>258</v>
      </c>
      <c r="G107" t="s">
        <v>59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25">
      <c r="A108" t="s">
        <v>53</v>
      </c>
      <c r="B108">
        <v>107</v>
      </c>
      <c r="C108" t="s">
        <v>286</v>
      </c>
      <c r="D108" t="s">
        <v>287</v>
      </c>
      <c r="E108" t="s">
        <v>218</v>
      </c>
      <c r="F108" t="s">
        <v>258</v>
      </c>
      <c r="G108" t="s">
        <v>59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25">
      <c r="A109" t="s">
        <v>53</v>
      </c>
      <c r="B109">
        <v>108</v>
      </c>
      <c r="C109" t="s">
        <v>288</v>
      </c>
      <c r="D109" t="s">
        <v>289</v>
      </c>
      <c r="E109" t="s">
        <v>218</v>
      </c>
      <c r="F109" t="s">
        <v>258</v>
      </c>
      <c r="G109" t="s">
        <v>59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25">
      <c r="A110" t="s">
        <v>53</v>
      </c>
      <c r="B110">
        <v>109</v>
      </c>
      <c r="C110" t="s">
        <v>290</v>
      </c>
      <c r="D110" t="s">
        <v>291</v>
      </c>
      <c r="E110" t="s">
        <v>218</v>
      </c>
      <c r="F110" t="s">
        <v>258</v>
      </c>
      <c r="G110" t="s">
        <v>59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25">
      <c r="A111" t="s">
        <v>53</v>
      </c>
      <c r="B111">
        <v>110</v>
      </c>
      <c r="C111" t="s">
        <v>292</v>
      </c>
      <c r="D111" t="s">
        <v>293</v>
      </c>
      <c r="E111" t="s">
        <v>218</v>
      </c>
      <c r="F111" t="s">
        <v>258</v>
      </c>
      <c r="G111" t="s">
        <v>59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25">
      <c r="A112" t="s">
        <v>53</v>
      </c>
      <c r="B112">
        <v>111</v>
      </c>
      <c r="C112" t="s">
        <v>294</v>
      </c>
      <c r="D112" t="s">
        <v>295</v>
      </c>
      <c r="E112" t="s">
        <v>218</v>
      </c>
      <c r="F112" t="s">
        <v>258</v>
      </c>
      <c r="G112" t="s">
        <v>56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25">
      <c r="A113" t="s">
        <v>53</v>
      </c>
      <c r="B113">
        <v>112</v>
      </c>
      <c r="C113" t="s">
        <v>296</v>
      </c>
      <c r="D113" t="s">
        <v>297</v>
      </c>
      <c r="E113" t="s">
        <v>218</v>
      </c>
      <c r="F113" t="s">
        <v>298</v>
      </c>
      <c r="G113" t="s">
        <v>59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25">
      <c r="A114" t="s">
        <v>53</v>
      </c>
      <c r="B114">
        <v>113</v>
      </c>
      <c r="C114" t="s">
        <v>299</v>
      </c>
      <c r="D114" t="s">
        <v>300</v>
      </c>
      <c r="E114" t="s">
        <v>218</v>
      </c>
      <c r="F114" t="s">
        <v>298</v>
      </c>
      <c r="G114" t="s">
        <v>59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25">
      <c r="A115" t="s">
        <v>53</v>
      </c>
      <c r="B115">
        <v>114</v>
      </c>
      <c r="C115" t="s">
        <v>301</v>
      </c>
      <c r="D115" t="s">
        <v>302</v>
      </c>
      <c r="E115" t="s">
        <v>218</v>
      </c>
      <c r="F115" t="s">
        <v>298</v>
      </c>
      <c r="G115" t="s">
        <v>59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25">
      <c r="A116" t="s">
        <v>53</v>
      </c>
      <c r="B116">
        <v>115</v>
      </c>
      <c r="C116" t="s">
        <v>303</v>
      </c>
      <c r="D116" t="s">
        <v>304</v>
      </c>
      <c r="E116" t="s">
        <v>218</v>
      </c>
      <c r="F116" t="s">
        <v>298</v>
      </c>
      <c r="G116" t="s">
        <v>59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25">
      <c r="A117" t="s">
        <v>53</v>
      </c>
      <c r="B117">
        <v>116</v>
      </c>
      <c r="C117" t="s">
        <v>305</v>
      </c>
      <c r="D117" t="s">
        <v>306</v>
      </c>
      <c r="E117" t="s">
        <v>218</v>
      </c>
      <c r="F117" t="s">
        <v>298</v>
      </c>
      <c r="G117" t="s">
        <v>59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25">
      <c r="A118" t="s">
        <v>53</v>
      </c>
      <c r="B118">
        <v>117</v>
      </c>
      <c r="C118" t="s">
        <v>307</v>
      </c>
      <c r="D118" t="s">
        <v>308</v>
      </c>
      <c r="E118" t="s">
        <v>218</v>
      </c>
      <c r="F118" t="s">
        <v>308</v>
      </c>
      <c r="G118" t="s">
        <v>59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25">
      <c r="A119" t="s">
        <v>53</v>
      </c>
      <c r="B119">
        <v>118</v>
      </c>
      <c r="C119" t="s">
        <v>309</v>
      </c>
      <c r="D119" t="s">
        <v>310</v>
      </c>
      <c r="E119" t="s">
        <v>218</v>
      </c>
      <c r="F119" t="s">
        <v>311</v>
      </c>
      <c r="G119" t="s">
        <v>59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25">
      <c r="A120" t="s">
        <v>53</v>
      </c>
      <c r="B120">
        <v>119</v>
      </c>
      <c r="C120" t="s">
        <v>312</v>
      </c>
      <c r="D120" t="s">
        <v>313</v>
      </c>
      <c r="E120" t="s">
        <v>218</v>
      </c>
      <c r="F120" t="s">
        <v>314</v>
      </c>
      <c r="G120" t="s">
        <v>59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25">
      <c r="A121" t="s">
        <v>53</v>
      </c>
      <c r="B121">
        <v>120</v>
      </c>
      <c r="C121" t="s">
        <v>315</v>
      </c>
      <c r="D121" t="s">
        <v>316</v>
      </c>
      <c r="E121" t="s">
        <v>218</v>
      </c>
      <c r="F121" t="s">
        <v>169</v>
      </c>
      <c r="G121" t="s">
        <v>59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25">
      <c r="A122" t="s">
        <v>53</v>
      </c>
      <c r="B122">
        <v>121</v>
      </c>
      <c r="C122" t="s">
        <v>317</v>
      </c>
      <c r="D122" t="s">
        <v>318</v>
      </c>
      <c r="E122" t="s">
        <v>319</v>
      </c>
      <c r="F122" t="s">
        <v>320</v>
      </c>
      <c r="G122" t="s">
        <v>59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25">
      <c r="A123" t="s">
        <v>53</v>
      </c>
      <c r="B123">
        <v>122</v>
      </c>
      <c r="C123" t="s">
        <v>321</v>
      </c>
      <c r="D123" t="s">
        <v>322</v>
      </c>
      <c r="E123" t="s">
        <v>319</v>
      </c>
      <c r="F123" t="s">
        <v>320</v>
      </c>
      <c r="G123" t="s">
        <v>59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25">
      <c r="A124" t="s">
        <v>53</v>
      </c>
      <c r="B124">
        <v>123</v>
      </c>
      <c r="C124" t="s">
        <v>323</v>
      </c>
      <c r="D124" t="s">
        <v>324</v>
      </c>
      <c r="E124" t="s">
        <v>319</v>
      </c>
      <c r="F124" t="s">
        <v>320</v>
      </c>
      <c r="G124" t="s">
        <v>59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25">
      <c r="A125" t="s">
        <v>53</v>
      </c>
      <c r="B125">
        <v>124</v>
      </c>
      <c r="C125" t="s">
        <v>325</v>
      </c>
      <c r="D125" t="s">
        <v>326</v>
      </c>
      <c r="E125" t="s">
        <v>319</v>
      </c>
      <c r="F125" t="s">
        <v>320</v>
      </c>
      <c r="G125" t="s">
        <v>59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25">
      <c r="A126" t="s">
        <v>53</v>
      </c>
      <c r="B126">
        <v>125</v>
      </c>
      <c r="C126" t="s">
        <v>327</v>
      </c>
      <c r="D126" t="s">
        <v>328</v>
      </c>
      <c r="E126" t="s">
        <v>319</v>
      </c>
      <c r="F126" t="s">
        <v>320</v>
      </c>
      <c r="G126" t="s">
        <v>56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25">
      <c r="A127" t="s">
        <v>53</v>
      </c>
      <c r="B127">
        <v>126</v>
      </c>
      <c r="C127" t="s">
        <v>329</v>
      </c>
      <c r="D127" t="s">
        <v>330</v>
      </c>
      <c r="E127" t="s">
        <v>319</v>
      </c>
      <c r="F127" t="s">
        <v>320</v>
      </c>
      <c r="G127" t="s">
        <v>59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25">
      <c r="A128" t="s">
        <v>53</v>
      </c>
      <c r="B128">
        <v>127</v>
      </c>
      <c r="C128" t="s">
        <v>331</v>
      </c>
      <c r="D128" t="s">
        <v>332</v>
      </c>
      <c r="E128" t="s">
        <v>319</v>
      </c>
      <c r="F128" t="s">
        <v>320</v>
      </c>
      <c r="G128" t="s">
        <v>59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25">
      <c r="A129" t="s">
        <v>53</v>
      </c>
      <c r="B129">
        <v>128</v>
      </c>
      <c r="C129" t="s">
        <v>333</v>
      </c>
      <c r="D129" t="s">
        <v>334</v>
      </c>
      <c r="E129" t="s">
        <v>319</v>
      </c>
      <c r="F129" t="s">
        <v>320</v>
      </c>
      <c r="G129" t="s">
        <v>59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25">
      <c r="A130" t="s">
        <v>53</v>
      </c>
      <c r="B130">
        <v>129</v>
      </c>
      <c r="C130" t="s">
        <v>335</v>
      </c>
      <c r="D130" t="s">
        <v>336</v>
      </c>
      <c r="E130" t="s">
        <v>319</v>
      </c>
      <c r="F130" t="s">
        <v>320</v>
      </c>
      <c r="G130" t="s">
        <v>59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25">
      <c r="A131" t="s">
        <v>53</v>
      </c>
      <c r="B131">
        <v>130</v>
      </c>
      <c r="C131" t="s">
        <v>337</v>
      </c>
      <c r="D131" t="s">
        <v>338</v>
      </c>
      <c r="E131" t="s">
        <v>319</v>
      </c>
      <c r="F131" t="s">
        <v>320</v>
      </c>
      <c r="G131" t="s">
        <v>56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25">
      <c r="A132" t="s">
        <v>53</v>
      </c>
      <c r="B132">
        <v>131</v>
      </c>
      <c r="C132" t="s">
        <v>339</v>
      </c>
      <c r="D132" t="s">
        <v>340</v>
      </c>
      <c r="E132" t="s">
        <v>319</v>
      </c>
      <c r="F132" t="s">
        <v>320</v>
      </c>
      <c r="G132" t="s">
        <v>56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25">
      <c r="A133" t="s">
        <v>53</v>
      </c>
      <c r="B133">
        <v>132</v>
      </c>
      <c r="C133" t="s">
        <v>341</v>
      </c>
      <c r="D133" t="s">
        <v>342</v>
      </c>
      <c r="E133" t="s">
        <v>319</v>
      </c>
      <c r="F133" t="s">
        <v>320</v>
      </c>
      <c r="G133" t="s">
        <v>56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25">
      <c r="A134" t="s">
        <v>53</v>
      </c>
      <c r="B134">
        <v>133</v>
      </c>
      <c r="C134" t="s">
        <v>343</v>
      </c>
      <c r="D134" t="s">
        <v>344</v>
      </c>
      <c r="E134" t="s">
        <v>319</v>
      </c>
      <c r="F134" t="s">
        <v>345</v>
      </c>
      <c r="G134" t="s">
        <v>59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25">
      <c r="A135" t="s">
        <v>53</v>
      </c>
      <c r="B135">
        <v>134</v>
      </c>
      <c r="C135" t="s">
        <v>346</v>
      </c>
      <c r="D135" t="s">
        <v>347</v>
      </c>
      <c r="E135" t="s">
        <v>319</v>
      </c>
      <c r="F135" t="s">
        <v>345</v>
      </c>
      <c r="G135" t="s">
        <v>59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25">
      <c r="A136" t="s">
        <v>53</v>
      </c>
      <c r="B136">
        <v>135</v>
      </c>
      <c r="C136" t="s">
        <v>348</v>
      </c>
      <c r="D136" t="s">
        <v>349</v>
      </c>
      <c r="E136" t="s">
        <v>319</v>
      </c>
      <c r="F136" t="s">
        <v>345</v>
      </c>
      <c r="G136" t="s">
        <v>59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25">
      <c r="A137" t="s">
        <v>53</v>
      </c>
      <c r="B137">
        <v>136</v>
      </c>
      <c r="C137" t="s">
        <v>350</v>
      </c>
      <c r="D137" t="s">
        <v>351</v>
      </c>
      <c r="E137" t="s">
        <v>319</v>
      </c>
      <c r="F137" t="s">
        <v>345</v>
      </c>
      <c r="G137" t="s">
        <v>59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25">
      <c r="A138" t="s">
        <v>53</v>
      </c>
      <c r="B138">
        <v>137</v>
      </c>
      <c r="C138" t="s">
        <v>352</v>
      </c>
      <c r="D138" t="s">
        <v>353</v>
      </c>
      <c r="E138" t="s">
        <v>319</v>
      </c>
      <c r="F138" t="s">
        <v>345</v>
      </c>
      <c r="G138" t="s">
        <v>59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25">
      <c r="A139" t="s">
        <v>53</v>
      </c>
      <c r="B139">
        <v>138</v>
      </c>
      <c r="C139" t="s">
        <v>354</v>
      </c>
      <c r="D139" t="s">
        <v>355</v>
      </c>
      <c r="E139" t="s">
        <v>319</v>
      </c>
      <c r="F139" t="s">
        <v>345</v>
      </c>
      <c r="G139" t="s">
        <v>59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25">
      <c r="A140" t="s">
        <v>53</v>
      </c>
      <c r="B140">
        <v>139</v>
      </c>
      <c r="C140" t="s">
        <v>356</v>
      </c>
      <c r="D140" t="s">
        <v>357</v>
      </c>
      <c r="E140" t="s">
        <v>319</v>
      </c>
      <c r="F140" t="s">
        <v>345</v>
      </c>
      <c r="G140" t="s">
        <v>59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25">
      <c r="A141" t="s">
        <v>53</v>
      </c>
      <c r="B141">
        <v>140</v>
      </c>
      <c r="C141" t="s">
        <v>358</v>
      </c>
      <c r="D141" t="s">
        <v>359</v>
      </c>
      <c r="E141" t="s">
        <v>319</v>
      </c>
      <c r="F141" t="s">
        <v>345</v>
      </c>
      <c r="G141" t="s">
        <v>59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25">
      <c r="A142" t="s">
        <v>53</v>
      </c>
      <c r="B142">
        <v>141</v>
      </c>
      <c r="C142" t="s">
        <v>360</v>
      </c>
      <c r="D142" t="s">
        <v>361</v>
      </c>
      <c r="E142" t="s">
        <v>319</v>
      </c>
      <c r="F142" t="s">
        <v>345</v>
      </c>
      <c r="G142" t="s">
        <v>59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25">
      <c r="A143" t="s">
        <v>53</v>
      </c>
      <c r="B143">
        <v>142</v>
      </c>
      <c r="C143" t="s">
        <v>362</v>
      </c>
      <c r="D143" t="s">
        <v>363</v>
      </c>
      <c r="E143" t="s">
        <v>319</v>
      </c>
      <c r="F143" t="s">
        <v>345</v>
      </c>
      <c r="G143" t="s">
        <v>59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25">
      <c r="A144" t="s">
        <v>53</v>
      </c>
      <c r="B144">
        <v>143</v>
      </c>
      <c r="C144" t="s">
        <v>364</v>
      </c>
      <c r="D144" t="s">
        <v>365</v>
      </c>
      <c r="E144" t="s">
        <v>319</v>
      </c>
      <c r="F144" t="s">
        <v>345</v>
      </c>
      <c r="G144" t="s">
        <v>56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25">
      <c r="A145" t="s">
        <v>53</v>
      </c>
      <c r="B145">
        <v>144</v>
      </c>
      <c r="C145" t="s">
        <v>366</v>
      </c>
      <c r="D145" t="s">
        <v>367</v>
      </c>
      <c r="E145" t="s">
        <v>319</v>
      </c>
      <c r="F145" t="s">
        <v>345</v>
      </c>
      <c r="G145" t="s">
        <v>59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25">
      <c r="A146" t="s">
        <v>53</v>
      </c>
      <c r="B146">
        <v>145</v>
      </c>
      <c r="C146" t="s">
        <v>368</v>
      </c>
      <c r="D146" t="s">
        <v>369</v>
      </c>
      <c r="E146" t="s">
        <v>319</v>
      </c>
      <c r="F146" t="s">
        <v>370</v>
      </c>
      <c r="G146" t="s">
        <v>59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25">
      <c r="A147" t="s">
        <v>53</v>
      </c>
      <c r="B147">
        <v>146</v>
      </c>
      <c r="C147" t="s">
        <v>371</v>
      </c>
      <c r="D147" t="s">
        <v>372</v>
      </c>
      <c r="E147" t="s">
        <v>319</v>
      </c>
      <c r="F147" t="s">
        <v>370</v>
      </c>
      <c r="G147" t="s">
        <v>59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25">
      <c r="A148" t="s">
        <v>53</v>
      </c>
      <c r="B148">
        <v>147</v>
      </c>
      <c r="C148" t="s">
        <v>373</v>
      </c>
      <c r="D148" t="s">
        <v>374</v>
      </c>
      <c r="E148" t="s">
        <v>319</v>
      </c>
      <c r="F148" t="s">
        <v>370</v>
      </c>
      <c r="G148" t="s">
        <v>56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25">
      <c r="A149" t="s">
        <v>53</v>
      </c>
      <c r="B149">
        <v>148</v>
      </c>
      <c r="C149" t="s">
        <v>375</v>
      </c>
      <c r="D149" t="s">
        <v>376</v>
      </c>
      <c r="E149" t="s">
        <v>319</v>
      </c>
      <c r="F149" t="s">
        <v>370</v>
      </c>
      <c r="G149" t="s">
        <v>56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25">
      <c r="A150" t="s">
        <v>53</v>
      </c>
      <c r="B150">
        <v>149</v>
      </c>
      <c r="C150" t="s">
        <v>377</v>
      </c>
      <c r="D150" t="s">
        <v>378</v>
      </c>
      <c r="E150" t="s">
        <v>319</v>
      </c>
      <c r="F150" t="s">
        <v>379</v>
      </c>
      <c r="G150" t="s">
        <v>59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25">
      <c r="A151" t="s">
        <v>53</v>
      </c>
      <c r="B151">
        <v>150</v>
      </c>
      <c r="C151" t="s">
        <v>380</v>
      </c>
      <c r="D151" t="s">
        <v>381</v>
      </c>
      <c r="E151" t="s">
        <v>319</v>
      </c>
      <c r="F151" t="s">
        <v>379</v>
      </c>
      <c r="G151" t="s">
        <v>56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25">
      <c r="A152" t="s">
        <v>53</v>
      </c>
      <c r="B152">
        <v>151</v>
      </c>
      <c r="C152" t="s">
        <v>382</v>
      </c>
      <c r="D152" t="s">
        <v>383</v>
      </c>
      <c r="E152" t="s">
        <v>319</v>
      </c>
      <c r="F152" t="s">
        <v>379</v>
      </c>
      <c r="G152" t="s">
        <v>56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25">
      <c r="A153" t="s">
        <v>53</v>
      </c>
      <c r="B153">
        <v>152</v>
      </c>
      <c r="C153" t="s">
        <v>384</v>
      </c>
      <c r="D153" t="s">
        <v>385</v>
      </c>
      <c r="E153" t="s">
        <v>319</v>
      </c>
      <c r="F153" t="s">
        <v>386</v>
      </c>
      <c r="G153" t="s">
        <v>59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25">
      <c r="A154" t="s">
        <v>53</v>
      </c>
      <c r="B154">
        <v>153</v>
      </c>
      <c r="C154" t="s">
        <v>387</v>
      </c>
      <c r="D154" t="s">
        <v>388</v>
      </c>
      <c r="E154" t="s">
        <v>319</v>
      </c>
      <c r="F154" t="s">
        <v>386</v>
      </c>
      <c r="G154" t="s">
        <v>56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25">
      <c r="A155" t="s">
        <v>53</v>
      </c>
      <c r="B155">
        <v>154</v>
      </c>
      <c r="C155" t="s">
        <v>389</v>
      </c>
      <c r="D155" t="s">
        <v>390</v>
      </c>
      <c r="E155" t="s">
        <v>319</v>
      </c>
      <c r="F155" t="s">
        <v>386</v>
      </c>
      <c r="G155" t="s">
        <v>56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25">
      <c r="A156" t="s">
        <v>53</v>
      </c>
      <c r="B156">
        <v>155</v>
      </c>
      <c r="C156" t="s">
        <v>391</v>
      </c>
      <c r="D156" t="s">
        <v>392</v>
      </c>
      <c r="E156" t="s">
        <v>319</v>
      </c>
      <c r="F156" t="s">
        <v>392</v>
      </c>
      <c r="G156" t="s">
        <v>59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25">
      <c r="A157" t="s">
        <v>53</v>
      </c>
      <c r="B157">
        <v>156</v>
      </c>
      <c r="C157" t="s">
        <v>393</v>
      </c>
      <c r="D157" t="s">
        <v>394</v>
      </c>
      <c r="E157" t="s">
        <v>319</v>
      </c>
      <c r="F157" t="s">
        <v>169</v>
      </c>
      <c r="G157" t="s">
        <v>56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25">
      <c r="A158" t="s">
        <v>53</v>
      </c>
      <c r="B158">
        <v>157</v>
      </c>
      <c r="C158" t="s">
        <v>395</v>
      </c>
      <c r="D158" t="s">
        <v>396</v>
      </c>
      <c r="E158" t="s">
        <v>397</v>
      </c>
      <c r="F158" t="s">
        <v>398</v>
      </c>
      <c r="G158" t="s">
        <v>59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25">
      <c r="A159" t="s">
        <v>53</v>
      </c>
      <c r="B159">
        <v>158</v>
      </c>
      <c r="C159" t="s">
        <v>399</v>
      </c>
      <c r="D159" t="s">
        <v>400</v>
      </c>
      <c r="E159" t="s">
        <v>397</v>
      </c>
      <c r="F159" t="s">
        <v>398</v>
      </c>
      <c r="G159" t="s">
        <v>59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25">
      <c r="A160" t="s">
        <v>53</v>
      </c>
      <c r="B160">
        <v>159</v>
      </c>
      <c r="C160" t="s">
        <v>401</v>
      </c>
      <c r="D160" t="s">
        <v>402</v>
      </c>
      <c r="E160" t="s">
        <v>397</v>
      </c>
      <c r="F160" t="s">
        <v>398</v>
      </c>
      <c r="G160" t="s">
        <v>59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25">
      <c r="A161" t="s">
        <v>53</v>
      </c>
      <c r="B161">
        <v>160</v>
      </c>
      <c r="C161" t="s">
        <v>403</v>
      </c>
      <c r="D161" t="s">
        <v>404</v>
      </c>
      <c r="E161" t="s">
        <v>405</v>
      </c>
      <c r="F161" t="s">
        <v>405</v>
      </c>
      <c r="G161" t="s">
        <v>56</v>
      </c>
      <c r="H161">
        <v>83197</v>
      </c>
      <c r="I161">
        <v>81.483055555555495</v>
      </c>
      <c r="J161">
        <v>1021.0343663815499</v>
      </c>
      <c r="K161">
        <v>1047.82115869017</v>
      </c>
      <c r="L161">
        <v>79.400000000000006</v>
      </c>
      <c r="M161">
        <v>-2.0830555555555499</v>
      </c>
      <c r="N161">
        <v>0.97443572112811405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25">
      <c r="A162" t="s">
        <v>53</v>
      </c>
      <c r="B162">
        <v>161</v>
      </c>
      <c r="C162" t="s">
        <v>406</v>
      </c>
      <c r="D162" t="s">
        <v>407</v>
      </c>
      <c r="E162" t="s">
        <v>405</v>
      </c>
      <c r="F162" t="s">
        <v>405</v>
      </c>
      <c r="G162" t="s">
        <v>56</v>
      </c>
      <c r="H162">
        <v>83197</v>
      </c>
      <c r="I162">
        <v>0</v>
      </c>
      <c r="J162">
        <v>0</v>
      </c>
      <c r="K162">
        <v>7848.7735849056598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25">
      <c r="A163" t="s">
        <v>53</v>
      </c>
      <c r="B163">
        <v>162</v>
      </c>
      <c r="C163" t="s">
        <v>408</v>
      </c>
      <c r="D163" t="s">
        <v>409</v>
      </c>
      <c r="E163" t="s">
        <v>405</v>
      </c>
      <c r="F163" t="s">
        <v>405</v>
      </c>
      <c r="G163" t="s">
        <v>56</v>
      </c>
      <c r="H163">
        <v>83197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25">
      <c r="A164" t="s">
        <v>53</v>
      </c>
      <c r="B164">
        <v>163</v>
      </c>
      <c r="C164" t="s">
        <v>410</v>
      </c>
      <c r="D164" t="s">
        <v>411</v>
      </c>
      <c r="E164" t="s">
        <v>405</v>
      </c>
      <c r="F164" t="s">
        <v>405</v>
      </c>
      <c r="G164" t="s">
        <v>56</v>
      </c>
      <c r="H164">
        <v>83197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25">
      <c r="A165" t="s">
        <v>53</v>
      </c>
      <c r="B165">
        <v>164</v>
      </c>
      <c r="C165" t="s">
        <v>412</v>
      </c>
      <c r="D165" t="s">
        <v>413</v>
      </c>
      <c r="E165" t="s">
        <v>405</v>
      </c>
      <c r="F165" t="s">
        <v>405</v>
      </c>
      <c r="G165" t="s">
        <v>56</v>
      </c>
      <c r="H165">
        <v>141857</v>
      </c>
      <c r="I165">
        <v>40.3333333333333</v>
      </c>
      <c r="J165">
        <v>3517.1157024793301</v>
      </c>
      <c r="K165">
        <v>2499.999984</v>
      </c>
      <c r="L165">
        <v>56.742800363153897</v>
      </c>
      <c r="M165">
        <v>16.409467029820501</v>
      </c>
      <c r="N165">
        <v>1.4068462899955501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25">
      <c r="A166" t="s">
        <v>53</v>
      </c>
      <c r="B166">
        <v>165</v>
      </c>
      <c r="C166" t="s">
        <v>414</v>
      </c>
      <c r="D166" t="s">
        <v>415</v>
      </c>
      <c r="E166" t="s">
        <v>405</v>
      </c>
      <c r="F166" t="s">
        <v>405</v>
      </c>
      <c r="G166" t="s">
        <v>56</v>
      </c>
      <c r="H166">
        <v>83197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25">
      <c r="A167" t="s">
        <v>53</v>
      </c>
      <c r="B167">
        <v>166</v>
      </c>
      <c r="C167" t="s">
        <v>416</v>
      </c>
      <c r="D167" t="s">
        <v>417</v>
      </c>
      <c r="E167" t="s">
        <v>418</v>
      </c>
      <c r="F167" t="s">
        <v>419</v>
      </c>
      <c r="G167" t="s">
        <v>269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25">
      <c r="A168" t="s">
        <v>53</v>
      </c>
      <c r="B168">
        <v>167</v>
      </c>
      <c r="C168" t="s">
        <v>420</v>
      </c>
      <c r="D168" t="s">
        <v>421</v>
      </c>
      <c r="E168" t="s">
        <v>418</v>
      </c>
      <c r="F168" t="s">
        <v>419</v>
      </c>
      <c r="G168" t="s">
        <v>269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25">
      <c r="A169" t="s">
        <v>53</v>
      </c>
      <c r="B169">
        <v>168</v>
      </c>
      <c r="C169" t="s">
        <v>422</v>
      </c>
      <c r="D169" t="s">
        <v>423</v>
      </c>
      <c r="E169" t="s">
        <v>418</v>
      </c>
      <c r="F169" t="s">
        <v>419</v>
      </c>
      <c r="G169" t="s">
        <v>269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25">
      <c r="A170" t="s">
        <v>424</v>
      </c>
      <c r="B170">
        <v>1</v>
      </c>
      <c r="C170" t="s">
        <v>425</v>
      </c>
      <c r="D170" t="s">
        <v>426</v>
      </c>
      <c r="E170" t="s">
        <v>427</v>
      </c>
      <c r="F170" t="s">
        <v>427</v>
      </c>
      <c r="G170" t="s">
        <v>59</v>
      </c>
      <c r="H170">
        <v>58660</v>
      </c>
      <c r="I170">
        <v>222.12805555555499</v>
      </c>
      <c r="J170">
        <v>264.08190470711901</v>
      </c>
      <c r="K170">
        <v>254.809858308244</v>
      </c>
      <c r="L170">
        <v>230.21087327413699</v>
      </c>
      <c r="M170">
        <v>8.0828177185814098</v>
      </c>
      <c r="N170">
        <v>1.03638809919064</v>
      </c>
      <c r="P170">
        <v>0</v>
      </c>
      <c r="Q170">
        <v>0</v>
      </c>
      <c r="R170">
        <v>0</v>
      </c>
      <c r="S170">
        <v>0</v>
      </c>
    </row>
    <row r="171" spans="1:19" x14ac:dyDescent="0.25">
      <c r="A171" t="s">
        <v>424</v>
      </c>
      <c r="B171">
        <v>2</v>
      </c>
      <c r="C171" t="s">
        <v>428</v>
      </c>
      <c r="D171" t="s">
        <v>429</v>
      </c>
      <c r="E171" t="s">
        <v>427</v>
      </c>
      <c r="F171" t="s">
        <v>427</v>
      </c>
      <c r="G171" t="s">
        <v>59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25">
      <c r="A172" t="s">
        <v>424</v>
      </c>
      <c r="B172">
        <v>3</v>
      </c>
      <c r="C172" t="s">
        <v>430</v>
      </c>
      <c r="D172" t="s">
        <v>431</v>
      </c>
      <c r="E172" t="s">
        <v>427</v>
      </c>
      <c r="F172" t="s">
        <v>427</v>
      </c>
      <c r="G172" t="s">
        <v>59</v>
      </c>
      <c r="H172">
        <v>58660</v>
      </c>
      <c r="I172">
        <v>222.12805555555499</v>
      </c>
      <c r="J172">
        <v>264.08190470711901</v>
      </c>
      <c r="K172">
        <v>254.809858308244</v>
      </c>
      <c r="L172">
        <v>230.21087327413699</v>
      </c>
      <c r="M172">
        <v>8.0828177185814098</v>
      </c>
      <c r="N172">
        <v>1.03638809919064</v>
      </c>
      <c r="P172">
        <v>0</v>
      </c>
      <c r="Q172">
        <v>0</v>
      </c>
      <c r="R172">
        <v>0</v>
      </c>
      <c r="S172">
        <v>0</v>
      </c>
    </row>
    <row r="173" spans="1:19" x14ac:dyDescent="0.25">
      <c r="A173" t="s">
        <v>424</v>
      </c>
      <c r="B173">
        <v>4</v>
      </c>
      <c r="C173" t="s">
        <v>432</v>
      </c>
      <c r="D173" t="s">
        <v>218</v>
      </c>
      <c r="E173" t="s">
        <v>427</v>
      </c>
      <c r="F173" t="s">
        <v>427</v>
      </c>
      <c r="G173" t="s">
        <v>59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25">
      <c r="A174" t="s">
        <v>424</v>
      </c>
      <c r="B174">
        <v>5</v>
      </c>
      <c r="C174" t="s">
        <v>433</v>
      </c>
      <c r="D174" t="s">
        <v>434</v>
      </c>
      <c r="E174" t="s">
        <v>427</v>
      </c>
      <c r="F174" t="s">
        <v>427</v>
      </c>
      <c r="G174" t="s">
        <v>59</v>
      </c>
      <c r="H174">
        <v>83197</v>
      </c>
      <c r="I174">
        <v>458.58694444444399</v>
      </c>
      <c r="J174">
        <v>181.42034135051301</v>
      </c>
      <c r="K174">
        <v>220.36222130514801</v>
      </c>
      <c r="L174">
        <v>377.546566318153</v>
      </c>
      <c r="M174">
        <v>-81.040378126290904</v>
      </c>
      <c r="N174">
        <v>0.82328241327395901</v>
      </c>
      <c r="P174">
        <v>0</v>
      </c>
      <c r="Q174">
        <v>0</v>
      </c>
      <c r="R174">
        <v>0</v>
      </c>
      <c r="S174">
        <v>0</v>
      </c>
    </row>
    <row r="175" spans="1:19" x14ac:dyDescent="0.25">
      <c r="A175" t="s">
        <v>424</v>
      </c>
      <c r="B175">
        <v>6</v>
      </c>
      <c r="C175" t="s">
        <v>435</v>
      </c>
      <c r="D175" t="s">
        <v>319</v>
      </c>
      <c r="E175" t="s">
        <v>427</v>
      </c>
      <c r="F175" t="s">
        <v>427</v>
      </c>
      <c r="G175" t="s">
        <v>59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25">
      <c r="A176" t="s">
        <v>424</v>
      </c>
      <c r="B176">
        <v>7</v>
      </c>
      <c r="C176" t="s">
        <v>436</v>
      </c>
      <c r="D176" t="s">
        <v>398</v>
      </c>
      <c r="E176" t="s">
        <v>427</v>
      </c>
      <c r="F176" t="s">
        <v>427</v>
      </c>
      <c r="G176" t="s">
        <v>59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25">
      <c r="A177" t="s">
        <v>424</v>
      </c>
      <c r="B177">
        <v>8</v>
      </c>
      <c r="C177" t="s">
        <v>437</v>
      </c>
      <c r="D177" t="s">
        <v>405</v>
      </c>
      <c r="E177" t="s">
        <v>427</v>
      </c>
      <c r="F177" t="s">
        <v>427</v>
      </c>
      <c r="G177" t="s">
        <v>59</v>
      </c>
      <c r="H177">
        <v>83197</v>
      </c>
      <c r="I177">
        <v>121.816388888888</v>
      </c>
      <c r="J177">
        <v>682.97049977310996</v>
      </c>
      <c r="K177">
        <v>566.95796859612096</v>
      </c>
      <c r="L177">
        <v>146.74280036315301</v>
      </c>
      <c r="M177">
        <v>24.926411474264999</v>
      </c>
      <c r="N177">
        <v>1.20462280733835</v>
      </c>
      <c r="P177">
        <v>0</v>
      </c>
      <c r="Q177">
        <v>0</v>
      </c>
      <c r="R177">
        <v>0</v>
      </c>
      <c r="S177">
        <v>0</v>
      </c>
    </row>
    <row r="178" spans="1:19" x14ac:dyDescent="0.25">
      <c r="A178" t="s">
        <v>424</v>
      </c>
      <c r="B178">
        <v>9</v>
      </c>
      <c r="C178" t="s">
        <v>438</v>
      </c>
      <c r="D178" t="s">
        <v>418</v>
      </c>
      <c r="E178" t="s">
        <v>427</v>
      </c>
      <c r="F178" t="s">
        <v>427</v>
      </c>
      <c r="G178" t="s">
        <v>269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25">
      <c r="A179" t="s">
        <v>424</v>
      </c>
      <c r="B179">
        <v>10</v>
      </c>
      <c r="C179" t="s">
        <v>439</v>
      </c>
      <c r="D179" t="s">
        <v>440</v>
      </c>
      <c r="E179" t="s">
        <v>427</v>
      </c>
      <c r="F179" t="s">
        <v>427</v>
      </c>
      <c r="G179" t="s">
        <v>59</v>
      </c>
      <c r="H179">
        <v>141857</v>
      </c>
      <c r="I179">
        <v>802.53138888888805</v>
      </c>
      <c r="J179">
        <v>176.76193350692699</v>
      </c>
      <c r="K179">
        <v>188.01451939680899</v>
      </c>
      <c r="L179">
        <v>754.50023995544404</v>
      </c>
      <c r="M179">
        <v>-48.0311489334443</v>
      </c>
      <c r="N179">
        <v>0.94015044196595898</v>
      </c>
      <c r="P179">
        <v>0</v>
      </c>
      <c r="Q179">
        <v>0</v>
      </c>
      <c r="R179">
        <v>0</v>
      </c>
      <c r="S179">
        <v>0</v>
      </c>
    </row>
    <row r="180" spans="1:19" x14ac:dyDescent="0.25">
      <c r="A180" t="s">
        <v>441</v>
      </c>
      <c r="B180">
        <v>1</v>
      </c>
      <c r="C180" t="s">
        <v>442</v>
      </c>
      <c r="D180" t="s">
        <v>13</v>
      </c>
      <c r="E180" t="s">
        <v>443</v>
      </c>
      <c r="F180" t="s">
        <v>443</v>
      </c>
      <c r="G180" t="s">
        <v>59</v>
      </c>
      <c r="H180">
        <v>58660</v>
      </c>
      <c r="I180">
        <v>222.12805555555499</v>
      </c>
      <c r="J180">
        <v>264.08190470711901</v>
      </c>
      <c r="K180">
        <v>254.809858308244</v>
      </c>
      <c r="L180">
        <v>230.21087327413699</v>
      </c>
      <c r="M180">
        <v>8.0828177185814098</v>
      </c>
      <c r="N180">
        <v>1.03638809919064</v>
      </c>
      <c r="P180">
        <v>0</v>
      </c>
      <c r="Q180">
        <v>0</v>
      </c>
      <c r="R180">
        <v>0</v>
      </c>
      <c r="S180">
        <v>0</v>
      </c>
    </row>
    <row r="181" spans="1:19" x14ac:dyDescent="0.25">
      <c r="A181" t="s">
        <v>441</v>
      </c>
      <c r="B181">
        <v>2</v>
      </c>
      <c r="C181" t="s">
        <v>444</v>
      </c>
      <c r="D181" t="s">
        <v>445</v>
      </c>
      <c r="E181" t="s">
        <v>443</v>
      </c>
      <c r="F181" t="s">
        <v>443</v>
      </c>
      <c r="G181" t="s">
        <v>59</v>
      </c>
      <c r="H181">
        <v>83197</v>
      </c>
      <c r="I181">
        <v>458.58694444444399</v>
      </c>
      <c r="J181">
        <v>181.42034135051301</v>
      </c>
      <c r="K181">
        <v>220.36222130514801</v>
      </c>
      <c r="L181">
        <v>377.546566318153</v>
      </c>
      <c r="M181">
        <v>-81.040378126290904</v>
      </c>
      <c r="N181">
        <v>0.82328241327395901</v>
      </c>
      <c r="P181">
        <v>0</v>
      </c>
      <c r="Q181">
        <v>0</v>
      </c>
      <c r="R181">
        <v>0</v>
      </c>
      <c r="S181">
        <v>0</v>
      </c>
    </row>
    <row r="182" spans="1:19" x14ac:dyDescent="0.25">
      <c r="A182" t="s">
        <v>441</v>
      </c>
      <c r="B182">
        <v>3</v>
      </c>
      <c r="C182" t="s">
        <v>446</v>
      </c>
      <c r="D182" t="s">
        <v>319</v>
      </c>
      <c r="E182" t="s">
        <v>443</v>
      </c>
      <c r="F182" t="s">
        <v>443</v>
      </c>
      <c r="G182" t="s">
        <v>59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25">
      <c r="A183" t="s">
        <v>441</v>
      </c>
      <c r="B183">
        <v>4</v>
      </c>
      <c r="C183" t="s">
        <v>447</v>
      </c>
      <c r="D183" t="s">
        <v>405</v>
      </c>
      <c r="E183" t="s">
        <v>443</v>
      </c>
      <c r="F183" t="s">
        <v>443</v>
      </c>
      <c r="G183" t="s">
        <v>59</v>
      </c>
      <c r="H183">
        <v>83197</v>
      </c>
      <c r="I183">
        <v>121.816388888888</v>
      </c>
      <c r="J183">
        <v>682.97049977310996</v>
      </c>
      <c r="K183">
        <v>566.95796859612096</v>
      </c>
      <c r="L183">
        <v>146.74280036315301</v>
      </c>
      <c r="M183">
        <v>24.926411474264999</v>
      </c>
      <c r="N183">
        <v>1.20462280733835</v>
      </c>
      <c r="P183">
        <v>0</v>
      </c>
      <c r="Q183">
        <v>0</v>
      </c>
      <c r="R183">
        <v>0</v>
      </c>
      <c r="S183">
        <v>0</v>
      </c>
    </row>
    <row r="184" spans="1:19" x14ac:dyDescent="0.25">
      <c r="A184" t="s">
        <v>441</v>
      </c>
      <c r="B184">
        <v>5</v>
      </c>
      <c r="C184" t="s">
        <v>448</v>
      </c>
      <c r="D184" t="s">
        <v>418</v>
      </c>
      <c r="E184" t="s">
        <v>443</v>
      </c>
      <c r="F184" t="s">
        <v>443</v>
      </c>
      <c r="G184" t="s">
        <v>269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25">
      <c r="A185" t="s">
        <v>441</v>
      </c>
      <c r="B185">
        <v>6</v>
      </c>
      <c r="C185" t="s">
        <v>449</v>
      </c>
      <c r="D185" t="s">
        <v>440</v>
      </c>
      <c r="E185" t="s">
        <v>443</v>
      </c>
      <c r="F185" t="s">
        <v>443</v>
      </c>
      <c r="G185" t="s">
        <v>59</v>
      </c>
      <c r="H185">
        <v>141857</v>
      </c>
      <c r="I185">
        <v>802.53138888888805</v>
      </c>
      <c r="J185">
        <v>176.76193350692699</v>
      </c>
      <c r="K185">
        <v>188.01451939680899</v>
      </c>
      <c r="L185">
        <v>754.50023995544404</v>
      </c>
      <c r="M185">
        <v>-48.0311489334443</v>
      </c>
      <c r="N185">
        <v>0.94015044196595898</v>
      </c>
      <c r="P185">
        <v>0</v>
      </c>
      <c r="Q185">
        <v>0</v>
      </c>
      <c r="R185">
        <v>0</v>
      </c>
      <c r="S185">
        <v>0</v>
      </c>
    </row>
    <row r="186" spans="1:19" x14ac:dyDescent="0.25">
      <c r="A186" t="s">
        <v>33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S186"/>
  <sheetViews>
    <sheetView workbookViewId="0">
      <selection sqref="A1:A1048576"/>
    </sheetView>
  </sheetViews>
  <sheetFormatPr defaultRowHeight="15" x14ac:dyDescent="0.25"/>
  <cols>
    <col min="1" max="1" width="18.140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9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</row>
    <row r="2" spans="1:19" x14ac:dyDescent="0.25">
      <c r="A2" t="s">
        <v>53</v>
      </c>
      <c r="B2">
        <v>1</v>
      </c>
      <c r="C2" t="s">
        <v>54</v>
      </c>
      <c r="D2" t="s">
        <v>6</v>
      </c>
      <c r="E2" t="s">
        <v>13</v>
      </c>
      <c r="F2" t="s">
        <v>55</v>
      </c>
      <c r="G2" t="s">
        <v>56</v>
      </c>
      <c r="H2">
        <v>52761</v>
      </c>
      <c r="I2">
        <v>30.1666666666666</v>
      </c>
      <c r="J2">
        <v>1748.98342541436</v>
      </c>
      <c r="K2">
        <v>995.00000399999999</v>
      </c>
      <c r="L2">
        <v>53.026130440095898</v>
      </c>
      <c r="M2">
        <v>22.859463773429201</v>
      </c>
      <c r="N2">
        <v>1.75777227978218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25">
      <c r="A3" t="s">
        <v>53</v>
      </c>
      <c r="B3">
        <v>2</v>
      </c>
      <c r="C3" t="s">
        <v>57</v>
      </c>
      <c r="D3" t="s">
        <v>58</v>
      </c>
      <c r="E3" t="s">
        <v>13</v>
      </c>
      <c r="F3" t="s">
        <v>55</v>
      </c>
      <c r="G3" t="s">
        <v>59</v>
      </c>
      <c r="H3">
        <v>1616</v>
      </c>
      <c r="I3">
        <v>1.7097222222222199</v>
      </c>
      <c r="J3">
        <v>945.18277822908203</v>
      </c>
      <c r="K3">
        <v>275.00000399999999</v>
      </c>
      <c r="L3">
        <v>5.8763635508892502</v>
      </c>
      <c r="M3">
        <v>4.1666413286670299</v>
      </c>
      <c r="N3">
        <v>3.4370282344762502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25">
      <c r="A4" t="s">
        <v>53</v>
      </c>
      <c r="B4">
        <v>3</v>
      </c>
      <c r="C4" t="s">
        <v>60</v>
      </c>
      <c r="D4" t="s">
        <v>61</v>
      </c>
      <c r="E4" t="s">
        <v>13</v>
      </c>
      <c r="F4" t="s">
        <v>55</v>
      </c>
      <c r="G4" t="s">
        <v>59</v>
      </c>
      <c r="H4">
        <v>6459</v>
      </c>
      <c r="I4">
        <v>17.4169444444444</v>
      </c>
      <c r="J4">
        <v>370.84576003572499</v>
      </c>
      <c r="K4">
        <v>101.999988</v>
      </c>
      <c r="L4">
        <v>63.323536861592501</v>
      </c>
      <c r="M4">
        <v>45.906592417148097</v>
      </c>
      <c r="N4">
        <v>3.6357431731827701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25">
      <c r="A5" t="s">
        <v>53</v>
      </c>
      <c r="B5">
        <v>4</v>
      </c>
      <c r="C5" t="s">
        <v>62</v>
      </c>
      <c r="D5" t="s">
        <v>63</v>
      </c>
      <c r="E5" t="s">
        <v>13</v>
      </c>
      <c r="F5" t="s">
        <v>55</v>
      </c>
      <c r="G5" t="s">
        <v>59</v>
      </c>
      <c r="H5">
        <v>9</v>
      </c>
      <c r="I5">
        <v>0.32805555555555499</v>
      </c>
      <c r="J5">
        <v>27.4343776460626</v>
      </c>
      <c r="K5">
        <v>52.999991999999999</v>
      </c>
      <c r="L5">
        <v>0.16981134638661799</v>
      </c>
      <c r="M5">
        <v>-0.158244209168937</v>
      </c>
      <c r="N5">
        <v>0.51762984503964904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25">
      <c r="A6" t="s">
        <v>53</v>
      </c>
      <c r="B6">
        <v>5</v>
      </c>
      <c r="C6" t="s">
        <v>64</v>
      </c>
      <c r="D6" t="s">
        <v>65</v>
      </c>
      <c r="E6" t="s">
        <v>13</v>
      </c>
      <c r="F6" t="s">
        <v>55</v>
      </c>
      <c r="G6" t="s">
        <v>59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25">
      <c r="A7" t="s">
        <v>53</v>
      </c>
      <c r="B7">
        <v>6</v>
      </c>
      <c r="C7" t="s">
        <v>66</v>
      </c>
      <c r="D7" t="s">
        <v>67</v>
      </c>
      <c r="E7" t="s">
        <v>13</v>
      </c>
      <c r="F7" t="s">
        <v>55</v>
      </c>
      <c r="G7" t="s">
        <v>59</v>
      </c>
      <c r="H7">
        <v>8084</v>
      </c>
      <c r="I7">
        <v>19.454722222222198</v>
      </c>
      <c r="J7">
        <v>415.52893470594103</v>
      </c>
      <c r="K7">
        <v>116.535009228527</v>
      </c>
      <c r="L7">
        <v>69.369711758868405</v>
      </c>
      <c r="M7">
        <v>49.914989536646203</v>
      </c>
      <c r="N7">
        <v>3.5657004487903001</v>
      </c>
      <c r="P7">
        <v>0</v>
      </c>
      <c r="Q7">
        <v>0</v>
      </c>
      <c r="R7">
        <v>0</v>
      </c>
      <c r="S7">
        <v>0</v>
      </c>
    </row>
    <row r="8" spans="1:19" x14ac:dyDescent="0.25">
      <c r="A8" t="s">
        <v>53</v>
      </c>
      <c r="B8">
        <v>7</v>
      </c>
      <c r="C8" t="s">
        <v>68</v>
      </c>
      <c r="D8" t="s">
        <v>69</v>
      </c>
      <c r="E8" t="s">
        <v>13</v>
      </c>
      <c r="F8" t="s">
        <v>55</v>
      </c>
      <c r="G8" t="s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25">
      <c r="A9" t="s">
        <v>53</v>
      </c>
      <c r="B9">
        <v>8</v>
      </c>
      <c r="C9" t="s">
        <v>70</v>
      </c>
      <c r="D9" t="s">
        <v>71</v>
      </c>
      <c r="E9" t="s">
        <v>13</v>
      </c>
      <c r="F9" t="s">
        <v>55</v>
      </c>
      <c r="G9" t="s">
        <v>59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25">
      <c r="A10" t="s">
        <v>53</v>
      </c>
      <c r="B10">
        <v>9</v>
      </c>
      <c r="C10" t="s">
        <v>72</v>
      </c>
      <c r="D10" t="s">
        <v>73</v>
      </c>
      <c r="E10" t="s">
        <v>13</v>
      </c>
      <c r="F10" t="s">
        <v>55</v>
      </c>
      <c r="G10" t="s">
        <v>59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25">
      <c r="A11" t="s">
        <v>53</v>
      </c>
      <c r="B11">
        <v>10</v>
      </c>
      <c r="C11" t="s">
        <v>74</v>
      </c>
      <c r="D11" t="s">
        <v>75</v>
      </c>
      <c r="E11" t="s">
        <v>13</v>
      </c>
      <c r="F11" t="s">
        <v>55</v>
      </c>
      <c r="G11" t="s">
        <v>59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25">
      <c r="A12" t="s">
        <v>53</v>
      </c>
      <c r="B12">
        <v>11</v>
      </c>
      <c r="C12" t="s">
        <v>76</v>
      </c>
      <c r="D12" t="s">
        <v>77</v>
      </c>
      <c r="E12" t="s">
        <v>13</v>
      </c>
      <c r="F12" t="s">
        <v>55</v>
      </c>
      <c r="G12" t="s">
        <v>59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25">
      <c r="A13" t="s">
        <v>53</v>
      </c>
      <c r="B13">
        <v>12</v>
      </c>
      <c r="C13" t="s">
        <v>78</v>
      </c>
      <c r="D13" t="s">
        <v>79</v>
      </c>
      <c r="E13" t="s">
        <v>13</v>
      </c>
      <c r="F13" t="s">
        <v>55</v>
      </c>
      <c r="G13" t="s">
        <v>80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25">
      <c r="A14" t="s">
        <v>53</v>
      </c>
      <c r="B14">
        <v>13</v>
      </c>
      <c r="C14" t="s">
        <v>81</v>
      </c>
      <c r="D14" t="s">
        <v>7</v>
      </c>
      <c r="E14" t="s">
        <v>13</v>
      </c>
      <c r="F14" t="s">
        <v>55</v>
      </c>
      <c r="G14" t="s">
        <v>80</v>
      </c>
      <c r="H14">
        <v>5147</v>
      </c>
      <c r="I14">
        <v>9.24</v>
      </c>
      <c r="J14">
        <v>557.03463203463195</v>
      </c>
      <c r="K14">
        <v>524.99998800000003</v>
      </c>
      <c r="L14">
        <v>9.8038097478966009</v>
      </c>
      <c r="M14">
        <v>0.56380974789660299</v>
      </c>
      <c r="N14">
        <v>1.06101837098448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25">
      <c r="A15" t="s">
        <v>53</v>
      </c>
      <c r="B15">
        <v>14</v>
      </c>
      <c r="C15" t="s">
        <v>82</v>
      </c>
      <c r="D15" t="s">
        <v>83</v>
      </c>
      <c r="E15" t="s">
        <v>13</v>
      </c>
      <c r="F15" t="s">
        <v>55</v>
      </c>
      <c r="G15" t="s">
        <v>84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25">
      <c r="A16" t="s">
        <v>53</v>
      </c>
      <c r="B16">
        <v>15</v>
      </c>
      <c r="C16" t="s">
        <v>85</v>
      </c>
      <c r="D16" t="s">
        <v>86</v>
      </c>
      <c r="E16" t="s">
        <v>13</v>
      </c>
      <c r="F16" t="s">
        <v>55</v>
      </c>
      <c r="G16" t="s">
        <v>56</v>
      </c>
      <c r="H16">
        <v>52761</v>
      </c>
      <c r="I16">
        <v>48.014722222222197</v>
      </c>
      <c r="J16">
        <v>1098.8504683169999</v>
      </c>
      <c r="K16">
        <v>2000.00001599999</v>
      </c>
      <c r="L16">
        <v>26.380499788956001</v>
      </c>
      <c r="M16">
        <v>-21.634222433266199</v>
      </c>
      <c r="N16">
        <v>0.54942522976310204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25">
      <c r="A17" t="s">
        <v>53</v>
      </c>
      <c r="B17">
        <v>16</v>
      </c>
      <c r="C17" t="s">
        <v>87</v>
      </c>
      <c r="D17" t="s">
        <v>88</v>
      </c>
      <c r="E17" t="s">
        <v>13</v>
      </c>
      <c r="F17" t="s">
        <v>55</v>
      </c>
      <c r="G17" t="s">
        <v>59</v>
      </c>
      <c r="H17">
        <v>52761</v>
      </c>
      <c r="I17">
        <v>106.876111111111</v>
      </c>
      <c r="J17">
        <v>493.66504311846001</v>
      </c>
      <c r="K17">
        <v>332.708724405157</v>
      </c>
      <c r="L17">
        <v>158.580151735817</v>
      </c>
      <c r="M17">
        <v>51.704040624705897</v>
      </c>
      <c r="N17">
        <v>1.48377546756873</v>
      </c>
      <c r="P17">
        <v>0</v>
      </c>
      <c r="Q17">
        <v>0</v>
      </c>
      <c r="R17">
        <v>0</v>
      </c>
      <c r="S17">
        <v>0</v>
      </c>
    </row>
    <row r="18" spans="1:19" x14ac:dyDescent="0.25">
      <c r="A18" t="s">
        <v>53</v>
      </c>
      <c r="B18">
        <v>17</v>
      </c>
      <c r="C18" t="s">
        <v>89</v>
      </c>
      <c r="D18" t="s">
        <v>90</v>
      </c>
      <c r="E18" t="s">
        <v>13</v>
      </c>
      <c r="F18" t="s">
        <v>91</v>
      </c>
      <c r="G18" t="s">
        <v>80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25">
      <c r="A19" t="s">
        <v>53</v>
      </c>
      <c r="B19">
        <v>18</v>
      </c>
      <c r="C19" t="s">
        <v>92</v>
      </c>
      <c r="D19" t="s">
        <v>93</v>
      </c>
      <c r="E19" t="s">
        <v>13</v>
      </c>
      <c r="F19" t="s">
        <v>91</v>
      </c>
      <c r="G19" t="s">
        <v>59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25">
      <c r="A20" t="s">
        <v>53</v>
      </c>
      <c r="B20">
        <v>19</v>
      </c>
      <c r="C20" t="s">
        <v>94</v>
      </c>
      <c r="D20" t="s">
        <v>95</v>
      </c>
      <c r="E20" t="s">
        <v>13</v>
      </c>
      <c r="F20" t="s">
        <v>91</v>
      </c>
      <c r="G20" t="s">
        <v>59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25">
      <c r="A21" t="s">
        <v>53</v>
      </c>
      <c r="B21">
        <v>20</v>
      </c>
      <c r="C21" t="s">
        <v>96</v>
      </c>
      <c r="D21" t="s">
        <v>97</v>
      </c>
      <c r="E21" t="s">
        <v>13</v>
      </c>
      <c r="F21" t="s">
        <v>91</v>
      </c>
      <c r="G21" t="s">
        <v>59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25">
      <c r="A22" t="s">
        <v>53</v>
      </c>
      <c r="B22">
        <v>21</v>
      </c>
      <c r="C22" t="s">
        <v>98</v>
      </c>
      <c r="D22" t="s">
        <v>99</v>
      </c>
      <c r="E22" t="s">
        <v>13</v>
      </c>
      <c r="F22" t="s">
        <v>91</v>
      </c>
      <c r="G22" t="s">
        <v>59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25">
      <c r="A23" t="s">
        <v>53</v>
      </c>
      <c r="B23">
        <v>22</v>
      </c>
      <c r="C23" t="s">
        <v>100</v>
      </c>
      <c r="D23" t="s">
        <v>101</v>
      </c>
      <c r="E23" t="s">
        <v>13</v>
      </c>
      <c r="F23" t="s">
        <v>91</v>
      </c>
      <c r="G23" t="s">
        <v>59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25">
      <c r="A24" t="s">
        <v>53</v>
      </c>
      <c r="B24">
        <v>23</v>
      </c>
      <c r="C24" t="s">
        <v>102</v>
      </c>
      <c r="D24" t="s">
        <v>103</v>
      </c>
      <c r="E24" t="s">
        <v>13</v>
      </c>
      <c r="F24" t="s">
        <v>91</v>
      </c>
      <c r="G24" t="s">
        <v>80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25">
      <c r="A25" t="s">
        <v>53</v>
      </c>
      <c r="B25">
        <v>24</v>
      </c>
      <c r="C25" t="s">
        <v>104</v>
      </c>
      <c r="D25" t="s">
        <v>105</v>
      </c>
      <c r="E25" t="s">
        <v>13</v>
      </c>
      <c r="F25" t="s">
        <v>91</v>
      </c>
      <c r="G25" t="s">
        <v>84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25">
      <c r="A26" t="s">
        <v>53</v>
      </c>
      <c r="B26">
        <v>25</v>
      </c>
      <c r="C26" t="s">
        <v>106</v>
      </c>
      <c r="D26" t="s">
        <v>107</v>
      </c>
      <c r="E26" t="s">
        <v>13</v>
      </c>
      <c r="F26" t="s">
        <v>91</v>
      </c>
      <c r="G26" t="s">
        <v>56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25">
      <c r="A27" t="s">
        <v>53</v>
      </c>
      <c r="B27">
        <v>26</v>
      </c>
      <c r="C27" t="s">
        <v>108</v>
      </c>
      <c r="D27" t="s">
        <v>109</v>
      </c>
      <c r="E27" t="s">
        <v>13</v>
      </c>
      <c r="F27" t="s">
        <v>91</v>
      </c>
      <c r="G27" t="s">
        <v>59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25">
      <c r="A28" t="s">
        <v>53</v>
      </c>
      <c r="B28">
        <v>27</v>
      </c>
      <c r="C28" t="s">
        <v>110</v>
      </c>
      <c r="D28" t="s">
        <v>111</v>
      </c>
      <c r="E28" t="s">
        <v>13</v>
      </c>
      <c r="F28" t="s">
        <v>112</v>
      </c>
      <c r="G28" t="s">
        <v>59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25">
      <c r="A29" t="s">
        <v>53</v>
      </c>
      <c r="B29">
        <v>28</v>
      </c>
      <c r="C29" t="s">
        <v>113</v>
      </c>
      <c r="D29" t="s">
        <v>114</v>
      </c>
      <c r="E29" t="s">
        <v>13</v>
      </c>
      <c r="F29" t="s">
        <v>112</v>
      </c>
      <c r="G29" t="s">
        <v>59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25">
      <c r="A30" t="s">
        <v>53</v>
      </c>
      <c r="B30">
        <v>29</v>
      </c>
      <c r="C30" t="s">
        <v>115</v>
      </c>
      <c r="D30" t="s">
        <v>116</v>
      </c>
      <c r="E30" t="s">
        <v>13</v>
      </c>
      <c r="F30" t="s">
        <v>112</v>
      </c>
      <c r="G30" t="s">
        <v>59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25">
      <c r="A31" t="s">
        <v>53</v>
      </c>
      <c r="B31">
        <v>30</v>
      </c>
      <c r="C31" t="s">
        <v>117</v>
      </c>
      <c r="D31" t="s">
        <v>118</v>
      </c>
      <c r="E31" t="s">
        <v>13</v>
      </c>
      <c r="F31" t="s">
        <v>112</v>
      </c>
      <c r="G31" t="s">
        <v>59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25">
      <c r="A32" t="s">
        <v>53</v>
      </c>
      <c r="B32">
        <v>31</v>
      </c>
      <c r="C32" t="s">
        <v>119</v>
      </c>
      <c r="D32" t="s">
        <v>120</v>
      </c>
      <c r="E32" t="s">
        <v>13</v>
      </c>
      <c r="F32" t="s">
        <v>112</v>
      </c>
      <c r="G32" t="s">
        <v>59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25">
      <c r="A33" t="s">
        <v>53</v>
      </c>
      <c r="B33">
        <v>32</v>
      </c>
      <c r="C33" t="s">
        <v>121</v>
      </c>
      <c r="D33" t="s">
        <v>122</v>
      </c>
      <c r="E33" t="s">
        <v>13</v>
      </c>
      <c r="F33" t="s">
        <v>112</v>
      </c>
      <c r="G33" t="s">
        <v>59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25">
      <c r="A34" t="s">
        <v>53</v>
      </c>
      <c r="B34">
        <v>33</v>
      </c>
      <c r="C34" t="s">
        <v>123</v>
      </c>
      <c r="D34" t="s">
        <v>124</v>
      </c>
      <c r="E34" t="s">
        <v>13</v>
      </c>
      <c r="F34" t="s">
        <v>112</v>
      </c>
      <c r="G34" t="s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25">
      <c r="A35" t="s">
        <v>53</v>
      </c>
      <c r="B35">
        <v>34</v>
      </c>
      <c r="C35" t="s">
        <v>125</v>
      </c>
      <c r="D35" t="s">
        <v>126</v>
      </c>
      <c r="E35" t="s">
        <v>13</v>
      </c>
      <c r="F35" t="s">
        <v>112</v>
      </c>
      <c r="G35" t="s">
        <v>56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25">
      <c r="A36" t="s">
        <v>53</v>
      </c>
      <c r="B36">
        <v>35</v>
      </c>
      <c r="C36" t="s">
        <v>127</v>
      </c>
      <c r="D36" t="s">
        <v>128</v>
      </c>
      <c r="E36" t="s">
        <v>13</v>
      </c>
      <c r="F36" t="s">
        <v>112</v>
      </c>
      <c r="G36" t="s">
        <v>56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25">
      <c r="A37" t="s">
        <v>53</v>
      </c>
      <c r="B37">
        <v>36</v>
      </c>
      <c r="C37" t="s">
        <v>129</v>
      </c>
      <c r="D37" t="s">
        <v>130</v>
      </c>
      <c r="E37" t="s">
        <v>13</v>
      </c>
      <c r="F37" t="s">
        <v>131</v>
      </c>
      <c r="G37" t="s">
        <v>59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25">
      <c r="A38" t="s">
        <v>53</v>
      </c>
      <c r="B38">
        <v>37</v>
      </c>
      <c r="C38" t="s">
        <v>132</v>
      </c>
      <c r="D38" t="s">
        <v>133</v>
      </c>
      <c r="E38" t="s">
        <v>13</v>
      </c>
      <c r="F38" t="s">
        <v>131</v>
      </c>
      <c r="G38" t="s">
        <v>59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25">
      <c r="A39" t="s">
        <v>53</v>
      </c>
      <c r="B39">
        <v>38</v>
      </c>
      <c r="C39" t="s">
        <v>134</v>
      </c>
      <c r="D39" t="s">
        <v>135</v>
      </c>
      <c r="E39" t="s">
        <v>13</v>
      </c>
      <c r="F39" t="s">
        <v>131</v>
      </c>
      <c r="G39" t="s">
        <v>59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25">
      <c r="A40" t="s">
        <v>53</v>
      </c>
      <c r="B40">
        <v>39</v>
      </c>
      <c r="C40" t="s">
        <v>136</v>
      </c>
      <c r="D40" t="s">
        <v>137</v>
      </c>
      <c r="E40" t="s">
        <v>13</v>
      </c>
      <c r="F40" t="s">
        <v>131</v>
      </c>
      <c r="G40" t="s">
        <v>59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25">
      <c r="A41" t="s">
        <v>53</v>
      </c>
      <c r="B41">
        <v>40</v>
      </c>
      <c r="C41" t="s">
        <v>138</v>
      </c>
      <c r="D41" t="s">
        <v>139</v>
      </c>
      <c r="E41" t="s">
        <v>13</v>
      </c>
      <c r="F41" t="s">
        <v>131</v>
      </c>
      <c r="G41" t="s">
        <v>59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25">
      <c r="A42" t="s">
        <v>53</v>
      </c>
      <c r="B42">
        <v>41</v>
      </c>
      <c r="C42" t="s">
        <v>140</v>
      </c>
      <c r="D42" t="s">
        <v>141</v>
      </c>
      <c r="E42" t="s">
        <v>13</v>
      </c>
      <c r="F42" t="s">
        <v>131</v>
      </c>
      <c r="G42" t="s">
        <v>80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25">
      <c r="A43" t="s">
        <v>53</v>
      </c>
      <c r="B43">
        <v>42</v>
      </c>
      <c r="C43" t="s">
        <v>142</v>
      </c>
      <c r="D43" t="s">
        <v>143</v>
      </c>
      <c r="E43" t="s">
        <v>13</v>
      </c>
      <c r="F43" t="s">
        <v>131</v>
      </c>
      <c r="G43" t="s">
        <v>84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25">
      <c r="A44" t="s">
        <v>53</v>
      </c>
      <c r="B44">
        <v>43</v>
      </c>
      <c r="C44" t="s">
        <v>144</v>
      </c>
      <c r="D44" t="s">
        <v>145</v>
      </c>
      <c r="E44" t="s">
        <v>13</v>
      </c>
      <c r="F44" t="s">
        <v>131</v>
      </c>
      <c r="G44" t="s">
        <v>59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25">
      <c r="A45" t="s">
        <v>53</v>
      </c>
      <c r="B45">
        <v>44</v>
      </c>
      <c r="C45" t="s">
        <v>146</v>
      </c>
      <c r="D45" t="s">
        <v>147</v>
      </c>
      <c r="E45" t="s">
        <v>13</v>
      </c>
      <c r="F45" t="s">
        <v>131</v>
      </c>
      <c r="G45" t="s">
        <v>59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25">
      <c r="A46" t="s">
        <v>53</v>
      </c>
      <c r="B46">
        <v>45</v>
      </c>
      <c r="C46" t="s">
        <v>148</v>
      </c>
      <c r="D46" t="s">
        <v>149</v>
      </c>
      <c r="E46" t="s">
        <v>13</v>
      </c>
      <c r="F46" t="s">
        <v>150</v>
      </c>
      <c r="G46" t="s">
        <v>80</v>
      </c>
      <c r="H46">
        <v>5728</v>
      </c>
      <c r="I46">
        <v>76.788611111111095</v>
      </c>
      <c r="J46">
        <v>74.594395146849706</v>
      </c>
      <c r="K46">
        <v>86.000004000000004</v>
      </c>
      <c r="L46">
        <v>66.604648064900005</v>
      </c>
      <c r="M46">
        <v>-10.183963046211</v>
      </c>
      <c r="N46">
        <v>0.86737664741096698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25">
      <c r="A47" t="s">
        <v>53</v>
      </c>
      <c r="B47">
        <v>46</v>
      </c>
      <c r="C47" t="s">
        <v>151</v>
      </c>
      <c r="D47" t="s">
        <v>152</v>
      </c>
      <c r="E47" t="s">
        <v>13</v>
      </c>
      <c r="F47" t="s">
        <v>150</v>
      </c>
      <c r="G47" t="s">
        <v>153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25">
      <c r="A48" t="s">
        <v>53</v>
      </c>
      <c r="B48">
        <v>47</v>
      </c>
      <c r="C48" t="s">
        <v>154</v>
      </c>
      <c r="D48" t="s">
        <v>155</v>
      </c>
      <c r="E48" t="s">
        <v>13</v>
      </c>
      <c r="F48" t="s">
        <v>150</v>
      </c>
      <c r="G48" t="s">
        <v>84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25">
      <c r="A49" t="s">
        <v>53</v>
      </c>
      <c r="B49">
        <v>48</v>
      </c>
      <c r="C49" t="s">
        <v>156</v>
      </c>
      <c r="D49" t="s">
        <v>157</v>
      </c>
      <c r="E49" t="s">
        <v>13</v>
      </c>
      <c r="F49" t="s">
        <v>150</v>
      </c>
      <c r="G49" t="s">
        <v>158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25">
      <c r="A50" t="s">
        <v>53</v>
      </c>
      <c r="B50">
        <v>49</v>
      </c>
      <c r="C50" t="s">
        <v>159</v>
      </c>
      <c r="D50" t="s">
        <v>160</v>
      </c>
      <c r="E50" t="s">
        <v>13</v>
      </c>
      <c r="F50" t="s">
        <v>150</v>
      </c>
      <c r="G50" t="s">
        <v>56</v>
      </c>
      <c r="H50">
        <v>131640</v>
      </c>
      <c r="I50">
        <v>24.593333333333302</v>
      </c>
      <c r="J50">
        <v>5352.6701002981799</v>
      </c>
      <c r="K50">
        <v>15000.0000119999</v>
      </c>
      <c r="L50">
        <v>8.7759999929791999</v>
      </c>
      <c r="M50">
        <v>-15.8173333403541</v>
      </c>
      <c r="N50">
        <v>0.35684467306773598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25">
      <c r="A51" t="s">
        <v>53</v>
      </c>
      <c r="B51">
        <v>50</v>
      </c>
      <c r="C51" t="s">
        <v>161</v>
      </c>
      <c r="D51" t="s">
        <v>162</v>
      </c>
      <c r="E51" t="s">
        <v>13</v>
      </c>
      <c r="F51" t="s">
        <v>150</v>
      </c>
      <c r="G51" t="s">
        <v>56</v>
      </c>
      <c r="H51">
        <v>131640</v>
      </c>
      <c r="I51">
        <v>101.381944444444</v>
      </c>
      <c r="J51">
        <v>1298.4560586341499</v>
      </c>
      <c r="K51">
        <v>1746.33680382958</v>
      </c>
      <c r="L51">
        <v>75.380648057879299</v>
      </c>
      <c r="M51">
        <v>-26.001296386565102</v>
      </c>
      <c r="N51">
        <v>0.74353129120724804</v>
      </c>
      <c r="P51">
        <v>0</v>
      </c>
      <c r="Q51">
        <v>0</v>
      </c>
      <c r="R51">
        <v>0</v>
      </c>
      <c r="S51">
        <v>0</v>
      </c>
    </row>
    <row r="52" spans="1:19" x14ac:dyDescent="0.25">
      <c r="A52" t="s">
        <v>53</v>
      </c>
      <c r="B52">
        <v>51</v>
      </c>
      <c r="C52" t="s">
        <v>163</v>
      </c>
      <c r="D52" t="s">
        <v>164</v>
      </c>
      <c r="E52" t="s">
        <v>13</v>
      </c>
      <c r="F52" t="s">
        <v>164</v>
      </c>
      <c r="G52" t="s">
        <v>56</v>
      </c>
      <c r="H52">
        <v>52761</v>
      </c>
      <c r="I52">
        <v>16.899999999999999</v>
      </c>
      <c r="J52">
        <v>3121.9526627218902</v>
      </c>
      <c r="K52">
        <v>4500</v>
      </c>
      <c r="L52">
        <v>11.7246666666666</v>
      </c>
      <c r="M52">
        <v>-5.17533333333333</v>
      </c>
      <c r="N52">
        <v>0.69376725838264297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25">
      <c r="A53" t="s">
        <v>53</v>
      </c>
      <c r="B53">
        <v>52</v>
      </c>
      <c r="C53" t="s">
        <v>165</v>
      </c>
      <c r="D53" t="s">
        <v>166</v>
      </c>
      <c r="E53" t="s">
        <v>13</v>
      </c>
      <c r="F53" t="s">
        <v>167</v>
      </c>
      <c r="G53" t="s">
        <v>56</v>
      </c>
      <c r="H53">
        <v>52761</v>
      </c>
      <c r="I53">
        <v>5.6883333333333299</v>
      </c>
      <c r="J53">
        <v>9275.3003222971001</v>
      </c>
      <c r="K53">
        <v>1850.000004</v>
      </c>
      <c r="L53">
        <v>28.5194593977957</v>
      </c>
      <c r="M53">
        <v>22.831126064462399</v>
      </c>
      <c r="N53">
        <v>5.0136758390499399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25">
      <c r="A54" t="s">
        <v>53</v>
      </c>
      <c r="B54">
        <v>53</v>
      </c>
      <c r="C54" t="s">
        <v>168</v>
      </c>
      <c r="D54" t="s">
        <v>11</v>
      </c>
      <c r="E54" t="s">
        <v>13</v>
      </c>
      <c r="F54" t="s">
        <v>169</v>
      </c>
      <c r="G54" t="s">
        <v>59</v>
      </c>
      <c r="H54">
        <v>52761</v>
      </c>
      <c r="I54">
        <v>230.84638888888799</v>
      </c>
      <c r="J54">
        <v>228.55458235214101</v>
      </c>
      <c r="K54">
        <v>192.41448648260999</v>
      </c>
      <c r="L54">
        <v>274.20492585815799</v>
      </c>
      <c r="M54">
        <v>43.358536969269799</v>
      </c>
      <c r="N54">
        <v>1.1878241941663601</v>
      </c>
      <c r="P54">
        <v>0</v>
      </c>
      <c r="Q54">
        <v>0</v>
      </c>
      <c r="R54">
        <v>0</v>
      </c>
      <c r="S54">
        <v>0</v>
      </c>
    </row>
    <row r="55" spans="1:19" x14ac:dyDescent="0.25">
      <c r="A55" t="s">
        <v>53</v>
      </c>
      <c r="B55">
        <v>54</v>
      </c>
      <c r="C55" t="s">
        <v>170</v>
      </c>
      <c r="D55" t="s">
        <v>171</v>
      </c>
      <c r="E55" t="s">
        <v>172</v>
      </c>
      <c r="F55" t="s">
        <v>173</v>
      </c>
      <c r="G55" t="s">
        <v>80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25">
      <c r="A56" t="s">
        <v>53</v>
      </c>
      <c r="B56">
        <v>55</v>
      </c>
      <c r="C56" t="s">
        <v>174</v>
      </c>
      <c r="D56" t="s">
        <v>175</v>
      </c>
      <c r="E56" t="s">
        <v>172</v>
      </c>
      <c r="F56" t="s">
        <v>173</v>
      </c>
      <c r="G56" t="s">
        <v>84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25">
      <c r="A57" t="s">
        <v>53</v>
      </c>
      <c r="B57">
        <v>56</v>
      </c>
      <c r="C57" t="s">
        <v>176</v>
      </c>
      <c r="D57" t="s">
        <v>177</v>
      </c>
      <c r="E57" t="s">
        <v>172</v>
      </c>
      <c r="F57" t="s">
        <v>178</v>
      </c>
      <c r="G57" t="s">
        <v>80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25">
      <c r="A58" t="s">
        <v>53</v>
      </c>
      <c r="B58">
        <v>57</v>
      </c>
      <c r="C58" t="s">
        <v>179</v>
      </c>
      <c r="D58" t="s">
        <v>180</v>
      </c>
      <c r="E58" t="s">
        <v>172</v>
      </c>
      <c r="F58" t="s">
        <v>178</v>
      </c>
      <c r="G58" t="s">
        <v>80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25">
      <c r="A59" t="s">
        <v>53</v>
      </c>
      <c r="B59">
        <v>58</v>
      </c>
      <c r="C59" t="s">
        <v>181</v>
      </c>
      <c r="D59" t="s">
        <v>182</v>
      </c>
      <c r="E59" t="s">
        <v>172</v>
      </c>
      <c r="F59" t="s">
        <v>183</v>
      </c>
      <c r="G59" t="s">
        <v>80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25">
      <c r="A60" t="s">
        <v>53</v>
      </c>
      <c r="B60">
        <v>59</v>
      </c>
      <c r="C60" t="s">
        <v>184</v>
      </c>
      <c r="D60" t="s">
        <v>185</v>
      </c>
      <c r="E60" t="s">
        <v>172</v>
      </c>
      <c r="F60" t="s">
        <v>183</v>
      </c>
      <c r="G60" t="s">
        <v>59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25">
      <c r="A61" t="s">
        <v>53</v>
      </c>
      <c r="B61">
        <v>60</v>
      </c>
      <c r="C61" t="s">
        <v>186</v>
      </c>
      <c r="D61" t="s">
        <v>187</v>
      </c>
      <c r="E61" t="s">
        <v>172</v>
      </c>
      <c r="F61" t="s">
        <v>183</v>
      </c>
      <c r="G61" t="s">
        <v>59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25">
      <c r="A62" t="s">
        <v>53</v>
      </c>
      <c r="B62">
        <v>61</v>
      </c>
      <c r="C62" t="s">
        <v>188</v>
      </c>
      <c r="D62" t="s">
        <v>189</v>
      </c>
      <c r="E62" t="s">
        <v>172</v>
      </c>
      <c r="F62" t="s">
        <v>183</v>
      </c>
      <c r="G62" t="s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25">
      <c r="A63" t="s">
        <v>53</v>
      </c>
      <c r="B63">
        <v>62</v>
      </c>
      <c r="C63" t="s">
        <v>190</v>
      </c>
      <c r="D63" t="s">
        <v>191</v>
      </c>
      <c r="E63" t="s">
        <v>172</v>
      </c>
      <c r="F63" t="s">
        <v>183</v>
      </c>
      <c r="G63" t="s">
        <v>59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25">
      <c r="A64" t="s">
        <v>53</v>
      </c>
      <c r="B64">
        <v>63</v>
      </c>
      <c r="C64" t="s">
        <v>192</v>
      </c>
      <c r="D64" t="s">
        <v>193</v>
      </c>
      <c r="E64" t="s">
        <v>172</v>
      </c>
      <c r="F64" t="s">
        <v>183</v>
      </c>
      <c r="G64" t="s">
        <v>56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25">
      <c r="A65" t="s">
        <v>53</v>
      </c>
      <c r="B65">
        <v>64</v>
      </c>
      <c r="C65" t="s">
        <v>194</v>
      </c>
      <c r="D65" t="s">
        <v>195</v>
      </c>
      <c r="E65" t="s">
        <v>172</v>
      </c>
      <c r="F65" t="s">
        <v>196</v>
      </c>
      <c r="G65" t="s">
        <v>59</v>
      </c>
      <c r="H65">
        <v>18918</v>
      </c>
      <c r="I65">
        <v>15.0688888888888</v>
      </c>
      <c r="J65">
        <v>1255.4343017254</v>
      </c>
      <c r="K65">
        <v>1244.000016</v>
      </c>
      <c r="L65">
        <v>15.2073953027987</v>
      </c>
      <c r="M65">
        <v>0.13850641390988599</v>
      </c>
      <c r="N65">
        <v>1.0091915478925599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25">
      <c r="A66" t="s">
        <v>53</v>
      </c>
      <c r="B66">
        <v>65</v>
      </c>
      <c r="C66" t="s">
        <v>197</v>
      </c>
      <c r="D66" t="s">
        <v>198</v>
      </c>
      <c r="E66" t="s">
        <v>172</v>
      </c>
      <c r="F66" t="s">
        <v>196</v>
      </c>
      <c r="G66" t="s">
        <v>59</v>
      </c>
      <c r="H66">
        <v>59288</v>
      </c>
      <c r="I66">
        <v>330.73888888888803</v>
      </c>
      <c r="J66">
        <v>179.25923437421201</v>
      </c>
      <c r="K66">
        <v>288</v>
      </c>
      <c r="L66">
        <v>205.861111111111</v>
      </c>
      <c r="M66">
        <v>-124.877777777777</v>
      </c>
      <c r="N66">
        <v>0.62242789713268198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25">
      <c r="A67" t="s">
        <v>53</v>
      </c>
      <c r="B67">
        <v>66</v>
      </c>
      <c r="C67" t="s">
        <v>199</v>
      </c>
      <c r="D67" t="s">
        <v>200</v>
      </c>
      <c r="E67" t="s">
        <v>172</v>
      </c>
      <c r="F67" t="s">
        <v>196</v>
      </c>
      <c r="G67" t="s">
        <v>59</v>
      </c>
      <c r="H67">
        <v>51</v>
      </c>
      <c r="I67">
        <v>0.40333333333333299</v>
      </c>
      <c r="J67">
        <v>126.44628099173499</v>
      </c>
      <c r="K67">
        <v>117</v>
      </c>
      <c r="L67">
        <v>0.43589743589743501</v>
      </c>
      <c r="M67">
        <v>3.2564102564102498E-2</v>
      </c>
      <c r="N67">
        <v>1.0807374443738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25">
      <c r="A68" t="s">
        <v>53</v>
      </c>
      <c r="B68">
        <v>67</v>
      </c>
      <c r="C68" t="s">
        <v>201</v>
      </c>
      <c r="D68" t="s">
        <v>202</v>
      </c>
      <c r="E68" t="s">
        <v>172</v>
      </c>
      <c r="F68" t="s">
        <v>196</v>
      </c>
      <c r="G68" t="s">
        <v>59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25">
      <c r="A69" t="s">
        <v>53</v>
      </c>
      <c r="B69">
        <v>68</v>
      </c>
      <c r="C69" t="s">
        <v>203</v>
      </c>
      <c r="D69" t="s">
        <v>204</v>
      </c>
      <c r="E69" t="s">
        <v>172</v>
      </c>
      <c r="F69" t="s">
        <v>196</v>
      </c>
      <c r="G69" t="s">
        <v>59</v>
      </c>
      <c r="H69">
        <v>78257</v>
      </c>
      <c r="I69">
        <v>346.21111111111099</v>
      </c>
      <c r="J69">
        <v>226.03838377354799</v>
      </c>
      <c r="K69">
        <v>353.29771616216999</v>
      </c>
      <c r="L69">
        <v>221.50440384980701</v>
      </c>
      <c r="M69">
        <v>-124.70670726130299</v>
      </c>
      <c r="N69">
        <v>0.63979576836492302</v>
      </c>
      <c r="P69">
        <v>0</v>
      </c>
      <c r="Q69">
        <v>0</v>
      </c>
      <c r="R69">
        <v>0</v>
      </c>
      <c r="S69">
        <v>0</v>
      </c>
    </row>
    <row r="70" spans="1:19" x14ac:dyDescent="0.25">
      <c r="A70" t="s">
        <v>53</v>
      </c>
      <c r="B70">
        <v>69</v>
      </c>
      <c r="C70" t="s">
        <v>205</v>
      </c>
      <c r="D70" t="s">
        <v>206</v>
      </c>
      <c r="E70" t="s">
        <v>172</v>
      </c>
      <c r="F70" t="s">
        <v>206</v>
      </c>
      <c r="G70" t="s">
        <v>59</v>
      </c>
      <c r="H70">
        <v>78879</v>
      </c>
      <c r="I70">
        <v>12.050277777777699</v>
      </c>
      <c r="J70">
        <v>6545.8242087549797</v>
      </c>
      <c r="K70">
        <v>3465</v>
      </c>
      <c r="L70">
        <v>22.764502164502101</v>
      </c>
      <c r="M70">
        <v>10.7142243867243</v>
      </c>
      <c r="N70">
        <v>1.8891267557734399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25">
      <c r="A71" t="s">
        <v>53</v>
      </c>
      <c r="B71">
        <v>70</v>
      </c>
      <c r="C71" t="s">
        <v>207</v>
      </c>
      <c r="D71" t="s">
        <v>208</v>
      </c>
      <c r="E71" t="s">
        <v>172</v>
      </c>
      <c r="F71" t="s">
        <v>208</v>
      </c>
      <c r="G71" t="s">
        <v>56</v>
      </c>
      <c r="H71">
        <v>78879</v>
      </c>
      <c r="I71">
        <v>73.401944444444396</v>
      </c>
      <c r="J71">
        <v>1074.6173088057701</v>
      </c>
      <c r="K71">
        <v>1524.999996</v>
      </c>
      <c r="L71">
        <v>51.723934561898801</v>
      </c>
      <c r="M71">
        <v>-21.678009882545599</v>
      </c>
      <c r="N71">
        <v>0.70466708958979896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25">
      <c r="A72" t="s">
        <v>53</v>
      </c>
      <c r="B72">
        <v>71</v>
      </c>
      <c r="C72" t="s">
        <v>209</v>
      </c>
      <c r="D72" t="s">
        <v>210</v>
      </c>
      <c r="E72" t="s">
        <v>172</v>
      </c>
      <c r="F72" t="s">
        <v>210</v>
      </c>
      <c r="G72" t="s">
        <v>56</v>
      </c>
      <c r="H72">
        <v>78879</v>
      </c>
      <c r="I72">
        <v>10.883333333333301</v>
      </c>
      <c r="J72">
        <v>7247.6875957120901</v>
      </c>
      <c r="K72">
        <v>3499.999992</v>
      </c>
      <c r="L72">
        <v>22.536857194369901</v>
      </c>
      <c r="M72">
        <v>11.6535238610366</v>
      </c>
      <c r="N72">
        <v>2.07076788922235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25">
      <c r="A73" t="s">
        <v>53</v>
      </c>
      <c r="B73">
        <v>72</v>
      </c>
      <c r="C73" t="s">
        <v>211</v>
      </c>
      <c r="D73" t="s">
        <v>212</v>
      </c>
      <c r="E73" t="s">
        <v>172</v>
      </c>
      <c r="F73" t="s">
        <v>213</v>
      </c>
      <c r="G73" t="s">
        <v>56</v>
      </c>
      <c r="H73">
        <v>78879</v>
      </c>
      <c r="I73">
        <v>5.3</v>
      </c>
      <c r="J73">
        <v>14882.8301886792</v>
      </c>
      <c r="K73">
        <v>5000.0000040000004</v>
      </c>
      <c r="L73">
        <v>15.775799987379299</v>
      </c>
      <c r="M73">
        <v>10.4757999873793</v>
      </c>
      <c r="N73">
        <v>2.97656603535459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25">
      <c r="A74" t="s">
        <v>53</v>
      </c>
      <c r="B74">
        <v>73</v>
      </c>
      <c r="C74" t="s">
        <v>214</v>
      </c>
      <c r="D74" t="s">
        <v>215</v>
      </c>
      <c r="E74" t="s">
        <v>172</v>
      </c>
      <c r="F74" t="s">
        <v>169</v>
      </c>
      <c r="G74" t="s">
        <v>56</v>
      </c>
      <c r="H74">
        <v>78879</v>
      </c>
      <c r="I74">
        <v>447.84666666666601</v>
      </c>
      <c r="J74">
        <v>176.129478839483</v>
      </c>
      <c r="K74">
        <v>235.94885674632101</v>
      </c>
      <c r="L74">
        <v>334.30549775795703</v>
      </c>
      <c r="M74">
        <v>-113.541168908709</v>
      </c>
      <c r="N74">
        <v>0.74647311823531304</v>
      </c>
      <c r="P74">
        <v>0</v>
      </c>
      <c r="Q74">
        <v>0</v>
      </c>
      <c r="R74">
        <v>0</v>
      </c>
      <c r="S74">
        <v>0</v>
      </c>
    </row>
    <row r="75" spans="1:19" x14ac:dyDescent="0.25">
      <c r="A75" t="s">
        <v>53</v>
      </c>
      <c r="B75">
        <v>74</v>
      </c>
      <c r="C75" t="s">
        <v>216</v>
      </c>
      <c r="D75" t="s">
        <v>217</v>
      </c>
      <c r="E75" t="s">
        <v>218</v>
      </c>
      <c r="F75" t="s">
        <v>9</v>
      </c>
      <c r="G75" t="s">
        <v>59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25">
      <c r="A76" t="s">
        <v>53</v>
      </c>
      <c r="B76">
        <v>75</v>
      </c>
      <c r="C76" t="s">
        <v>219</v>
      </c>
      <c r="D76" t="s">
        <v>220</v>
      </c>
      <c r="E76" t="s">
        <v>218</v>
      </c>
      <c r="F76" t="s">
        <v>9</v>
      </c>
      <c r="G76" t="s">
        <v>59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25">
      <c r="A77" t="s">
        <v>53</v>
      </c>
      <c r="B77">
        <v>76</v>
      </c>
      <c r="C77" t="s">
        <v>221</v>
      </c>
      <c r="D77" t="s">
        <v>222</v>
      </c>
      <c r="E77" t="s">
        <v>218</v>
      </c>
      <c r="F77" t="s">
        <v>9</v>
      </c>
      <c r="G77" t="s">
        <v>59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25">
      <c r="A78" t="s">
        <v>53</v>
      </c>
      <c r="B78">
        <v>77</v>
      </c>
      <c r="C78" t="s">
        <v>223</v>
      </c>
      <c r="D78" t="s">
        <v>224</v>
      </c>
      <c r="E78" t="s">
        <v>218</v>
      </c>
      <c r="F78" t="s">
        <v>9</v>
      </c>
      <c r="G78" t="s">
        <v>59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25">
      <c r="A79" t="s">
        <v>53</v>
      </c>
      <c r="B79">
        <v>78</v>
      </c>
      <c r="C79" t="s">
        <v>225</v>
      </c>
      <c r="D79" t="s">
        <v>226</v>
      </c>
      <c r="E79" t="s">
        <v>218</v>
      </c>
      <c r="F79" t="s">
        <v>9</v>
      </c>
      <c r="G79" t="s">
        <v>59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25">
      <c r="A80" t="s">
        <v>53</v>
      </c>
      <c r="B80">
        <v>79</v>
      </c>
      <c r="C80" t="s">
        <v>227</v>
      </c>
      <c r="D80" t="s">
        <v>228</v>
      </c>
      <c r="E80" t="s">
        <v>218</v>
      </c>
      <c r="F80" t="s">
        <v>9</v>
      </c>
      <c r="G80" t="s">
        <v>56</v>
      </c>
      <c r="H80">
        <v>78257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25">
      <c r="A81" t="s">
        <v>53</v>
      </c>
      <c r="B81">
        <v>80</v>
      </c>
      <c r="C81" t="s">
        <v>229</v>
      </c>
      <c r="D81" t="s">
        <v>230</v>
      </c>
      <c r="E81" t="s">
        <v>218</v>
      </c>
      <c r="F81" t="s">
        <v>9</v>
      </c>
      <c r="G81" t="s">
        <v>56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25">
      <c r="A82" t="s">
        <v>53</v>
      </c>
      <c r="B82">
        <v>81</v>
      </c>
      <c r="C82" t="s">
        <v>231</v>
      </c>
      <c r="D82" t="s">
        <v>232</v>
      </c>
      <c r="E82" t="s">
        <v>218</v>
      </c>
      <c r="F82" t="s">
        <v>233</v>
      </c>
      <c r="G82" t="s">
        <v>59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25">
      <c r="A83" t="s">
        <v>53</v>
      </c>
      <c r="B83">
        <v>82</v>
      </c>
      <c r="C83" t="s">
        <v>234</v>
      </c>
      <c r="D83" t="s">
        <v>235</v>
      </c>
      <c r="E83" t="s">
        <v>218</v>
      </c>
      <c r="F83" t="s">
        <v>233</v>
      </c>
      <c r="G83" t="s">
        <v>59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25">
      <c r="A84" t="s">
        <v>53</v>
      </c>
      <c r="B84">
        <v>83</v>
      </c>
      <c r="C84" t="s">
        <v>236</v>
      </c>
      <c r="D84" t="s">
        <v>237</v>
      </c>
      <c r="E84" t="s">
        <v>218</v>
      </c>
      <c r="F84" t="s">
        <v>233</v>
      </c>
      <c r="G84" t="s">
        <v>59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25">
      <c r="A85" t="s">
        <v>53</v>
      </c>
      <c r="B85">
        <v>84</v>
      </c>
      <c r="C85" t="s">
        <v>238</v>
      </c>
      <c r="D85" t="s">
        <v>239</v>
      </c>
      <c r="E85" t="s">
        <v>218</v>
      </c>
      <c r="F85" t="s">
        <v>233</v>
      </c>
      <c r="G85" t="s">
        <v>59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25">
      <c r="A86" t="s">
        <v>53</v>
      </c>
      <c r="B86">
        <v>85</v>
      </c>
      <c r="C86" t="s">
        <v>240</v>
      </c>
      <c r="D86" t="s">
        <v>241</v>
      </c>
      <c r="E86" t="s">
        <v>218</v>
      </c>
      <c r="F86" t="s">
        <v>233</v>
      </c>
      <c r="G86" t="s">
        <v>59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25">
      <c r="A87" t="s">
        <v>53</v>
      </c>
      <c r="B87">
        <v>86</v>
      </c>
      <c r="C87" t="s">
        <v>242</v>
      </c>
      <c r="D87" t="s">
        <v>243</v>
      </c>
      <c r="E87" t="s">
        <v>218</v>
      </c>
      <c r="F87" t="s">
        <v>233</v>
      </c>
      <c r="G87" t="s">
        <v>59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25">
      <c r="A88" t="s">
        <v>53</v>
      </c>
      <c r="B88">
        <v>87</v>
      </c>
      <c r="C88" t="s">
        <v>244</v>
      </c>
      <c r="D88" t="s">
        <v>245</v>
      </c>
      <c r="E88" t="s">
        <v>218</v>
      </c>
      <c r="F88" t="s">
        <v>233</v>
      </c>
      <c r="G88" t="s">
        <v>59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25">
      <c r="A89" t="s">
        <v>53</v>
      </c>
      <c r="B89">
        <v>88</v>
      </c>
      <c r="C89" t="s">
        <v>246</v>
      </c>
      <c r="D89" t="s">
        <v>247</v>
      </c>
      <c r="E89" t="s">
        <v>218</v>
      </c>
      <c r="F89" t="s">
        <v>233</v>
      </c>
      <c r="G89" t="s">
        <v>59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25">
      <c r="A90" t="s">
        <v>53</v>
      </c>
      <c r="B90">
        <v>89</v>
      </c>
      <c r="C90" t="s">
        <v>248</v>
      </c>
      <c r="D90" t="s">
        <v>249</v>
      </c>
      <c r="E90" t="s">
        <v>218</v>
      </c>
      <c r="F90" t="s">
        <v>233</v>
      </c>
      <c r="G90" t="s">
        <v>59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25">
      <c r="A91" t="s">
        <v>53</v>
      </c>
      <c r="B91">
        <v>90</v>
      </c>
      <c r="C91" t="s">
        <v>250</v>
      </c>
      <c r="D91" t="s">
        <v>251</v>
      </c>
      <c r="E91" t="s">
        <v>218</v>
      </c>
      <c r="F91" t="s">
        <v>233</v>
      </c>
      <c r="G91" t="s">
        <v>59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25">
      <c r="A92" t="s">
        <v>53</v>
      </c>
      <c r="B92">
        <v>91</v>
      </c>
      <c r="C92" t="s">
        <v>252</v>
      </c>
      <c r="D92" t="s">
        <v>253</v>
      </c>
      <c r="E92" t="s">
        <v>218</v>
      </c>
      <c r="F92" t="s">
        <v>233</v>
      </c>
      <c r="G92" t="s">
        <v>56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25">
      <c r="A93" t="s">
        <v>53</v>
      </c>
      <c r="B93">
        <v>92</v>
      </c>
      <c r="C93" t="s">
        <v>254</v>
      </c>
      <c r="D93" t="s">
        <v>255</v>
      </c>
      <c r="E93" t="s">
        <v>218</v>
      </c>
      <c r="F93" t="s">
        <v>233</v>
      </c>
      <c r="G93" t="s">
        <v>59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25">
      <c r="A94" t="s">
        <v>53</v>
      </c>
      <c r="B94">
        <v>93</v>
      </c>
      <c r="C94" t="s">
        <v>256</v>
      </c>
      <c r="D94" t="s">
        <v>257</v>
      </c>
      <c r="E94" t="s">
        <v>218</v>
      </c>
      <c r="F94" t="s">
        <v>258</v>
      </c>
      <c r="G94" t="s">
        <v>59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25">
      <c r="A95" t="s">
        <v>53</v>
      </c>
      <c r="B95">
        <v>94</v>
      </c>
      <c r="C95" t="s">
        <v>259</v>
      </c>
      <c r="D95" t="s">
        <v>260</v>
      </c>
      <c r="E95" t="s">
        <v>218</v>
      </c>
      <c r="F95" t="s">
        <v>258</v>
      </c>
      <c r="G95" t="s">
        <v>59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25">
      <c r="A96" t="s">
        <v>53</v>
      </c>
      <c r="B96">
        <v>95</v>
      </c>
      <c r="C96" t="s">
        <v>261</v>
      </c>
      <c r="D96" t="s">
        <v>262</v>
      </c>
      <c r="E96" t="s">
        <v>218</v>
      </c>
      <c r="F96" t="s">
        <v>258</v>
      </c>
      <c r="G96" t="s">
        <v>59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25">
      <c r="A97" t="s">
        <v>53</v>
      </c>
      <c r="B97">
        <v>96</v>
      </c>
      <c r="C97" t="s">
        <v>263</v>
      </c>
      <c r="D97" t="s">
        <v>264</v>
      </c>
      <c r="E97" t="s">
        <v>218</v>
      </c>
      <c r="F97" t="s">
        <v>258</v>
      </c>
      <c r="G97" t="s">
        <v>59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25">
      <c r="A98" t="s">
        <v>53</v>
      </c>
      <c r="B98">
        <v>97</v>
      </c>
      <c r="C98" t="s">
        <v>265</v>
      </c>
      <c r="D98" t="s">
        <v>266</v>
      </c>
      <c r="E98" t="s">
        <v>218</v>
      </c>
      <c r="F98" t="s">
        <v>258</v>
      </c>
      <c r="G98" t="s">
        <v>59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25">
      <c r="A99" t="s">
        <v>53</v>
      </c>
      <c r="B99">
        <v>98</v>
      </c>
      <c r="C99" t="s">
        <v>267</v>
      </c>
      <c r="D99" t="s">
        <v>268</v>
      </c>
      <c r="E99" t="s">
        <v>218</v>
      </c>
      <c r="F99" t="s">
        <v>258</v>
      </c>
      <c r="G99" t="s">
        <v>269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25">
      <c r="A100" t="s">
        <v>53</v>
      </c>
      <c r="B100">
        <v>99</v>
      </c>
      <c r="C100" t="s">
        <v>270</v>
      </c>
      <c r="D100" t="s">
        <v>271</v>
      </c>
      <c r="E100" t="s">
        <v>218</v>
      </c>
      <c r="F100" t="s">
        <v>258</v>
      </c>
      <c r="G100" t="s">
        <v>59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25">
      <c r="A101" t="s">
        <v>53</v>
      </c>
      <c r="B101">
        <v>100</v>
      </c>
      <c r="C101" t="s">
        <v>272</v>
      </c>
      <c r="D101" t="s">
        <v>273</v>
      </c>
      <c r="E101" t="s">
        <v>218</v>
      </c>
      <c r="F101" t="s">
        <v>258</v>
      </c>
      <c r="G101" t="s">
        <v>59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25">
      <c r="A102" t="s">
        <v>53</v>
      </c>
      <c r="B102">
        <v>101</v>
      </c>
      <c r="C102" t="s">
        <v>274</v>
      </c>
      <c r="D102" t="s">
        <v>275</v>
      </c>
      <c r="E102" t="s">
        <v>218</v>
      </c>
      <c r="F102" t="s">
        <v>258</v>
      </c>
      <c r="G102" t="s">
        <v>59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25">
      <c r="A103" t="s">
        <v>53</v>
      </c>
      <c r="B103">
        <v>102</v>
      </c>
      <c r="C103" t="s">
        <v>276</v>
      </c>
      <c r="D103" t="s">
        <v>277</v>
      </c>
      <c r="E103" t="s">
        <v>218</v>
      </c>
      <c r="F103" t="s">
        <v>258</v>
      </c>
      <c r="G103" t="s">
        <v>59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25">
      <c r="A104" t="s">
        <v>53</v>
      </c>
      <c r="B104">
        <v>103</v>
      </c>
      <c r="C104" t="s">
        <v>278</v>
      </c>
      <c r="D104" t="s">
        <v>279</v>
      </c>
      <c r="E104" t="s">
        <v>218</v>
      </c>
      <c r="F104" t="s">
        <v>258</v>
      </c>
      <c r="G104" t="s">
        <v>59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25">
      <c r="A105" t="s">
        <v>53</v>
      </c>
      <c r="B105">
        <v>104</v>
      </c>
      <c r="C105" t="s">
        <v>280</v>
      </c>
      <c r="D105" t="s">
        <v>281</v>
      </c>
      <c r="E105" t="s">
        <v>218</v>
      </c>
      <c r="F105" t="s">
        <v>258</v>
      </c>
      <c r="G105" t="s">
        <v>59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25">
      <c r="A106" t="s">
        <v>53</v>
      </c>
      <c r="B106">
        <v>105</v>
      </c>
      <c r="C106" t="s">
        <v>282</v>
      </c>
      <c r="D106" t="s">
        <v>283</v>
      </c>
      <c r="E106" t="s">
        <v>218</v>
      </c>
      <c r="F106" t="s">
        <v>258</v>
      </c>
      <c r="G106" t="s">
        <v>59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25">
      <c r="A107" t="s">
        <v>53</v>
      </c>
      <c r="B107">
        <v>106</v>
      </c>
      <c r="C107" t="s">
        <v>284</v>
      </c>
      <c r="D107" t="s">
        <v>285</v>
      </c>
      <c r="E107" t="s">
        <v>218</v>
      </c>
      <c r="F107" t="s">
        <v>258</v>
      </c>
      <c r="G107" t="s">
        <v>59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25">
      <c r="A108" t="s">
        <v>53</v>
      </c>
      <c r="B108">
        <v>107</v>
      </c>
      <c r="C108" t="s">
        <v>286</v>
      </c>
      <c r="D108" t="s">
        <v>287</v>
      </c>
      <c r="E108" t="s">
        <v>218</v>
      </c>
      <c r="F108" t="s">
        <v>258</v>
      </c>
      <c r="G108" t="s">
        <v>59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25">
      <c r="A109" t="s">
        <v>53</v>
      </c>
      <c r="B109">
        <v>108</v>
      </c>
      <c r="C109" t="s">
        <v>288</v>
      </c>
      <c r="D109" t="s">
        <v>289</v>
      </c>
      <c r="E109" t="s">
        <v>218</v>
      </c>
      <c r="F109" t="s">
        <v>258</v>
      </c>
      <c r="G109" t="s">
        <v>59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25">
      <c r="A110" t="s">
        <v>53</v>
      </c>
      <c r="B110">
        <v>109</v>
      </c>
      <c r="C110" t="s">
        <v>290</v>
      </c>
      <c r="D110" t="s">
        <v>291</v>
      </c>
      <c r="E110" t="s">
        <v>218</v>
      </c>
      <c r="F110" t="s">
        <v>258</v>
      </c>
      <c r="G110" t="s">
        <v>59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25">
      <c r="A111" t="s">
        <v>53</v>
      </c>
      <c r="B111">
        <v>110</v>
      </c>
      <c r="C111" t="s">
        <v>292</v>
      </c>
      <c r="D111" t="s">
        <v>293</v>
      </c>
      <c r="E111" t="s">
        <v>218</v>
      </c>
      <c r="F111" t="s">
        <v>258</v>
      </c>
      <c r="G111" t="s">
        <v>59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25">
      <c r="A112" t="s">
        <v>53</v>
      </c>
      <c r="B112">
        <v>111</v>
      </c>
      <c r="C112" t="s">
        <v>294</v>
      </c>
      <c r="D112" t="s">
        <v>295</v>
      </c>
      <c r="E112" t="s">
        <v>218</v>
      </c>
      <c r="F112" t="s">
        <v>258</v>
      </c>
      <c r="G112" t="s">
        <v>56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25">
      <c r="A113" t="s">
        <v>53</v>
      </c>
      <c r="B113">
        <v>112</v>
      </c>
      <c r="C113" t="s">
        <v>296</v>
      </c>
      <c r="D113" t="s">
        <v>297</v>
      </c>
      <c r="E113" t="s">
        <v>218</v>
      </c>
      <c r="F113" t="s">
        <v>298</v>
      </c>
      <c r="G113" t="s">
        <v>59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25">
      <c r="A114" t="s">
        <v>53</v>
      </c>
      <c r="B114">
        <v>113</v>
      </c>
      <c r="C114" t="s">
        <v>299</v>
      </c>
      <c r="D114" t="s">
        <v>300</v>
      </c>
      <c r="E114" t="s">
        <v>218</v>
      </c>
      <c r="F114" t="s">
        <v>298</v>
      </c>
      <c r="G114" t="s">
        <v>59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25">
      <c r="A115" t="s">
        <v>53</v>
      </c>
      <c r="B115">
        <v>114</v>
      </c>
      <c r="C115" t="s">
        <v>301</v>
      </c>
      <c r="D115" t="s">
        <v>302</v>
      </c>
      <c r="E115" t="s">
        <v>218</v>
      </c>
      <c r="F115" t="s">
        <v>298</v>
      </c>
      <c r="G115" t="s">
        <v>59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25">
      <c r="A116" t="s">
        <v>53</v>
      </c>
      <c r="B116">
        <v>115</v>
      </c>
      <c r="C116" t="s">
        <v>303</v>
      </c>
      <c r="D116" t="s">
        <v>304</v>
      </c>
      <c r="E116" t="s">
        <v>218</v>
      </c>
      <c r="F116" t="s">
        <v>298</v>
      </c>
      <c r="G116" t="s">
        <v>59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25">
      <c r="A117" t="s">
        <v>53</v>
      </c>
      <c r="B117">
        <v>116</v>
      </c>
      <c r="C117" t="s">
        <v>305</v>
      </c>
      <c r="D117" t="s">
        <v>306</v>
      </c>
      <c r="E117" t="s">
        <v>218</v>
      </c>
      <c r="F117" t="s">
        <v>298</v>
      </c>
      <c r="G117" t="s">
        <v>59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25">
      <c r="A118" t="s">
        <v>53</v>
      </c>
      <c r="B118">
        <v>117</v>
      </c>
      <c r="C118" t="s">
        <v>307</v>
      </c>
      <c r="D118" t="s">
        <v>308</v>
      </c>
      <c r="E118" t="s">
        <v>218</v>
      </c>
      <c r="F118" t="s">
        <v>308</v>
      </c>
      <c r="G118" t="s">
        <v>59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25">
      <c r="A119" t="s">
        <v>53</v>
      </c>
      <c r="B119">
        <v>118</v>
      </c>
      <c r="C119" t="s">
        <v>309</v>
      </c>
      <c r="D119" t="s">
        <v>310</v>
      </c>
      <c r="E119" t="s">
        <v>218</v>
      </c>
      <c r="F119" t="s">
        <v>311</v>
      </c>
      <c r="G119" t="s">
        <v>59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25">
      <c r="A120" t="s">
        <v>53</v>
      </c>
      <c r="B120">
        <v>119</v>
      </c>
      <c r="C120" t="s">
        <v>312</v>
      </c>
      <c r="D120" t="s">
        <v>313</v>
      </c>
      <c r="E120" t="s">
        <v>218</v>
      </c>
      <c r="F120" t="s">
        <v>314</v>
      </c>
      <c r="G120" t="s">
        <v>59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25">
      <c r="A121" t="s">
        <v>53</v>
      </c>
      <c r="B121">
        <v>120</v>
      </c>
      <c r="C121" t="s">
        <v>315</v>
      </c>
      <c r="D121" t="s">
        <v>316</v>
      </c>
      <c r="E121" t="s">
        <v>218</v>
      </c>
      <c r="F121" t="s">
        <v>169</v>
      </c>
      <c r="G121" t="s">
        <v>59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25">
      <c r="A122" t="s">
        <v>53</v>
      </c>
      <c r="B122">
        <v>121</v>
      </c>
      <c r="C122" t="s">
        <v>317</v>
      </c>
      <c r="D122" t="s">
        <v>318</v>
      </c>
      <c r="E122" t="s">
        <v>319</v>
      </c>
      <c r="F122" t="s">
        <v>320</v>
      </c>
      <c r="G122" t="s">
        <v>59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25">
      <c r="A123" t="s">
        <v>53</v>
      </c>
      <c r="B123">
        <v>122</v>
      </c>
      <c r="C123" t="s">
        <v>321</v>
      </c>
      <c r="D123" t="s">
        <v>322</v>
      </c>
      <c r="E123" t="s">
        <v>319</v>
      </c>
      <c r="F123" t="s">
        <v>320</v>
      </c>
      <c r="G123" t="s">
        <v>59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25">
      <c r="A124" t="s">
        <v>53</v>
      </c>
      <c r="B124">
        <v>123</v>
      </c>
      <c r="C124" t="s">
        <v>323</v>
      </c>
      <c r="D124" t="s">
        <v>324</v>
      </c>
      <c r="E124" t="s">
        <v>319</v>
      </c>
      <c r="F124" t="s">
        <v>320</v>
      </c>
      <c r="G124" t="s">
        <v>59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25">
      <c r="A125" t="s">
        <v>53</v>
      </c>
      <c r="B125">
        <v>124</v>
      </c>
      <c r="C125" t="s">
        <v>325</v>
      </c>
      <c r="D125" t="s">
        <v>326</v>
      </c>
      <c r="E125" t="s">
        <v>319</v>
      </c>
      <c r="F125" t="s">
        <v>320</v>
      </c>
      <c r="G125" t="s">
        <v>59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25">
      <c r="A126" t="s">
        <v>53</v>
      </c>
      <c r="B126">
        <v>125</v>
      </c>
      <c r="C126" t="s">
        <v>327</v>
      </c>
      <c r="D126" t="s">
        <v>328</v>
      </c>
      <c r="E126" t="s">
        <v>319</v>
      </c>
      <c r="F126" t="s">
        <v>320</v>
      </c>
      <c r="G126" t="s">
        <v>56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25">
      <c r="A127" t="s">
        <v>53</v>
      </c>
      <c r="B127">
        <v>126</v>
      </c>
      <c r="C127" t="s">
        <v>329</v>
      </c>
      <c r="D127" t="s">
        <v>330</v>
      </c>
      <c r="E127" t="s">
        <v>319</v>
      </c>
      <c r="F127" t="s">
        <v>320</v>
      </c>
      <c r="G127" t="s">
        <v>59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25">
      <c r="A128" t="s">
        <v>53</v>
      </c>
      <c r="B128">
        <v>127</v>
      </c>
      <c r="C128" t="s">
        <v>331</v>
      </c>
      <c r="D128" t="s">
        <v>332</v>
      </c>
      <c r="E128" t="s">
        <v>319</v>
      </c>
      <c r="F128" t="s">
        <v>320</v>
      </c>
      <c r="G128" t="s">
        <v>59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25">
      <c r="A129" t="s">
        <v>53</v>
      </c>
      <c r="B129">
        <v>128</v>
      </c>
      <c r="C129" t="s">
        <v>333</v>
      </c>
      <c r="D129" t="s">
        <v>334</v>
      </c>
      <c r="E129" t="s">
        <v>319</v>
      </c>
      <c r="F129" t="s">
        <v>320</v>
      </c>
      <c r="G129" t="s">
        <v>59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25">
      <c r="A130" t="s">
        <v>53</v>
      </c>
      <c r="B130">
        <v>129</v>
      </c>
      <c r="C130" t="s">
        <v>335</v>
      </c>
      <c r="D130" t="s">
        <v>336</v>
      </c>
      <c r="E130" t="s">
        <v>319</v>
      </c>
      <c r="F130" t="s">
        <v>320</v>
      </c>
      <c r="G130" t="s">
        <v>59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25">
      <c r="A131" t="s">
        <v>53</v>
      </c>
      <c r="B131">
        <v>130</v>
      </c>
      <c r="C131" t="s">
        <v>337</v>
      </c>
      <c r="D131" t="s">
        <v>338</v>
      </c>
      <c r="E131" t="s">
        <v>319</v>
      </c>
      <c r="F131" t="s">
        <v>320</v>
      </c>
      <c r="G131" t="s">
        <v>56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25">
      <c r="A132" t="s">
        <v>53</v>
      </c>
      <c r="B132">
        <v>131</v>
      </c>
      <c r="C132" t="s">
        <v>339</v>
      </c>
      <c r="D132" t="s">
        <v>340</v>
      </c>
      <c r="E132" t="s">
        <v>319</v>
      </c>
      <c r="F132" t="s">
        <v>320</v>
      </c>
      <c r="G132" t="s">
        <v>56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25">
      <c r="A133" t="s">
        <v>53</v>
      </c>
      <c r="B133">
        <v>132</v>
      </c>
      <c r="C133" t="s">
        <v>341</v>
      </c>
      <c r="D133" t="s">
        <v>342</v>
      </c>
      <c r="E133" t="s">
        <v>319</v>
      </c>
      <c r="F133" t="s">
        <v>320</v>
      </c>
      <c r="G133" t="s">
        <v>56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25">
      <c r="A134" t="s">
        <v>53</v>
      </c>
      <c r="B134">
        <v>133</v>
      </c>
      <c r="C134" t="s">
        <v>343</v>
      </c>
      <c r="D134" t="s">
        <v>344</v>
      </c>
      <c r="E134" t="s">
        <v>319</v>
      </c>
      <c r="F134" t="s">
        <v>345</v>
      </c>
      <c r="G134" t="s">
        <v>59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25">
      <c r="A135" t="s">
        <v>53</v>
      </c>
      <c r="B135">
        <v>134</v>
      </c>
      <c r="C135" t="s">
        <v>346</v>
      </c>
      <c r="D135" t="s">
        <v>347</v>
      </c>
      <c r="E135" t="s">
        <v>319</v>
      </c>
      <c r="F135" t="s">
        <v>345</v>
      </c>
      <c r="G135" t="s">
        <v>59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25">
      <c r="A136" t="s">
        <v>53</v>
      </c>
      <c r="B136">
        <v>135</v>
      </c>
      <c r="C136" t="s">
        <v>348</v>
      </c>
      <c r="D136" t="s">
        <v>349</v>
      </c>
      <c r="E136" t="s">
        <v>319</v>
      </c>
      <c r="F136" t="s">
        <v>345</v>
      </c>
      <c r="G136" t="s">
        <v>59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25">
      <c r="A137" t="s">
        <v>53</v>
      </c>
      <c r="B137">
        <v>136</v>
      </c>
      <c r="C137" t="s">
        <v>350</v>
      </c>
      <c r="D137" t="s">
        <v>351</v>
      </c>
      <c r="E137" t="s">
        <v>319</v>
      </c>
      <c r="F137" t="s">
        <v>345</v>
      </c>
      <c r="G137" t="s">
        <v>59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25">
      <c r="A138" t="s">
        <v>53</v>
      </c>
      <c r="B138">
        <v>137</v>
      </c>
      <c r="C138" t="s">
        <v>352</v>
      </c>
      <c r="D138" t="s">
        <v>353</v>
      </c>
      <c r="E138" t="s">
        <v>319</v>
      </c>
      <c r="F138" t="s">
        <v>345</v>
      </c>
      <c r="G138" t="s">
        <v>59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25">
      <c r="A139" t="s">
        <v>53</v>
      </c>
      <c r="B139">
        <v>138</v>
      </c>
      <c r="C139" t="s">
        <v>354</v>
      </c>
      <c r="D139" t="s">
        <v>355</v>
      </c>
      <c r="E139" t="s">
        <v>319</v>
      </c>
      <c r="F139" t="s">
        <v>345</v>
      </c>
      <c r="G139" t="s">
        <v>59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25">
      <c r="A140" t="s">
        <v>53</v>
      </c>
      <c r="B140">
        <v>139</v>
      </c>
      <c r="C140" t="s">
        <v>356</v>
      </c>
      <c r="D140" t="s">
        <v>357</v>
      </c>
      <c r="E140" t="s">
        <v>319</v>
      </c>
      <c r="F140" t="s">
        <v>345</v>
      </c>
      <c r="G140" t="s">
        <v>59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25">
      <c r="A141" t="s">
        <v>53</v>
      </c>
      <c r="B141">
        <v>140</v>
      </c>
      <c r="C141" t="s">
        <v>358</v>
      </c>
      <c r="D141" t="s">
        <v>359</v>
      </c>
      <c r="E141" t="s">
        <v>319</v>
      </c>
      <c r="F141" t="s">
        <v>345</v>
      </c>
      <c r="G141" t="s">
        <v>59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25">
      <c r="A142" t="s">
        <v>53</v>
      </c>
      <c r="B142">
        <v>141</v>
      </c>
      <c r="C142" t="s">
        <v>360</v>
      </c>
      <c r="D142" t="s">
        <v>361</v>
      </c>
      <c r="E142" t="s">
        <v>319</v>
      </c>
      <c r="F142" t="s">
        <v>345</v>
      </c>
      <c r="G142" t="s">
        <v>59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25">
      <c r="A143" t="s">
        <v>53</v>
      </c>
      <c r="B143">
        <v>142</v>
      </c>
      <c r="C143" t="s">
        <v>362</v>
      </c>
      <c r="D143" t="s">
        <v>363</v>
      </c>
      <c r="E143" t="s">
        <v>319</v>
      </c>
      <c r="F143" t="s">
        <v>345</v>
      </c>
      <c r="G143" t="s">
        <v>59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25">
      <c r="A144" t="s">
        <v>53</v>
      </c>
      <c r="B144">
        <v>143</v>
      </c>
      <c r="C144" t="s">
        <v>364</v>
      </c>
      <c r="D144" t="s">
        <v>365</v>
      </c>
      <c r="E144" t="s">
        <v>319</v>
      </c>
      <c r="F144" t="s">
        <v>345</v>
      </c>
      <c r="G144" t="s">
        <v>56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25">
      <c r="A145" t="s">
        <v>53</v>
      </c>
      <c r="B145">
        <v>144</v>
      </c>
      <c r="C145" t="s">
        <v>366</v>
      </c>
      <c r="D145" t="s">
        <v>367</v>
      </c>
      <c r="E145" t="s">
        <v>319</v>
      </c>
      <c r="F145" t="s">
        <v>345</v>
      </c>
      <c r="G145" t="s">
        <v>59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25">
      <c r="A146" t="s">
        <v>53</v>
      </c>
      <c r="B146">
        <v>145</v>
      </c>
      <c r="C146" t="s">
        <v>368</v>
      </c>
      <c r="D146" t="s">
        <v>369</v>
      </c>
      <c r="E146" t="s">
        <v>319</v>
      </c>
      <c r="F146" t="s">
        <v>370</v>
      </c>
      <c r="G146" t="s">
        <v>59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25">
      <c r="A147" t="s">
        <v>53</v>
      </c>
      <c r="B147">
        <v>146</v>
      </c>
      <c r="C147" t="s">
        <v>371</v>
      </c>
      <c r="D147" t="s">
        <v>372</v>
      </c>
      <c r="E147" t="s">
        <v>319</v>
      </c>
      <c r="F147" t="s">
        <v>370</v>
      </c>
      <c r="G147" t="s">
        <v>59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25">
      <c r="A148" t="s">
        <v>53</v>
      </c>
      <c r="B148">
        <v>147</v>
      </c>
      <c r="C148" t="s">
        <v>373</v>
      </c>
      <c r="D148" t="s">
        <v>374</v>
      </c>
      <c r="E148" t="s">
        <v>319</v>
      </c>
      <c r="F148" t="s">
        <v>370</v>
      </c>
      <c r="G148" t="s">
        <v>56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25">
      <c r="A149" t="s">
        <v>53</v>
      </c>
      <c r="B149">
        <v>148</v>
      </c>
      <c r="C149" t="s">
        <v>375</v>
      </c>
      <c r="D149" t="s">
        <v>376</v>
      </c>
      <c r="E149" t="s">
        <v>319</v>
      </c>
      <c r="F149" t="s">
        <v>370</v>
      </c>
      <c r="G149" t="s">
        <v>56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25">
      <c r="A150" t="s">
        <v>53</v>
      </c>
      <c r="B150">
        <v>149</v>
      </c>
      <c r="C150" t="s">
        <v>377</v>
      </c>
      <c r="D150" t="s">
        <v>378</v>
      </c>
      <c r="E150" t="s">
        <v>319</v>
      </c>
      <c r="F150" t="s">
        <v>379</v>
      </c>
      <c r="G150" t="s">
        <v>59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25">
      <c r="A151" t="s">
        <v>53</v>
      </c>
      <c r="B151">
        <v>150</v>
      </c>
      <c r="C151" t="s">
        <v>380</v>
      </c>
      <c r="D151" t="s">
        <v>381</v>
      </c>
      <c r="E151" t="s">
        <v>319</v>
      </c>
      <c r="F151" t="s">
        <v>379</v>
      </c>
      <c r="G151" t="s">
        <v>56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25">
      <c r="A152" t="s">
        <v>53</v>
      </c>
      <c r="B152">
        <v>151</v>
      </c>
      <c r="C152" t="s">
        <v>382</v>
      </c>
      <c r="D152" t="s">
        <v>383</v>
      </c>
      <c r="E152" t="s">
        <v>319</v>
      </c>
      <c r="F152" t="s">
        <v>379</v>
      </c>
      <c r="G152" t="s">
        <v>56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25">
      <c r="A153" t="s">
        <v>53</v>
      </c>
      <c r="B153">
        <v>152</v>
      </c>
      <c r="C153" t="s">
        <v>384</v>
      </c>
      <c r="D153" t="s">
        <v>385</v>
      </c>
      <c r="E153" t="s">
        <v>319</v>
      </c>
      <c r="F153" t="s">
        <v>386</v>
      </c>
      <c r="G153" t="s">
        <v>59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25">
      <c r="A154" t="s">
        <v>53</v>
      </c>
      <c r="B154">
        <v>153</v>
      </c>
      <c r="C154" t="s">
        <v>387</v>
      </c>
      <c r="D154" t="s">
        <v>388</v>
      </c>
      <c r="E154" t="s">
        <v>319</v>
      </c>
      <c r="F154" t="s">
        <v>386</v>
      </c>
      <c r="G154" t="s">
        <v>56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25">
      <c r="A155" t="s">
        <v>53</v>
      </c>
      <c r="B155">
        <v>154</v>
      </c>
      <c r="C155" t="s">
        <v>389</v>
      </c>
      <c r="D155" t="s">
        <v>390</v>
      </c>
      <c r="E155" t="s">
        <v>319</v>
      </c>
      <c r="F155" t="s">
        <v>386</v>
      </c>
      <c r="G155" t="s">
        <v>56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25">
      <c r="A156" t="s">
        <v>53</v>
      </c>
      <c r="B156">
        <v>155</v>
      </c>
      <c r="C156" t="s">
        <v>391</v>
      </c>
      <c r="D156" t="s">
        <v>392</v>
      </c>
      <c r="E156" t="s">
        <v>319</v>
      </c>
      <c r="F156" t="s">
        <v>392</v>
      </c>
      <c r="G156" t="s">
        <v>59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25">
      <c r="A157" t="s">
        <v>53</v>
      </c>
      <c r="B157">
        <v>156</v>
      </c>
      <c r="C157" t="s">
        <v>393</v>
      </c>
      <c r="D157" t="s">
        <v>394</v>
      </c>
      <c r="E157" t="s">
        <v>319</v>
      </c>
      <c r="F157" t="s">
        <v>169</v>
      </c>
      <c r="G157" t="s">
        <v>56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25">
      <c r="A158" t="s">
        <v>53</v>
      </c>
      <c r="B158">
        <v>157</v>
      </c>
      <c r="C158" t="s">
        <v>395</v>
      </c>
      <c r="D158" t="s">
        <v>396</v>
      </c>
      <c r="E158" t="s">
        <v>397</v>
      </c>
      <c r="F158" t="s">
        <v>398</v>
      </c>
      <c r="G158" t="s">
        <v>59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25">
      <c r="A159" t="s">
        <v>53</v>
      </c>
      <c r="B159">
        <v>158</v>
      </c>
      <c r="C159" t="s">
        <v>399</v>
      </c>
      <c r="D159" t="s">
        <v>400</v>
      </c>
      <c r="E159" t="s">
        <v>397</v>
      </c>
      <c r="F159" t="s">
        <v>398</v>
      </c>
      <c r="G159" t="s">
        <v>59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25">
      <c r="A160" t="s">
        <v>53</v>
      </c>
      <c r="B160">
        <v>159</v>
      </c>
      <c r="C160" t="s">
        <v>401</v>
      </c>
      <c r="D160" t="s">
        <v>402</v>
      </c>
      <c r="E160" t="s">
        <v>397</v>
      </c>
      <c r="F160" t="s">
        <v>398</v>
      </c>
      <c r="G160" t="s">
        <v>59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25">
      <c r="A161" t="s">
        <v>53</v>
      </c>
      <c r="B161">
        <v>160</v>
      </c>
      <c r="C161" t="s">
        <v>403</v>
      </c>
      <c r="D161" t="s">
        <v>404</v>
      </c>
      <c r="E161" t="s">
        <v>405</v>
      </c>
      <c r="F161" t="s">
        <v>405</v>
      </c>
      <c r="G161" t="s">
        <v>56</v>
      </c>
      <c r="H161">
        <v>78879</v>
      </c>
      <c r="I161">
        <v>79.082499999999996</v>
      </c>
      <c r="J161">
        <v>997.42673790029403</v>
      </c>
      <c r="K161">
        <v>993.43828715365203</v>
      </c>
      <c r="L161">
        <v>79.400000000000006</v>
      </c>
      <c r="M161">
        <v>0.3175</v>
      </c>
      <c r="N161">
        <v>1.0040147946764399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25">
      <c r="A162" t="s">
        <v>53</v>
      </c>
      <c r="B162">
        <v>161</v>
      </c>
      <c r="C162" t="s">
        <v>406</v>
      </c>
      <c r="D162" t="s">
        <v>407</v>
      </c>
      <c r="E162" t="s">
        <v>405</v>
      </c>
      <c r="F162" t="s">
        <v>405</v>
      </c>
      <c r="G162" t="s">
        <v>56</v>
      </c>
      <c r="H162">
        <v>78879</v>
      </c>
      <c r="I162">
        <v>0</v>
      </c>
      <c r="J162">
        <v>0</v>
      </c>
      <c r="K162">
        <v>7441.4150943396198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25">
      <c r="A163" t="s">
        <v>53</v>
      </c>
      <c r="B163">
        <v>162</v>
      </c>
      <c r="C163" t="s">
        <v>408</v>
      </c>
      <c r="D163" t="s">
        <v>409</v>
      </c>
      <c r="E163" t="s">
        <v>405</v>
      </c>
      <c r="F163" t="s">
        <v>405</v>
      </c>
      <c r="G163" t="s">
        <v>56</v>
      </c>
      <c r="H163">
        <v>78879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25">
      <c r="A164" t="s">
        <v>53</v>
      </c>
      <c r="B164">
        <v>163</v>
      </c>
      <c r="C164" t="s">
        <v>410</v>
      </c>
      <c r="D164" t="s">
        <v>411</v>
      </c>
      <c r="E164" t="s">
        <v>405</v>
      </c>
      <c r="F164" t="s">
        <v>405</v>
      </c>
      <c r="G164" t="s">
        <v>56</v>
      </c>
      <c r="H164">
        <v>78879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25">
      <c r="A165" t="s">
        <v>53</v>
      </c>
      <c r="B165">
        <v>164</v>
      </c>
      <c r="C165" t="s">
        <v>412</v>
      </c>
      <c r="D165" t="s">
        <v>413</v>
      </c>
      <c r="E165" t="s">
        <v>405</v>
      </c>
      <c r="F165" t="s">
        <v>405</v>
      </c>
      <c r="G165" t="s">
        <v>56</v>
      </c>
      <c r="H165">
        <v>131640</v>
      </c>
      <c r="I165">
        <v>71.349999999999994</v>
      </c>
      <c r="J165">
        <v>1844.98948843728</v>
      </c>
      <c r="K165">
        <v>2499.999984</v>
      </c>
      <c r="L165">
        <v>52.656000336998297</v>
      </c>
      <c r="M165">
        <v>-18.693999663001598</v>
      </c>
      <c r="N165">
        <v>0.73799580009808496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25">
      <c r="A166" t="s">
        <v>53</v>
      </c>
      <c r="B166">
        <v>165</v>
      </c>
      <c r="C166" t="s">
        <v>414</v>
      </c>
      <c r="D166" t="s">
        <v>415</v>
      </c>
      <c r="E166" t="s">
        <v>405</v>
      </c>
      <c r="F166" t="s">
        <v>405</v>
      </c>
      <c r="G166" t="s">
        <v>56</v>
      </c>
      <c r="H166">
        <v>78879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25">
      <c r="A167" t="s">
        <v>53</v>
      </c>
      <c r="B167">
        <v>166</v>
      </c>
      <c r="C167" t="s">
        <v>416</v>
      </c>
      <c r="D167" t="s">
        <v>417</v>
      </c>
      <c r="E167" t="s">
        <v>418</v>
      </c>
      <c r="F167" t="s">
        <v>419</v>
      </c>
      <c r="G167" t="s">
        <v>269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25">
      <c r="A168" t="s">
        <v>53</v>
      </c>
      <c r="B168">
        <v>167</v>
      </c>
      <c r="C168" t="s">
        <v>420</v>
      </c>
      <c r="D168" t="s">
        <v>421</v>
      </c>
      <c r="E168" t="s">
        <v>418</v>
      </c>
      <c r="F168" t="s">
        <v>419</v>
      </c>
      <c r="G168" t="s">
        <v>269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25">
      <c r="A169" t="s">
        <v>53</v>
      </c>
      <c r="B169">
        <v>168</v>
      </c>
      <c r="C169" t="s">
        <v>422</v>
      </c>
      <c r="D169" t="s">
        <v>423</v>
      </c>
      <c r="E169" t="s">
        <v>418</v>
      </c>
      <c r="F169" t="s">
        <v>419</v>
      </c>
      <c r="G169" t="s">
        <v>269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25">
      <c r="A170" t="s">
        <v>424</v>
      </c>
      <c r="B170">
        <v>1</v>
      </c>
      <c r="C170" t="s">
        <v>425</v>
      </c>
      <c r="D170" t="s">
        <v>426</v>
      </c>
      <c r="E170" t="s">
        <v>427</v>
      </c>
      <c r="F170" t="s">
        <v>427</v>
      </c>
      <c r="G170" t="s">
        <v>59</v>
      </c>
      <c r="H170">
        <v>52761</v>
      </c>
      <c r="I170">
        <v>230.84638888888799</v>
      </c>
      <c r="J170">
        <v>228.55458235214101</v>
      </c>
      <c r="K170">
        <v>192.41448648260999</v>
      </c>
      <c r="L170">
        <v>274.20492585815799</v>
      </c>
      <c r="M170">
        <v>43.358536969269799</v>
      </c>
      <c r="N170">
        <v>1.1878241941663601</v>
      </c>
      <c r="P170">
        <v>0</v>
      </c>
      <c r="Q170">
        <v>0</v>
      </c>
      <c r="R170">
        <v>0</v>
      </c>
      <c r="S170">
        <v>0</v>
      </c>
    </row>
    <row r="171" spans="1:19" x14ac:dyDescent="0.25">
      <c r="A171" t="s">
        <v>424</v>
      </c>
      <c r="B171">
        <v>2</v>
      </c>
      <c r="C171" t="s">
        <v>428</v>
      </c>
      <c r="D171" t="s">
        <v>429</v>
      </c>
      <c r="E171" t="s">
        <v>427</v>
      </c>
      <c r="F171" t="s">
        <v>427</v>
      </c>
      <c r="G171" t="s">
        <v>59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25">
      <c r="A172" t="s">
        <v>424</v>
      </c>
      <c r="B172">
        <v>3</v>
      </c>
      <c r="C172" t="s">
        <v>430</v>
      </c>
      <c r="D172" t="s">
        <v>431</v>
      </c>
      <c r="E172" t="s">
        <v>427</v>
      </c>
      <c r="F172" t="s">
        <v>427</v>
      </c>
      <c r="G172" t="s">
        <v>59</v>
      </c>
      <c r="H172">
        <v>52761</v>
      </c>
      <c r="I172">
        <v>230.84638888888799</v>
      </c>
      <c r="J172">
        <v>228.55458235214101</v>
      </c>
      <c r="K172">
        <v>192.41448648260999</v>
      </c>
      <c r="L172">
        <v>274.20492585815799</v>
      </c>
      <c r="M172">
        <v>43.358536969269799</v>
      </c>
      <c r="N172">
        <v>1.1878241941663601</v>
      </c>
      <c r="P172">
        <v>0</v>
      </c>
      <c r="Q172">
        <v>0</v>
      </c>
      <c r="R172">
        <v>0</v>
      </c>
      <c r="S172">
        <v>0</v>
      </c>
    </row>
    <row r="173" spans="1:19" x14ac:dyDescent="0.25">
      <c r="A173" t="s">
        <v>424</v>
      </c>
      <c r="B173">
        <v>4</v>
      </c>
      <c r="C173" t="s">
        <v>432</v>
      </c>
      <c r="D173" t="s">
        <v>218</v>
      </c>
      <c r="E173" t="s">
        <v>427</v>
      </c>
      <c r="F173" t="s">
        <v>427</v>
      </c>
      <c r="G173" t="s">
        <v>59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25">
      <c r="A174" t="s">
        <v>424</v>
      </c>
      <c r="B174">
        <v>5</v>
      </c>
      <c r="C174" t="s">
        <v>433</v>
      </c>
      <c r="D174" t="s">
        <v>434</v>
      </c>
      <c r="E174" t="s">
        <v>427</v>
      </c>
      <c r="F174" t="s">
        <v>427</v>
      </c>
      <c r="G174" t="s">
        <v>59</v>
      </c>
      <c r="H174">
        <v>78879</v>
      </c>
      <c r="I174">
        <v>447.84666666666601</v>
      </c>
      <c r="J174">
        <v>176.129478839483</v>
      </c>
      <c r="K174">
        <v>235.94885674632101</v>
      </c>
      <c r="L174">
        <v>334.30549775795703</v>
      </c>
      <c r="M174">
        <v>-113.541168908709</v>
      </c>
      <c r="N174">
        <v>0.74647311823531304</v>
      </c>
      <c r="P174">
        <v>0</v>
      </c>
      <c r="Q174">
        <v>0</v>
      </c>
      <c r="R174">
        <v>0</v>
      </c>
      <c r="S174">
        <v>0</v>
      </c>
    </row>
    <row r="175" spans="1:19" x14ac:dyDescent="0.25">
      <c r="A175" t="s">
        <v>424</v>
      </c>
      <c r="B175">
        <v>6</v>
      </c>
      <c r="C175" t="s">
        <v>435</v>
      </c>
      <c r="D175" t="s">
        <v>319</v>
      </c>
      <c r="E175" t="s">
        <v>427</v>
      </c>
      <c r="F175" t="s">
        <v>427</v>
      </c>
      <c r="G175" t="s">
        <v>59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25">
      <c r="A176" t="s">
        <v>424</v>
      </c>
      <c r="B176">
        <v>7</v>
      </c>
      <c r="C176" t="s">
        <v>436</v>
      </c>
      <c r="D176" t="s">
        <v>398</v>
      </c>
      <c r="E176" t="s">
        <v>427</v>
      </c>
      <c r="F176" t="s">
        <v>427</v>
      </c>
      <c r="G176" t="s">
        <v>59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25">
      <c r="A177" t="s">
        <v>424</v>
      </c>
      <c r="B177">
        <v>8</v>
      </c>
      <c r="C177" t="s">
        <v>437</v>
      </c>
      <c r="D177" t="s">
        <v>405</v>
      </c>
      <c r="E177" t="s">
        <v>427</v>
      </c>
      <c r="F177" t="s">
        <v>427</v>
      </c>
      <c r="G177" t="s">
        <v>59</v>
      </c>
      <c r="H177">
        <v>78879</v>
      </c>
      <c r="I177">
        <v>150.4325</v>
      </c>
      <c r="J177">
        <v>524.34812955976895</v>
      </c>
      <c r="K177">
        <v>552.93152628464895</v>
      </c>
      <c r="L177">
        <v>142.65600033699801</v>
      </c>
      <c r="M177">
        <v>-7.7764996630016103</v>
      </c>
      <c r="N177">
        <v>0.94830572075182096</v>
      </c>
      <c r="P177">
        <v>0</v>
      </c>
      <c r="Q177">
        <v>0</v>
      </c>
      <c r="R177">
        <v>0</v>
      </c>
      <c r="S177">
        <v>0</v>
      </c>
    </row>
    <row r="178" spans="1:19" x14ac:dyDescent="0.25">
      <c r="A178" t="s">
        <v>424</v>
      </c>
      <c r="B178">
        <v>9</v>
      </c>
      <c r="C178" t="s">
        <v>438</v>
      </c>
      <c r="D178" t="s">
        <v>418</v>
      </c>
      <c r="E178" t="s">
        <v>427</v>
      </c>
      <c r="F178" t="s">
        <v>427</v>
      </c>
      <c r="G178" t="s">
        <v>269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25">
      <c r="A179" t="s">
        <v>424</v>
      </c>
      <c r="B179">
        <v>10</v>
      </c>
      <c r="C179" t="s">
        <v>439</v>
      </c>
      <c r="D179" t="s">
        <v>440</v>
      </c>
      <c r="E179" t="s">
        <v>427</v>
      </c>
      <c r="F179" t="s">
        <v>427</v>
      </c>
      <c r="G179" t="s">
        <v>59</v>
      </c>
      <c r="H179">
        <v>131640</v>
      </c>
      <c r="I179">
        <v>829.12555555555502</v>
      </c>
      <c r="J179">
        <v>158.76968104281201</v>
      </c>
      <c r="K179">
        <v>175.247449569466</v>
      </c>
      <c r="L179">
        <v>751.16642395311396</v>
      </c>
      <c r="M179">
        <v>-77.959131602440806</v>
      </c>
      <c r="N179">
        <v>0.90597427484887405</v>
      </c>
      <c r="P179">
        <v>0</v>
      </c>
      <c r="Q179">
        <v>0</v>
      </c>
      <c r="R179">
        <v>0</v>
      </c>
      <c r="S179">
        <v>0</v>
      </c>
    </row>
    <row r="180" spans="1:19" x14ac:dyDescent="0.25">
      <c r="A180" t="s">
        <v>441</v>
      </c>
      <c r="B180">
        <v>1</v>
      </c>
      <c r="C180" t="s">
        <v>442</v>
      </c>
      <c r="D180" t="s">
        <v>13</v>
      </c>
      <c r="E180" t="s">
        <v>443</v>
      </c>
      <c r="F180" t="s">
        <v>443</v>
      </c>
      <c r="G180" t="s">
        <v>59</v>
      </c>
      <c r="H180">
        <v>52761</v>
      </c>
      <c r="I180">
        <v>230.84638888888799</v>
      </c>
      <c r="J180">
        <v>228.55458235214101</v>
      </c>
      <c r="K180">
        <v>192.41448648260999</v>
      </c>
      <c r="L180">
        <v>274.20492585815799</v>
      </c>
      <c r="M180">
        <v>43.358536969269799</v>
      </c>
      <c r="N180">
        <v>1.1878241941663601</v>
      </c>
      <c r="P180">
        <v>0</v>
      </c>
      <c r="Q180">
        <v>0</v>
      </c>
      <c r="R180">
        <v>0</v>
      </c>
      <c r="S180">
        <v>0</v>
      </c>
    </row>
    <row r="181" spans="1:19" x14ac:dyDescent="0.25">
      <c r="A181" t="s">
        <v>441</v>
      </c>
      <c r="B181">
        <v>2</v>
      </c>
      <c r="C181" t="s">
        <v>444</v>
      </c>
      <c r="D181" t="s">
        <v>445</v>
      </c>
      <c r="E181" t="s">
        <v>443</v>
      </c>
      <c r="F181" t="s">
        <v>443</v>
      </c>
      <c r="G181" t="s">
        <v>59</v>
      </c>
      <c r="H181">
        <v>78879</v>
      </c>
      <c r="I181">
        <v>447.84666666666601</v>
      </c>
      <c r="J181">
        <v>176.129478839483</v>
      </c>
      <c r="K181">
        <v>235.94885674632101</v>
      </c>
      <c r="L181">
        <v>334.30549775795703</v>
      </c>
      <c r="M181">
        <v>-113.541168908709</v>
      </c>
      <c r="N181">
        <v>0.74647311823531304</v>
      </c>
      <c r="P181">
        <v>0</v>
      </c>
      <c r="Q181">
        <v>0</v>
      </c>
      <c r="R181">
        <v>0</v>
      </c>
      <c r="S181">
        <v>0</v>
      </c>
    </row>
    <row r="182" spans="1:19" x14ac:dyDescent="0.25">
      <c r="A182" t="s">
        <v>441</v>
      </c>
      <c r="B182">
        <v>3</v>
      </c>
      <c r="C182" t="s">
        <v>446</v>
      </c>
      <c r="D182" t="s">
        <v>319</v>
      </c>
      <c r="E182" t="s">
        <v>443</v>
      </c>
      <c r="F182" t="s">
        <v>443</v>
      </c>
      <c r="G182" t="s">
        <v>59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25">
      <c r="A183" t="s">
        <v>441</v>
      </c>
      <c r="B183">
        <v>4</v>
      </c>
      <c r="C183" t="s">
        <v>447</v>
      </c>
      <c r="D183" t="s">
        <v>405</v>
      </c>
      <c r="E183" t="s">
        <v>443</v>
      </c>
      <c r="F183" t="s">
        <v>443</v>
      </c>
      <c r="G183" t="s">
        <v>59</v>
      </c>
      <c r="H183">
        <v>78879</v>
      </c>
      <c r="I183">
        <v>150.4325</v>
      </c>
      <c r="J183">
        <v>524.34812955976895</v>
      </c>
      <c r="K183">
        <v>552.93152628464895</v>
      </c>
      <c r="L183">
        <v>142.65600033699801</v>
      </c>
      <c r="M183">
        <v>-7.7764996630016103</v>
      </c>
      <c r="N183">
        <v>0.94830572075182096</v>
      </c>
      <c r="P183">
        <v>0</v>
      </c>
      <c r="Q183">
        <v>0</v>
      </c>
      <c r="R183">
        <v>0</v>
      </c>
      <c r="S183">
        <v>0</v>
      </c>
    </row>
    <row r="184" spans="1:19" x14ac:dyDescent="0.25">
      <c r="A184" t="s">
        <v>441</v>
      </c>
      <c r="B184">
        <v>5</v>
      </c>
      <c r="C184" t="s">
        <v>448</v>
      </c>
      <c r="D184" t="s">
        <v>418</v>
      </c>
      <c r="E184" t="s">
        <v>443</v>
      </c>
      <c r="F184" t="s">
        <v>443</v>
      </c>
      <c r="G184" t="s">
        <v>269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25">
      <c r="A185" t="s">
        <v>441</v>
      </c>
      <c r="B185">
        <v>6</v>
      </c>
      <c r="C185" t="s">
        <v>449</v>
      </c>
      <c r="D185" t="s">
        <v>440</v>
      </c>
      <c r="E185" t="s">
        <v>443</v>
      </c>
      <c r="F185" t="s">
        <v>443</v>
      </c>
      <c r="G185" t="s">
        <v>59</v>
      </c>
      <c r="H185">
        <v>131640</v>
      </c>
      <c r="I185">
        <v>829.12555555555502</v>
      </c>
      <c r="J185">
        <v>158.76968104281201</v>
      </c>
      <c r="K185">
        <v>175.247449569466</v>
      </c>
      <c r="L185">
        <v>751.16642395311396</v>
      </c>
      <c r="M185">
        <v>-77.959131602440806</v>
      </c>
      <c r="N185">
        <v>0.90597427484887405</v>
      </c>
      <c r="P185">
        <v>0</v>
      </c>
      <c r="Q185">
        <v>0</v>
      </c>
      <c r="R185">
        <v>0</v>
      </c>
      <c r="S185">
        <v>0</v>
      </c>
    </row>
    <row r="186" spans="1:19" x14ac:dyDescent="0.25">
      <c r="A186" t="s">
        <v>33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S186"/>
  <sheetViews>
    <sheetView workbookViewId="0">
      <selection sqref="A1:A1048576"/>
    </sheetView>
  </sheetViews>
  <sheetFormatPr defaultRowHeight="15" x14ac:dyDescent="0.25"/>
  <cols>
    <col min="1" max="1" width="18.140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9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</row>
    <row r="2" spans="1:19" x14ac:dyDescent="0.25">
      <c r="A2" t="s">
        <v>53</v>
      </c>
      <c r="B2">
        <v>1</v>
      </c>
      <c r="C2" t="s">
        <v>54</v>
      </c>
      <c r="D2" t="s">
        <v>6</v>
      </c>
      <c r="E2" t="s">
        <v>13</v>
      </c>
      <c r="F2" t="s">
        <v>55</v>
      </c>
      <c r="G2" t="s">
        <v>56</v>
      </c>
      <c r="H2">
        <v>88113</v>
      </c>
      <c r="I2">
        <v>63.514166666666597</v>
      </c>
      <c r="J2">
        <v>1387.2967973024299</v>
      </c>
      <c r="K2">
        <v>995.00000399999999</v>
      </c>
      <c r="L2">
        <v>88.555778538469198</v>
      </c>
      <c r="M2">
        <v>25.041611871802498</v>
      </c>
      <c r="N2">
        <v>1.3942681323873001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25">
      <c r="A3" t="s">
        <v>53</v>
      </c>
      <c r="B3">
        <v>2</v>
      </c>
      <c r="C3" t="s">
        <v>57</v>
      </c>
      <c r="D3" t="s">
        <v>58</v>
      </c>
      <c r="E3" t="s">
        <v>13</v>
      </c>
      <c r="F3" t="s">
        <v>55</v>
      </c>
      <c r="G3" t="s">
        <v>59</v>
      </c>
      <c r="H3">
        <v>1977</v>
      </c>
      <c r="I3">
        <v>1.6344444444444399</v>
      </c>
      <c r="J3">
        <v>1209.5853161114801</v>
      </c>
      <c r="K3">
        <v>275.00000399999999</v>
      </c>
      <c r="L3">
        <v>7.1890908045223103</v>
      </c>
      <c r="M3">
        <v>5.5546463600778697</v>
      </c>
      <c r="N3">
        <v>4.3984919946091603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25">
      <c r="A4" t="s">
        <v>53</v>
      </c>
      <c r="B4">
        <v>3</v>
      </c>
      <c r="C4" t="s">
        <v>60</v>
      </c>
      <c r="D4" t="s">
        <v>61</v>
      </c>
      <c r="E4" t="s">
        <v>13</v>
      </c>
      <c r="F4" t="s">
        <v>55</v>
      </c>
      <c r="G4" t="s">
        <v>59</v>
      </c>
      <c r="H4">
        <v>12400</v>
      </c>
      <c r="I4">
        <v>27.0058333333333</v>
      </c>
      <c r="J4">
        <v>459.16005801215698</v>
      </c>
      <c r="K4">
        <v>101.999988</v>
      </c>
      <c r="L4">
        <v>121.568641753173</v>
      </c>
      <c r="M4">
        <v>94.562808419840195</v>
      </c>
      <c r="N4">
        <v>4.5015697257940603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25">
      <c r="A5" t="s">
        <v>53</v>
      </c>
      <c r="B5">
        <v>4</v>
      </c>
      <c r="C5" t="s">
        <v>62</v>
      </c>
      <c r="D5" t="s">
        <v>63</v>
      </c>
      <c r="E5" t="s">
        <v>13</v>
      </c>
      <c r="F5" t="s">
        <v>55</v>
      </c>
      <c r="G5" t="s">
        <v>59</v>
      </c>
      <c r="H5">
        <v>12</v>
      </c>
      <c r="I5">
        <v>5.4166666666666599E-2</v>
      </c>
      <c r="J5">
        <v>221.53846153846101</v>
      </c>
      <c r="K5">
        <v>52.999991999999999</v>
      </c>
      <c r="L5">
        <v>0.226415128515491</v>
      </c>
      <c r="M5">
        <v>0.172248461848824</v>
      </c>
      <c r="N5">
        <v>4.17997160336291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25">
      <c r="A6" t="s">
        <v>53</v>
      </c>
      <c r="B6">
        <v>5</v>
      </c>
      <c r="C6" t="s">
        <v>64</v>
      </c>
      <c r="D6" t="s">
        <v>65</v>
      </c>
      <c r="E6" t="s">
        <v>13</v>
      </c>
      <c r="F6" t="s">
        <v>55</v>
      </c>
      <c r="G6" t="s">
        <v>59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25">
      <c r="A7" t="s">
        <v>53</v>
      </c>
      <c r="B7">
        <v>6</v>
      </c>
      <c r="C7" t="s">
        <v>66</v>
      </c>
      <c r="D7" t="s">
        <v>67</v>
      </c>
      <c r="E7" t="s">
        <v>13</v>
      </c>
      <c r="F7" t="s">
        <v>55</v>
      </c>
      <c r="G7" t="s">
        <v>59</v>
      </c>
      <c r="H7">
        <v>14389</v>
      </c>
      <c r="I7">
        <v>28.6944444444444</v>
      </c>
      <c r="J7">
        <v>501.45595353339701</v>
      </c>
      <c r="K7">
        <v>111.55634438896401</v>
      </c>
      <c r="L7">
        <v>128.984147686211</v>
      </c>
      <c r="M7">
        <v>100.28970324176601</v>
      </c>
      <c r="N7">
        <v>4.4950913036820896</v>
      </c>
      <c r="P7">
        <v>0</v>
      </c>
      <c r="Q7">
        <v>0</v>
      </c>
      <c r="R7">
        <v>0</v>
      </c>
      <c r="S7">
        <v>0</v>
      </c>
    </row>
    <row r="8" spans="1:19" x14ac:dyDescent="0.25">
      <c r="A8" t="s">
        <v>53</v>
      </c>
      <c r="B8">
        <v>7</v>
      </c>
      <c r="C8" t="s">
        <v>68</v>
      </c>
      <c r="D8" t="s">
        <v>69</v>
      </c>
      <c r="E8" t="s">
        <v>13</v>
      </c>
      <c r="F8" t="s">
        <v>55</v>
      </c>
      <c r="G8" t="s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25">
      <c r="A9" t="s">
        <v>53</v>
      </c>
      <c r="B9">
        <v>8</v>
      </c>
      <c r="C9" t="s">
        <v>70</v>
      </c>
      <c r="D9" t="s">
        <v>71</v>
      </c>
      <c r="E9" t="s">
        <v>13</v>
      </c>
      <c r="F9" t="s">
        <v>55</v>
      </c>
      <c r="G9" t="s">
        <v>59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25">
      <c r="A10" t="s">
        <v>53</v>
      </c>
      <c r="B10">
        <v>9</v>
      </c>
      <c r="C10" t="s">
        <v>72</v>
      </c>
      <c r="D10" t="s">
        <v>73</v>
      </c>
      <c r="E10" t="s">
        <v>13</v>
      </c>
      <c r="F10" t="s">
        <v>55</v>
      </c>
      <c r="G10" t="s">
        <v>59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25">
      <c r="A11" t="s">
        <v>53</v>
      </c>
      <c r="B11">
        <v>10</v>
      </c>
      <c r="C11" t="s">
        <v>74</v>
      </c>
      <c r="D11" t="s">
        <v>75</v>
      </c>
      <c r="E11" t="s">
        <v>13</v>
      </c>
      <c r="F11" t="s">
        <v>55</v>
      </c>
      <c r="G11" t="s">
        <v>59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25">
      <c r="A12" t="s">
        <v>53</v>
      </c>
      <c r="B12">
        <v>11</v>
      </c>
      <c r="C12" t="s">
        <v>76</v>
      </c>
      <c r="D12" t="s">
        <v>77</v>
      </c>
      <c r="E12" t="s">
        <v>13</v>
      </c>
      <c r="F12" t="s">
        <v>55</v>
      </c>
      <c r="G12" t="s">
        <v>59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25">
      <c r="A13" t="s">
        <v>53</v>
      </c>
      <c r="B13">
        <v>12</v>
      </c>
      <c r="C13" t="s">
        <v>78</v>
      </c>
      <c r="D13" t="s">
        <v>79</v>
      </c>
      <c r="E13" t="s">
        <v>13</v>
      </c>
      <c r="F13" t="s">
        <v>55</v>
      </c>
      <c r="G13" t="s">
        <v>80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25">
      <c r="A14" t="s">
        <v>53</v>
      </c>
      <c r="B14">
        <v>13</v>
      </c>
      <c r="C14" t="s">
        <v>81</v>
      </c>
      <c r="D14" t="s">
        <v>7</v>
      </c>
      <c r="E14" t="s">
        <v>13</v>
      </c>
      <c r="F14" t="s">
        <v>55</v>
      </c>
      <c r="G14" t="s">
        <v>80</v>
      </c>
      <c r="H14">
        <v>8261</v>
      </c>
      <c r="I14">
        <v>2.70583333333333</v>
      </c>
      <c r="J14">
        <v>3053.0335694487198</v>
      </c>
      <c r="K14">
        <v>524.99998800000003</v>
      </c>
      <c r="L14">
        <v>15.7352384549006</v>
      </c>
      <c r="M14">
        <v>13.029405121567301</v>
      </c>
      <c r="N14">
        <v>5.8153021699663698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25">
      <c r="A15" t="s">
        <v>53</v>
      </c>
      <c r="B15">
        <v>14</v>
      </c>
      <c r="C15" t="s">
        <v>82</v>
      </c>
      <c r="D15" t="s">
        <v>83</v>
      </c>
      <c r="E15" t="s">
        <v>13</v>
      </c>
      <c r="F15" t="s">
        <v>55</v>
      </c>
      <c r="G15" t="s">
        <v>84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25">
      <c r="A16" t="s">
        <v>53</v>
      </c>
      <c r="B16">
        <v>15</v>
      </c>
      <c r="C16" t="s">
        <v>85</v>
      </c>
      <c r="D16" t="s">
        <v>86</v>
      </c>
      <c r="E16" t="s">
        <v>13</v>
      </c>
      <c r="F16" t="s">
        <v>55</v>
      </c>
      <c r="G16" t="s">
        <v>56</v>
      </c>
      <c r="H16">
        <v>88113</v>
      </c>
      <c r="I16">
        <v>27.05</v>
      </c>
      <c r="J16">
        <v>3257.4121996303102</v>
      </c>
      <c r="K16">
        <v>2000.00001599999</v>
      </c>
      <c r="L16">
        <v>44.056499647548002</v>
      </c>
      <c r="M16">
        <v>17.006499647548001</v>
      </c>
      <c r="N16">
        <v>1.6287060867855001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25">
      <c r="A17" t="s">
        <v>53</v>
      </c>
      <c r="B17">
        <v>16</v>
      </c>
      <c r="C17" t="s">
        <v>87</v>
      </c>
      <c r="D17" t="s">
        <v>88</v>
      </c>
      <c r="E17" t="s">
        <v>13</v>
      </c>
      <c r="F17" t="s">
        <v>55</v>
      </c>
      <c r="G17" t="s">
        <v>59</v>
      </c>
      <c r="H17">
        <v>88113</v>
      </c>
      <c r="I17">
        <v>121.964444444444</v>
      </c>
      <c r="J17">
        <v>722.44825450040003</v>
      </c>
      <c r="K17">
        <v>317.717056268286</v>
      </c>
      <c r="L17">
        <v>277.33166432712898</v>
      </c>
      <c r="M17">
        <v>155.367219882684</v>
      </c>
      <c r="N17">
        <v>2.2738730585818798</v>
      </c>
      <c r="P17">
        <v>0</v>
      </c>
      <c r="Q17">
        <v>0</v>
      </c>
      <c r="R17">
        <v>0</v>
      </c>
      <c r="S17">
        <v>0</v>
      </c>
    </row>
    <row r="18" spans="1:19" x14ac:dyDescent="0.25">
      <c r="A18" t="s">
        <v>53</v>
      </c>
      <c r="B18">
        <v>17</v>
      </c>
      <c r="C18" t="s">
        <v>89</v>
      </c>
      <c r="D18" t="s">
        <v>90</v>
      </c>
      <c r="E18" t="s">
        <v>13</v>
      </c>
      <c r="F18" t="s">
        <v>91</v>
      </c>
      <c r="G18" t="s">
        <v>80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25">
      <c r="A19" t="s">
        <v>53</v>
      </c>
      <c r="B19">
        <v>18</v>
      </c>
      <c r="C19" t="s">
        <v>92</v>
      </c>
      <c r="D19" t="s">
        <v>93</v>
      </c>
      <c r="E19" t="s">
        <v>13</v>
      </c>
      <c r="F19" t="s">
        <v>91</v>
      </c>
      <c r="G19" t="s">
        <v>59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25">
      <c r="A20" t="s">
        <v>53</v>
      </c>
      <c r="B20">
        <v>19</v>
      </c>
      <c r="C20" t="s">
        <v>94</v>
      </c>
      <c r="D20" t="s">
        <v>95</v>
      </c>
      <c r="E20" t="s">
        <v>13</v>
      </c>
      <c r="F20" t="s">
        <v>91</v>
      </c>
      <c r="G20" t="s">
        <v>59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25">
      <c r="A21" t="s">
        <v>53</v>
      </c>
      <c r="B21">
        <v>20</v>
      </c>
      <c r="C21" t="s">
        <v>96</v>
      </c>
      <c r="D21" t="s">
        <v>97</v>
      </c>
      <c r="E21" t="s">
        <v>13</v>
      </c>
      <c r="F21" t="s">
        <v>91</v>
      </c>
      <c r="G21" t="s">
        <v>59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25">
      <c r="A22" t="s">
        <v>53</v>
      </c>
      <c r="B22">
        <v>21</v>
      </c>
      <c r="C22" t="s">
        <v>98</v>
      </c>
      <c r="D22" t="s">
        <v>99</v>
      </c>
      <c r="E22" t="s">
        <v>13</v>
      </c>
      <c r="F22" t="s">
        <v>91</v>
      </c>
      <c r="G22" t="s">
        <v>59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25">
      <c r="A23" t="s">
        <v>53</v>
      </c>
      <c r="B23">
        <v>22</v>
      </c>
      <c r="C23" t="s">
        <v>100</v>
      </c>
      <c r="D23" t="s">
        <v>101</v>
      </c>
      <c r="E23" t="s">
        <v>13</v>
      </c>
      <c r="F23" t="s">
        <v>91</v>
      </c>
      <c r="G23" t="s">
        <v>59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25">
      <c r="A24" t="s">
        <v>53</v>
      </c>
      <c r="B24">
        <v>23</v>
      </c>
      <c r="C24" t="s">
        <v>102</v>
      </c>
      <c r="D24" t="s">
        <v>103</v>
      </c>
      <c r="E24" t="s">
        <v>13</v>
      </c>
      <c r="F24" t="s">
        <v>91</v>
      </c>
      <c r="G24" t="s">
        <v>80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25">
      <c r="A25" t="s">
        <v>53</v>
      </c>
      <c r="B25">
        <v>24</v>
      </c>
      <c r="C25" t="s">
        <v>104</v>
      </c>
      <c r="D25" t="s">
        <v>105</v>
      </c>
      <c r="E25" t="s">
        <v>13</v>
      </c>
      <c r="F25" t="s">
        <v>91</v>
      </c>
      <c r="G25" t="s">
        <v>84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25">
      <c r="A26" t="s">
        <v>53</v>
      </c>
      <c r="B26">
        <v>25</v>
      </c>
      <c r="C26" t="s">
        <v>106</v>
      </c>
      <c r="D26" t="s">
        <v>107</v>
      </c>
      <c r="E26" t="s">
        <v>13</v>
      </c>
      <c r="F26" t="s">
        <v>91</v>
      </c>
      <c r="G26" t="s">
        <v>56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25">
      <c r="A27" t="s">
        <v>53</v>
      </c>
      <c r="B27">
        <v>26</v>
      </c>
      <c r="C27" t="s">
        <v>108</v>
      </c>
      <c r="D27" t="s">
        <v>109</v>
      </c>
      <c r="E27" t="s">
        <v>13</v>
      </c>
      <c r="F27" t="s">
        <v>91</v>
      </c>
      <c r="G27" t="s">
        <v>59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25">
      <c r="A28" t="s">
        <v>53</v>
      </c>
      <c r="B28">
        <v>27</v>
      </c>
      <c r="C28" t="s">
        <v>110</v>
      </c>
      <c r="D28" t="s">
        <v>111</v>
      </c>
      <c r="E28" t="s">
        <v>13</v>
      </c>
      <c r="F28" t="s">
        <v>112</v>
      </c>
      <c r="G28" t="s">
        <v>59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25">
      <c r="A29" t="s">
        <v>53</v>
      </c>
      <c r="B29">
        <v>28</v>
      </c>
      <c r="C29" t="s">
        <v>113</v>
      </c>
      <c r="D29" t="s">
        <v>114</v>
      </c>
      <c r="E29" t="s">
        <v>13</v>
      </c>
      <c r="F29" t="s">
        <v>112</v>
      </c>
      <c r="G29" t="s">
        <v>59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25">
      <c r="A30" t="s">
        <v>53</v>
      </c>
      <c r="B30">
        <v>29</v>
      </c>
      <c r="C30" t="s">
        <v>115</v>
      </c>
      <c r="D30" t="s">
        <v>116</v>
      </c>
      <c r="E30" t="s">
        <v>13</v>
      </c>
      <c r="F30" t="s">
        <v>112</v>
      </c>
      <c r="G30" t="s">
        <v>59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25">
      <c r="A31" t="s">
        <v>53</v>
      </c>
      <c r="B31">
        <v>30</v>
      </c>
      <c r="C31" t="s">
        <v>117</v>
      </c>
      <c r="D31" t="s">
        <v>118</v>
      </c>
      <c r="E31" t="s">
        <v>13</v>
      </c>
      <c r="F31" t="s">
        <v>112</v>
      </c>
      <c r="G31" t="s">
        <v>59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25">
      <c r="A32" t="s">
        <v>53</v>
      </c>
      <c r="B32">
        <v>31</v>
      </c>
      <c r="C32" t="s">
        <v>119</v>
      </c>
      <c r="D32" t="s">
        <v>120</v>
      </c>
      <c r="E32" t="s">
        <v>13</v>
      </c>
      <c r="F32" t="s">
        <v>112</v>
      </c>
      <c r="G32" t="s">
        <v>59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25">
      <c r="A33" t="s">
        <v>53</v>
      </c>
      <c r="B33">
        <v>32</v>
      </c>
      <c r="C33" t="s">
        <v>121</v>
      </c>
      <c r="D33" t="s">
        <v>122</v>
      </c>
      <c r="E33" t="s">
        <v>13</v>
      </c>
      <c r="F33" t="s">
        <v>112</v>
      </c>
      <c r="G33" t="s">
        <v>59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25">
      <c r="A34" t="s">
        <v>53</v>
      </c>
      <c r="B34">
        <v>33</v>
      </c>
      <c r="C34" t="s">
        <v>123</v>
      </c>
      <c r="D34" t="s">
        <v>124</v>
      </c>
      <c r="E34" t="s">
        <v>13</v>
      </c>
      <c r="F34" t="s">
        <v>112</v>
      </c>
      <c r="G34" t="s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25">
      <c r="A35" t="s">
        <v>53</v>
      </c>
      <c r="B35">
        <v>34</v>
      </c>
      <c r="C35" t="s">
        <v>125</v>
      </c>
      <c r="D35" t="s">
        <v>126</v>
      </c>
      <c r="E35" t="s">
        <v>13</v>
      </c>
      <c r="F35" t="s">
        <v>112</v>
      </c>
      <c r="G35" t="s">
        <v>56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25">
      <c r="A36" t="s">
        <v>53</v>
      </c>
      <c r="B36">
        <v>35</v>
      </c>
      <c r="C36" t="s">
        <v>127</v>
      </c>
      <c r="D36" t="s">
        <v>128</v>
      </c>
      <c r="E36" t="s">
        <v>13</v>
      </c>
      <c r="F36" t="s">
        <v>112</v>
      </c>
      <c r="G36" t="s">
        <v>56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25">
      <c r="A37" t="s">
        <v>53</v>
      </c>
      <c r="B37">
        <v>36</v>
      </c>
      <c r="C37" t="s">
        <v>129</v>
      </c>
      <c r="D37" t="s">
        <v>130</v>
      </c>
      <c r="E37" t="s">
        <v>13</v>
      </c>
      <c r="F37" t="s">
        <v>131</v>
      </c>
      <c r="G37" t="s">
        <v>59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25">
      <c r="A38" t="s">
        <v>53</v>
      </c>
      <c r="B38">
        <v>37</v>
      </c>
      <c r="C38" t="s">
        <v>132</v>
      </c>
      <c r="D38" t="s">
        <v>133</v>
      </c>
      <c r="E38" t="s">
        <v>13</v>
      </c>
      <c r="F38" t="s">
        <v>131</v>
      </c>
      <c r="G38" t="s">
        <v>59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25">
      <c r="A39" t="s">
        <v>53</v>
      </c>
      <c r="B39">
        <v>38</v>
      </c>
      <c r="C39" t="s">
        <v>134</v>
      </c>
      <c r="D39" t="s">
        <v>135</v>
      </c>
      <c r="E39" t="s">
        <v>13</v>
      </c>
      <c r="F39" t="s">
        <v>131</v>
      </c>
      <c r="G39" t="s">
        <v>59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25">
      <c r="A40" t="s">
        <v>53</v>
      </c>
      <c r="B40">
        <v>39</v>
      </c>
      <c r="C40" t="s">
        <v>136</v>
      </c>
      <c r="D40" t="s">
        <v>137</v>
      </c>
      <c r="E40" t="s">
        <v>13</v>
      </c>
      <c r="F40" t="s">
        <v>131</v>
      </c>
      <c r="G40" t="s">
        <v>59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25">
      <c r="A41" t="s">
        <v>53</v>
      </c>
      <c r="B41">
        <v>40</v>
      </c>
      <c r="C41" t="s">
        <v>138</v>
      </c>
      <c r="D41" t="s">
        <v>139</v>
      </c>
      <c r="E41" t="s">
        <v>13</v>
      </c>
      <c r="F41" t="s">
        <v>131</v>
      </c>
      <c r="G41" t="s">
        <v>59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25">
      <c r="A42" t="s">
        <v>53</v>
      </c>
      <c r="B42">
        <v>41</v>
      </c>
      <c r="C42" t="s">
        <v>140</v>
      </c>
      <c r="D42" t="s">
        <v>141</v>
      </c>
      <c r="E42" t="s">
        <v>13</v>
      </c>
      <c r="F42" t="s">
        <v>131</v>
      </c>
      <c r="G42" t="s">
        <v>80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25">
      <c r="A43" t="s">
        <v>53</v>
      </c>
      <c r="B43">
        <v>42</v>
      </c>
      <c r="C43" t="s">
        <v>142</v>
      </c>
      <c r="D43" t="s">
        <v>143</v>
      </c>
      <c r="E43" t="s">
        <v>13</v>
      </c>
      <c r="F43" t="s">
        <v>131</v>
      </c>
      <c r="G43" t="s">
        <v>84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25">
      <c r="A44" t="s">
        <v>53</v>
      </c>
      <c r="B44">
        <v>43</v>
      </c>
      <c r="C44" t="s">
        <v>144</v>
      </c>
      <c r="D44" t="s">
        <v>145</v>
      </c>
      <c r="E44" t="s">
        <v>13</v>
      </c>
      <c r="F44" t="s">
        <v>131</v>
      </c>
      <c r="G44" t="s">
        <v>59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25">
      <c r="A45" t="s">
        <v>53</v>
      </c>
      <c r="B45">
        <v>44</v>
      </c>
      <c r="C45" t="s">
        <v>146</v>
      </c>
      <c r="D45" t="s">
        <v>147</v>
      </c>
      <c r="E45" t="s">
        <v>13</v>
      </c>
      <c r="F45" t="s">
        <v>131</v>
      </c>
      <c r="G45" t="s">
        <v>59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25">
      <c r="A46" t="s">
        <v>53</v>
      </c>
      <c r="B46">
        <v>45</v>
      </c>
      <c r="C46" t="s">
        <v>148</v>
      </c>
      <c r="D46" t="s">
        <v>149</v>
      </c>
      <c r="E46" t="s">
        <v>13</v>
      </c>
      <c r="F46" t="s">
        <v>150</v>
      </c>
      <c r="G46" t="s">
        <v>80</v>
      </c>
      <c r="H46">
        <v>9088</v>
      </c>
      <c r="I46">
        <v>137.160277777777</v>
      </c>
      <c r="J46">
        <v>66.258250181762193</v>
      </c>
      <c r="K46">
        <v>86.000004000000004</v>
      </c>
      <c r="L46">
        <v>105.674413689562</v>
      </c>
      <c r="M46">
        <v>-31.4858640882156</v>
      </c>
      <c r="N46">
        <v>0.77044473372073496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25">
      <c r="A47" t="s">
        <v>53</v>
      </c>
      <c r="B47">
        <v>46</v>
      </c>
      <c r="C47" t="s">
        <v>151</v>
      </c>
      <c r="D47" t="s">
        <v>152</v>
      </c>
      <c r="E47" t="s">
        <v>13</v>
      </c>
      <c r="F47" t="s">
        <v>150</v>
      </c>
      <c r="G47" t="s">
        <v>153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25">
      <c r="A48" t="s">
        <v>53</v>
      </c>
      <c r="B48">
        <v>47</v>
      </c>
      <c r="C48" t="s">
        <v>154</v>
      </c>
      <c r="D48" t="s">
        <v>155</v>
      </c>
      <c r="E48" t="s">
        <v>13</v>
      </c>
      <c r="F48" t="s">
        <v>150</v>
      </c>
      <c r="G48" t="s">
        <v>84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25">
      <c r="A49" t="s">
        <v>53</v>
      </c>
      <c r="B49">
        <v>48</v>
      </c>
      <c r="C49" t="s">
        <v>156</v>
      </c>
      <c r="D49" t="s">
        <v>157</v>
      </c>
      <c r="E49" t="s">
        <v>13</v>
      </c>
      <c r="F49" t="s">
        <v>150</v>
      </c>
      <c r="G49" t="s">
        <v>158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25">
      <c r="A50" t="s">
        <v>53</v>
      </c>
      <c r="B50">
        <v>49</v>
      </c>
      <c r="C50" t="s">
        <v>159</v>
      </c>
      <c r="D50" t="s">
        <v>160</v>
      </c>
      <c r="E50" t="s">
        <v>13</v>
      </c>
      <c r="F50" t="s">
        <v>150</v>
      </c>
      <c r="G50" t="s">
        <v>56</v>
      </c>
      <c r="H50">
        <v>167873</v>
      </c>
      <c r="I50">
        <v>14.9333333333333</v>
      </c>
      <c r="J50">
        <v>11241.495535714201</v>
      </c>
      <c r="K50">
        <v>15000.0000119999</v>
      </c>
      <c r="L50">
        <v>11.191533324380099</v>
      </c>
      <c r="M50">
        <v>-3.74180000895322</v>
      </c>
      <c r="N50">
        <v>0.74943303511473902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25">
      <c r="A51" t="s">
        <v>53</v>
      </c>
      <c r="B51">
        <v>50</v>
      </c>
      <c r="C51" t="s">
        <v>161</v>
      </c>
      <c r="D51" t="s">
        <v>162</v>
      </c>
      <c r="E51" t="s">
        <v>13</v>
      </c>
      <c r="F51" t="s">
        <v>150</v>
      </c>
      <c r="G51" t="s">
        <v>56</v>
      </c>
      <c r="H51">
        <v>167873</v>
      </c>
      <c r="I51">
        <v>152.09361111111099</v>
      </c>
      <c r="J51">
        <v>1103.7478745728599</v>
      </c>
      <c r="K51">
        <v>1436.45779022329</v>
      </c>
      <c r="L51">
        <v>116.86594701394201</v>
      </c>
      <c r="M51">
        <v>-35.227664097168798</v>
      </c>
      <c r="N51">
        <v>0.76838169703634995</v>
      </c>
      <c r="P51">
        <v>0</v>
      </c>
      <c r="Q51">
        <v>0</v>
      </c>
      <c r="R51">
        <v>0</v>
      </c>
      <c r="S51">
        <v>0</v>
      </c>
    </row>
    <row r="52" spans="1:19" x14ac:dyDescent="0.25">
      <c r="A52" t="s">
        <v>53</v>
      </c>
      <c r="B52">
        <v>51</v>
      </c>
      <c r="C52" t="s">
        <v>163</v>
      </c>
      <c r="D52" t="s">
        <v>164</v>
      </c>
      <c r="E52" t="s">
        <v>13</v>
      </c>
      <c r="F52" t="s">
        <v>164</v>
      </c>
      <c r="G52" t="s">
        <v>56</v>
      </c>
      <c r="H52">
        <v>88113</v>
      </c>
      <c r="I52">
        <v>10.5</v>
      </c>
      <c r="J52">
        <v>8391.7142857142808</v>
      </c>
      <c r="K52">
        <v>4500</v>
      </c>
      <c r="L52">
        <v>19.580666666666598</v>
      </c>
      <c r="M52">
        <v>9.0806666666666604</v>
      </c>
      <c r="N52">
        <v>1.8648253968253901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25">
      <c r="A53" t="s">
        <v>53</v>
      </c>
      <c r="B53">
        <v>52</v>
      </c>
      <c r="C53" t="s">
        <v>165</v>
      </c>
      <c r="D53" t="s">
        <v>166</v>
      </c>
      <c r="E53" t="s">
        <v>13</v>
      </c>
      <c r="F53" t="s">
        <v>167</v>
      </c>
      <c r="G53" t="s">
        <v>56</v>
      </c>
      <c r="H53">
        <v>88113</v>
      </c>
      <c r="I53">
        <v>10.671111111111101</v>
      </c>
      <c r="J53">
        <v>8257.1532694710495</v>
      </c>
      <c r="K53">
        <v>1850.000004</v>
      </c>
      <c r="L53">
        <v>47.628648545667701</v>
      </c>
      <c r="M53">
        <v>36.957537434556599</v>
      </c>
      <c r="N53">
        <v>4.4633260819555396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25">
      <c r="A54" t="s">
        <v>53</v>
      </c>
      <c r="B54">
        <v>53</v>
      </c>
      <c r="C54" t="s">
        <v>168</v>
      </c>
      <c r="D54" t="s">
        <v>11</v>
      </c>
      <c r="E54" t="s">
        <v>13</v>
      </c>
      <c r="F54" t="s">
        <v>169</v>
      </c>
      <c r="G54" t="s">
        <v>59</v>
      </c>
      <c r="H54">
        <v>88113</v>
      </c>
      <c r="I54">
        <v>295.229166666666</v>
      </c>
      <c r="J54">
        <v>298.45628396019998</v>
      </c>
      <c r="K54">
        <v>190.965923849869</v>
      </c>
      <c r="L54">
        <v>461.40692655340501</v>
      </c>
      <c r="M54">
        <v>166.17775988673901</v>
      </c>
      <c r="N54">
        <v>1.56287717695035</v>
      </c>
      <c r="P54">
        <v>0</v>
      </c>
      <c r="Q54">
        <v>0</v>
      </c>
      <c r="R54">
        <v>0</v>
      </c>
      <c r="S54">
        <v>0</v>
      </c>
    </row>
    <row r="55" spans="1:19" x14ac:dyDescent="0.25">
      <c r="A55" t="s">
        <v>53</v>
      </c>
      <c r="B55">
        <v>54</v>
      </c>
      <c r="C55" t="s">
        <v>170</v>
      </c>
      <c r="D55" t="s">
        <v>171</v>
      </c>
      <c r="E55" t="s">
        <v>172</v>
      </c>
      <c r="F55" t="s">
        <v>173</v>
      </c>
      <c r="G55" t="s">
        <v>80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25">
      <c r="A56" t="s">
        <v>53</v>
      </c>
      <c r="B56">
        <v>55</v>
      </c>
      <c r="C56" t="s">
        <v>174</v>
      </c>
      <c r="D56" t="s">
        <v>175</v>
      </c>
      <c r="E56" t="s">
        <v>172</v>
      </c>
      <c r="F56" t="s">
        <v>173</v>
      </c>
      <c r="G56" t="s">
        <v>84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25">
      <c r="A57" t="s">
        <v>53</v>
      </c>
      <c r="B57">
        <v>56</v>
      </c>
      <c r="C57" t="s">
        <v>176</v>
      </c>
      <c r="D57" t="s">
        <v>177</v>
      </c>
      <c r="E57" t="s">
        <v>172</v>
      </c>
      <c r="F57" t="s">
        <v>178</v>
      </c>
      <c r="G57" t="s">
        <v>80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25">
      <c r="A58" t="s">
        <v>53</v>
      </c>
      <c r="B58">
        <v>57</v>
      </c>
      <c r="C58" t="s">
        <v>179</v>
      </c>
      <c r="D58" t="s">
        <v>180</v>
      </c>
      <c r="E58" t="s">
        <v>172</v>
      </c>
      <c r="F58" t="s">
        <v>178</v>
      </c>
      <c r="G58" t="s">
        <v>80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25">
      <c r="A59" t="s">
        <v>53</v>
      </c>
      <c r="B59">
        <v>58</v>
      </c>
      <c r="C59" t="s">
        <v>181</v>
      </c>
      <c r="D59" t="s">
        <v>182</v>
      </c>
      <c r="E59" t="s">
        <v>172</v>
      </c>
      <c r="F59" t="s">
        <v>183</v>
      </c>
      <c r="G59" t="s">
        <v>80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25">
      <c r="A60" t="s">
        <v>53</v>
      </c>
      <c r="B60">
        <v>59</v>
      </c>
      <c r="C60" t="s">
        <v>184</v>
      </c>
      <c r="D60" t="s">
        <v>185</v>
      </c>
      <c r="E60" t="s">
        <v>172</v>
      </c>
      <c r="F60" t="s">
        <v>183</v>
      </c>
      <c r="G60" t="s">
        <v>59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25">
      <c r="A61" t="s">
        <v>53</v>
      </c>
      <c r="B61">
        <v>60</v>
      </c>
      <c r="C61" t="s">
        <v>186</v>
      </c>
      <c r="D61" t="s">
        <v>187</v>
      </c>
      <c r="E61" t="s">
        <v>172</v>
      </c>
      <c r="F61" t="s">
        <v>183</v>
      </c>
      <c r="G61" t="s">
        <v>59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25">
      <c r="A62" t="s">
        <v>53</v>
      </c>
      <c r="B62">
        <v>61</v>
      </c>
      <c r="C62" t="s">
        <v>188</v>
      </c>
      <c r="D62" t="s">
        <v>189</v>
      </c>
      <c r="E62" t="s">
        <v>172</v>
      </c>
      <c r="F62" t="s">
        <v>183</v>
      </c>
      <c r="G62" t="s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25">
      <c r="A63" t="s">
        <v>53</v>
      </c>
      <c r="B63">
        <v>62</v>
      </c>
      <c r="C63" t="s">
        <v>190</v>
      </c>
      <c r="D63" t="s">
        <v>191</v>
      </c>
      <c r="E63" t="s">
        <v>172</v>
      </c>
      <c r="F63" t="s">
        <v>183</v>
      </c>
      <c r="G63" t="s">
        <v>59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25">
      <c r="A64" t="s">
        <v>53</v>
      </c>
      <c r="B64">
        <v>63</v>
      </c>
      <c r="C64" t="s">
        <v>192</v>
      </c>
      <c r="D64" t="s">
        <v>193</v>
      </c>
      <c r="E64" t="s">
        <v>172</v>
      </c>
      <c r="F64" t="s">
        <v>183</v>
      </c>
      <c r="G64" t="s">
        <v>56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25">
      <c r="A65" t="s">
        <v>53</v>
      </c>
      <c r="B65">
        <v>64</v>
      </c>
      <c r="C65" t="s">
        <v>194</v>
      </c>
      <c r="D65" t="s">
        <v>195</v>
      </c>
      <c r="E65" t="s">
        <v>172</v>
      </c>
      <c r="F65" t="s">
        <v>196</v>
      </c>
      <c r="G65" t="s">
        <v>59</v>
      </c>
      <c r="H65">
        <v>10948</v>
      </c>
      <c r="I65">
        <v>7.1547222222222198</v>
      </c>
      <c r="J65">
        <v>1530.1782039833799</v>
      </c>
      <c r="K65">
        <v>1244.000016</v>
      </c>
      <c r="L65">
        <v>8.8006429736251697</v>
      </c>
      <c r="M65">
        <v>1.6459207514029399</v>
      </c>
      <c r="N65">
        <v>1.2300467719474499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25">
      <c r="A66" t="s">
        <v>53</v>
      </c>
      <c r="B66">
        <v>65</v>
      </c>
      <c r="C66" t="s">
        <v>197</v>
      </c>
      <c r="D66" t="s">
        <v>198</v>
      </c>
      <c r="E66" t="s">
        <v>172</v>
      </c>
      <c r="F66" t="s">
        <v>196</v>
      </c>
      <c r="G66" t="s">
        <v>59</v>
      </c>
      <c r="H66">
        <v>66548</v>
      </c>
      <c r="I66">
        <v>287.03583333333302</v>
      </c>
      <c r="J66">
        <v>231.84561741710499</v>
      </c>
      <c r="K66">
        <v>288</v>
      </c>
      <c r="L66">
        <v>231.069444444444</v>
      </c>
      <c r="M66">
        <v>-55.966388888888801</v>
      </c>
      <c r="N66">
        <v>0.805019504920504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25">
      <c r="A67" t="s">
        <v>53</v>
      </c>
      <c r="B67">
        <v>66</v>
      </c>
      <c r="C67" t="s">
        <v>199</v>
      </c>
      <c r="D67" t="s">
        <v>200</v>
      </c>
      <c r="E67" t="s">
        <v>172</v>
      </c>
      <c r="F67" t="s">
        <v>196</v>
      </c>
      <c r="G67" t="s">
        <v>59</v>
      </c>
      <c r="H67">
        <v>1232</v>
      </c>
      <c r="I67">
        <v>4.5088888888888796</v>
      </c>
      <c r="J67">
        <v>273.23804829965502</v>
      </c>
      <c r="K67">
        <v>117</v>
      </c>
      <c r="L67">
        <v>10.5299145299145</v>
      </c>
      <c r="M67">
        <v>6.0210256410256404</v>
      </c>
      <c r="N67">
        <v>2.3353679341850802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25">
      <c r="A68" t="s">
        <v>53</v>
      </c>
      <c r="B68">
        <v>67</v>
      </c>
      <c r="C68" t="s">
        <v>201</v>
      </c>
      <c r="D68" t="s">
        <v>202</v>
      </c>
      <c r="E68" t="s">
        <v>172</v>
      </c>
      <c r="F68" t="s">
        <v>196</v>
      </c>
      <c r="G68" t="s">
        <v>59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25">
      <c r="A69" t="s">
        <v>53</v>
      </c>
      <c r="B69">
        <v>68</v>
      </c>
      <c r="C69" t="s">
        <v>203</v>
      </c>
      <c r="D69" t="s">
        <v>204</v>
      </c>
      <c r="E69" t="s">
        <v>172</v>
      </c>
      <c r="F69" t="s">
        <v>196</v>
      </c>
      <c r="G69" t="s">
        <v>59</v>
      </c>
      <c r="H69">
        <v>78728</v>
      </c>
      <c r="I69">
        <v>298.699444444444</v>
      </c>
      <c r="J69">
        <v>263.56928834075097</v>
      </c>
      <c r="K69">
        <v>314.40894324095899</v>
      </c>
      <c r="L69">
        <v>250.40000194798401</v>
      </c>
      <c r="M69">
        <v>-48.299442496460301</v>
      </c>
      <c r="N69">
        <v>0.83830086264039305</v>
      </c>
      <c r="P69">
        <v>0</v>
      </c>
      <c r="Q69">
        <v>0</v>
      </c>
      <c r="R69">
        <v>0</v>
      </c>
      <c r="S69">
        <v>0</v>
      </c>
    </row>
    <row r="70" spans="1:19" x14ac:dyDescent="0.25">
      <c r="A70" t="s">
        <v>53</v>
      </c>
      <c r="B70">
        <v>69</v>
      </c>
      <c r="C70" t="s">
        <v>205</v>
      </c>
      <c r="D70" t="s">
        <v>206</v>
      </c>
      <c r="E70" t="s">
        <v>172</v>
      </c>
      <c r="F70" t="s">
        <v>206</v>
      </c>
      <c r="G70" t="s">
        <v>59</v>
      </c>
      <c r="H70">
        <v>79760</v>
      </c>
      <c r="I70">
        <v>35.337222222222202</v>
      </c>
      <c r="J70">
        <v>2257.1100665021099</v>
      </c>
      <c r="K70">
        <v>3465</v>
      </c>
      <c r="L70">
        <v>23.018759018758999</v>
      </c>
      <c r="M70">
        <v>-12.3184632034632</v>
      </c>
      <c r="N70">
        <v>0.65140261659512599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25">
      <c r="A71" t="s">
        <v>53</v>
      </c>
      <c r="B71">
        <v>70</v>
      </c>
      <c r="C71" t="s">
        <v>207</v>
      </c>
      <c r="D71" t="s">
        <v>208</v>
      </c>
      <c r="E71" t="s">
        <v>172</v>
      </c>
      <c r="F71" t="s">
        <v>208</v>
      </c>
      <c r="G71" t="s">
        <v>56</v>
      </c>
      <c r="H71">
        <v>79760</v>
      </c>
      <c r="I71">
        <v>71.810277777777699</v>
      </c>
      <c r="J71">
        <v>1110.7045184649301</v>
      </c>
      <c r="K71">
        <v>1524.999996</v>
      </c>
      <c r="L71">
        <v>52.301639481446898</v>
      </c>
      <c r="M71">
        <v>-19.508638296330801</v>
      </c>
      <c r="N71">
        <v>0.72833083369066198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25">
      <c r="A72" t="s">
        <v>53</v>
      </c>
      <c r="B72">
        <v>71</v>
      </c>
      <c r="C72" t="s">
        <v>209</v>
      </c>
      <c r="D72" t="s">
        <v>210</v>
      </c>
      <c r="E72" t="s">
        <v>172</v>
      </c>
      <c r="F72" t="s">
        <v>210</v>
      </c>
      <c r="G72" t="s">
        <v>56</v>
      </c>
      <c r="H72">
        <v>79760</v>
      </c>
      <c r="I72">
        <v>16.468055555555502</v>
      </c>
      <c r="J72">
        <v>4843.3161845323402</v>
      </c>
      <c r="K72">
        <v>3499.999992</v>
      </c>
      <c r="L72">
        <v>22.788571480659499</v>
      </c>
      <c r="M72">
        <v>6.3205159251040302</v>
      </c>
      <c r="N72">
        <v>1.3838046273150799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25">
      <c r="A73" t="s">
        <v>53</v>
      </c>
      <c r="B73">
        <v>72</v>
      </c>
      <c r="C73" t="s">
        <v>211</v>
      </c>
      <c r="D73" t="s">
        <v>212</v>
      </c>
      <c r="E73" t="s">
        <v>172</v>
      </c>
      <c r="F73" t="s">
        <v>213</v>
      </c>
      <c r="G73" t="s">
        <v>56</v>
      </c>
      <c r="H73">
        <v>79760</v>
      </c>
      <c r="I73">
        <v>0</v>
      </c>
      <c r="J73">
        <v>0</v>
      </c>
      <c r="K73">
        <v>5000.0000040000004</v>
      </c>
      <c r="L73">
        <v>15.9519999872384</v>
      </c>
      <c r="M73">
        <v>15.9519999872384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25">
      <c r="A74" t="s">
        <v>53</v>
      </c>
      <c r="B74">
        <v>73</v>
      </c>
      <c r="C74" t="s">
        <v>214</v>
      </c>
      <c r="D74" t="s">
        <v>215</v>
      </c>
      <c r="E74" t="s">
        <v>172</v>
      </c>
      <c r="F74" t="s">
        <v>169</v>
      </c>
      <c r="G74" t="s">
        <v>56</v>
      </c>
      <c r="H74">
        <v>79760</v>
      </c>
      <c r="I74">
        <v>422.315</v>
      </c>
      <c r="J74">
        <v>188.86376283106199</v>
      </c>
      <c r="K74">
        <v>218.84373402363499</v>
      </c>
      <c r="L74">
        <v>364.460971916088</v>
      </c>
      <c r="M74">
        <v>-57.854028083911899</v>
      </c>
      <c r="N74">
        <v>0.86300740422691102</v>
      </c>
      <c r="P74">
        <v>0</v>
      </c>
      <c r="Q74">
        <v>0</v>
      </c>
      <c r="R74">
        <v>0</v>
      </c>
      <c r="S74">
        <v>0</v>
      </c>
    </row>
    <row r="75" spans="1:19" x14ac:dyDescent="0.25">
      <c r="A75" t="s">
        <v>53</v>
      </c>
      <c r="B75">
        <v>74</v>
      </c>
      <c r="C75" t="s">
        <v>216</v>
      </c>
      <c r="D75" t="s">
        <v>217</v>
      </c>
      <c r="E75" t="s">
        <v>218</v>
      </c>
      <c r="F75" t="s">
        <v>9</v>
      </c>
      <c r="G75" t="s">
        <v>59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25">
      <c r="A76" t="s">
        <v>53</v>
      </c>
      <c r="B76">
        <v>75</v>
      </c>
      <c r="C76" t="s">
        <v>219</v>
      </c>
      <c r="D76" t="s">
        <v>220</v>
      </c>
      <c r="E76" t="s">
        <v>218</v>
      </c>
      <c r="F76" t="s">
        <v>9</v>
      </c>
      <c r="G76" t="s">
        <v>59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25">
      <c r="A77" t="s">
        <v>53</v>
      </c>
      <c r="B77">
        <v>76</v>
      </c>
      <c r="C77" t="s">
        <v>221</v>
      </c>
      <c r="D77" t="s">
        <v>222</v>
      </c>
      <c r="E77" t="s">
        <v>218</v>
      </c>
      <c r="F77" t="s">
        <v>9</v>
      </c>
      <c r="G77" t="s">
        <v>59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25">
      <c r="A78" t="s">
        <v>53</v>
      </c>
      <c r="B78">
        <v>77</v>
      </c>
      <c r="C78" t="s">
        <v>223</v>
      </c>
      <c r="D78" t="s">
        <v>224</v>
      </c>
      <c r="E78" t="s">
        <v>218</v>
      </c>
      <c r="F78" t="s">
        <v>9</v>
      </c>
      <c r="G78" t="s">
        <v>59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25">
      <c r="A79" t="s">
        <v>53</v>
      </c>
      <c r="B79">
        <v>78</v>
      </c>
      <c r="C79" t="s">
        <v>225</v>
      </c>
      <c r="D79" t="s">
        <v>226</v>
      </c>
      <c r="E79" t="s">
        <v>218</v>
      </c>
      <c r="F79" t="s">
        <v>9</v>
      </c>
      <c r="G79" t="s">
        <v>59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25">
      <c r="A80" t="s">
        <v>53</v>
      </c>
      <c r="B80">
        <v>79</v>
      </c>
      <c r="C80" t="s">
        <v>227</v>
      </c>
      <c r="D80" t="s">
        <v>228</v>
      </c>
      <c r="E80" t="s">
        <v>218</v>
      </c>
      <c r="F80" t="s">
        <v>9</v>
      </c>
      <c r="G80" t="s">
        <v>56</v>
      </c>
      <c r="H80">
        <v>78728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25">
      <c r="A81" t="s">
        <v>53</v>
      </c>
      <c r="B81">
        <v>80</v>
      </c>
      <c r="C81" t="s">
        <v>229</v>
      </c>
      <c r="D81" t="s">
        <v>230</v>
      </c>
      <c r="E81" t="s">
        <v>218</v>
      </c>
      <c r="F81" t="s">
        <v>9</v>
      </c>
      <c r="G81" t="s">
        <v>56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25">
      <c r="A82" t="s">
        <v>53</v>
      </c>
      <c r="B82">
        <v>81</v>
      </c>
      <c r="C82" t="s">
        <v>231</v>
      </c>
      <c r="D82" t="s">
        <v>232</v>
      </c>
      <c r="E82" t="s">
        <v>218</v>
      </c>
      <c r="F82" t="s">
        <v>233</v>
      </c>
      <c r="G82" t="s">
        <v>59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25">
      <c r="A83" t="s">
        <v>53</v>
      </c>
      <c r="B83">
        <v>82</v>
      </c>
      <c r="C83" t="s">
        <v>234</v>
      </c>
      <c r="D83" t="s">
        <v>235</v>
      </c>
      <c r="E83" t="s">
        <v>218</v>
      </c>
      <c r="F83" t="s">
        <v>233</v>
      </c>
      <c r="G83" t="s">
        <v>59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25">
      <c r="A84" t="s">
        <v>53</v>
      </c>
      <c r="B84">
        <v>83</v>
      </c>
      <c r="C84" t="s">
        <v>236</v>
      </c>
      <c r="D84" t="s">
        <v>237</v>
      </c>
      <c r="E84" t="s">
        <v>218</v>
      </c>
      <c r="F84" t="s">
        <v>233</v>
      </c>
      <c r="G84" t="s">
        <v>59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25">
      <c r="A85" t="s">
        <v>53</v>
      </c>
      <c r="B85">
        <v>84</v>
      </c>
      <c r="C85" t="s">
        <v>238</v>
      </c>
      <c r="D85" t="s">
        <v>239</v>
      </c>
      <c r="E85" t="s">
        <v>218</v>
      </c>
      <c r="F85" t="s">
        <v>233</v>
      </c>
      <c r="G85" t="s">
        <v>59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25">
      <c r="A86" t="s">
        <v>53</v>
      </c>
      <c r="B86">
        <v>85</v>
      </c>
      <c r="C86" t="s">
        <v>240</v>
      </c>
      <c r="D86" t="s">
        <v>241</v>
      </c>
      <c r="E86" t="s">
        <v>218</v>
      </c>
      <c r="F86" t="s">
        <v>233</v>
      </c>
      <c r="G86" t="s">
        <v>59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25">
      <c r="A87" t="s">
        <v>53</v>
      </c>
      <c r="B87">
        <v>86</v>
      </c>
      <c r="C87" t="s">
        <v>242</v>
      </c>
      <c r="D87" t="s">
        <v>243</v>
      </c>
      <c r="E87" t="s">
        <v>218</v>
      </c>
      <c r="F87" t="s">
        <v>233</v>
      </c>
      <c r="G87" t="s">
        <v>59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25">
      <c r="A88" t="s">
        <v>53</v>
      </c>
      <c r="B88">
        <v>87</v>
      </c>
      <c r="C88" t="s">
        <v>244</v>
      </c>
      <c r="D88" t="s">
        <v>245</v>
      </c>
      <c r="E88" t="s">
        <v>218</v>
      </c>
      <c r="F88" t="s">
        <v>233</v>
      </c>
      <c r="G88" t="s">
        <v>59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25">
      <c r="A89" t="s">
        <v>53</v>
      </c>
      <c r="B89">
        <v>88</v>
      </c>
      <c r="C89" t="s">
        <v>246</v>
      </c>
      <c r="D89" t="s">
        <v>247</v>
      </c>
      <c r="E89" t="s">
        <v>218</v>
      </c>
      <c r="F89" t="s">
        <v>233</v>
      </c>
      <c r="G89" t="s">
        <v>59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25">
      <c r="A90" t="s">
        <v>53</v>
      </c>
      <c r="B90">
        <v>89</v>
      </c>
      <c r="C90" t="s">
        <v>248</v>
      </c>
      <c r="D90" t="s">
        <v>249</v>
      </c>
      <c r="E90" t="s">
        <v>218</v>
      </c>
      <c r="F90" t="s">
        <v>233</v>
      </c>
      <c r="G90" t="s">
        <v>59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25">
      <c r="A91" t="s">
        <v>53</v>
      </c>
      <c r="B91">
        <v>90</v>
      </c>
      <c r="C91" t="s">
        <v>250</v>
      </c>
      <c r="D91" t="s">
        <v>251</v>
      </c>
      <c r="E91" t="s">
        <v>218</v>
      </c>
      <c r="F91" t="s">
        <v>233</v>
      </c>
      <c r="G91" t="s">
        <v>59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25">
      <c r="A92" t="s">
        <v>53</v>
      </c>
      <c r="B92">
        <v>91</v>
      </c>
      <c r="C92" t="s">
        <v>252</v>
      </c>
      <c r="D92" t="s">
        <v>253</v>
      </c>
      <c r="E92" t="s">
        <v>218</v>
      </c>
      <c r="F92" t="s">
        <v>233</v>
      </c>
      <c r="G92" t="s">
        <v>56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25">
      <c r="A93" t="s">
        <v>53</v>
      </c>
      <c r="B93">
        <v>92</v>
      </c>
      <c r="C93" t="s">
        <v>254</v>
      </c>
      <c r="D93" t="s">
        <v>255</v>
      </c>
      <c r="E93" t="s">
        <v>218</v>
      </c>
      <c r="F93" t="s">
        <v>233</v>
      </c>
      <c r="G93" t="s">
        <v>59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25">
      <c r="A94" t="s">
        <v>53</v>
      </c>
      <c r="B94">
        <v>93</v>
      </c>
      <c r="C94" t="s">
        <v>256</v>
      </c>
      <c r="D94" t="s">
        <v>257</v>
      </c>
      <c r="E94" t="s">
        <v>218</v>
      </c>
      <c r="F94" t="s">
        <v>258</v>
      </c>
      <c r="G94" t="s">
        <v>59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25">
      <c r="A95" t="s">
        <v>53</v>
      </c>
      <c r="B95">
        <v>94</v>
      </c>
      <c r="C95" t="s">
        <v>259</v>
      </c>
      <c r="D95" t="s">
        <v>260</v>
      </c>
      <c r="E95" t="s">
        <v>218</v>
      </c>
      <c r="F95" t="s">
        <v>258</v>
      </c>
      <c r="G95" t="s">
        <v>59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25">
      <c r="A96" t="s">
        <v>53</v>
      </c>
      <c r="B96">
        <v>95</v>
      </c>
      <c r="C96" t="s">
        <v>261</v>
      </c>
      <c r="D96" t="s">
        <v>262</v>
      </c>
      <c r="E96" t="s">
        <v>218</v>
      </c>
      <c r="F96" t="s">
        <v>258</v>
      </c>
      <c r="G96" t="s">
        <v>59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25">
      <c r="A97" t="s">
        <v>53</v>
      </c>
      <c r="B97">
        <v>96</v>
      </c>
      <c r="C97" t="s">
        <v>263</v>
      </c>
      <c r="D97" t="s">
        <v>264</v>
      </c>
      <c r="E97" t="s">
        <v>218</v>
      </c>
      <c r="F97" t="s">
        <v>258</v>
      </c>
      <c r="G97" t="s">
        <v>59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25">
      <c r="A98" t="s">
        <v>53</v>
      </c>
      <c r="B98">
        <v>97</v>
      </c>
      <c r="C98" t="s">
        <v>265</v>
      </c>
      <c r="D98" t="s">
        <v>266</v>
      </c>
      <c r="E98" t="s">
        <v>218</v>
      </c>
      <c r="F98" t="s">
        <v>258</v>
      </c>
      <c r="G98" t="s">
        <v>59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25">
      <c r="A99" t="s">
        <v>53</v>
      </c>
      <c r="B99">
        <v>98</v>
      </c>
      <c r="C99" t="s">
        <v>267</v>
      </c>
      <c r="D99" t="s">
        <v>268</v>
      </c>
      <c r="E99" t="s">
        <v>218</v>
      </c>
      <c r="F99" t="s">
        <v>258</v>
      </c>
      <c r="G99" t="s">
        <v>269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25">
      <c r="A100" t="s">
        <v>53</v>
      </c>
      <c r="B100">
        <v>99</v>
      </c>
      <c r="C100" t="s">
        <v>270</v>
      </c>
      <c r="D100" t="s">
        <v>271</v>
      </c>
      <c r="E100" t="s">
        <v>218</v>
      </c>
      <c r="F100" t="s">
        <v>258</v>
      </c>
      <c r="G100" t="s">
        <v>59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25">
      <c r="A101" t="s">
        <v>53</v>
      </c>
      <c r="B101">
        <v>100</v>
      </c>
      <c r="C101" t="s">
        <v>272</v>
      </c>
      <c r="D101" t="s">
        <v>273</v>
      </c>
      <c r="E101" t="s">
        <v>218</v>
      </c>
      <c r="F101" t="s">
        <v>258</v>
      </c>
      <c r="G101" t="s">
        <v>59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25">
      <c r="A102" t="s">
        <v>53</v>
      </c>
      <c r="B102">
        <v>101</v>
      </c>
      <c r="C102" t="s">
        <v>274</v>
      </c>
      <c r="D102" t="s">
        <v>275</v>
      </c>
      <c r="E102" t="s">
        <v>218</v>
      </c>
      <c r="F102" t="s">
        <v>258</v>
      </c>
      <c r="G102" t="s">
        <v>59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25">
      <c r="A103" t="s">
        <v>53</v>
      </c>
      <c r="B103">
        <v>102</v>
      </c>
      <c r="C103" t="s">
        <v>276</v>
      </c>
      <c r="D103" t="s">
        <v>277</v>
      </c>
      <c r="E103" t="s">
        <v>218</v>
      </c>
      <c r="F103" t="s">
        <v>258</v>
      </c>
      <c r="G103" t="s">
        <v>59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25">
      <c r="A104" t="s">
        <v>53</v>
      </c>
      <c r="B104">
        <v>103</v>
      </c>
      <c r="C104" t="s">
        <v>278</v>
      </c>
      <c r="D104" t="s">
        <v>279</v>
      </c>
      <c r="E104" t="s">
        <v>218</v>
      </c>
      <c r="F104" t="s">
        <v>258</v>
      </c>
      <c r="G104" t="s">
        <v>59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25">
      <c r="A105" t="s">
        <v>53</v>
      </c>
      <c r="B105">
        <v>104</v>
      </c>
      <c r="C105" t="s">
        <v>280</v>
      </c>
      <c r="D105" t="s">
        <v>281</v>
      </c>
      <c r="E105" t="s">
        <v>218</v>
      </c>
      <c r="F105" t="s">
        <v>258</v>
      </c>
      <c r="G105" t="s">
        <v>59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25">
      <c r="A106" t="s">
        <v>53</v>
      </c>
      <c r="B106">
        <v>105</v>
      </c>
      <c r="C106" t="s">
        <v>282</v>
      </c>
      <c r="D106" t="s">
        <v>283</v>
      </c>
      <c r="E106" t="s">
        <v>218</v>
      </c>
      <c r="F106" t="s">
        <v>258</v>
      </c>
      <c r="G106" t="s">
        <v>59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25">
      <c r="A107" t="s">
        <v>53</v>
      </c>
      <c r="B107">
        <v>106</v>
      </c>
      <c r="C107" t="s">
        <v>284</v>
      </c>
      <c r="D107" t="s">
        <v>285</v>
      </c>
      <c r="E107" t="s">
        <v>218</v>
      </c>
      <c r="F107" t="s">
        <v>258</v>
      </c>
      <c r="G107" t="s">
        <v>59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25">
      <c r="A108" t="s">
        <v>53</v>
      </c>
      <c r="B108">
        <v>107</v>
      </c>
      <c r="C108" t="s">
        <v>286</v>
      </c>
      <c r="D108" t="s">
        <v>287</v>
      </c>
      <c r="E108" t="s">
        <v>218</v>
      </c>
      <c r="F108" t="s">
        <v>258</v>
      </c>
      <c r="G108" t="s">
        <v>59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25">
      <c r="A109" t="s">
        <v>53</v>
      </c>
      <c r="B109">
        <v>108</v>
      </c>
      <c r="C109" t="s">
        <v>288</v>
      </c>
      <c r="D109" t="s">
        <v>289</v>
      </c>
      <c r="E109" t="s">
        <v>218</v>
      </c>
      <c r="F109" t="s">
        <v>258</v>
      </c>
      <c r="G109" t="s">
        <v>59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25">
      <c r="A110" t="s">
        <v>53</v>
      </c>
      <c r="B110">
        <v>109</v>
      </c>
      <c r="C110" t="s">
        <v>290</v>
      </c>
      <c r="D110" t="s">
        <v>291</v>
      </c>
      <c r="E110" t="s">
        <v>218</v>
      </c>
      <c r="F110" t="s">
        <v>258</v>
      </c>
      <c r="G110" t="s">
        <v>59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25">
      <c r="A111" t="s">
        <v>53</v>
      </c>
      <c r="B111">
        <v>110</v>
      </c>
      <c r="C111" t="s">
        <v>292</v>
      </c>
      <c r="D111" t="s">
        <v>293</v>
      </c>
      <c r="E111" t="s">
        <v>218</v>
      </c>
      <c r="F111" t="s">
        <v>258</v>
      </c>
      <c r="G111" t="s">
        <v>59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25">
      <c r="A112" t="s">
        <v>53</v>
      </c>
      <c r="B112">
        <v>111</v>
      </c>
      <c r="C112" t="s">
        <v>294</v>
      </c>
      <c r="D112" t="s">
        <v>295</v>
      </c>
      <c r="E112" t="s">
        <v>218</v>
      </c>
      <c r="F112" t="s">
        <v>258</v>
      </c>
      <c r="G112" t="s">
        <v>56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25">
      <c r="A113" t="s">
        <v>53</v>
      </c>
      <c r="B113">
        <v>112</v>
      </c>
      <c r="C113" t="s">
        <v>296</v>
      </c>
      <c r="D113" t="s">
        <v>297</v>
      </c>
      <c r="E113" t="s">
        <v>218</v>
      </c>
      <c r="F113" t="s">
        <v>298</v>
      </c>
      <c r="G113" t="s">
        <v>59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25">
      <c r="A114" t="s">
        <v>53</v>
      </c>
      <c r="B114">
        <v>113</v>
      </c>
      <c r="C114" t="s">
        <v>299</v>
      </c>
      <c r="D114" t="s">
        <v>300</v>
      </c>
      <c r="E114" t="s">
        <v>218</v>
      </c>
      <c r="F114" t="s">
        <v>298</v>
      </c>
      <c r="G114" t="s">
        <v>59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25">
      <c r="A115" t="s">
        <v>53</v>
      </c>
      <c r="B115">
        <v>114</v>
      </c>
      <c r="C115" t="s">
        <v>301</v>
      </c>
      <c r="D115" t="s">
        <v>302</v>
      </c>
      <c r="E115" t="s">
        <v>218</v>
      </c>
      <c r="F115" t="s">
        <v>298</v>
      </c>
      <c r="G115" t="s">
        <v>59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25">
      <c r="A116" t="s">
        <v>53</v>
      </c>
      <c r="B116">
        <v>115</v>
      </c>
      <c r="C116" t="s">
        <v>303</v>
      </c>
      <c r="D116" t="s">
        <v>304</v>
      </c>
      <c r="E116" t="s">
        <v>218</v>
      </c>
      <c r="F116" t="s">
        <v>298</v>
      </c>
      <c r="G116" t="s">
        <v>59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25">
      <c r="A117" t="s">
        <v>53</v>
      </c>
      <c r="B117">
        <v>116</v>
      </c>
      <c r="C117" t="s">
        <v>305</v>
      </c>
      <c r="D117" t="s">
        <v>306</v>
      </c>
      <c r="E117" t="s">
        <v>218</v>
      </c>
      <c r="F117" t="s">
        <v>298</v>
      </c>
      <c r="G117" t="s">
        <v>59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25">
      <c r="A118" t="s">
        <v>53</v>
      </c>
      <c r="B118">
        <v>117</v>
      </c>
      <c r="C118" t="s">
        <v>307</v>
      </c>
      <c r="D118" t="s">
        <v>308</v>
      </c>
      <c r="E118" t="s">
        <v>218</v>
      </c>
      <c r="F118" t="s">
        <v>308</v>
      </c>
      <c r="G118" t="s">
        <v>59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25">
      <c r="A119" t="s">
        <v>53</v>
      </c>
      <c r="B119">
        <v>118</v>
      </c>
      <c r="C119" t="s">
        <v>309</v>
      </c>
      <c r="D119" t="s">
        <v>310</v>
      </c>
      <c r="E119" t="s">
        <v>218</v>
      </c>
      <c r="F119" t="s">
        <v>311</v>
      </c>
      <c r="G119" t="s">
        <v>59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25">
      <c r="A120" t="s">
        <v>53</v>
      </c>
      <c r="B120">
        <v>119</v>
      </c>
      <c r="C120" t="s">
        <v>312</v>
      </c>
      <c r="D120" t="s">
        <v>313</v>
      </c>
      <c r="E120" t="s">
        <v>218</v>
      </c>
      <c r="F120" t="s">
        <v>314</v>
      </c>
      <c r="G120" t="s">
        <v>59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25">
      <c r="A121" t="s">
        <v>53</v>
      </c>
      <c r="B121">
        <v>120</v>
      </c>
      <c r="C121" t="s">
        <v>315</v>
      </c>
      <c r="D121" t="s">
        <v>316</v>
      </c>
      <c r="E121" t="s">
        <v>218</v>
      </c>
      <c r="F121" t="s">
        <v>169</v>
      </c>
      <c r="G121" t="s">
        <v>59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25">
      <c r="A122" t="s">
        <v>53</v>
      </c>
      <c r="B122">
        <v>121</v>
      </c>
      <c r="C122" t="s">
        <v>317</v>
      </c>
      <c r="D122" t="s">
        <v>318</v>
      </c>
      <c r="E122" t="s">
        <v>319</v>
      </c>
      <c r="F122" t="s">
        <v>320</v>
      </c>
      <c r="G122" t="s">
        <v>59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25">
      <c r="A123" t="s">
        <v>53</v>
      </c>
      <c r="B123">
        <v>122</v>
      </c>
      <c r="C123" t="s">
        <v>321</v>
      </c>
      <c r="D123" t="s">
        <v>322</v>
      </c>
      <c r="E123" t="s">
        <v>319</v>
      </c>
      <c r="F123" t="s">
        <v>320</v>
      </c>
      <c r="G123" t="s">
        <v>59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25">
      <c r="A124" t="s">
        <v>53</v>
      </c>
      <c r="B124">
        <v>123</v>
      </c>
      <c r="C124" t="s">
        <v>323</v>
      </c>
      <c r="D124" t="s">
        <v>324</v>
      </c>
      <c r="E124" t="s">
        <v>319</v>
      </c>
      <c r="F124" t="s">
        <v>320</v>
      </c>
      <c r="G124" t="s">
        <v>59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25">
      <c r="A125" t="s">
        <v>53</v>
      </c>
      <c r="B125">
        <v>124</v>
      </c>
      <c r="C125" t="s">
        <v>325</v>
      </c>
      <c r="D125" t="s">
        <v>326</v>
      </c>
      <c r="E125" t="s">
        <v>319</v>
      </c>
      <c r="F125" t="s">
        <v>320</v>
      </c>
      <c r="G125" t="s">
        <v>59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25">
      <c r="A126" t="s">
        <v>53</v>
      </c>
      <c r="B126">
        <v>125</v>
      </c>
      <c r="C126" t="s">
        <v>327</v>
      </c>
      <c r="D126" t="s">
        <v>328</v>
      </c>
      <c r="E126" t="s">
        <v>319</v>
      </c>
      <c r="F126" t="s">
        <v>320</v>
      </c>
      <c r="G126" t="s">
        <v>56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25">
      <c r="A127" t="s">
        <v>53</v>
      </c>
      <c r="B127">
        <v>126</v>
      </c>
      <c r="C127" t="s">
        <v>329</v>
      </c>
      <c r="D127" t="s">
        <v>330</v>
      </c>
      <c r="E127" t="s">
        <v>319</v>
      </c>
      <c r="F127" t="s">
        <v>320</v>
      </c>
      <c r="G127" t="s">
        <v>59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25">
      <c r="A128" t="s">
        <v>53</v>
      </c>
      <c r="B128">
        <v>127</v>
      </c>
      <c r="C128" t="s">
        <v>331</v>
      </c>
      <c r="D128" t="s">
        <v>332</v>
      </c>
      <c r="E128" t="s">
        <v>319</v>
      </c>
      <c r="F128" t="s">
        <v>320</v>
      </c>
      <c r="G128" t="s">
        <v>59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25">
      <c r="A129" t="s">
        <v>53</v>
      </c>
      <c r="B129">
        <v>128</v>
      </c>
      <c r="C129" t="s">
        <v>333</v>
      </c>
      <c r="D129" t="s">
        <v>334</v>
      </c>
      <c r="E129" t="s">
        <v>319</v>
      </c>
      <c r="F129" t="s">
        <v>320</v>
      </c>
      <c r="G129" t="s">
        <v>59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25">
      <c r="A130" t="s">
        <v>53</v>
      </c>
      <c r="B130">
        <v>129</v>
      </c>
      <c r="C130" t="s">
        <v>335</v>
      </c>
      <c r="D130" t="s">
        <v>336</v>
      </c>
      <c r="E130" t="s">
        <v>319</v>
      </c>
      <c r="F130" t="s">
        <v>320</v>
      </c>
      <c r="G130" t="s">
        <v>59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25">
      <c r="A131" t="s">
        <v>53</v>
      </c>
      <c r="B131">
        <v>130</v>
      </c>
      <c r="C131" t="s">
        <v>337</v>
      </c>
      <c r="D131" t="s">
        <v>338</v>
      </c>
      <c r="E131" t="s">
        <v>319</v>
      </c>
      <c r="F131" t="s">
        <v>320</v>
      </c>
      <c r="G131" t="s">
        <v>56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25">
      <c r="A132" t="s">
        <v>53</v>
      </c>
      <c r="B132">
        <v>131</v>
      </c>
      <c r="C132" t="s">
        <v>339</v>
      </c>
      <c r="D132" t="s">
        <v>340</v>
      </c>
      <c r="E132" t="s">
        <v>319</v>
      </c>
      <c r="F132" t="s">
        <v>320</v>
      </c>
      <c r="G132" t="s">
        <v>56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25">
      <c r="A133" t="s">
        <v>53</v>
      </c>
      <c r="B133">
        <v>132</v>
      </c>
      <c r="C133" t="s">
        <v>341</v>
      </c>
      <c r="D133" t="s">
        <v>342</v>
      </c>
      <c r="E133" t="s">
        <v>319</v>
      </c>
      <c r="F133" t="s">
        <v>320</v>
      </c>
      <c r="G133" t="s">
        <v>56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25">
      <c r="A134" t="s">
        <v>53</v>
      </c>
      <c r="B134">
        <v>133</v>
      </c>
      <c r="C134" t="s">
        <v>343</v>
      </c>
      <c r="D134" t="s">
        <v>344</v>
      </c>
      <c r="E134" t="s">
        <v>319</v>
      </c>
      <c r="F134" t="s">
        <v>345</v>
      </c>
      <c r="G134" t="s">
        <v>59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25">
      <c r="A135" t="s">
        <v>53</v>
      </c>
      <c r="B135">
        <v>134</v>
      </c>
      <c r="C135" t="s">
        <v>346</v>
      </c>
      <c r="D135" t="s">
        <v>347</v>
      </c>
      <c r="E135" t="s">
        <v>319</v>
      </c>
      <c r="F135" t="s">
        <v>345</v>
      </c>
      <c r="G135" t="s">
        <v>59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25">
      <c r="A136" t="s">
        <v>53</v>
      </c>
      <c r="B136">
        <v>135</v>
      </c>
      <c r="C136" t="s">
        <v>348</v>
      </c>
      <c r="D136" t="s">
        <v>349</v>
      </c>
      <c r="E136" t="s">
        <v>319</v>
      </c>
      <c r="F136" t="s">
        <v>345</v>
      </c>
      <c r="G136" t="s">
        <v>59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25">
      <c r="A137" t="s">
        <v>53</v>
      </c>
      <c r="B137">
        <v>136</v>
      </c>
      <c r="C137" t="s">
        <v>350</v>
      </c>
      <c r="D137" t="s">
        <v>351</v>
      </c>
      <c r="E137" t="s">
        <v>319</v>
      </c>
      <c r="F137" t="s">
        <v>345</v>
      </c>
      <c r="G137" t="s">
        <v>59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25">
      <c r="A138" t="s">
        <v>53</v>
      </c>
      <c r="B138">
        <v>137</v>
      </c>
      <c r="C138" t="s">
        <v>352</v>
      </c>
      <c r="D138" t="s">
        <v>353</v>
      </c>
      <c r="E138" t="s">
        <v>319</v>
      </c>
      <c r="F138" t="s">
        <v>345</v>
      </c>
      <c r="G138" t="s">
        <v>59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25">
      <c r="A139" t="s">
        <v>53</v>
      </c>
      <c r="B139">
        <v>138</v>
      </c>
      <c r="C139" t="s">
        <v>354</v>
      </c>
      <c r="D139" t="s">
        <v>355</v>
      </c>
      <c r="E139" t="s">
        <v>319</v>
      </c>
      <c r="F139" t="s">
        <v>345</v>
      </c>
      <c r="G139" t="s">
        <v>59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25">
      <c r="A140" t="s">
        <v>53</v>
      </c>
      <c r="B140">
        <v>139</v>
      </c>
      <c r="C140" t="s">
        <v>356</v>
      </c>
      <c r="D140" t="s">
        <v>357</v>
      </c>
      <c r="E140" t="s">
        <v>319</v>
      </c>
      <c r="F140" t="s">
        <v>345</v>
      </c>
      <c r="G140" t="s">
        <v>59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25">
      <c r="A141" t="s">
        <v>53</v>
      </c>
      <c r="B141">
        <v>140</v>
      </c>
      <c r="C141" t="s">
        <v>358</v>
      </c>
      <c r="D141" t="s">
        <v>359</v>
      </c>
      <c r="E141" t="s">
        <v>319</v>
      </c>
      <c r="F141" t="s">
        <v>345</v>
      </c>
      <c r="G141" t="s">
        <v>59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25">
      <c r="A142" t="s">
        <v>53</v>
      </c>
      <c r="B142">
        <v>141</v>
      </c>
      <c r="C142" t="s">
        <v>360</v>
      </c>
      <c r="D142" t="s">
        <v>361</v>
      </c>
      <c r="E142" t="s">
        <v>319</v>
      </c>
      <c r="F142" t="s">
        <v>345</v>
      </c>
      <c r="G142" t="s">
        <v>59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25">
      <c r="A143" t="s">
        <v>53</v>
      </c>
      <c r="B143">
        <v>142</v>
      </c>
      <c r="C143" t="s">
        <v>362</v>
      </c>
      <c r="D143" t="s">
        <v>363</v>
      </c>
      <c r="E143" t="s">
        <v>319</v>
      </c>
      <c r="F143" t="s">
        <v>345</v>
      </c>
      <c r="G143" t="s">
        <v>59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25">
      <c r="A144" t="s">
        <v>53</v>
      </c>
      <c r="B144">
        <v>143</v>
      </c>
      <c r="C144" t="s">
        <v>364</v>
      </c>
      <c r="D144" t="s">
        <v>365</v>
      </c>
      <c r="E144" t="s">
        <v>319</v>
      </c>
      <c r="F144" t="s">
        <v>345</v>
      </c>
      <c r="G144" t="s">
        <v>56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25">
      <c r="A145" t="s">
        <v>53</v>
      </c>
      <c r="B145">
        <v>144</v>
      </c>
      <c r="C145" t="s">
        <v>366</v>
      </c>
      <c r="D145" t="s">
        <v>367</v>
      </c>
      <c r="E145" t="s">
        <v>319</v>
      </c>
      <c r="F145" t="s">
        <v>345</v>
      </c>
      <c r="G145" t="s">
        <v>59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25">
      <c r="A146" t="s">
        <v>53</v>
      </c>
      <c r="B146">
        <v>145</v>
      </c>
      <c r="C146" t="s">
        <v>368</v>
      </c>
      <c r="D146" t="s">
        <v>369</v>
      </c>
      <c r="E146" t="s">
        <v>319</v>
      </c>
      <c r="F146" t="s">
        <v>370</v>
      </c>
      <c r="G146" t="s">
        <v>59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25">
      <c r="A147" t="s">
        <v>53</v>
      </c>
      <c r="B147">
        <v>146</v>
      </c>
      <c r="C147" t="s">
        <v>371</v>
      </c>
      <c r="D147" t="s">
        <v>372</v>
      </c>
      <c r="E147" t="s">
        <v>319</v>
      </c>
      <c r="F147" t="s">
        <v>370</v>
      </c>
      <c r="G147" t="s">
        <v>59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25">
      <c r="A148" t="s">
        <v>53</v>
      </c>
      <c r="B148">
        <v>147</v>
      </c>
      <c r="C148" t="s">
        <v>373</v>
      </c>
      <c r="D148" t="s">
        <v>374</v>
      </c>
      <c r="E148" t="s">
        <v>319</v>
      </c>
      <c r="F148" t="s">
        <v>370</v>
      </c>
      <c r="G148" t="s">
        <v>56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25">
      <c r="A149" t="s">
        <v>53</v>
      </c>
      <c r="B149">
        <v>148</v>
      </c>
      <c r="C149" t="s">
        <v>375</v>
      </c>
      <c r="D149" t="s">
        <v>376</v>
      </c>
      <c r="E149" t="s">
        <v>319</v>
      </c>
      <c r="F149" t="s">
        <v>370</v>
      </c>
      <c r="G149" t="s">
        <v>56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25">
      <c r="A150" t="s">
        <v>53</v>
      </c>
      <c r="B150">
        <v>149</v>
      </c>
      <c r="C150" t="s">
        <v>377</v>
      </c>
      <c r="D150" t="s">
        <v>378</v>
      </c>
      <c r="E150" t="s">
        <v>319</v>
      </c>
      <c r="F150" t="s">
        <v>379</v>
      </c>
      <c r="G150" t="s">
        <v>59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25">
      <c r="A151" t="s">
        <v>53</v>
      </c>
      <c r="B151">
        <v>150</v>
      </c>
      <c r="C151" t="s">
        <v>380</v>
      </c>
      <c r="D151" t="s">
        <v>381</v>
      </c>
      <c r="E151" t="s">
        <v>319</v>
      </c>
      <c r="F151" t="s">
        <v>379</v>
      </c>
      <c r="G151" t="s">
        <v>56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25">
      <c r="A152" t="s">
        <v>53</v>
      </c>
      <c r="B152">
        <v>151</v>
      </c>
      <c r="C152" t="s">
        <v>382</v>
      </c>
      <c r="D152" t="s">
        <v>383</v>
      </c>
      <c r="E152" t="s">
        <v>319</v>
      </c>
      <c r="F152" t="s">
        <v>379</v>
      </c>
      <c r="G152" t="s">
        <v>56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25">
      <c r="A153" t="s">
        <v>53</v>
      </c>
      <c r="B153">
        <v>152</v>
      </c>
      <c r="C153" t="s">
        <v>384</v>
      </c>
      <c r="D153" t="s">
        <v>385</v>
      </c>
      <c r="E153" t="s">
        <v>319</v>
      </c>
      <c r="F153" t="s">
        <v>386</v>
      </c>
      <c r="G153" t="s">
        <v>59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25">
      <c r="A154" t="s">
        <v>53</v>
      </c>
      <c r="B154">
        <v>153</v>
      </c>
      <c r="C154" t="s">
        <v>387</v>
      </c>
      <c r="D154" t="s">
        <v>388</v>
      </c>
      <c r="E154" t="s">
        <v>319</v>
      </c>
      <c r="F154" t="s">
        <v>386</v>
      </c>
      <c r="G154" t="s">
        <v>56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25">
      <c r="A155" t="s">
        <v>53</v>
      </c>
      <c r="B155">
        <v>154</v>
      </c>
      <c r="C155" t="s">
        <v>389</v>
      </c>
      <c r="D155" t="s">
        <v>390</v>
      </c>
      <c r="E155" t="s">
        <v>319</v>
      </c>
      <c r="F155" t="s">
        <v>386</v>
      </c>
      <c r="G155" t="s">
        <v>56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25">
      <c r="A156" t="s">
        <v>53</v>
      </c>
      <c r="B156">
        <v>155</v>
      </c>
      <c r="C156" t="s">
        <v>391</v>
      </c>
      <c r="D156" t="s">
        <v>392</v>
      </c>
      <c r="E156" t="s">
        <v>319</v>
      </c>
      <c r="F156" t="s">
        <v>392</v>
      </c>
      <c r="G156" t="s">
        <v>59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25">
      <c r="A157" t="s">
        <v>53</v>
      </c>
      <c r="B157">
        <v>156</v>
      </c>
      <c r="C157" t="s">
        <v>393</v>
      </c>
      <c r="D157" t="s">
        <v>394</v>
      </c>
      <c r="E157" t="s">
        <v>319</v>
      </c>
      <c r="F157" t="s">
        <v>169</v>
      </c>
      <c r="G157" t="s">
        <v>56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25">
      <c r="A158" t="s">
        <v>53</v>
      </c>
      <c r="B158">
        <v>157</v>
      </c>
      <c r="C158" t="s">
        <v>395</v>
      </c>
      <c r="D158" t="s">
        <v>396</v>
      </c>
      <c r="E158" t="s">
        <v>397</v>
      </c>
      <c r="F158" t="s">
        <v>398</v>
      </c>
      <c r="G158" t="s">
        <v>59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25">
      <c r="A159" t="s">
        <v>53</v>
      </c>
      <c r="B159">
        <v>158</v>
      </c>
      <c r="C159" t="s">
        <v>399</v>
      </c>
      <c r="D159" t="s">
        <v>400</v>
      </c>
      <c r="E159" t="s">
        <v>397</v>
      </c>
      <c r="F159" t="s">
        <v>398</v>
      </c>
      <c r="G159" t="s">
        <v>59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25">
      <c r="A160" t="s">
        <v>53</v>
      </c>
      <c r="B160">
        <v>159</v>
      </c>
      <c r="C160" t="s">
        <v>401</v>
      </c>
      <c r="D160" t="s">
        <v>402</v>
      </c>
      <c r="E160" t="s">
        <v>397</v>
      </c>
      <c r="F160" t="s">
        <v>398</v>
      </c>
      <c r="G160" t="s">
        <v>59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25">
      <c r="A161" t="s">
        <v>53</v>
      </c>
      <c r="B161">
        <v>160</v>
      </c>
      <c r="C161" t="s">
        <v>403</v>
      </c>
      <c r="D161" t="s">
        <v>404</v>
      </c>
      <c r="E161" t="s">
        <v>405</v>
      </c>
      <c r="F161" t="s">
        <v>405</v>
      </c>
      <c r="G161" t="s">
        <v>56</v>
      </c>
      <c r="H161">
        <v>79760</v>
      </c>
      <c r="I161">
        <v>47.099444444444401</v>
      </c>
      <c r="J161">
        <v>1693.4382335248099</v>
      </c>
      <c r="K161">
        <v>1004.53400503778</v>
      </c>
      <c r="L161">
        <v>79.400000000000006</v>
      </c>
      <c r="M161">
        <v>32.300555555555498</v>
      </c>
      <c r="N161">
        <v>1.68579483126717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25">
      <c r="A162" t="s">
        <v>53</v>
      </c>
      <c r="B162">
        <v>161</v>
      </c>
      <c r="C162" t="s">
        <v>406</v>
      </c>
      <c r="D162" t="s">
        <v>407</v>
      </c>
      <c r="E162" t="s">
        <v>405</v>
      </c>
      <c r="F162" t="s">
        <v>405</v>
      </c>
      <c r="G162" t="s">
        <v>56</v>
      </c>
      <c r="H162">
        <v>79760</v>
      </c>
      <c r="I162">
        <v>0</v>
      </c>
      <c r="J162">
        <v>0</v>
      </c>
      <c r="K162">
        <v>7524.5283018867904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25">
      <c r="A163" t="s">
        <v>53</v>
      </c>
      <c r="B163">
        <v>162</v>
      </c>
      <c r="C163" t="s">
        <v>408</v>
      </c>
      <c r="D163" t="s">
        <v>409</v>
      </c>
      <c r="E163" t="s">
        <v>405</v>
      </c>
      <c r="F163" t="s">
        <v>405</v>
      </c>
      <c r="G163" t="s">
        <v>56</v>
      </c>
      <c r="H163">
        <v>79760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25">
      <c r="A164" t="s">
        <v>53</v>
      </c>
      <c r="B164">
        <v>163</v>
      </c>
      <c r="C164" t="s">
        <v>410</v>
      </c>
      <c r="D164" t="s">
        <v>411</v>
      </c>
      <c r="E164" t="s">
        <v>405</v>
      </c>
      <c r="F164" t="s">
        <v>405</v>
      </c>
      <c r="G164" t="s">
        <v>56</v>
      </c>
      <c r="H164">
        <v>79760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25">
      <c r="A165" t="s">
        <v>53</v>
      </c>
      <c r="B165">
        <v>164</v>
      </c>
      <c r="C165" t="s">
        <v>412</v>
      </c>
      <c r="D165" t="s">
        <v>413</v>
      </c>
      <c r="E165" t="s">
        <v>405</v>
      </c>
      <c r="F165" t="s">
        <v>405</v>
      </c>
      <c r="G165" t="s">
        <v>56</v>
      </c>
      <c r="H165">
        <v>167873</v>
      </c>
      <c r="I165">
        <v>72.228888888888804</v>
      </c>
      <c r="J165">
        <v>2324.1808448450902</v>
      </c>
      <c r="K165">
        <v>2499.999984</v>
      </c>
      <c r="L165">
        <v>67.149200429754799</v>
      </c>
      <c r="M165">
        <v>-5.0796884591340001</v>
      </c>
      <c r="N165">
        <v>0.92967234388793896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25">
      <c r="A166" t="s">
        <v>53</v>
      </c>
      <c r="B166">
        <v>165</v>
      </c>
      <c r="C166" t="s">
        <v>414</v>
      </c>
      <c r="D166" t="s">
        <v>415</v>
      </c>
      <c r="E166" t="s">
        <v>405</v>
      </c>
      <c r="F166" t="s">
        <v>405</v>
      </c>
      <c r="G166" t="s">
        <v>56</v>
      </c>
      <c r="H166">
        <v>79760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25">
      <c r="A167" t="s">
        <v>53</v>
      </c>
      <c r="B167">
        <v>166</v>
      </c>
      <c r="C167" t="s">
        <v>416</v>
      </c>
      <c r="D167" t="s">
        <v>417</v>
      </c>
      <c r="E167" t="s">
        <v>418</v>
      </c>
      <c r="F167" t="s">
        <v>419</v>
      </c>
      <c r="G167" t="s">
        <v>269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25">
      <c r="A168" t="s">
        <v>53</v>
      </c>
      <c r="B168">
        <v>167</v>
      </c>
      <c r="C168" t="s">
        <v>420</v>
      </c>
      <c r="D168" t="s">
        <v>421</v>
      </c>
      <c r="E168" t="s">
        <v>418</v>
      </c>
      <c r="F168" t="s">
        <v>419</v>
      </c>
      <c r="G168" t="s">
        <v>269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25">
      <c r="A169" t="s">
        <v>53</v>
      </c>
      <c r="B169">
        <v>168</v>
      </c>
      <c r="C169" t="s">
        <v>422</v>
      </c>
      <c r="D169" t="s">
        <v>423</v>
      </c>
      <c r="E169" t="s">
        <v>418</v>
      </c>
      <c r="F169" t="s">
        <v>419</v>
      </c>
      <c r="G169" t="s">
        <v>269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25">
      <c r="A170" t="s">
        <v>424</v>
      </c>
      <c r="B170">
        <v>1</v>
      </c>
      <c r="C170" t="s">
        <v>425</v>
      </c>
      <c r="D170" t="s">
        <v>426</v>
      </c>
      <c r="E170" t="s">
        <v>427</v>
      </c>
      <c r="F170" t="s">
        <v>427</v>
      </c>
      <c r="G170" t="s">
        <v>59</v>
      </c>
      <c r="H170">
        <v>88113</v>
      </c>
      <c r="I170">
        <v>295.229166666666</v>
      </c>
      <c r="J170">
        <v>298.45628396019998</v>
      </c>
      <c r="K170">
        <v>190.965923849869</v>
      </c>
      <c r="L170">
        <v>461.40692655340501</v>
      </c>
      <c r="M170">
        <v>166.17775988673901</v>
      </c>
      <c r="N170">
        <v>1.56287717695035</v>
      </c>
      <c r="P170">
        <v>0</v>
      </c>
      <c r="Q170">
        <v>0</v>
      </c>
      <c r="R170">
        <v>0</v>
      </c>
      <c r="S170">
        <v>0</v>
      </c>
    </row>
    <row r="171" spans="1:19" x14ac:dyDescent="0.25">
      <c r="A171" t="s">
        <v>424</v>
      </c>
      <c r="B171">
        <v>2</v>
      </c>
      <c r="C171" t="s">
        <v>428</v>
      </c>
      <c r="D171" t="s">
        <v>429</v>
      </c>
      <c r="E171" t="s">
        <v>427</v>
      </c>
      <c r="F171" t="s">
        <v>427</v>
      </c>
      <c r="G171" t="s">
        <v>59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25">
      <c r="A172" t="s">
        <v>424</v>
      </c>
      <c r="B172">
        <v>3</v>
      </c>
      <c r="C172" t="s">
        <v>430</v>
      </c>
      <c r="D172" t="s">
        <v>431</v>
      </c>
      <c r="E172" t="s">
        <v>427</v>
      </c>
      <c r="F172" t="s">
        <v>427</v>
      </c>
      <c r="G172" t="s">
        <v>59</v>
      </c>
      <c r="H172">
        <v>88113</v>
      </c>
      <c r="I172">
        <v>295.229166666666</v>
      </c>
      <c r="J172">
        <v>298.45628396019998</v>
      </c>
      <c r="K172">
        <v>190.965923849869</v>
      </c>
      <c r="L172">
        <v>461.40692655340501</v>
      </c>
      <c r="M172">
        <v>166.17775988673901</v>
      </c>
      <c r="N172">
        <v>1.56287717695035</v>
      </c>
      <c r="P172">
        <v>0</v>
      </c>
      <c r="Q172">
        <v>0</v>
      </c>
      <c r="R172">
        <v>0</v>
      </c>
      <c r="S172">
        <v>0</v>
      </c>
    </row>
    <row r="173" spans="1:19" x14ac:dyDescent="0.25">
      <c r="A173" t="s">
        <v>424</v>
      </c>
      <c r="B173">
        <v>4</v>
      </c>
      <c r="C173" t="s">
        <v>432</v>
      </c>
      <c r="D173" t="s">
        <v>218</v>
      </c>
      <c r="E173" t="s">
        <v>427</v>
      </c>
      <c r="F173" t="s">
        <v>427</v>
      </c>
      <c r="G173" t="s">
        <v>59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25">
      <c r="A174" t="s">
        <v>424</v>
      </c>
      <c r="B174">
        <v>5</v>
      </c>
      <c r="C174" t="s">
        <v>433</v>
      </c>
      <c r="D174" t="s">
        <v>434</v>
      </c>
      <c r="E174" t="s">
        <v>427</v>
      </c>
      <c r="F174" t="s">
        <v>427</v>
      </c>
      <c r="G174" t="s">
        <v>59</v>
      </c>
      <c r="H174">
        <v>79760</v>
      </c>
      <c r="I174">
        <v>422.315</v>
      </c>
      <c r="J174">
        <v>188.86376283106199</v>
      </c>
      <c r="K174">
        <v>218.84373402363499</v>
      </c>
      <c r="L174">
        <v>364.460971916088</v>
      </c>
      <c r="M174">
        <v>-57.854028083911899</v>
      </c>
      <c r="N174">
        <v>0.86300740422691102</v>
      </c>
      <c r="P174">
        <v>0</v>
      </c>
      <c r="Q174">
        <v>0</v>
      </c>
      <c r="R174">
        <v>0</v>
      </c>
      <c r="S174">
        <v>0</v>
      </c>
    </row>
    <row r="175" spans="1:19" x14ac:dyDescent="0.25">
      <c r="A175" t="s">
        <v>424</v>
      </c>
      <c r="B175">
        <v>6</v>
      </c>
      <c r="C175" t="s">
        <v>435</v>
      </c>
      <c r="D175" t="s">
        <v>319</v>
      </c>
      <c r="E175" t="s">
        <v>427</v>
      </c>
      <c r="F175" t="s">
        <v>427</v>
      </c>
      <c r="G175" t="s">
        <v>59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25">
      <c r="A176" t="s">
        <v>424</v>
      </c>
      <c r="B176">
        <v>7</v>
      </c>
      <c r="C176" t="s">
        <v>436</v>
      </c>
      <c r="D176" t="s">
        <v>398</v>
      </c>
      <c r="E176" t="s">
        <v>427</v>
      </c>
      <c r="F176" t="s">
        <v>427</v>
      </c>
      <c r="G176" t="s">
        <v>59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25">
      <c r="A177" t="s">
        <v>424</v>
      </c>
      <c r="B177">
        <v>8</v>
      </c>
      <c r="C177" t="s">
        <v>437</v>
      </c>
      <c r="D177" t="s">
        <v>405</v>
      </c>
      <c r="E177" t="s">
        <v>427</v>
      </c>
      <c r="F177" t="s">
        <v>427</v>
      </c>
      <c r="G177" t="s">
        <v>59</v>
      </c>
      <c r="H177">
        <v>79760</v>
      </c>
      <c r="I177">
        <v>119.32833333333301</v>
      </c>
      <c r="J177">
        <v>668.40789418551003</v>
      </c>
      <c r="K177">
        <v>507.54314868851202</v>
      </c>
      <c r="L177">
        <v>157.14920042975399</v>
      </c>
      <c r="M177">
        <v>37.820867096421502</v>
      </c>
      <c r="N177">
        <v>1.3169479204136001</v>
      </c>
      <c r="P177">
        <v>0</v>
      </c>
      <c r="Q177">
        <v>0</v>
      </c>
      <c r="R177">
        <v>0</v>
      </c>
      <c r="S177">
        <v>0</v>
      </c>
    </row>
    <row r="178" spans="1:19" x14ac:dyDescent="0.25">
      <c r="A178" t="s">
        <v>424</v>
      </c>
      <c r="B178">
        <v>9</v>
      </c>
      <c r="C178" t="s">
        <v>438</v>
      </c>
      <c r="D178" t="s">
        <v>418</v>
      </c>
      <c r="E178" t="s">
        <v>427</v>
      </c>
      <c r="F178" t="s">
        <v>427</v>
      </c>
      <c r="G178" t="s">
        <v>269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25">
      <c r="A179" t="s">
        <v>424</v>
      </c>
      <c r="B179">
        <v>10</v>
      </c>
      <c r="C179" t="s">
        <v>439</v>
      </c>
      <c r="D179" t="s">
        <v>440</v>
      </c>
      <c r="E179" t="s">
        <v>427</v>
      </c>
      <c r="F179" t="s">
        <v>427</v>
      </c>
      <c r="G179" t="s">
        <v>59</v>
      </c>
      <c r="H179">
        <v>167873</v>
      </c>
      <c r="I179">
        <v>836.87249999999995</v>
      </c>
      <c r="J179">
        <v>200.595670188708</v>
      </c>
      <c r="K179">
        <v>170.773224787217</v>
      </c>
      <c r="L179">
        <v>983.01709889924905</v>
      </c>
      <c r="M179">
        <v>146.14459889924899</v>
      </c>
      <c r="N179">
        <v>1.1746318571816401</v>
      </c>
      <c r="P179">
        <v>0</v>
      </c>
      <c r="Q179">
        <v>0</v>
      </c>
      <c r="R179">
        <v>0</v>
      </c>
      <c r="S179">
        <v>0</v>
      </c>
    </row>
    <row r="180" spans="1:19" x14ac:dyDescent="0.25">
      <c r="A180" t="s">
        <v>441</v>
      </c>
      <c r="B180">
        <v>1</v>
      </c>
      <c r="C180" t="s">
        <v>442</v>
      </c>
      <c r="D180" t="s">
        <v>13</v>
      </c>
      <c r="E180" t="s">
        <v>443</v>
      </c>
      <c r="F180" t="s">
        <v>443</v>
      </c>
      <c r="G180" t="s">
        <v>59</v>
      </c>
      <c r="H180">
        <v>88113</v>
      </c>
      <c r="I180">
        <v>295.229166666666</v>
      </c>
      <c r="J180">
        <v>298.45628396019998</v>
      </c>
      <c r="K180">
        <v>190.965923849869</v>
      </c>
      <c r="L180">
        <v>461.40692655340501</v>
      </c>
      <c r="M180">
        <v>166.17775988673901</v>
      </c>
      <c r="N180">
        <v>1.56287717695035</v>
      </c>
      <c r="P180">
        <v>0</v>
      </c>
      <c r="Q180">
        <v>0</v>
      </c>
      <c r="R180">
        <v>0</v>
      </c>
      <c r="S180">
        <v>0</v>
      </c>
    </row>
    <row r="181" spans="1:19" x14ac:dyDescent="0.25">
      <c r="A181" t="s">
        <v>441</v>
      </c>
      <c r="B181">
        <v>2</v>
      </c>
      <c r="C181" t="s">
        <v>444</v>
      </c>
      <c r="D181" t="s">
        <v>445</v>
      </c>
      <c r="E181" t="s">
        <v>443</v>
      </c>
      <c r="F181" t="s">
        <v>443</v>
      </c>
      <c r="G181" t="s">
        <v>59</v>
      </c>
      <c r="H181">
        <v>79760</v>
      </c>
      <c r="I181">
        <v>422.315</v>
      </c>
      <c r="J181">
        <v>188.86376283106199</v>
      </c>
      <c r="K181">
        <v>218.84373402363499</v>
      </c>
      <c r="L181">
        <v>364.460971916088</v>
      </c>
      <c r="M181">
        <v>-57.854028083911899</v>
      </c>
      <c r="N181">
        <v>0.86300740422691102</v>
      </c>
      <c r="P181">
        <v>0</v>
      </c>
      <c r="Q181">
        <v>0</v>
      </c>
      <c r="R181">
        <v>0</v>
      </c>
      <c r="S181">
        <v>0</v>
      </c>
    </row>
    <row r="182" spans="1:19" x14ac:dyDescent="0.25">
      <c r="A182" t="s">
        <v>441</v>
      </c>
      <c r="B182">
        <v>3</v>
      </c>
      <c r="C182" t="s">
        <v>446</v>
      </c>
      <c r="D182" t="s">
        <v>319</v>
      </c>
      <c r="E182" t="s">
        <v>443</v>
      </c>
      <c r="F182" t="s">
        <v>443</v>
      </c>
      <c r="G182" t="s">
        <v>59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25">
      <c r="A183" t="s">
        <v>441</v>
      </c>
      <c r="B183">
        <v>4</v>
      </c>
      <c r="C183" t="s">
        <v>447</v>
      </c>
      <c r="D183" t="s">
        <v>405</v>
      </c>
      <c r="E183" t="s">
        <v>443</v>
      </c>
      <c r="F183" t="s">
        <v>443</v>
      </c>
      <c r="G183" t="s">
        <v>59</v>
      </c>
      <c r="H183">
        <v>79760</v>
      </c>
      <c r="I183">
        <v>119.32833333333301</v>
      </c>
      <c r="J183">
        <v>668.40789418551003</v>
      </c>
      <c r="K183">
        <v>507.54314868851202</v>
      </c>
      <c r="L183">
        <v>157.14920042975399</v>
      </c>
      <c r="M183">
        <v>37.820867096421502</v>
      </c>
      <c r="N183">
        <v>1.3169479204136001</v>
      </c>
      <c r="P183">
        <v>0</v>
      </c>
      <c r="Q183">
        <v>0</v>
      </c>
      <c r="R183">
        <v>0</v>
      </c>
      <c r="S183">
        <v>0</v>
      </c>
    </row>
    <row r="184" spans="1:19" x14ac:dyDescent="0.25">
      <c r="A184" t="s">
        <v>441</v>
      </c>
      <c r="B184">
        <v>5</v>
      </c>
      <c r="C184" t="s">
        <v>448</v>
      </c>
      <c r="D184" t="s">
        <v>418</v>
      </c>
      <c r="E184" t="s">
        <v>443</v>
      </c>
      <c r="F184" t="s">
        <v>443</v>
      </c>
      <c r="G184" t="s">
        <v>269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25">
      <c r="A185" t="s">
        <v>441</v>
      </c>
      <c r="B185">
        <v>6</v>
      </c>
      <c r="C185" t="s">
        <v>449</v>
      </c>
      <c r="D185" t="s">
        <v>440</v>
      </c>
      <c r="E185" t="s">
        <v>443</v>
      </c>
      <c r="F185" t="s">
        <v>443</v>
      </c>
      <c r="G185" t="s">
        <v>59</v>
      </c>
      <c r="H185">
        <v>167873</v>
      </c>
      <c r="I185">
        <v>836.87249999999995</v>
      </c>
      <c r="J185">
        <v>200.595670188708</v>
      </c>
      <c r="K185">
        <v>170.773224787217</v>
      </c>
      <c r="L185">
        <v>983.01709889924905</v>
      </c>
      <c r="M185">
        <v>146.14459889924899</v>
      </c>
      <c r="N185">
        <v>1.1746318571816401</v>
      </c>
      <c r="P185">
        <v>0</v>
      </c>
      <c r="Q185">
        <v>0</v>
      </c>
      <c r="R185">
        <v>0</v>
      </c>
      <c r="S185">
        <v>0</v>
      </c>
    </row>
    <row r="186" spans="1:19" x14ac:dyDescent="0.25">
      <c r="A186" t="s">
        <v>33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S186"/>
  <sheetViews>
    <sheetView workbookViewId="0">
      <selection sqref="A1:A1048576"/>
    </sheetView>
  </sheetViews>
  <sheetFormatPr defaultRowHeight="15" x14ac:dyDescent="0.25"/>
  <cols>
    <col min="1" max="1" width="18.140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9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</row>
    <row r="2" spans="1:19" x14ac:dyDescent="0.25">
      <c r="A2" t="s">
        <v>53</v>
      </c>
      <c r="B2">
        <v>1</v>
      </c>
      <c r="C2" t="s">
        <v>54</v>
      </c>
      <c r="D2" t="s">
        <v>6</v>
      </c>
      <c r="E2" t="s">
        <v>13</v>
      </c>
      <c r="F2" t="s">
        <v>55</v>
      </c>
      <c r="G2" t="s">
        <v>56</v>
      </c>
      <c r="H2">
        <v>64078</v>
      </c>
      <c r="I2">
        <v>27.071111111111101</v>
      </c>
      <c r="J2">
        <v>2367.0251190280701</v>
      </c>
      <c r="K2">
        <v>995.00000399999999</v>
      </c>
      <c r="L2">
        <v>64.399999741105503</v>
      </c>
      <c r="M2">
        <v>37.328888629994402</v>
      </c>
      <c r="N2">
        <v>2.3789197080526501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25">
      <c r="A3" t="s">
        <v>53</v>
      </c>
      <c r="B3">
        <v>2</v>
      </c>
      <c r="C3" t="s">
        <v>57</v>
      </c>
      <c r="D3" t="s">
        <v>58</v>
      </c>
      <c r="E3" t="s">
        <v>13</v>
      </c>
      <c r="F3" t="s">
        <v>55</v>
      </c>
      <c r="G3" t="s">
        <v>59</v>
      </c>
      <c r="H3">
        <v>2116</v>
      </c>
      <c r="I3">
        <v>2.0972222222222201</v>
      </c>
      <c r="J3">
        <v>1008.9536423841</v>
      </c>
      <c r="K3">
        <v>275.00000399999999</v>
      </c>
      <c r="L3">
        <v>7.6945453426247896</v>
      </c>
      <c r="M3">
        <v>5.59732312040257</v>
      </c>
      <c r="N3">
        <v>3.6689222825760601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25">
      <c r="A4" t="s">
        <v>53</v>
      </c>
      <c r="B4">
        <v>3</v>
      </c>
      <c r="C4" t="s">
        <v>60</v>
      </c>
      <c r="D4" t="s">
        <v>61</v>
      </c>
      <c r="E4" t="s">
        <v>13</v>
      </c>
      <c r="F4" t="s">
        <v>55</v>
      </c>
      <c r="G4" t="s">
        <v>59</v>
      </c>
      <c r="H4">
        <v>1993</v>
      </c>
      <c r="I4">
        <v>5.4247222222222202</v>
      </c>
      <c r="J4">
        <v>367.39208356802698</v>
      </c>
      <c r="K4">
        <v>101.999988</v>
      </c>
      <c r="L4">
        <v>19.539217985006001</v>
      </c>
      <c r="M4">
        <v>14.1144957627838</v>
      </c>
      <c r="N4">
        <v>3.6018835959865698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25">
      <c r="A5" t="s">
        <v>53</v>
      </c>
      <c r="B5">
        <v>4</v>
      </c>
      <c r="C5" t="s">
        <v>62</v>
      </c>
      <c r="D5" t="s">
        <v>63</v>
      </c>
      <c r="E5" t="s">
        <v>13</v>
      </c>
      <c r="F5" t="s">
        <v>55</v>
      </c>
      <c r="G5" t="s">
        <v>59</v>
      </c>
      <c r="H5">
        <v>0</v>
      </c>
      <c r="I5">
        <v>0</v>
      </c>
      <c r="J5">
        <v>0</v>
      </c>
      <c r="K5">
        <v>52.999991999999999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25">
      <c r="A6" t="s">
        <v>53</v>
      </c>
      <c r="B6">
        <v>5</v>
      </c>
      <c r="C6" t="s">
        <v>64</v>
      </c>
      <c r="D6" t="s">
        <v>65</v>
      </c>
      <c r="E6" t="s">
        <v>13</v>
      </c>
      <c r="F6" t="s">
        <v>55</v>
      </c>
      <c r="G6" t="s">
        <v>59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25">
      <c r="A7" t="s">
        <v>53</v>
      </c>
      <c r="B7">
        <v>6</v>
      </c>
      <c r="C7" t="s">
        <v>66</v>
      </c>
      <c r="D7" t="s">
        <v>67</v>
      </c>
      <c r="E7" t="s">
        <v>13</v>
      </c>
      <c r="F7" t="s">
        <v>55</v>
      </c>
      <c r="G7" t="s">
        <v>59</v>
      </c>
      <c r="H7">
        <v>4109</v>
      </c>
      <c r="I7">
        <v>7.5219444444444399</v>
      </c>
      <c r="J7">
        <v>546.26832600908403</v>
      </c>
      <c r="K7">
        <v>150.87889068313501</v>
      </c>
      <c r="L7">
        <v>27.2337633276308</v>
      </c>
      <c r="M7">
        <v>19.7118188831863</v>
      </c>
      <c r="N7">
        <v>3.6205749096890898</v>
      </c>
      <c r="P7">
        <v>0</v>
      </c>
      <c r="Q7">
        <v>0</v>
      </c>
      <c r="R7">
        <v>0</v>
      </c>
      <c r="S7">
        <v>0</v>
      </c>
    </row>
    <row r="8" spans="1:19" x14ac:dyDescent="0.25">
      <c r="A8" t="s">
        <v>53</v>
      </c>
      <c r="B8">
        <v>7</v>
      </c>
      <c r="C8" t="s">
        <v>68</v>
      </c>
      <c r="D8" t="s">
        <v>69</v>
      </c>
      <c r="E8" t="s">
        <v>13</v>
      </c>
      <c r="F8" t="s">
        <v>55</v>
      </c>
      <c r="G8" t="s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25">
      <c r="A9" t="s">
        <v>53</v>
      </c>
      <c r="B9">
        <v>8</v>
      </c>
      <c r="C9" t="s">
        <v>70</v>
      </c>
      <c r="D9" t="s">
        <v>71</v>
      </c>
      <c r="E9" t="s">
        <v>13</v>
      </c>
      <c r="F9" t="s">
        <v>55</v>
      </c>
      <c r="G9" t="s">
        <v>59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25">
      <c r="A10" t="s">
        <v>53</v>
      </c>
      <c r="B10">
        <v>9</v>
      </c>
      <c r="C10" t="s">
        <v>72</v>
      </c>
      <c r="D10" t="s">
        <v>73</v>
      </c>
      <c r="E10" t="s">
        <v>13</v>
      </c>
      <c r="F10" t="s">
        <v>55</v>
      </c>
      <c r="G10" t="s">
        <v>59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25">
      <c r="A11" t="s">
        <v>53</v>
      </c>
      <c r="B11">
        <v>10</v>
      </c>
      <c r="C11" t="s">
        <v>74</v>
      </c>
      <c r="D11" t="s">
        <v>75</v>
      </c>
      <c r="E11" t="s">
        <v>13</v>
      </c>
      <c r="F11" t="s">
        <v>55</v>
      </c>
      <c r="G11" t="s">
        <v>59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25">
      <c r="A12" t="s">
        <v>53</v>
      </c>
      <c r="B12">
        <v>11</v>
      </c>
      <c r="C12" t="s">
        <v>76</v>
      </c>
      <c r="D12" t="s">
        <v>77</v>
      </c>
      <c r="E12" t="s">
        <v>13</v>
      </c>
      <c r="F12" t="s">
        <v>55</v>
      </c>
      <c r="G12" t="s">
        <v>59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25">
      <c r="A13" t="s">
        <v>53</v>
      </c>
      <c r="B13">
        <v>12</v>
      </c>
      <c r="C13" t="s">
        <v>78</v>
      </c>
      <c r="D13" t="s">
        <v>79</v>
      </c>
      <c r="E13" t="s">
        <v>13</v>
      </c>
      <c r="F13" t="s">
        <v>55</v>
      </c>
      <c r="G13" t="s">
        <v>80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25">
      <c r="A14" t="s">
        <v>53</v>
      </c>
      <c r="B14">
        <v>13</v>
      </c>
      <c r="C14" t="s">
        <v>81</v>
      </c>
      <c r="D14" t="s">
        <v>7</v>
      </c>
      <c r="E14" t="s">
        <v>13</v>
      </c>
      <c r="F14" t="s">
        <v>55</v>
      </c>
      <c r="G14" t="s">
        <v>80</v>
      </c>
      <c r="H14">
        <v>4032</v>
      </c>
      <c r="I14">
        <v>3.6158333333333301</v>
      </c>
      <c r="J14">
        <v>1115.09564415764</v>
      </c>
      <c r="K14">
        <v>524.99998800000003</v>
      </c>
      <c r="L14">
        <v>7.68000017554286</v>
      </c>
      <c r="M14">
        <v>4.0641668422095201</v>
      </c>
      <c r="N14">
        <v>2.1239917517057898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25">
      <c r="A15" t="s">
        <v>53</v>
      </c>
      <c r="B15">
        <v>14</v>
      </c>
      <c r="C15" t="s">
        <v>82</v>
      </c>
      <c r="D15" t="s">
        <v>83</v>
      </c>
      <c r="E15" t="s">
        <v>13</v>
      </c>
      <c r="F15" t="s">
        <v>55</v>
      </c>
      <c r="G15" t="s">
        <v>84</v>
      </c>
      <c r="H15">
        <v>50</v>
      </c>
      <c r="I15">
        <v>3.6427777777777699</v>
      </c>
      <c r="J15">
        <v>13.7257892328808</v>
      </c>
      <c r="K15">
        <v>11.999988</v>
      </c>
      <c r="L15">
        <v>4.1666708333375002</v>
      </c>
      <c r="M15">
        <v>0.52389305555972199</v>
      </c>
      <c r="N15">
        <v>1.14381691322365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25">
      <c r="A16" t="s">
        <v>53</v>
      </c>
      <c r="B16">
        <v>15</v>
      </c>
      <c r="C16" t="s">
        <v>85</v>
      </c>
      <c r="D16" t="s">
        <v>86</v>
      </c>
      <c r="E16" t="s">
        <v>13</v>
      </c>
      <c r="F16" t="s">
        <v>55</v>
      </c>
      <c r="G16" t="s">
        <v>56</v>
      </c>
      <c r="H16">
        <v>64078</v>
      </c>
      <c r="I16">
        <v>37.674166666666601</v>
      </c>
      <c r="J16">
        <v>1700.8471764471601</v>
      </c>
      <c r="K16">
        <v>2000.00001599999</v>
      </c>
      <c r="L16">
        <v>32.038999743688002</v>
      </c>
      <c r="M16">
        <v>-5.6351669229786596</v>
      </c>
      <c r="N16">
        <v>0.85042358142019503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25">
      <c r="A17" t="s">
        <v>53</v>
      </c>
      <c r="B17">
        <v>16</v>
      </c>
      <c r="C17" t="s">
        <v>87</v>
      </c>
      <c r="D17" t="s">
        <v>88</v>
      </c>
      <c r="E17" t="s">
        <v>13</v>
      </c>
      <c r="F17" t="s">
        <v>55</v>
      </c>
      <c r="G17" t="s">
        <v>59</v>
      </c>
      <c r="H17">
        <v>64078</v>
      </c>
      <c r="I17">
        <v>79.525833333333296</v>
      </c>
      <c r="J17">
        <v>805.75075185212302</v>
      </c>
      <c r="K17">
        <v>472.83255392354198</v>
      </c>
      <c r="L17">
        <v>135.51943382130401</v>
      </c>
      <c r="M17">
        <v>55.993600487971399</v>
      </c>
      <c r="N17">
        <v>1.7040932253205501</v>
      </c>
      <c r="P17">
        <v>0</v>
      </c>
      <c r="Q17">
        <v>0</v>
      </c>
      <c r="R17">
        <v>0</v>
      </c>
      <c r="S17">
        <v>0</v>
      </c>
    </row>
    <row r="18" spans="1:19" x14ac:dyDescent="0.25">
      <c r="A18" t="s">
        <v>53</v>
      </c>
      <c r="B18">
        <v>17</v>
      </c>
      <c r="C18" t="s">
        <v>89</v>
      </c>
      <c r="D18" t="s">
        <v>90</v>
      </c>
      <c r="E18" t="s">
        <v>13</v>
      </c>
      <c r="F18" t="s">
        <v>91</v>
      </c>
      <c r="G18" t="s">
        <v>80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25">
      <c r="A19" t="s">
        <v>53</v>
      </c>
      <c r="B19">
        <v>18</v>
      </c>
      <c r="C19" t="s">
        <v>92</v>
      </c>
      <c r="D19" t="s">
        <v>93</v>
      </c>
      <c r="E19" t="s">
        <v>13</v>
      </c>
      <c r="F19" t="s">
        <v>91</v>
      </c>
      <c r="G19" t="s">
        <v>59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25">
      <c r="A20" t="s">
        <v>53</v>
      </c>
      <c r="B20">
        <v>19</v>
      </c>
      <c r="C20" t="s">
        <v>94</v>
      </c>
      <c r="D20" t="s">
        <v>95</v>
      </c>
      <c r="E20" t="s">
        <v>13</v>
      </c>
      <c r="F20" t="s">
        <v>91</v>
      </c>
      <c r="G20" t="s">
        <v>59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25">
      <c r="A21" t="s">
        <v>53</v>
      </c>
      <c r="B21">
        <v>20</v>
      </c>
      <c r="C21" t="s">
        <v>96</v>
      </c>
      <c r="D21" t="s">
        <v>97</v>
      </c>
      <c r="E21" t="s">
        <v>13</v>
      </c>
      <c r="F21" t="s">
        <v>91</v>
      </c>
      <c r="G21" t="s">
        <v>59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25">
      <c r="A22" t="s">
        <v>53</v>
      </c>
      <c r="B22">
        <v>21</v>
      </c>
      <c r="C22" t="s">
        <v>98</v>
      </c>
      <c r="D22" t="s">
        <v>99</v>
      </c>
      <c r="E22" t="s">
        <v>13</v>
      </c>
      <c r="F22" t="s">
        <v>91</v>
      </c>
      <c r="G22" t="s">
        <v>59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25">
      <c r="A23" t="s">
        <v>53</v>
      </c>
      <c r="B23">
        <v>22</v>
      </c>
      <c r="C23" t="s">
        <v>100</v>
      </c>
      <c r="D23" t="s">
        <v>101</v>
      </c>
      <c r="E23" t="s">
        <v>13</v>
      </c>
      <c r="F23" t="s">
        <v>91</v>
      </c>
      <c r="G23" t="s">
        <v>59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25">
      <c r="A24" t="s">
        <v>53</v>
      </c>
      <c r="B24">
        <v>23</v>
      </c>
      <c r="C24" t="s">
        <v>102</v>
      </c>
      <c r="D24" t="s">
        <v>103</v>
      </c>
      <c r="E24" t="s">
        <v>13</v>
      </c>
      <c r="F24" t="s">
        <v>91</v>
      </c>
      <c r="G24" t="s">
        <v>80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25">
      <c r="A25" t="s">
        <v>53</v>
      </c>
      <c r="B25">
        <v>24</v>
      </c>
      <c r="C25" t="s">
        <v>104</v>
      </c>
      <c r="D25" t="s">
        <v>105</v>
      </c>
      <c r="E25" t="s">
        <v>13</v>
      </c>
      <c r="F25" t="s">
        <v>91</v>
      </c>
      <c r="G25" t="s">
        <v>84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25">
      <c r="A26" t="s">
        <v>53</v>
      </c>
      <c r="B26">
        <v>25</v>
      </c>
      <c r="C26" t="s">
        <v>106</v>
      </c>
      <c r="D26" t="s">
        <v>107</v>
      </c>
      <c r="E26" t="s">
        <v>13</v>
      </c>
      <c r="F26" t="s">
        <v>91</v>
      </c>
      <c r="G26" t="s">
        <v>56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25">
      <c r="A27" t="s">
        <v>53</v>
      </c>
      <c r="B27">
        <v>26</v>
      </c>
      <c r="C27" t="s">
        <v>108</v>
      </c>
      <c r="D27" t="s">
        <v>109</v>
      </c>
      <c r="E27" t="s">
        <v>13</v>
      </c>
      <c r="F27" t="s">
        <v>91</v>
      </c>
      <c r="G27" t="s">
        <v>59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25">
      <c r="A28" t="s">
        <v>53</v>
      </c>
      <c r="B28">
        <v>27</v>
      </c>
      <c r="C28" t="s">
        <v>110</v>
      </c>
      <c r="D28" t="s">
        <v>111</v>
      </c>
      <c r="E28" t="s">
        <v>13</v>
      </c>
      <c r="F28" t="s">
        <v>112</v>
      </c>
      <c r="G28" t="s">
        <v>59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25">
      <c r="A29" t="s">
        <v>53</v>
      </c>
      <c r="B29">
        <v>28</v>
      </c>
      <c r="C29" t="s">
        <v>113</v>
      </c>
      <c r="D29" t="s">
        <v>114</v>
      </c>
      <c r="E29" t="s">
        <v>13</v>
      </c>
      <c r="F29" t="s">
        <v>112</v>
      </c>
      <c r="G29" t="s">
        <v>59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25">
      <c r="A30" t="s">
        <v>53</v>
      </c>
      <c r="B30">
        <v>29</v>
      </c>
      <c r="C30" t="s">
        <v>115</v>
      </c>
      <c r="D30" t="s">
        <v>116</v>
      </c>
      <c r="E30" t="s">
        <v>13</v>
      </c>
      <c r="F30" t="s">
        <v>112</v>
      </c>
      <c r="G30" t="s">
        <v>59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25">
      <c r="A31" t="s">
        <v>53</v>
      </c>
      <c r="B31">
        <v>30</v>
      </c>
      <c r="C31" t="s">
        <v>117</v>
      </c>
      <c r="D31" t="s">
        <v>118</v>
      </c>
      <c r="E31" t="s">
        <v>13</v>
      </c>
      <c r="F31" t="s">
        <v>112</v>
      </c>
      <c r="G31" t="s">
        <v>59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25">
      <c r="A32" t="s">
        <v>53</v>
      </c>
      <c r="B32">
        <v>31</v>
      </c>
      <c r="C32" t="s">
        <v>119</v>
      </c>
      <c r="D32" t="s">
        <v>120</v>
      </c>
      <c r="E32" t="s">
        <v>13</v>
      </c>
      <c r="F32" t="s">
        <v>112</v>
      </c>
      <c r="G32" t="s">
        <v>59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25">
      <c r="A33" t="s">
        <v>53</v>
      </c>
      <c r="B33">
        <v>32</v>
      </c>
      <c r="C33" t="s">
        <v>121</v>
      </c>
      <c r="D33" t="s">
        <v>122</v>
      </c>
      <c r="E33" t="s">
        <v>13</v>
      </c>
      <c r="F33" t="s">
        <v>112</v>
      </c>
      <c r="G33" t="s">
        <v>59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25">
      <c r="A34" t="s">
        <v>53</v>
      </c>
      <c r="B34">
        <v>33</v>
      </c>
      <c r="C34" t="s">
        <v>123</v>
      </c>
      <c r="D34" t="s">
        <v>124</v>
      </c>
      <c r="E34" t="s">
        <v>13</v>
      </c>
      <c r="F34" t="s">
        <v>112</v>
      </c>
      <c r="G34" t="s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25">
      <c r="A35" t="s">
        <v>53</v>
      </c>
      <c r="B35">
        <v>34</v>
      </c>
      <c r="C35" t="s">
        <v>125</v>
      </c>
      <c r="D35" t="s">
        <v>126</v>
      </c>
      <c r="E35" t="s">
        <v>13</v>
      </c>
      <c r="F35" t="s">
        <v>112</v>
      </c>
      <c r="G35" t="s">
        <v>56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25">
      <c r="A36" t="s">
        <v>53</v>
      </c>
      <c r="B36">
        <v>35</v>
      </c>
      <c r="C36" t="s">
        <v>127</v>
      </c>
      <c r="D36" t="s">
        <v>128</v>
      </c>
      <c r="E36" t="s">
        <v>13</v>
      </c>
      <c r="F36" t="s">
        <v>112</v>
      </c>
      <c r="G36" t="s">
        <v>56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25">
      <c r="A37" t="s">
        <v>53</v>
      </c>
      <c r="B37">
        <v>36</v>
      </c>
      <c r="C37" t="s">
        <v>129</v>
      </c>
      <c r="D37" t="s">
        <v>130</v>
      </c>
      <c r="E37" t="s">
        <v>13</v>
      </c>
      <c r="F37" t="s">
        <v>131</v>
      </c>
      <c r="G37" t="s">
        <v>59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25">
      <c r="A38" t="s">
        <v>53</v>
      </c>
      <c r="B38">
        <v>37</v>
      </c>
      <c r="C38" t="s">
        <v>132</v>
      </c>
      <c r="D38" t="s">
        <v>133</v>
      </c>
      <c r="E38" t="s">
        <v>13</v>
      </c>
      <c r="F38" t="s">
        <v>131</v>
      </c>
      <c r="G38" t="s">
        <v>59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25">
      <c r="A39" t="s">
        <v>53</v>
      </c>
      <c r="B39">
        <v>38</v>
      </c>
      <c r="C39" t="s">
        <v>134</v>
      </c>
      <c r="D39" t="s">
        <v>135</v>
      </c>
      <c r="E39" t="s">
        <v>13</v>
      </c>
      <c r="F39" t="s">
        <v>131</v>
      </c>
      <c r="G39" t="s">
        <v>59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25">
      <c r="A40" t="s">
        <v>53</v>
      </c>
      <c r="B40">
        <v>39</v>
      </c>
      <c r="C40" t="s">
        <v>136</v>
      </c>
      <c r="D40" t="s">
        <v>137</v>
      </c>
      <c r="E40" t="s">
        <v>13</v>
      </c>
      <c r="F40" t="s">
        <v>131</v>
      </c>
      <c r="G40" t="s">
        <v>59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25">
      <c r="A41" t="s">
        <v>53</v>
      </c>
      <c r="B41">
        <v>40</v>
      </c>
      <c r="C41" t="s">
        <v>138</v>
      </c>
      <c r="D41" t="s">
        <v>139</v>
      </c>
      <c r="E41" t="s">
        <v>13</v>
      </c>
      <c r="F41" t="s">
        <v>131</v>
      </c>
      <c r="G41" t="s">
        <v>59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25">
      <c r="A42" t="s">
        <v>53</v>
      </c>
      <c r="B42">
        <v>41</v>
      </c>
      <c r="C42" t="s">
        <v>140</v>
      </c>
      <c r="D42" t="s">
        <v>141</v>
      </c>
      <c r="E42" t="s">
        <v>13</v>
      </c>
      <c r="F42" t="s">
        <v>131</v>
      </c>
      <c r="G42" t="s">
        <v>80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25">
      <c r="A43" t="s">
        <v>53</v>
      </c>
      <c r="B43">
        <v>42</v>
      </c>
      <c r="C43" t="s">
        <v>142</v>
      </c>
      <c r="D43" t="s">
        <v>143</v>
      </c>
      <c r="E43" t="s">
        <v>13</v>
      </c>
      <c r="F43" t="s">
        <v>131</v>
      </c>
      <c r="G43" t="s">
        <v>84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25">
      <c r="A44" t="s">
        <v>53</v>
      </c>
      <c r="B44">
        <v>43</v>
      </c>
      <c r="C44" t="s">
        <v>144</v>
      </c>
      <c r="D44" t="s">
        <v>145</v>
      </c>
      <c r="E44" t="s">
        <v>13</v>
      </c>
      <c r="F44" t="s">
        <v>131</v>
      </c>
      <c r="G44" t="s">
        <v>59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25">
      <c r="A45" t="s">
        <v>53</v>
      </c>
      <c r="B45">
        <v>44</v>
      </c>
      <c r="C45" t="s">
        <v>146</v>
      </c>
      <c r="D45" t="s">
        <v>147</v>
      </c>
      <c r="E45" t="s">
        <v>13</v>
      </c>
      <c r="F45" t="s">
        <v>131</v>
      </c>
      <c r="G45" t="s">
        <v>59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25">
      <c r="A46" t="s">
        <v>53</v>
      </c>
      <c r="B46">
        <v>45</v>
      </c>
      <c r="C46" t="s">
        <v>148</v>
      </c>
      <c r="D46" t="s">
        <v>149</v>
      </c>
      <c r="E46" t="s">
        <v>13</v>
      </c>
      <c r="F46" t="s">
        <v>150</v>
      </c>
      <c r="G46" t="s">
        <v>80</v>
      </c>
      <c r="H46">
        <v>4549</v>
      </c>
      <c r="I46">
        <v>76.407777777777696</v>
      </c>
      <c r="J46">
        <v>59.535823869006897</v>
      </c>
      <c r="K46">
        <v>86.000004000000004</v>
      </c>
      <c r="L46">
        <v>52.895346376960603</v>
      </c>
      <c r="M46">
        <v>-23.5124314008171</v>
      </c>
      <c r="N46">
        <v>0.69227698953370898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25">
      <c r="A47" t="s">
        <v>53</v>
      </c>
      <c r="B47">
        <v>46</v>
      </c>
      <c r="C47" t="s">
        <v>151</v>
      </c>
      <c r="D47" t="s">
        <v>152</v>
      </c>
      <c r="E47" t="s">
        <v>13</v>
      </c>
      <c r="F47" t="s">
        <v>150</v>
      </c>
      <c r="G47" t="s">
        <v>153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25">
      <c r="A48" t="s">
        <v>53</v>
      </c>
      <c r="B48">
        <v>47</v>
      </c>
      <c r="C48" t="s">
        <v>154</v>
      </c>
      <c r="D48" t="s">
        <v>155</v>
      </c>
      <c r="E48" t="s">
        <v>13</v>
      </c>
      <c r="F48" t="s">
        <v>150</v>
      </c>
      <c r="G48" t="s">
        <v>84</v>
      </c>
      <c r="H48">
        <v>31</v>
      </c>
      <c r="I48">
        <v>5.9225000000000003</v>
      </c>
      <c r="J48">
        <v>5.2342760658505698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25">
      <c r="A49" t="s">
        <v>53</v>
      </c>
      <c r="B49">
        <v>48</v>
      </c>
      <c r="C49" t="s">
        <v>156</v>
      </c>
      <c r="D49" t="s">
        <v>157</v>
      </c>
      <c r="E49" t="s">
        <v>13</v>
      </c>
      <c r="F49" t="s">
        <v>150</v>
      </c>
      <c r="G49" t="s">
        <v>158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25">
      <c r="A50" t="s">
        <v>53</v>
      </c>
      <c r="B50">
        <v>49</v>
      </c>
      <c r="C50" t="s">
        <v>159</v>
      </c>
      <c r="D50" t="s">
        <v>160</v>
      </c>
      <c r="E50" t="s">
        <v>13</v>
      </c>
      <c r="F50" t="s">
        <v>150</v>
      </c>
      <c r="G50" t="s">
        <v>56</v>
      </c>
      <c r="H50">
        <v>147443</v>
      </c>
      <c r="I50">
        <v>38.935277777777699</v>
      </c>
      <c r="J50">
        <v>3786.87422859874</v>
      </c>
      <c r="K50">
        <v>15000.0000119999</v>
      </c>
      <c r="L50">
        <v>9.8295333254697006</v>
      </c>
      <c r="M50">
        <v>-29.105744452307999</v>
      </c>
      <c r="N50">
        <v>0.25245828170461598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25">
      <c r="A51" t="s">
        <v>53</v>
      </c>
      <c r="B51">
        <v>50</v>
      </c>
      <c r="C51" t="s">
        <v>161</v>
      </c>
      <c r="D51" t="s">
        <v>162</v>
      </c>
      <c r="E51" t="s">
        <v>13</v>
      </c>
      <c r="F51" t="s">
        <v>150</v>
      </c>
      <c r="G51" t="s">
        <v>56</v>
      </c>
      <c r="H51">
        <v>147443</v>
      </c>
      <c r="I51">
        <v>121.265555555555</v>
      </c>
      <c r="J51">
        <v>1215.86875452404</v>
      </c>
      <c r="K51">
        <v>2350.6302554819699</v>
      </c>
      <c r="L51">
        <v>62.7248797024303</v>
      </c>
      <c r="M51">
        <v>-58.540675853125201</v>
      </c>
      <c r="N51">
        <v>0.51725223551789201</v>
      </c>
      <c r="P51">
        <v>0</v>
      </c>
      <c r="Q51">
        <v>0</v>
      </c>
      <c r="R51">
        <v>0</v>
      </c>
      <c r="S51">
        <v>0</v>
      </c>
    </row>
    <row r="52" spans="1:19" x14ac:dyDescent="0.25">
      <c r="A52" t="s">
        <v>53</v>
      </c>
      <c r="B52">
        <v>51</v>
      </c>
      <c r="C52" t="s">
        <v>163</v>
      </c>
      <c r="D52" t="s">
        <v>164</v>
      </c>
      <c r="E52" t="s">
        <v>13</v>
      </c>
      <c r="F52" t="s">
        <v>164</v>
      </c>
      <c r="G52" t="s">
        <v>56</v>
      </c>
      <c r="H52">
        <v>64078</v>
      </c>
      <c r="I52">
        <v>20.6</v>
      </c>
      <c r="J52">
        <v>3110.5825242718402</v>
      </c>
      <c r="K52">
        <v>4500</v>
      </c>
      <c r="L52">
        <v>14.2395555555555</v>
      </c>
      <c r="M52">
        <v>-6.3604444444444397</v>
      </c>
      <c r="N52">
        <v>0.69124056094929798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25">
      <c r="A53" t="s">
        <v>53</v>
      </c>
      <c r="B53">
        <v>52</v>
      </c>
      <c r="C53" t="s">
        <v>165</v>
      </c>
      <c r="D53" t="s">
        <v>166</v>
      </c>
      <c r="E53" t="s">
        <v>13</v>
      </c>
      <c r="F53" t="s">
        <v>167</v>
      </c>
      <c r="G53" t="s">
        <v>56</v>
      </c>
      <c r="H53">
        <v>64078</v>
      </c>
      <c r="I53">
        <v>30.706666666666599</v>
      </c>
      <c r="J53">
        <v>2086.77811550152</v>
      </c>
      <c r="K53">
        <v>1850.000004</v>
      </c>
      <c r="L53">
        <v>34.636756681866402</v>
      </c>
      <c r="M53">
        <v>3.9300900151997999</v>
      </c>
      <c r="N53">
        <v>1.1279881681024599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25">
      <c r="A54" t="s">
        <v>53</v>
      </c>
      <c r="B54">
        <v>53</v>
      </c>
      <c r="C54" t="s">
        <v>168</v>
      </c>
      <c r="D54" t="s">
        <v>11</v>
      </c>
      <c r="E54" t="s">
        <v>13</v>
      </c>
      <c r="F54" t="s">
        <v>169</v>
      </c>
      <c r="G54" t="s">
        <v>59</v>
      </c>
      <c r="H54">
        <v>64078</v>
      </c>
      <c r="I54">
        <v>252.09805555555499</v>
      </c>
      <c r="J54">
        <v>254.178874401825</v>
      </c>
      <c r="K54">
        <v>259.29846933105199</v>
      </c>
      <c r="L54">
        <v>247.12062576115699</v>
      </c>
      <c r="M54">
        <v>-4.97742979439845</v>
      </c>
      <c r="N54">
        <v>0.980255977050558</v>
      </c>
      <c r="P54">
        <v>0</v>
      </c>
      <c r="Q54">
        <v>0</v>
      </c>
      <c r="R54">
        <v>0</v>
      </c>
      <c r="S54">
        <v>0</v>
      </c>
    </row>
    <row r="55" spans="1:19" x14ac:dyDescent="0.25">
      <c r="A55" t="s">
        <v>53</v>
      </c>
      <c r="B55">
        <v>54</v>
      </c>
      <c r="C55" t="s">
        <v>170</v>
      </c>
      <c r="D55" t="s">
        <v>171</v>
      </c>
      <c r="E55" t="s">
        <v>172</v>
      </c>
      <c r="F55" t="s">
        <v>173</v>
      </c>
      <c r="G55" t="s">
        <v>80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25">
      <c r="A56" t="s">
        <v>53</v>
      </c>
      <c r="B56">
        <v>55</v>
      </c>
      <c r="C56" t="s">
        <v>174</v>
      </c>
      <c r="D56" t="s">
        <v>175</v>
      </c>
      <c r="E56" t="s">
        <v>172</v>
      </c>
      <c r="F56" t="s">
        <v>173</v>
      </c>
      <c r="G56" t="s">
        <v>84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25">
      <c r="A57" t="s">
        <v>53</v>
      </c>
      <c r="B57">
        <v>56</v>
      </c>
      <c r="C57" t="s">
        <v>176</v>
      </c>
      <c r="D57" t="s">
        <v>177</v>
      </c>
      <c r="E57" t="s">
        <v>172</v>
      </c>
      <c r="F57" t="s">
        <v>178</v>
      </c>
      <c r="G57" t="s">
        <v>80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25">
      <c r="A58" t="s">
        <v>53</v>
      </c>
      <c r="B58">
        <v>57</v>
      </c>
      <c r="C58" t="s">
        <v>179</v>
      </c>
      <c r="D58" t="s">
        <v>180</v>
      </c>
      <c r="E58" t="s">
        <v>172</v>
      </c>
      <c r="F58" t="s">
        <v>178</v>
      </c>
      <c r="G58" t="s">
        <v>80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25">
      <c r="A59" t="s">
        <v>53</v>
      </c>
      <c r="B59">
        <v>58</v>
      </c>
      <c r="C59" t="s">
        <v>181</v>
      </c>
      <c r="D59" t="s">
        <v>182</v>
      </c>
      <c r="E59" t="s">
        <v>172</v>
      </c>
      <c r="F59" t="s">
        <v>183</v>
      </c>
      <c r="G59" t="s">
        <v>80</v>
      </c>
      <c r="H59">
        <v>94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25">
      <c r="A60" t="s">
        <v>53</v>
      </c>
      <c r="B60">
        <v>59</v>
      </c>
      <c r="C60" t="s">
        <v>184</v>
      </c>
      <c r="D60" t="s">
        <v>185</v>
      </c>
      <c r="E60" t="s">
        <v>172</v>
      </c>
      <c r="F60" t="s">
        <v>183</v>
      </c>
      <c r="G60" t="s">
        <v>59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25">
      <c r="A61" t="s">
        <v>53</v>
      </c>
      <c r="B61">
        <v>60</v>
      </c>
      <c r="C61" t="s">
        <v>186</v>
      </c>
      <c r="D61" t="s">
        <v>187</v>
      </c>
      <c r="E61" t="s">
        <v>172</v>
      </c>
      <c r="F61" t="s">
        <v>183</v>
      </c>
      <c r="G61" t="s">
        <v>59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25">
      <c r="A62" t="s">
        <v>53</v>
      </c>
      <c r="B62">
        <v>61</v>
      </c>
      <c r="C62" t="s">
        <v>188</v>
      </c>
      <c r="D62" t="s">
        <v>189</v>
      </c>
      <c r="E62" t="s">
        <v>172</v>
      </c>
      <c r="F62" t="s">
        <v>183</v>
      </c>
      <c r="G62" t="s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25">
      <c r="A63" t="s">
        <v>53</v>
      </c>
      <c r="B63">
        <v>62</v>
      </c>
      <c r="C63" t="s">
        <v>190</v>
      </c>
      <c r="D63" t="s">
        <v>191</v>
      </c>
      <c r="E63" t="s">
        <v>172</v>
      </c>
      <c r="F63" t="s">
        <v>183</v>
      </c>
      <c r="G63" t="s">
        <v>59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25">
      <c r="A64" t="s">
        <v>53</v>
      </c>
      <c r="B64">
        <v>63</v>
      </c>
      <c r="C64" t="s">
        <v>192</v>
      </c>
      <c r="D64" t="s">
        <v>193</v>
      </c>
      <c r="E64" t="s">
        <v>172</v>
      </c>
      <c r="F64" t="s">
        <v>183</v>
      </c>
      <c r="G64" t="s">
        <v>56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25">
      <c r="A65" t="s">
        <v>53</v>
      </c>
      <c r="B65">
        <v>64</v>
      </c>
      <c r="C65" t="s">
        <v>194</v>
      </c>
      <c r="D65" t="s">
        <v>195</v>
      </c>
      <c r="E65" t="s">
        <v>172</v>
      </c>
      <c r="F65" t="s">
        <v>196</v>
      </c>
      <c r="G65" t="s">
        <v>59</v>
      </c>
      <c r="H65">
        <v>12594</v>
      </c>
      <c r="I65">
        <v>9.7802777777777692</v>
      </c>
      <c r="J65">
        <v>1287.6934874605899</v>
      </c>
      <c r="K65">
        <v>1244.000016</v>
      </c>
      <c r="L65">
        <v>10.123794082009001</v>
      </c>
      <c r="M65">
        <v>0.34351630423130203</v>
      </c>
      <c r="N65">
        <v>1.03512336888956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25">
      <c r="A66" t="s">
        <v>53</v>
      </c>
      <c r="B66">
        <v>65</v>
      </c>
      <c r="C66" t="s">
        <v>197</v>
      </c>
      <c r="D66" t="s">
        <v>198</v>
      </c>
      <c r="E66" t="s">
        <v>172</v>
      </c>
      <c r="F66" t="s">
        <v>196</v>
      </c>
      <c r="G66" t="s">
        <v>59</v>
      </c>
      <c r="H66">
        <v>65670</v>
      </c>
      <c r="I66">
        <v>347.91805555555499</v>
      </c>
      <c r="J66">
        <v>188.75134231000999</v>
      </c>
      <c r="K66">
        <v>288</v>
      </c>
      <c r="L66">
        <v>228.020833333333</v>
      </c>
      <c r="M66">
        <v>-119.897222222222</v>
      </c>
      <c r="N66">
        <v>0.655386605243092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25">
      <c r="A67" t="s">
        <v>53</v>
      </c>
      <c r="B67">
        <v>66</v>
      </c>
      <c r="C67" t="s">
        <v>199</v>
      </c>
      <c r="D67" t="s">
        <v>200</v>
      </c>
      <c r="E67" t="s">
        <v>172</v>
      </c>
      <c r="F67" t="s">
        <v>196</v>
      </c>
      <c r="G67" t="s">
        <v>59</v>
      </c>
      <c r="H67">
        <v>684</v>
      </c>
      <c r="I67">
        <v>2.8169444444444398</v>
      </c>
      <c r="J67">
        <v>242.816290306675</v>
      </c>
      <c r="K67">
        <v>117</v>
      </c>
      <c r="L67">
        <v>5.8461538461538396</v>
      </c>
      <c r="M67">
        <v>3.0292094017093998</v>
      </c>
      <c r="N67">
        <v>2.0753529086040601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25">
      <c r="A68" t="s">
        <v>53</v>
      </c>
      <c r="B68">
        <v>67</v>
      </c>
      <c r="C68" t="s">
        <v>201</v>
      </c>
      <c r="D68" t="s">
        <v>202</v>
      </c>
      <c r="E68" t="s">
        <v>172</v>
      </c>
      <c r="F68" t="s">
        <v>196</v>
      </c>
      <c r="G68" t="s">
        <v>59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25">
      <c r="A69" t="s">
        <v>53</v>
      </c>
      <c r="B69">
        <v>68</v>
      </c>
      <c r="C69" t="s">
        <v>203</v>
      </c>
      <c r="D69" t="s">
        <v>204</v>
      </c>
      <c r="E69" t="s">
        <v>172</v>
      </c>
      <c r="F69" t="s">
        <v>196</v>
      </c>
      <c r="G69" t="s">
        <v>59</v>
      </c>
      <c r="H69">
        <v>78948</v>
      </c>
      <c r="I69">
        <v>360.51527777777699</v>
      </c>
      <c r="J69">
        <v>218.98655859090499</v>
      </c>
      <c r="K69">
        <v>323.56960206372599</v>
      </c>
      <c r="L69">
        <v>243.99078126149601</v>
      </c>
      <c r="M69">
        <v>-116.524496516281</v>
      </c>
      <c r="N69">
        <v>0.67678347160613905</v>
      </c>
      <c r="P69">
        <v>0</v>
      </c>
      <c r="Q69">
        <v>0</v>
      </c>
      <c r="R69">
        <v>0</v>
      </c>
      <c r="S69">
        <v>0</v>
      </c>
    </row>
    <row r="70" spans="1:19" x14ac:dyDescent="0.25">
      <c r="A70" t="s">
        <v>53</v>
      </c>
      <c r="B70">
        <v>69</v>
      </c>
      <c r="C70" t="s">
        <v>205</v>
      </c>
      <c r="D70" t="s">
        <v>206</v>
      </c>
      <c r="E70" t="s">
        <v>172</v>
      </c>
      <c r="F70" t="s">
        <v>206</v>
      </c>
      <c r="G70" t="s">
        <v>59</v>
      </c>
      <c r="H70">
        <v>83365</v>
      </c>
      <c r="I70">
        <v>22.849444444444401</v>
      </c>
      <c r="J70">
        <v>3648.4475674098499</v>
      </c>
      <c r="K70">
        <v>3465</v>
      </c>
      <c r="L70">
        <v>24.059163059163001</v>
      </c>
      <c r="M70">
        <v>1.2097186147186101</v>
      </c>
      <c r="N70">
        <v>1.0529430208974999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25">
      <c r="A71" t="s">
        <v>53</v>
      </c>
      <c r="B71">
        <v>70</v>
      </c>
      <c r="C71" t="s">
        <v>207</v>
      </c>
      <c r="D71" t="s">
        <v>208</v>
      </c>
      <c r="E71" t="s">
        <v>172</v>
      </c>
      <c r="F71" t="s">
        <v>208</v>
      </c>
      <c r="G71" t="s">
        <v>56</v>
      </c>
      <c r="H71">
        <v>83365</v>
      </c>
      <c r="I71">
        <v>53.892222222222202</v>
      </c>
      <c r="J71">
        <v>1546.8836979155899</v>
      </c>
      <c r="K71">
        <v>1524.999996</v>
      </c>
      <c r="L71">
        <v>54.665573913876898</v>
      </c>
      <c r="M71">
        <v>0.77335169165468698</v>
      </c>
      <c r="N71">
        <v>1.01434996850688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25">
      <c r="A72" t="s">
        <v>53</v>
      </c>
      <c r="B72">
        <v>71</v>
      </c>
      <c r="C72" t="s">
        <v>209</v>
      </c>
      <c r="D72" t="s">
        <v>210</v>
      </c>
      <c r="E72" t="s">
        <v>172</v>
      </c>
      <c r="F72" t="s">
        <v>210</v>
      </c>
      <c r="G72" t="s">
        <v>56</v>
      </c>
      <c r="H72">
        <v>83365</v>
      </c>
      <c r="I72">
        <v>26.6</v>
      </c>
      <c r="J72">
        <v>3134.0225563909698</v>
      </c>
      <c r="K72">
        <v>3499.999992</v>
      </c>
      <c r="L72">
        <v>23.818571483013798</v>
      </c>
      <c r="M72">
        <v>-2.7814285169861201</v>
      </c>
      <c r="N72">
        <v>0.89543501815841597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25">
      <c r="A73" t="s">
        <v>53</v>
      </c>
      <c r="B73">
        <v>72</v>
      </c>
      <c r="C73" t="s">
        <v>211</v>
      </c>
      <c r="D73" t="s">
        <v>212</v>
      </c>
      <c r="E73" t="s">
        <v>172</v>
      </c>
      <c r="F73" t="s">
        <v>213</v>
      </c>
      <c r="G73" t="s">
        <v>56</v>
      </c>
      <c r="H73">
        <v>83365</v>
      </c>
      <c r="I73">
        <v>19.195833333333301</v>
      </c>
      <c r="J73">
        <v>4342.8695463425202</v>
      </c>
      <c r="K73">
        <v>5000.0000040000004</v>
      </c>
      <c r="L73">
        <v>16.672999986661601</v>
      </c>
      <c r="M73">
        <v>-2.5228333466717299</v>
      </c>
      <c r="N73">
        <v>0.86857390857364503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25">
      <c r="A74" t="s">
        <v>53</v>
      </c>
      <c r="B74">
        <v>73</v>
      </c>
      <c r="C74" t="s">
        <v>214</v>
      </c>
      <c r="D74" t="s">
        <v>215</v>
      </c>
      <c r="E74" t="s">
        <v>172</v>
      </c>
      <c r="F74" t="s">
        <v>169</v>
      </c>
      <c r="G74" t="s">
        <v>56</v>
      </c>
      <c r="H74">
        <v>83365</v>
      </c>
      <c r="I74">
        <v>483.05277777777701</v>
      </c>
      <c r="J74">
        <v>172.57948579347701</v>
      </c>
      <c r="K74">
        <v>229.524704674379</v>
      </c>
      <c r="L74">
        <v>363.207089704211</v>
      </c>
      <c r="M74">
        <v>-119.845688073566</v>
      </c>
      <c r="N74">
        <v>0.75189939156358698</v>
      </c>
      <c r="P74">
        <v>0</v>
      </c>
      <c r="Q74">
        <v>0</v>
      </c>
      <c r="R74">
        <v>0</v>
      </c>
      <c r="S74">
        <v>0</v>
      </c>
    </row>
    <row r="75" spans="1:19" x14ac:dyDescent="0.25">
      <c r="A75" t="s">
        <v>53</v>
      </c>
      <c r="B75">
        <v>74</v>
      </c>
      <c r="C75" t="s">
        <v>216</v>
      </c>
      <c r="D75" t="s">
        <v>217</v>
      </c>
      <c r="E75" t="s">
        <v>218</v>
      </c>
      <c r="F75" t="s">
        <v>9</v>
      </c>
      <c r="G75" t="s">
        <v>59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25">
      <c r="A76" t="s">
        <v>53</v>
      </c>
      <c r="B76">
        <v>75</v>
      </c>
      <c r="C76" t="s">
        <v>219</v>
      </c>
      <c r="D76" t="s">
        <v>220</v>
      </c>
      <c r="E76" t="s">
        <v>218</v>
      </c>
      <c r="F76" t="s">
        <v>9</v>
      </c>
      <c r="G76" t="s">
        <v>59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25">
      <c r="A77" t="s">
        <v>53</v>
      </c>
      <c r="B77">
        <v>76</v>
      </c>
      <c r="C77" t="s">
        <v>221</v>
      </c>
      <c r="D77" t="s">
        <v>222</v>
      </c>
      <c r="E77" t="s">
        <v>218</v>
      </c>
      <c r="F77" t="s">
        <v>9</v>
      </c>
      <c r="G77" t="s">
        <v>59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25">
      <c r="A78" t="s">
        <v>53</v>
      </c>
      <c r="B78">
        <v>77</v>
      </c>
      <c r="C78" t="s">
        <v>223</v>
      </c>
      <c r="D78" t="s">
        <v>224</v>
      </c>
      <c r="E78" t="s">
        <v>218</v>
      </c>
      <c r="F78" t="s">
        <v>9</v>
      </c>
      <c r="G78" t="s">
        <v>59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25">
      <c r="A79" t="s">
        <v>53</v>
      </c>
      <c r="B79">
        <v>78</v>
      </c>
      <c r="C79" t="s">
        <v>225</v>
      </c>
      <c r="D79" t="s">
        <v>226</v>
      </c>
      <c r="E79" t="s">
        <v>218</v>
      </c>
      <c r="F79" t="s">
        <v>9</v>
      </c>
      <c r="G79" t="s">
        <v>59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25">
      <c r="A80" t="s">
        <v>53</v>
      </c>
      <c r="B80">
        <v>79</v>
      </c>
      <c r="C80" t="s">
        <v>227</v>
      </c>
      <c r="D80" t="s">
        <v>228</v>
      </c>
      <c r="E80" t="s">
        <v>218</v>
      </c>
      <c r="F80" t="s">
        <v>9</v>
      </c>
      <c r="G80" t="s">
        <v>56</v>
      </c>
      <c r="H80">
        <v>78948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25">
      <c r="A81" t="s">
        <v>53</v>
      </c>
      <c r="B81">
        <v>80</v>
      </c>
      <c r="C81" t="s">
        <v>229</v>
      </c>
      <c r="D81" t="s">
        <v>230</v>
      </c>
      <c r="E81" t="s">
        <v>218</v>
      </c>
      <c r="F81" t="s">
        <v>9</v>
      </c>
      <c r="G81" t="s">
        <v>56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25">
      <c r="A82" t="s">
        <v>53</v>
      </c>
      <c r="B82">
        <v>81</v>
      </c>
      <c r="C82" t="s">
        <v>231</v>
      </c>
      <c r="D82" t="s">
        <v>232</v>
      </c>
      <c r="E82" t="s">
        <v>218</v>
      </c>
      <c r="F82" t="s">
        <v>233</v>
      </c>
      <c r="G82" t="s">
        <v>59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25">
      <c r="A83" t="s">
        <v>53</v>
      </c>
      <c r="B83">
        <v>82</v>
      </c>
      <c r="C83" t="s">
        <v>234</v>
      </c>
      <c r="D83" t="s">
        <v>235</v>
      </c>
      <c r="E83" t="s">
        <v>218</v>
      </c>
      <c r="F83" t="s">
        <v>233</v>
      </c>
      <c r="G83" t="s">
        <v>59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25">
      <c r="A84" t="s">
        <v>53</v>
      </c>
      <c r="B84">
        <v>83</v>
      </c>
      <c r="C84" t="s">
        <v>236</v>
      </c>
      <c r="D84" t="s">
        <v>237</v>
      </c>
      <c r="E84" t="s">
        <v>218</v>
      </c>
      <c r="F84" t="s">
        <v>233</v>
      </c>
      <c r="G84" t="s">
        <v>59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25">
      <c r="A85" t="s">
        <v>53</v>
      </c>
      <c r="B85">
        <v>84</v>
      </c>
      <c r="C85" t="s">
        <v>238</v>
      </c>
      <c r="D85" t="s">
        <v>239</v>
      </c>
      <c r="E85" t="s">
        <v>218</v>
      </c>
      <c r="F85" t="s">
        <v>233</v>
      </c>
      <c r="G85" t="s">
        <v>59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25">
      <c r="A86" t="s">
        <v>53</v>
      </c>
      <c r="B86">
        <v>85</v>
      </c>
      <c r="C86" t="s">
        <v>240</v>
      </c>
      <c r="D86" t="s">
        <v>241</v>
      </c>
      <c r="E86" t="s">
        <v>218</v>
      </c>
      <c r="F86" t="s">
        <v>233</v>
      </c>
      <c r="G86" t="s">
        <v>59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25">
      <c r="A87" t="s">
        <v>53</v>
      </c>
      <c r="B87">
        <v>86</v>
      </c>
      <c r="C87" t="s">
        <v>242</v>
      </c>
      <c r="D87" t="s">
        <v>243</v>
      </c>
      <c r="E87" t="s">
        <v>218</v>
      </c>
      <c r="F87" t="s">
        <v>233</v>
      </c>
      <c r="G87" t="s">
        <v>59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25">
      <c r="A88" t="s">
        <v>53</v>
      </c>
      <c r="B88">
        <v>87</v>
      </c>
      <c r="C88" t="s">
        <v>244</v>
      </c>
      <c r="D88" t="s">
        <v>245</v>
      </c>
      <c r="E88" t="s">
        <v>218</v>
      </c>
      <c r="F88" t="s">
        <v>233</v>
      </c>
      <c r="G88" t="s">
        <v>59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25">
      <c r="A89" t="s">
        <v>53</v>
      </c>
      <c r="B89">
        <v>88</v>
      </c>
      <c r="C89" t="s">
        <v>246</v>
      </c>
      <c r="D89" t="s">
        <v>247</v>
      </c>
      <c r="E89" t="s">
        <v>218</v>
      </c>
      <c r="F89" t="s">
        <v>233</v>
      </c>
      <c r="G89" t="s">
        <v>59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25">
      <c r="A90" t="s">
        <v>53</v>
      </c>
      <c r="B90">
        <v>89</v>
      </c>
      <c r="C90" t="s">
        <v>248</v>
      </c>
      <c r="D90" t="s">
        <v>249</v>
      </c>
      <c r="E90" t="s">
        <v>218</v>
      </c>
      <c r="F90" t="s">
        <v>233</v>
      </c>
      <c r="G90" t="s">
        <v>59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25">
      <c r="A91" t="s">
        <v>53</v>
      </c>
      <c r="B91">
        <v>90</v>
      </c>
      <c r="C91" t="s">
        <v>250</v>
      </c>
      <c r="D91" t="s">
        <v>251</v>
      </c>
      <c r="E91" t="s">
        <v>218</v>
      </c>
      <c r="F91" t="s">
        <v>233</v>
      </c>
      <c r="G91" t="s">
        <v>59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25">
      <c r="A92" t="s">
        <v>53</v>
      </c>
      <c r="B92">
        <v>91</v>
      </c>
      <c r="C92" t="s">
        <v>252</v>
      </c>
      <c r="D92" t="s">
        <v>253</v>
      </c>
      <c r="E92" t="s">
        <v>218</v>
      </c>
      <c r="F92" t="s">
        <v>233</v>
      </c>
      <c r="G92" t="s">
        <v>56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25">
      <c r="A93" t="s">
        <v>53</v>
      </c>
      <c r="B93">
        <v>92</v>
      </c>
      <c r="C93" t="s">
        <v>254</v>
      </c>
      <c r="D93" t="s">
        <v>255</v>
      </c>
      <c r="E93" t="s">
        <v>218</v>
      </c>
      <c r="F93" t="s">
        <v>233</v>
      </c>
      <c r="G93" t="s">
        <v>59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25">
      <c r="A94" t="s">
        <v>53</v>
      </c>
      <c r="B94">
        <v>93</v>
      </c>
      <c r="C94" t="s">
        <v>256</v>
      </c>
      <c r="D94" t="s">
        <v>257</v>
      </c>
      <c r="E94" t="s">
        <v>218</v>
      </c>
      <c r="F94" t="s">
        <v>258</v>
      </c>
      <c r="G94" t="s">
        <v>59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25">
      <c r="A95" t="s">
        <v>53</v>
      </c>
      <c r="B95">
        <v>94</v>
      </c>
      <c r="C95" t="s">
        <v>259</v>
      </c>
      <c r="D95" t="s">
        <v>260</v>
      </c>
      <c r="E95" t="s">
        <v>218</v>
      </c>
      <c r="F95" t="s">
        <v>258</v>
      </c>
      <c r="G95" t="s">
        <v>59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25">
      <c r="A96" t="s">
        <v>53</v>
      </c>
      <c r="B96">
        <v>95</v>
      </c>
      <c r="C96" t="s">
        <v>261</v>
      </c>
      <c r="D96" t="s">
        <v>262</v>
      </c>
      <c r="E96" t="s">
        <v>218</v>
      </c>
      <c r="F96" t="s">
        <v>258</v>
      </c>
      <c r="G96" t="s">
        <v>59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25">
      <c r="A97" t="s">
        <v>53</v>
      </c>
      <c r="B97">
        <v>96</v>
      </c>
      <c r="C97" t="s">
        <v>263</v>
      </c>
      <c r="D97" t="s">
        <v>264</v>
      </c>
      <c r="E97" t="s">
        <v>218</v>
      </c>
      <c r="F97" t="s">
        <v>258</v>
      </c>
      <c r="G97" t="s">
        <v>59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25">
      <c r="A98" t="s">
        <v>53</v>
      </c>
      <c r="B98">
        <v>97</v>
      </c>
      <c r="C98" t="s">
        <v>265</v>
      </c>
      <c r="D98" t="s">
        <v>266</v>
      </c>
      <c r="E98" t="s">
        <v>218</v>
      </c>
      <c r="F98" t="s">
        <v>258</v>
      </c>
      <c r="G98" t="s">
        <v>59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25">
      <c r="A99" t="s">
        <v>53</v>
      </c>
      <c r="B99">
        <v>98</v>
      </c>
      <c r="C99" t="s">
        <v>267</v>
      </c>
      <c r="D99" t="s">
        <v>268</v>
      </c>
      <c r="E99" t="s">
        <v>218</v>
      </c>
      <c r="F99" t="s">
        <v>258</v>
      </c>
      <c r="G99" t="s">
        <v>269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25">
      <c r="A100" t="s">
        <v>53</v>
      </c>
      <c r="B100">
        <v>99</v>
      </c>
      <c r="C100" t="s">
        <v>270</v>
      </c>
      <c r="D100" t="s">
        <v>271</v>
      </c>
      <c r="E100" t="s">
        <v>218</v>
      </c>
      <c r="F100" t="s">
        <v>258</v>
      </c>
      <c r="G100" t="s">
        <v>59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25">
      <c r="A101" t="s">
        <v>53</v>
      </c>
      <c r="B101">
        <v>100</v>
      </c>
      <c r="C101" t="s">
        <v>272</v>
      </c>
      <c r="D101" t="s">
        <v>273</v>
      </c>
      <c r="E101" t="s">
        <v>218</v>
      </c>
      <c r="F101" t="s">
        <v>258</v>
      </c>
      <c r="G101" t="s">
        <v>59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25">
      <c r="A102" t="s">
        <v>53</v>
      </c>
      <c r="B102">
        <v>101</v>
      </c>
      <c r="C102" t="s">
        <v>274</v>
      </c>
      <c r="D102" t="s">
        <v>275</v>
      </c>
      <c r="E102" t="s">
        <v>218</v>
      </c>
      <c r="F102" t="s">
        <v>258</v>
      </c>
      <c r="G102" t="s">
        <v>59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25">
      <c r="A103" t="s">
        <v>53</v>
      </c>
      <c r="B103">
        <v>102</v>
      </c>
      <c r="C103" t="s">
        <v>276</v>
      </c>
      <c r="D103" t="s">
        <v>277</v>
      </c>
      <c r="E103" t="s">
        <v>218</v>
      </c>
      <c r="F103" t="s">
        <v>258</v>
      </c>
      <c r="G103" t="s">
        <v>59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25">
      <c r="A104" t="s">
        <v>53</v>
      </c>
      <c r="B104">
        <v>103</v>
      </c>
      <c r="C104" t="s">
        <v>278</v>
      </c>
      <c r="D104" t="s">
        <v>279</v>
      </c>
      <c r="E104" t="s">
        <v>218</v>
      </c>
      <c r="F104" t="s">
        <v>258</v>
      </c>
      <c r="G104" t="s">
        <v>59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25">
      <c r="A105" t="s">
        <v>53</v>
      </c>
      <c r="B105">
        <v>104</v>
      </c>
      <c r="C105" t="s">
        <v>280</v>
      </c>
      <c r="D105" t="s">
        <v>281</v>
      </c>
      <c r="E105" t="s">
        <v>218</v>
      </c>
      <c r="F105" t="s">
        <v>258</v>
      </c>
      <c r="G105" t="s">
        <v>59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25">
      <c r="A106" t="s">
        <v>53</v>
      </c>
      <c r="B106">
        <v>105</v>
      </c>
      <c r="C106" t="s">
        <v>282</v>
      </c>
      <c r="D106" t="s">
        <v>283</v>
      </c>
      <c r="E106" t="s">
        <v>218</v>
      </c>
      <c r="F106" t="s">
        <v>258</v>
      </c>
      <c r="G106" t="s">
        <v>59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25">
      <c r="A107" t="s">
        <v>53</v>
      </c>
      <c r="B107">
        <v>106</v>
      </c>
      <c r="C107" t="s">
        <v>284</v>
      </c>
      <c r="D107" t="s">
        <v>285</v>
      </c>
      <c r="E107" t="s">
        <v>218</v>
      </c>
      <c r="F107" t="s">
        <v>258</v>
      </c>
      <c r="G107" t="s">
        <v>59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25">
      <c r="A108" t="s">
        <v>53</v>
      </c>
      <c r="B108">
        <v>107</v>
      </c>
      <c r="C108" t="s">
        <v>286</v>
      </c>
      <c r="D108" t="s">
        <v>287</v>
      </c>
      <c r="E108" t="s">
        <v>218</v>
      </c>
      <c r="F108" t="s">
        <v>258</v>
      </c>
      <c r="G108" t="s">
        <v>59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25">
      <c r="A109" t="s">
        <v>53</v>
      </c>
      <c r="B109">
        <v>108</v>
      </c>
      <c r="C109" t="s">
        <v>288</v>
      </c>
      <c r="D109" t="s">
        <v>289</v>
      </c>
      <c r="E109" t="s">
        <v>218</v>
      </c>
      <c r="F109" t="s">
        <v>258</v>
      </c>
      <c r="G109" t="s">
        <v>59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25">
      <c r="A110" t="s">
        <v>53</v>
      </c>
      <c r="B110">
        <v>109</v>
      </c>
      <c r="C110" t="s">
        <v>290</v>
      </c>
      <c r="D110" t="s">
        <v>291</v>
      </c>
      <c r="E110" t="s">
        <v>218</v>
      </c>
      <c r="F110" t="s">
        <v>258</v>
      </c>
      <c r="G110" t="s">
        <v>59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25">
      <c r="A111" t="s">
        <v>53</v>
      </c>
      <c r="B111">
        <v>110</v>
      </c>
      <c r="C111" t="s">
        <v>292</v>
      </c>
      <c r="D111" t="s">
        <v>293</v>
      </c>
      <c r="E111" t="s">
        <v>218</v>
      </c>
      <c r="F111" t="s">
        <v>258</v>
      </c>
      <c r="G111" t="s">
        <v>59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25">
      <c r="A112" t="s">
        <v>53</v>
      </c>
      <c r="B112">
        <v>111</v>
      </c>
      <c r="C112" t="s">
        <v>294</v>
      </c>
      <c r="D112" t="s">
        <v>295</v>
      </c>
      <c r="E112" t="s">
        <v>218</v>
      </c>
      <c r="F112" t="s">
        <v>258</v>
      </c>
      <c r="G112" t="s">
        <v>56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25">
      <c r="A113" t="s">
        <v>53</v>
      </c>
      <c r="B113">
        <v>112</v>
      </c>
      <c r="C113" t="s">
        <v>296</v>
      </c>
      <c r="D113" t="s">
        <v>297</v>
      </c>
      <c r="E113" t="s">
        <v>218</v>
      </c>
      <c r="F113" t="s">
        <v>298</v>
      </c>
      <c r="G113" t="s">
        <v>59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25">
      <c r="A114" t="s">
        <v>53</v>
      </c>
      <c r="B114">
        <v>113</v>
      </c>
      <c r="C114" t="s">
        <v>299</v>
      </c>
      <c r="D114" t="s">
        <v>300</v>
      </c>
      <c r="E114" t="s">
        <v>218</v>
      </c>
      <c r="F114" t="s">
        <v>298</v>
      </c>
      <c r="G114" t="s">
        <v>59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25">
      <c r="A115" t="s">
        <v>53</v>
      </c>
      <c r="B115">
        <v>114</v>
      </c>
      <c r="C115" t="s">
        <v>301</v>
      </c>
      <c r="D115" t="s">
        <v>302</v>
      </c>
      <c r="E115" t="s">
        <v>218</v>
      </c>
      <c r="F115" t="s">
        <v>298</v>
      </c>
      <c r="G115" t="s">
        <v>59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25">
      <c r="A116" t="s">
        <v>53</v>
      </c>
      <c r="B116">
        <v>115</v>
      </c>
      <c r="C116" t="s">
        <v>303</v>
      </c>
      <c r="D116" t="s">
        <v>304</v>
      </c>
      <c r="E116" t="s">
        <v>218</v>
      </c>
      <c r="F116" t="s">
        <v>298</v>
      </c>
      <c r="G116" t="s">
        <v>59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25">
      <c r="A117" t="s">
        <v>53</v>
      </c>
      <c r="B117">
        <v>116</v>
      </c>
      <c r="C117" t="s">
        <v>305</v>
      </c>
      <c r="D117" t="s">
        <v>306</v>
      </c>
      <c r="E117" t="s">
        <v>218</v>
      </c>
      <c r="F117" t="s">
        <v>298</v>
      </c>
      <c r="G117" t="s">
        <v>59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25">
      <c r="A118" t="s">
        <v>53</v>
      </c>
      <c r="B118">
        <v>117</v>
      </c>
      <c r="C118" t="s">
        <v>307</v>
      </c>
      <c r="D118" t="s">
        <v>308</v>
      </c>
      <c r="E118" t="s">
        <v>218</v>
      </c>
      <c r="F118" t="s">
        <v>308</v>
      </c>
      <c r="G118" t="s">
        <v>59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25">
      <c r="A119" t="s">
        <v>53</v>
      </c>
      <c r="B119">
        <v>118</v>
      </c>
      <c r="C119" t="s">
        <v>309</v>
      </c>
      <c r="D119" t="s">
        <v>310</v>
      </c>
      <c r="E119" t="s">
        <v>218</v>
      </c>
      <c r="F119" t="s">
        <v>311</v>
      </c>
      <c r="G119" t="s">
        <v>59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25">
      <c r="A120" t="s">
        <v>53</v>
      </c>
      <c r="B120">
        <v>119</v>
      </c>
      <c r="C120" t="s">
        <v>312</v>
      </c>
      <c r="D120" t="s">
        <v>313</v>
      </c>
      <c r="E120" t="s">
        <v>218</v>
      </c>
      <c r="F120" t="s">
        <v>314</v>
      </c>
      <c r="G120" t="s">
        <v>59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25">
      <c r="A121" t="s">
        <v>53</v>
      </c>
      <c r="B121">
        <v>120</v>
      </c>
      <c r="C121" t="s">
        <v>315</v>
      </c>
      <c r="D121" t="s">
        <v>316</v>
      </c>
      <c r="E121" t="s">
        <v>218</v>
      </c>
      <c r="F121" t="s">
        <v>169</v>
      </c>
      <c r="G121" t="s">
        <v>59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25">
      <c r="A122" t="s">
        <v>53</v>
      </c>
      <c r="B122">
        <v>121</v>
      </c>
      <c r="C122" t="s">
        <v>317</v>
      </c>
      <c r="D122" t="s">
        <v>318</v>
      </c>
      <c r="E122" t="s">
        <v>319</v>
      </c>
      <c r="F122" t="s">
        <v>320</v>
      </c>
      <c r="G122" t="s">
        <v>59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25">
      <c r="A123" t="s">
        <v>53</v>
      </c>
      <c r="B123">
        <v>122</v>
      </c>
      <c r="C123" t="s">
        <v>321</v>
      </c>
      <c r="D123" t="s">
        <v>322</v>
      </c>
      <c r="E123" t="s">
        <v>319</v>
      </c>
      <c r="F123" t="s">
        <v>320</v>
      </c>
      <c r="G123" t="s">
        <v>59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25">
      <c r="A124" t="s">
        <v>53</v>
      </c>
      <c r="B124">
        <v>123</v>
      </c>
      <c r="C124" t="s">
        <v>323</v>
      </c>
      <c r="D124" t="s">
        <v>324</v>
      </c>
      <c r="E124" t="s">
        <v>319</v>
      </c>
      <c r="F124" t="s">
        <v>320</v>
      </c>
      <c r="G124" t="s">
        <v>59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25">
      <c r="A125" t="s">
        <v>53</v>
      </c>
      <c r="B125">
        <v>124</v>
      </c>
      <c r="C125" t="s">
        <v>325</v>
      </c>
      <c r="D125" t="s">
        <v>326</v>
      </c>
      <c r="E125" t="s">
        <v>319</v>
      </c>
      <c r="F125" t="s">
        <v>320</v>
      </c>
      <c r="G125" t="s">
        <v>59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25">
      <c r="A126" t="s">
        <v>53</v>
      </c>
      <c r="B126">
        <v>125</v>
      </c>
      <c r="C126" t="s">
        <v>327</v>
      </c>
      <c r="D126" t="s">
        <v>328</v>
      </c>
      <c r="E126" t="s">
        <v>319</v>
      </c>
      <c r="F126" t="s">
        <v>320</v>
      </c>
      <c r="G126" t="s">
        <v>56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25">
      <c r="A127" t="s">
        <v>53</v>
      </c>
      <c r="B127">
        <v>126</v>
      </c>
      <c r="C127" t="s">
        <v>329</v>
      </c>
      <c r="D127" t="s">
        <v>330</v>
      </c>
      <c r="E127" t="s">
        <v>319</v>
      </c>
      <c r="F127" t="s">
        <v>320</v>
      </c>
      <c r="G127" t="s">
        <v>59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25">
      <c r="A128" t="s">
        <v>53</v>
      </c>
      <c r="B128">
        <v>127</v>
      </c>
      <c r="C128" t="s">
        <v>331</v>
      </c>
      <c r="D128" t="s">
        <v>332</v>
      </c>
      <c r="E128" t="s">
        <v>319</v>
      </c>
      <c r="F128" t="s">
        <v>320</v>
      </c>
      <c r="G128" t="s">
        <v>59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25">
      <c r="A129" t="s">
        <v>53</v>
      </c>
      <c r="B129">
        <v>128</v>
      </c>
      <c r="C129" t="s">
        <v>333</v>
      </c>
      <c r="D129" t="s">
        <v>334</v>
      </c>
      <c r="E129" t="s">
        <v>319</v>
      </c>
      <c r="F129" t="s">
        <v>320</v>
      </c>
      <c r="G129" t="s">
        <v>59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25">
      <c r="A130" t="s">
        <v>53</v>
      </c>
      <c r="B130">
        <v>129</v>
      </c>
      <c r="C130" t="s">
        <v>335</v>
      </c>
      <c r="D130" t="s">
        <v>336</v>
      </c>
      <c r="E130" t="s">
        <v>319</v>
      </c>
      <c r="F130" t="s">
        <v>320</v>
      </c>
      <c r="G130" t="s">
        <v>59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25">
      <c r="A131" t="s">
        <v>53</v>
      </c>
      <c r="B131">
        <v>130</v>
      </c>
      <c r="C131" t="s">
        <v>337</v>
      </c>
      <c r="D131" t="s">
        <v>338</v>
      </c>
      <c r="E131" t="s">
        <v>319</v>
      </c>
      <c r="F131" t="s">
        <v>320</v>
      </c>
      <c r="G131" t="s">
        <v>56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25">
      <c r="A132" t="s">
        <v>53</v>
      </c>
      <c r="B132">
        <v>131</v>
      </c>
      <c r="C132" t="s">
        <v>339</v>
      </c>
      <c r="D132" t="s">
        <v>340</v>
      </c>
      <c r="E132" t="s">
        <v>319</v>
      </c>
      <c r="F132" t="s">
        <v>320</v>
      </c>
      <c r="G132" t="s">
        <v>56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25">
      <c r="A133" t="s">
        <v>53</v>
      </c>
      <c r="B133">
        <v>132</v>
      </c>
      <c r="C133" t="s">
        <v>341</v>
      </c>
      <c r="D133" t="s">
        <v>342</v>
      </c>
      <c r="E133" t="s">
        <v>319</v>
      </c>
      <c r="F133" t="s">
        <v>320</v>
      </c>
      <c r="G133" t="s">
        <v>56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25">
      <c r="A134" t="s">
        <v>53</v>
      </c>
      <c r="B134">
        <v>133</v>
      </c>
      <c r="C134" t="s">
        <v>343</v>
      </c>
      <c r="D134" t="s">
        <v>344</v>
      </c>
      <c r="E134" t="s">
        <v>319</v>
      </c>
      <c r="F134" t="s">
        <v>345</v>
      </c>
      <c r="G134" t="s">
        <v>59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25">
      <c r="A135" t="s">
        <v>53</v>
      </c>
      <c r="B135">
        <v>134</v>
      </c>
      <c r="C135" t="s">
        <v>346</v>
      </c>
      <c r="D135" t="s">
        <v>347</v>
      </c>
      <c r="E135" t="s">
        <v>319</v>
      </c>
      <c r="F135" t="s">
        <v>345</v>
      </c>
      <c r="G135" t="s">
        <v>59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25">
      <c r="A136" t="s">
        <v>53</v>
      </c>
      <c r="B136">
        <v>135</v>
      </c>
      <c r="C136" t="s">
        <v>348</v>
      </c>
      <c r="D136" t="s">
        <v>349</v>
      </c>
      <c r="E136" t="s">
        <v>319</v>
      </c>
      <c r="F136" t="s">
        <v>345</v>
      </c>
      <c r="G136" t="s">
        <v>59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25">
      <c r="A137" t="s">
        <v>53</v>
      </c>
      <c r="B137">
        <v>136</v>
      </c>
      <c r="C137" t="s">
        <v>350</v>
      </c>
      <c r="D137" t="s">
        <v>351</v>
      </c>
      <c r="E137" t="s">
        <v>319</v>
      </c>
      <c r="F137" t="s">
        <v>345</v>
      </c>
      <c r="G137" t="s">
        <v>59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25">
      <c r="A138" t="s">
        <v>53</v>
      </c>
      <c r="B138">
        <v>137</v>
      </c>
      <c r="C138" t="s">
        <v>352</v>
      </c>
      <c r="D138" t="s">
        <v>353</v>
      </c>
      <c r="E138" t="s">
        <v>319</v>
      </c>
      <c r="F138" t="s">
        <v>345</v>
      </c>
      <c r="G138" t="s">
        <v>59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25">
      <c r="A139" t="s">
        <v>53</v>
      </c>
      <c r="B139">
        <v>138</v>
      </c>
      <c r="C139" t="s">
        <v>354</v>
      </c>
      <c r="D139" t="s">
        <v>355</v>
      </c>
      <c r="E139" t="s">
        <v>319</v>
      </c>
      <c r="F139" t="s">
        <v>345</v>
      </c>
      <c r="G139" t="s">
        <v>59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25">
      <c r="A140" t="s">
        <v>53</v>
      </c>
      <c r="B140">
        <v>139</v>
      </c>
      <c r="C140" t="s">
        <v>356</v>
      </c>
      <c r="D140" t="s">
        <v>357</v>
      </c>
      <c r="E140" t="s">
        <v>319</v>
      </c>
      <c r="F140" t="s">
        <v>345</v>
      </c>
      <c r="G140" t="s">
        <v>59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25">
      <c r="A141" t="s">
        <v>53</v>
      </c>
      <c r="B141">
        <v>140</v>
      </c>
      <c r="C141" t="s">
        <v>358</v>
      </c>
      <c r="D141" t="s">
        <v>359</v>
      </c>
      <c r="E141" t="s">
        <v>319</v>
      </c>
      <c r="F141" t="s">
        <v>345</v>
      </c>
      <c r="G141" t="s">
        <v>59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25">
      <c r="A142" t="s">
        <v>53</v>
      </c>
      <c r="B142">
        <v>141</v>
      </c>
      <c r="C142" t="s">
        <v>360</v>
      </c>
      <c r="D142" t="s">
        <v>361</v>
      </c>
      <c r="E142" t="s">
        <v>319</v>
      </c>
      <c r="F142" t="s">
        <v>345</v>
      </c>
      <c r="G142" t="s">
        <v>59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25">
      <c r="A143" t="s">
        <v>53</v>
      </c>
      <c r="B143">
        <v>142</v>
      </c>
      <c r="C143" t="s">
        <v>362</v>
      </c>
      <c r="D143" t="s">
        <v>363</v>
      </c>
      <c r="E143" t="s">
        <v>319</v>
      </c>
      <c r="F143" t="s">
        <v>345</v>
      </c>
      <c r="G143" t="s">
        <v>59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25">
      <c r="A144" t="s">
        <v>53</v>
      </c>
      <c r="B144">
        <v>143</v>
      </c>
      <c r="C144" t="s">
        <v>364</v>
      </c>
      <c r="D144" t="s">
        <v>365</v>
      </c>
      <c r="E144" t="s">
        <v>319</v>
      </c>
      <c r="F144" t="s">
        <v>345</v>
      </c>
      <c r="G144" t="s">
        <v>56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25">
      <c r="A145" t="s">
        <v>53</v>
      </c>
      <c r="B145">
        <v>144</v>
      </c>
      <c r="C145" t="s">
        <v>366</v>
      </c>
      <c r="D145" t="s">
        <v>367</v>
      </c>
      <c r="E145" t="s">
        <v>319</v>
      </c>
      <c r="F145" t="s">
        <v>345</v>
      </c>
      <c r="G145" t="s">
        <v>59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25">
      <c r="A146" t="s">
        <v>53</v>
      </c>
      <c r="B146">
        <v>145</v>
      </c>
      <c r="C146" t="s">
        <v>368</v>
      </c>
      <c r="D146" t="s">
        <v>369</v>
      </c>
      <c r="E146" t="s">
        <v>319</v>
      </c>
      <c r="F146" t="s">
        <v>370</v>
      </c>
      <c r="G146" t="s">
        <v>59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25">
      <c r="A147" t="s">
        <v>53</v>
      </c>
      <c r="B147">
        <v>146</v>
      </c>
      <c r="C147" t="s">
        <v>371</v>
      </c>
      <c r="D147" t="s">
        <v>372</v>
      </c>
      <c r="E147" t="s">
        <v>319</v>
      </c>
      <c r="F147" t="s">
        <v>370</v>
      </c>
      <c r="G147" t="s">
        <v>59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25">
      <c r="A148" t="s">
        <v>53</v>
      </c>
      <c r="B148">
        <v>147</v>
      </c>
      <c r="C148" t="s">
        <v>373</v>
      </c>
      <c r="D148" t="s">
        <v>374</v>
      </c>
      <c r="E148" t="s">
        <v>319</v>
      </c>
      <c r="F148" t="s">
        <v>370</v>
      </c>
      <c r="G148" t="s">
        <v>56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25">
      <c r="A149" t="s">
        <v>53</v>
      </c>
      <c r="B149">
        <v>148</v>
      </c>
      <c r="C149" t="s">
        <v>375</v>
      </c>
      <c r="D149" t="s">
        <v>376</v>
      </c>
      <c r="E149" t="s">
        <v>319</v>
      </c>
      <c r="F149" t="s">
        <v>370</v>
      </c>
      <c r="G149" t="s">
        <v>56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25">
      <c r="A150" t="s">
        <v>53</v>
      </c>
      <c r="B150">
        <v>149</v>
      </c>
      <c r="C150" t="s">
        <v>377</v>
      </c>
      <c r="D150" t="s">
        <v>378</v>
      </c>
      <c r="E150" t="s">
        <v>319</v>
      </c>
      <c r="F150" t="s">
        <v>379</v>
      </c>
      <c r="G150" t="s">
        <v>59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25">
      <c r="A151" t="s">
        <v>53</v>
      </c>
      <c r="B151">
        <v>150</v>
      </c>
      <c r="C151" t="s">
        <v>380</v>
      </c>
      <c r="D151" t="s">
        <v>381</v>
      </c>
      <c r="E151" t="s">
        <v>319</v>
      </c>
      <c r="F151" t="s">
        <v>379</v>
      </c>
      <c r="G151" t="s">
        <v>56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25">
      <c r="A152" t="s">
        <v>53</v>
      </c>
      <c r="B152">
        <v>151</v>
      </c>
      <c r="C152" t="s">
        <v>382</v>
      </c>
      <c r="D152" t="s">
        <v>383</v>
      </c>
      <c r="E152" t="s">
        <v>319</v>
      </c>
      <c r="F152" t="s">
        <v>379</v>
      </c>
      <c r="G152" t="s">
        <v>56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25">
      <c r="A153" t="s">
        <v>53</v>
      </c>
      <c r="B153">
        <v>152</v>
      </c>
      <c r="C153" t="s">
        <v>384</v>
      </c>
      <c r="D153" t="s">
        <v>385</v>
      </c>
      <c r="E153" t="s">
        <v>319</v>
      </c>
      <c r="F153" t="s">
        <v>386</v>
      </c>
      <c r="G153" t="s">
        <v>59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25">
      <c r="A154" t="s">
        <v>53</v>
      </c>
      <c r="B154">
        <v>153</v>
      </c>
      <c r="C154" t="s">
        <v>387</v>
      </c>
      <c r="D154" t="s">
        <v>388</v>
      </c>
      <c r="E154" t="s">
        <v>319</v>
      </c>
      <c r="F154" t="s">
        <v>386</v>
      </c>
      <c r="G154" t="s">
        <v>56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25">
      <c r="A155" t="s">
        <v>53</v>
      </c>
      <c r="B155">
        <v>154</v>
      </c>
      <c r="C155" t="s">
        <v>389</v>
      </c>
      <c r="D155" t="s">
        <v>390</v>
      </c>
      <c r="E155" t="s">
        <v>319</v>
      </c>
      <c r="F155" t="s">
        <v>386</v>
      </c>
      <c r="G155" t="s">
        <v>56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25">
      <c r="A156" t="s">
        <v>53</v>
      </c>
      <c r="B156">
        <v>155</v>
      </c>
      <c r="C156" t="s">
        <v>391</v>
      </c>
      <c r="D156" t="s">
        <v>392</v>
      </c>
      <c r="E156" t="s">
        <v>319</v>
      </c>
      <c r="F156" t="s">
        <v>392</v>
      </c>
      <c r="G156" t="s">
        <v>59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25">
      <c r="A157" t="s">
        <v>53</v>
      </c>
      <c r="B157">
        <v>156</v>
      </c>
      <c r="C157" t="s">
        <v>393</v>
      </c>
      <c r="D157" t="s">
        <v>394</v>
      </c>
      <c r="E157" t="s">
        <v>319</v>
      </c>
      <c r="F157" t="s">
        <v>169</v>
      </c>
      <c r="G157" t="s">
        <v>56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25">
      <c r="A158" t="s">
        <v>53</v>
      </c>
      <c r="B158">
        <v>157</v>
      </c>
      <c r="C158" t="s">
        <v>395</v>
      </c>
      <c r="D158" t="s">
        <v>396</v>
      </c>
      <c r="E158" t="s">
        <v>397</v>
      </c>
      <c r="F158" t="s">
        <v>398</v>
      </c>
      <c r="G158" t="s">
        <v>59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25">
      <c r="A159" t="s">
        <v>53</v>
      </c>
      <c r="B159">
        <v>158</v>
      </c>
      <c r="C159" t="s">
        <v>399</v>
      </c>
      <c r="D159" t="s">
        <v>400</v>
      </c>
      <c r="E159" t="s">
        <v>397</v>
      </c>
      <c r="F159" t="s">
        <v>398</v>
      </c>
      <c r="G159" t="s">
        <v>59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25">
      <c r="A160" t="s">
        <v>53</v>
      </c>
      <c r="B160">
        <v>159</v>
      </c>
      <c r="C160" t="s">
        <v>401</v>
      </c>
      <c r="D160" t="s">
        <v>402</v>
      </c>
      <c r="E160" t="s">
        <v>397</v>
      </c>
      <c r="F160" t="s">
        <v>398</v>
      </c>
      <c r="G160" t="s">
        <v>59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25">
      <c r="A161" t="s">
        <v>53</v>
      </c>
      <c r="B161">
        <v>160</v>
      </c>
      <c r="C161" t="s">
        <v>403</v>
      </c>
      <c r="D161" t="s">
        <v>404</v>
      </c>
      <c r="E161" t="s">
        <v>405</v>
      </c>
      <c r="F161" t="s">
        <v>405</v>
      </c>
      <c r="G161" t="s">
        <v>56</v>
      </c>
      <c r="H161">
        <v>83365</v>
      </c>
      <c r="I161">
        <v>83.417222222222193</v>
      </c>
      <c r="J161">
        <v>999.37396354336602</v>
      </c>
      <c r="K161">
        <v>1049.9370277078001</v>
      </c>
      <c r="L161">
        <v>79.400000000000006</v>
      </c>
      <c r="M161">
        <v>-4.0172222222222196</v>
      </c>
      <c r="N161">
        <v>0.95184181257533995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25">
      <c r="A162" t="s">
        <v>53</v>
      </c>
      <c r="B162">
        <v>161</v>
      </c>
      <c r="C162" t="s">
        <v>406</v>
      </c>
      <c r="D162" t="s">
        <v>407</v>
      </c>
      <c r="E162" t="s">
        <v>405</v>
      </c>
      <c r="F162" t="s">
        <v>405</v>
      </c>
      <c r="G162" t="s">
        <v>56</v>
      </c>
      <c r="H162">
        <v>83365</v>
      </c>
      <c r="I162">
        <v>0</v>
      </c>
      <c r="J162">
        <v>0</v>
      </c>
      <c r="K162">
        <v>7864.6226415094297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25">
      <c r="A163" t="s">
        <v>53</v>
      </c>
      <c r="B163">
        <v>162</v>
      </c>
      <c r="C163" t="s">
        <v>408</v>
      </c>
      <c r="D163" t="s">
        <v>409</v>
      </c>
      <c r="E163" t="s">
        <v>405</v>
      </c>
      <c r="F163" t="s">
        <v>405</v>
      </c>
      <c r="G163" t="s">
        <v>56</v>
      </c>
      <c r="H163">
        <v>83365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25">
      <c r="A164" t="s">
        <v>53</v>
      </c>
      <c r="B164">
        <v>163</v>
      </c>
      <c r="C164" t="s">
        <v>410</v>
      </c>
      <c r="D164" t="s">
        <v>411</v>
      </c>
      <c r="E164" t="s">
        <v>405</v>
      </c>
      <c r="F164" t="s">
        <v>405</v>
      </c>
      <c r="G164" t="s">
        <v>56</v>
      </c>
      <c r="H164">
        <v>83365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25">
      <c r="A165" t="s">
        <v>53</v>
      </c>
      <c r="B165">
        <v>164</v>
      </c>
      <c r="C165" t="s">
        <v>412</v>
      </c>
      <c r="D165" t="s">
        <v>413</v>
      </c>
      <c r="E165" t="s">
        <v>405</v>
      </c>
      <c r="F165" t="s">
        <v>405</v>
      </c>
      <c r="G165" t="s">
        <v>56</v>
      </c>
      <c r="H165">
        <v>147443</v>
      </c>
      <c r="I165">
        <v>46.528888888888801</v>
      </c>
      <c r="J165">
        <v>3168.8485051103198</v>
      </c>
      <c r="K165">
        <v>2499.999984</v>
      </c>
      <c r="L165">
        <v>58.977200377453997</v>
      </c>
      <c r="M165">
        <v>12.4483114885651</v>
      </c>
      <c r="N165">
        <v>1.2675394101563799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25">
      <c r="A166" t="s">
        <v>53</v>
      </c>
      <c r="B166">
        <v>165</v>
      </c>
      <c r="C166" t="s">
        <v>414</v>
      </c>
      <c r="D166" t="s">
        <v>415</v>
      </c>
      <c r="E166" t="s">
        <v>405</v>
      </c>
      <c r="F166" t="s">
        <v>405</v>
      </c>
      <c r="G166" t="s">
        <v>56</v>
      </c>
      <c r="H166">
        <v>83365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25">
      <c r="A167" t="s">
        <v>53</v>
      </c>
      <c r="B167">
        <v>166</v>
      </c>
      <c r="C167" t="s">
        <v>416</v>
      </c>
      <c r="D167" t="s">
        <v>417</v>
      </c>
      <c r="E167" t="s">
        <v>418</v>
      </c>
      <c r="F167" t="s">
        <v>419</v>
      </c>
      <c r="G167" t="s">
        <v>269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25">
      <c r="A168" t="s">
        <v>53</v>
      </c>
      <c r="B168">
        <v>167</v>
      </c>
      <c r="C168" t="s">
        <v>420</v>
      </c>
      <c r="D168" t="s">
        <v>421</v>
      </c>
      <c r="E168" t="s">
        <v>418</v>
      </c>
      <c r="F168" t="s">
        <v>419</v>
      </c>
      <c r="G168" t="s">
        <v>269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25">
      <c r="A169" t="s">
        <v>53</v>
      </c>
      <c r="B169">
        <v>168</v>
      </c>
      <c r="C169" t="s">
        <v>422</v>
      </c>
      <c r="D169" t="s">
        <v>423</v>
      </c>
      <c r="E169" t="s">
        <v>418</v>
      </c>
      <c r="F169" t="s">
        <v>419</v>
      </c>
      <c r="G169" t="s">
        <v>269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25">
      <c r="A170" t="s">
        <v>424</v>
      </c>
      <c r="B170">
        <v>1</v>
      </c>
      <c r="C170" t="s">
        <v>425</v>
      </c>
      <c r="D170" t="s">
        <v>426</v>
      </c>
      <c r="E170" t="s">
        <v>427</v>
      </c>
      <c r="F170" t="s">
        <v>427</v>
      </c>
      <c r="G170" t="s">
        <v>59</v>
      </c>
      <c r="H170">
        <v>64078</v>
      </c>
      <c r="I170">
        <v>252.09805555555499</v>
      </c>
      <c r="J170">
        <v>254.178874401825</v>
      </c>
      <c r="K170">
        <v>259.29846933105199</v>
      </c>
      <c r="L170">
        <v>247.12062576115699</v>
      </c>
      <c r="M170">
        <v>-4.97742979439845</v>
      </c>
      <c r="N170">
        <v>0.980255977050558</v>
      </c>
      <c r="P170">
        <v>0</v>
      </c>
      <c r="Q170">
        <v>0</v>
      </c>
      <c r="R170">
        <v>0</v>
      </c>
      <c r="S170">
        <v>0</v>
      </c>
    </row>
    <row r="171" spans="1:19" x14ac:dyDescent="0.25">
      <c r="A171" t="s">
        <v>424</v>
      </c>
      <c r="B171">
        <v>2</v>
      </c>
      <c r="C171" t="s">
        <v>428</v>
      </c>
      <c r="D171" t="s">
        <v>429</v>
      </c>
      <c r="E171" t="s">
        <v>427</v>
      </c>
      <c r="F171" t="s">
        <v>427</v>
      </c>
      <c r="G171" t="s">
        <v>59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25">
      <c r="A172" t="s">
        <v>424</v>
      </c>
      <c r="B172">
        <v>3</v>
      </c>
      <c r="C172" t="s">
        <v>430</v>
      </c>
      <c r="D172" t="s">
        <v>431</v>
      </c>
      <c r="E172" t="s">
        <v>427</v>
      </c>
      <c r="F172" t="s">
        <v>427</v>
      </c>
      <c r="G172" t="s">
        <v>59</v>
      </c>
      <c r="H172">
        <v>64078</v>
      </c>
      <c r="I172">
        <v>252.09805555555499</v>
      </c>
      <c r="J172">
        <v>254.178874401825</v>
      </c>
      <c r="K172">
        <v>259.29846933105199</v>
      </c>
      <c r="L172">
        <v>247.12062576115699</v>
      </c>
      <c r="M172">
        <v>-4.97742979439845</v>
      </c>
      <c r="N172">
        <v>0.980255977050558</v>
      </c>
      <c r="P172">
        <v>0</v>
      </c>
      <c r="Q172">
        <v>0</v>
      </c>
      <c r="R172">
        <v>0</v>
      </c>
      <c r="S172">
        <v>0</v>
      </c>
    </row>
    <row r="173" spans="1:19" x14ac:dyDescent="0.25">
      <c r="A173" t="s">
        <v>424</v>
      </c>
      <c r="B173">
        <v>4</v>
      </c>
      <c r="C173" t="s">
        <v>432</v>
      </c>
      <c r="D173" t="s">
        <v>218</v>
      </c>
      <c r="E173" t="s">
        <v>427</v>
      </c>
      <c r="F173" t="s">
        <v>427</v>
      </c>
      <c r="G173" t="s">
        <v>59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25">
      <c r="A174" t="s">
        <v>424</v>
      </c>
      <c r="B174">
        <v>5</v>
      </c>
      <c r="C174" t="s">
        <v>433</v>
      </c>
      <c r="D174" t="s">
        <v>434</v>
      </c>
      <c r="E174" t="s">
        <v>427</v>
      </c>
      <c r="F174" t="s">
        <v>427</v>
      </c>
      <c r="G174" t="s">
        <v>59</v>
      </c>
      <c r="H174">
        <v>83365</v>
      </c>
      <c r="I174">
        <v>483.05277777777701</v>
      </c>
      <c r="J174">
        <v>172.57948579347701</v>
      </c>
      <c r="K174">
        <v>229.524704674379</v>
      </c>
      <c r="L174">
        <v>363.207089704211</v>
      </c>
      <c r="M174">
        <v>-119.845688073566</v>
      </c>
      <c r="N174">
        <v>0.75189939156358698</v>
      </c>
      <c r="P174">
        <v>0</v>
      </c>
      <c r="Q174">
        <v>0</v>
      </c>
      <c r="R174">
        <v>0</v>
      </c>
      <c r="S174">
        <v>0</v>
      </c>
    </row>
    <row r="175" spans="1:19" x14ac:dyDescent="0.25">
      <c r="A175" t="s">
        <v>424</v>
      </c>
      <c r="B175">
        <v>6</v>
      </c>
      <c r="C175" t="s">
        <v>435</v>
      </c>
      <c r="D175" t="s">
        <v>319</v>
      </c>
      <c r="E175" t="s">
        <v>427</v>
      </c>
      <c r="F175" t="s">
        <v>427</v>
      </c>
      <c r="G175" t="s">
        <v>59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25">
      <c r="A176" t="s">
        <v>424</v>
      </c>
      <c r="B176">
        <v>7</v>
      </c>
      <c r="C176" t="s">
        <v>436</v>
      </c>
      <c r="D176" t="s">
        <v>398</v>
      </c>
      <c r="E176" t="s">
        <v>427</v>
      </c>
      <c r="F176" t="s">
        <v>427</v>
      </c>
      <c r="G176" t="s">
        <v>59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25">
      <c r="A177" t="s">
        <v>424</v>
      </c>
      <c r="B177">
        <v>8</v>
      </c>
      <c r="C177" t="s">
        <v>437</v>
      </c>
      <c r="D177" t="s">
        <v>405</v>
      </c>
      <c r="E177" t="s">
        <v>427</v>
      </c>
      <c r="F177" t="s">
        <v>427</v>
      </c>
      <c r="G177" t="s">
        <v>59</v>
      </c>
      <c r="H177">
        <v>83365</v>
      </c>
      <c r="I177">
        <v>129.94611111111101</v>
      </c>
      <c r="J177">
        <v>641.53516628687896</v>
      </c>
      <c r="K177">
        <v>559.58227023184304</v>
      </c>
      <c r="L177">
        <v>148.97720037745401</v>
      </c>
      <c r="M177">
        <v>19.031089266342899</v>
      </c>
      <c r="N177">
        <v>1.1464537037978</v>
      </c>
      <c r="P177">
        <v>0</v>
      </c>
      <c r="Q177">
        <v>0</v>
      </c>
      <c r="R177">
        <v>0</v>
      </c>
      <c r="S177">
        <v>0</v>
      </c>
    </row>
    <row r="178" spans="1:19" x14ac:dyDescent="0.25">
      <c r="A178" t="s">
        <v>424</v>
      </c>
      <c r="B178">
        <v>9</v>
      </c>
      <c r="C178" t="s">
        <v>438</v>
      </c>
      <c r="D178" t="s">
        <v>418</v>
      </c>
      <c r="E178" t="s">
        <v>427</v>
      </c>
      <c r="F178" t="s">
        <v>427</v>
      </c>
      <c r="G178" t="s">
        <v>269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25">
      <c r="A179" t="s">
        <v>424</v>
      </c>
      <c r="B179">
        <v>10</v>
      </c>
      <c r="C179" t="s">
        <v>439</v>
      </c>
      <c r="D179" t="s">
        <v>440</v>
      </c>
      <c r="E179" t="s">
        <v>427</v>
      </c>
      <c r="F179" t="s">
        <v>427</v>
      </c>
      <c r="G179" t="s">
        <v>59</v>
      </c>
      <c r="H179">
        <v>147443</v>
      </c>
      <c r="I179">
        <v>865.09694444444403</v>
      </c>
      <c r="J179">
        <v>170.43523381611999</v>
      </c>
      <c r="K179">
        <v>194.181542781583</v>
      </c>
      <c r="L179">
        <v>759.30491584282197</v>
      </c>
      <c r="M179">
        <v>-105.792028601621</v>
      </c>
      <c r="N179">
        <v>0.87771078226433896</v>
      </c>
      <c r="P179">
        <v>0</v>
      </c>
      <c r="Q179">
        <v>0</v>
      </c>
      <c r="R179">
        <v>0</v>
      </c>
      <c r="S179">
        <v>0</v>
      </c>
    </row>
    <row r="180" spans="1:19" x14ac:dyDescent="0.25">
      <c r="A180" t="s">
        <v>441</v>
      </c>
      <c r="B180">
        <v>1</v>
      </c>
      <c r="C180" t="s">
        <v>442</v>
      </c>
      <c r="D180" t="s">
        <v>13</v>
      </c>
      <c r="E180" t="s">
        <v>443</v>
      </c>
      <c r="F180" t="s">
        <v>443</v>
      </c>
      <c r="G180" t="s">
        <v>59</v>
      </c>
      <c r="H180">
        <v>64078</v>
      </c>
      <c r="I180">
        <v>252.09805555555499</v>
      </c>
      <c r="J180">
        <v>254.178874401825</v>
      </c>
      <c r="K180">
        <v>259.29846933105199</v>
      </c>
      <c r="L180">
        <v>247.12062576115699</v>
      </c>
      <c r="M180">
        <v>-4.97742979439845</v>
      </c>
      <c r="N180">
        <v>0.980255977050558</v>
      </c>
      <c r="P180">
        <v>0</v>
      </c>
      <c r="Q180">
        <v>0</v>
      </c>
      <c r="R180">
        <v>0</v>
      </c>
      <c r="S180">
        <v>0</v>
      </c>
    </row>
    <row r="181" spans="1:19" x14ac:dyDescent="0.25">
      <c r="A181" t="s">
        <v>441</v>
      </c>
      <c r="B181">
        <v>2</v>
      </c>
      <c r="C181" t="s">
        <v>444</v>
      </c>
      <c r="D181" t="s">
        <v>445</v>
      </c>
      <c r="E181" t="s">
        <v>443</v>
      </c>
      <c r="F181" t="s">
        <v>443</v>
      </c>
      <c r="G181" t="s">
        <v>59</v>
      </c>
      <c r="H181">
        <v>83365</v>
      </c>
      <c r="I181">
        <v>483.05277777777701</v>
      </c>
      <c r="J181">
        <v>172.57948579347701</v>
      </c>
      <c r="K181">
        <v>229.524704674379</v>
      </c>
      <c r="L181">
        <v>363.207089704211</v>
      </c>
      <c r="M181">
        <v>-119.845688073566</v>
      </c>
      <c r="N181">
        <v>0.75189939156358698</v>
      </c>
      <c r="P181">
        <v>0</v>
      </c>
      <c r="Q181">
        <v>0</v>
      </c>
      <c r="R181">
        <v>0</v>
      </c>
      <c r="S181">
        <v>0</v>
      </c>
    </row>
    <row r="182" spans="1:19" x14ac:dyDescent="0.25">
      <c r="A182" t="s">
        <v>441</v>
      </c>
      <c r="B182">
        <v>3</v>
      </c>
      <c r="C182" t="s">
        <v>446</v>
      </c>
      <c r="D182" t="s">
        <v>319</v>
      </c>
      <c r="E182" t="s">
        <v>443</v>
      </c>
      <c r="F182" t="s">
        <v>443</v>
      </c>
      <c r="G182" t="s">
        <v>59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25">
      <c r="A183" t="s">
        <v>441</v>
      </c>
      <c r="B183">
        <v>4</v>
      </c>
      <c r="C183" t="s">
        <v>447</v>
      </c>
      <c r="D183" t="s">
        <v>405</v>
      </c>
      <c r="E183" t="s">
        <v>443</v>
      </c>
      <c r="F183" t="s">
        <v>443</v>
      </c>
      <c r="G183" t="s">
        <v>59</v>
      </c>
      <c r="H183">
        <v>83365</v>
      </c>
      <c r="I183">
        <v>129.94611111111101</v>
      </c>
      <c r="J183">
        <v>641.53516628687896</v>
      </c>
      <c r="K183">
        <v>559.58227023184304</v>
      </c>
      <c r="L183">
        <v>148.97720037745401</v>
      </c>
      <c r="M183">
        <v>19.031089266342899</v>
      </c>
      <c r="N183">
        <v>1.1464537037978</v>
      </c>
      <c r="P183">
        <v>0</v>
      </c>
      <c r="Q183">
        <v>0</v>
      </c>
      <c r="R183">
        <v>0</v>
      </c>
      <c r="S183">
        <v>0</v>
      </c>
    </row>
    <row r="184" spans="1:19" x14ac:dyDescent="0.25">
      <c r="A184" t="s">
        <v>441</v>
      </c>
      <c r="B184">
        <v>5</v>
      </c>
      <c r="C184" t="s">
        <v>448</v>
      </c>
      <c r="D184" t="s">
        <v>418</v>
      </c>
      <c r="E184" t="s">
        <v>443</v>
      </c>
      <c r="F184" t="s">
        <v>443</v>
      </c>
      <c r="G184" t="s">
        <v>269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25">
      <c r="A185" t="s">
        <v>441</v>
      </c>
      <c r="B185">
        <v>6</v>
      </c>
      <c r="C185" t="s">
        <v>449</v>
      </c>
      <c r="D185" t="s">
        <v>440</v>
      </c>
      <c r="E185" t="s">
        <v>443</v>
      </c>
      <c r="F185" t="s">
        <v>443</v>
      </c>
      <c r="G185" t="s">
        <v>59</v>
      </c>
      <c r="H185">
        <v>147443</v>
      </c>
      <c r="I185">
        <v>865.09694444444403</v>
      </c>
      <c r="J185">
        <v>170.43523381611999</v>
      </c>
      <c r="K185">
        <v>194.181542781583</v>
      </c>
      <c r="L185">
        <v>759.30491584282197</v>
      </c>
      <c r="M185">
        <v>-105.792028601621</v>
      </c>
      <c r="N185">
        <v>0.87771078226433896</v>
      </c>
      <c r="P185">
        <v>0</v>
      </c>
      <c r="Q185">
        <v>0</v>
      </c>
      <c r="R185">
        <v>0</v>
      </c>
      <c r="S185">
        <v>0</v>
      </c>
    </row>
    <row r="186" spans="1:19" x14ac:dyDescent="0.25">
      <c r="A186" t="s">
        <v>33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S186"/>
  <sheetViews>
    <sheetView workbookViewId="0">
      <selection sqref="A1:A1048576"/>
    </sheetView>
  </sheetViews>
  <sheetFormatPr defaultRowHeight="15" x14ac:dyDescent="0.25"/>
  <cols>
    <col min="1" max="1" width="18.140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9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</row>
    <row r="2" spans="1:19" x14ac:dyDescent="0.25">
      <c r="A2" t="s">
        <v>53</v>
      </c>
      <c r="B2">
        <v>1</v>
      </c>
      <c r="C2" t="s">
        <v>54</v>
      </c>
      <c r="D2" t="s">
        <v>6</v>
      </c>
      <c r="E2" t="s">
        <v>13</v>
      </c>
      <c r="F2" t="s">
        <v>55</v>
      </c>
      <c r="G2" t="s">
        <v>56</v>
      </c>
      <c r="H2">
        <v>147069</v>
      </c>
      <c r="I2">
        <v>30.85</v>
      </c>
      <c r="J2">
        <v>4767.2285251215499</v>
      </c>
      <c r="K2">
        <v>995.00000399999999</v>
      </c>
      <c r="L2">
        <v>147.808039606801</v>
      </c>
      <c r="M2">
        <v>116.95803960680099</v>
      </c>
      <c r="N2">
        <v>4.7911844280973002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25">
      <c r="A3" t="s">
        <v>53</v>
      </c>
      <c r="B3">
        <v>2</v>
      </c>
      <c r="C3" t="s">
        <v>57</v>
      </c>
      <c r="D3" t="s">
        <v>58</v>
      </c>
      <c r="E3" t="s">
        <v>13</v>
      </c>
      <c r="F3" t="s">
        <v>55</v>
      </c>
      <c r="G3" t="s">
        <v>59</v>
      </c>
      <c r="H3">
        <v>2919</v>
      </c>
      <c r="I3">
        <v>3.3530555555555499</v>
      </c>
      <c r="J3">
        <v>870.54925026924002</v>
      </c>
      <c r="K3">
        <v>275.00000399999999</v>
      </c>
      <c r="L3">
        <v>10.614545300152001</v>
      </c>
      <c r="M3">
        <v>7.2614897445965099</v>
      </c>
      <c r="N3">
        <v>3.1656335912971101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25">
      <c r="A4" t="s">
        <v>53</v>
      </c>
      <c r="B4">
        <v>3</v>
      </c>
      <c r="C4" t="s">
        <v>60</v>
      </c>
      <c r="D4" t="s">
        <v>61</v>
      </c>
      <c r="E4" t="s">
        <v>13</v>
      </c>
      <c r="F4" t="s">
        <v>55</v>
      </c>
      <c r="G4" t="s">
        <v>59</v>
      </c>
      <c r="H4">
        <v>6689</v>
      </c>
      <c r="I4">
        <v>22.058888888888799</v>
      </c>
      <c r="J4">
        <v>303.23376819624201</v>
      </c>
      <c r="K4">
        <v>101.999988</v>
      </c>
      <c r="L4">
        <v>65.578439087659504</v>
      </c>
      <c r="M4">
        <v>43.519550198770602</v>
      </c>
      <c r="N4">
        <v>2.9728804301059499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25">
      <c r="A5" t="s">
        <v>53</v>
      </c>
      <c r="B5">
        <v>4</v>
      </c>
      <c r="C5" t="s">
        <v>62</v>
      </c>
      <c r="D5" t="s">
        <v>63</v>
      </c>
      <c r="E5" t="s">
        <v>13</v>
      </c>
      <c r="F5" t="s">
        <v>55</v>
      </c>
      <c r="G5" t="s">
        <v>59</v>
      </c>
      <c r="H5">
        <v>33</v>
      </c>
      <c r="I5">
        <v>0.806111111111111</v>
      </c>
      <c r="J5">
        <v>40.937284631288698</v>
      </c>
      <c r="K5">
        <v>52.999991999999999</v>
      </c>
      <c r="L5">
        <v>0.6226416034176</v>
      </c>
      <c r="M5">
        <v>-0.18346950769351</v>
      </c>
      <c r="N5">
        <v>0.77240171340570696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25">
      <c r="A6" t="s">
        <v>53</v>
      </c>
      <c r="B6">
        <v>5</v>
      </c>
      <c r="C6" t="s">
        <v>64</v>
      </c>
      <c r="D6" t="s">
        <v>65</v>
      </c>
      <c r="E6" t="s">
        <v>13</v>
      </c>
      <c r="F6" t="s">
        <v>55</v>
      </c>
      <c r="G6" t="s">
        <v>59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25">
      <c r="A7" t="s">
        <v>53</v>
      </c>
      <c r="B7">
        <v>6</v>
      </c>
      <c r="C7" t="s">
        <v>66</v>
      </c>
      <c r="D7" t="s">
        <v>67</v>
      </c>
      <c r="E7" t="s">
        <v>13</v>
      </c>
      <c r="F7" t="s">
        <v>55</v>
      </c>
      <c r="G7" t="s">
        <v>59</v>
      </c>
      <c r="H7">
        <v>9641</v>
      </c>
      <c r="I7">
        <v>26.218055555555502</v>
      </c>
      <c r="J7">
        <v>367.723684907559</v>
      </c>
      <c r="K7">
        <v>125.508317814149</v>
      </c>
      <c r="L7">
        <v>76.815625991229098</v>
      </c>
      <c r="M7">
        <v>50.597570435673603</v>
      </c>
      <c r="N7">
        <v>2.9298750179416699</v>
      </c>
      <c r="P7">
        <v>0</v>
      </c>
      <c r="Q7">
        <v>0</v>
      </c>
      <c r="R7">
        <v>0</v>
      </c>
      <c r="S7">
        <v>0</v>
      </c>
    </row>
    <row r="8" spans="1:19" x14ac:dyDescent="0.25">
      <c r="A8" t="s">
        <v>53</v>
      </c>
      <c r="B8">
        <v>7</v>
      </c>
      <c r="C8" t="s">
        <v>68</v>
      </c>
      <c r="D8" t="s">
        <v>69</v>
      </c>
      <c r="E8" t="s">
        <v>13</v>
      </c>
      <c r="F8" t="s">
        <v>55</v>
      </c>
      <c r="G8" t="s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25">
      <c r="A9" t="s">
        <v>53</v>
      </c>
      <c r="B9">
        <v>8</v>
      </c>
      <c r="C9" t="s">
        <v>70</v>
      </c>
      <c r="D9" t="s">
        <v>71</v>
      </c>
      <c r="E9" t="s">
        <v>13</v>
      </c>
      <c r="F9" t="s">
        <v>55</v>
      </c>
      <c r="G9" t="s">
        <v>59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25">
      <c r="A10" t="s">
        <v>53</v>
      </c>
      <c r="B10">
        <v>9</v>
      </c>
      <c r="C10" t="s">
        <v>72</v>
      </c>
      <c r="D10" t="s">
        <v>73</v>
      </c>
      <c r="E10" t="s">
        <v>13</v>
      </c>
      <c r="F10" t="s">
        <v>55</v>
      </c>
      <c r="G10" t="s">
        <v>59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25">
      <c r="A11" t="s">
        <v>53</v>
      </c>
      <c r="B11">
        <v>10</v>
      </c>
      <c r="C11" t="s">
        <v>74</v>
      </c>
      <c r="D11" t="s">
        <v>75</v>
      </c>
      <c r="E11" t="s">
        <v>13</v>
      </c>
      <c r="F11" t="s">
        <v>55</v>
      </c>
      <c r="G11" t="s">
        <v>59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25">
      <c r="A12" t="s">
        <v>53</v>
      </c>
      <c r="B12">
        <v>11</v>
      </c>
      <c r="C12" t="s">
        <v>76</v>
      </c>
      <c r="D12" t="s">
        <v>77</v>
      </c>
      <c r="E12" t="s">
        <v>13</v>
      </c>
      <c r="F12" t="s">
        <v>55</v>
      </c>
      <c r="G12" t="s">
        <v>59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25">
      <c r="A13" t="s">
        <v>53</v>
      </c>
      <c r="B13">
        <v>12</v>
      </c>
      <c r="C13" t="s">
        <v>78</v>
      </c>
      <c r="D13" t="s">
        <v>79</v>
      </c>
      <c r="E13" t="s">
        <v>13</v>
      </c>
      <c r="F13" t="s">
        <v>55</v>
      </c>
      <c r="G13" t="s">
        <v>80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25">
      <c r="A14" t="s">
        <v>53</v>
      </c>
      <c r="B14">
        <v>13</v>
      </c>
      <c r="C14" t="s">
        <v>81</v>
      </c>
      <c r="D14" t="s">
        <v>7</v>
      </c>
      <c r="E14" t="s">
        <v>13</v>
      </c>
      <c r="F14" t="s">
        <v>55</v>
      </c>
      <c r="G14" t="s">
        <v>80</v>
      </c>
      <c r="H14">
        <v>5818</v>
      </c>
      <c r="I14">
        <v>1.35111111111111</v>
      </c>
      <c r="J14">
        <v>4306.08552631578</v>
      </c>
      <c r="K14">
        <v>524.99998800000003</v>
      </c>
      <c r="L14">
        <v>11.0819050152054</v>
      </c>
      <c r="M14">
        <v>9.7307939040943303</v>
      </c>
      <c r="N14">
        <v>8.2020678566487693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25">
      <c r="A15" t="s">
        <v>53</v>
      </c>
      <c r="B15">
        <v>14</v>
      </c>
      <c r="C15" t="s">
        <v>82</v>
      </c>
      <c r="D15" t="s">
        <v>83</v>
      </c>
      <c r="E15" t="s">
        <v>13</v>
      </c>
      <c r="F15" t="s">
        <v>55</v>
      </c>
      <c r="G15" t="s">
        <v>84</v>
      </c>
      <c r="H15">
        <v>34</v>
      </c>
      <c r="I15">
        <v>4.55138888888888</v>
      </c>
      <c r="J15">
        <v>7.4702471772962999</v>
      </c>
      <c r="K15">
        <v>11.999988</v>
      </c>
      <c r="L15">
        <v>2.8333361666695001</v>
      </c>
      <c r="M15">
        <v>-1.71805272221938</v>
      </c>
      <c r="N15">
        <v>0.62252122062924597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25">
      <c r="A16" t="s">
        <v>53</v>
      </c>
      <c r="B16">
        <v>15</v>
      </c>
      <c r="C16" t="s">
        <v>85</v>
      </c>
      <c r="D16" t="s">
        <v>86</v>
      </c>
      <c r="E16" t="s">
        <v>13</v>
      </c>
      <c r="F16" t="s">
        <v>55</v>
      </c>
      <c r="G16" t="s">
        <v>56</v>
      </c>
      <c r="H16">
        <v>147069</v>
      </c>
      <c r="I16">
        <v>32.0058333333333</v>
      </c>
      <c r="J16">
        <v>4595.0686072851304</v>
      </c>
      <c r="K16">
        <v>2000.00001599999</v>
      </c>
      <c r="L16">
        <v>73.534499411723999</v>
      </c>
      <c r="M16">
        <v>41.5286660783906</v>
      </c>
      <c r="N16">
        <v>2.29753428526229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25">
      <c r="A17" t="s">
        <v>53</v>
      </c>
      <c r="B17">
        <v>16</v>
      </c>
      <c r="C17" t="s">
        <v>87</v>
      </c>
      <c r="D17" t="s">
        <v>88</v>
      </c>
      <c r="E17" t="s">
        <v>13</v>
      </c>
      <c r="F17" t="s">
        <v>55</v>
      </c>
      <c r="G17" t="s">
        <v>59</v>
      </c>
      <c r="H17">
        <v>147069</v>
      </c>
      <c r="I17">
        <v>94.976388888888806</v>
      </c>
      <c r="J17">
        <v>1548.47959288127</v>
      </c>
      <c r="K17">
        <v>471.26412274197901</v>
      </c>
      <c r="L17">
        <v>312.07340619163</v>
      </c>
      <c r="M17">
        <v>217.09701730274099</v>
      </c>
      <c r="N17">
        <v>3.2857998692361199</v>
      </c>
      <c r="P17">
        <v>0</v>
      </c>
      <c r="Q17">
        <v>0</v>
      </c>
      <c r="R17">
        <v>0</v>
      </c>
      <c r="S17">
        <v>0</v>
      </c>
    </row>
    <row r="18" spans="1:19" x14ac:dyDescent="0.25">
      <c r="A18" t="s">
        <v>53</v>
      </c>
      <c r="B18">
        <v>17</v>
      </c>
      <c r="C18" t="s">
        <v>89</v>
      </c>
      <c r="D18" t="s">
        <v>90</v>
      </c>
      <c r="E18" t="s">
        <v>13</v>
      </c>
      <c r="F18" t="s">
        <v>91</v>
      </c>
      <c r="G18" t="s">
        <v>80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25">
      <c r="A19" t="s">
        <v>53</v>
      </c>
      <c r="B19">
        <v>18</v>
      </c>
      <c r="C19" t="s">
        <v>92</v>
      </c>
      <c r="D19" t="s">
        <v>93</v>
      </c>
      <c r="E19" t="s">
        <v>13</v>
      </c>
      <c r="F19" t="s">
        <v>91</v>
      </c>
      <c r="G19" t="s">
        <v>59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25">
      <c r="A20" t="s">
        <v>53</v>
      </c>
      <c r="B20">
        <v>19</v>
      </c>
      <c r="C20" t="s">
        <v>94</v>
      </c>
      <c r="D20" t="s">
        <v>95</v>
      </c>
      <c r="E20" t="s">
        <v>13</v>
      </c>
      <c r="F20" t="s">
        <v>91</v>
      </c>
      <c r="G20" t="s">
        <v>59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25">
      <c r="A21" t="s">
        <v>53</v>
      </c>
      <c r="B21">
        <v>20</v>
      </c>
      <c r="C21" t="s">
        <v>96</v>
      </c>
      <c r="D21" t="s">
        <v>97</v>
      </c>
      <c r="E21" t="s">
        <v>13</v>
      </c>
      <c r="F21" t="s">
        <v>91</v>
      </c>
      <c r="G21" t="s">
        <v>59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25">
      <c r="A22" t="s">
        <v>53</v>
      </c>
      <c r="B22">
        <v>21</v>
      </c>
      <c r="C22" t="s">
        <v>98</v>
      </c>
      <c r="D22" t="s">
        <v>99</v>
      </c>
      <c r="E22" t="s">
        <v>13</v>
      </c>
      <c r="F22" t="s">
        <v>91</v>
      </c>
      <c r="G22" t="s">
        <v>59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25">
      <c r="A23" t="s">
        <v>53</v>
      </c>
      <c r="B23">
        <v>22</v>
      </c>
      <c r="C23" t="s">
        <v>100</v>
      </c>
      <c r="D23" t="s">
        <v>101</v>
      </c>
      <c r="E23" t="s">
        <v>13</v>
      </c>
      <c r="F23" t="s">
        <v>91</v>
      </c>
      <c r="G23" t="s">
        <v>59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25">
      <c r="A24" t="s">
        <v>53</v>
      </c>
      <c r="B24">
        <v>23</v>
      </c>
      <c r="C24" t="s">
        <v>102</v>
      </c>
      <c r="D24" t="s">
        <v>103</v>
      </c>
      <c r="E24" t="s">
        <v>13</v>
      </c>
      <c r="F24" t="s">
        <v>91</v>
      </c>
      <c r="G24" t="s">
        <v>80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25">
      <c r="A25" t="s">
        <v>53</v>
      </c>
      <c r="B25">
        <v>24</v>
      </c>
      <c r="C25" t="s">
        <v>104</v>
      </c>
      <c r="D25" t="s">
        <v>105</v>
      </c>
      <c r="E25" t="s">
        <v>13</v>
      </c>
      <c r="F25" t="s">
        <v>91</v>
      </c>
      <c r="G25" t="s">
        <v>84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25">
      <c r="A26" t="s">
        <v>53</v>
      </c>
      <c r="B26">
        <v>25</v>
      </c>
      <c r="C26" t="s">
        <v>106</v>
      </c>
      <c r="D26" t="s">
        <v>107</v>
      </c>
      <c r="E26" t="s">
        <v>13</v>
      </c>
      <c r="F26" t="s">
        <v>91</v>
      </c>
      <c r="G26" t="s">
        <v>56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25">
      <c r="A27" t="s">
        <v>53</v>
      </c>
      <c r="B27">
        <v>26</v>
      </c>
      <c r="C27" t="s">
        <v>108</v>
      </c>
      <c r="D27" t="s">
        <v>109</v>
      </c>
      <c r="E27" t="s">
        <v>13</v>
      </c>
      <c r="F27" t="s">
        <v>91</v>
      </c>
      <c r="G27" t="s">
        <v>59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25">
      <c r="A28" t="s">
        <v>53</v>
      </c>
      <c r="B28">
        <v>27</v>
      </c>
      <c r="C28" t="s">
        <v>110</v>
      </c>
      <c r="D28" t="s">
        <v>111</v>
      </c>
      <c r="E28" t="s">
        <v>13</v>
      </c>
      <c r="F28" t="s">
        <v>112</v>
      </c>
      <c r="G28" t="s">
        <v>59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25">
      <c r="A29" t="s">
        <v>53</v>
      </c>
      <c r="B29">
        <v>28</v>
      </c>
      <c r="C29" t="s">
        <v>113</v>
      </c>
      <c r="D29" t="s">
        <v>114</v>
      </c>
      <c r="E29" t="s">
        <v>13</v>
      </c>
      <c r="F29" t="s">
        <v>112</v>
      </c>
      <c r="G29" t="s">
        <v>59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25">
      <c r="A30" t="s">
        <v>53</v>
      </c>
      <c r="B30">
        <v>29</v>
      </c>
      <c r="C30" t="s">
        <v>115</v>
      </c>
      <c r="D30" t="s">
        <v>116</v>
      </c>
      <c r="E30" t="s">
        <v>13</v>
      </c>
      <c r="F30" t="s">
        <v>112</v>
      </c>
      <c r="G30" t="s">
        <v>59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25">
      <c r="A31" t="s">
        <v>53</v>
      </c>
      <c r="B31">
        <v>30</v>
      </c>
      <c r="C31" t="s">
        <v>117</v>
      </c>
      <c r="D31" t="s">
        <v>118</v>
      </c>
      <c r="E31" t="s">
        <v>13</v>
      </c>
      <c r="F31" t="s">
        <v>112</v>
      </c>
      <c r="G31" t="s">
        <v>59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25">
      <c r="A32" t="s">
        <v>53</v>
      </c>
      <c r="B32">
        <v>31</v>
      </c>
      <c r="C32" t="s">
        <v>119</v>
      </c>
      <c r="D32" t="s">
        <v>120</v>
      </c>
      <c r="E32" t="s">
        <v>13</v>
      </c>
      <c r="F32" t="s">
        <v>112</v>
      </c>
      <c r="G32" t="s">
        <v>59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25">
      <c r="A33" t="s">
        <v>53</v>
      </c>
      <c r="B33">
        <v>32</v>
      </c>
      <c r="C33" t="s">
        <v>121</v>
      </c>
      <c r="D33" t="s">
        <v>122</v>
      </c>
      <c r="E33" t="s">
        <v>13</v>
      </c>
      <c r="F33" t="s">
        <v>112</v>
      </c>
      <c r="G33" t="s">
        <v>59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25">
      <c r="A34" t="s">
        <v>53</v>
      </c>
      <c r="B34">
        <v>33</v>
      </c>
      <c r="C34" t="s">
        <v>123</v>
      </c>
      <c r="D34" t="s">
        <v>124</v>
      </c>
      <c r="E34" t="s">
        <v>13</v>
      </c>
      <c r="F34" t="s">
        <v>112</v>
      </c>
      <c r="G34" t="s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25">
      <c r="A35" t="s">
        <v>53</v>
      </c>
      <c r="B35">
        <v>34</v>
      </c>
      <c r="C35" t="s">
        <v>125</v>
      </c>
      <c r="D35" t="s">
        <v>126</v>
      </c>
      <c r="E35" t="s">
        <v>13</v>
      </c>
      <c r="F35" t="s">
        <v>112</v>
      </c>
      <c r="G35" t="s">
        <v>56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25">
      <c r="A36" t="s">
        <v>53</v>
      </c>
      <c r="B36">
        <v>35</v>
      </c>
      <c r="C36" t="s">
        <v>127</v>
      </c>
      <c r="D36" t="s">
        <v>128</v>
      </c>
      <c r="E36" t="s">
        <v>13</v>
      </c>
      <c r="F36" t="s">
        <v>112</v>
      </c>
      <c r="G36" t="s">
        <v>56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25">
      <c r="A37" t="s">
        <v>53</v>
      </c>
      <c r="B37">
        <v>36</v>
      </c>
      <c r="C37" t="s">
        <v>129</v>
      </c>
      <c r="D37" t="s">
        <v>130</v>
      </c>
      <c r="E37" t="s">
        <v>13</v>
      </c>
      <c r="F37" t="s">
        <v>131</v>
      </c>
      <c r="G37" t="s">
        <v>59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25">
      <c r="A38" t="s">
        <v>53</v>
      </c>
      <c r="B38">
        <v>37</v>
      </c>
      <c r="C38" t="s">
        <v>132</v>
      </c>
      <c r="D38" t="s">
        <v>133</v>
      </c>
      <c r="E38" t="s">
        <v>13</v>
      </c>
      <c r="F38" t="s">
        <v>131</v>
      </c>
      <c r="G38" t="s">
        <v>59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25">
      <c r="A39" t="s">
        <v>53</v>
      </c>
      <c r="B39">
        <v>38</v>
      </c>
      <c r="C39" t="s">
        <v>134</v>
      </c>
      <c r="D39" t="s">
        <v>135</v>
      </c>
      <c r="E39" t="s">
        <v>13</v>
      </c>
      <c r="F39" t="s">
        <v>131</v>
      </c>
      <c r="G39" t="s">
        <v>59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25">
      <c r="A40" t="s">
        <v>53</v>
      </c>
      <c r="B40">
        <v>39</v>
      </c>
      <c r="C40" t="s">
        <v>136</v>
      </c>
      <c r="D40" t="s">
        <v>137</v>
      </c>
      <c r="E40" t="s">
        <v>13</v>
      </c>
      <c r="F40" t="s">
        <v>131</v>
      </c>
      <c r="G40" t="s">
        <v>59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25">
      <c r="A41" t="s">
        <v>53</v>
      </c>
      <c r="B41">
        <v>40</v>
      </c>
      <c r="C41" t="s">
        <v>138</v>
      </c>
      <c r="D41" t="s">
        <v>139</v>
      </c>
      <c r="E41" t="s">
        <v>13</v>
      </c>
      <c r="F41" t="s">
        <v>131</v>
      </c>
      <c r="G41" t="s">
        <v>59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25">
      <c r="A42" t="s">
        <v>53</v>
      </c>
      <c r="B42">
        <v>41</v>
      </c>
      <c r="C42" t="s">
        <v>140</v>
      </c>
      <c r="D42" t="s">
        <v>141</v>
      </c>
      <c r="E42" t="s">
        <v>13</v>
      </c>
      <c r="F42" t="s">
        <v>131</v>
      </c>
      <c r="G42" t="s">
        <v>80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25">
      <c r="A43" t="s">
        <v>53</v>
      </c>
      <c r="B43">
        <v>42</v>
      </c>
      <c r="C43" t="s">
        <v>142</v>
      </c>
      <c r="D43" t="s">
        <v>143</v>
      </c>
      <c r="E43" t="s">
        <v>13</v>
      </c>
      <c r="F43" t="s">
        <v>131</v>
      </c>
      <c r="G43" t="s">
        <v>84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25">
      <c r="A44" t="s">
        <v>53</v>
      </c>
      <c r="B44">
        <v>43</v>
      </c>
      <c r="C44" t="s">
        <v>144</v>
      </c>
      <c r="D44" t="s">
        <v>145</v>
      </c>
      <c r="E44" t="s">
        <v>13</v>
      </c>
      <c r="F44" t="s">
        <v>131</v>
      </c>
      <c r="G44" t="s">
        <v>59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25">
      <c r="A45" t="s">
        <v>53</v>
      </c>
      <c r="B45">
        <v>44</v>
      </c>
      <c r="C45" t="s">
        <v>146</v>
      </c>
      <c r="D45" t="s">
        <v>147</v>
      </c>
      <c r="E45" t="s">
        <v>13</v>
      </c>
      <c r="F45" t="s">
        <v>131</v>
      </c>
      <c r="G45" t="s">
        <v>59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25">
      <c r="A46" t="s">
        <v>53</v>
      </c>
      <c r="B46">
        <v>45</v>
      </c>
      <c r="C46" t="s">
        <v>148</v>
      </c>
      <c r="D46" t="s">
        <v>149</v>
      </c>
      <c r="E46" t="s">
        <v>13</v>
      </c>
      <c r="F46" t="s">
        <v>150</v>
      </c>
      <c r="G46" t="s">
        <v>80</v>
      </c>
      <c r="H46">
        <v>6535</v>
      </c>
      <c r="I46">
        <v>91.329444444444405</v>
      </c>
      <c r="J46">
        <v>71.554141599703101</v>
      </c>
      <c r="K46">
        <v>86.000004000000004</v>
      </c>
      <c r="L46">
        <v>75.988368558680506</v>
      </c>
      <c r="M46">
        <v>-15.3410758857639</v>
      </c>
      <c r="N46">
        <v>0.83202486362329797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25">
      <c r="A47" t="s">
        <v>53</v>
      </c>
      <c r="B47">
        <v>46</v>
      </c>
      <c r="C47" t="s">
        <v>151</v>
      </c>
      <c r="D47" t="s">
        <v>152</v>
      </c>
      <c r="E47" t="s">
        <v>13</v>
      </c>
      <c r="F47" t="s">
        <v>150</v>
      </c>
      <c r="G47" t="s">
        <v>153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25">
      <c r="A48" t="s">
        <v>53</v>
      </c>
      <c r="B48">
        <v>47</v>
      </c>
      <c r="C48" t="s">
        <v>154</v>
      </c>
      <c r="D48" t="s">
        <v>155</v>
      </c>
      <c r="E48" t="s">
        <v>13</v>
      </c>
      <c r="F48" t="s">
        <v>150</v>
      </c>
      <c r="G48" t="s">
        <v>84</v>
      </c>
      <c r="H48">
        <v>32</v>
      </c>
      <c r="I48">
        <v>11.7627777777777</v>
      </c>
      <c r="J48">
        <v>2.7204458508477698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25">
      <c r="A49" t="s">
        <v>53</v>
      </c>
      <c r="B49">
        <v>48</v>
      </c>
      <c r="C49" t="s">
        <v>156</v>
      </c>
      <c r="D49" t="s">
        <v>157</v>
      </c>
      <c r="E49" t="s">
        <v>13</v>
      </c>
      <c r="F49" t="s">
        <v>150</v>
      </c>
      <c r="G49" t="s">
        <v>158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25">
      <c r="A50" t="s">
        <v>53</v>
      </c>
      <c r="B50">
        <v>49</v>
      </c>
      <c r="C50" t="s">
        <v>159</v>
      </c>
      <c r="D50" t="s">
        <v>160</v>
      </c>
      <c r="E50" t="s">
        <v>13</v>
      </c>
      <c r="F50" t="s">
        <v>150</v>
      </c>
      <c r="G50" t="s">
        <v>56</v>
      </c>
      <c r="H50">
        <v>224452</v>
      </c>
      <c r="I50">
        <v>59.4855555555555</v>
      </c>
      <c r="J50">
        <v>3773.2185217699898</v>
      </c>
      <c r="K50">
        <v>15000.0000119999</v>
      </c>
      <c r="L50">
        <v>14.9634666546958</v>
      </c>
      <c r="M50">
        <v>-44.5220889008596</v>
      </c>
      <c r="N50">
        <v>0.25154790125009402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25">
      <c r="A51" t="s">
        <v>53</v>
      </c>
      <c r="B51">
        <v>50</v>
      </c>
      <c r="C51" t="s">
        <v>161</v>
      </c>
      <c r="D51" t="s">
        <v>162</v>
      </c>
      <c r="E51" t="s">
        <v>13</v>
      </c>
      <c r="F51" t="s">
        <v>150</v>
      </c>
      <c r="G51" t="s">
        <v>56</v>
      </c>
      <c r="H51">
        <v>224452</v>
      </c>
      <c r="I51">
        <v>162.57777777777699</v>
      </c>
      <c r="J51">
        <v>1380.58228540185</v>
      </c>
      <c r="K51">
        <v>2467.8116661794302</v>
      </c>
      <c r="L51">
        <v>90.951835213376398</v>
      </c>
      <c r="M51">
        <v>-71.625942564401299</v>
      </c>
      <c r="N51">
        <v>0.55943583715171397</v>
      </c>
      <c r="P51">
        <v>0</v>
      </c>
      <c r="Q51">
        <v>0</v>
      </c>
      <c r="R51">
        <v>0</v>
      </c>
      <c r="S51">
        <v>0</v>
      </c>
    </row>
    <row r="52" spans="1:19" x14ac:dyDescent="0.25">
      <c r="A52" t="s">
        <v>53</v>
      </c>
      <c r="B52">
        <v>51</v>
      </c>
      <c r="C52" t="s">
        <v>163</v>
      </c>
      <c r="D52" t="s">
        <v>164</v>
      </c>
      <c r="E52" t="s">
        <v>13</v>
      </c>
      <c r="F52" t="s">
        <v>164</v>
      </c>
      <c r="G52" t="s">
        <v>56</v>
      </c>
      <c r="H52">
        <v>147069</v>
      </c>
      <c r="I52">
        <v>20.8</v>
      </c>
      <c r="J52">
        <v>7070.625</v>
      </c>
      <c r="K52">
        <v>4500</v>
      </c>
      <c r="L52">
        <v>32.682000000000002</v>
      </c>
      <c r="M52">
        <v>11.882</v>
      </c>
      <c r="N52">
        <v>1.57125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25">
      <c r="A53" t="s">
        <v>53</v>
      </c>
      <c r="B53">
        <v>52</v>
      </c>
      <c r="C53" t="s">
        <v>165</v>
      </c>
      <c r="D53" t="s">
        <v>166</v>
      </c>
      <c r="E53" t="s">
        <v>13</v>
      </c>
      <c r="F53" t="s">
        <v>167</v>
      </c>
      <c r="G53" t="s">
        <v>56</v>
      </c>
      <c r="H53">
        <v>147069</v>
      </c>
      <c r="I53">
        <v>38.606944444444402</v>
      </c>
      <c r="J53">
        <v>3809.3923804727101</v>
      </c>
      <c r="K53">
        <v>1850.000004</v>
      </c>
      <c r="L53">
        <v>79.496756584871804</v>
      </c>
      <c r="M53">
        <v>40.889812140427402</v>
      </c>
      <c r="N53">
        <v>2.0591310120195598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25">
      <c r="A54" t="s">
        <v>53</v>
      </c>
      <c r="B54">
        <v>53</v>
      </c>
      <c r="C54" t="s">
        <v>168</v>
      </c>
      <c r="D54" t="s">
        <v>11</v>
      </c>
      <c r="E54" t="s">
        <v>13</v>
      </c>
      <c r="F54" t="s">
        <v>169</v>
      </c>
      <c r="G54" t="s">
        <v>59</v>
      </c>
      <c r="H54">
        <v>147069</v>
      </c>
      <c r="I54">
        <v>316.96111111111099</v>
      </c>
      <c r="J54">
        <v>463.99698525932001</v>
      </c>
      <c r="K54">
        <v>285.45780035443198</v>
      </c>
      <c r="L54">
        <v>515.20399798987796</v>
      </c>
      <c r="M54">
        <v>198.242886878767</v>
      </c>
      <c r="N54">
        <v>1.6254486116098701</v>
      </c>
      <c r="P54">
        <v>0</v>
      </c>
      <c r="Q54">
        <v>0</v>
      </c>
      <c r="R54">
        <v>0</v>
      </c>
      <c r="S54">
        <v>0</v>
      </c>
    </row>
    <row r="55" spans="1:19" x14ac:dyDescent="0.25">
      <c r="A55" t="s">
        <v>53</v>
      </c>
      <c r="B55">
        <v>54</v>
      </c>
      <c r="C55" t="s">
        <v>170</v>
      </c>
      <c r="D55" t="s">
        <v>171</v>
      </c>
      <c r="E55" t="s">
        <v>172</v>
      </c>
      <c r="F55" t="s">
        <v>173</v>
      </c>
      <c r="G55" t="s">
        <v>80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25">
      <c r="A56" t="s">
        <v>53</v>
      </c>
      <c r="B56">
        <v>55</v>
      </c>
      <c r="C56" t="s">
        <v>174</v>
      </c>
      <c r="D56" t="s">
        <v>175</v>
      </c>
      <c r="E56" t="s">
        <v>172</v>
      </c>
      <c r="F56" t="s">
        <v>173</v>
      </c>
      <c r="G56" t="s">
        <v>84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25">
      <c r="A57" t="s">
        <v>53</v>
      </c>
      <c r="B57">
        <v>56</v>
      </c>
      <c r="C57" t="s">
        <v>176</v>
      </c>
      <c r="D57" t="s">
        <v>177</v>
      </c>
      <c r="E57" t="s">
        <v>172</v>
      </c>
      <c r="F57" t="s">
        <v>178</v>
      </c>
      <c r="G57" t="s">
        <v>80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25">
      <c r="A58" t="s">
        <v>53</v>
      </c>
      <c r="B58">
        <v>57</v>
      </c>
      <c r="C58" t="s">
        <v>179</v>
      </c>
      <c r="D58" t="s">
        <v>180</v>
      </c>
      <c r="E58" t="s">
        <v>172</v>
      </c>
      <c r="F58" t="s">
        <v>178</v>
      </c>
      <c r="G58" t="s">
        <v>80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25">
      <c r="A59" t="s">
        <v>53</v>
      </c>
      <c r="B59">
        <v>58</v>
      </c>
      <c r="C59" t="s">
        <v>181</v>
      </c>
      <c r="D59" t="s">
        <v>182</v>
      </c>
      <c r="E59" t="s">
        <v>172</v>
      </c>
      <c r="F59" t="s">
        <v>183</v>
      </c>
      <c r="G59" t="s">
        <v>80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25">
      <c r="A60" t="s">
        <v>53</v>
      </c>
      <c r="B60">
        <v>59</v>
      </c>
      <c r="C60" t="s">
        <v>184</v>
      </c>
      <c r="D60" t="s">
        <v>185</v>
      </c>
      <c r="E60" t="s">
        <v>172</v>
      </c>
      <c r="F60" t="s">
        <v>183</v>
      </c>
      <c r="G60" t="s">
        <v>59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25">
      <c r="A61" t="s">
        <v>53</v>
      </c>
      <c r="B61">
        <v>60</v>
      </c>
      <c r="C61" t="s">
        <v>186</v>
      </c>
      <c r="D61" t="s">
        <v>187</v>
      </c>
      <c r="E61" t="s">
        <v>172</v>
      </c>
      <c r="F61" t="s">
        <v>183</v>
      </c>
      <c r="G61" t="s">
        <v>59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25">
      <c r="A62" t="s">
        <v>53</v>
      </c>
      <c r="B62">
        <v>61</v>
      </c>
      <c r="C62" t="s">
        <v>188</v>
      </c>
      <c r="D62" t="s">
        <v>189</v>
      </c>
      <c r="E62" t="s">
        <v>172</v>
      </c>
      <c r="F62" t="s">
        <v>183</v>
      </c>
      <c r="G62" t="s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25">
      <c r="A63" t="s">
        <v>53</v>
      </c>
      <c r="B63">
        <v>62</v>
      </c>
      <c r="C63" t="s">
        <v>190</v>
      </c>
      <c r="D63" t="s">
        <v>191</v>
      </c>
      <c r="E63" t="s">
        <v>172</v>
      </c>
      <c r="F63" t="s">
        <v>183</v>
      </c>
      <c r="G63" t="s">
        <v>59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25">
      <c r="A64" t="s">
        <v>53</v>
      </c>
      <c r="B64">
        <v>63</v>
      </c>
      <c r="C64" t="s">
        <v>192</v>
      </c>
      <c r="D64" t="s">
        <v>193</v>
      </c>
      <c r="E64" t="s">
        <v>172</v>
      </c>
      <c r="F64" t="s">
        <v>183</v>
      </c>
      <c r="G64" t="s">
        <v>56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25">
      <c r="A65" t="s">
        <v>53</v>
      </c>
      <c r="B65">
        <v>64</v>
      </c>
      <c r="C65" t="s">
        <v>194</v>
      </c>
      <c r="D65" t="s">
        <v>195</v>
      </c>
      <c r="E65" t="s">
        <v>172</v>
      </c>
      <c r="F65" t="s">
        <v>196</v>
      </c>
      <c r="G65" t="s">
        <v>59</v>
      </c>
      <c r="H65">
        <v>12097</v>
      </c>
      <c r="I65">
        <v>9.2783333333333307</v>
      </c>
      <c r="J65">
        <v>1303.7901922040501</v>
      </c>
      <c r="K65">
        <v>1244.000016</v>
      </c>
      <c r="L65">
        <v>9.7242764022601094</v>
      </c>
      <c r="M65">
        <v>0.44594306892677799</v>
      </c>
      <c r="N65">
        <v>1.0480628419895901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25">
      <c r="A66" t="s">
        <v>53</v>
      </c>
      <c r="B66">
        <v>65</v>
      </c>
      <c r="C66" t="s">
        <v>197</v>
      </c>
      <c r="D66" t="s">
        <v>198</v>
      </c>
      <c r="E66" t="s">
        <v>172</v>
      </c>
      <c r="F66" t="s">
        <v>196</v>
      </c>
      <c r="G66" t="s">
        <v>59</v>
      </c>
      <c r="H66">
        <v>63605</v>
      </c>
      <c r="I66">
        <v>330.00416666666598</v>
      </c>
      <c r="J66">
        <v>192.73999065668301</v>
      </c>
      <c r="K66">
        <v>288</v>
      </c>
      <c r="L66">
        <v>220.850694444444</v>
      </c>
      <c r="M66">
        <v>-109.15347222222201</v>
      </c>
      <c r="N66">
        <v>0.66923607866904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25">
      <c r="A67" t="s">
        <v>53</v>
      </c>
      <c r="B67">
        <v>66</v>
      </c>
      <c r="C67" t="s">
        <v>199</v>
      </c>
      <c r="D67" t="s">
        <v>200</v>
      </c>
      <c r="E67" t="s">
        <v>172</v>
      </c>
      <c r="F67" t="s">
        <v>196</v>
      </c>
      <c r="G67" t="s">
        <v>59</v>
      </c>
      <c r="H67">
        <v>779</v>
      </c>
      <c r="I67">
        <v>4.2841666666666596</v>
      </c>
      <c r="J67">
        <v>181.83232834078899</v>
      </c>
      <c r="K67">
        <v>117</v>
      </c>
      <c r="L67">
        <v>6.6581196581196496</v>
      </c>
      <c r="M67">
        <v>2.37395299145299</v>
      </c>
      <c r="N67">
        <v>1.55412246445119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25">
      <c r="A68" t="s">
        <v>53</v>
      </c>
      <c r="B68">
        <v>67</v>
      </c>
      <c r="C68" t="s">
        <v>201</v>
      </c>
      <c r="D68" t="s">
        <v>202</v>
      </c>
      <c r="E68" t="s">
        <v>172</v>
      </c>
      <c r="F68" t="s">
        <v>196</v>
      </c>
      <c r="G68" t="s">
        <v>59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25">
      <c r="A69" t="s">
        <v>53</v>
      </c>
      <c r="B69">
        <v>68</v>
      </c>
      <c r="C69" t="s">
        <v>203</v>
      </c>
      <c r="D69" t="s">
        <v>204</v>
      </c>
      <c r="E69" t="s">
        <v>172</v>
      </c>
      <c r="F69" t="s">
        <v>196</v>
      </c>
      <c r="G69" t="s">
        <v>59</v>
      </c>
      <c r="H69">
        <v>76481</v>
      </c>
      <c r="I69">
        <v>343.56666666666598</v>
      </c>
      <c r="J69">
        <v>222.60890656835099</v>
      </c>
      <c r="K69">
        <v>322.387571806491</v>
      </c>
      <c r="L69">
        <v>237.23309050482399</v>
      </c>
      <c r="M69">
        <v>-106.333576161842</v>
      </c>
      <c r="N69">
        <v>0.69050089406662696</v>
      </c>
      <c r="P69">
        <v>0</v>
      </c>
      <c r="Q69">
        <v>0</v>
      </c>
      <c r="R69">
        <v>0</v>
      </c>
      <c r="S69">
        <v>0</v>
      </c>
    </row>
    <row r="70" spans="1:19" x14ac:dyDescent="0.25">
      <c r="A70" t="s">
        <v>53</v>
      </c>
      <c r="B70">
        <v>69</v>
      </c>
      <c r="C70" t="s">
        <v>205</v>
      </c>
      <c r="D70" t="s">
        <v>206</v>
      </c>
      <c r="E70" t="s">
        <v>172</v>
      </c>
      <c r="F70" t="s">
        <v>206</v>
      </c>
      <c r="G70" t="s">
        <v>59</v>
      </c>
      <c r="H70">
        <v>77383</v>
      </c>
      <c r="I70">
        <v>47.743333333333297</v>
      </c>
      <c r="J70">
        <v>1620.81267890805</v>
      </c>
      <c r="K70">
        <v>3465</v>
      </c>
      <c r="L70">
        <v>22.332756132756099</v>
      </c>
      <c r="M70">
        <v>-25.410577200577201</v>
      </c>
      <c r="N70">
        <v>0.46776700689987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25">
      <c r="A71" t="s">
        <v>53</v>
      </c>
      <c r="B71">
        <v>70</v>
      </c>
      <c r="C71" t="s">
        <v>207</v>
      </c>
      <c r="D71" t="s">
        <v>208</v>
      </c>
      <c r="E71" t="s">
        <v>172</v>
      </c>
      <c r="F71" t="s">
        <v>208</v>
      </c>
      <c r="G71" t="s">
        <v>56</v>
      </c>
      <c r="H71">
        <v>77383</v>
      </c>
      <c r="I71">
        <v>60.269444444444403</v>
      </c>
      <c r="J71">
        <v>1283.9507766050599</v>
      </c>
      <c r="K71">
        <v>1524.999996</v>
      </c>
      <c r="L71">
        <v>50.742950952768297</v>
      </c>
      <c r="M71">
        <v>-9.5264934916760495</v>
      </c>
      <c r="N71">
        <v>0.84193493768708205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25">
      <c r="A72" t="s">
        <v>53</v>
      </c>
      <c r="B72">
        <v>71</v>
      </c>
      <c r="C72" t="s">
        <v>209</v>
      </c>
      <c r="D72" t="s">
        <v>210</v>
      </c>
      <c r="E72" t="s">
        <v>172</v>
      </c>
      <c r="F72" t="s">
        <v>210</v>
      </c>
      <c r="G72" t="s">
        <v>56</v>
      </c>
      <c r="H72">
        <v>77383</v>
      </c>
      <c r="I72">
        <v>28.566666666666599</v>
      </c>
      <c r="J72">
        <v>2708.8564760793402</v>
      </c>
      <c r="K72">
        <v>3499.999992</v>
      </c>
      <c r="L72">
        <v>22.109428621964401</v>
      </c>
      <c r="M72">
        <v>-6.4572380447022599</v>
      </c>
      <c r="N72">
        <v>0.77395899493457598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25">
      <c r="A73" t="s">
        <v>53</v>
      </c>
      <c r="B73">
        <v>72</v>
      </c>
      <c r="C73" t="s">
        <v>211</v>
      </c>
      <c r="D73" t="s">
        <v>212</v>
      </c>
      <c r="E73" t="s">
        <v>172</v>
      </c>
      <c r="F73" t="s">
        <v>213</v>
      </c>
      <c r="G73" t="s">
        <v>56</v>
      </c>
      <c r="H73">
        <v>77383</v>
      </c>
      <c r="I73">
        <v>13.875277777777701</v>
      </c>
      <c r="J73">
        <v>5577.0415006706498</v>
      </c>
      <c r="K73">
        <v>5000.0000040000004</v>
      </c>
      <c r="L73">
        <v>15.4765999876187</v>
      </c>
      <c r="M73">
        <v>1.6013222098409401</v>
      </c>
      <c r="N73">
        <v>1.1154082992418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25">
      <c r="A74" t="s">
        <v>53</v>
      </c>
      <c r="B74">
        <v>73</v>
      </c>
      <c r="C74" t="s">
        <v>214</v>
      </c>
      <c r="D74" t="s">
        <v>215</v>
      </c>
      <c r="E74" t="s">
        <v>172</v>
      </c>
      <c r="F74" t="s">
        <v>169</v>
      </c>
      <c r="G74" t="s">
        <v>56</v>
      </c>
      <c r="H74">
        <v>77383</v>
      </c>
      <c r="I74">
        <v>494.021388888888</v>
      </c>
      <c r="J74">
        <v>156.638966936316</v>
      </c>
      <c r="K74">
        <v>222.43216677079499</v>
      </c>
      <c r="L74">
        <v>347.894826199931</v>
      </c>
      <c r="M74">
        <v>-146.12656268895699</v>
      </c>
      <c r="N74">
        <v>0.70421004844018398</v>
      </c>
      <c r="P74">
        <v>0</v>
      </c>
      <c r="Q74">
        <v>0</v>
      </c>
      <c r="R74">
        <v>0</v>
      </c>
      <c r="S74">
        <v>0</v>
      </c>
    </row>
    <row r="75" spans="1:19" x14ac:dyDescent="0.25">
      <c r="A75" t="s">
        <v>53</v>
      </c>
      <c r="B75">
        <v>74</v>
      </c>
      <c r="C75" t="s">
        <v>216</v>
      </c>
      <c r="D75" t="s">
        <v>217</v>
      </c>
      <c r="E75" t="s">
        <v>218</v>
      </c>
      <c r="F75" t="s">
        <v>9</v>
      </c>
      <c r="G75" t="s">
        <v>59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25">
      <c r="A76" t="s">
        <v>53</v>
      </c>
      <c r="B76">
        <v>75</v>
      </c>
      <c r="C76" t="s">
        <v>219</v>
      </c>
      <c r="D76" t="s">
        <v>220</v>
      </c>
      <c r="E76" t="s">
        <v>218</v>
      </c>
      <c r="F76" t="s">
        <v>9</v>
      </c>
      <c r="G76" t="s">
        <v>59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25">
      <c r="A77" t="s">
        <v>53</v>
      </c>
      <c r="B77">
        <v>76</v>
      </c>
      <c r="C77" t="s">
        <v>221</v>
      </c>
      <c r="D77" t="s">
        <v>222</v>
      </c>
      <c r="E77" t="s">
        <v>218</v>
      </c>
      <c r="F77" t="s">
        <v>9</v>
      </c>
      <c r="G77" t="s">
        <v>59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25">
      <c r="A78" t="s">
        <v>53</v>
      </c>
      <c r="B78">
        <v>77</v>
      </c>
      <c r="C78" t="s">
        <v>223</v>
      </c>
      <c r="D78" t="s">
        <v>224</v>
      </c>
      <c r="E78" t="s">
        <v>218</v>
      </c>
      <c r="F78" t="s">
        <v>9</v>
      </c>
      <c r="G78" t="s">
        <v>59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25">
      <c r="A79" t="s">
        <v>53</v>
      </c>
      <c r="B79">
        <v>78</v>
      </c>
      <c r="C79" t="s">
        <v>225</v>
      </c>
      <c r="D79" t="s">
        <v>226</v>
      </c>
      <c r="E79" t="s">
        <v>218</v>
      </c>
      <c r="F79" t="s">
        <v>9</v>
      </c>
      <c r="G79" t="s">
        <v>59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25">
      <c r="A80" t="s">
        <v>53</v>
      </c>
      <c r="B80">
        <v>79</v>
      </c>
      <c r="C80" t="s">
        <v>227</v>
      </c>
      <c r="D80" t="s">
        <v>228</v>
      </c>
      <c r="E80" t="s">
        <v>218</v>
      </c>
      <c r="F80" t="s">
        <v>9</v>
      </c>
      <c r="G80" t="s">
        <v>56</v>
      </c>
      <c r="H80">
        <v>76481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25">
      <c r="A81" t="s">
        <v>53</v>
      </c>
      <c r="B81">
        <v>80</v>
      </c>
      <c r="C81" t="s">
        <v>229</v>
      </c>
      <c r="D81" t="s">
        <v>230</v>
      </c>
      <c r="E81" t="s">
        <v>218</v>
      </c>
      <c r="F81" t="s">
        <v>9</v>
      </c>
      <c r="G81" t="s">
        <v>56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25">
      <c r="A82" t="s">
        <v>53</v>
      </c>
      <c r="B82">
        <v>81</v>
      </c>
      <c r="C82" t="s">
        <v>231</v>
      </c>
      <c r="D82" t="s">
        <v>232</v>
      </c>
      <c r="E82" t="s">
        <v>218</v>
      </c>
      <c r="F82" t="s">
        <v>233</v>
      </c>
      <c r="G82" t="s">
        <v>59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25">
      <c r="A83" t="s">
        <v>53</v>
      </c>
      <c r="B83">
        <v>82</v>
      </c>
      <c r="C83" t="s">
        <v>234</v>
      </c>
      <c r="D83" t="s">
        <v>235</v>
      </c>
      <c r="E83" t="s">
        <v>218</v>
      </c>
      <c r="F83" t="s">
        <v>233</v>
      </c>
      <c r="G83" t="s">
        <v>59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25">
      <c r="A84" t="s">
        <v>53</v>
      </c>
      <c r="B84">
        <v>83</v>
      </c>
      <c r="C84" t="s">
        <v>236</v>
      </c>
      <c r="D84" t="s">
        <v>237</v>
      </c>
      <c r="E84" t="s">
        <v>218</v>
      </c>
      <c r="F84" t="s">
        <v>233</v>
      </c>
      <c r="G84" t="s">
        <v>59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25">
      <c r="A85" t="s">
        <v>53</v>
      </c>
      <c r="B85">
        <v>84</v>
      </c>
      <c r="C85" t="s">
        <v>238</v>
      </c>
      <c r="D85" t="s">
        <v>239</v>
      </c>
      <c r="E85" t="s">
        <v>218</v>
      </c>
      <c r="F85" t="s">
        <v>233</v>
      </c>
      <c r="G85" t="s">
        <v>59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25">
      <c r="A86" t="s">
        <v>53</v>
      </c>
      <c r="B86">
        <v>85</v>
      </c>
      <c r="C86" t="s">
        <v>240</v>
      </c>
      <c r="D86" t="s">
        <v>241</v>
      </c>
      <c r="E86" t="s">
        <v>218</v>
      </c>
      <c r="F86" t="s">
        <v>233</v>
      </c>
      <c r="G86" t="s">
        <v>59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25">
      <c r="A87" t="s">
        <v>53</v>
      </c>
      <c r="B87">
        <v>86</v>
      </c>
      <c r="C87" t="s">
        <v>242</v>
      </c>
      <c r="D87" t="s">
        <v>243</v>
      </c>
      <c r="E87" t="s">
        <v>218</v>
      </c>
      <c r="F87" t="s">
        <v>233</v>
      </c>
      <c r="G87" t="s">
        <v>59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25">
      <c r="A88" t="s">
        <v>53</v>
      </c>
      <c r="B88">
        <v>87</v>
      </c>
      <c r="C88" t="s">
        <v>244</v>
      </c>
      <c r="D88" t="s">
        <v>245</v>
      </c>
      <c r="E88" t="s">
        <v>218</v>
      </c>
      <c r="F88" t="s">
        <v>233</v>
      </c>
      <c r="G88" t="s">
        <v>59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25">
      <c r="A89" t="s">
        <v>53</v>
      </c>
      <c r="B89">
        <v>88</v>
      </c>
      <c r="C89" t="s">
        <v>246</v>
      </c>
      <c r="D89" t="s">
        <v>247</v>
      </c>
      <c r="E89" t="s">
        <v>218</v>
      </c>
      <c r="F89" t="s">
        <v>233</v>
      </c>
      <c r="G89" t="s">
        <v>59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25">
      <c r="A90" t="s">
        <v>53</v>
      </c>
      <c r="B90">
        <v>89</v>
      </c>
      <c r="C90" t="s">
        <v>248</v>
      </c>
      <c r="D90" t="s">
        <v>249</v>
      </c>
      <c r="E90" t="s">
        <v>218</v>
      </c>
      <c r="F90" t="s">
        <v>233</v>
      </c>
      <c r="G90" t="s">
        <v>59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25">
      <c r="A91" t="s">
        <v>53</v>
      </c>
      <c r="B91">
        <v>90</v>
      </c>
      <c r="C91" t="s">
        <v>250</v>
      </c>
      <c r="D91" t="s">
        <v>251</v>
      </c>
      <c r="E91" t="s">
        <v>218</v>
      </c>
      <c r="F91" t="s">
        <v>233</v>
      </c>
      <c r="G91" t="s">
        <v>59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25">
      <c r="A92" t="s">
        <v>53</v>
      </c>
      <c r="B92">
        <v>91</v>
      </c>
      <c r="C92" t="s">
        <v>252</v>
      </c>
      <c r="D92" t="s">
        <v>253</v>
      </c>
      <c r="E92" t="s">
        <v>218</v>
      </c>
      <c r="F92" t="s">
        <v>233</v>
      </c>
      <c r="G92" t="s">
        <v>56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25">
      <c r="A93" t="s">
        <v>53</v>
      </c>
      <c r="B93">
        <v>92</v>
      </c>
      <c r="C93" t="s">
        <v>254</v>
      </c>
      <c r="D93" t="s">
        <v>255</v>
      </c>
      <c r="E93" t="s">
        <v>218</v>
      </c>
      <c r="F93" t="s">
        <v>233</v>
      </c>
      <c r="G93" t="s">
        <v>59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25">
      <c r="A94" t="s">
        <v>53</v>
      </c>
      <c r="B94">
        <v>93</v>
      </c>
      <c r="C94" t="s">
        <v>256</v>
      </c>
      <c r="D94" t="s">
        <v>257</v>
      </c>
      <c r="E94" t="s">
        <v>218</v>
      </c>
      <c r="F94" t="s">
        <v>258</v>
      </c>
      <c r="G94" t="s">
        <v>59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25">
      <c r="A95" t="s">
        <v>53</v>
      </c>
      <c r="B95">
        <v>94</v>
      </c>
      <c r="C95" t="s">
        <v>259</v>
      </c>
      <c r="D95" t="s">
        <v>260</v>
      </c>
      <c r="E95" t="s">
        <v>218</v>
      </c>
      <c r="F95" t="s">
        <v>258</v>
      </c>
      <c r="G95" t="s">
        <v>59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25">
      <c r="A96" t="s">
        <v>53</v>
      </c>
      <c r="B96">
        <v>95</v>
      </c>
      <c r="C96" t="s">
        <v>261</v>
      </c>
      <c r="D96" t="s">
        <v>262</v>
      </c>
      <c r="E96" t="s">
        <v>218</v>
      </c>
      <c r="F96" t="s">
        <v>258</v>
      </c>
      <c r="G96" t="s">
        <v>59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25">
      <c r="A97" t="s">
        <v>53</v>
      </c>
      <c r="B97">
        <v>96</v>
      </c>
      <c r="C97" t="s">
        <v>263</v>
      </c>
      <c r="D97" t="s">
        <v>264</v>
      </c>
      <c r="E97" t="s">
        <v>218</v>
      </c>
      <c r="F97" t="s">
        <v>258</v>
      </c>
      <c r="G97" t="s">
        <v>59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25">
      <c r="A98" t="s">
        <v>53</v>
      </c>
      <c r="B98">
        <v>97</v>
      </c>
      <c r="C98" t="s">
        <v>265</v>
      </c>
      <c r="D98" t="s">
        <v>266</v>
      </c>
      <c r="E98" t="s">
        <v>218</v>
      </c>
      <c r="F98" t="s">
        <v>258</v>
      </c>
      <c r="G98" t="s">
        <v>59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25">
      <c r="A99" t="s">
        <v>53</v>
      </c>
      <c r="B99">
        <v>98</v>
      </c>
      <c r="C99" t="s">
        <v>267</v>
      </c>
      <c r="D99" t="s">
        <v>268</v>
      </c>
      <c r="E99" t="s">
        <v>218</v>
      </c>
      <c r="F99" t="s">
        <v>258</v>
      </c>
      <c r="G99" t="s">
        <v>269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25">
      <c r="A100" t="s">
        <v>53</v>
      </c>
      <c r="B100">
        <v>99</v>
      </c>
      <c r="C100" t="s">
        <v>270</v>
      </c>
      <c r="D100" t="s">
        <v>271</v>
      </c>
      <c r="E100" t="s">
        <v>218</v>
      </c>
      <c r="F100" t="s">
        <v>258</v>
      </c>
      <c r="G100" t="s">
        <v>59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25">
      <c r="A101" t="s">
        <v>53</v>
      </c>
      <c r="B101">
        <v>100</v>
      </c>
      <c r="C101" t="s">
        <v>272</v>
      </c>
      <c r="D101" t="s">
        <v>273</v>
      </c>
      <c r="E101" t="s">
        <v>218</v>
      </c>
      <c r="F101" t="s">
        <v>258</v>
      </c>
      <c r="G101" t="s">
        <v>59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25">
      <c r="A102" t="s">
        <v>53</v>
      </c>
      <c r="B102">
        <v>101</v>
      </c>
      <c r="C102" t="s">
        <v>274</v>
      </c>
      <c r="D102" t="s">
        <v>275</v>
      </c>
      <c r="E102" t="s">
        <v>218</v>
      </c>
      <c r="F102" t="s">
        <v>258</v>
      </c>
      <c r="G102" t="s">
        <v>59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25">
      <c r="A103" t="s">
        <v>53</v>
      </c>
      <c r="B103">
        <v>102</v>
      </c>
      <c r="C103" t="s">
        <v>276</v>
      </c>
      <c r="D103" t="s">
        <v>277</v>
      </c>
      <c r="E103" t="s">
        <v>218</v>
      </c>
      <c r="F103" t="s">
        <v>258</v>
      </c>
      <c r="G103" t="s">
        <v>59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25">
      <c r="A104" t="s">
        <v>53</v>
      </c>
      <c r="B104">
        <v>103</v>
      </c>
      <c r="C104" t="s">
        <v>278</v>
      </c>
      <c r="D104" t="s">
        <v>279</v>
      </c>
      <c r="E104" t="s">
        <v>218</v>
      </c>
      <c r="F104" t="s">
        <v>258</v>
      </c>
      <c r="G104" t="s">
        <v>59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25">
      <c r="A105" t="s">
        <v>53</v>
      </c>
      <c r="B105">
        <v>104</v>
      </c>
      <c r="C105" t="s">
        <v>280</v>
      </c>
      <c r="D105" t="s">
        <v>281</v>
      </c>
      <c r="E105" t="s">
        <v>218</v>
      </c>
      <c r="F105" t="s">
        <v>258</v>
      </c>
      <c r="G105" t="s">
        <v>59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25">
      <c r="A106" t="s">
        <v>53</v>
      </c>
      <c r="B106">
        <v>105</v>
      </c>
      <c r="C106" t="s">
        <v>282</v>
      </c>
      <c r="D106" t="s">
        <v>283</v>
      </c>
      <c r="E106" t="s">
        <v>218</v>
      </c>
      <c r="F106" t="s">
        <v>258</v>
      </c>
      <c r="G106" t="s">
        <v>59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25">
      <c r="A107" t="s">
        <v>53</v>
      </c>
      <c r="B107">
        <v>106</v>
      </c>
      <c r="C107" t="s">
        <v>284</v>
      </c>
      <c r="D107" t="s">
        <v>285</v>
      </c>
      <c r="E107" t="s">
        <v>218</v>
      </c>
      <c r="F107" t="s">
        <v>258</v>
      </c>
      <c r="G107" t="s">
        <v>59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25">
      <c r="A108" t="s">
        <v>53</v>
      </c>
      <c r="B108">
        <v>107</v>
      </c>
      <c r="C108" t="s">
        <v>286</v>
      </c>
      <c r="D108" t="s">
        <v>287</v>
      </c>
      <c r="E108" t="s">
        <v>218</v>
      </c>
      <c r="F108" t="s">
        <v>258</v>
      </c>
      <c r="G108" t="s">
        <v>59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25">
      <c r="A109" t="s">
        <v>53</v>
      </c>
      <c r="B109">
        <v>108</v>
      </c>
      <c r="C109" t="s">
        <v>288</v>
      </c>
      <c r="D109" t="s">
        <v>289</v>
      </c>
      <c r="E109" t="s">
        <v>218</v>
      </c>
      <c r="F109" t="s">
        <v>258</v>
      </c>
      <c r="G109" t="s">
        <v>59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25">
      <c r="A110" t="s">
        <v>53</v>
      </c>
      <c r="B110">
        <v>109</v>
      </c>
      <c r="C110" t="s">
        <v>290</v>
      </c>
      <c r="D110" t="s">
        <v>291</v>
      </c>
      <c r="E110" t="s">
        <v>218</v>
      </c>
      <c r="F110" t="s">
        <v>258</v>
      </c>
      <c r="G110" t="s">
        <v>59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25">
      <c r="A111" t="s">
        <v>53</v>
      </c>
      <c r="B111">
        <v>110</v>
      </c>
      <c r="C111" t="s">
        <v>292</v>
      </c>
      <c r="D111" t="s">
        <v>293</v>
      </c>
      <c r="E111" t="s">
        <v>218</v>
      </c>
      <c r="F111" t="s">
        <v>258</v>
      </c>
      <c r="G111" t="s">
        <v>59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25">
      <c r="A112" t="s">
        <v>53</v>
      </c>
      <c r="B112">
        <v>111</v>
      </c>
      <c r="C112" t="s">
        <v>294</v>
      </c>
      <c r="D112" t="s">
        <v>295</v>
      </c>
      <c r="E112" t="s">
        <v>218</v>
      </c>
      <c r="F112" t="s">
        <v>258</v>
      </c>
      <c r="G112" t="s">
        <v>56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25">
      <c r="A113" t="s">
        <v>53</v>
      </c>
      <c r="B113">
        <v>112</v>
      </c>
      <c r="C113" t="s">
        <v>296</v>
      </c>
      <c r="D113" t="s">
        <v>297</v>
      </c>
      <c r="E113" t="s">
        <v>218</v>
      </c>
      <c r="F113" t="s">
        <v>298</v>
      </c>
      <c r="G113" t="s">
        <v>59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25">
      <c r="A114" t="s">
        <v>53</v>
      </c>
      <c r="B114">
        <v>113</v>
      </c>
      <c r="C114" t="s">
        <v>299</v>
      </c>
      <c r="D114" t="s">
        <v>300</v>
      </c>
      <c r="E114" t="s">
        <v>218</v>
      </c>
      <c r="F114" t="s">
        <v>298</v>
      </c>
      <c r="G114" t="s">
        <v>59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25">
      <c r="A115" t="s">
        <v>53</v>
      </c>
      <c r="B115">
        <v>114</v>
      </c>
      <c r="C115" t="s">
        <v>301</v>
      </c>
      <c r="D115" t="s">
        <v>302</v>
      </c>
      <c r="E115" t="s">
        <v>218</v>
      </c>
      <c r="F115" t="s">
        <v>298</v>
      </c>
      <c r="G115" t="s">
        <v>59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25">
      <c r="A116" t="s">
        <v>53</v>
      </c>
      <c r="B116">
        <v>115</v>
      </c>
      <c r="C116" t="s">
        <v>303</v>
      </c>
      <c r="D116" t="s">
        <v>304</v>
      </c>
      <c r="E116" t="s">
        <v>218</v>
      </c>
      <c r="F116" t="s">
        <v>298</v>
      </c>
      <c r="G116" t="s">
        <v>59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25">
      <c r="A117" t="s">
        <v>53</v>
      </c>
      <c r="B117">
        <v>116</v>
      </c>
      <c r="C117" t="s">
        <v>305</v>
      </c>
      <c r="D117" t="s">
        <v>306</v>
      </c>
      <c r="E117" t="s">
        <v>218</v>
      </c>
      <c r="F117" t="s">
        <v>298</v>
      </c>
      <c r="G117" t="s">
        <v>59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25">
      <c r="A118" t="s">
        <v>53</v>
      </c>
      <c r="B118">
        <v>117</v>
      </c>
      <c r="C118" t="s">
        <v>307</v>
      </c>
      <c r="D118" t="s">
        <v>308</v>
      </c>
      <c r="E118" t="s">
        <v>218</v>
      </c>
      <c r="F118" t="s">
        <v>308</v>
      </c>
      <c r="G118" t="s">
        <v>59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25">
      <c r="A119" t="s">
        <v>53</v>
      </c>
      <c r="B119">
        <v>118</v>
      </c>
      <c r="C119" t="s">
        <v>309</v>
      </c>
      <c r="D119" t="s">
        <v>310</v>
      </c>
      <c r="E119" t="s">
        <v>218</v>
      </c>
      <c r="F119" t="s">
        <v>311</v>
      </c>
      <c r="G119" t="s">
        <v>59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25">
      <c r="A120" t="s">
        <v>53</v>
      </c>
      <c r="B120">
        <v>119</v>
      </c>
      <c r="C120" t="s">
        <v>312</v>
      </c>
      <c r="D120" t="s">
        <v>313</v>
      </c>
      <c r="E120" t="s">
        <v>218</v>
      </c>
      <c r="F120" t="s">
        <v>314</v>
      </c>
      <c r="G120" t="s">
        <v>59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25">
      <c r="A121" t="s">
        <v>53</v>
      </c>
      <c r="B121">
        <v>120</v>
      </c>
      <c r="C121" t="s">
        <v>315</v>
      </c>
      <c r="D121" t="s">
        <v>316</v>
      </c>
      <c r="E121" t="s">
        <v>218</v>
      </c>
      <c r="F121" t="s">
        <v>169</v>
      </c>
      <c r="G121" t="s">
        <v>59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25">
      <c r="A122" t="s">
        <v>53</v>
      </c>
      <c r="B122">
        <v>121</v>
      </c>
      <c r="C122" t="s">
        <v>317</v>
      </c>
      <c r="D122" t="s">
        <v>318</v>
      </c>
      <c r="E122" t="s">
        <v>319</v>
      </c>
      <c r="F122" t="s">
        <v>320</v>
      </c>
      <c r="G122" t="s">
        <v>59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25">
      <c r="A123" t="s">
        <v>53</v>
      </c>
      <c r="B123">
        <v>122</v>
      </c>
      <c r="C123" t="s">
        <v>321</v>
      </c>
      <c r="D123" t="s">
        <v>322</v>
      </c>
      <c r="E123" t="s">
        <v>319</v>
      </c>
      <c r="F123" t="s">
        <v>320</v>
      </c>
      <c r="G123" t="s">
        <v>59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25">
      <c r="A124" t="s">
        <v>53</v>
      </c>
      <c r="B124">
        <v>123</v>
      </c>
      <c r="C124" t="s">
        <v>323</v>
      </c>
      <c r="D124" t="s">
        <v>324</v>
      </c>
      <c r="E124" t="s">
        <v>319</v>
      </c>
      <c r="F124" t="s">
        <v>320</v>
      </c>
      <c r="G124" t="s">
        <v>59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25">
      <c r="A125" t="s">
        <v>53</v>
      </c>
      <c r="B125">
        <v>124</v>
      </c>
      <c r="C125" t="s">
        <v>325</v>
      </c>
      <c r="D125" t="s">
        <v>326</v>
      </c>
      <c r="E125" t="s">
        <v>319</v>
      </c>
      <c r="F125" t="s">
        <v>320</v>
      </c>
      <c r="G125" t="s">
        <v>59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25">
      <c r="A126" t="s">
        <v>53</v>
      </c>
      <c r="B126">
        <v>125</v>
      </c>
      <c r="C126" t="s">
        <v>327</v>
      </c>
      <c r="D126" t="s">
        <v>328</v>
      </c>
      <c r="E126" t="s">
        <v>319</v>
      </c>
      <c r="F126" t="s">
        <v>320</v>
      </c>
      <c r="G126" t="s">
        <v>56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25">
      <c r="A127" t="s">
        <v>53</v>
      </c>
      <c r="B127">
        <v>126</v>
      </c>
      <c r="C127" t="s">
        <v>329</v>
      </c>
      <c r="D127" t="s">
        <v>330</v>
      </c>
      <c r="E127" t="s">
        <v>319</v>
      </c>
      <c r="F127" t="s">
        <v>320</v>
      </c>
      <c r="G127" t="s">
        <v>59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25">
      <c r="A128" t="s">
        <v>53</v>
      </c>
      <c r="B128">
        <v>127</v>
      </c>
      <c r="C128" t="s">
        <v>331</v>
      </c>
      <c r="D128" t="s">
        <v>332</v>
      </c>
      <c r="E128" t="s">
        <v>319</v>
      </c>
      <c r="F128" t="s">
        <v>320</v>
      </c>
      <c r="G128" t="s">
        <v>59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25">
      <c r="A129" t="s">
        <v>53</v>
      </c>
      <c r="B129">
        <v>128</v>
      </c>
      <c r="C129" t="s">
        <v>333</v>
      </c>
      <c r="D129" t="s">
        <v>334</v>
      </c>
      <c r="E129" t="s">
        <v>319</v>
      </c>
      <c r="F129" t="s">
        <v>320</v>
      </c>
      <c r="G129" t="s">
        <v>59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25">
      <c r="A130" t="s">
        <v>53</v>
      </c>
      <c r="B130">
        <v>129</v>
      </c>
      <c r="C130" t="s">
        <v>335</v>
      </c>
      <c r="D130" t="s">
        <v>336</v>
      </c>
      <c r="E130" t="s">
        <v>319</v>
      </c>
      <c r="F130" t="s">
        <v>320</v>
      </c>
      <c r="G130" t="s">
        <v>59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25">
      <c r="A131" t="s">
        <v>53</v>
      </c>
      <c r="B131">
        <v>130</v>
      </c>
      <c r="C131" t="s">
        <v>337</v>
      </c>
      <c r="D131" t="s">
        <v>338</v>
      </c>
      <c r="E131" t="s">
        <v>319</v>
      </c>
      <c r="F131" t="s">
        <v>320</v>
      </c>
      <c r="G131" t="s">
        <v>56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25">
      <c r="A132" t="s">
        <v>53</v>
      </c>
      <c r="B132">
        <v>131</v>
      </c>
      <c r="C132" t="s">
        <v>339</v>
      </c>
      <c r="D132" t="s">
        <v>340</v>
      </c>
      <c r="E132" t="s">
        <v>319</v>
      </c>
      <c r="F132" t="s">
        <v>320</v>
      </c>
      <c r="G132" t="s">
        <v>56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25">
      <c r="A133" t="s">
        <v>53</v>
      </c>
      <c r="B133">
        <v>132</v>
      </c>
      <c r="C133" t="s">
        <v>341</v>
      </c>
      <c r="D133" t="s">
        <v>342</v>
      </c>
      <c r="E133" t="s">
        <v>319</v>
      </c>
      <c r="F133" t="s">
        <v>320</v>
      </c>
      <c r="G133" t="s">
        <v>56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25">
      <c r="A134" t="s">
        <v>53</v>
      </c>
      <c r="B134">
        <v>133</v>
      </c>
      <c r="C134" t="s">
        <v>343</v>
      </c>
      <c r="D134" t="s">
        <v>344</v>
      </c>
      <c r="E134" t="s">
        <v>319</v>
      </c>
      <c r="F134" t="s">
        <v>345</v>
      </c>
      <c r="G134" t="s">
        <v>59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25">
      <c r="A135" t="s">
        <v>53</v>
      </c>
      <c r="B135">
        <v>134</v>
      </c>
      <c r="C135" t="s">
        <v>346</v>
      </c>
      <c r="D135" t="s">
        <v>347</v>
      </c>
      <c r="E135" t="s">
        <v>319</v>
      </c>
      <c r="F135" t="s">
        <v>345</v>
      </c>
      <c r="G135" t="s">
        <v>59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25">
      <c r="A136" t="s">
        <v>53</v>
      </c>
      <c r="B136">
        <v>135</v>
      </c>
      <c r="C136" t="s">
        <v>348</v>
      </c>
      <c r="D136" t="s">
        <v>349</v>
      </c>
      <c r="E136" t="s">
        <v>319</v>
      </c>
      <c r="F136" t="s">
        <v>345</v>
      </c>
      <c r="G136" t="s">
        <v>59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25">
      <c r="A137" t="s">
        <v>53</v>
      </c>
      <c r="B137">
        <v>136</v>
      </c>
      <c r="C137" t="s">
        <v>350</v>
      </c>
      <c r="D137" t="s">
        <v>351</v>
      </c>
      <c r="E137" t="s">
        <v>319</v>
      </c>
      <c r="F137" t="s">
        <v>345</v>
      </c>
      <c r="G137" t="s">
        <v>59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25">
      <c r="A138" t="s">
        <v>53</v>
      </c>
      <c r="B138">
        <v>137</v>
      </c>
      <c r="C138" t="s">
        <v>352</v>
      </c>
      <c r="D138" t="s">
        <v>353</v>
      </c>
      <c r="E138" t="s">
        <v>319</v>
      </c>
      <c r="F138" t="s">
        <v>345</v>
      </c>
      <c r="G138" t="s">
        <v>59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25">
      <c r="A139" t="s">
        <v>53</v>
      </c>
      <c r="B139">
        <v>138</v>
      </c>
      <c r="C139" t="s">
        <v>354</v>
      </c>
      <c r="D139" t="s">
        <v>355</v>
      </c>
      <c r="E139" t="s">
        <v>319</v>
      </c>
      <c r="F139" t="s">
        <v>345</v>
      </c>
      <c r="G139" t="s">
        <v>59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25">
      <c r="A140" t="s">
        <v>53</v>
      </c>
      <c r="B140">
        <v>139</v>
      </c>
      <c r="C140" t="s">
        <v>356</v>
      </c>
      <c r="D140" t="s">
        <v>357</v>
      </c>
      <c r="E140" t="s">
        <v>319</v>
      </c>
      <c r="F140" t="s">
        <v>345</v>
      </c>
      <c r="G140" t="s">
        <v>59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25">
      <c r="A141" t="s">
        <v>53</v>
      </c>
      <c r="B141">
        <v>140</v>
      </c>
      <c r="C141" t="s">
        <v>358</v>
      </c>
      <c r="D141" t="s">
        <v>359</v>
      </c>
      <c r="E141" t="s">
        <v>319</v>
      </c>
      <c r="F141" t="s">
        <v>345</v>
      </c>
      <c r="G141" t="s">
        <v>59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25">
      <c r="A142" t="s">
        <v>53</v>
      </c>
      <c r="B142">
        <v>141</v>
      </c>
      <c r="C142" t="s">
        <v>360</v>
      </c>
      <c r="D142" t="s">
        <v>361</v>
      </c>
      <c r="E142" t="s">
        <v>319</v>
      </c>
      <c r="F142" t="s">
        <v>345</v>
      </c>
      <c r="G142" t="s">
        <v>59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25">
      <c r="A143" t="s">
        <v>53</v>
      </c>
      <c r="B143">
        <v>142</v>
      </c>
      <c r="C143" t="s">
        <v>362</v>
      </c>
      <c r="D143" t="s">
        <v>363</v>
      </c>
      <c r="E143" t="s">
        <v>319</v>
      </c>
      <c r="F143" t="s">
        <v>345</v>
      </c>
      <c r="G143" t="s">
        <v>59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25">
      <c r="A144" t="s">
        <v>53</v>
      </c>
      <c r="B144">
        <v>143</v>
      </c>
      <c r="C144" t="s">
        <v>364</v>
      </c>
      <c r="D144" t="s">
        <v>365</v>
      </c>
      <c r="E144" t="s">
        <v>319</v>
      </c>
      <c r="F144" t="s">
        <v>345</v>
      </c>
      <c r="G144" t="s">
        <v>56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25">
      <c r="A145" t="s">
        <v>53</v>
      </c>
      <c r="B145">
        <v>144</v>
      </c>
      <c r="C145" t="s">
        <v>366</v>
      </c>
      <c r="D145" t="s">
        <v>367</v>
      </c>
      <c r="E145" t="s">
        <v>319</v>
      </c>
      <c r="F145" t="s">
        <v>345</v>
      </c>
      <c r="G145" t="s">
        <v>59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25">
      <c r="A146" t="s">
        <v>53</v>
      </c>
      <c r="B146">
        <v>145</v>
      </c>
      <c r="C146" t="s">
        <v>368</v>
      </c>
      <c r="D146" t="s">
        <v>369</v>
      </c>
      <c r="E146" t="s">
        <v>319</v>
      </c>
      <c r="F146" t="s">
        <v>370</v>
      </c>
      <c r="G146" t="s">
        <v>59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25">
      <c r="A147" t="s">
        <v>53</v>
      </c>
      <c r="B147">
        <v>146</v>
      </c>
      <c r="C147" t="s">
        <v>371</v>
      </c>
      <c r="D147" t="s">
        <v>372</v>
      </c>
      <c r="E147" t="s">
        <v>319</v>
      </c>
      <c r="F147" t="s">
        <v>370</v>
      </c>
      <c r="G147" t="s">
        <v>59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25">
      <c r="A148" t="s">
        <v>53</v>
      </c>
      <c r="B148">
        <v>147</v>
      </c>
      <c r="C148" t="s">
        <v>373</v>
      </c>
      <c r="D148" t="s">
        <v>374</v>
      </c>
      <c r="E148" t="s">
        <v>319</v>
      </c>
      <c r="F148" t="s">
        <v>370</v>
      </c>
      <c r="G148" t="s">
        <v>56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25">
      <c r="A149" t="s">
        <v>53</v>
      </c>
      <c r="B149">
        <v>148</v>
      </c>
      <c r="C149" t="s">
        <v>375</v>
      </c>
      <c r="D149" t="s">
        <v>376</v>
      </c>
      <c r="E149" t="s">
        <v>319</v>
      </c>
      <c r="F149" t="s">
        <v>370</v>
      </c>
      <c r="G149" t="s">
        <v>56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25">
      <c r="A150" t="s">
        <v>53</v>
      </c>
      <c r="B150">
        <v>149</v>
      </c>
      <c r="C150" t="s">
        <v>377</v>
      </c>
      <c r="D150" t="s">
        <v>378</v>
      </c>
      <c r="E150" t="s">
        <v>319</v>
      </c>
      <c r="F150" t="s">
        <v>379</v>
      </c>
      <c r="G150" t="s">
        <v>59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25">
      <c r="A151" t="s">
        <v>53</v>
      </c>
      <c r="B151">
        <v>150</v>
      </c>
      <c r="C151" t="s">
        <v>380</v>
      </c>
      <c r="D151" t="s">
        <v>381</v>
      </c>
      <c r="E151" t="s">
        <v>319</v>
      </c>
      <c r="F151" t="s">
        <v>379</v>
      </c>
      <c r="G151" t="s">
        <v>56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25">
      <c r="A152" t="s">
        <v>53</v>
      </c>
      <c r="B152">
        <v>151</v>
      </c>
      <c r="C152" t="s">
        <v>382</v>
      </c>
      <c r="D152" t="s">
        <v>383</v>
      </c>
      <c r="E152" t="s">
        <v>319</v>
      </c>
      <c r="F152" t="s">
        <v>379</v>
      </c>
      <c r="G152" t="s">
        <v>56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25">
      <c r="A153" t="s">
        <v>53</v>
      </c>
      <c r="B153">
        <v>152</v>
      </c>
      <c r="C153" t="s">
        <v>384</v>
      </c>
      <c r="D153" t="s">
        <v>385</v>
      </c>
      <c r="E153" t="s">
        <v>319</v>
      </c>
      <c r="F153" t="s">
        <v>386</v>
      </c>
      <c r="G153" t="s">
        <v>59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25">
      <c r="A154" t="s">
        <v>53</v>
      </c>
      <c r="B154">
        <v>153</v>
      </c>
      <c r="C154" t="s">
        <v>387</v>
      </c>
      <c r="D154" t="s">
        <v>388</v>
      </c>
      <c r="E154" t="s">
        <v>319</v>
      </c>
      <c r="F154" t="s">
        <v>386</v>
      </c>
      <c r="G154" t="s">
        <v>56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25">
      <c r="A155" t="s">
        <v>53</v>
      </c>
      <c r="B155">
        <v>154</v>
      </c>
      <c r="C155" t="s">
        <v>389</v>
      </c>
      <c r="D155" t="s">
        <v>390</v>
      </c>
      <c r="E155" t="s">
        <v>319</v>
      </c>
      <c r="F155" t="s">
        <v>386</v>
      </c>
      <c r="G155" t="s">
        <v>56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25">
      <c r="A156" t="s">
        <v>53</v>
      </c>
      <c r="B156">
        <v>155</v>
      </c>
      <c r="C156" t="s">
        <v>391</v>
      </c>
      <c r="D156" t="s">
        <v>392</v>
      </c>
      <c r="E156" t="s">
        <v>319</v>
      </c>
      <c r="F156" t="s">
        <v>392</v>
      </c>
      <c r="G156" t="s">
        <v>59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25">
      <c r="A157" t="s">
        <v>53</v>
      </c>
      <c r="B157">
        <v>156</v>
      </c>
      <c r="C157" t="s">
        <v>393</v>
      </c>
      <c r="D157" t="s">
        <v>394</v>
      </c>
      <c r="E157" t="s">
        <v>319</v>
      </c>
      <c r="F157" t="s">
        <v>169</v>
      </c>
      <c r="G157" t="s">
        <v>56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25">
      <c r="A158" t="s">
        <v>53</v>
      </c>
      <c r="B158">
        <v>157</v>
      </c>
      <c r="C158" t="s">
        <v>395</v>
      </c>
      <c r="D158" t="s">
        <v>396</v>
      </c>
      <c r="E158" t="s">
        <v>397</v>
      </c>
      <c r="F158" t="s">
        <v>398</v>
      </c>
      <c r="G158" t="s">
        <v>59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25">
      <c r="A159" t="s">
        <v>53</v>
      </c>
      <c r="B159">
        <v>158</v>
      </c>
      <c r="C159" t="s">
        <v>399</v>
      </c>
      <c r="D159" t="s">
        <v>400</v>
      </c>
      <c r="E159" t="s">
        <v>397</v>
      </c>
      <c r="F159" t="s">
        <v>398</v>
      </c>
      <c r="G159" t="s">
        <v>59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25">
      <c r="A160" t="s">
        <v>53</v>
      </c>
      <c r="B160">
        <v>159</v>
      </c>
      <c r="C160" t="s">
        <v>401</v>
      </c>
      <c r="D160" t="s">
        <v>402</v>
      </c>
      <c r="E160" t="s">
        <v>397</v>
      </c>
      <c r="F160" t="s">
        <v>398</v>
      </c>
      <c r="G160" t="s">
        <v>59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25">
      <c r="A161" t="s">
        <v>53</v>
      </c>
      <c r="B161">
        <v>160</v>
      </c>
      <c r="C161" t="s">
        <v>403</v>
      </c>
      <c r="D161" t="s">
        <v>404</v>
      </c>
      <c r="E161" t="s">
        <v>405</v>
      </c>
      <c r="F161" t="s">
        <v>405</v>
      </c>
      <c r="G161" t="s">
        <v>56</v>
      </c>
      <c r="H161">
        <v>77383</v>
      </c>
      <c r="I161">
        <v>63.416388888888797</v>
      </c>
      <c r="J161">
        <v>1220.2366195208899</v>
      </c>
      <c r="K161">
        <v>974.59697732997404</v>
      </c>
      <c r="L161">
        <v>79.400000000000006</v>
      </c>
      <c r="M161">
        <v>15.983611111111101</v>
      </c>
      <c r="N161">
        <v>1.25204227788996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25">
      <c r="A162" t="s">
        <v>53</v>
      </c>
      <c r="B162">
        <v>161</v>
      </c>
      <c r="C162" t="s">
        <v>406</v>
      </c>
      <c r="D162" t="s">
        <v>407</v>
      </c>
      <c r="E162" t="s">
        <v>405</v>
      </c>
      <c r="F162" t="s">
        <v>405</v>
      </c>
      <c r="G162" t="s">
        <v>56</v>
      </c>
      <c r="H162">
        <v>77383</v>
      </c>
      <c r="I162">
        <v>0</v>
      </c>
      <c r="J162">
        <v>0</v>
      </c>
      <c r="K162">
        <v>7300.28301886792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25">
      <c r="A163" t="s">
        <v>53</v>
      </c>
      <c r="B163">
        <v>162</v>
      </c>
      <c r="C163" t="s">
        <v>408</v>
      </c>
      <c r="D163" t="s">
        <v>409</v>
      </c>
      <c r="E163" t="s">
        <v>405</v>
      </c>
      <c r="F163" t="s">
        <v>405</v>
      </c>
      <c r="G163" t="s">
        <v>56</v>
      </c>
      <c r="H163">
        <v>77383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25">
      <c r="A164" t="s">
        <v>53</v>
      </c>
      <c r="B164">
        <v>163</v>
      </c>
      <c r="C164" t="s">
        <v>410</v>
      </c>
      <c r="D164" t="s">
        <v>411</v>
      </c>
      <c r="E164" t="s">
        <v>405</v>
      </c>
      <c r="F164" t="s">
        <v>405</v>
      </c>
      <c r="G164" t="s">
        <v>56</v>
      </c>
      <c r="H164">
        <v>77383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25">
      <c r="A165" t="s">
        <v>53</v>
      </c>
      <c r="B165">
        <v>164</v>
      </c>
      <c r="C165" t="s">
        <v>412</v>
      </c>
      <c r="D165" t="s">
        <v>413</v>
      </c>
      <c r="E165" t="s">
        <v>405</v>
      </c>
      <c r="F165" t="s">
        <v>405</v>
      </c>
      <c r="G165" t="s">
        <v>56</v>
      </c>
      <c r="H165">
        <v>224452</v>
      </c>
      <c r="I165">
        <v>65.708055555555504</v>
      </c>
      <c r="J165">
        <v>3415.89776325412</v>
      </c>
      <c r="K165">
        <v>2499.999984</v>
      </c>
      <c r="L165">
        <v>89.780800574597095</v>
      </c>
      <c r="M165">
        <v>24.072745019041498</v>
      </c>
      <c r="N165">
        <v>1.36635911404634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25">
      <c r="A166" t="s">
        <v>53</v>
      </c>
      <c r="B166">
        <v>165</v>
      </c>
      <c r="C166" t="s">
        <v>414</v>
      </c>
      <c r="D166" t="s">
        <v>415</v>
      </c>
      <c r="E166" t="s">
        <v>405</v>
      </c>
      <c r="F166" t="s">
        <v>405</v>
      </c>
      <c r="G166" t="s">
        <v>56</v>
      </c>
      <c r="H166">
        <v>77383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25">
      <c r="A167" t="s">
        <v>53</v>
      </c>
      <c r="B167">
        <v>166</v>
      </c>
      <c r="C167" t="s">
        <v>416</v>
      </c>
      <c r="D167" t="s">
        <v>417</v>
      </c>
      <c r="E167" t="s">
        <v>418</v>
      </c>
      <c r="F167" t="s">
        <v>419</v>
      </c>
      <c r="G167" t="s">
        <v>269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25">
      <c r="A168" t="s">
        <v>53</v>
      </c>
      <c r="B168">
        <v>167</v>
      </c>
      <c r="C168" t="s">
        <v>420</v>
      </c>
      <c r="D168" t="s">
        <v>421</v>
      </c>
      <c r="E168" t="s">
        <v>418</v>
      </c>
      <c r="F168" t="s">
        <v>419</v>
      </c>
      <c r="G168" t="s">
        <v>269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25">
      <c r="A169" t="s">
        <v>53</v>
      </c>
      <c r="B169">
        <v>168</v>
      </c>
      <c r="C169" t="s">
        <v>422</v>
      </c>
      <c r="D169" t="s">
        <v>423</v>
      </c>
      <c r="E169" t="s">
        <v>418</v>
      </c>
      <c r="F169" t="s">
        <v>419</v>
      </c>
      <c r="G169" t="s">
        <v>269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25">
      <c r="A170" t="s">
        <v>424</v>
      </c>
      <c r="B170">
        <v>1</v>
      </c>
      <c r="C170" t="s">
        <v>425</v>
      </c>
      <c r="D170" t="s">
        <v>426</v>
      </c>
      <c r="E170" t="s">
        <v>427</v>
      </c>
      <c r="F170" t="s">
        <v>427</v>
      </c>
      <c r="G170" t="s">
        <v>59</v>
      </c>
      <c r="H170">
        <v>147069</v>
      </c>
      <c r="I170">
        <v>316.96111111111099</v>
      </c>
      <c r="J170">
        <v>463.99698525932001</v>
      </c>
      <c r="K170">
        <v>285.45780035443198</v>
      </c>
      <c r="L170">
        <v>515.20399798987796</v>
      </c>
      <c r="M170">
        <v>198.242886878767</v>
      </c>
      <c r="N170">
        <v>1.6254486116098701</v>
      </c>
      <c r="P170">
        <v>0</v>
      </c>
      <c r="Q170">
        <v>0</v>
      </c>
      <c r="R170">
        <v>0</v>
      </c>
      <c r="S170">
        <v>0</v>
      </c>
    </row>
    <row r="171" spans="1:19" x14ac:dyDescent="0.25">
      <c r="A171" t="s">
        <v>424</v>
      </c>
      <c r="B171">
        <v>2</v>
      </c>
      <c r="C171" t="s">
        <v>428</v>
      </c>
      <c r="D171" t="s">
        <v>429</v>
      </c>
      <c r="E171" t="s">
        <v>427</v>
      </c>
      <c r="F171" t="s">
        <v>427</v>
      </c>
      <c r="G171" t="s">
        <v>59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25">
      <c r="A172" t="s">
        <v>424</v>
      </c>
      <c r="B172">
        <v>3</v>
      </c>
      <c r="C172" t="s">
        <v>430</v>
      </c>
      <c r="D172" t="s">
        <v>431</v>
      </c>
      <c r="E172" t="s">
        <v>427</v>
      </c>
      <c r="F172" t="s">
        <v>427</v>
      </c>
      <c r="G172" t="s">
        <v>59</v>
      </c>
      <c r="H172">
        <v>147069</v>
      </c>
      <c r="I172">
        <v>316.96111111111099</v>
      </c>
      <c r="J172">
        <v>463.99698525932001</v>
      </c>
      <c r="K172">
        <v>285.45780035443198</v>
      </c>
      <c r="L172">
        <v>515.20399798987796</v>
      </c>
      <c r="M172">
        <v>198.242886878767</v>
      </c>
      <c r="N172">
        <v>1.6254486116098701</v>
      </c>
      <c r="P172">
        <v>0</v>
      </c>
      <c r="Q172">
        <v>0</v>
      </c>
      <c r="R172">
        <v>0</v>
      </c>
      <c r="S172">
        <v>0</v>
      </c>
    </row>
    <row r="173" spans="1:19" x14ac:dyDescent="0.25">
      <c r="A173" t="s">
        <v>424</v>
      </c>
      <c r="B173">
        <v>4</v>
      </c>
      <c r="C173" t="s">
        <v>432</v>
      </c>
      <c r="D173" t="s">
        <v>218</v>
      </c>
      <c r="E173" t="s">
        <v>427</v>
      </c>
      <c r="F173" t="s">
        <v>427</v>
      </c>
      <c r="G173" t="s">
        <v>59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25">
      <c r="A174" t="s">
        <v>424</v>
      </c>
      <c r="B174">
        <v>5</v>
      </c>
      <c r="C174" t="s">
        <v>433</v>
      </c>
      <c r="D174" t="s">
        <v>434</v>
      </c>
      <c r="E174" t="s">
        <v>427</v>
      </c>
      <c r="F174" t="s">
        <v>427</v>
      </c>
      <c r="G174" t="s">
        <v>59</v>
      </c>
      <c r="H174">
        <v>77383</v>
      </c>
      <c r="I174">
        <v>494.021388888888</v>
      </c>
      <c r="J174">
        <v>156.638966936316</v>
      </c>
      <c r="K174">
        <v>222.43216677079499</v>
      </c>
      <c r="L174">
        <v>347.894826199931</v>
      </c>
      <c r="M174">
        <v>-146.12656268895699</v>
      </c>
      <c r="N174">
        <v>0.70421004844018398</v>
      </c>
      <c r="P174">
        <v>0</v>
      </c>
      <c r="Q174">
        <v>0</v>
      </c>
      <c r="R174">
        <v>0</v>
      </c>
      <c r="S174">
        <v>0</v>
      </c>
    </row>
    <row r="175" spans="1:19" x14ac:dyDescent="0.25">
      <c r="A175" t="s">
        <v>424</v>
      </c>
      <c r="B175">
        <v>6</v>
      </c>
      <c r="C175" t="s">
        <v>435</v>
      </c>
      <c r="D175" t="s">
        <v>319</v>
      </c>
      <c r="E175" t="s">
        <v>427</v>
      </c>
      <c r="F175" t="s">
        <v>427</v>
      </c>
      <c r="G175" t="s">
        <v>59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25">
      <c r="A176" t="s">
        <v>424</v>
      </c>
      <c r="B176">
        <v>7</v>
      </c>
      <c r="C176" t="s">
        <v>436</v>
      </c>
      <c r="D176" t="s">
        <v>398</v>
      </c>
      <c r="E176" t="s">
        <v>427</v>
      </c>
      <c r="F176" t="s">
        <v>427</v>
      </c>
      <c r="G176" t="s">
        <v>59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25">
      <c r="A177" t="s">
        <v>424</v>
      </c>
      <c r="B177">
        <v>8</v>
      </c>
      <c r="C177" t="s">
        <v>437</v>
      </c>
      <c r="D177" t="s">
        <v>405</v>
      </c>
      <c r="E177" t="s">
        <v>427</v>
      </c>
      <c r="F177" t="s">
        <v>427</v>
      </c>
      <c r="G177" t="s">
        <v>59</v>
      </c>
      <c r="H177">
        <v>77383</v>
      </c>
      <c r="I177">
        <v>129.12444444444401</v>
      </c>
      <c r="J177">
        <v>599.29009052421395</v>
      </c>
      <c r="K177">
        <v>430.42972193179799</v>
      </c>
      <c r="L177">
        <v>179.78080057459701</v>
      </c>
      <c r="M177">
        <v>50.656356130152602</v>
      </c>
      <c r="N177">
        <v>1.39230647882436</v>
      </c>
      <c r="P177">
        <v>0</v>
      </c>
      <c r="Q177">
        <v>0</v>
      </c>
      <c r="R177">
        <v>0</v>
      </c>
      <c r="S177">
        <v>0</v>
      </c>
    </row>
    <row r="178" spans="1:19" x14ac:dyDescent="0.25">
      <c r="A178" t="s">
        <v>424</v>
      </c>
      <c r="B178">
        <v>9</v>
      </c>
      <c r="C178" t="s">
        <v>438</v>
      </c>
      <c r="D178" t="s">
        <v>418</v>
      </c>
      <c r="E178" t="s">
        <v>427</v>
      </c>
      <c r="F178" t="s">
        <v>427</v>
      </c>
      <c r="G178" t="s">
        <v>269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25">
      <c r="A179" t="s">
        <v>424</v>
      </c>
      <c r="B179">
        <v>10</v>
      </c>
      <c r="C179" t="s">
        <v>439</v>
      </c>
      <c r="D179" t="s">
        <v>440</v>
      </c>
      <c r="E179" t="s">
        <v>427</v>
      </c>
      <c r="F179" t="s">
        <v>427</v>
      </c>
      <c r="G179" t="s">
        <v>59</v>
      </c>
      <c r="H179">
        <v>224452</v>
      </c>
      <c r="I179">
        <v>940.10694444444403</v>
      </c>
      <c r="J179">
        <v>238.751560475536</v>
      </c>
      <c r="K179">
        <v>215.22330542290999</v>
      </c>
      <c r="L179">
        <v>1042.8796247644</v>
      </c>
      <c r="M179">
        <v>102.77268031996201</v>
      </c>
      <c r="N179">
        <v>1.10932020120401</v>
      </c>
      <c r="P179">
        <v>0</v>
      </c>
      <c r="Q179">
        <v>0</v>
      </c>
      <c r="R179">
        <v>0</v>
      </c>
      <c r="S179">
        <v>0</v>
      </c>
    </row>
    <row r="180" spans="1:19" x14ac:dyDescent="0.25">
      <c r="A180" t="s">
        <v>441</v>
      </c>
      <c r="B180">
        <v>1</v>
      </c>
      <c r="C180" t="s">
        <v>442</v>
      </c>
      <c r="D180" t="s">
        <v>13</v>
      </c>
      <c r="E180" t="s">
        <v>443</v>
      </c>
      <c r="F180" t="s">
        <v>443</v>
      </c>
      <c r="G180" t="s">
        <v>59</v>
      </c>
      <c r="H180">
        <v>147069</v>
      </c>
      <c r="I180">
        <v>316.96111111111099</v>
      </c>
      <c r="J180">
        <v>463.99698525932001</v>
      </c>
      <c r="K180">
        <v>285.45780035443198</v>
      </c>
      <c r="L180">
        <v>515.20399798987796</v>
      </c>
      <c r="M180">
        <v>198.242886878767</v>
      </c>
      <c r="N180">
        <v>1.6254486116098701</v>
      </c>
      <c r="P180">
        <v>0</v>
      </c>
      <c r="Q180">
        <v>0</v>
      </c>
      <c r="R180">
        <v>0</v>
      </c>
      <c r="S180">
        <v>0</v>
      </c>
    </row>
    <row r="181" spans="1:19" x14ac:dyDescent="0.25">
      <c r="A181" t="s">
        <v>441</v>
      </c>
      <c r="B181">
        <v>2</v>
      </c>
      <c r="C181" t="s">
        <v>444</v>
      </c>
      <c r="D181" t="s">
        <v>445</v>
      </c>
      <c r="E181" t="s">
        <v>443</v>
      </c>
      <c r="F181" t="s">
        <v>443</v>
      </c>
      <c r="G181" t="s">
        <v>59</v>
      </c>
      <c r="H181">
        <v>77383</v>
      </c>
      <c r="I181">
        <v>494.021388888888</v>
      </c>
      <c r="J181">
        <v>156.638966936316</v>
      </c>
      <c r="K181">
        <v>222.43216677079499</v>
      </c>
      <c r="L181">
        <v>347.894826199931</v>
      </c>
      <c r="M181">
        <v>-146.12656268895699</v>
      </c>
      <c r="N181">
        <v>0.70421004844018398</v>
      </c>
      <c r="P181">
        <v>0</v>
      </c>
      <c r="Q181">
        <v>0</v>
      </c>
      <c r="R181">
        <v>0</v>
      </c>
      <c r="S181">
        <v>0</v>
      </c>
    </row>
    <row r="182" spans="1:19" x14ac:dyDescent="0.25">
      <c r="A182" t="s">
        <v>441</v>
      </c>
      <c r="B182">
        <v>3</v>
      </c>
      <c r="C182" t="s">
        <v>446</v>
      </c>
      <c r="D182" t="s">
        <v>319</v>
      </c>
      <c r="E182" t="s">
        <v>443</v>
      </c>
      <c r="F182" t="s">
        <v>443</v>
      </c>
      <c r="G182" t="s">
        <v>59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25">
      <c r="A183" t="s">
        <v>441</v>
      </c>
      <c r="B183">
        <v>4</v>
      </c>
      <c r="C183" t="s">
        <v>447</v>
      </c>
      <c r="D183" t="s">
        <v>405</v>
      </c>
      <c r="E183" t="s">
        <v>443</v>
      </c>
      <c r="F183" t="s">
        <v>443</v>
      </c>
      <c r="G183" t="s">
        <v>59</v>
      </c>
      <c r="H183">
        <v>77383</v>
      </c>
      <c r="I183">
        <v>129.12444444444401</v>
      </c>
      <c r="J183">
        <v>599.29009052421395</v>
      </c>
      <c r="K183">
        <v>430.42972193179799</v>
      </c>
      <c r="L183">
        <v>179.78080057459701</v>
      </c>
      <c r="M183">
        <v>50.656356130152602</v>
      </c>
      <c r="N183">
        <v>1.39230647882436</v>
      </c>
      <c r="P183">
        <v>0</v>
      </c>
      <c r="Q183">
        <v>0</v>
      </c>
      <c r="R183">
        <v>0</v>
      </c>
      <c r="S183">
        <v>0</v>
      </c>
    </row>
    <row r="184" spans="1:19" x14ac:dyDescent="0.25">
      <c r="A184" t="s">
        <v>441</v>
      </c>
      <c r="B184">
        <v>5</v>
      </c>
      <c r="C184" t="s">
        <v>448</v>
      </c>
      <c r="D184" t="s">
        <v>418</v>
      </c>
      <c r="E184" t="s">
        <v>443</v>
      </c>
      <c r="F184" t="s">
        <v>443</v>
      </c>
      <c r="G184" t="s">
        <v>269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25">
      <c r="A185" t="s">
        <v>441</v>
      </c>
      <c r="B185">
        <v>6</v>
      </c>
      <c r="C185" t="s">
        <v>449</v>
      </c>
      <c r="D185" t="s">
        <v>440</v>
      </c>
      <c r="E185" t="s">
        <v>443</v>
      </c>
      <c r="F185" t="s">
        <v>443</v>
      </c>
      <c r="G185" t="s">
        <v>59</v>
      </c>
      <c r="H185">
        <v>224452</v>
      </c>
      <c r="I185">
        <v>940.10694444444403</v>
      </c>
      <c r="J185">
        <v>238.751560475536</v>
      </c>
      <c r="K185">
        <v>215.22330542290999</v>
      </c>
      <c r="L185">
        <v>1042.8796247644</v>
      </c>
      <c r="M185">
        <v>102.77268031996201</v>
      </c>
      <c r="N185">
        <v>1.10932020120401</v>
      </c>
      <c r="P185">
        <v>0</v>
      </c>
      <c r="Q185">
        <v>0</v>
      </c>
      <c r="R185">
        <v>0</v>
      </c>
      <c r="S185">
        <v>0</v>
      </c>
    </row>
    <row r="186" spans="1:19" x14ac:dyDescent="0.25">
      <c r="A186" t="s">
        <v>33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S186"/>
  <sheetViews>
    <sheetView workbookViewId="0">
      <selection sqref="A1:A1048576"/>
    </sheetView>
  </sheetViews>
  <sheetFormatPr defaultRowHeight="15" x14ac:dyDescent="0.25"/>
  <cols>
    <col min="1" max="1" width="18.140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9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</row>
    <row r="2" spans="1:19" x14ac:dyDescent="0.25">
      <c r="A2" t="s">
        <v>53</v>
      </c>
      <c r="B2">
        <v>1</v>
      </c>
      <c r="C2" t="s">
        <v>54</v>
      </c>
      <c r="D2" t="s">
        <v>6</v>
      </c>
      <c r="E2" t="s">
        <v>13</v>
      </c>
      <c r="F2" t="s">
        <v>55</v>
      </c>
      <c r="G2" t="s">
        <v>56</v>
      </c>
      <c r="H2">
        <v>61165</v>
      </c>
      <c r="I2">
        <v>19.150555555555499</v>
      </c>
      <c r="J2">
        <v>3193.90212062313</v>
      </c>
      <c r="K2">
        <v>995.00000399999999</v>
      </c>
      <c r="L2">
        <v>61.472361561920103</v>
      </c>
      <c r="M2">
        <v>42.321806006364604</v>
      </c>
      <c r="N2">
        <v>3.2099518671189098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25">
      <c r="A3" t="s">
        <v>53</v>
      </c>
      <c r="B3">
        <v>2</v>
      </c>
      <c r="C3" t="s">
        <v>57</v>
      </c>
      <c r="D3" t="s">
        <v>58</v>
      </c>
      <c r="E3" t="s">
        <v>13</v>
      </c>
      <c r="F3" t="s">
        <v>55</v>
      </c>
      <c r="G3" t="s">
        <v>59</v>
      </c>
      <c r="H3">
        <v>827</v>
      </c>
      <c r="I3">
        <v>0.93138888888888804</v>
      </c>
      <c r="J3">
        <v>887.92126453921799</v>
      </c>
      <c r="K3">
        <v>275.00000399999999</v>
      </c>
      <c r="L3">
        <v>3.0072726835305699</v>
      </c>
      <c r="M3">
        <v>2.0758837946416899</v>
      </c>
      <c r="N3">
        <v>3.2288045513600001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25">
      <c r="A4" t="s">
        <v>53</v>
      </c>
      <c r="B4">
        <v>3</v>
      </c>
      <c r="C4" t="s">
        <v>60</v>
      </c>
      <c r="D4" t="s">
        <v>61</v>
      </c>
      <c r="E4" t="s">
        <v>13</v>
      </c>
      <c r="F4" t="s">
        <v>55</v>
      </c>
      <c r="G4" t="s">
        <v>59</v>
      </c>
      <c r="H4">
        <v>1673</v>
      </c>
      <c r="I4">
        <v>2.28527777777777</v>
      </c>
      <c r="J4">
        <v>732.07730643004697</v>
      </c>
      <c r="K4">
        <v>101.999988</v>
      </c>
      <c r="L4">
        <v>16.401962713956301</v>
      </c>
      <c r="M4">
        <v>14.116684936178601</v>
      </c>
      <c r="N4">
        <v>7.1772293387921504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25">
      <c r="A5" t="s">
        <v>53</v>
      </c>
      <c r="B5">
        <v>4</v>
      </c>
      <c r="C5" t="s">
        <v>62</v>
      </c>
      <c r="D5" t="s">
        <v>63</v>
      </c>
      <c r="E5" t="s">
        <v>13</v>
      </c>
      <c r="F5" t="s">
        <v>55</v>
      </c>
      <c r="G5" t="s">
        <v>59</v>
      </c>
      <c r="H5">
        <v>32</v>
      </c>
      <c r="I5">
        <v>3.0105555555555501</v>
      </c>
      <c r="J5">
        <v>10.629267392507799</v>
      </c>
      <c r="K5">
        <v>52.999991999999999</v>
      </c>
      <c r="L5">
        <v>0.60377367604130905</v>
      </c>
      <c r="M5">
        <v>-2.4067818795142402</v>
      </c>
      <c r="N5">
        <v>0.200552245225015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25">
      <c r="A6" t="s">
        <v>53</v>
      </c>
      <c r="B6">
        <v>5</v>
      </c>
      <c r="C6" t="s">
        <v>64</v>
      </c>
      <c r="D6" t="s">
        <v>65</v>
      </c>
      <c r="E6" t="s">
        <v>13</v>
      </c>
      <c r="F6" t="s">
        <v>55</v>
      </c>
      <c r="G6" t="s">
        <v>59</v>
      </c>
      <c r="H6">
        <v>5</v>
      </c>
      <c r="I6">
        <v>3.8888888888888799E-2</v>
      </c>
      <c r="J6">
        <v>128.57142857142799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25">
      <c r="A7" t="s">
        <v>53</v>
      </c>
      <c r="B7">
        <v>6</v>
      </c>
      <c r="C7" t="s">
        <v>66</v>
      </c>
      <c r="D7" t="s">
        <v>67</v>
      </c>
      <c r="E7" t="s">
        <v>13</v>
      </c>
      <c r="F7" t="s">
        <v>55</v>
      </c>
      <c r="G7" t="s">
        <v>59</v>
      </c>
      <c r="H7">
        <v>2537</v>
      </c>
      <c r="I7">
        <v>6.2661111111111101</v>
      </c>
      <c r="J7">
        <v>404.87631882259001</v>
      </c>
      <c r="K7">
        <v>126.767543585225</v>
      </c>
      <c r="L7">
        <v>20.013009073528199</v>
      </c>
      <c r="M7">
        <v>13.746897962417099</v>
      </c>
      <c r="N7">
        <v>3.1938484202811299</v>
      </c>
      <c r="P7">
        <v>0</v>
      </c>
      <c r="Q7">
        <v>0</v>
      </c>
      <c r="R7">
        <v>0</v>
      </c>
      <c r="S7">
        <v>0</v>
      </c>
    </row>
    <row r="8" spans="1:19" x14ac:dyDescent="0.25">
      <c r="A8" t="s">
        <v>53</v>
      </c>
      <c r="B8">
        <v>7</v>
      </c>
      <c r="C8" t="s">
        <v>68</v>
      </c>
      <c r="D8" t="s">
        <v>69</v>
      </c>
      <c r="E8" t="s">
        <v>13</v>
      </c>
      <c r="F8" t="s">
        <v>55</v>
      </c>
      <c r="G8" t="s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25">
      <c r="A9" t="s">
        <v>53</v>
      </c>
      <c r="B9">
        <v>8</v>
      </c>
      <c r="C9" t="s">
        <v>70</v>
      </c>
      <c r="D9" t="s">
        <v>71</v>
      </c>
      <c r="E9" t="s">
        <v>13</v>
      </c>
      <c r="F9" t="s">
        <v>55</v>
      </c>
      <c r="G9" t="s">
        <v>59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25">
      <c r="A10" t="s">
        <v>53</v>
      </c>
      <c r="B10">
        <v>9</v>
      </c>
      <c r="C10" t="s">
        <v>72</v>
      </c>
      <c r="D10" t="s">
        <v>73</v>
      </c>
      <c r="E10" t="s">
        <v>13</v>
      </c>
      <c r="F10" t="s">
        <v>55</v>
      </c>
      <c r="G10" t="s">
        <v>59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25">
      <c r="A11" t="s">
        <v>53</v>
      </c>
      <c r="B11">
        <v>10</v>
      </c>
      <c r="C11" t="s">
        <v>74</v>
      </c>
      <c r="D11" t="s">
        <v>75</v>
      </c>
      <c r="E11" t="s">
        <v>13</v>
      </c>
      <c r="F11" t="s">
        <v>55</v>
      </c>
      <c r="G11" t="s">
        <v>59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25">
      <c r="A12" t="s">
        <v>53</v>
      </c>
      <c r="B12">
        <v>11</v>
      </c>
      <c r="C12" t="s">
        <v>76</v>
      </c>
      <c r="D12" t="s">
        <v>77</v>
      </c>
      <c r="E12" t="s">
        <v>13</v>
      </c>
      <c r="F12" t="s">
        <v>55</v>
      </c>
      <c r="G12" t="s">
        <v>59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25">
      <c r="A13" t="s">
        <v>53</v>
      </c>
      <c r="B13">
        <v>12</v>
      </c>
      <c r="C13" t="s">
        <v>78</v>
      </c>
      <c r="D13" t="s">
        <v>79</v>
      </c>
      <c r="E13" t="s">
        <v>13</v>
      </c>
      <c r="F13" t="s">
        <v>55</v>
      </c>
      <c r="G13" t="s">
        <v>80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25">
      <c r="A14" t="s">
        <v>53</v>
      </c>
      <c r="B14">
        <v>13</v>
      </c>
      <c r="C14" t="s">
        <v>81</v>
      </c>
      <c r="D14" t="s">
        <v>7</v>
      </c>
      <c r="E14" t="s">
        <v>13</v>
      </c>
      <c r="F14" t="s">
        <v>55</v>
      </c>
      <c r="G14" t="s">
        <v>80</v>
      </c>
      <c r="H14">
        <v>3889</v>
      </c>
      <c r="I14">
        <v>0.193888888888888</v>
      </c>
      <c r="J14">
        <v>20057.879656160399</v>
      </c>
      <c r="K14">
        <v>524.99998800000003</v>
      </c>
      <c r="L14">
        <v>7.40761921693605</v>
      </c>
      <c r="M14">
        <v>7.2137303280471601</v>
      </c>
      <c r="N14">
        <v>38.2054859326215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25">
      <c r="A15" t="s">
        <v>53</v>
      </c>
      <c r="B15">
        <v>14</v>
      </c>
      <c r="C15" t="s">
        <v>82</v>
      </c>
      <c r="D15" t="s">
        <v>83</v>
      </c>
      <c r="E15" t="s">
        <v>13</v>
      </c>
      <c r="F15" t="s">
        <v>55</v>
      </c>
      <c r="G15" t="s">
        <v>84</v>
      </c>
      <c r="H15">
        <v>31</v>
      </c>
      <c r="I15">
        <v>4.9577777777777703</v>
      </c>
      <c r="J15">
        <v>6.2528014343343798</v>
      </c>
      <c r="K15">
        <v>11.999988</v>
      </c>
      <c r="L15">
        <v>2.5833359166692502</v>
      </c>
      <c r="M15">
        <v>-2.3744418611085201</v>
      </c>
      <c r="N15">
        <v>0.52106730726183803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25">
      <c r="A16" t="s">
        <v>53</v>
      </c>
      <c r="B16">
        <v>15</v>
      </c>
      <c r="C16" t="s">
        <v>85</v>
      </c>
      <c r="D16" t="s">
        <v>86</v>
      </c>
      <c r="E16" t="s">
        <v>13</v>
      </c>
      <c r="F16" t="s">
        <v>55</v>
      </c>
      <c r="G16" t="s">
        <v>56</v>
      </c>
      <c r="H16">
        <v>61165</v>
      </c>
      <c r="I16">
        <v>46.563055555555501</v>
      </c>
      <c r="J16">
        <v>1313.5950652341201</v>
      </c>
      <c r="K16">
        <v>2000.00001599999</v>
      </c>
      <c r="L16">
        <v>30.582499755339999</v>
      </c>
      <c r="M16">
        <v>-15.9805558002155</v>
      </c>
      <c r="N16">
        <v>0.65679752736268004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25">
      <c r="A17" t="s">
        <v>53</v>
      </c>
      <c r="B17">
        <v>16</v>
      </c>
      <c r="C17" t="s">
        <v>87</v>
      </c>
      <c r="D17" t="s">
        <v>88</v>
      </c>
      <c r="E17" t="s">
        <v>13</v>
      </c>
      <c r="F17" t="s">
        <v>55</v>
      </c>
      <c r="G17" t="s">
        <v>59</v>
      </c>
      <c r="H17">
        <v>61165</v>
      </c>
      <c r="I17">
        <v>77.131388888888793</v>
      </c>
      <c r="J17">
        <v>792.99751866403994</v>
      </c>
      <c r="K17">
        <v>501.11083518312199</v>
      </c>
      <c r="L17">
        <v>122.058825524393</v>
      </c>
      <c r="M17">
        <v>44.927436635504797</v>
      </c>
      <c r="N17">
        <v>1.5824792899843201</v>
      </c>
      <c r="P17">
        <v>0</v>
      </c>
      <c r="Q17">
        <v>0</v>
      </c>
      <c r="R17">
        <v>0</v>
      </c>
      <c r="S17">
        <v>0</v>
      </c>
    </row>
    <row r="18" spans="1:19" x14ac:dyDescent="0.25">
      <c r="A18" t="s">
        <v>53</v>
      </c>
      <c r="B18">
        <v>17</v>
      </c>
      <c r="C18" t="s">
        <v>89</v>
      </c>
      <c r="D18" t="s">
        <v>90</v>
      </c>
      <c r="E18" t="s">
        <v>13</v>
      </c>
      <c r="F18" t="s">
        <v>91</v>
      </c>
      <c r="G18" t="s">
        <v>80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25">
      <c r="A19" t="s">
        <v>53</v>
      </c>
      <c r="B19">
        <v>18</v>
      </c>
      <c r="C19" t="s">
        <v>92</v>
      </c>
      <c r="D19" t="s">
        <v>93</v>
      </c>
      <c r="E19" t="s">
        <v>13</v>
      </c>
      <c r="F19" t="s">
        <v>91</v>
      </c>
      <c r="G19" t="s">
        <v>59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25">
      <c r="A20" t="s">
        <v>53</v>
      </c>
      <c r="B20">
        <v>19</v>
      </c>
      <c r="C20" t="s">
        <v>94</v>
      </c>
      <c r="D20" t="s">
        <v>95</v>
      </c>
      <c r="E20" t="s">
        <v>13</v>
      </c>
      <c r="F20" t="s">
        <v>91</v>
      </c>
      <c r="G20" t="s">
        <v>59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25">
      <c r="A21" t="s">
        <v>53</v>
      </c>
      <c r="B21">
        <v>20</v>
      </c>
      <c r="C21" t="s">
        <v>96</v>
      </c>
      <c r="D21" t="s">
        <v>97</v>
      </c>
      <c r="E21" t="s">
        <v>13</v>
      </c>
      <c r="F21" t="s">
        <v>91</v>
      </c>
      <c r="G21" t="s">
        <v>59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25">
      <c r="A22" t="s">
        <v>53</v>
      </c>
      <c r="B22">
        <v>21</v>
      </c>
      <c r="C22" t="s">
        <v>98</v>
      </c>
      <c r="D22" t="s">
        <v>99</v>
      </c>
      <c r="E22" t="s">
        <v>13</v>
      </c>
      <c r="F22" t="s">
        <v>91</v>
      </c>
      <c r="G22" t="s">
        <v>59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25">
      <c r="A23" t="s">
        <v>53</v>
      </c>
      <c r="B23">
        <v>22</v>
      </c>
      <c r="C23" t="s">
        <v>100</v>
      </c>
      <c r="D23" t="s">
        <v>101</v>
      </c>
      <c r="E23" t="s">
        <v>13</v>
      </c>
      <c r="F23" t="s">
        <v>91</v>
      </c>
      <c r="G23" t="s">
        <v>59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25">
      <c r="A24" t="s">
        <v>53</v>
      </c>
      <c r="B24">
        <v>23</v>
      </c>
      <c r="C24" t="s">
        <v>102</v>
      </c>
      <c r="D24" t="s">
        <v>103</v>
      </c>
      <c r="E24" t="s">
        <v>13</v>
      </c>
      <c r="F24" t="s">
        <v>91</v>
      </c>
      <c r="G24" t="s">
        <v>80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25">
      <c r="A25" t="s">
        <v>53</v>
      </c>
      <c r="B25">
        <v>24</v>
      </c>
      <c r="C25" t="s">
        <v>104</v>
      </c>
      <c r="D25" t="s">
        <v>105</v>
      </c>
      <c r="E25" t="s">
        <v>13</v>
      </c>
      <c r="F25" t="s">
        <v>91</v>
      </c>
      <c r="G25" t="s">
        <v>84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25">
      <c r="A26" t="s">
        <v>53</v>
      </c>
      <c r="B26">
        <v>25</v>
      </c>
      <c r="C26" t="s">
        <v>106</v>
      </c>
      <c r="D26" t="s">
        <v>107</v>
      </c>
      <c r="E26" t="s">
        <v>13</v>
      </c>
      <c r="F26" t="s">
        <v>91</v>
      </c>
      <c r="G26" t="s">
        <v>56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25">
      <c r="A27" t="s">
        <v>53</v>
      </c>
      <c r="B27">
        <v>26</v>
      </c>
      <c r="C27" t="s">
        <v>108</v>
      </c>
      <c r="D27" t="s">
        <v>109</v>
      </c>
      <c r="E27" t="s">
        <v>13</v>
      </c>
      <c r="F27" t="s">
        <v>91</v>
      </c>
      <c r="G27" t="s">
        <v>59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25">
      <c r="A28" t="s">
        <v>53</v>
      </c>
      <c r="B28">
        <v>27</v>
      </c>
      <c r="C28" t="s">
        <v>110</v>
      </c>
      <c r="D28" t="s">
        <v>111</v>
      </c>
      <c r="E28" t="s">
        <v>13</v>
      </c>
      <c r="F28" t="s">
        <v>112</v>
      </c>
      <c r="G28" t="s">
        <v>59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25">
      <c r="A29" t="s">
        <v>53</v>
      </c>
      <c r="B29">
        <v>28</v>
      </c>
      <c r="C29" t="s">
        <v>113</v>
      </c>
      <c r="D29" t="s">
        <v>114</v>
      </c>
      <c r="E29" t="s">
        <v>13</v>
      </c>
      <c r="F29" t="s">
        <v>112</v>
      </c>
      <c r="G29" t="s">
        <v>59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25">
      <c r="A30" t="s">
        <v>53</v>
      </c>
      <c r="B30">
        <v>29</v>
      </c>
      <c r="C30" t="s">
        <v>115</v>
      </c>
      <c r="D30" t="s">
        <v>116</v>
      </c>
      <c r="E30" t="s">
        <v>13</v>
      </c>
      <c r="F30" t="s">
        <v>112</v>
      </c>
      <c r="G30" t="s">
        <v>59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25">
      <c r="A31" t="s">
        <v>53</v>
      </c>
      <c r="B31">
        <v>30</v>
      </c>
      <c r="C31" t="s">
        <v>117</v>
      </c>
      <c r="D31" t="s">
        <v>118</v>
      </c>
      <c r="E31" t="s">
        <v>13</v>
      </c>
      <c r="F31" t="s">
        <v>112</v>
      </c>
      <c r="G31" t="s">
        <v>59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25">
      <c r="A32" t="s">
        <v>53</v>
      </c>
      <c r="B32">
        <v>31</v>
      </c>
      <c r="C32" t="s">
        <v>119</v>
      </c>
      <c r="D32" t="s">
        <v>120</v>
      </c>
      <c r="E32" t="s">
        <v>13</v>
      </c>
      <c r="F32" t="s">
        <v>112</v>
      </c>
      <c r="G32" t="s">
        <v>59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25">
      <c r="A33" t="s">
        <v>53</v>
      </c>
      <c r="B33">
        <v>32</v>
      </c>
      <c r="C33" t="s">
        <v>121</v>
      </c>
      <c r="D33" t="s">
        <v>122</v>
      </c>
      <c r="E33" t="s">
        <v>13</v>
      </c>
      <c r="F33" t="s">
        <v>112</v>
      </c>
      <c r="G33" t="s">
        <v>59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25">
      <c r="A34" t="s">
        <v>53</v>
      </c>
      <c r="B34">
        <v>33</v>
      </c>
      <c r="C34" t="s">
        <v>123</v>
      </c>
      <c r="D34" t="s">
        <v>124</v>
      </c>
      <c r="E34" t="s">
        <v>13</v>
      </c>
      <c r="F34" t="s">
        <v>112</v>
      </c>
      <c r="G34" t="s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25">
      <c r="A35" t="s">
        <v>53</v>
      </c>
      <c r="B35">
        <v>34</v>
      </c>
      <c r="C35" t="s">
        <v>125</v>
      </c>
      <c r="D35" t="s">
        <v>126</v>
      </c>
      <c r="E35" t="s">
        <v>13</v>
      </c>
      <c r="F35" t="s">
        <v>112</v>
      </c>
      <c r="G35" t="s">
        <v>56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25">
      <c r="A36" t="s">
        <v>53</v>
      </c>
      <c r="B36">
        <v>35</v>
      </c>
      <c r="C36" t="s">
        <v>127</v>
      </c>
      <c r="D36" t="s">
        <v>128</v>
      </c>
      <c r="E36" t="s">
        <v>13</v>
      </c>
      <c r="F36" t="s">
        <v>112</v>
      </c>
      <c r="G36" t="s">
        <v>56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25">
      <c r="A37" t="s">
        <v>53</v>
      </c>
      <c r="B37">
        <v>36</v>
      </c>
      <c r="C37" t="s">
        <v>129</v>
      </c>
      <c r="D37" t="s">
        <v>130</v>
      </c>
      <c r="E37" t="s">
        <v>13</v>
      </c>
      <c r="F37" t="s">
        <v>131</v>
      </c>
      <c r="G37" t="s">
        <v>59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25">
      <c r="A38" t="s">
        <v>53</v>
      </c>
      <c r="B38">
        <v>37</v>
      </c>
      <c r="C38" t="s">
        <v>132</v>
      </c>
      <c r="D38" t="s">
        <v>133</v>
      </c>
      <c r="E38" t="s">
        <v>13</v>
      </c>
      <c r="F38" t="s">
        <v>131</v>
      </c>
      <c r="G38" t="s">
        <v>59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25">
      <c r="A39" t="s">
        <v>53</v>
      </c>
      <c r="B39">
        <v>38</v>
      </c>
      <c r="C39" t="s">
        <v>134</v>
      </c>
      <c r="D39" t="s">
        <v>135</v>
      </c>
      <c r="E39" t="s">
        <v>13</v>
      </c>
      <c r="F39" t="s">
        <v>131</v>
      </c>
      <c r="G39" t="s">
        <v>59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25">
      <c r="A40" t="s">
        <v>53</v>
      </c>
      <c r="B40">
        <v>39</v>
      </c>
      <c r="C40" t="s">
        <v>136</v>
      </c>
      <c r="D40" t="s">
        <v>137</v>
      </c>
      <c r="E40" t="s">
        <v>13</v>
      </c>
      <c r="F40" t="s">
        <v>131</v>
      </c>
      <c r="G40" t="s">
        <v>59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25">
      <c r="A41" t="s">
        <v>53</v>
      </c>
      <c r="B41">
        <v>40</v>
      </c>
      <c r="C41" t="s">
        <v>138</v>
      </c>
      <c r="D41" t="s">
        <v>139</v>
      </c>
      <c r="E41" t="s">
        <v>13</v>
      </c>
      <c r="F41" t="s">
        <v>131</v>
      </c>
      <c r="G41" t="s">
        <v>59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25">
      <c r="A42" t="s">
        <v>53</v>
      </c>
      <c r="B42">
        <v>41</v>
      </c>
      <c r="C42" t="s">
        <v>140</v>
      </c>
      <c r="D42" t="s">
        <v>141</v>
      </c>
      <c r="E42" t="s">
        <v>13</v>
      </c>
      <c r="F42" t="s">
        <v>131</v>
      </c>
      <c r="G42" t="s">
        <v>80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25">
      <c r="A43" t="s">
        <v>53</v>
      </c>
      <c r="B43">
        <v>42</v>
      </c>
      <c r="C43" t="s">
        <v>142</v>
      </c>
      <c r="D43" t="s">
        <v>143</v>
      </c>
      <c r="E43" t="s">
        <v>13</v>
      </c>
      <c r="F43" t="s">
        <v>131</v>
      </c>
      <c r="G43" t="s">
        <v>84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25">
      <c r="A44" t="s">
        <v>53</v>
      </c>
      <c r="B44">
        <v>43</v>
      </c>
      <c r="C44" t="s">
        <v>144</v>
      </c>
      <c r="D44" t="s">
        <v>145</v>
      </c>
      <c r="E44" t="s">
        <v>13</v>
      </c>
      <c r="F44" t="s">
        <v>131</v>
      </c>
      <c r="G44" t="s">
        <v>59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25">
      <c r="A45" t="s">
        <v>53</v>
      </c>
      <c r="B45">
        <v>44</v>
      </c>
      <c r="C45" t="s">
        <v>146</v>
      </c>
      <c r="D45" t="s">
        <v>147</v>
      </c>
      <c r="E45" t="s">
        <v>13</v>
      </c>
      <c r="F45" t="s">
        <v>131</v>
      </c>
      <c r="G45" t="s">
        <v>59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25">
      <c r="A46" t="s">
        <v>53</v>
      </c>
      <c r="B46">
        <v>45</v>
      </c>
      <c r="C46" t="s">
        <v>148</v>
      </c>
      <c r="D46" t="s">
        <v>149</v>
      </c>
      <c r="E46" t="s">
        <v>13</v>
      </c>
      <c r="F46" t="s">
        <v>150</v>
      </c>
      <c r="G46" t="s">
        <v>80</v>
      </c>
      <c r="H46">
        <v>4132</v>
      </c>
      <c r="I46">
        <v>88.129444444444403</v>
      </c>
      <c r="J46">
        <v>46.885578662699402</v>
      </c>
      <c r="K46">
        <v>86.000004000000004</v>
      </c>
      <c r="L46">
        <v>48.046509393185602</v>
      </c>
      <c r="M46">
        <v>-40.082935051258801</v>
      </c>
      <c r="N46">
        <v>0.54518112188342904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25">
      <c r="A47" t="s">
        <v>53</v>
      </c>
      <c r="B47">
        <v>46</v>
      </c>
      <c r="C47" t="s">
        <v>151</v>
      </c>
      <c r="D47" t="s">
        <v>152</v>
      </c>
      <c r="E47" t="s">
        <v>13</v>
      </c>
      <c r="F47" t="s">
        <v>150</v>
      </c>
      <c r="G47" t="s">
        <v>153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25">
      <c r="A48" t="s">
        <v>53</v>
      </c>
      <c r="B48">
        <v>47</v>
      </c>
      <c r="C48" t="s">
        <v>154</v>
      </c>
      <c r="D48" t="s">
        <v>155</v>
      </c>
      <c r="E48" t="s">
        <v>13</v>
      </c>
      <c r="F48" t="s">
        <v>150</v>
      </c>
      <c r="G48" t="s">
        <v>84</v>
      </c>
      <c r="H48">
        <v>21</v>
      </c>
      <c r="I48">
        <v>0.45555555555555499</v>
      </c>
      <c r="J48">
        <v>46.097560975609703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25">
      <c r="A49" t="s">
        <v>53</v>
      </c>
      <c r="B49">
        <v>48</v>
      </c>
      <c r="C49" t="s">
        <v>156</v>
      </c>
      <c r="D49" t="s">
        <v>157</v>
      </c>
      <c r="E49" t="s">
        <v>13</v>
      </c>
      <c r="F49" t="s">
        <v>150</v>
      </c>
      <c r="G49" t="s">
        <v>158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25">
      <c r="A50" t="s">
        <v>53</v>
      </c>
      <c r="B50">
        <v>49</v>
      </c>
      <c r="C50" t="s">
        <v>159</v>
      </c>
      <c r="D50" t="s">
        <v>160</v>
      </c>
      <c r="E50" t="s">
        <v>13</v>
      </c>
      <c r="F50" t="s">
        <v>150</v>
      </c>
      <c r="G50" t="s">
        <v>56</v>
      </c>
      <c r="H50">
        <v>135675</v>
      </c>
      <c r="I50">
        <v>54.420277777777699</v>
      </c>
      <c r="J50">
        <v>2493.09642545415</v>
      </c>
      <c r="K50">
        <v>15000.0000119999</v>
      </c>
      <c r="L50">
        <v>9.0449999927639997</v>
      </c>
      <c r="M50">
        <v>-45.375277785013701</v>
      </c>
      <c r="N50">
        <v>0.16620642823064499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25">
      <c r="A51" t="s">
        <v>53</v>
      </c>
      <c r="B51">
        <v>50</v>
      </c>
      <c r="C51" t="s">
        <v>161</v>
      </c>
      <c r="D51" t="s">
        <v>162</v>
      </c>
      <c r="E51" t="s">
        <v>13</v>
      </c>
      <c r="F51" t="s">
        <v>150</v>
      </c>
      <c r="G51" t="s">
        <v>56</v>
      </c>
      <c r="H51">
        <v>135675</v>
      </c>
      <c r="I51">
        <v>143.005277777777</v>
      </c>
      <c r="J51">
        <v>948.74120807507097</v>
      </c>
      <c r="K51">
        <v>2376.4479422467298</v>
      </c>
      <c r="L51">
        <v>57.0915093859496</v>
      </c>
      <c r="M51">
        <v>-85.9137683918281</v>
      </c>
      <c r="N51">
        <v>0.39922658990716797</v>
      </c>
      <c r="P51">
        <v>0</v>
      </c>
      <c r="Q51">
        <v>0</v>
      </c>
      <c r="R51">
        <v>0</v>
      </c>
      <c r="S51">
        <v>0</v>
      </c>
    </row>
    <row r="52" spans="1:19" x14ac:dyDescent="0.25">
      <c r="A52" t="s">
        <v>53</v>
      </c>
      <c r="B52">
        <v>51</v>
      </c>
      <c r="C52" t="s">
        <v>163</v>
      </c>
      <c r="D52" t="s">
        <v>164</v>
      </c>
      <c r="E52" t="s">
        <v>13</v>
      </c>
      <c r="F52" t="s">
        <v>164</v>
      </c>
      <c r="G52" t="s">
        <v>56</v>
      </c>
      <c r="H52">
        <v>61165</v>
      </c>
      <c r="I52">
        <v>27.183333333333302</v>
      </c>
      <c r="J52">
        <v>2250.0919681177102</v>
      </c>
      <c r="K52">
        <v>4500</v>
      </c>
      <c r="L52">
        <v>13.592222222222199</v>
      </c>
      <c r="M52">
        <v>-13.5911111111111</v>
      </c>
      <c r="N52">
        <v>0.50002043735949298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25">
      <c r="A53" t="s">
        <v>53</v>
      </c>
      <c r="B53">
        <v>52</v>
      </c>
      <c r="C53" t="s">
        <v>165</v>
      </c>
      <c r="D53" t="s">
        <v>166</v>
      </c>
      <c r="E53" t="s">
        <v>13</v>
      </c>
      <c r="F53" t="s">
        <v>167</v>
      </c>
      <c r="G53" t="s">
        <v>56</v>
      </c>
      <c r="H53">
        <v>61165</v>
      </c>
      <c r="I53">
        <v>24.043611111111101</v>
      </c>
      <c r="J53">
        <v>2543.9190360109501</v>
      </c>
      <c r="K53">
        <v>1850.000004</v>
      </c>
      <c r="L53">
        <v>33.062162090676402</v>
      </c>
      <c r="M53">
        <v>9.0185509795652905</v>
      </c>
      <c r="N53">
        <v>1.3750913678435599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25">
      <c r="A54" t="s">
        <v>53</v>
      </c>
      <c r="B54">
        <v>53</v>
      </c>
      <c r="C54" t="s">
        <v>168</v>
      </c>
      <c r="D54" t="s">
        <v>11</v>
      </c>
      <c r="E54" t="s">
        <v>13</v>
      </c>
      <c r="F54" t="s">
        <v>169</v>
      </c>
      <c r="G54" t="s">
        <v>59</v>
      </c>
      <c r="H54">
        <v>61165</v>
      </c>
      <c r="I54">
        <v>271.36361111111103</v>
      </c>
      <c r="J54">
        <v>225.39868094162199</v>
      </c>
      <c r="K54">
        <v>270.875649589631</v>
      </c>
      <c r="L54">
        <v>225.80471922324199</v>
      </c>
      <c r="M54">
        <v>-45.558891887869102</v>
      </c>
      <c r="N54">
        <v>0.83211127055198697</v>
      </c>
      <c r="P54">
        <v>0</v>
      </c>
      <c r="Q54">
        <v>0</v>
      </c>
      <c r="R54">
        <v>0</v>
      </c>
      <c r="S54">
        <v>0</v>
      </c>
    </row>
    <row r="55" spans="1:19" x14ac:dyDescent="0.25">
      <c r="A55" t="s">
        <v>53</v>
      </c>
      <c r="B55">
        <v>54</v>
      </c>
      <c r="C55" t="s">
        <v>170</v>
      </c>
      <c r="D55" t="s">
        <v>171</v>
      </c>
      <c r="E55" t="s">
        <v>172</v>
      </c>
      <c r="F55" t="s">
        <v>173</v>
      </c>
      <c r="G55" t="s">
        <v>80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25">
      <c r="A56" t="s">
        <v>53</v>
      </c>
      <c r="B56">
        <v>55</v>
      </c>
      <c r="C56" t="s">
        <v>174</v>
      </c>
      <c r="D56" t="s">
        <v>175</v>
      </c>
      <c r="E56" t="s">
        <v>172</v>
      </c>
      <c r="F56" t="s">
        <v>173</v>
      </c>
      <c r="G56" t="s">
        <v>84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25">
      <c r="A57" t="s">
        <v>53</v>
      </c>
      <c r="B57">
        <v>56</v>
      </c>
      <c r="C57" t="s">
        <v>176</v>
      </c>
      <c r="D57" t="s">
        <v>177</v>
      </c>
      <c r="E57" t="s">
        <v>172</v>
      </c>
      <c r="F57" t="s">
        <v>178</v>
      </c>
      <c r="G57" t="s">
        <v>80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25">
      <c r="A58" t="s">
        <v>53</v>
      </c>
      <c r="B58">
        <v>57</v>
      </c>
      <c r="C58" t="s">
        <v>179</v>
      </c>
      <c r="D58" t="s">
        <v>180</v>
      </c>
      <c r="E58" t="s">
        <v>172</v>
      </c>
      <c r="F58" t="s">
        <v>178</v>
      </c>
      <c r="G58" t="s">
        <v>80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25">
      <c r="A59" t="s">
        <v>53</v>
      </c>
      <c r="B59">
        <v>58</v>
      </c>
      <c r="C59" t="s">
        <v>181</v>
      </c>
      <c r="D59" t="s">
        <v>182</v>
      </c>
      <c r="E59" t="s">
        <v>172</v>
      </c>
      <c r="F59" t="s">
        <v>183</v>
      </c>
      <c r="G59" t="s">
        <v>80</v>
      </c>
      <c r="H59">
        <v>2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25">
      <c r="A60" t="s">
        <v>53</v>
      </c>
      <c r="B60">
        <v>59</v>
      </c>
      <c r="C60" t="s">
        <v>184</v>
      </c>
      <c r="D60" t="s">
        <v>185</v>
      </c>
      <c r="E60" t="s">
        <v>172</v>
      </c>
      <c r="F60" t="s">
        <v>183</v>
      </c>
      <c r="G60" t="s">
        <v>59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25">
      <c r="A61" t="s">
        <v>53</v>
      </c>
      <c r="B61">
        <v>60</v>
      </c>
      <c r="C61" t="s">
        <v>186</v>
      </c>
      <c r="D61" t="s">
        <v>187</v>
      </c>
      <c r="E61" t="s">
        <v>172</v>
      </c>
      <c r="F61" t="s">
        <v>183</v>
      </c>
      <c r="G61" t="s">
        <v>59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25">
      <c r="A62" t="s">
        <v>53</v>
      </c>
      <c r="B62">
        <v>61</v>
      </c>
      <c r="C62" t="s">
        <v>188</v>
      </c>
      <c r="D62" t="s">
        <v>189</v>
      </c>
      <c r="E62" t="s">
        <v>172</v>
      </c>
      <c r="F62" t="s">
        <v>183</v>
      </c>
      <c r="G62" t="s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25">
      <c r="A63" t="s">
        <v>53</v>
      </c>
      <c r="B63">
        <v>62</v>
      </c>
      <c r="C63" t="s">
        <v>190</v>
      </c>
      <c r="D63" t="s">
        <v>191</v>
      </c>
      <c r="E63" t="s">
        <v>172</v>
      </c>
      <c r="F63" t="s">
        <v>183</v>
      </c>
      <c r="G63" t="s">
        <v>59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25">
      <c r="A64" t="s">
        <v>53</v>
      </c>
      <c r="B64">
        <v>63</v>
      </c>
      <c r="C64" t="s">
        <v>192</v>
      </c>
      <c r="D64" t="s">
        <v>193</v>
      </c>
      <c r="E64" t="s">
        <v>172</v>
      </c>
      <c r="F64" t="s">
        <v>183</v>
      </c>
      <c r="G64" t="s">
        <v>56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25">
      <c r="A65" t="s">
        <v>53</v>
      </c>
      <c r="B65">
        <v>64</v>
      </c>
      <c r="C65" t="s">
        <v>194</v>
      </c>
      <c r="D65" t="s">
        <v>195</v>
      </c>
      <c r="E65" t="s">
        <v>172</v>
      </c>
      <c r="F65" t="s">
        <v>196</v>
      </c>
      <c r="G65" t="s">
        <v>59</v>
      </c>
      <c r="H65">
        <v>10478</v>
      </c>
      <c r="I65">
        <v>8.3566666666666602</v>
      </c>
      <c r="J65">
        <v>1253.8492221778999</v>
      </c>
      <c r="K65">
        <v>1244.000016</v>
      </c>
      <c r="L65">
        <v>8.4228294736613503</v>
      </c>
      <c r="M65">
        <v>6.6162806994691098E-2</v>
      </c>
      <c r="N65">
        <v>1.00791736820837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25">
      <c r="A66" t="s">
        <v>53</v>
      </c>
      <c r="B66">
        <v>65</v>
      </c>
      <c r="C66" t="s">
        <v>197</v>
      </c>
      <c r="D66" t="s">
        <v>198</v>
      </c>
      <c r="E66" t="s">
        <v>172</v>
      </c>
      <c r="F66" t="s">
        <v>196</v>
      </c>
      <c r="G66" t="s">
        <v>59</v>
      </c>
      <c r="H66">
        <v>60879</v>
      </c>
      <c r="I66">
        <v>325.89027777777699</v>
      </c>
      <c r="J66">
        <v>186.80827306395699</v>
      </c>
      <c r="K66">
        <v>288</v>
      </c>
      <c r="L66">
        <v>211.385416666666</v>
      </c>
      <c r="M66">
        <v>-114.504861111111</v>
      </c>
      <c r="N66">
        <v>0.64863983702762895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25">
      <c r="A67" t="s">
        <v>53</v>
      </c>
      <c r="B67">
        <v>66</v>
      </c>
      <c r="C67" t="s">
        <v>199</v>
      </c>
      <c r="D67" t="s">
        <v>200</v>
      </c>
      <c r="E67" t="s">
        <v>172</v>
      </c>
      <c r="F67" t="s">
        <v>196</v>
      </c>
      <c r="G67" t="s">
        <v>59</v>
      </c>
      <c r="H67">
        <v>1900</v>
      </c>
      <c r="I67">
        <v>11.3294444444444</v>
      </c>
      <c r="J67">
        <v>167.70460452115901</v>
      </c>
      <c r="K67">
        <v>117</v>
      </c>
      <c r="L67">
        <v>16.239316239316199</v>
      </c>
      <c r="M67">
        <v>4.9098717948717896</v>
      </c>
      <c r="N67">
        <v>1.4333726882150299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25">
      <c r="A68" t="s">
        <v>53</v>
      </c>
      <c r="B68">
        <v>67</v>
      </c>
      <c r="C68" t="s">
        <v>201</v>
      </c>
      <c r="D68" t="s">
        <v>202</v>
      </c>
      <c r="E68" t="s">
        <v>172</v>
      </c>
      <c r="F68" t="s">
        <v>196</v>
      </c>
      <c r="G68" t="s">
        <v>59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25">
      <c r="A69" t="s">
        <v>53</v>
      </c>
      <c r="B69">
        <v>68</v>
      </c>
      <c r="C69" t="s">
        <v>203</v>
      </c>
      <c r="D69" t="s">
        <v>204</v>
      </c>
      <c r="E69" t="s">
        <v>172</v>
      </c>
      <c r="F69" t="s">
        <v>196</v>
      </c>
      <c r="G69" t="s">
        <v>59</v>
      </c>
      <c r="H69">
        <v>73257</v>
      </c>
      <c r="I69">
        <v>345.576388888888</v>
      </c>
      <c r="J69">
        <v>211.984968751883</v>
      </c>
      <c r="K69">
        <v>310.34847071276999</v>
      </c>
      <c r="L69">
        <v>236.04756237964401</v>
      </c>
      <c r="M69">
        <v>-109.528826509244</v>
      </c>
      <c r="N69">
        <v>0.68305465873578297</v>
      </c>
      <c r="P69">
        <v>0</v>
      </c>
      <c r="Q69">
        <v>0</v>
      </c>
      <c r="R69">
        <v>0</v>
      </c>
      <c r="S69">
        <v>0</v>
      </c>
    </row>
    <row r="70" spans="1:19" x14ac:dyDescent="0.25">
      <c r="A70" t="s">
        <v>53</v>
      </c>
      <c r="B70">
        <v>69</v>
      </c>
      <c r="C70" t="s">
        <v>205</v>
      </c>
      <c r="D70" t="s">
        <v>206</v>
      </c>
      <c r="E70" t="s">
        <v>172</v>
      </c>
      <c r="F70" t="s">
        <v>206</v>
      </c>
      <c r="G70" t="s">
        <v>59</v>
      </c>
      <c r="H70">
        <v>74510</v>
      </c>
      <c r="I70">
        <v>37.063055555555501</v>
      </c>
      <c r="J70">
        <v>2010.3577236991</v>
      </c>
      <c r="K70">
        <v>3465</v>
      </c>
      <c r="L70">
        <v>21.503607503607501</v>
      </c>
      <c r="M70">
        <v>-15.559448051947999</v>
      </c>
      <c r="N70">
        <v>0.58018981924937896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25">
      <c r="A71" t="s">
        <v>53</v>
      </c>
      <c r="B71">
        <v>70</v>
      </c>
      <c r="C71" t="s">
        <v>207</v>
      </c>
      <c r="D71" t="s">
        <v>208</v>
      </c>
      <c r="E71" t="s">
        <v>172</v>
      </c>
      <c r="F71" t="s">
        <v>208</v>
      </c>
      <c r="G71" t="s">
        <v>56</v>
      </c>
      <c r="H71">
        <v>74510</v>
      </c>
      <c r="I71">
        <v>80.864722222222198</v>
      </c>
      <c r="J71">
        <v>921.415395396289</v>
      </c>
      <c r="K71">
        <v>1524.999996</v>
      </c>
      <c r="L71">
        <v>48.859016521597397</v>
      </c>
      <c r="M71">
        <v>-32.005705700624802</v>
      </c>
      <c r="N71">
        <v>0.60420681823810896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25">
      <c r="A72" t="s">
        <v>53</v>
      </c>
      <c r="B72">
        <v>71</v>
      </c>
      <c r="C72" t="s">
        <v>209</v>
      </c>
      <c r="D72" t="s">
        <v>210</v>
      </c>
      <c r="E72" t="s">
        <v>172</v>
      </c>
      <c r="F72" t="s">
        <v>210</v>
      </c>
      <c r="G72" t="s">
        <v>56</v>
      </c>
      <c r="H72">
        <v>74510</v>
      </c>
      <c r="I72">
        <v>27.905833333333302</v>
      </c>
      <c r="J72">
        <v>2670.05106459223</v>
      </c>
      <c r="K72">
        <v>3499.999992</v>
      </c>
      <c r="L72">
        <v>21.288571477230999</v>
      </c>
      <c r="M72">
        <v>-6.61726185610231</v>
      </c>
      <c r="N72">
        <v>0.76287173448434298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25">
      <c r="A73" t="s">
        <v>53</v>
      </c>
      <c r="B73">
        <v>72</v>
      </c>
      <c r="C73" t="s">
        <v>211</v>
      </c>
      <c r="D73" t="s">
        <v>212</v>
      </c>
      <c r="E73" t="s">
        <v>172</v>
      </c>
      <c r="F73" t="s">
        <v>213</v>
      </c>
      <c r="G73" t="s">
        <v>56</v>
      </c>
      <c r="H73">
        <v>74510</v>
      </c>
      <c r="I73">
        <v>13.2488888888888</v>
      </c>
      <c r="J73">
        <v>5623.8678295873797</v>
      </c>
      <c r="K73">
        <v>5000.0000040000004</v>
      </c>
      <c r="L73">
        <v>14.9019999880784</v>
      </c>
      <c r="M73">
        <v>1.6531110991895099</v>
      </c>
      <c r="N73">
        <v>1.12477356501765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25">
      <c r="A74" t="s">
        <v>53</v>
      </c>
      <c r="B74">
        <v>73</v>
      </c>
      <c r="C74" t="s">
        <v>214</v>
      </c>
      <c r="D74" t="s">
        <v>215</v>
      </c>
      <c r="E74" t="s">
        <v>172</v>
      </c>
      <c r="F74" t="s">
        <v>169</v>
      </c>
      <c r="G74" t="s">
        <v>56</v>
      </c>
      <c r="H74">
        <v>74510</v>
      </c>
      <c r="I74">
        <v>504.65888888888799</v>
      </c>
      <c r="J74">
        <v>147.64428337733</v>
      </c>
      <c r="K74">
        <v>217.48346519489701</v>
      </c>
      <c r="L74">
        <v>342.60075787015802</v>
      </c>
      <c r="M74">
        <v>-162.05813101872999</v>
      </c>
      <c r="N74">
        <v>0.67887590095651495</v>
      </c>
      <c r="P74">
        <v>0</v>
      </c>
      <c r="Q74">
        <v>0</v>
      </c>
      <c r="R74">
        <v>0</v>
      </c>
      <c r="S74">
        <v>0</v>
      </c>
    </row>
    <row r="75" spans="1:19" x14ac:dyDescent="0.25">
      <c r="A75" t="s">
        <v>53</v>
      </c>
      <c r="B75">
        <v>74</v>
      </c>
      <c r="C75" t="s">
        <v>216</v>
      </c>
      <c r="D75" t="s">
        <v>217</v>
      </c>
      <c r="E75" t="s">
        <v>218</v>
      </c>
      <c r="F75" t="s">
        <v>9</v>
      </c>
      <c r="G75" t="s">
        <v>59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25">
      <c r="A76" t="s">
        <v>53</v>
      </c>
      <c r="B76">
        <v>75</v>
      </c>
      <c r="C76" t="s">
        <v>219</v>
      </c>
      <c r="D76" t="s">
        <v>220</v>
      </c>
      <c r="E76" t="s">
        <v>218</v>
      </c>
      <c r="F76" t="s">
        <v>9</v>
      </c>
      <c r="G76" t="s">
        <v>59</v>
      </c>
      <c r="H76">
        <v>14</v>
      </c>
      <c r="I76">
        <v>1.41333333333333</v>
      </c>
      <c r="J76">
        <v>9.9056603773584904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25">
      <c r="A77" t="s">
        <v>53</v>
      </c>
      <c r="B77">
        <v>76</v>
      </c>
      <c r="C77" t="s">
        <v>221</v>
      </c>
      <c r="D77" t="s">
        <v>222</v>
      </c>
      <c r="E77" t="s">
        <v>218</v>
      </c>
      <c r="F77" t="s">
        <v>9</v>
      </c>
      <c r="G77" t="s">
        <v>59</v>
      </c>
      <c r="H77">
        <v>6</v>
      </c>
      <c r="I77">
        <v>0.115555555555555</v>
      </c>
      <c r="J77">
        <v>51.923076923076898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25">
      <c r="A78" t="s">
        <v>53</v>
      </c>
      <c r="B78">
        <v>77</v>
      </c>
      <c r="C78" t="s">
        <v>223</v>
      </c>
      <c r="D78" t="s">
        <v>224</v>
      </c>
      <c r="E78" t="s">
        <v>218</v>
      </c>
      <c r="F78" t="s">
        <v>9</v>
      </c>
      <c r="G78" t="s">
        <v>59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25">
      <c r="A79" t="s">
        <v>53</v>
      </c>
      <c r="B79">
        <v>78</v>
      </c>
      <c r="C79" t="s">
        <v>225</v>
      </c>
      <c r="D79" t="s">
        <v>226</v>
      </c>
      <c r="E79" t="s">
        <v>218</v>
      </c>
      <c r="F79" t="s">
        <v>9</v>
      </c>
      <c r="G79" t="s">
        <v>59</v>
      </c>
      <c r="H79">
        <v>20</v>
      </c>
      <c r="I79">
        <v>1.5288888888888801</v>
      </c>
      <c r="J79">
        <v>13.0813953488372</v>
      </c>
      <c r="K79">
        <v>0</v>
      </c>
      <c r="L79">
        <v>0</v>
      </c>
      <c r="M79">
        <v>-1.5288888888888801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25">
      <c r="A80" t="s">
        <v>53</v>
      </c>
      <c r="B80">
        <v>79</v>
      </c>
      <c r="C80" t="s">
        <v>227</v>
      </c>
      <c r="D80" t="s">
        <v>228</v>
      </c>
      <c r="E80" t="s">
        <v>218</v>
      </c>
      <c r="F80" t="s">
        <v>9</v>
      </c>
      <c r="G80" t="s">
        <v>56</v>
      </c>
      <c r="H80">
        <v>73277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25">
      <c r="A81" t="s">
        <v>53</v>
      </c>
      <c r="B81">
        <v>80</v>
      </c>
      <c r="C81" t="s">
        <v>229</v>
      </c>
      <c r="D81" t="s">
        <v>230</v>
      </c>
      <c r="E81" t="s">
        <v>218</v>
      </c>
      <c r="F81" t="s">
        <v>9</v>
      </c>
      <c r="G81" t="s">
        <v>56</v>
      </c>
      <c r="H81">
        <v>20</v>
      </c>
      <c r="I81">
        <v>1.5288888888888801</v>
      </c>
      <c r="J81">
        <v>13.0813953488372</v>
      </c>
      <c r="K81">
        <v>0</v>
      </c>
      <c r="L81">
        <v>0</v>
      </c>
      <c r="M81">
        <v>-1.5288888888888801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25">
      <c r="A82" t="s">
        <v>53</v>
      </c>
      <c r="B82">
        <v>81</v>
      </c>
      <c r="C82" t="s">
        <v>231</v>
      </c>
      <c r="D82" t="s">
        <v>232</v>
      </c>
      <c r="E82" t="s">
        <v>218</v>
      </c>
      <c r="F82" t="s">
        <v>233</v>
      </c>
      <c r="G82" t="s">
        <v>59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25">
      <c r="A83" t="s">
        <v>53</v>
      </c>
      <c r="B83">
        <v>82</v>
      </c>
      <c r="C83" t="s">
        <v>234</v>
      </c>
      <c r="D83" t="s">
        <v>235</v>
      </c>
      <c r="E83" t="s">
        <v>218</v>
      </c>
      <c r="F83" t="s">
        <v>233</v>
      </c>
      <c r="G83" t="s">
        <v>59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25">
      <c r="A84" t="s">
        <v>53</v>
      </c>
      <c r="B84">
        <v>83</v>
      </c>
      <c r="C84" t="s">
        <v>236</v>
      </c>
      <c r="D84" t="s">
        <v>237</v>
      </c>
      <c r="E84" t="s">
        <v>218</v>
      </c>
      <c r="F84" t="s">
        <v>233</v>
      </c>
      <c r="G84" t="s">
        <v>59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25">
      <c r="A85" t="s">
        <v>53</v>
      </c>
      <c r="B85">
        <v>84</v>
      </c>
      <c r="C85" t="s">
        <v>238</v>
      </c>
      <c r="D85" t="s">
        <v>239</v>
      </c>
      <c r="E85" t="s">
        <v>218</v>
      </c>
      <c r="F85" t="s">
        <v>233</v>
      </c>
      <c r="G85" t="s">
        <v>59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25">
      <c r="A86" t="s">
        <v>53</v>
      </c>
      <c r="B86">
        <v>85</v>
      </c>
      <c r="C86" t="s">
        <v>240</v>
      </c>
      <c r="D86" t="s">
        <v>241</v>
      </c>
      <c r="E86" t="s">
        <v>218</v>
      </c>
      <c r="F86" t="s">
        <v>233</v>
      </c>
      <c r="G86" t="s">
        <v>59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25">
      <c r="A87" t="s">
        <v>53</v>
      </c>
      <c r="B87">
        <v>86</v>
      </c>
      <c r="C87" t="s">
        <v>242</v>
      </c>
      <c r="D87" t="s">
        <v>243</v>
      </c>
      <c r="E87" t="s">
        <v>218</v>
      </c>
      <c r="F87" t="s">
        <v>233</v>
      </c>
      <c r="G87" t="s">
        <v>59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25">
      <c r="A88" t="s">
        <v>53</v>
      </c>
      <c r="B88">
        <v>87</v>
      </c>
      <c r="C88" t="s">
        <v>244</v>
      </c>
      <c r="D88" t="s">
        <v>245</v>
      </c>
      <c r="E88" t="s">
        <v>218</v>
      </c>
      <c r="F88" t="s">
        <v>233</v>
      </c>
      <c r="G88" t="s">
        <v>59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25">
      <c r="A89" t="s">
        <v>53</v>
      </c>
      <c r="B89">
        <v>88</v>
      </c>
      <c r="C89" t="s">
        <v>246</v>
      </c>
      <c r="D89" t="s">
        <v>247</v>
      </c>
      <c r="E89" t="s">
        <v>218</v>
      </c>
      <c r="F89" t="s">
        <v>233</v>
      </c>
      <c r="G89" t="s">
        <v>59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25">
      <c r="A90" t="s">
        <v>53</v>
      </c>
      <c r="B90">
        <v>89</v>
      </c>
      <c r="C90" t="s">
        <v>248</v>
      </c>
      <c r="D90" t="s">
        <v>249</v>
      </c>
      <c r="E90" t="s">
        <v>218</v>
      </c>
      <c r="F90" t="s">
        <v>233</v>
      </c>
      <c r="G90" t="s">
        <v>59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25">
      <c r="A91" t="s">
        <v>53</v>
      </c>
      <c r="B91">
        <v>90</v>
      </c>
      <c r="C91" t="s">
        <v>250</v>
      </c>
      <c r="D91" t="s">
        <v>251</v>
      </c>
      <c r="E91" t="s">
        <v>218</v>
      </c>
      <c r="F91" t="s">
        <v>233</v>
      </c>
      <c r="G91" t="s">
        <v>59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25">
      <c r="A92" t="s">
        <v>53</v>
      </c>
      <c r="B92">
        <v>91</v>
      </c>
      <c r="C92" t="s">
        <v>252</v>
      </c>
      <c r="D92" t="s">
        <v>253</v>
      </c>
      <c r="E92" t="s">
        <v>218</v>
      </c>
      <c r="F92" t="s">
        <v>233</v>
      </c>
      <c r="G92" t="s">
        <v>56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25">
      <c r="A93" t="s">
        <v>53</v>
      </c>
      <c r="B93">
        <v>92</v>
      </c>
      <c r="C93" t="s">
        <v>254</v>
      </c>
      <c r="D93" t="s">
        <v>255</v>
      </c>
      <c r="E93" t="s">
        <v>218</v>
      </c>
      <c r="F93" t="s">
        <v>233</v>
      </c>
      <c r="G93" t="s">
        <v>59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25">
      <c r="A94" t="s">
        <v>53</v>
      </c>
      <c r="B94">
        <v>93</v>
      </c>
      <c r="C94" t="s">
        <v>256</v>
      </c>
      <c r="D94" t="s">
        <v>257</v>
      </c>
      <c r="E94" t="s">
        <v>218</v>
      </c>
      <c r="F94" t="s">
        <v>258</v>
      </c>
      <c r="G94" t="s">
        <v>59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25">
      <c r="A95" t="s">
        <v>53</v>
      </c>
      <c r="B95">
        <v>94</v>
      </c>
      <c r="C95" t="s">
        <v>259</v>
      </c>
      <c r="D95" t="s">
        <v>260</v>
      </c>
      <c r="E95" t="s">
        <v>218</v>
      </c>
      <c r="F95" t="s">
        <v>258</v>
      </c>
      <c r="G95" t="s">
        <v>59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25">
      <c r="A96" t="s">
        <v>53</v>
      </c>
      <c r="B96">
        <v>95</v>
      </c>
      <c r="C96" t="s">
        <v>261</v>
      </c>
      <c r="D96" t="s">
        <v>262</v>
      </c>
      <c r="E96" t="s">
        <v>218</v>
      </c>
      <c r="F96" t="s">
        <v>258</v>
      </c>
      <c r="G96" t="s">
        <v>59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25">
      <c r="A97" t="s">
        <v>53</v>
      </c>
      <c r="B97">
        <v>96</v>
      </c>
      <c r="C97" t="s">
        <v>263</v>
      </c>
      <c r="D97" t="s">
        <v>264</v>
      </c>
      <c r="E97" t="s">
        <v>218</v>
      </c>
      <c r="F97" t="s">
        <v>258</v>
      </c>
      <c r="G97" t="s">
        <v>59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25">
      <c r="A98" t="s">
        <v>53</v>
      </c>
      <c r="B98">
        <v>97</v>
      </c>
      <c r="C98" t="s">
        <v>265</v>
      </c>
      <c r="D98" t="s">
        <v>266</v>
      </c>
      <c r="E98" t="s">
        <v>218</v>
      </c>
      <c r="F98" t="s">
        <v>258</v>
      </c>
      <c r="G98" t="s">
        <v>59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25">
      <c r="A99" t="s">
        <v>53</v>
      </c>
      <c r="B99">
        <v>98</v>
      </c>
      <c r="C99" t="s">
        <v>267</v>
      </c>
      <c r="D99" t="s">
        <v>268</v>
      </c>
      <c r="E99" t="s">
        <v>218</v>
      </c>
      <c r="F99" t="s">
        <v>258</v>
      </c>
      <c r="G99" t="s">
        <v>269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25">
      <c r="A100" t="s">
        <v>53</v>
      </c>
      <c r="B100">
        <v>99</v>
      </c>
      <c r="C100" t="s">
        <v>270</v>
      </c>
      <c r="D100" t="s">
        <v>271</v>
      </c>
      <c r="E100" t="s">
        <v>218</v>
      </c>
      <c r="F100" t="s">
        <v>258</v>
      </c>
      <c r="G100" t="s">
        <v>59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25">
      <c r="A101" t="s">
        <v>53</v>
      </c>
      <c r="B101">
        <v>100</v>
      </c>
      <c r="C101" t="s">
        <v>272</v>
      </c>
      <c r="D101" t="s">
        <v>273</v>
      </c>
      <c r="E101" t="s">
        <v>218</v>
      </c>
      <c r="F101" t="s">
        <v>258</v>
      </c>
      <c r="G101" t="s">
        <v>59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25">
      <c r="A102" t="s">
        <v>53</v>
      </c>
      <c r="B102">
        <v>101</v>
      </c>
      <c r="C102" t="s">
        <v>274</v>
      </c>
      <c r="D102" t="s">
        <v>275</v>
      </c>
      <c r="E102" t="s">
        <v>218</v>
      </c>
      <c r="F102" t="s">
        <v>258</v>
      </c>
      <c r="G102" t="s">
        <v>59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25">
      <c r="A103" t="s">
        <v>53</v>
      </c>
      <c r="B103">
        <v>102</v>
      </c>
      <c r="C103" t="s">
        <v>276</v>
      </c>
      <c r="D103" t="s">
        <v>277</v>
      </c>
      <c r="E103" t="s">
        <v>218</v>
      </c>
      <c r="F103" t="s">
        <v>258</v>
      </c>
      <c r="G103" t="s">
        <v>59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25">
      <c r="A104" t="s">
        <v>53</v>
      </c>
      <c r="B104">
        <v>103</v>
      </c>
      <c r="C104" t="s">
        <v>278</v>
      </c>
      <c r="D104" t="s">
        <v>279</v>
      </c>
      <c r="E104" t="s">
        <v>218</v>
      </c>
      <c r="F104" t="s">
        <v>258</v>
      </c>
      <c r="G104" t="s">
        <v>59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25">
      <c r="A105" t="s">
        <v>53</v>
      </c>
      <c r="B105">
        <v>104</v>
      </c>
      <c r="C105" t="s">
        <v>280</v>
      </c>
      <c r="D105" t="s">
        <v>281</v>
      </c>
      <c r="E105" t="s">
        <v>218</v>
      </c>
      <c r="F105" t="s">
        <v>258</v>
      </c>
      <c r="G105" t="s">
        <v>59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25">
      <c r="A106" t="s">
        <v>53</v>
      </c>
      <c r="B106">
        <v>105</v>
      </c>
      <c r="C106" t="s">
        <v>282</v>
      </c>
      <c r="D106" t="s">
        <v>283</v>
      </c>
      <c r="E106" t="s">
        <v>218</v>
      </c>
      <c r="F106" t="s">
        <v>258</v>
      </c>
      <c r="G106" t="s">
        <v>59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25">
      <c r="A107" t="s">
        <v>53</v>
      </c>
      <c r="B107">
        <v>106</v>
      </c>
      <c r="C107" t="s">
        <v>284</v>
      </c>
      <c r="D107" t="s">
        <v>285</v>
      </c>
      <c r="E107" t="s">
        <v>218</v>
      </c>
      <c r="F107" t="s">
        <v>258</v>
      </c>
      <c r="G107" t="s">
        <v>59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25">
      <c r="A108" t="s">
        <v>53</v>
      </c>
      <c r="B108">
        <v>107</v>
      </c>
      <c r="C108" t="s">
        <v>286</v>
      </c>
      <c r="D108" t="s">
        <v>287</v>
      </c>
      <c r="E108" t="s">
        <v>218</v>
      </c>
      <c r="F108" t="s">
        <v>258</v>
      </c>
      <c r="G108" t="s">
        <v>59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25">
      <c r="A109" t="s">
        <v>53</v>
      </c>
      <c r="B109">
        <v>108</v>
      </c>
      <c r="C109" t="s">
        <v>288</v>
      </c>
      <c r="D109" t="s">
        <v>289</v>
      </c>
      <c r="E109" t="s">
        <v>218</v>
      </c>
      <c r="F109" t="s">
        <v>258</v>
      </c>
      <c r="G109" t="s">
        <v>59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25">
      <c r="A110" t="s">
        <v>53</v>
      </c>
      <c r="B110">
        <v>109</v>
      </c>
      <c r="C110" t="s">
        <v>290</v>
      </c>
      <c r="D110" t="s">
        <v>291</v>
      </c>
      <c r="E110" t="s">
        <v>218</v>
      </c>
      <c r="F110" t="s">
        <v>258</v>
      </c>
      <c r="G110" t="s">
        <v>59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25">
      <c r="A111" t="s">
        <v>53</v>
      </c>
      <c r="B111">
        <v>110</v>
      </c>
      <c r="C111" t="s">
        <v>292</v>
      </c>
      <c r="D111" t="s">
        <v>293</v>
      </c>
      <c r="E111" t="s">
        <v>218</v>
      </c>
      <c r="F111" t="s">
        <v>258</v>
      </c>
      <c r="G111" t="s">
        <v>59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25">
      <c r="A112" t="s">
        <v>53</v>
      </c>
      <c r="B112">
        <v>111</v>
      </c>
      <c r="C112" t="s">
        <v>294</v>
      </c>
      <c r="D112" t="s">
        <v>295</v>
      </c>
      <c r="E112" t="s">
        <v>218</v>
      </c>
      <c r="F112" t="s">
        <v>258</v>
      </c>
      <c r="G112" t="s">
        <v>56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25">
      <c r="A113" t="s">
        <v>53</v>
      </c>
      <c r="B113">
        <v>112</v>
      </c>
      <c r="C113" t="s">
        <v>296</v>
      </c>
      <c r="D113" t="s">
        <v>297</v>
      </c>
      <c r="E113" t="s">
        <v>218</v>
      </c>
      <c r="F113" t="s">
        <v>298</v>
      </c>
      <c r="G113" t="s">
        <v>59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25">
      <c r="A114" t="s">
        <v>53</v>
      </c>
      <c r="B114">
        <v>113</v>
      </c>
      <c r="C114" t="s">
        <v>299</v>
      </c>
      <c r="D114" t="s">
        <v>300</v>
      </c>
      <c r="E114" t="s">
        <v>218</v>
      </c>
      <c r="F114" t="s">
        <v>298</v>
      </c>
      <c r="G114" t="s">
        <v>59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25">
      <c r="A115" t="s">
        <v>53</v>
      </c>
      <c r="B115">
        <v>114</v>
      </c>
      <c r="C115" t="s">
        <v>301</v>
      </c>
      <c r="D115" t="s">
        <v>302</v>
      </c>
      <c r="E115" t="s">
        <v>218</v>
      </c>
      <c r="F115" t="s">
        <v>298</v>
      </c>
      <c r="G115" t="s">
        <v>59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25">
      <c r="A116" t="s">
        <v>53</v>
      </c>
      <c r="B116">
        <v>115</v>
      </c>
      <c r="C116" t="s">
        <v>303</v>
      </c>
      <c r="D116" t="s">
        <v>304</v>
      </c>
      <c r="E116" t="s">
        <v>218</v>
      </c>
      <c r="F116" t="s">
        <v>298</v>
      </c>
      <c r="G116" t="s">
        <v>59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25">
      <c r="A117" t="s">
        <v>53</v>
      </c>
      <c r="B117">
        <v>116</v>
      </c>
      <c r="C117" t="s">
        <v>305</v>
      </c>
      <c r="D117" t="s">
        <v>306</v>
      </c>
      <c r="E117" t="s">
        <v>218</v>
      </c>
      <c r="F117" t="s">
        <v>298</v>
      </c>
      <c r="G117" t="s">
        <v>59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25">
      <c r="A118" t="s">
        <v>53</v>
      </c>
      <c r="B118">
        <v>117</v>
      </c>
      <c r="C118" t="s">
        <v>307</v>
      </c>
      <c r="D118" t="s">
        <v>308</v>
      </c>
      <c r="E118" t="s">
        <v>218</v>
      </c>
      <c r="F118" t="s">
        <v>308</v>
      </c>
      <c r="G118" t="s">
        <v>59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25">
      <c r="A119" t="s">
        <v>53</v>
      </c>
      <c r="B119">
        <v>118</v>
      </c>
      <c r="C119" t="s">
        <v>309</v>
      </c>
      <c r="D119" t="s">
        <v>310</v>
      </c>
      <c r="E119" t="s">
        <v>218</v>
      </c>
      <c r="F119" t="s">
        <v>311</v>
      </c>
      <c r="G119" t="s">
        <v>59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25">
      <c r="A120" t="s">
        <v>53</v>
      </c>
      <c r="B120">
        <v>119</v>
      </c>
      <c r="C120" t="s">
        <v>312</v>
      </c>
      <c r="D120" t="s">
        <v>313</v>
      </c>
      <c r="E120" t="s">
        <v>218</v>
      </c>
      <c r="F120" t="s">
        <v>314</v>
      </c>
      <c r="G120" t="s">
        <v>59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25">
      <c r="A121" t="s">
        <v>53</v>
      </c>
      <c r="B121">
        <v>120</v>
      </c>
      <c r="C121" t="s">
        <v>315</v>
      </c>
      <c r="D121" t="s">
        <v>316</v>
      </c>
      <c r="E121" t="s">
        <v>218</v>
      </c>
      <c r="F121" t="s">
        <v>169</v>
      </c>
      <c r="G121" t="s">
        <v>59</v>
      </c>
      <c r="H121">
        <v>0</v>
      </c>
      <c r="I121">
        <v>1.5288888888888801</v>
      </c>
      <c r="J121">
        <v>0</v>
      </c>
      <c r="K121">
        <v>0</v>
      </c>
      <c r="L121">
        <v>0</v>
      </c>
      <c r="M121">
        <v>-1.5288888888888801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25">
      <c r="A122" t="s">
        <v>53</v>
      </c>
      <c r="B122">
        <v>121</v>
      </c>
      <c r="C122" t="s">
        <v>317</v>
      </c>
      <c r="D122" t="s">
        <v>318</v>
      </c>
      <c r="E122" t="s">
        <v>319</v>
      </c>
      <c r="F122" t="s">
        <v>320</v>
      </c>
      <c r="G122" t="s">
        <v>59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25">
      <c r="A123" t="s">
        <v>53</v>
      </c>
      <c r="B123">
        <v>122</v>
      </c>
      <c r="C123" t="s">
        <v>321</v>
      </c>
      <c r="D123" t="s">
        <v>322</v>
      </c>
      <c r="E123" t="s">
        <v>319</v>
      </c>
      <c r="F123" t="s">
        <v>320</v>
      </c>
      <c r="G123" t="s">
        <v>59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25">
      <c r="A124" t="s">
        <v>53</v>
      </c>
      <c r="B124">
        <v>123</v>
      </c>
      <c r="C124" t="s">
        <v>323</v>
      </c>
      <c r="D124" t="s">
        <v>324</v>
      </c>
      <c r="E124" t="s">
        <v>319</v>
      </c>
      <c r="F124" t="s">
        <v>320</v>
      </c>
      <c r="G124" t="s">
        <v>59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25">
      <c r="A125" t="s">
        <v>53</v>
      </c>
      <c r="B125">
        <v>124</v>
      </c>
      <c r="C125" t="s">
        <v>325</v>
      </c>
      <c r="D125" t="s">
        <v>326</v>
      </c>
      <c r="E125" t="s">
        <v>319</v>
      </c>
      <c r="F125" t="s">
        <v>320</v>
      </c>
      <c r="G125" t="s">
        <v>59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25">
      <c r="A126" t="s">
        <v>53</v>
      </c>
      <c r="B126">
        <v>125</v>
      </c>
      <c r="C126" t="s">
        <v>327</v>
      </c>
      <c r="D126" t="s">
        <v>328</v>
      </c>
      <c r="E126" t="s">
        <v>319</v>
      </c>
      <c r="F126" t="s">
        <v>320</v>
      </c>
      <c r="G126" t="s">
        <v>56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25">
      <c r="A127" t="s">
        <v>53</v>
      </c>
      <c r="B127">
        <v>126</v>
      </c>
      <c r="C127" t="s">
        <v>329</v>
      </c>
      <c r="D127" t="s">
        <v>330</v>
      </c>
      <c r="E127" t="s">
        <v>319</v>
      </c>
      <c r="F127" t="s">
        <v>320</v>
      </c>
      <c r="G127" t="s">
        <v>59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25">
      <c r="A128" t="s">
        <v>53</v>
      </c>
      <c r="B128">
        <v>127</v>
      </c>
      <c r="C128" t="s">
        <v>331</v>
      </c>
      <c r="D128" t="s">
        <v>332</v>
      </c>
      <c r="E128" t="s">
        <v>319</v>
      </c>
      <c r="F128" t="s">
        <v>320</v>
      </c>
      <c r="G128" t="s">
        <v>59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25">
      <c r="A129" t="s">
        <v>53</v>
      </c>
      <c r="B129">
        <v>128</v>
      </c>
      <c r="C129" t="s">
        <v>333</v>
      </c>
      <c r="D129" t="s">
        <v>334</v>
      </c>
      <c r="E129" t="s">
        <v>319</v>
      </c>
      <c r="F129" t="s">
        <v>320</v>
      </c>
      <c r="G129" t="s">
        <v>59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25">
      <c r="A130" t="s">
        <v>53</v>
      </c>
      <c r="B130">
        <v>129</v>
      </c>
      <c r="C130" t="s">
        <v>335</v>
      </c>
      <c r="D130" t="s">
        <v>336</v>
      </c>
      <c r="E130" t="s">
        <v>319</v>
      </c>
      <c r="F130" t="s">
        <v>320</v>
      </c>
      <c r="G130" t="s">
        <v>59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25">
      <c r="A131" t="s">
        <v>53</v>
      </c>
      <c r="B131">
        <v>130</v>
      </c>
      <c r="C131" t="s">
        <v>337</v>
      </c>
      <c r="D131" t="s">
        <v>338</v>
      </c>
      <c r="E131" t="s">
        <v>319</v>
      </c>
      <c r="F131" t="s">
        <v>320</v>
      </c>
      <c r="G131" t="s">
        <v>56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25">
      <c r="A132" t="s">
        <v>53</v>
      </c>
      <c r="B132">
        <v>131</v>
      </c>
      <c r="C132" t="s">
        <v>339</v>
      </c>
      <c r="D132" t="s">
        <v>340</v>
      </c>
      <c r="E132" t="s">
        <v>319</v>
      </c>
      <c r="F132" t="s">
        <v>320</v>
      </c>
      <c r="G132" t="s">
        <v>56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25">
      <c r="A133" t="s">
        <v>53</v>
      </c>
      <c r="B133">
        <v>132</v>
      </c>
      <c r="C133" t="s">
        <v>341</v>
      </c>
      <c r="D133" t="s">
        <v>342</v>
      </c>
      <c r="E133" t="s">
        <v>319</v>
      </c>
      <c r="F133" t="s">
        <v>320</v>
      </c>
      <c r="G133" t="s">
        <v>56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25">
      <c r="A134" t="s">
        <v>53</v>
      </c>
      <c r="B134">
        <v>133</v>
      </c>
      <c r="C134" t="s">
        <v>343</v>
      </c>
      <c r="D134" t="s">
        <v>344</v>
      </c>
      <c r="E134" t="s">
        <v>319</v>
      </c>
      <c r="F134" t="s">
        <v>345</v>
      </c>
      <c r="G134" t="s">
        <v>59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25">
      <c r="A135" t="s">
        <v>53</v>
      </c>
      <c r="B135">
        <v>134</v>
      </c>
      <c r="C135" t="s">
        <v>346</v>
      </c>
      <c r="D135" t="s">
        <v>347</v>
      </c>
      <c r="E135" t="s">
        <v>319</v>
      </c>
      <c r="F135" t="s">
        <v>345</v>
      </c>
      <c r="G135" t="s">
        <v>59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25">
      <c r="A136" t="s">
        <v>53</v>
      </c>
      <c r="B136">
        <v>135</v>
      </c>
      <c r="C136" t="s">
        <v>348</v>
      </c>
      <c r="D136" t="s">
        <v>349</v>
      </c>
      <c r="E136" t="s">
        <v>319</v>
      </c>
      <c r="F136" t="s">
        <v>345</v>
      </c>
      <c r="G136" t="s">
        <v>59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25">
      <c r="A137" t="s">
        <v>53</v>
      </c>
      <c r="B137">
        <v>136</v>
      </c>
      <c r="C137" t="s">
        <v>350</v>
      </c>
      <c r="D137" t="s">
        <v>351</v>
      </c>
      <c r="E137" t="s">
        <v>319</v>
      </c>
      <c r="F137" t="s">
        <v>345</v>
      </c>
      <c r="G137" t="s">
        <v>59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25">
      <c r="A138" t="s">
        <v>53</v>
      </c>
      <c r="B138">
        <v>137</v>
      </c>
      <c r="C138" t="s">
        <v>352</v>
      </c>
      <c r="D138" t="s">
        <v>353</v>
      </c>
      <c r="E138" t="s">
        <v>319</v>
      </c>
      <c r="F138" t="s">
        <v>345</v>
      </c>
      <c r="G138" t="s">
        <v>59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25">
      <c r="A139" t="s">
        <v>53</v>
      </c>
      <c r="B139">
        <v>138</v>
      </c>
      <c r="C139" t="s">
        <v>354</v>
      </c>
      <c r="D139" t="s">
        <v>355</v>
      </c>
      <c r="E139" t="s">
        <v>319</v>
      </c>
      <c r="F139" t="s">
        <v>345</v>
      </c>
      <c r="G139" t="s">
        <v>59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25">
      <c r="A140" t="s">
        <v>53</v>
      </c>
      <c r="B140">
        <v>139</v>
      </c>
      <c r="C140" t="s">
        <v>356</v>
      </c>
      <c r="D140" t="s">
        <v>357</v>
      </c>
      <c r="E140" t="s">
        <v>319</v>
      </c>
      <c r="F140" t="s">
        <v>345</v>
      </c>
      <c r="G140" t="s">
        <v>59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25">
      <c r="A141" t="s">
        <v>53</v>
      </c>
      <c r="B141">
        <v>140</v>
      </c>
      <c r="C141" t="s">
        <v>358</v>
      </c>
      <c r="D141" t="s">
        <v>359</v>
      </c>
      <c r="E141" t="s">
        <v>319</v>
      </c>
      <c r="F141" t="s">
        <v>345</v>
      </c>
      <c r="G141" t="s">
        <v>59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25">
      <c r="A142" t="s">
        <v>53</v>
      </c>
      <c r="B142">
        <v>141</v>
      </c>
      <c r="C142" t="s">
        <v>360</v>
      </c>
      <c r="D142" t="s">
        <v>361</v>
      </c>
      <c r="E142" t="s">
        <v>319</v>
      </c>
      <c r="F142" t="s">
        <v>345</v>
      </c>
      <c r="G142" t="s">
        <v>59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25">
      <c r="A143" t="s">
        <v>53</v>
      </c>
      <c r="B143">
        <v>142</v>
      </c>
      <c r="C143" t="s">
        <v>362</v>
      </c>
      <c r="D143" t="s">
        <v>363</v>
      </c>
      <c r="E143" t="s">
        <v>319</v>
      </c>
      <c r="F143" t="s">
        <v>345</v>
      </c>
      <c r="G143" t="s">
        <v>59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25">
      <c r="A144" t="s">
        <v>53</v>
      </c>
      <c r="B144">
        <v>143</v>
      </c>
      <c r="C144" t="s">
        <v>364</v>
      </c>
      <c r="D144" t="s">
        <v>365</v>
      </c>
      <c r="E144" t="s">
        <v>319</v>
      </c>
      <c r="F144" t="s">
        <v>345</v>
      </c>
      <c r="G144" t="s">
        <v>56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25">
      <c r="A145" t="s">
        <v>53</v>
      </c>
      <c r="B145">
        <v>144</v>
      </c>
      <c r="C145" t="s">
        <v>366</v>
      </c>
      <c r="D145" t="s">
        <v>367</v>
      </c>
      <c r="E145" t="s">
        <v>319</v>
      </c>
      <c r="F145" t="s">
        <v>345</v>
      </c>
      <c r="G145" t="s">
        <v>59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25">
      <c r="A146" t="s">
        <v>53</v>
      </c>
      <c r="B146">
        <v>145</v>
      </c>
      <c r="C146" t="s">
        <v>368</v>
      </c>
      <c r="D146" t="s">
        <v>369</v>
      </c>
      <c r="E146" t="s">
        <v>319</v>
      </c>
      <c r="F146" t="s">
        <v>370</v>
      </c>
      <c r="G146" t="s">
        <v>59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25">
      <c r="A147" t="s">
        <v>53</v>
      </c>
      <c r="B147">
        <v>146</v>
      </c>
      <c r="C147" t="s">
        <v>371</v>
      </c>
      <c r="D147" t="s">
        <v>372</v>
      </c>
      <c r="E147" t="s">
        <v>319</v>
      </c>
      <c r="F147" t="s">
        <v>370</v>
      </c>
      <c r="G147" t="s">
        <v>59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25">
      <c r="A148" t="s">
        <v>53</v>
      </c>
      <c r="B148">
        <v>147</v>
      </c>
      <c r="C148" t="s">
        <v>373</v>
      </c>
      <c r="D148" t="s">
        <v>374</v>
      </c>
      <c r="E148" t="s">
        <v>319</v>
      </c>
      <c r="F148" t="s">
        <v>370</v>
      </c>
      <c r="G148" t="s">
        <v>56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25">
      <c r="A149" t="s">
        <v>53</v>
      </c>
      <c r="B149">
        <v>148</v>
      </c>
      <c r="C149" t="s">
        <v>375</v>
      </c>
      <c r="D149" t="s">
        <v>376</v>
      </c>
      <c r="E149" t="s">
        <v>319</v>
      </c>
      <c r="F149" t="s">
        <v>370</v>
      </c>
      <c r="G149" t="s">
        <v>56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25">
      <c r="A150" t="s">
        <v>53</v>
      </c>
      <c r="B150">
        <v>149</v>
      </c>
      <c r="C150" t="s">
        <v>377</v>
      </c>
      <c r="D150" t="s">
        <v>378</v>
      </c>
      <c r="E150" t="s">
        <v>319</v>
      </c>
      <c r="F150" t="s">
        <v>379</v>
      </c>
      <c r="G150" t="s">
        <v>59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25">
      <c r="A151" t="s">
        <v>53</v>
      </c>
      <c r="B151">
        <v>150</v>
      </c>
      <c r="C151" t="s">
        <v>380</v>
      </c>
      <c r="D151" t="s">
        <v>381</v>
      </c>
      <c r="E151" t="s">
        <v>319</v>
      </c>
      <c r="F151" t="s">
        <v>379</v>
      </c>
      <c r="G151" t="s">
        <v>56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25">
      <c r="A152" t="s">
        <v>53</v>
      </c>
      <c r="B152">
        <v>151</v>
      </c>
      <c r="C152" t="s">
        <v>382</v>
      </c>
      <c r="D152" t="s">
        <v>383</v>
      </c>
      <c r="E152" t="s">
        <v>319</v>
      </c>
      <c r="F152" t="s">
        <v>379</v>
      </c>
      <c r="G152" t="s">
        <v>56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25">
      <c r="A153" t="s">
        <v>53</v>
      </c>
      <c r="B153">
        <v>152</v>
      </c>
      <c r="C153" t="s">
        <v>384</v>
      </c>
      <c r="D153" t="s">
        <v>385</v>
      </c>
      <c r="E153" t="s">
        <v>319</v>
      </c>
      <c r="F153" t="s">
        <v>386</v>
      </c>
      <c r="G153" t="s">
        <v>59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25">
      <c r="A154" t="s">
        <v>53</v>
      </c>
      <c r="B154">
        <v>153</v>
      </c>
      <c r="C154" t="s">
        <v>387</v>
      </c>
      <c r="D154" t="s">
        <v>388</v>
      </c>
      <c r="E154" t="s">
        <v>319</v>
      </c>
      <c r="F154" t="s">
        <v>386</v>
      </c>
      <c r="G154" t="s">
        <v>56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25">
      <c r="A155" t="s">
        <v>53</v>
      </c>
      <c r="B155">
        <v>154</v>
      </c>
      <c r="C155" t="s">
        <v>389</v>
      </c>
      <c r="D155" t="s">
        <v>390</v>
      </c>
      <c r="E155" t="s">
        <v>319</v>
      </c>
      <c r="F155" t="s">
        <v>386</v>
      </c>
      <c r="G155" t="s">
        <v>56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25">
      <c r="A156" t="s">
        <v>53</v>
      </c>
      <c r="B156">
        <v>155</v>
      </c>
      <c r="C156" t="s">
        <v>391</v>
      </c>
      <c r="D156" t="s">
        <v>392</v>
      </c>
      <c r="E156" t="s">
        <v>319</v>
      </c>
      <c r="F156" t="s">
        <v>392</v>
      </c>
      <c r="G156" t="s">
        <v>59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25">
      <c r="A157" t="s">
        <v>53</v>
      </c>
      <c r="B157">
        <v>156</v>
      </c>
      <c r="C157" t="s">
        <v>393</v>
      </c>
      <c r="D157" t="s">
        <v>394</v>
      </c>
      <c r="E157" t="s">
        <v>319</v>
      </c>
      <c r="F157" t="s">
        <v>169</v>
      </c>
      <c r="G157" t="s">
        <v>56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25">
      <c r="A158" t="s">
        <v>53</v>
      </c>
      <c r="B158">
        <v>157</v>
      </c>
      <c r="C158" t="s">
        <v>395</v>
      </c>
      <c r="D158" t="s">
        <v>396</v>
      </c>
      <c r="E158" t="s">
        <v>397</v>
      </c>
      <c r="F158" t="s">
        <v>398</v>
      </c>
      <c r="G158" t="s">
        <v>59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25">
      <c r="A159" t="s">
        <v>53</v>
      </c>
      <c r="B159">
        <v>158</v>
      </c>
      <c r="C159" t="s">
        <v>399</v>
      </c>
      <c r="D159" t="s">
        <v>400</v>
      </c>
      <c r="E159" t="s">
        <v>397</v>
      </c>
      <c r="F159" t="s">
        <v>398</v>
      </c>
      <c r="G159" t="s">
        <v>59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25">
      <c r="A160" t="s">
        <v>53</v>
      </c>
      <c r="B160">
        <v>159</v>
      </c>
      <c r="C160" t="s">
        <v>401</v>
      </c>
      <c r="D160" t="s">
        <v>402</v>
      </c>
      <c r="E160" t="s">
        <v>397</v>
      </c>
      <c r="F160" t="s">
        <v>398</v>
      </c>
      <c r="G160" t="s">
        <v>59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25">
      <c r="A161" t="s">
        <v>53</v>
      </c>
      <c r="B161">
        <v>160</v>
      </c>
      <c r="C161" t="s">
        <v>403</v>
      </c>
      <c r="D161" t="s">
        <v>404</v>
      </c>
      <c r="E161" t="s">
        <v>405</v>
      </c>
      <c r="F161" t="s">
        <v>405</v>
      </c>
      <c r="G161" t="s">
        <v>56</v>
      </c>
      <c r="H161">
        <v>74510</v>
      </c>
      <c r="I161">
        <v>51.356666666666598</v>
      </c>
      <c r="J161">
        <v>1450.8340364769199</v>
      </c>
      <c r="K161">
        <v>938.413098236775</v>
      </c>
      <c r="L161">
        <v>79.400000000000006</v>
      </c>
      <c r="M161">
        <v>28.043333333333301</v>
      </c>
      <c r="N161">
        <v>1.5460504965275499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25">
      <c r="A162" t="s">
        <v>53</v>
      </c>
      <c r="B162">
        <v>161</v>
      </c>
      <c r="C162" t="s">
        <v>406</v>
      </c>
      <c r="D162" t="s">
        <v>407</v>
      </c>
      <c r="E162" t="s">
        <v>405</v>
      </c>
      <c r="F162" t="s">
        <v>405</v>
      </c>
      <c r="G162" t="s">
        <v>56</v>
      </c>
      <c r="H162">
        <v>74510</v>
      </c>
      <c r="I162">
        <v>0</v>
      </c>
      <c r="J162">
        <v>0</v>
      </c>
      <c r="K162">
        <v>7029.2452830188604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25">
      <c r="A163" t="s">
        <v>53</v>
      </c>
      <c r="B163">
        <v>162</v>
      </c>
      <c r="C163" t="s">
        <v>408</v>
      </c>
      <c r="D163" t="s">
        <v>409</v>
      </c>
      <c r="E163" t="s">
        <v>405</v>
      </c>
      <c r="F163" t="s">
        <v>405</v>
      </c>
      <c r="G163" t="s">
        <v>56</v>
      </c>
      <c r="H163">
        <v>74510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25">
      <c r="A164" t="s">
        <v>53</v>
      </c>
      <c r="B164">
        <v>163</v>
      </c>
      <c r="C164" t="s">
        <v>410</v>
      </c>
      <c r="D164" t="s">
        <v>411</v>
      </c>
      <c r="E164" t="s">
        <v>405</v>
      </c>
      <c r="F164" t="s">
        <v>405</v>
      </c>
      <c r="G164" t="s">
        <v>56</v>
      </c>
      <c r="H164">
        <v>74510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25">
      <c r="A165" t="s">
        <v>53</v>
      </c>
      <c r="B165">
        <v>164</v>
      </c>
      <c r="C165" t="s">
        <v>412</v>
      </c>
      <c r="D165" t="s">
        <v>413</v>
      </c>
      <c r="E165" t="s">
        <v>405</v>
      </c>
      <c r="F165" t="s">
        <v>405</v>
      </c>
      <c r="G165" t="s">
        <v>56</v>
      </c>
      <c r="H165">
        <v>135675</v>
      </c>
      <c r="I165">
        <v>59.4</v>
      </c>
      <c r="J165">
        <v>2284.0909090908999</v>
      </c>
      <c r="K165">
        <v>2499.999984</v>
      </c>
      <c r="L165">
        <v>54.270000347328001</v>
      </c>
      <c r="M165">
        <v>-5.1299996526719998</v>
      </c>
      <c r="N165">
        <v>0.91363636948363602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25">
      <c r="A166" t="s">
        <v>53</v>
      </c>
      <c r="B166">
        <v>165</v>
      </c>
      <c r="C166" t="s">
        <v>414</v>
      </c>
      <c r="D166" t="s">
        <v>415</v>
      </c>
      <c r="E166" t="s">
        <v>405</v>
      </c>
      <c r="F166" t="s">
        <v>405</v>
      </c>
      <c r="G166" t="s">
        <v>56</v>
      </c>
      <c r="H166">
        <v>74510</v>
      </c>
      <c r="I166">
        <v>10.466666666666599</v>
      </c>
      <c r="J166">
        <v>7118.7898089171904</v>
      </c>
      <c r="K166">
        <v>0</v>
      </c>
      <c r="L166">
        <v>0</v>
      </c>
      <c r="M166">
        <v>-10.466666666666599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25">
      <c r="A167" t="s">
        <v>53</v>
      </c>
      <c r="B167">
        <v>166</v>
      </c>
      <c r="C167" t="s">
        <v>416</v>
      </c>
      <c r="D167" t="s">
        <v>417</v>
      </c>
      <c r="E167" t="s">
        <v>418</v>
      </c>
      <c r="F167" t="s">
        <v>419</v>
      </c>
      <c r="G167" t="s">
        <v>269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25">
      <c r="A168" t="s">
        <v>53</v>
      </c>
      <c r="B168">
        <v>167</v>
      </c>
      <c r="C168" t="s">
        <v>420</v>
      </c>
      <c r="D168" t="s">
        <v>421</v>
      </c>
      <c r="E168" t="s">
        <v>418</v>
      </c>
      <c r="F168" t="s">
        <v>419</v>
      </c>
      <c r="G168" t="s">
        <v>269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25">
      <c r="A169" t="s">
        <v>53</v>
      </c>
      <c r="B169">
        <v>168</v>
      </c>
      <c r="C169" t="s">
        <v>422</v>
      </c>
      <c r="D169" t="s">
        <v>423</v>
      </c>
      <c r="E169" t="s">
        <v>418</v>
      </c>
      <c r="F169" t="s">
        <v>419</v>
      </c>
      <c r="G169" t="s">
        <v>269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25">
      <c r="A170" t="s">
        <v>424</v>
      </c>
      <c r="B170">
        <v>1</v>
      </c>
      <c r="C170" t="s">
        <v>425</v>
      </c>
      <c r="D170" t="s">
        <v>426</v>
      </c>
      <c r="E170" t="s">
        <v>427</v>
      </c>
      <c r="F170" t="s">
        <v>427</v>
      </c>
      <c r="G170" t="s">
        <v>59</v>
      </c>
      <c r="H170">
        <v>61165</v>
      </c>
      <c r="I170">
        <v>271.36361111111103</v>
      </c>
      <c r="J170">
        <v>225.39868094162199</v>
      </c>
      <c r="K170">
        <v>270.875649589631</v>
      </c>
      <c r="L170">
        <v>225.80471922324199</v>
      </c>
      <c r="M170">
        <v>-45.558891887869102</v>
      </c>
      <c r="N170">
        <v>0.83211127055198697</v>
      </c>
      <c r="P170">
        <v>0</v>
      </c>
      <c r="Q170">
        <v>0</v>
      </c>
      <c r="R170">
        <v>0</v>
      </c>
      <c r="S170">
        <v>0</v>
      </c>
    </row>
    <row r="171" spans="1:19" x14ac:dyDescent="0.25">
      <c r="A171" t="s">
        <v>424</v>
      </c>
      <c r="B171">
        <v>2</v>
      </c>
      <c r="C171" t="s">
        <v>428</v>
      </c>
      <c r="D171" t="s">
        <v>429</v>
      </c>
      <c r="E171" t="s">
        <v>427</v>
      </c>
      <c r="F171" t="s">
        <v>427</v>
      </c>
      <c r="G171" t="s">
        <v>59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25">
      <c r="A172" t="s">
        <v>424</v>
      </c>
      <c r="B172">
        <v>3</v>
      </c>
      <c r="C172" t="s">
        <v>430</v>
      </c>
      <c r="D172" t="s">
        <v>431</v>
      </c>
      <c r="E172" t="s">
        <v>427</v>
      </c>
      <c r="F172" t="s">
        <v>427</v>
      </c>
      <c r="G172" t="s">
        <v>59</v>
      </c>
      <c r="H172">
        <v>61165</v>
      </c>
      <c r="I172">
        <v>271.36361111111103</v>
      </c>
      <c r="J172">
        <v>225.39868094162199</v>
      </c>
      <c r="K172">
        <v>270.875649589631</v>
      </c>
      <c r="L172">
        <v>225.80471922324199</v>
      </c>
      <c r="M172">
        <v>-45.558891887869102</v>
      </c>
      <c r="N172">
        <v>0.83211127055198697</v>
      </c>
      <c r="P172">
        <v>0</v>
      </c>
      <c r="Q172">
        <v>0</v>
      </c>
      <c r="R172">
        <v>0</v>
      </c>
      <c r="S172">
        <v>0</v>
      </c>
    </row>
    <row r="173" spans="1:19" x14ac:dyDescent="0.25">
      <c r="A173" t="s">
        <v>424</v>
      </c>
      <c r="B173">
        <v>4</v>
      </c>
      <c r="C173" t="s">
        <v>432</v>
      </c>
      <c r="D173" t="s">
        <v>218</v>
      </c>
      <c r="E173" t="s">
        <v>427</v>
      </c>
      <c r="F173" t="s">
        <v>427</v>
      </c>
      <c r="G173" t="s">
        <v>59</v>
      </c>
      <c r="H173">
        <v>0</v>
      </c>
      <c r="I173">
        <v>1.5288888888888801</v>
      </c>
      <c r="J173">
        <v>0</v>
      </c>
      <c r="K173">
        <v>0</v>
      </c>
      <c r="L173">
        <v>0</v>
      </c>
      <c r="M173">
        <v>-1.5288888888888801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25">
      <c r="A174" t="s">
        <v>424</v>
      </c>
      <c r="B174">
        <v>5</v>
      </c>
      <c r="C174" t="s">
        <v>433</v>
      </c>
      <c r="D174" t="s">
        <v>434</v>
      </c>
      <c r="E174" t="s">
        <v>427</v>
      </c>
      <c r="F174" t="s">
        <v>427</v>
      </c>
      <c r="G174" t="s">
        <v>59</v>
      </c>
      <c r="H174">
        <v>74510</v>
      </c>
      <c r="I174">
        <v>504.65888888888799</v>
      </c>
      <c r="J174">
        <v>147.64428337733</v>
      </c>
      <c r="K174">
        <v>217.48346519489701</v>
      </c>
      <c r="L174">
        <v>342.60075787015802</v>
      </c>
      <c r="M174">
        <v>-162.05813101872999</v>
      </c>
      <c r="N174">
        <v>0.67887590095651495</v>
      </c>
      <c r="P174">
        <v>0</v>
      </c>
      <c r="Q174">
        <v>0</v>
      </c>
      <c r="R174">
        <v>0</v>
      </c>
      <c r="S174">
        <v>0</v>
      </c>
    </row>
    <row r="175" spans="1:19" x14ac:dyDescent="0.25">
      <c r="A175" t="s">
        <v>424</v>
      </c>
      <c r="B175">
        <v>6</v>
      </c>
      <c r="C175" t="s">
        <v>435</v>
      </c>
      <c r="D175" t="s">
        <v>319</v>
      </c>
      <c r="E175" t="s">
        <v>427</v>
      </c>
      <c r="F175" t="s">
        <v>427</v>
      </c>
      <c r="G175" t="s">
        <v>59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25">
      <c r="A176" t="s">
        <v>424</v>
      </c>
      <c r="B176">
        <v>7</v>
      </c>
      <c r="C176" t="s">
        <v>436</v>
      </c>
      <c r="D176" t="s">
        <v>398</v>
      </c>
      <c r="E176" t="s">
        <v>427</v>
      </c>
      <c r="F176" t="s">
        <v>427</v>
      </c>
      <c r="G176" t="s">
        <v>59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25">
      <c r="A177" t="s">
        <v>424</v>
      </c>
      <c r="B177">
        <v>8</v>
      </c>
      <c r="C177" t="s">
        <v>437</v>
      </c>
      <c r="D177" t="s">
        <v>405</v>
      </c>
      <c r="E177" t="s">
        <v>427</v>
      </c>
      <c r="F177" t="s">
        <v>427</v>
      </c>
      <c r="G177" t="s">
        <v>59</v>
      </c>
      <c r="H177">
        <v>74510</v>
      </c>
      <c r="I177">
        <v>121.223333333333</v>
      </c>
      <c r="J177">
        <v>614.65064481535398</v>
      </c>
      <c r="K177">
        <v>516.46218770789596</v>
      </c>
      <c r="L177">
        <v>144.27000034732799</v>
      </c>
      <c r="M177">
        <v>23.0466670139946</v>
      </c>
      <c r="N177">
        <v>1.19011741700438</v>
      </c>
      <c r="P177">
        <v>0</v>
      </c>
      <c r="Q177">
        <v>0</v>
      </c>
      <c r="R177">
        <v>0</v>
      </c>
      <c r="S177">
        <v>0</v>
      </c>
    </row>
    <row r="178" spans="1:19" x14ac:dyDescent="0.25">
      <c r="A178" t="s">
        <v>424</v>
      </c>
      <c r="B178">
        <v>9</v>
      </c>
      <c r="C178" t="s">
        <v>438</v>
      </c>
      <c r="D178" t="s">
        <v>418</v>
      </c>
      <c r="E178" t="s">
        <v>427</v>
      </c>
      <c r="F178" t="s">
        <v>427</v>
      </c>
      <c r="G178" t="s">
        <v>269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25">
      <c r="A179" t="s">
        <v>424</v>
      </c>
      <c r="B179">
        <v>10</v>
      </c>
      <c r="C179" t="s">
        <v>439</v>
      </c>
      <c r="D179" t="s">
        <v>440</v>
      </c>
      <c r="E179" t="s">
        <v>427</v>
      </c>
      <c r="F179" t="s">
        <v>427</v>
      </c>
      <c r="G179" t="s">
        <v>59</v>
      </c>
      <c r="H179">
        <v>135675</v>
      </c>
      <c r="I179">
        <v>898.77472222222195</v>
      </c>
      <c r="J179">
        <v>150.955513818349</v>
      </c>
      <c r="K179">
        <v>190.37416649611501</v>
      </c>
      <c r="L179">
        <v>712.67547744072795</v>
      </c>
      <c r="M179">
        <v>-186.09924478149301</v>
      </c>
      <c r="N179">
        <v>0.79294116736910103</v>
      </c>
      <c r="P179">
        <v>0</v>
      </c>
      <c r="Q179">
        <v>0</v>
      </c>
      <c r="R179">
        <v>0</v>
      </c>
      <c r="S179">
        <v>0</v>
      </c>
    </row>
    <row r="180" spans="1:19" x14ac:dyDescent="0.25">
      <c r="A180" t="s">
        <v>441</v>
      </c>
      <c r="B180">
        <v>1</v>
      </c>
      <c r="C180" t="s">
        <v>442</v>
      </c>
      <c r="D180" t="s">
        <v>13</v>
      </c>
      <c r="E180" t="s">
        <v>443</v>
      </c>
      <c r="F180" t="s">
        <v>443</v>
      </c>
      <c r="G180" t="s">
        <v>59</v>
      </c>
      <c r="H180">
        <v>61165</v>
      </c>
      <c r="I180">
        <v>271.36361111111103</v>
      </c>
      <c r="J180">
        <v>225.39868094162199</v>
      </c>
      <c r="K180">
        <v>270.875649589631</v>
      </c>
      <c r="L180">
        <v>225.80471922324199</v>
      </c>
      <c r="M180">
        <v>-45.558891887869102</v>
      </c>
      <c r="N180">
        <v>0.83211127055198697</v>
      </c>
      <c r="P180">
        <v>0</v>
      </c>
      <c r="Q180">
        <v>0</v>
      </c>
      <c r="R180">
        <v>0</v>
      </c>
      <c r="S180">
        <v>0</v>
      </c>
    </row>
    <row r="181" spans="1:19" x14ac:dyDescent="0.25">
      <c r="A181" t="s">
        <v>441</v>
      </c>
      <c r="B181">
        <v>2</v>
      </c>
      <c r="C181" t="s">
        <v>444</v>
      </c>
      <c r="D181" t="s">
        <v>445</v>
      </c>
      <c r="E181" t="s">
        <v>443</v>
      </c>
      <c r="F181" t="s">
        <v>443</v>
      </c>
      <c r="G181" t="s">
        <v>59</v>
      </c>
      <c r="H181">
        <v>74510</v>
      </c>
      <c r="I181">
        <v>504.65888888888799</v>
      </c>
      <c r="J181">
        <v>147.64428337733</v>
      </c>
      <c r="K181">
        <v>217.48346519489701</v>
      </c>
      <c r="L181">
        <v>342.60075787015802</v>
      </c>
      <c r="M181">
        <v>-162.05813101872999</v>
      </c>
      <c r="N181">
        <v>0.67887590095651495</v>
      </c>
      <c r="P181">
        <v>0</v>
      </c>
      <c r="Q181">
        <v>0</v>
      </c>
      <c r="R181">
        <v>0</v>
      </c>
      <c r="S181">
        <v>0</v>
      </c>
    </row>
    <row r="182" spans="1:19" x14ac:dyDescent="0.25">
      <c r="A182" t="s">
        <v>441</v>
      </c>
      <c r="B182">
        <v>3</v>
      </c>
      <c r="C182" t="s">
        <v>446</v>
      </c>
      <c r="D182" t="s">
        <v>319</v>
      </c>
      <c r="E182" t="s">
        <v>443</v>
      </c>
      <c r="F182" t="s">
        <v>443</v>
      </c>
      <c r="G182" t="s">
        <v>59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25">
      <c r="A183" t="s">
        <v>441</v>
      </c>
      <c r="B183">
        <v>4</v>
      </c>
      <c r="C183" t="s">
        <v>447</v>
      </c>
      <c r="D183" t="s">
        <v>405</v>
      </c>
      <c r="E183" t="s">
        <v>443</v>
      </c>
      <c r="F183" t="s">
        <v>443</v>
      </c>
      <c r="G183" t="s">
        <v>59</v>
      </c>
      <c r="H183">
        <v>74510</v>
      </c>
      <c r="I183">
        <v>121.223333333333</v>
      </c>
      <c r="J183">
        <v>614.65064481535398</v>
      </c>
      <c r="K183">
        <v>516.46218770789596</v>
      </c>
      <c r="L183">
        <v>144.27000034732799</v>
      </c>
      <c r="M183">
        <v>23.0466670139946</v>
      </c>
      <c r="N183">
        <v>1.19011741700438</v>
      </c>
      <c r="P183">
        <v>0</v>
      </c>
      <c r="Q183">
        <v>0</v>
      </c>
      <c r="R183">
        <v>0</v>
      </c>
      <c r="S183">
        <v>0</v>
      </c>
    </row>
    <row r="184" spans="1:19" x14ac:dyDescent="0.25">
      <c r="A184" t="s">
        <v>441</v>
      </c>
      <c r="B184">
        <v>5</v>
      </c>
      <c r="C184" t="s">
        <v>448</v>
      </c>
      <c r="D184" t="s">
        <v>418</v>
      </c>
      <c r="E184" t="s">
        <v>443</v>
      </c>
      <c r="F184" t="s">
        <v>443</v>
      </c>
      <c r="G184" t="s">
        <v>269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25">
      <c r="A185" t="s">
        <v>441</v>
      </c>
      <c r="B185">
        <v>6</v>
      </c>
      <c r="C185" t="s">
        <v>449</v>
      </c>
      <c r="D185" t="s">
        <v>440</v>
      </c>
      <c r="E185" t="s">
        <v>443</v>
      </c>
      <c r="F185" t="s">
        <v>443</v>
      </c>
      <c r="G185" t="s">
        <v>59</v>
      </c>
      <c r="H185">
        <v>135675</v>
      </c>
      <c r="I185">
        <v>897.24583333333305</v>
      </c>
      <c r="J185">
        <v>151.21273898364899</v>
      </c>
      <c r="K185">
        <v>190.37416649611501</v>
      </c>
      <c r="L185">
        <v>712.67547744072795</v>
      </c>
      <c r="M185">
        <v>-184.570355892604</v>
      </c>
      <c r="N185">
        <v>0.79429232320097498</v>
      </c>
      <c r="P185">
        <v>0</v>
      </c>
      <c r="Q185">
        <v>0</v>
      </c>
      <c r="R185">
        <v>0</v>
      </c>
      <c r="S185">
        <v>0</v>
      </c>
    </row>
    <row r="186" spans="1:19" x14ac:dyDescent="0.25">
      <c r="A186" t="s">
        <v>33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S186"/>
  <sheetViews>
    <sheetView workbookViewId="0">
      <selection sqref="A1:A1048576"/>
    </sheetView>
  </sheetViews>
  <sheetFormatPr defaultRowHeight="15" x14ac:dyDescent="0.25"/>
  <cols>
    <col min="1" max="1" width="18.140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9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</row>
    <row r="2" spans="1:19" x14ac:dyDescent="0.25">
      <c r="A2" t="s">
        <v>53</v>
      </c>
      <c r="B2">
        <v>1</v>
      </c>
      <c r="C2" t="s">
        <v>54</v>
      </c>
      <c r="D2" t="s">
        <v>6</v>
      </c>
      <c r="E2" t="s">
        <v>13</v>
      </c>
      <c r="F2" t="s">
        <v>55</v>
      </c>
      <c r="G2" t="s">
        <v>56</v>
      </c>
      <c r="H2">
        <v>60064</v>
      </c>
      <c r="I2">
        <v>38.755555555555503</v>
      </c>
      <c r="J2">
        <v>1549.8165137614601</v>
      </c>
      <c r="K2">
        <v>995.00000399999999</v>
      </c>
      <c r="L2">
        <v>60.365828903051899</v>
      </c>
      <c r="M2">
        <v>21.6102733474963</v>
      </c>
      <c r="N2">
        <v>1.5576045301819501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25">
      <c r="A3" t="s">
        <v>53</v>
      </c>
      <c r="B3">
        <v>2</v>
      </c>
      <c r="C3" t="s">
        <v>57</v>
      </c>
      <c r="D3" t="s">
        <v>58</v>
      </c>
      <c r="E3" t="s">
        <v>13</v>
      </c>
      <c r="F3" t="s">
        <v>55</v>
      </c>
      <c r="G3" t="s">
        <v>59</v>
      </c>
      <c r="H3">
        <v>595</v>
      </c>
      <c r="I3">
        <v>4.4444444444444398E-2</v>
      </c>
      <c r="J3">
        <v>13387.5</v>
      </c>
      <c r="K3">
        <v>275.00000399999999</v>
      </c>
      <c r="L3">
        <v>2.1636363321652898</v>
      </c>
      <c r="M3">
        <v>2.1191918877208402</v>
      </c>
      <c r="N3">
        <v>48.681817473719001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25">
      <c r="A4" t="s">
        <v>53</v>
      </c>
      <c r="B4">
        <v>3</v>
      </c>
      <c r="C4" t="s">
        <v>60</v>
      </c>
      <c r="D4" t="s">
        <v>61</v>
      </c>
      <c r="E4" t="s">
        <v>13</v>
      </c>
      <c r="F4" t="s">
        <v>55</v>
      </c>
      <c r="G4" t="s">
        <v>59</v>
      </c>
      <c r="H4">
        <v>1115</v>
      </c>
      <c r="I4">
        <v>0.86027777777777703</v>
      </c>
      <c r="J4">
        <v>1296.09299321924</v>
      </c>
      <c r="K4">
        <v>101.999988</v>
      </c>
      <c r="L4">
        <v>10.9313738350635</v>
      </c>
      <c r="M4">
        <v>10.0710960572858</v>
      </c>
      <c r="N4">
        <v>12.7067955460861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25">
      <c r="A5" t="s">
        <v>53</v>
      </c>
      <c r="B5">
        <v>4</v>
      </c>
      <c r="C5" t="s">
        <v>62</v>
      </c>
      <c r="D5" t="s">
        <v>63</v>
      </c>
      <c r="E5" t="s">
        <v>13</v>
      </c>
      <c r="F5" t="s">
        <v>55</v>
      </c>
      <c r="G5" t="s">
        <v>59</v>
      </c>
      <c r="H5">
        <v>1</v>
      </c>
      <c r="I5">
        <v>1.55555555555555E-2</v>
      </c>
      <c r="J5">
        <v>64.285714285714207</v>
      </c>
      <c r="K5">
        <v>52.999991999999999</v>
      </c>
      <c r="L5">
        <v>1.8867927376290901E-2</v>
      </c>
      <c r="M5">
        <v>3.31237182073536E-3</v>
      </c>
      <c r="N5">
        <v>1.2129381884758399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25">
      <c r="A6" t="s">
        <v>53</v>
      </c>
      <c r="B6">
        <v>5</v>
      </c>
      <c r="C6" t="s">
        <v>64</v>
      </c>
      <c r="D6" t="s">
        <v>65</v>
      </c>
      <c r="E6" t="s">
        <v>13</v>
      </c>
      <c r="F6" t="s">
        <v>55</v>
      </c>
      <c r="G6" t="s">
        <v>59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25">
      <c r="A7" t="s">
        <v>53</v>
      </c>
      <c r="B7">
        <v>6</v>
      </c>
      <c r="C7" t="s">
        <v>66</v>
      </c>
      <c r="D7" t="s">
        <v>67</v>
      </c>
      <c r="E7" t="s">
        <v>13</v>
      </c>
      <c r="F7" t="s">
        <v>55</v>
      </c>
      <c r="G7" t="s">
        <v>59</v>
      </c>
      <c r="H7">
        <v>1711</v>
      </c>
      <c r="I7">
        <v>0.92027777777777697</v>
      </c>
      <c r="J7">
        <v>1859.22124962269</v>
      </c>
      <c r="K7">
        <v>130.47246494565701</v>
      </c>
      <c r="L7">
        <v>13.1138780946051</v>
      </c>
      <c r="M7">
        <v>12.1936003168273</v>
      </c>
      <c r="N7">
        <v>14.2499128103165</v>
      </c>
      <c r="P7">
        <v>0</v>
      </c>
      <c r="Q7">
        <v>0</v>
      </c>
      <c r="R7">
        <v>0</v>
      </c>
      <c r="S7">
        <v>0</v>
      </c>
    </row>
    <row r="8" spans="1:19" x14ac:dyDescent="0.25">
      <c r="A8" t="s">
        <v>53</v>
      </c>
      <c r="B8">
        <v>7</v>
      </c>
      <c r="C8" t="s">
        <v>68</v>
      </c>
      <c r="D8" t="s">
        <v>69</v>
      </c>
      <c r="E8" t="s">
        <v>13</v>
      </c>
      <c r="F8" t="s">
        <v>55</v>
      </c>
      <c r="G8" t="s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25">
      <c r="A9" t="s">
        <v>53</v>
      </c>
      <c r="B9">
        <v>8</v>
      </c>
      <c r="C9" t="s">
        <v>70</v>
      </c>
      <c r="D9" t="s">
        <v>71</v>
      </c>
      <c r="E9" t="s">
        <v>13</v>
      </c>
      <c r="F9" t="s">
        <v>55</v>
      </c>
      <c r="G9" t="s">
        <v>59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25">
      <c r="A10" t="s">
        <v>53</v>
      </c>
      <c r="B10">
        <v>9</v>
      </c>
      <c r="C10" t="s">
        <v>72</v>
      </c>
      <c r="D10" t="s">
        <v>73</v>
      </c>
      <c r="E10" t="s">
        <v>13</v>
      </c>
      <c r="F10" t="s">
        <v>55</v>
      </c>
      <c r="G10" t="s">
        <v>59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25">
      <c r="A11" t="s">
        <v>53</v>
      </c>
      <c r="B11">
        <v>10</v>
      </c>
      <c r="C11" t="s">
        <v>74</v>
      </c>
      <c r="D11" t="s">
        <v>75</v>
      </c>
      <c r="E11" t="s">
        <v>13</v>
      </c>
      <c r="F11" t="s">
        <v>55</v>
      </c>
      <c r="G11" t="s">
        <v>59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25">
      <c r="A12" t="s">
        <v>53</v>
      </c>
      <c r="B12">
        <v>11</v>
      </c>
      <c r="C12" t="s">
        <v>76</v>
      </c>
      <c r="D12" t="s">
        <v>77</v>
      </c>
      <c r="E12" t="s">
        <v>13</v>
      </c>
      <c r="F12" t="s">
        <v>55</v>
      </c>
      <c r="G12" t="s">
        <v>59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25">
      <c r="A13" t="s">
        <v>53</v>
      </c>
      <c r="B13">
        <v>12</v>
      </c>
      <c r="C13" t="s">
        <v>78</v>
      </c>
      <c r="D13" t="s">
        <v>79</v>
      </c>
      <c r="E13" t="s">
        <v>13</v>
      </c>
      <c r="F13" t="s">
        <v>55</v>
      </c>
      <c r="G13" t="s">
        <v>80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25">
      <c r="A14" t="s">
        <v>53</v>
      </c>
      <c r="B14">
        <v>13</v>
      </c>
      <c r="C14" t="s">
        <v>81</v>
      </c>
      <c r="D14" t="s">
        <v>7</v>
      </c>
      <c r="E14" t="s">
        <v>13</v>
      </c>
      <c r="F14" t="s">
        <v>55</v>
      </c>
      <c r="G14" t="s">
        <v>80</v>
      </c>
      <c r="H14">
        <v>7112</v>
      </c>
      <c r="I14">
        <v>5.7763888888888797</v>
      </c>
      <c r="J14">
        <v>1231.21904303919</v>
      </c>
      <c r="K14">
        <v>524.99998800000003</v>
      </c>
      <c r="L14">
        <v>13.546666976304699</v>
      </c>
      <c r="M14">
        <v>7.7702780874158703</v>
      </c>
      <c r="N14">
        <v>2.3451791832025499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25">
      <c r="A15" t="s">
        <v>53</v>
      </c>
      <c r="B15">
        <v>14</v>
      </c>
      <c r="C15" t="s">
        <v>82</v>
      </c>
      <c r="D15" t="s">
        <v>83</v>
      </c>
      <c r="E15" t="s">
        <v>13</v>
      </c>
      <c r="F15" t="s">
        <v>55</v>
      </c>
      <c r="G15" t="s">
        <v>84</v>
      </c>
      <c r="H15">
        <v>76</v>
      </c>
      <c r="I15">
        <v>8.7480555555555508</v>
      </c>
      <c r="J15">
        <v>8.68764487346394</v>
      </c>
      <c r="K15">
        <v>11.999988</v>
      </c>
      <c r="L15">
        <v>6.333339666673</v>
      </c>
      <c r="M15">
        <v>-2.41471588888255</v>
      </c>
      <c r="N15">
        <v>0.72397113009312497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25">
      <c r="A16" t="s">
        <v>53</v>
      </c>
      <c r="B16">
        <v>15</v>
      </c>
      <c r="C16" t="s">
        <v>85</v>
      </c>
      <c r="D16" t="s">
        <v>86</v>
      </c>
      <c r="E16" t="s">
        <v>13</v>
      </c>
      <c r="F16" t="s">
        <v>55</v>
      </c>
      <c r="G16" t="s">
        <v>56</v>
      </c>
      <c r="H16">
        <v>60064</v>
      </c>
      <c r="I16">
        <v>42.913611111111102</v>
      </c>
      <c r="J16">
        <v>1399.6491659600299</v>
      </c>
      <c r="K16">
        <v>2000.00001599999</v>
      </c>
      <c r="L16">
        <v>30.031999759744</v>
      </c>
      <c r="M16">
        <v>-12.8816113513671</v>
      </c>
      <c r="N16">
        <v>0.69982457738142101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25">
      <c r="A17" t="s">
        <v>53</v>
      </c>
      <c r="B17">
        <v>16</v>
      </c>
      <c r="C17" t="s">
        <v>87</v>
      </c>
      <c r="D17" t="s">
        <v>88</v>
      </c>
      <c r="E17" t="s">
        <v>13</v>
      </c>
      <c r="F17" t="s">
        <v>55</v>
      </c>
      <c r="G17" t="s">
        <v>59</v>
      </c>
      <c r="H17">
        <v>60064</v>
      </c>
      <c r="I17">
        <v>97.113888888888894</v>
      </c>
      <c r="J17">
        <v>618.49031778267204</v>
      </c>
      <c r="K17">
        <v>486.77498954168402</v>
      </c>
      <c r="L17">
        <v>123.39171340037799</v>
      </c>
      <c r="M17">
        <v>26.27782451149</v>
      </c>
      <c r="N17">
        <v>1.27058770699168</v>
      </c>
      <c r="P17">
        <v>0</v>
      </c>
      <c r="Q17">
        <v>0</v>
      </c>
      <c r="R17">
        <v>0</v>
      </c>
      <c r="S17">
        <v>0</v>
      </c>
    </row>
    <row r="18" spans="1:19" x14ac:dyDescent="0.25">
      <c r="A18" t="s">
        <v>53</v>
      </c>
      <c r="B18">
        <v>17</v>
      </c>
      <c r="C18" t="s">
        <v>89</v>
      </c>
      <c r="D18" t="s">
        <v>90</v>
      </c>
      <c r="E18" t="s">
        <v>13</v>
      </c>
      <c r="F18" t="s">
        <v>91</v>
      </c>
      <c r="G18" t="s">
        <v>80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25">
      <c r="A19" t="s">
        <v>53</v>
      </c>
      <c r="B19">
        <v>18</v>
      </c>
      <c r="C19" t="s">
        <v>92</v>
      </c>
      <c r="D19" t="s">
        <v>93</v>
      </c>
      <c r="E19" t="s">
        <v>13</v>
      </c>
      <c r="F19" t="s">
        <v>91</v>
      </c>
      <c r="G19" t="s">
        <v>59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25">
      <c r="A20" t="s">
        <v>53</v>
      </c>
      <c r="B20">
        <v>19</v>
      </c>
      <c r="C20" t="s">
        <v>94</v>
      </c>
      <c r="D20" t="s">
        <v>95</v>
      </c>
      <c r="E20" t="s">
        <v>13</v>
      </c>
      <c r="F20" t="s">
        <v>91</v>
      </c>
      <c r="G20" t="s">
        <v>59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25">
      <c r="A21" t="s">
        <v>53</v>
      </c>
      <c r="B21">
        <v>20</v>
      </c>
      <c r="C21" t="s">
        <v>96</v>
      </c>
      <c r="D21" t="s">
        <v>97</v>
      </c>
      <c r="E21" t="s">
        <v>13</v>
      </c>
      <c r="F21" t="s">
        <v>91</v>
      </c>
      <c r="G21" t="s">
        <v>59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25">
      <c r="A22" t="s">
        <v>53</v>
      </c>
      <c r="B22">
        <v>21</v>
      </c>
      <c r="C22" t="s">
        <v>98</v>
      </c>
      <c r="D22" t="s">
        <v>99</v>
      </c>
      <c r="E22" t="s">
        <v>13</v>
      </c>
      <c r="F22" t="s">
        <v>91</v>
      </c>
      <c r="G22" t="s">
        <v>59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25">
      <c r="A23" t="s">
        <v>53</v>
      </c>
      <c r="B23">
        <v>22</v>
      </c>
      <c r="C23" t="s">
        <v>100</v>
      </c>
      <c r="D23" t="s">
        <v>101</v>
      </c>
      <c r="E23" t="s">
        <v>13</v>
      </c>
      <c r="F23" t="s">
        <v>91</v>
      </c>
      <c r="G23" t="s">
        <v>59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25">
      <c r="A24" t="s">
        <v>53</v>
      </c>
      <c r="B24">
        <v>23</v>
      </c>
      <c r="C24" t="s">
        <v>102</v>
      </c>
      <c r="D24" t="s">
        <v>103</v>
      </c>
      <c r="E24" t="s">
        <v>13</v>
      </c>
      <c r="F24" t="s">
        <v>91</v>
      </c>
      <c r="G24" t="s">
        <v>80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25">
      <c r="A25" t="s">
        <v>53</v>
      </c>
      <c r="B25">
        <v>24</v>
      </c>
      <c r="C25" t="s">
        <v>104</v>
      </c>
      <c r="D25" t="s">
        <v>105</v>
      </c>
      <c r="E25" t="s">
        <v>13</v>
      </c>
      <c r="F25" t="s">
        <v>91</v>
      </c>
      <c r="G25" t="s">
        <v>84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25">
      <c r="A26" t="s">
        <v>53</v>
      </c>
      <c r="B26">
        <v>25</v>
      </c>
      <c r="C26" t="s">
        <v>106</v>
      </c>
      <c r="D26" t="s">
        <v>107</v>
      </c>
      <c r="E26" t="s">
        <v>13</v>
      </c>
      <c r="F26" t="s">
        <v>91</v>
      </c>
      <c r="G26" t="s">
        <v>56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25">
      <c r="A27" t="s">
        <v>53</v>
      </c>
      <c r="B27">
        <v>26</v>
      </c>
      <c r="C27" t="s">
        <v>108</v>
      </c>
      <c r="D27" t="s">
        <v>109</v>
      </c>
      <c r="E27" t="s">
        <v>13</v>
      </c>
      <c r="F27" t="s">
        <v>91</v>
      </c>
      <c r="G27" t="s">
        <v>59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25">
      <c r="A28" t="s">
        <v>53</v>
      </c>
      <c r="B28">
        <v>27</v>
      </c>
      <c r="C28" t="s">
        <v>110</v>
      </c>
      <c r="D28" t="s">
        <v>111</v>
      </c>
      <c r="E28" t="s">
        <v>13</v>
      </c>
      <c r="F28" t="s">
        <v>112</v>
      </c>
      <c r="G28" t="s">
        <v>59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25">
      <c r="A29" t="s">
        <v>53</v>
      </c>
      <c r="B29">
        <v>28</v>
      </c>
      <c r="C29" t="s">
        <v>113</v>
      </c>
      <c r="D29" t="s">
        <v>114</v>
      </c>
      <c r="E29" t="s">
        <v>13</v>
      </c>
      <c r="F29" t="s">
        <v>112</v>
      </c>
      <c r="G29" t="s">
        <v>59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25">
      <c r="A30" t="s">
        <v>53</v>
      </c>
      <c r="B30">
        <v>29</v>
      </c>
      <c r="C30" t="s">
        <v>115</v>
      </c>
      <c r="D30" t="s">
        <v>116</v>
      </c>
      <c r="E30" t="s">
        <v>13</v>
      </c>
      <c r="F30" t="s">
        <v>112</v>
      </c>
      <c r="G30" t="s">
        <v>59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25">
      <c r="A31" t="s">
        <v>53</v>
      </c>
      <c r="B31">
        <v>30</v>
      </c>
      <c r="C31" t="s">
        <v>117</v>
      </c>
      <c r="D31" t="s">
        <v>118</v>
      </c>
      <c r="E31" t="s">
        <v>13</v>
      </c>
      <c r="F31" t="s">
        <v>112</v>
      </c>
      <c r="G31" t="s">
        <v>59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25">
      <c r="A32" t="s">
        <v>53</v>
      </c>
      <c r="B32">
        <v>31</v>
      </c>
      <c r="C32" t="s">
        <v>119</v>
      </c>
      <c r="D32" t="s">
        <v>120</v>
      </c>
      <c r="E32" t="s">
        <v>13</v>
      </c>
      <c r="F32" t="s">
        <v>112</v>
      </c>
      <c r="G32" t="s">
        <v>59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25">
      <c r="A33" t="s">
        <v>53</v>
      </c>
      <c r="B33">
        <v>32</v>
      </c>
      <c r="C33" t="s">
        <v>121</v>
      </c>
      <c r="D33" t="s">
        <v>122</v>
      </c>
      <c r="E33" t="s">
        <v>13</v>
      </c>
      <c r="F33" t="s">
        <v>112</v>
      </c>
      <c r="G33" t="s">
        <v>59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25">
      <c r="A34" t="s">
        <v>53</v>
      </c>
      <c r="B34">
        <v>33</v>
      </c>
      <c r="C34" t="s">
        <v>123</v>
      </c>
      <c r="D34" t="s">
        <v>124</v>
      </c>
      <c r="E34" t="s">
        <v>13</v>
      </c>
      <c r="F34" t="s">
        <v>112</v>
      </c>
      <c r="G34" t="s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25">
      <c r="A35" t="s">
        <v>53</v>
      </c>
      <c r="B35">
        <v>34</v>
      </c>
      <c r="C35" t="s">
        <v>125</v>
      </c>
      <c r="D35" t="s">
        <v>126</v>
      </c>
      <c r="E35" t="s">
        <v>13</v>
      </c>
      <c r="F35" t="s">
        <v>112</v>
      </c>
      <c r="G35" t="s">
        <v>56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25">
      <c r="A36" t="s">
        <v>53</v>
      </c>
      <c r="B36">
        <v>35</v>
      </c>
      <c r="C36" t="s">
        <v>127</v>
      </c>
      <c r="D36" t="s">
        <v>128</v>
      </c>
      <c r="E36" t="s">
        <v>13</v>
      </c>
      <c r="F36" t="s">
        <v>112</v>
      </c>
      <c r="G36" t="s">
        <v>56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25">
      <c r="A37" t="s">
        <v>53</v>
      </c>
      <c r="B37">
        <v>36</v>
      </c>
      <c r="C37" t="s">
        <v>129</v>
      </c>
      <c r="D37" t="s">
        <v>130</v>
      </c>
      <c r="E37" t="s">
        <v>13</v>
      </c>
      <c r="F37" t="s">
        <v>131</v>
      </c>
      <c r="G37" t="s">
        <v>59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25">
      <c r="A38" t="s">
        <v>53</v>
      </c>
      <c r="B38">
        <v>37</v>
      </c>
      <c r="C38" t="s">
        <v>132</v>
      </c>
      <c r="D38" t="s">
        <v>133</v>
      </c>
      <c r="E38" t="s">
        <v>13</v>
      </c>
      <c r="F38" t="s">
        <v>131</v>
      </c>
      <c r="G38" t="s">
        <v>59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25">
      <c r="A39" t="s">
        <v>53</v>
      </c>
      <c r="B39">
        <v>38</v>
      </c>
      <c r="C39" t="s">
        <v>134</v>
      </c>
      <c r="D39" t="s">
        <v>135</v>
      </c>
      <c r="E39" t="s">
        <v>13</v>
      </c>
      <c r="F39" t="s">
        <v>131</v>
      </c>
      <c r="G39" t="s">
        <v>59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25">
      <c r="A40" t="s">
        <v>53</v>
      </c>
      <c r="B40">
        <v>39</v>
      </c>
      <c r="C40" t="s">
        <v>136</v>
      </c>
      <c r="D40" t="s">
        <v>137</v>
      </c>
      <c r="E40" t="s">
        <v>13</v>
      </c>
      <c r="F40" t="s">
        <v>131</v>
      </c>
      <c r="G40" t="s">
        <v>59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25">
      <c r="A41" t="s">
        <v>53</v>
      </c>
      <c r="B41">
        <v>40</v>
      </c>
      <c r="C41" t="s">
        <v>138</v>
      </c>
      <c r="D41" t="s">
        <v>139</v>
      </c>
      <c r="E41" t="s">
        <v>13</v>
      </c>
      <c r="F41" t="s">
        <v>131</v>
      </c>
      <c r="G41" t="s">
        <v>59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25">
      <c r="A42" t="s">
        <v>53</v>
      </c>
      <c r="B42">
        <v>41</v>
      </c>
      <c r="C42" t="s">
        <v>140</v>
      </c>
      <c r="D42" t="s">
        <v>141</v>
      </c>
      <c r="E42" t="s">
        <v>13</v>
      </c>
      <c r="F42" t="s">
        <v>131</v>
      </c>
      <c r="G42" t="s">
        <v>80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25">
      <c r="A43" t="s">
        <v>53</v>
      </c>
      <c r="B43">
        <v>42</v>
      </c>
      <c r="C43" t="s">
        <v>142</v>
      </c>
      <c r="D43" t="s">
        <v>143</v>
      </c>
      <c r="E43" t="s">
        <v>13</v>
      </c>
      <c r="F43" t="s">
        <v>131</v>
      </c>
      <c r="G43" t="s">
        <v>84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25">
      <c r="A44" t="s">
        <v>53</v>
      </c>
      <c r="B44">
        <v>43</v>
      </c>
      <c r="C44" t="s">
        <v>144</v>
      </c>
      <c r="D44" t="s">
        <v>145</v>
      </c>
      <c r="E44" t="s">
        <v>13</v>
      </c>
      <c r="F44" t="s">
        <v>131</v>
      </c>
      <c r="G44" t="s">
        <v>59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25">
      <c r="A45" t="s">
        <v>53</v>
      </c>
      <c r="B45">
        <v>44</v>
      </c>
      <c r="C45" t="s">
        <v>146</v>
      </c>
      <c r="D45" t="s">
        <v>147</v>
      </c>
      <c r="E45" t="s">
        <v>13</v>
      </c>
      <c r="F45" t="s">
        <v>131</v>
      </c>
      <c r="G45" t="s">
        <v>59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25">
      <c r="A46" t="s">
        <v>53</v>
      </c>
      <c r="B46">
        <v>45</v>
      </c>
      <c r="C46" t="s">
        <v>148</v>
      </c>
      <c r="D46" t="s">
        <v>149</v>
      </c>
      <c r="E46" t="s">
        <v>13</v>
      </c>
      <c r="F46" t="s">
        <v>150</v>
      </c>
      <c r="G46" t="s">
        <v>80</v>
      </c>
      <c r="H46">
        <v>7344</v>
      </c>
      <c r="I46">
        <v>102.803888888888</v>
      </c>
      <c r="J46">
        <v>71.436986279161502</v>
      </c>
      <c r="K46">
        <v>86.000004000000004</v>
      </c>
      <c r="L46">
        <v>85.395344865332802</v>
      </c>
      <c r="M46">
        <v>-17.408544023556001</v>
      </c>
      <c r="N46">
        <v>0.83066259251757102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25">
      <c r="A47" t="s">
        <v>53</v>
      </c>
      <c r="B47">
        <v>46</v>
      </c>
      <c r="C47" t="s">
        <v>151</v>
      </c>
      <c r="D47" t="s">
        <v>152</v>
      </c>
      <c r="E47" t="s">
        <v>13</v>
      </c>
      <c r="F47" t="s">
        <v>150</v>
      </c>
      <c r="G47" t="s">
        <v>153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25">
      <c r="A48" t="s">
        <v>53</v>
      </c>
      <c r="B48">
        <v>47</v>
      </c>
      <c r="C48" t="s">
        <v>154</v>
      </c>
      <c r="D48" t="s">
        <v>155</v>
      </c>
      <c r="E48" t="s">
        <v>13</v>
      </c>
      <c r="F48" t="s">
        <v>150</v>
      </c>
      <c r="G48" t="s">
        <v>84</v>
      </c>
      <c r="H48">
        <v>89</v>
      </c>
      <c r="I48">
        <v>14.9297222222222</v>
      </c>
      <c r="J48">
        <v>5.9612629542113904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25">
      <c r="A49" t="s">
        <v>53</v>
      </c>
      <c r="B49">
        <v>48</v>
      </c>
      <c r="C49" t="s">
        <v>156</v>
      </c>
      <c r="D49" t="s">
        <v>157</v>
      </c>
      <c r="E49" t="s">
        <v>13</v>
      </c>
      <c r="F49" t="s">
        <v>150</v>
      </c>
      <c r="G49" t="s">
        <v>158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25">
      <c r="A50" t="s">
        <v>53</v>
      </c>
      <c r="B50">
        <v>49</v>
      </c>
      <c r="C50" t="s">
        <v>159</v>
      </c>
      <c r="D50" t="s">
        <v>160</v>
      </c>
      <c r="E50" t="s">
        <v>13</v>
      </c>
      <c r="F50" t="s">
        <v>150</v>
      </c>
      <c r="G50" t="s">
        <v>56</v>
      </c>
      <c r="H50">
        <v>131235</v>
      </c>
      <c r="I50">
        <v>53.110277777777704</v>
      </c>
      <c r="J50">
        <v>2470.9906536190401</v>
      </c>
      <c r="K50">
        <v>15000.0000119999</v>
      </c>
      <c r="L50">
        <v>8.7489999930007993</v>
      </c>
      <c r="M50">
        <v>-44.361277784776902</v>
      </c>
      <c r="N50">
        <v>0.16473271010948301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25">
      <c r="A51" t="s">
        <v>53</v>
      </c>
      <c r="B51">
        <v>50</v>
      </c>
      <c r="C51" t="s">
        <v>161</v>
      </c>
      <c r="D51" t="s">
        <v>162</v>
      </c>
      <c r="E51" t="s">
        <v>13</v>
      </c>
      <c r="F51" t="s">
        <v>150</v>
      </c>
      <c r="G51" t="s">
        <v>56</v>
      </c>
      <c r="H51">
        <v>131235</v>
      </c>
      <c r="I51">
        <v>170.84388888888799</v>
      </c>
      <c r="J51">
        <v>768.15741466380905</v>
      </c>
      <c r="K51">
        <v>1393.9764538961899</v>
      </c>
      <c r="L51">
        <v>94.144344858333596</v>
      </c>
      <c r="M51">
        <v>-76.699544030555202</v>
      </c>
      <c r="N51">
        <v>0.55105479903680898</v>
      </c>
      <c r="P51">
        <v>0</v>
      </c>
      <c r="Q51">
        <v>0</v>
      </c>
      <c r="R51">
        <v>0</v>
      </c>
      <c r="S51">
        <v>0</v>
      </c>
    </row>
    <row r="52" spans="1:19" x14ac:dyDescent="0.25">
      <c r="A52" t="s">
        <v>53</v>
      </c>
      <c r="B52">
        <v>51</v>
      </c>
      <c r="C52" t="s">
        <v>163</v>
      </c>
      <c r="D52" t="s">
        <v>164</v>
      </c>
      <c r="E52" t="s">
        <v>13</v>
      </c>
      <c r="F52" t="s">
        <v>164</v>
      </c>
      <c r="G52" t="s">
        <v>56</v>
      </c>
      <c r="H52">
        <v>60064</v>
      </c>
      <c r="I52">
        <v>20.883333333333301</v>
      </c>
      <c r="J52">
        <v>2876.1691939345501</v>
      </c>
      <c r="K52">
        <v>4500</v>
      </c>
      <c r="L52">
        <v>13.3475555555555</v>
      </c>
      <c r="M52">
        <v>-7.5357777777777697</v>
      </c>
      <c r="N52">
        <v>0.63914870976323401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25">
      <c r="A53" t="s">
        <v>53</v>
      </c>
      <c r="B53">
        <v>52</v>
      </c>
      <c r="C53" t="s">
        <v>165</v>
      </c>
      <c r="D53" t="s">
        <v>166</v>
      </c>
      <c r="E53" t="s">
        <v>13</v>
      </c>
      <c r="F53" t="s">
        <v>167</v>
      </c>
      <c r="G53" t="s">
        <v>56</v>
      </c>
      <c r="H53">
        <v>60064</v>
      </c>
      <c r="I53">
        <v>20.5130555555555</v>
      </c>
      <c r="J53">
        <v>2928.08644900943</v>
      </c>
      <c r="K53">
        <v>1850.000004</v>
      </c>
      <c r="L53">
        <v>32.467026956828001</v>
      </c>
      <c r="M53">
        <v>11.953971401272399</v>
      </c>
      <c r="N53">
        <v>1.58274942847483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25">
      <c r="A54" t="s">
        <v>53</v>
      </c>
      <c r="B54">
        <v>53</v>
      </c>
      <c r="C54" t="s">
        <v>168</v>
      </c>
      <c r="D54" t="s">
        <v>11</v>
      </c>
      <c r="E54" t="s">
        <v>13</v>
      </c>
      <c r="F54" t="s">
        <v>169</v>
      </c>
      <c r="G54" t="s">
        <v>59</v>
      </c>
      <c r="H54">
        <v>60064</v>
      </c>
      <c r="I54">
        <v>309.354166666666</v>
      </c>
      <c r="J54">
        <v>194.15933732911299</v>
      </c>
      <c r="K54">
        <v>228.07614906168899</v>
      </c>
      <c r="L54">
        <v>263.35064077109598</v>
      </c>
      <c r="M54">
        <v>-46.003525895570498</v>
      </c>
      <c r="N54">
        <v>0.85129172045340495</v>
      </c>
      <c r="P54">
        <v>0</v>
      </c>
      <c r="Q54">
        <v>0</v>
      </c>
      <c r="R54">
        <v>0</v>
      </c>
      <c r="S54">
        <v>0</v>
      </c>
    </row>
    <row r="55" spans="1:19" x14ac:dyDescent="0.25">
      <c r="A55" t="s">
        <v>53</v>
      </c>
      <c r="B55">
        <v>54</v>
      </c>
      <c r="C55" t="s">
        <v>170</v>
      </c>
      <c r="D55" t="s">
        <v>171</v>
      </c>
      <c r="E55" t="s">
        <v>172</v>
      </c>
      <c r="F55" t="s">
        <v>173</v>
      </c>
      <c r="G55" t="s">
        <v>80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25">
      <c r="A56" t="s">
        <v>53</v>
      </c>
      <c r="B56">
        <v>55</v>
      </c>
      <c r="C56" t="s">
        <v>174</v>
      </c>
      <c r="D56" t="s">
        <v>175</v>
      </c>
      <c r="E56" t="s">
        <v>172</v>
      </c>
      <c r="F56" t="s">
        <v>173</v>
      </c>
      <c r="G56" t="s">
        <v>84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25">
      <c r="A57" t="s">
        <v>53</v>
      </c>
      <c r="B57">
        <v>56</v>
      </c>
      <c r="C57" t="s">
        <v>176</v>
      </c>
      <c r="D57" t="s">
        <v>177</v>
      </c>
      <c r="E57" t="s">
        <v>172</v>
      </c>
      <c r="F57" t="s">
        <v>178</v>
      </c>
      <c r="G57" t="s">
        <v>80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25">
      <c r="A58" t="s">
        <v>53</v>
      </c>
      <c r="B58">
        <v>57</v>
      </c>
      <c r="C58" t="s">
        <v>179</v>
      </c>
      <c r="D58" t="s">
        <v>180</v>
      </c>
      <c r="E58" t="s">
        <v>172</v>
      </c>
      <c r="F58" t="s">
        <v>178</v>
      </c>
      <c r="G58" t="s">
        <v>80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25">
      <c r="A59" t="s">
        <v>53</v>
      </c>
      <c r="B59">
        <v>58</v>
      </c>
      <c r="C59" t="s">
        <v>181</v>
      </c>
      <c r="D59" t="s">
        <v>182</v>
      </c>
      <c r="E59" t="s">
        <v>172</v>
      </c>
      <c r="F59" t="s">
        <v>183</v>
      </c>
      <c r="G59" t="s">
        <v>80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25">
      <c r="A60" t="s">
        <v>53</v>
      </c>
      <c r="B60">
        <v>59</v>
      </c>
      <c r="C60" t="s">
        <v>184</v>
      </c>
      <c r="D60" t="s">
        <v>185</v>
      </c>
      <c r="E60" t="s">
        <v>172</v>
      </c>
      <c r="F60" t="s">
        <v>183</v>
      </c>
      <c r="G60" t="s">
        <v>59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25">
      <c r="A61" t="s">
        <v>53</v>
      </c>
      <c r="B61">
        <v>60</v>
      </c>
      <c r="C61" t="s">
        <v>186</v>
      </c>
      <c r="D61" t="s">
        <v>187</v>
      </c>
      <c r="E61" t="s">
        <v>172</v>
      </c>
      <c r="F61" t="s">
        <v>183</v>
      </c>
      <c r="G61" t="s">
        <v>59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25">
      <c r="A62" t="s">
        <v>53</v>
      </c>
      <c r="B62">
        <v>61</v>
      </c>
      <c r="C62" t="s">
        <v>188</v>
      </c>
      <c r="D62" t="s">
        <v>189</v>
      </c>
      <c r="E62" t="s">
        <v>172</v>
      </c>
      <c r="F62" t="s">
        <v>183</v>
      </c>
      <c r="G62" t="s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25">
      <c r="A63" t="s">
        <v>53</v>
      </c>
      <c r="B63">
        <v>62</v>
      </c>
      <c r="C63" t="s">
        <v>190</v>
      </c>
      <c r="D63" t="s">
        <v>191</v>
      </c>
      <c r="E63" t="s">
        <v>172</v>
      </c>
      <c r="F63" t="s">
        <v>183</v>
      </c>
      <c r="G63" t="s">
        <v>59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25">
      <c r="A64" t="s">
        <v>53</v>
      </c>
      <c r="B64">
        <v>63</v>
      </c>
      <c r="C64" t="s">
        <v>192</v>
      </c>
      <c r="D64" t="s">
        <v>193</v>
      </c>
      <c r="E64" t="s">
        <v>172</v>
      </c>
      <c r="F64" t="s">
        <v>183</v>
      </c>
      <c r="G64" t="s">
        <v>56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25">
      <c r="A65" t="s">
        <v>53</v>
      </c>
      <c r="B65">
        <v>64</v>
      </c>
      <c r="C65" t="s">
        <v>194</v>
      </c>
      <c r="D65" t="s">
        <v>195</v>
      </c>
      <c r="E65" t="s">
        <v>172</v>
      </c>
      <c r="F65" t="s">
        <v>196</v>
      </c>
      <c r="G65" t="s">
        <v>59</v>
      </c>
      <c r="H65">
        <v>9880</v>
      </c>
      <c r="I65">
        <v>8.4141666666666595</v>
      </c>
      <c r="J65">
        <v>1174.21016143408</v>
      </c>
      <c r="K65">
        <v>1244.000016</v>
      </c>
      <c r="L65">
        <v>7.9421220843456899</v>
      </c>
      <c r="M65">
        <v>-0.47204458232096902</v>
      </c>
      <c r="N65">
        <v>0.943898831456357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25">
      <c r="A66" t="s">
        <v>53</v>
      </c>
      <c r="B66">
        <v>65</v>
      </c>
      <c r="C66" t="s">
        <v>197</v>
      </c>
      <c r="D66" t="s">
        <v>198</v>
      </c>
      <c r="E66" t="s">
        <v>172</v>
      </c>
      <c r="F66" t="s">
        <v>196</v>
      </c>
      <c r="G66" t="s">
        <v>59</v>
      </c>
      <c r="H66">
        <v>59097</v>
      </c>
      <c r="I66">
        <v>331.85805555555498</v>
      </c>
      <c r="J66">
        <v>178.07914863198701</v>
      </c>
      <c r="K66">
        <v>288</v>
      </c>
      <c r="L66">
        <v>205.197916666666</v>
      </c>
      <c r="M66">
        <v>-126.660138888888</v>
      </c>
      <c r="N66">
        <v>0.61833037719439898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25">
      <c r="A67" t="s">
        <v>53</v>
      </c>
      <c r="B67">
        <v>66</v>
      </c>
      <c r="C67" t="s">
        <v>199</v>
      </c>
      <c r="D67" t="s">
        <v>200</v>
      </c>
      <c r="E67" t="s">
        <v>172</v>
      </c>
      <c r="F67" t="s">
        <v>196</v>
      </c>
      <c r="G67" t="s">
        <v>59</v>
      </c>
      <c r="H67">
        <v>993</v>
      </c>
      <c r="I67">
        <v>8.8275000000000006</v>
      </c>
      <c r="J67">
        <v>112.489379779099</v>
      </c>
      <c r="K67">
        <v>117</v>
      </c>
      <c r="L67">
        <v>8.4871794871794801</v>
      </c>
      <c r="M67">
        <v>-0.34032051282051301</v>
      </c>
      <c r="N67">
        <v>0.96144769041965294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25">
      <c r="A68" t="s">
        <v>53</v>
      </c>
      <c r="B68">
        <v>67</v>
      </c>
      <c r="C68" t="s">
        <v>201</v>
      </c>
      <c r="D68" t="s">
        <v>202</v>
      </c>
      <c r="E68" t="s">
        <v>172</v>
      </c>
      <c r="F68" t="s">
        <v>196</v>
      </c>
      <c r="G68" t="s">
        <v>59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25">
      <c r="A69" t="s">
        <v>53</v>
      </c>
      <c r="B69">
        <v>68</v>
      </c>
      <c r="C69" t="s">
        <v>203</v>
      </c>
      <c r="D69" t="s">
        <v>204</v>
      </c>
      <c r="E69" t="s">
        <v>172</v>
      </c>
      <c r="F69" t="s">
        <v>196</v>
      </c>
      <c r="G69" t="s">
        <v>59</v>
      </c>
      <c r="H69">
        <v>69970</v>
      </c>
      <c r="I69">
        <v>349.099722222222</v>
      </c>
      <c r="J69">
        <v>200.42983579190599</v>
      </c>
      <c r="K69">
        <v>315.71032004200998</v>
      </c>
      <c r="L69">
        <v>221.62721823819101</v>
      </c>
      <c r="M69">
        <v>-127.47250398403</v>
      </c>
      <c r="N69">
        <v>0.63485360809629399</v>
      </c>
      <c r="P69">
        <v>0</v>
      </c>
      <c r="Q69">
        <v>0</v>
      </c>
      <c r="R69">
        <v>0</v>
      </c>
      <c r="S69">
        <v>0</v>
      </c>
    </row>
    <row r="70" spans="1:19" x14ac:dyDescent="0.25">
      <c r="A70" t="s">
        <v>53</v>
      </c>
      <c r="B70">
        <v>69</v>
      </c>
      <c r="C70" t="s">
        <v>205</v>
      </c>
      <c r="D70" t="s">
        <v>206</v>
      </c>
      <c r="E70" t="s">
        <v>172</v>
      </c>
      <c r="F70" t="s">
        <v>206</v>
      </c>
      <c r="G70" t="s">
        <v>59</v>
      </c>
      <c r="H70">
        <v>71171</v>
      </c>
      <c r="I70">
        <v>30.316666666666599</v>
      </c>
      <c r="J70">
        <v>2347.5865860362801</v>
      </c>
      <c r="K70">
        <v>3465</v>
      </c>
      <c r="L70">
        <v>20.539971139971101</v>
      </c>
      <c r="M70">
        <v>-9.7766955266955193</v>
      </c>
      <c r="N70">
        <v>0.67751416624423699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25">
      <c r="A71" t="s">
        <v>53</v>
      </c>
      <c r="B71">
        <v>70</v>
      </c>
      <c r="C71" t="s">
        <v>207</v>
      </c>
      <c r="D71" t="s">
        <v>208</v>
      </c>
      <c r="E71" t="s">
        <v>172</v>
      </c>
      <c r="F71" t="s">
        <v>208</v>
      </c>
      <c r="G71" t="s">
        <v>56</v>
      </c>
      <c r="H71">
        <v>71171</v>
      </c>
      <c r="I71">
        <v>72.018055555555506</v>
      </c>
      <c r="J71">
        <v>988.23828900931403</v>
      </c>
      <c r="K71">
        <v>1524.999996</v>
      </c>
      <c r="L71">
        <v>46.669508319133101</v>
      </c>
      <c r="M71">
        <v>-25.348547236422402</v>
      </c>
      <c r="N71">
        <v>0.64802510924682899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25">
      <c r="A72" t="s">
        <v>53</v>
      </c>
      <c r="B72">
        <v>71</v>
      </c>
      <c r="C72" t="s">
        <v>209</v>
      </c>
      <c r="D72" t="s">
        <v>210</v>
      </c>
      <c r="E72" t="s">
        <v>172</v>
      </c>
      <c r="F72" t="s">
        <v>210</v>
      </c>
      <c r="G72" t="s">
        <v>56</v>
      </c>
      <c r="H72">
        <v>71171</v>
      </c>
      <c r="I72">
        <v>32.727222222222203</v>
      </c>
      <c r="J72">
        <v>2174.6728004209799</v>
      </c>
      <c r="K72">
        <v>3499.999992</v>
      </c>
      <c r="L72">
        <v>20.334571475050399</v>
      </c>
      <c r="M72">
        <v>-12.3926507471717</v>
      </c>
      <c r="N72">
        <v>0.62133508725476205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25">
      <c r="A73" t="s">
        <v>53</v>
      </c>
      <c r="B73">
        <v>72</v>
      </c>
      <c r="C73" t="s">
        <v>211</v>
      </c>
      <c r="D73" t="s">
        <v>212</v>
      </c>
      <c r="E73" t="s">
        <v>172</v>
      </c>
      <c r="F73" t="s">
        <v>213</v>
      </c>
      <c r="G73" t="s">
        <v>56</v>
      </c>
      <c r="H73">
        <v>71171</v>
      </c>
      <c r="I73">
        <v>1.9069444444444399</v>
      </c>
      <c r="J73">
        <v>37322.0101966496</v>
      </c>
      <c r="K73">
        <v>5000.0000040000004</v>
      </c>
      <c r="L73">
        <v>14.2341999886126</v>
      </c>
      <c r="M73">
        <v>12.3272555441681</v>
      </c>
      <c r="N73">
        <v>7.46440203335841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25">
      <c r="A74" t="s">
        <v>53</v>
      </c>
      <c r="B74">
        <v>73</v>
      </c>
      <c r="C74" t="s">
        <v>214</v>
      </c>
      <c r="D74" t="s">
        <v>215</v>
      </c>
      <c r="E74" t="s">
        <v>172</v>
      </c>
      <c r="F74" t="s">
        <v>169</v>
      </c>
      <c r="G74" t="s">
        <v>56</v>
      </c>
      <c r="H74">
        <v>71171</v>
      </c>
      <c r="I74">
        <v>486.06861111111101</v>
      </c>
      <c r="J74">
        <v>146.42171572714599</v>
      </c>
      <c r="K74">
        <v>220.06739769938099</v>
      </c>
      <c r="L74">
        <v>323.405469160959</v>
      </c>
      <c r="M74">
        <v>-162.66314195015099</v>
      </c>
      <c r="N74">
        <v>0.66534942139481501</v>
      </c>
      <c r="P74">
        <v>0</v>
      </c>
      <c r="Q74">
        <v>0</v>
      </c>
      <c r="R74">
        <v>0</v>
      </c>
      <c r="S74">
        <v>0</v>
      </c>
    </row>
    <row r="75" spans="1:19" x14ac:dyDescent="0.25">
      <c r="A75" t="s">
        <v>53</v>
      </c>
      <c r="B75">
        <v>74</v>
      </c>
      <c r="C75" t="s">
        <v>216</v>
      </c>
      <c r="D75" t="s">
        <v>217</v>
      </c>
      <c r="E75" t="s">
        <v>218</v>
      </c>
      <c r="F75" t="s">
        <v>9</v>
      </c>
      <c r="G75" t="s">
        <v>59</v>
      </c>
      <c r="H75">
        <v>524</v>
      </c>
      <c r="I75">
        <v>0.206666666666666</v>
      </c>
      <c r="J75">
        <v>2535.4838709677401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25">
      <c r="A76" t="s">
        <v>53</v>
      </c>
      <c r="B76">
        <v>75</v>
      </c>
      <c r="C76" t="s">
        <v>219</v>
      </c>
      <c r="D76" t="s">
        <v>220</v>
      </c>
      <c r="E76" t="s">
        <v>218</v>
      </c>
      <c r="F76" t="s">
        <v>9</v>
      </c>
      <c r="G76" t="s">
        <v>59</v>
      </c>
      <c r="H76">
        <v>492</v>
      </c>
      <c r="I76">
        <v>1.7488888888888801</v>
      </c>
      <c r="J76">
        <v>281.32147395171501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25">
      <c r="A77" t="s">
        <v>53</v>
      </c>
      <c r="B77">
        <v>76</v>
      </c>
      <c r="C77" t="s">
        <v>221</v>
      </c>
      <c r="D77" t="s">
        <v>222</v>
      </c>
      <c r="E77" t="s">
        <v>218</v>
      </c>
      <c r="F77" t="s">
        <v>9</v>
      </c>
      <c r="G77" t="s">
        <v>59</v>
      </c>
      <c r="H77">
        <v>36</v>
      </c>
      <c r="I77">
        <v>0.211111111111111</v>
      </c>
      <c r="J77">
        <v>170.52631578947299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25">
      <c r="A78" t="s">
        <v>53</v>
      </c>
      <c r="B78">
        <v>77</v>
      </c>
      <c r="C78" t="s">
        <v>223</v>
      </c>
      <c r="D78" t="s">
        <v>224</v>
      </c>
      <c r="E78" t="s">
        <v>218</v>
      </c>
      <c r="F78" t="s">
        <v>9</v>
      </c>
      <c r="G78" t="s">
        <v>59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25">
      <c r="A79" t="s">
        <v>53</v>
      </c>
      <c r="B79">
        <v>78</v>
      </c>
      <c r="C79" t="s">
        <v>225</v>
      </c>
      <c r="D79" t="s">
        <v>226</v>
      </c>
      <c r="E79" t="s">
        <v>218</v>
      </c>
      <c r="F79" t="s">
        <v>9</v>
      </c>
      <c r="G79" t="s">
        <v>59</v>
      </c>
      <c r="H79">
        <v>1052</v>
      </c>
      <c r="I79">
        <v>2.1666666666666599</v>
      </c>
      <c r="J79">
        <v>485.53846153846098</v>
      </c>
      <c r="K79">
        <v>0</v>
      </c>
      <c r="L79">
        <v>0</v>
      </c>
      <c r="M79">
        <v>-2.1666666666666599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25">
      <c r="A80" t="s">
        <v>53</v>
      </c>
      <c r="B80">
        <v>79</v>
      </c>
      <c r="C80" t="s">
        <v>227</v>
      </c>
      <c r="D80" t="s">
        <v>228</v>
      </c>
      <c r="E80" t="s">
        <v>218</v>
      </c>
      <c r="F80" t="s">
        <v>9</v>
      </c>
      <c r="G80" t="s">
        <v>56</v>
      </c>
      <c r="H80">
        <v>71022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25">
      <c r="A81" t="s">
        <v>53</v>
      </c>
      <c r="B81">
        <v>80</v>
      </c>
      <c r="C81" t="s">
        <v>229</v>
      </c>
      <c r="D81" t="s">
        <v>230</v>
      </c>
      <c r="E81" t="s">
        <v>218</v>
      </c>
      <c r="F81" t="s">
        <v>9</v>
      </c>
      <c r="G81" t="s">
        <v>56</v>
      </c>
      <c r="H81">
        <v>1052</v>
      </c>
      <c r="I81">
        <v>2.1666666666666599</v>
      </c>
      <c r="J81">
        <v>485.53846153846098</v>
      </c>
      <c r="K81">
        <v>0</v>
      </c>
      <c r="L81">
        <v>0</v>
      </c>
      <c r="M81">
        <v>-2.1666666666666599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25">
      <c r="A82" t="s">
        <v>53</v>
      </c>
      <c r="B82">
        <v>81</v>
      </c>
      <c r="C82" t="s">
        <v>231</v>
      </c>
      <c r="D82" t="s">
        <v>232</v>
      </c>
      <c r="E82" t="s">
        <v>218</v>
      </c>
      <c r="F82" t="s">
        <v>233</v>
      </c>
      <c r="G82" t="s">
        <v>59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25">
      <c r="A83" t="s">
        <v>53</v>
      </c>
      <c r="B83">
        <v>82</v>
      </c>
      <c r="C83" t="s">
        <v>234</v>
      </c>
      <c r="D83" t="s">
        <v>235</v>
      </c>
      <c r="E83" t="s">
        <v>218</v>
      </c>
      <c r="F83" t="s">
        <v>233</v>
      </c>
      <c r="G83" t="s">
        <v>59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25">
      <c r="A84" t="s">
        <v>53</v>
      </c>
      <c r="B84">
        <v>83</v>
      </c>
      <c r="C84" t="s">
        <v>236</v>
      </c>
      <c r="D84" t="s">
        <v>237</v>
      </c>
      <c r="E84" t="s">
        <v>218</v>
      </c>
      <c r="F84" t="s">
        <v>233</v>
      </c>
      <c r="G84" t="s">
        <v>59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25">
      <c r="A85" t="s">
        <v>53</v>
      </c>
      <c r="B85">
        <v>84</v>
      </c>
      <c r="C85" t="s">
        <v>238</v>
      </c>
      <c r="D85" t="s">
        <v>239</v>
      </c>
      <c r="E85" t="s">
        <v>218</v>
      </c>
      <c r="F85" t="s">
        <v>233</v>
      </c>
      <c r="G85" t="s">
        <v>59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25">
      <c r="A86" t="s">
        <v>53</v>
      </c>
      <c r="B86">
        <v>85</v>
      </c>
      <c r="C86" t="s">
        <v>240</v>
      </c>
      <c r="D86" t="s">
        <v>241</v>
      </c>
      <c r="E86" t="s">
        <v>218</v>
      </c>
      <c r="F86" t="s">
        <v>233</v>
      </c>
      <c r="G86" t="s">
        <v>59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25">
      <c r="A87" t="s">
        <v>53</v>
      </c>
      <c r="B87">
        <v>86</v>
      </c>
      <c r="C87" t="s">
        <v>242</v>
      </c>
      <c r="D87" t="s">
        <v>243</v>
      </c>
      <c r="E87" t="s">
        <v>218</v>
      </c>
      <c r="F87" t="s">
        <v>233</v>
      </c>
      <c r="G87" t="s">
        <v>59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25">
      <c r="A88" t="s">
        <v>53</v>
      </c>
      <c r="B88">
        <v>87</v>
      </c>
      <c r="C88" t="s">
        <v>244</v>
      </c>
      <c r="D88" t="s">
        <v>245</v>
      </c>
      <c r="E88" t="s">
        <v>218</v>
      </c>
      <c r="F88" t="s">
        <v>233</v>
      </c>
      <c r="G88" t="s">
        <v>59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25">
      <c r="A89" t="s">
        <v>53</v>
      </c>
      <c r="B89">
        <v>88</v>
      </c>
      <c r="C89" t="s">
        <v>246</v>
      </c>
      <c r="D89" t="s">
        <v>247</v>
      </c>
      <c r="E89" t="s">
        <v>218</v>
      </c>
      <c r="F89" t="s">
        <v>233</v>
      </c>
      <c r="G89" t="s">
        <v>59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25">
      <c r="A90" t="s">
        <v>53</v>
      </c>
      <c r="B90">
        <v>89</v>
      </c>
      <c r="C90" t="s">
        <v>248</v>
      </c>
      <c r="D90" t="s">
        <v>249</v>
      </c>
      <c r="E90" t="s">
        <v>218</v>
      </c>
      <c r="F90" t="s">
        <v>233</v>
      </c>
      <c r="G90" t="s">
        <v>59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25">
      <c r="A91" t="s">
        <v>53</v>
      </c>
      <c r="B91">
        <v>90</v>
      </c>
      <c r="C91" t="s">
        <v>250</v>
      </c>
      <c r="D91" t="s">
        <v>251</v>
      </c>
      <c r="E91" t="s">
        <v>218</v>
      </c>
      <c r="F91" t="s">
        <v>233</v>
      </c>
      <c r="G91" t="s">
        <v>59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25">
      <c r="A92" t="s">
        <v>53</v>
      </c>
      <c r="B92">
        <v>91</v>
      </c>
      <c r="C92" t="s">
        <v>252</v>
      </c>
      <c r="D92" t="s">
        <v>253</v>
      </c>
      <c r="E92" t="s">
        <v>218</v>
      </c>
      <c r="F92" t="s">
        <v>233</v>
      </c>
      <c r="G92" t="s">
        <v>56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25">
      <c r="A93" t="s">
        <v>53</v>
      </c>
      <c r="B93">
        <v>92</v>
      </c>
      <c r="C93" t="s">
        <v>254</v>
      </c>
      <c r="D93" t="s">
        <v>255</v>
      </c>
      <c r="E93" t="s">
        <v>218</v>
      </c>
      <c r="F93" t="s">
        <v>233</v>
      </c>
      <c r="G93" t="s">
        <v>59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25">
      <c r="A94" t="s">
        <v>53</v>
      </c>
      <c r="B94">
        <v>93</v>
      </c>
      <c r="C94" t="s">
        <v>256</v>
      </c>
      <c r="D94" t="s">
        <v>257</v>
      </c>
      <c r="E94" t="s">
        <v>218</v>
      </c>
      <c r="F94" t="s">
        <v>258</v>
      </c>
      <c r="G94" t="s">
        <v>59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25">
      <c r="A95" t="s">
        <v>53</v>
      </c>
      <c r="B95">
        <v>94</v>
      </c>
      <c r="C95" t="s">
        <v>259</v>
      </c>
      <c r="D95" t="s">
        <v>260</v>
      </c>
      <c r="E95" t="s">
        <v>218</v>
      </c>
      <c r="F95" t="s">
        <v>258</v>
      </c>
      <c r="G95" t="s">
        <v>59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25">
      <c r="A96" t="s">
        <v>53</v>
      </c>
      <c r="B96">
        <v>95</v>
      </c>
      <c r="C96" t="s">
        <v>261</v>
      </c>
      <c r="D96" t="s">
        <v>262</v>
      </c>
      <c r="E96" t="s">
        <v>218</v>
      </c>
      <c r="F96" t="s">
        <v>258</v>
      </c>
      <c r="G96" t="s">
        <v>59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25">
      <c r="A97" t="s">
        <v>53</v>
      </c>
      <c r="B97">
        <v>96</v>
      </c>
      <c r="C97" t="s">
        <v>263</v>
      </c>
      <c r="D97" t="s">
        <v>264</v>
      </c>
      <c r="E97" t="s">
        <v>218</v>
      </c>
      <c r="F97" t="s">
        <v>258</v>
      </c>
      <c r="G97" t="s">
        <v>59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25">
      <c r="A98" t="s">
        <v>53</v>
      </c>
      <c r="B98">
        <v>97</v>
      </c>
      <c r="C98" t="s">
        <v>265</v>
      </c>
      <c r="D98" t="s">
        <v>266</v>
      </c>
      <c r="E98" t="s">
        <v>218</v>
      </c>
      <c r="F98" t="s">
        <v>258</v>
      </c>
      <c r="G98" t="s">
        <v>59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25">
      <c r="A99" t="s">
        <v>53</v>
      </c>
      <c r="B99">
        <v>98</v>
      </c>
      <c r="C99" t="s">
        <v>267</v>
      </c>
      <c r="D99" t="s">
        <v>268</v>
      </c>
      <c r="E99" t="s">
        <v>218</v>
      </c>
      <c r="F99" t="s">
        <v>258</v>
      </c>
      <c r="G99" t="s">
        <v>269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25">
      <c r="A100" t="s">
        <v>53</v>
      </c>
      <c r="B100">
        <v>99</v>
      </c>
      <c r="C100" t="s">
        <v>270</v>
      </c>
      <c r="D100" t="s">
        <v>271</v>
      </c>
      <c r="E100" t="s">
        <v>218</v>
      </c>
      <c r="F100" t="s">
        <v>258</v>
      </c>
      <c r="G100" t="s">
        <v>59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25">
      <c r="A101" t="s">
        <v>53</v>
      </c>
      <c r="B101">
        <v>100</v>
      </c>
      <c r="C101" t="s">
        <v>272</v>
      </c>
      <c r="D101" t="s">
        <v>273</v>
      </c>
      <c r="E101" t="s">
        <v>218</v>
      </c>
      <c r="F101" t="s">
        <v>258</v>
      </c>
      <c r="G101" t="s">
        <v>59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25">
      <c r="A102" t="s">
        <v>53</v>
      </c>
      <c r="B102">
        <v>101</v>
      </c>
      <c r="C102" t="s">
        <v>274</v>
      </c>
      <c r="D102" t="s">
        <v>275</v>
      </c>
      <c r="E102" t="s">
        <v>218</v>
      </c>
      <c r="F102" t="s">
        <v>258</v>
      </c>
      <c r="G102" t="s">
        <v>59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25">
      <c r="A103" t="s">
        <v>53</v>
      </c>
      <c r="B103">
        <v>102</v>
      </c>
      <c r="C103" t="s">
        <v>276</v>
      </c>
      <c r="D103" t="s">
        <v>277</v>
      </c>
      <c r="E103" t="s">
        <v>218</v>
      </c>
      <c r="F103" t="s">
        <v>258</v>
      </c>
      <c r="G103" t="s">
        <v>59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25">
      <c r="A104" t="s">
        <v>53</v>
      </c>
      <c r="B104">
        <v>103</v>
      </c>
      <c r="C104" t="s">
        <v>278</v>
      </c>
      <c r="D104" t="s">
        <v>279</v>
      </c>
      <c r="E104" t="s">
        <v>218</v>
      </c>
      <c r="F104" t="s">
        <v>258</v>
      </c>
      <c r="G104" t="s">
        <v>59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25">
      <c r="A105" t="s">
        <v>53</v>
      </c>
      <c r="B105">
        <v>104</v>
      </c>
      <c r="C105" t="s">
        <v>280</v>
      </c>
      <c r="D105" t="s">
        <v>281</v>
      </c>
      <c r="E105" t="s">
        <v>218</v>
      </c>
      <c r="F105" t="s">
        <v>258</v>
      </c>
      <c r="G105" t="s">
        <v>59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25">
      <c r="A106" t="s">
        <v>53</v>
      </c>
      <c r="B106">
        <v>105</v>
      </c>
      <c r="C106" t="s">
        <v>282</v>
      </c>
      <c r="D106" t="s">
        <v>283</v>
      </c>
      <c r="E106" t="s">
        <v>218</v>
      </c>
      <c r="F106" t="s">
        <v>258</v>
      </c>
      <c r="G106" t="s">
        <v>59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25">
      <c r="A107" t="s">
        <v>53</v>
      </c>
      <c r="B107">
        <v>106</v>
      </c>
      <c r="C107" t="s">
        <v>284</v>
      </c>
      <c r="D107" t="s">
        <v>285</v>
      </c>
      <c r="E107" t="s">
        <v>218</v>
      </c>
      <c r="F107" t="s">
        <v>258</v>
      </c>
      <c r="G107" t="s">
        <v>59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25">
      <c r="A108" t="s">
        <v>53</v>
      </c>
      <c r="B108">
        <v>107</v>
      </c>
      <c r="C108" t="s">
        <v>286</v>
      </c>
      <c r="D108" t="s">
        <v>287</v>
      </c>
      <c r="E108" t="s">
        <v>218</v>
      </c>
      <c r="F108" t="s">
        <v>258</v>
      </c>
      <c r="G108" t="s">
        <v>59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25">
      <c r="A109" t="s">
        <v>53</v>
      </c>
      <c r="B109">
        <v>108</v>
      </c>
      <c r="C109" t="s">
        <v>288</v>
      </c>
      <c r="D109" t="s">
        <v>289</v>
      </c>
      <c r="E109" t="s">
        <v>218</v>
      </c>
      <c r="F109" t="s">
        <v>258</v>
      </c>
      <c r="G109" t="s">
        <v>59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25">
      <c r="A110" t="s">
        <v>53</v>
      </c>
      <c r="B110">
        <v>109</v>
      </c>
      <c r="C110" t="s">
        <v>290</v>
      </c>
      <c r="D110" t="s">
        <v>291</v>
      </c>
      <c r="E110" t="s">
        <v>218</v>
      </c>
      <c r="F110" t="s">
        <v>258</v>
      </c>
      <c r="G110" t="s">
        <v>59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25">
      <c r="A111" t="s">
        <v>53</v>
      </c>
      <c r="B111">
        <v>110</v>
      </c>
      <c r="C111" t="s">
        <v>292</v>
      </c>
      <c r="D111" t="s">
        <v>293</v>
      </c>
      <c r="E111" t="s">
        <v>218</v>
      </c>
      <c r="F111" t="s">
        <v>258</v>
      </c>
      <c r="G111" t="s">
        <v>59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25">
      <c r="A112" t="s">
        <v>53</v>
      </c>
      <c r="B112">
        <v>111</v>
      </c>
      <c r="C112" t="s">
        <v>294</v>
      </c>
      <c r="D112" t="s">
        <v>295</v>
      </c>
      <c r="E112" t="s">
        <v>218</v>
      </c>
      <c r="F112" t="s">
        <v>258</v>
      </c>
      <c r="G112" t="s">
        <v>56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25">
      <c r="A113" t="s">
        <v>53</v>
      </c>
      <c r="B113">
        <v>112</v>
      </c>
      <c r="C113" t="s">
        <v>296</v>
      </c>
      <c r="D113" t="s">
        <v>297</v>
      </c>
      <c r="E113" t="s">
        <v>218</v>
      </c>
      <c r="F113" t="s">
        <v>298</v>
      </c>
      <c r="G113" t="s">
        <v>59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25">
      <c r="A114" t="s">
        <v>53</v>
      </c>
      <c r="B114">
        <v>113</v>
      </c>
      <c r="C114" t="s">
        <v>299</v>
      </c>
      <c r="D114" t="s">
        <v>300</v>
      </c>
      <c r="E114" t="s">
        <v>218</v>
      </c>
      <c r="F114" t="s">
        <v>298</v>
      </c>
      <c r="G114" t="s">
        <v>59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25">
      <c r="A115" t="s">
        <v>53</v>
      </c>
      <c r="B115">
        <v>114</v>
      </c>
      <c r="C115" t="s">
        <v>301</v>
      </c>
      <c r="D115" t="s">
        <v>302</v>
      </c>
      <c r="E115" t="s">
        <v>218</v>
      </c>
      <c r="F115" t="s">
        <v>298</v>
      </c>
      <c r="G115" t="s">
        <v>59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25">
      <c r="A116" t="s">
        <v>53</v>
      </c>
      <c r="B116">
        <v>115</v>
      </c>
      <c r="C116" t="s">
        <v>303</v>
      </c>
      <c r="D116" t="s">
        <v>304</v>
      </c>
      <c r="E116" t="s">
        <v>218</v>
      </c>
      <c r="F116" t="s">
        <v>298</v>
      </c>
      <c r="G116" t="s">
        <v>59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25">
      <c r="A117" t="s">
        <v>53</v>
      </c>
      <c r="B117">
        <v>116</v>
      </c>
      <c r="C117" t="s">
        <v>305</v>
      </c>
      <c r="D117" t="s">
        <v>306</v>
      </c>
      <c r="E117" t="s">
        <v>218</v>
      </c>
      <c r="F117" t="s">
        <v>298</v>
      </c>
      <c r="G117" t="s">
        <v>59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25">
      <c r="A118" t="s">
        <v>53</v>
      </c>
      <c r="B118">
        <v>117</v>
      </c>
      <c r="C118" t="s">
        <v>307</v>
      </c>
      <c r="D118" t="s">
        <v>308</v>
      </c>
      <c r="E118" t="s">
        <v>218</v>
      </c>
      <c r="F118" t="s">
        <v>308</v>
      </c>
      <c r="G118" t="s">
        <v>59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25">
      <c r="A119" t="s">
        <v>53</v>
      </c>
      <c r="B119">
        <v>118</v>
      </c>
      <c r="C119" t="s">
        <v>309</v>
      </c>
      <c r="D119" t="s">
        <v>310</v>
      </c>
      <c r="E119" t="s">
        <v>218</v>
      </c>
      <c r="F119" t="s">
        <v>311</v>
      </c>
      <c r="G119" t="s">
        <v>59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25">
      <c r="A120" t="s">
        <v>53</v>
      </c>
      <c r="B120">
        <v>119</v>
      </c>
      <c r="C120" t="s">
        <v>312</v>
      </c>
      <c r="D120" t="s">
        <v>313</v>
      </c>
      <c r="E120" t="s">
        <v>218</v>
      </c>
      <c r="F120" t="s">
        <v>314</v>
      </c>
      <c r="G120" t="s">
        <v>59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25">
      <c r="A121" t="s">
        <v>53</v>
      </c>
      <c r="B121">
        <v>120</v>
      </c>
      <c r="C121" t="s">
        <v>315</v>
      </c>
      <c r="D121" t="s">
        <v>316</v>
      </c>
      <c r="E121" t="s">
        <v>218</v>
      </c>
      <c r="F121" t="s">
        <v>169</v>
      </c>
      <c r="G121" t="s">
        <v>59</v>
      </c>
      <c r="H121">
        <v>0</v>
      </c>
      <c r="I121">
        <v>2.1666666666666599</v>
      </c>
      <c r="J121">
        <v>0</v>
      </c>
      <c r="K121">
        <v>0</v>
      </c>
      <c r="L121">
        <v>0</v>
      </c>
      <c r="M121">
        <v>-2.1666666666666599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25">
      <c r="A122" t="s">
        <v>53</v>
      </c>
      <c r="B122">
        <v>121</v>
      </c>
      <c r="C122" t="s">
        <v>317</v>
      </c>
      <c r="D122" t="s">
        <v>318</v>
      </c>
      <c r="E122" t="s">
        <v>319</v>
      </c>
      <c r="F122" t="s">
        <v>320</v>
      </c>
      <c r="G122" t="s">
        <v>59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25">
      <c r="A123" t="s">
        <v>53</v>
      </c>
      <c r="B123">
        <v>122</v>
      </c>
      <c r="C123" t="s">
        <v>321</v>
      </c>
      <c r="D123" t="s">
        <v>322</v>
      </c>
      <c r="E123" t="s">
        <v>319</v>
      </c>
      <c r="F123" t="s">
        <v>320</v>
      </c>
      <c r="G123" t="s">
        <v>59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25">
      <c r="A124" t="s">
        <v>53</v>
      </c>
      <c r="B124">
        <v>123</v>
      </c>
      <c r="C124" t="s">
        <v>323</v>
      </c>
      <c r="D124" t="s">
        <v>324</v>
      </c>
      <c r="E124" t="s">
        <v>319</v>
      </c>
      <c r="F124" t="s">
        <v>320</v>
      </c>
      <c r="G124" t="s">
        <v>59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25">
      <c r="A125" t="s">
        <v>53</v>
      </c>
      <c r="B125">
        <v>124</v>
      </c>
      <c r="C125" t="s">
        <v>325</v>
      </c>
      <c r="D125" t="s">
        <v>326</v>
      </c>
      <c r="E125" t="s">
        <v>319</v>
      </c>
      <c r="F125" t="s">
        <v>320</v>
      </c>
      <c r="G125" t="s">
        <v>59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25">
      <c r="A126" t="s">
        <v>53</v>
      </c>
      <c r="B126">
        <v>125</v>
      </c>
      <c r="C126" t="s">
        <v>327</v>
      </c>
      <c r="D126" t="s">
        <v>328</v>
      </c>
      <c r="E126" t="s">
        <v>319</v>
      </c>
      <c r="F126" t="s">
        <v>320</v>
      </c>
      <c r="G126" t="s">
        <v>56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25">
      <c r="A127" t="s">
        <v>53</v>
      </c>
      <c r="B127">
        <v>126</v>
      </c>
      <c r="C127" t="s">
        <v>329</v>
      </c>
      <c r="D127" t="s">
        <v>330</v>
      </c>
      <c r="E127" t="s">
        <v>319</v>
      </c>
      <c r="F127" t="s">
        <v>320</v>
      </c>
      <c r="G127" t="s">
        <v>59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25">
      <c r="A128" t="s">
        <v>53</v>
      </c>
      <c r="B128">
        <v>127</v>
      </c>
      <c r="C128" t="s">
        <v>331</v>
      </c>
      <c r="D128" t="s">
        <v>332</v>
      </c>
      <c r="E128" t="s">
        <v>319</v>
      </c>
      <c r="F128" t="s">
        <v>320</v>
      </c>
      <c r="G128" t="s">
        <v>59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25">
      <c r="A129" t="s">
        <v>53</v>
      </c>
      <c r="B129">
        <v>128</v>
      </c>
      <c r="C129" t="s">
        <v>333</v>
      </c>
      <c r="D129" t="s">
        <v>334</v>
      </c>
      <c r="E129" t="s">
        <v>319</v>
      </c>
      <c r="F129" t="s">
        <v>320</v>
      </c>
      <c r="G129" t="s">
        <v>59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25">
      <c r="A130" t="s">
        <v>53</v>
      </c>
      <c r="B130">
        <v>129</v>
      </c>
      <c r="C130" t="s">
        <v>335</v>
      </c>
      <c r="D130" t="s">
        <v>336</v>
      </c>
      <c r="E130" t="s">
        <v>319</v>
      </c>
      <c r="F130" t="s">
        <v>320</v>
      </c>
      <c r="G130" t="s">
        <v>59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25">
      <c r="A131" t="s">
        <v>53</v>
      </c>
      <c r="B131">
        <v>130</v>
      </c>
      <c r="C131" t="s">
        <v>337</v>
      </c>
      <c r="D131" t="s">
        <v>338</v>
      </c>
      <c r="E131" t="s">
        <v>319</v>
      </c>
      <c r="F131" t="s">
        <v>320</v>
      </c>
      <c r="G131" t="s">
        <v>56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25">
      <c r="A132" t="s">
        <v>53</v>
      </c>
      <c r="B132">
        <v>131</v>
      </c>
      <c r="C132" t="s">
        <v>339</v>
      </c>
      <c r="D132" t="s">
        <v>340</v>
      </c>
      <c r="E132" t="s">
        <v>319</v>
      </c>
      <c r="F132" t="s">
        <v>320</v>
      </c>
      <c r="G132" t="s">
        <v>56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25">
      <c r="A133" t="s">
        <v>53</v>
      </c>
      <c r="B133">
        <v>132</v>
      </c>
      <c r="C133" t="s">
        <v>341</v>
      </c>
      <c r="D133" t="s">
        <v>342</v>
      </c>
      <c r="E133" t="s">
        <v>319</v>
      </c>
      <c r="F133" t="s">
        <v>320</v>
      </c>
      <c r="G133" t="s">
        <v>56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25">
      <c r="A134" t="s">
        <v>53</v>
      </c>
      <c r="B134">
        <v>133</v>
      </c>
      <c r="C134" t="s">
        <v>343</v>
      </c>
      <c r="D134" t="s">
        <v>344</v>
      </c>
      <c r="E134" t="s">
        <v>319</v>
      </c>
      <c r="F134" t="s">
        <v>345</v>
      </c>
      <c r="G134" t="s">
        <v>59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25">
      <c r="A135" t="s">
        <v>53</v>
      </c>
      <c r="B135">
        <v>134</v>
      </c>
      <c r="C135" t="s">
        <v>346</v>
      </c>
      <c r="D135" t="s">
        <v>347</v>
      </c>
      <c r="E135" t="s">
        <v>319</v>
      </c>
      <c r="F135" t="s">
        <v>345</v>
      </c>
      <c r="G135" t="s">
        <v>59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25">
      <c r="A136" t="s">
        <v>53</v>
      </c>
      <c r="B136">
        <v>135</v>
      </c>
      <c r="C136" t="s">
        <v>348</v>
      </c>
      <c r="D136" t="s">
        <v>349</v>
      </c>
      <c r="E136" t="s">
        <v>319</v>
      </c>
      <c r="F136" t="s">
        <v>345</v>
      </c>
      <c r="G136" t="s">
        <v>59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25">
      <c r="A137" t="s">
        <v>53</v>
      </c>
      <c r="B137">
        <v>136</v>
      </c>
      <c r="C137" t="s">
        <v>350</v>
      </c>
      <c r="D137" t="s">
        <v>351</v>
      </c>
      <c r="E137" t="s">
        <v>319</v>
      </c>
      <c r="F137" t="s">
        <v>345</v>
      </c>
      <c r="G137" t="s">
        <v>59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25">
      <c r="A138" t="s">
        <v>53</v>
      </c>
      <c r="B138">
        <v>137</v>
      </c>
      <c r="C138" t="s">
        <v>352</v>
      </c>
      <c r="D138" t="s">
        <v>353</v>
      </c>
      <c r="E138" t="s">
        <v>319</v>
      </c>
      <c r="F138" t="s">
        <v>345</v>
      </c>
      <c r="G138" t="s">
        <v>59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25">
      <c r="A139" t="s">
        <v>53</v>
      </c>
      <c r="B139">
        <v>138</v>
      </c>
      <c r="C139" t="s">
        <v>354</v>
      </c>
      <c r="D139" t="s">
        <v>355</v>
      </c>
      <c r="E139" t="s">
        <v>319</v>
      </c>
      <c r="F139" t="s">
        <v>345</v>
      </c>
      <c r="G139" t="s">
        <v>59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25">
      <c r="A140" t="s">
        <v>53</v>
      </c>
      <c r="B140">
        <v>139</v>
      </c>
      <c r="C140" t="s">
        <v>356</v>
      </c>
      <c r="D140" t="s">
        <v>357</v>
      </c>
      <c r="E140" t="s">
        <v>319</v>
      </c>
      <c r="F140" t="s">
        <v>345</v>
      </c>
      <c r="G140" t="s">
        <v>59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25">
      <c r="A141" t="s">
        <v>53</v>
      </c>
      <c r="B141">
        <v>140</v>
      </c>
      <c r="C141" t="s">
        <v>358</v>
      </c>
      <c r="D141" t="s">
        <v>359</v>
      </c>
      <c r="E141" t="s">
        <v>319</v>
      </c>
      <c r="F141" t="s">
        <v>345</v>
      </c>
      <c r="G141" t="s">
        <v>59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25">
      <c r="A142" t="s">
        <v>53</v>
      </c>
      <c r="B142">
        <v>141</v>
      </c>
      <c r="C142" t="s">
        <v>360</v>
      </c>
      <c r="D142" t="s">
        <v>361</v>
      </c>
      <c r="E142" t="s">
        <v>319</v>
      </c>
      <c r="F142" t="s">
        <v>345</v>
      </c>
      <c r="G142" t="s">
        <v>59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25">
      <c r="A143" t="s">
        <v>53</v>
      </c>
      <c r="B143">
        <v>142</v>
      </c>
      <c r="C143" t="s">
        <v>362</v>
      </c>
      <c r="D143" t="s">
        <v>363</v>
      </c>
      <c r="E143" t="s">
        <v>319</v>
      </c>
      <c r="F143" t="s">
        <v>345</v>
      </c>
      <c r="G143" t="s">
        <v>59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25">
      <c r="A144" t="s">
        <v>53</v>
      </c>
      <c r="B144">
        <v>143</v>
      </c>
      <c r="C144" t="s">
        <v>364</v>
      </c>
      <c r="D144" t="s">
        <v>365</v>
      </c>
      <c r="E144" t="s">
        <v>319</v>
      </c>
      <c r="F144" t="s">
        <v>345</v>
      </c>
      <c r="G144" t="s">
        <v>56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25">
      <c r="A145" t="s">
        <v>53</v>
      </c>
      <c r="B145">
        <v>144</v>
      </c>
      <c r="C145" t="s">
        <v>366</v>
      </c>
      <c r="D145" t="s">
        <v>367</v>
      </c>
      <c r="E145" t="s">
        <v>319</v>
      </c>
      <c r="F145" t="s">
        <v>345</v>
      </c>
      <c r="G145" t="s">
        <v>59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25">
      <c r="A146" t="s">
        <v>53</v>
      </c>
      <c r="B146">
        <v>145</v>
      </c>
      <c r="C146" t="s">
        <v>368</v>
      </c>
      <c r="D146" t="s">
        <v>369</v>
      </c>
      <c r="E146" t="s">
        <v>319</v>
      </c>
      <c r="F146" t="s">
        <v>370</v>
      </c>
      <c r="G146" t="s">
        <v>59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25">
      <c r="A147" t="s">
        <v>53</v>
      </c>
      <c r="B147">
        <v>146</v>
      </c>
      <c r="C147" t="s">
        <v>371</v>
      </c>
      <c r="D147" t="s">
        <v>372</v>
      </c>
      <c r="E147" t="s">
        <v>319</v>
      </c>
      <c r="F147" t="s">
        <v>370</v>
      </c>
      <c r="G147" t="s">
        <v>59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25">
      <c r="A148" t="s">
        <v>53</v>
      </c>
      <c r="B148">
        <v>147</v>
      </c>
      <c r="C148" t="s">
        <v>373</v>
      </c>
      <c r="D148" t="s">
        <v>374</v>
      </c>
      <c r="E148" t="s">
        <v>319</v>
      </c>
      <c r="F148" t="s">
        <v>370</v>
      </c>
      <c r="G148" t="s">
        <v>56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25">
      <c r="A149" t="s">
        <v>53</v>
      </c>
      <c r="B149">
        <v>148</v>
      </c>
      <c r="C149" t="s">
        <v>375</v>
      </c>
      <c r="D149" t="s">
        <v>376</v>
      </c>
      <c r="E149" t="s">
        <v>319</v>
      </c>
      <c r="F149" t="s">
        <v>370</v>
      </c>
      <c r="G149" t="s">
        <v>56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25">
      <c r="A150" t="s">
        <v>53</v>
      </c>
      <c r="B150">
        <v>149</v>
      </c>
      <c r="C150" t="s">
        <v>377</v>
      </c>
      <c r="D150" t="s">
        <v>378</v>
      </c>
      <c r="E150" t="s">
        <v>319</v>
      </c>
      <c r="F150" t="s">
        <v>379</v>
      </c>
      <c r="G150" t="s">
        <v>59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25">
      <c r="A151" t="s">
        <v>53</v>
      </c>
      <c r="B151">
        <v>150</v>
      </c>
      <c r="C151" t="s">
        <v>380</v>
      </c>
      <c r="D151" t="s">
        <v>381</v>
      </c>
      <c r="E151" t="s">
        <v>319</v>
      </c>
      <c r="F151" t="s">
        <v>379</v>
      </c>
      <c r="G151" t="s">
        <v>56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25">
      <c r="A152" t="s">
        <v>53</v>
      </c>
      <c r="B152">
        <v>151</v>
      </c>
      <c r="C152" t="s">
        <v>382</v>
      </c>
      <c r="D152" t="s">
        <v>383</v>
      </c>
      <c r="E152" t="s">
        <v>319</v>
      </c>
      <c r="F152" t="s">
        <v>379</v>
      </c>
      <c r="G152" t="s">
        <v>56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25">
      <c r="A153" t="s">
        <v>53</v>
      </c>
      <c r="B153">
        <v>152</v>
      </c>
      <c r="C153" t="s">
        <v>384</v>
      </c>
      <c r="D153" t="s">
        <v>385</v>
      </c>
      <c r="E153" t="s">
        <v>319</v>
      </c>
      <c r="F153" t="s">
        <v>386</v>
      </c>
      <c r="G153" t="s">
        <v>59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25">
      <c r="A154" t="s">
        <v>53</v>
      </c>
      <c r="B154">
        <v>153</v>
      </c>
      <c r="C154" t="s">
        <v>387</v>
      </c>
      <c r="D154" t="s">
        <v>388</v>
      </c>
      <c r="E154" t="s">
        <v>319</v>
      </c>
      <c r="F154" t="s">
        <v>386</v>
      </c>
      <c r="G154" t="s">
        <v>56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25">
      <c r="A155" t="s">
        <v>53</v>
      </c>
      <c r="B155">
        <v>154</v>
      </c>
      <c r="C155" t="s">
        <v>389</v>
      </c>
      <c r="D155" t="s">
        <v>390</v>
      </c>
      <c r="E155" t="s">
        <v>319</v>
      </c>
      <c r="F155" t="s">
        <v>386</v>
      </c>
      <c r="G155" t="s">
        <v>56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25">
      <c r="A156" t="s">
        <v>53</v>
      </c>
      <c r="B156">
        <v>155</v>
      </c>
      <c r="C156" t="s">
        <v>391</v>
      </c>
      <c r="D156" t="s">
        <v>392</v>
      </c>
      <c r="E156" t="s">
        <v>319</v>
      </c>
      <c r="F156" t="s">
        <v>392</v>
      </c>
      <c r="G156" t="s">
        <v>59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25">
      <c r="A157" t="s">
        <v>53</v>
      </c>
      <c r="B157">
        <v>156</v>
      </c>
      <c r="C157" t="s">
        <v>393</v>
      </c>
      <c r="D157" t="s">
        <v>394</v>
      </c>
      <c r="E157" t="s">
        <v>319</v>
      </c>
      <c r="F157" t="s">
        <v>169</v>
      </c>
      <c r="G157" t="s">
        <v>56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25">
      <c r="A158" t="s">
        <v>53</v>
      </c>
      <c r="B158">
        <v>157</v>
      </c>
      <c r="C158" t="s">
        <v>395</v>
      </c>
      <c r="D158" t="s">
        <v>396</v>
      </c>
      <c r="E158" t="s">
        <v>397</v>
      </c>
      <c r="F158" t="s">
        <v>398</v>
      </c>
      <c r="G158" t="s">
        <v>59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25">
      <c r="A159" t="s">
        <v>53</v>
      </c>
      <c r="B159">
        <v>158</v>
      </c>
      <c r="C159" t="s">
        <v>399</v>
      </c>
      <c r="D159" t="s">
        <v>400</v>
      </c>
      <c r="E159" t="s">
        <v>397</v>
      </c>
      <c r="F159" t="s">
        <v>398</v>
      </c>
      <c r="G159" t="s">
        <v>59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25">
      <c r="A160" t="s">
        <v>53</v>
      </c>
      <c r="B160">
        <v>159</v>
      </c>
      <c r="C160" t="s">
        <v>401</v>
      </c>
      <c r="D160" t="s">
        <v>402</v>
      </c>
      <c r="E160" t="s">
        <v>397</v>
      </c>
      <c r="F160" t="s">
        <v>398</v>
      </c>
      <c r="G160" t="s">
        <v>59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25">
      <c r="A161" t="s">
        <v>53</v>
      </c>
      <c r="B161">
        <v>160</v>
      </c>
      <c r="C161" t="s">
        <v>403</v>
      </c>
      <c r="D161" t="s">
        <v>404</v>
      </c>
      <c r="E161" t="s">
        <v>405</v>
      </c>
      <c r="F161" t="s">
        <v>405</v>
      </c>
      <c r="G161" t="s">
        <v>56</v>
      </c>
      <c r="H161">
        <v>71171</v>
      </c>
      <c r="I161">
        <v>74.653333333333293</v>
      </c>
      <c r="J161">
        <v>953.35327737095895</v>
      </c>
      <c r="K161">
        <v>896.36020151133505</v>
      </c>
      <c r="L161">
        <v>79.400000000000006</v>
      </c>
      <c r="M161">
        <v>4.7466666666666599</v>
      </c>
      <c r="N161">
        <v>1.0635827826397499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25">
      <c r="A162" t="s">
        <v>53</v>
      </c>
      <c r="B162">
        <v>161</v>
      </c>
      <c r="C162" t="s">
        <v>406</v>
      </c>
      <c r="D162" t="s">
        <v>407</v>
      </c>
      <c r="E162" t="s">
        <v>405</v>
      </c>
      <c r="F162" t="s">
        <v>405</v>
      </c>
      <c r="G162" t="s">
        <v>56</v>
      </c>
      <c r="H162">
        <v>71171</v>
      </c>
      <c r="I162">
        <v>0</v>
      </c>
      <c r="J162">
        <v>0</v>
      </c>
      <c r="K162">
        <v>6714.2452830188604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25">
      <c r="A163" t="s">
        <v>53</v>
      </c>
      <c r="B163">
        <v>162</v>
      </c>
      <c r="C163" t="s">
        <v>408</v>
      </c>
      <c r="D163" t="s">
        <v>409</v>
      </c>
      <c r="E163" t="s">
        <v>405</v>
      </c>
      <c r="F163" t="s">
        <v>405</v>
      </c>
      <c r="G163" t="s">
        <v>56</v>
      </c>
      <c r="H163">
        <v>71171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25">
      <c r="A164" t="s">
        <v>53</v>
      </c>
      <c r="B164">
        <v>163</v>
      </c>
      <c r="C164" t="s">
        <v>410</v>
      </c>
      <c r="D164" t="s">
        <v>411</v>
      </c>
      <c r="E164" t="s">
        <v>405</v>
      </c>
      <c r="F164" t="s">
        <v>405</v>
      </c>
      <c r="G164" t="s">
        <v>56</v>
      </c>
      <c r="H164">
        <v>71171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25">
      <c r="A165" t="s">
        <v>53</v>
      </c>
      <c r="B165">
        <v>164</v>
      </c>
      <c r="C165" t="s">
        <v>412</v>
      </c>
      <c r="D165" t="s">
        <v>413</v>
      </c>
      <c r="E165" t="s">
        <v>405</v>
      </c>
      <c r="F165" t="s">
        <v>405</v>
      </c>
      <c r="G165" t="s">
        <v>56</v>
      </c>
      <c r="H165">
        <v>131235</v>
      </c>
      <c r="I165">
        <v>60.545555555555502</v>
      </c>
      <c r="J165">
        <v>2167.5414288598099</v>
      </c>
      <c r="K165">
        <v>2499.999984</v>
      </c>
      <c r="L165">
        <v>52.494000335961601</v>
      </c>
      <c r="M165">
        <v>-8.0515552195939506</v>
      </c>
      <c r="N165">
        <v>0.86701657709282998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25">
      <c r="A166" t="s">
        <v>53</v>
      </c>
      <c r="B166">
        <v>165</v>
      </c>
      <c r="C166" t="s">
        <v>414</v>
      </c>
      <c r="D166" t="s">
        <v>415</v>
      </c>
      <c r="E166" t="s">
        <v>405</v>
      </c>
      <c r="F166" t="s">
        <v>405</v>
      </c>
      <c r="G166" t="s">
        <v>56</v>
      </c>
      <c r="H166">
        <v>71171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25">
      <c r="A167" t="s">
        <v>53</v>
      </c>
      <c r="B167">
        <v>166</v>
      </c>
      <c r="C167" t="s">
        <v>416</v>
      </c>
      <c r="D167" t="s">
        <v>417</v>
      </c>
      <c r="E167" t="s">
        <v>418</v>
      </c>
      <c r="F167" t="s">
        <v>419</v>
      </c>
      <c r="G167" t="s">
        <v>269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25">
      <c r="A168" t="s">
        <v>53</v>
      </c>
      <c r="B168">
        <v>167</v>
      </c>
      <c r="C168" t="s">
        <v>420</v>
      </c>
      <c r="D168" t="s">
        <v>421</v>
      </c>
      <c r="E168" t="s">
        <v>418</v>
      </c>
      <c r="F168" t="s">
        <v>419</v>
      </c>
      <c r="G168" t="s">
        <v>269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25">
      <c r="A169" t="s">
        <v>53</v>
      </c>
      <c r="B169">
        <v>168</v>
      </c>
      <c r="C169" t="s">
        <v>422</v>
      </c>
      <c r="D169" t="s">
        <v>423</v>
      </c>
      <c r="E169" t="s">
        <v>418</v>
      </c>
      <c r="F169" t="s">
        <v>419</v>
      </c>
      <c r="G169" t="s">
        <v>269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25">
      <c r="A170" t="s">
        <v>424</v>
      </c>
      <c r="B170">
        <v>1</v>
      </c>
      <c r="C170" t="s">
        <v>425</v>
      </c>
      <c r="D170" t="s">
        <v>426</v>
      </c>
      <c r="E170" t="s">
        <v>427</v>
      </c>
      <c r="F170" t="s">
        <v>427</v>
      </c>
      <c r="G170" t="s">
        <v>59</v>
      </c>
      <c r="H170">
        <v>60064</v>
      </c>
      <c r="I170">
        <v>309.354166666666</v>
      </c>
      <c r="J170">
        <v>194.15933732911299</v>
      </c>
      <c r="K170">
        <v>228.07614906168899</v>
      </c>
      <c r="L170">
        <v>263.35064077109598</v>
      </c>
      <c r="M170">
        <v>-46.003525895570498</v>
      </c>
      <c r="N170">
        <v>0.85129172045340495</v>
      </c>
      <c r="P170">
        <v>0</v>
      </c>
      <c r="Q170">
        <v>0</v>
      </c>
      <c r="R170">
        <v>0</v>
      </c>
      <c r="S170">
        <v>0</v>
      </c>
    </row>
    <row r="171" spans="1:19" x14ac:dyDescent="0.25">
      <c r="A171" t="s">
        <v>424</v>
      </c>
      <c r="B171">
        <v>2</v>
      </c>
      <c r="C171" t="s">
        <v>428</v>
      </c>
      <c r="D171" t="s">
        <v>429</v>
      </c>
      <c r="E171" t="s">
        <v>427</v>
      </c>
      <c r="F171" t="s">
        <v>427</v>
      </c>
      <c r="G171" t="s">
        <v>59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25">
      <c r="A172" t="s">
        <v>424</v>
      </c>
      <c r="B172">
        <v>3</v>
      </c>
      <c r="C172" t="s">
        <v>430</v>
      </c>
      <c r="D172" t="s">
        <v>431</v>
      </c>
      <c r="E172" t="s">
        <v>427</v>
      </c>
      <c r="F172" t="s">
        <v>427</v>
      </c>
      <c r="G172" t="s">
        <v>59</v>
      </c>
      <c r="H172">
        <v>60064</v>
      </c>
      <c r="I172">
        <v>309.354166666666</v>
      </c>
      <c r="J172">
        <v>194.15933732911299</v>
      </c>
      <c r="K172">
        <v>228.07614906168899</v>
      </c>
      <c r="L172">
        <v>263.35064077109598</v>
      </c>
      <c r="M172">
        <v>-46.003525895570498</v>
      </c>
      <c r="N172">
        <v>0.85129172045340495</v>
      </c>
      <c r="P172">
        <v>0</v>
      </c>
      <c r="Q172">
        <v>0</v>
      </c>
      <c r="R172">
        <v>0</v>
      </c>
      <c r="S172">
        <v>0</v>
      </c>
    </row>
    <row r="173" spans="1:19" x14ac:dyDescent="0.25">
      <c r="A173" t="s">
        <v>424</v>
      </c>
      <c r="B173">
        <v>4</v>
      </c>
      <c r="C173" t="s">
        <v>432</v>
      </c>
      <c r="D173" t="s">
        <v>218</v>
      </c>
      <c r="E173" t="s">
        <v>427</v>
      </c>
      <c r="F173" t="s">
        <v>427</v>
      </c>
      <c r="G173" t="s">
        <v>59</v>
      </c>
      <c r="H173">
        <v>0</v>
      </c>
      <c r="I173">
        <v>2.1666666666666599</v>
      </c>
      <c r="J173">
        <v>0</v>
      </c>
      <c r="K173">
        <v>0</v>
      </c>
      <c r="L173">
        <v>0</v>
      </c>
      <c r="M173">
        <v>-2.1666666666666599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25">
      <c r="A174" t="s">
        <v>424</v>
      </c>
      <c r="B174">
        <v>5</v>
      </c>
      <c r="C174" t="s">
        <v>433</v>
      </c>
      <c r="D174" t="s">
        <v>434</v>
      </c>
      <c r="E174" t="s">
        <v>427</v>
      </c>
      <c r="F174" t="s">
        <v>427</v>
      </c>
      <c r="G174" t="s">
        <v>59</v>
      </c>
      <c r="H174">
        <v>71171</v>
      </c>
      <c r="I174">
        <v>486.06861111111101</v>
      </c>
      <c r="J174">
        <v>146.42171572714599</v>
      </c>
      <c r="K174">
        <v>220.06739769938099</v>
      </c>
      <c r="L174">
        <v>323.405469160959</v>
      </c>
      <c r="M174">
        <v>-162.66314195015099</v>
      </c>
      <c r="N174">
        <v>0.66534942139481501</v>
      </c>
      <c r="P174">
        <v>0</v>
      </c>
      <c r="Q174">
        <v>0</v>
      </c>
      <c r="R174">
        <v>0</v>
      </c>
      <c r="S174">
        <v>0</v>
      </c>
    </row>
    <row r="175" spans="1:19" x14ac:dyDescent="0.25">
      <c r="A175" t="s">
        <v>424</v>
      </c>
      <c r="B175">
        <v>6</v>
      </c>
      <c r="C175" t="s">
        <v>435</v>
      </c>
      <c r="D175" t="s">
        <v>319</v>
      </c>
      <c r="E175" t="s">
        <v>427</v>
      </c>
      <c r="F175" t="s">
        <v>427</v>
      </c>
      <c r="G175" t="s">
        <v>59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25">
      <c r="A176" t="s">
        <v>424</v>
      </c>
      <c r="B176">
        <v>7</v>
      </c>
      <c r="C176" t="s">
        <v>436</v>
      </c>
      <c r="D176" t="s">
        <v>398</v>
      </c>
      <c r="E176" t="s">
        <v>427</v>
      </c>
      <c r="F176" t="s">
        <v>427</v>
      </c>
      <c r="G176" t="s">
        <v>59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25">
      <c r="A177" t="s">
        <v>424</v>
      </c>
      <c r="B177">
        <v>8</v>
      </c>
      <c r="C177" t="s">
        <v>437</v>
      </c>
      <c r="D177" t="s">
        <v>405</v>
      </c>
      <c r="E177" t="s">
        <v>427</v>
      </c>
      <c r="F177" t="s">
        <v>427</v>
      </c>
      <c r="G177" t="s">
        <v>59</v>
      </c>
      <c r="H177">
        <v>71171</v>
      </c>
      <c r="I177">
        <v>135.19888888888801</v>
      </c>
      <c r="J177">
        <v>526.41704813484603</v>
      </c>
      <c r="K177">
        <v>499.46664303197599</v>
      </c>
      <c r="L177">
        <v>142.494000335961</v>
      </c>
      <c r="M177">
        <v>7.2951114470727001</v>
      </c>
      <c r="N177">
        <v>1.05395836834922</v>
      </c>
      <c r="P177">
        <v>0</v>
      </c>
      <c r="Q177">
        <v>0</v>
      </c>
      <c r="R177">
        <v>0</v>
      </c>
      <c r="S177">
        <v>0</v>
      </c>
    </row>
    <row r="178" spans="1:19" x14ac:dyDescent="0.25">
      <c r="A178" t="s">
        <v>424</v>
      </c>
      <c r="B178">
        <v>9</v>
      </c>
      <c r="C178" t="s">
        <v>438</v>
      </c>
      <c r="D178" t="s">
        <v>418</v>
      </c>
      <c r="E178" t="s">
        <v>427</v>
      </c>
      <c r="F178" t="s">
        <v>427</v>
      </c>
      <c r="G178" t="s">
        <v>269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25">
      <c r="A179" t="s">
        <v>424</v>
      </c>
      <c r="B179">
        <v>10</v>
      </c>
      <c r="C179" t="s">
        <v>439</v>
      </c>
      <c r="D179" t="s">
        <v>440</v>
      </c>
      <c r="E179" t="s">
        <v>427</v>
      </c>
      <c r="F179" t="s">
        <v>427</v>
      </c>
      <c r="G179" t="s">
        <v>59</v>
      </c>
      <c r="H179">
        <v>131235</v>
      </c>
      <c r="I179">
        <v>932.78833333333296</v>
      </c>
      <c r="J179">
        <v>140.69108211401999</v>
      </c>
      <c r="K179">
        <v>179.95883463324799</v>
      </c>
      <c r="L179">
        <v>729.25011026801701</v>
      </c>
      <c r="M179">
        <v>-203.538223065316</v>
      </c>
      <c r="N179">
        <v>0.781795916831453</v>
      </c>
      <c r="P179">
        <v>0</v>
      </c>
      <c r="Q179">
        <v>0</v>
      </c>
      <c r="R179">
        <v>0</v>
      </c>
      <c r="S179">
        <v>0</v>
      </c>
    </row>
    <row r="180" spans="1:19" x14ac:dyDescent="0.25">
      <c r="A180" t="s">
        <v>441</v>
      </c>
      <c r="B180">
        <v>1</v>
      </c>
      <c r="C180" t="s">
        <v>442</v>
      </c>
      <c r="D180" t="s">
        <v>13</v>
      </c>
      <c r="E180" t="s">
        <v>443</v>
      </c>
      <c r="F180" t="s">
        <v>443</v>
      </c>
      <c r="G180" t="s">
        <v>59</v>
      </c>
      <c r="H180">
        <v>60064</v>
      </c>
      <c r="I180">
        <v>309.354166666666</v>
      </c>
      <c r="J180">
        <v>194.15933732911299</v>
      </c>
      <c r="K180">
        <v>228.07614906168899</v>
      </c>
      <c r="L180">
        <v>263.35064077109598</v>
      </c>
      <c r="M180">
        <v>-46.003525895570498</v>
      </c>
      <c r="N180">
        <v>0.85129172045340495</v>
      </c>
      <c r="P180">
        <v>0</v>
      </c>
      <c r="Q180">
        <v>0</v>
      </c>
      <c r="R180">
        <v>0</v>
      </c>
      <c r="S180">
        <v>0</v>
      </c>
    </row>
    <row r="181" spans="1:19" x14ac:dyDescent="0.25">
      <c r="A181" t="s">
        <v>441</v>
      </c>
      <c r="B181">
        <v>2</v>
      </c>
      <c r="C181" t="s">
        <v>444</v>
      </c>
      <c r="D181" t="s">
        <v>445</v>
      </c>
      <c r="E181" t="s">
        <v>443</v>
      </c>
      <c r="F181" t="s">
        <v>443</v>
      </c>
      <c r="G181" t="s">
        <v>59</v>
      </c>
      <c r="H181">
        <v>71171</v>
      </c>
      <c r="I181">
        <v>486.06861111111101</v>
      </c>
      <c r="J181">
        <v>146.42171572714599</v>
      </c>
      <c r="K181">
        <v>220.06739769938099</v>
      </c>
      <c r="L181">
        <v>323.405469160959</v>
      </c>
      <c r="M181">
        <v>-162.66314195015099</v>
      </c>
      <c r="N181">
        <v>0.66534942139481501</v>
      </c>
      <c r="P181">
        <v>0</v>
      </c>
      <c r="Q181">
        <v>0</v>
      </c>
      <c r="R181">
        <v>0</v>
      </c>
      <c r="S181">
        <v>0</v>
      </c>
    </row>
    <row r="182" spans="1:19" x14ac:dyDescent="0.25">
      <c r="A182" t="s">
        <v>441</v>
      </c>
      <c r="B182">
        <v>3</v>
      </c>
      <c r="C182" t="s">
        <v>446</v>
      </c>
      <c r="D182" t="s">
        <v>319</v>
      </c>
      <c r="E182" t="s">
        <v>443</v>
      </c>
      <c r="F182" t="s">
        <v>443</v>
      </c>
      <c r="G182" t="s">
        <v>59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25">
      <c r="A183" t="s">
        <v>441</v>
      </c>
      <c r="B183">
        <v>4</v>
      </c>
      <c r="C183" t="s">
        <v>447</v>
      </c>
      <c r="D183" t="s">
        <v>405</v>
      </c>
      <c r="E183" t="s">
        <v>443</v>
      </c>
      <c r="F183" t="s">
        <v>443</v>
      </c>
      <c r="G183" t="s">
        <v>59</v>
      </c>
      <c r="H183">
        <v>71171</v>
      </c>
      <c r="I183">
        <v>135.19888888888801</v>
      </c>
      <c r="J183">
        <v>526.41704813484603</v>
      </c>
      <c r="K183">
        <v>499.46664303197599</v>
      </c>
      <c r="L183">
        <v>142.494000335961</v>
      </c>
      <c r="M183">
        <v>7.2951114470727001</v>
      </c>
      <c r="N183">
        <v>1.05395836834922</v>
      </c>
      <c r="P183">
        <v>0</v>
      </c>
      <c r="Q183">
        <v>0</v>
      </c>
      <c r="R183">
        <v>0</v>
      </c>
      <c r="S183">
        <v>0</v>
      </c>
    </row>
    <row r="184" spans="1:19" x14ac:dyDescent="0.25">
      <c r="A184" t="s">
        <v>441</v>
      </c>
      <c r="B184">
        <v>5</v>
      </c>
      <c r="C184" t="s">
        <v>448</v>
      </c>
      <c r="D184" t="s">
        <v>418</v>
      </c>
      <c r="E184" t="s">
        <v>443</v>
      </c>
      <c r="F184" t="s">
        <v>443</v>
      </c>
      <c r="G184" t="s">
        <v>269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25">
      <c r="A185" t="s">
        <v>441</v>
      </c>
      <c r="B185">
        <v>6</v>
      </c>
      <c r="C185" t="s">
        <v>449</v>
      </c>
      <c r="D185" t="s">
        <v>440</v>
      </c>
      <c r="E185" t="s">
        <v>443</v>
      </c>
      <c r="F185" t="s">
        <v>443</v>
      </c>
      <c r="G185" t="s">
        <v>59</v>
      </c>
      <c r="H185">
        <v>131235</v>
      </c>
      <c r="I185">
        <v>930.62166666666599</v>
      </c>
      <c r="J185">
        <v>141.01863807884601</v>
      </c>
      <c r="K185">
        <v>179.95883463324799</v>
      </c>
      <c r="L185">
        <v>729.25011026801701</v>
      </c>
      <c r="M185">
        <v>-201.37155639864901</v>
      </c>
      <c r="N185">
        <v>0.78361608845844999</v>
      </c>
      <c r="P185">
        <v>0</v>
      </c>
      <c r="Q185">
        <v>0</v>
      </c>
      <c r="R185">
        <v>0</v>
      </c>
      <c r="S185">
        <v>0</v>
      </c>
    </row>
    <row r="186" spans="1:19" x14ac:dyDescent="0.25">
      <c r="A186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35</vt:i4>
      </vt:variant>
    </vt:vector>
  </HeadingPairs>
  <TitlesOfParts>
    <vt:vector size="64" baseType="lpstr">
      <vt:lpstr>Report Generator</vt:lpstr>
      <vt:lpstr>1.19</vt:lpstr>
      <vt:lpstr>1.26</vt:lpstr>
      <vt:lpstr>2.2</vt:lpstr>
      <vt:lpstr>2.9</vt:lpstr>
      <vt:lpstr>2.16</vt:lpstr>
      <vt:lpstr>2.23</vt:lpstr>
      <vt:lpstr>3.1</vt:lpstr>
      <vt:lpstr>3.8</vt:lpstr>
      <vt:lpstr>4.26</vt:lpstr>
      <vt:lpstr>5.3</vt:lpstr>
      <vt:lpstr>5.10</vt:lpstr>
      <vt:lpstr>5.17</vt:lpstr>
      <vt:lpstr>5.24</vt:lpstr>
      <vt:lpstr>5.31</vt:lpstr>
      <vt:lpstr>6.7</vt:lpstr>
      <vt:lpstr>7.19</vt:lpstr>
      <vt:lpstr>7.26</vt:lpstr>
      <vt:lpstr>8.30</vt:lpstr>
      <vt:lpstr>9.13</vt:lpstr>
      <vt:lpstr>9.20</vt:lpstr>
      <vt:lpstr>9.27</vt:lpstr>
      <vt:lpstr>ppr1</vt:lpstr>
      <vt:lpstr>ppr2</vt:lpstr>
      <vt:lpstr>ppr3</vt:lpstr>
      <vt:lpstr>ppr4</vt:lpstr>
      <vt:lpstr>ppr5</vt:lpstr>
      <vt:lpstr>ppr6</vt:lpstr>
      <vt:lpstr>ppr7</vt:lpstr>
      <vt:lpstr>'ppr5'!website1</vt:lpstr>
      <vt:lpstr>'ppr5'!website1_1</vt:lpstr>
      <vt:lpstr>'ppr5'!website1_2</vt:lpstr>
      <vt:lpstr>'ppr5'!website1_3</vt:lpstr>
      <vt:lpstr>'ppr5'!website1_4</vt:lpstr>
      <vt:lpstr>'ppr6'!website2</vt:lpstr>
      <vt:lpstr>'ppr6'!website2_1</vt:lpstr>
      <vt:lpstr>'ppr6'!website2_2</vt:lpstr>
      <vt:lpstr>'ppr6'!website2_3</vt:lpstr>
      <vt:lpstr>'ppr6'!website2_4</vt:lpstr>
      <vt:lpstr>'ppr1'!website27</vt:lpstr>
      <vt:lpstr>'ppr1'!website27_1</vt:lpstr>
      <vt:lpstr>'ppr1'!website27_2</vt:lpstr>
      <vt:lpstr>'ppr1'!website27_3</vt:lpstr>
      <vt:lpstr>'ppr1'!website27_4</vt:lpstr>
      <vt:lpstr>'ppr2'!website28</vt:lpstr>
      <vt:lpstr>'ppr2'!website28_1</vt:lpstr>
      <vt:lpstr>'ppr2'!website28_2</vt:lpstr>
      <vt:lpstr>'ppr2'!website28_3</vt:lpstr>
      <vt:lpstr>'ppr2'!website28_4</vt:lpstr>
      <vt:lpstr>'ppr3'!website29</vt:lpstr>
      <vt:lpstr>'ppr3'!website29_1</vt:lpstr>
      <vt:lpstr>'ppr3'!website29_2</vt:lpstr>
      <vt:lpstr>'ppr3'!website29_3</vt:lpstr>
      <vt:lpstr>'ppr3'!website29_4</vt:lpstr>
      <vt:lpstr>'ppr7'!website3</vt:lpstr>
      <vt:lpstr>'ppr7'!website3_1</vt:lpstr>
      <vt:lpstr>'ppr7'!website3_2</vt:lpstr>
      <vt:lpstr>'ppr7'!website3_3</vt:lpstr>
      <vt:lpstr>'ppr7'!website3_4</vt:lpstr>
      <vt:lpstr>'ppr4'!website30</vt:lpstr>
      <vt:lpstr>'ppr4'!website30_1</vt:lpstr>
      <vt:lpstr>'ppr4'!website30_2</vt:lpstr>
      <vt:lpstr>'ppr4'!website30_3</vt:lpstr>
      <vt:lpstr>'ppr4'!website30_4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Hutton, Jenn</dc:creator>
  <cp:lastModifiedBy>Montoya, Geovani</cp:lastModifiedBy>
  <dcterms:created xsi:type="dcterms:W3CDTF">2020-01-23T19:37:59Z</dcterms:created>
  <dcterms:modified xsi:type="dcterms:W3CDTF">2020-10-06T22:24:42Z</dcterms:modified>
</cp:coreProperties>
</file>