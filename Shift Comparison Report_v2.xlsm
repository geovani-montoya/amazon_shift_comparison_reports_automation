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45" windowHeight="360" tabRatio="910"/>
  </bookViews>
  <sheets>
    <sheet name="Report Generator" sheetId="35" r:id="rId1"/>
    <sheet name="1.19" sheetId="1" r:id="rId2"/>
    <sheet name="1.26" sheetId="3" r:id="rId3"/>
    <sheet name="2.2" sheetId="6" r:id="rId4"/>
    <sheet name="2.9" sheetId="7" r:id="rId5"/>
    <sheet name="2.16" sheetId="9" r:id="rId6"/>
    <sheet name="2.23" sheetId="10" r:id="rId7"/>
    <sheet name="3.1" sheetId="11" r:id="rId8"/>
    <sheet name="3.8" sheetId="12" r:id="rId9"/>
    <sheet name="4.26" sheetId="14" r:id="rId10"/>
    <sheet name="5.3" sheetId="15" r:id="rId11"/>
    <sheet name="5.10" sheetId="17" r:id="rId12"/>
    <sheet name="5.17" sheetId="18" r:id="rId13"/>
    <sheet name="5.24" sheetId="19" r:id="rId14"/>
    <sheet name="5.31" sheetId="20" r:id="rId15"/>
    <sheet name="6.7" sheetId="21" r:id="rId16"/>
    <sheet name="7.19" sheetId="22" r:id="rId17"/>
    <sheet name="7.26" sheetId="24" r:id="rId18"/>
    <sheet name="8.30" sheetId="27" r:id="rId19"/>
    <sheet name="9.13" sheetId="41" r:id="rId20"/>
    <sheet name="9.20" sheetId="43" r:id="rId21"/>
    <sheet name="9.27" sheetId="44" r:id="rId22"/>
    <sheet name="ppr1" sheetId="88" r:id="rId23"/>
    <sheet name="ppr2" sheetId="89" r:id="rId24"/>
    <sheet name="ppr3" sheetId="90" r:id="rId25"/>
    <sheet name="ppr4" sheetId="91" r:id="rId26"/>
    <sheet name="ppr5" sheetId="92" r:id="rId27"/>
    <sheet name="ppr6" sheetId="93" r:id="rId28"/>
    <sheet name="ppr7" sheetId="94" r:id="rId29"/>
  </sheets>
  <functionGroups builtInGroupCount="18"/>
  <definedNames>
    <definedName name="website1" localSheetId="26">'ppr5'!$A$1:$A$186</definedName>
    <definedName name="website1_1" localSheetId="26">'ppr5'!$A$1:$A$186</definedName>
    <definedName name="website1_10" localSheetId="26">'ppr5'!$A$1:$A$18</definedName>
    <definedName name="website1_11" localSheetId="26">'ppr5'!$A$1:$A$18</definedName>
    <definedName name="website1_12" localSheetId="26">'ppr5'!$A$1:$A$186</definedName>
    <definedName name="website1_13" localSheetId="26">'ppr5'!$A$1:$A$186</definedName>
    <definedName name="website1_14" localSheetId="26">'ppr5'!$A$1:$A$186</definedName>
    <definedName name="website1_2" localSheetId="26">'ppr5'!$A$1:$A$186</definedName>
    <definedName name="website1_3" localSheetId="26">'ppr5'!$A$1:$A$186</definedName>
    <definedName name="website1_4" localSheetId="26">'ppr5'!$A$1:$A$186</definedName>
    <definedName name="website1_5" localSheetId="26">'ppr5'!$A$1:$A$186</definedName>
    <definedName name="website1_6" localSheetId="26">'ppr5'!$A$1:$A$186</definedName>
    <definedName name="website1_7" localSheetId="26">'ppr5'!$A$1:$A$186</definedName>
    <definedName name="website1_8" localSheetId="26">'ppr5'!$A$1:$A$186</definedName>
    <definedName name="website1_9" localSheetId="26">'ppr5'!$A$1:$A$186</definedName>
    <definedName name="website2" localSheetId="27">'ppr6'!$A$1:$A$186</definedName>
    <definedName name="website2_1" localSheetId="27">'ppr6'!$A$1:$A$186</definedName>
    <definedName name="website2_10" localSheetId="27">'ppr6'!$A$1:$A$18</definedName>
    <definedName name="website2_11" localSheetId="27">'ppr6'!$A$1:$A$18</definedName>
    <definedName name="website2_12" localSheetId="27">'ppr6'!$A$1:$A$186</definedName>
    <definedName name="website2_13" localSheetId="27">'ppr6'!$A$1:$A$186</definedName>
    <definedName name="website2_14" localSheetId="27">'ppr6'!$A$1:$A$186</definedName>
    <definedName name="website2_2" localSheetId="27">'ppr6'!$A$1:$A$186</definedName>
    <definedName name="website2_3" localSheetId="27">'ppr6'!$A$1:$A$186</definedName>
    <definedName name="website2_4" localSheetId="27">'ppr6'!$A$1:$A$186</definedName>
    <definedName name="website2_5" localSheetId="27">'ppr6'!$A$1:$A$186</definedName>
    <definedName name="website2_6" localSheetId="27">'ppr6'!$A$1:$A$186</definedName>
    <definedName name="website2_7" localSheetId="27">'ppr6'!$A$1:$A$186</definedName>
    <definedName name="website2_8" localSheetId="27">'ppr6'!$A$1:$A$186</definedName>
    <definedName name="website2_9" localSheetId="27">'ppr6'!$A$1:$A$186</definedName>
    <definedName name="website27" localSheetId="22">'ppr1'!$A$1:$A$186</definedName>
    <definedName name="website27_1" localSheetId="22">'ppr1'!$A$1:$A$186</definedName>
    <definedName name="website27_10" localSheetId="22">'ppr1'!$A$1:$A$18</definedName>
    <definedName name="website27_11" localSheetId="22">'ppr1'!$A$1:$A$18</definedName>
    <definedName name="website27_12" localSheetId="22">'ppr1'!$A$1:$A$186</definedName>
    <definedName name="website27_13" localSheetId="22">'ppr1'!$A$1:$A$186</definedName>
    <definedName name="website27_14" localSheetId="22">'ppr1'!$A$1:$A$186</definedName>
    <definedName name="website27_2" localSheetId="22">'ppr1'!$A$1:$A$186</definedName>
    <definedName name="website27_3" localSheetId="22">'ppr1'!$A$1:$A$186</definedName>
    <definedName name="website27_4" localSheetId="22">'ppr1'!$A$1:$A$186</definedName>
    <definedName name="website27_5" localSheetId="22">'ppr1'!$A$1:$A$186</definedName>
    <definedName name="website27_6" localSheetId="22">'ppr1'!$A$1:$A$186</definedName>
    <definedName name="website27_7" localSheetId="22">'ppr1'!$A$1:$A$186</definedName>
    <definedName name="website27_8" localSheetId="22">'ppr1'!$A$1:$A$186</definedName>
    <definedName name="website27_9" localSheetId="22">'ppr1'!$A$1:$A$186</definedName>
    <definedName name="website28" localSheetId="23">'ppr2'!$A$1:$A$186</definedName>
    <definedName name="website28_1" localSheetId="23">'ppr2'!$A$1:$A$186</definedName>
    <definedName name="website28_10" localSheetId="23">'ppr2'!$A$1:$A$18</definedName>
    <definedName name="website28_11" localSheetId="23">'ppr2'!$A$1:$A$18</definedName>
    <definedName name="website28_12" localSheetId="23">'ppr2'!$A$1:$A$186</definedName>
    <definedName name="website28_13" localSheetId="23">'ppr2'!$A$1:$A$186</definedName>
    <definedName name="website28_14" localSheetId="23">'ppr2'!$A$1:$A$186</definedName>
    <definedName name="website28_2" localSheetId="23">'ppr2'!$A$1:$A$186</definedName>
    <definedName name="website28_3" localSheetId="23">'ppr2'!$A$1:$A$186</definedName>
    <definedName name="website28_4" localSheetId="23">'ppr2'!$A$1:$A$186</definedName>
    <definedName name="website28_5" localSheetId="23">'ppr2'!$A$1:$A$186</definedName>
    <definedName name="website28_6" localSheetId="23">'ppr2'!$A$1:$A$186</definedName>
    <definedName name="website28_7" localSheetId="23">'ppr2'!$A$1:$A$186</definedName>
    <definedName name="website28_8" localSheetId="23">'ppr2'!$A$1:$A$186</definedName>
    <definedName name="website28_9" localSheetId="23">'ppr2'!$A$1:$A$186</definedName>
    <definedName name="website29" localSheetId="24">'ppr3'!$A$1:$A$186</definedName>
    <definedName name="website29_1" localSheetId="24">'ppr3'!$A$1:$A$186</definedName>
    <definedName name="website29_10" localSheetId="24">'ppr3'!$A$1:$A$18</definedName>
    <definedName name="website29_11" localSheetId="24">'ppr3'!$A$1:$A$18</definedName>
    <definedName name="website29_12" localSheetId="24">'ppr3'!$A$1:$A$186</definedName>
    <definedName name="website29_13" localSheetId="24">'ppr3'!$A$1:$A$186</definedName>
    <definedName name="website29_14" localSheetId="24">'ppr3'!$A$1:$A$186</definedName>
    <definedName name="website29_2" localSheetId="24">'ppr3'!$A$1:$A$186</definedName>
    <definedName name="website29_3" localSheetId="24">'ppr3'!$A$1:$A$186</definedName>
    <definedName name="website29_4" localSheetId="24">'ppr3'!$A$1:$A$186</definedName>
    <definedName name="website29_5" localSheetId="24">'ppr3'!$A$1:$A$186</definedName>
    <definedName name="website29_6" localSheetId="24">'ppr3'!$A$1:$A$186</definedName>
    <definedName name="website29_7" localSheetId="24">'ppr3'!$A$1:$A$186</definedName>
    <definedName name="website29_8" localSheetId="24">'ppr3'!$A$1:$A$186</definedName>
    <definedName name="website29_9" localSheetId="24">'ppr3'!$A$1:$A$186</definedName>
    <definedName name="website3" localSheetId="28">'ppr7'!$A$1:$A$186</definedName>
    <definedName name="website3_1" localSheetId="28">'ppr7'!$A$1:$A$186</definedName>
    <definedName name="website3_10" localSheetId="28">'ppr7'!$A$1:$A$18</definedName>
    <definedName name="website3_11" localSheetId="28">'ppr7'!$A$1:$A$18</definedName>
    <definedName name="website3_12" localSheetId="28">'ppr7'!$A$1:$A$186</definedName>
    <definedName name="website3_13" localSheetId="28">'ppr7'!$A$1:$A$186</definedName>
    <definedName name="website3_14" localSheetId="28">'ppr7'!$A$1:$A$186</definedName>
    <definedName name="website3_2" localSheetId="28">'ppr7'!$A$1:$A$186</definedName>
    <definedName name="website3_3" localSheetId="28">'ppr7'!$A$1:$A$186</definedName>
    <definedName name="website3_4" localSheetId="28">'ppr7'!$A$1:$A$186</definedName>
    <definedName name="website3_5" localSheetId="28">'ppr7'!$A$1:$A$186</definedName>
    <definedName name="website3_6" localSheetId="28">'ppr7'!$A$1:$A$186</definedName>
    <definedName name="website3_7" localSheetId="28">'ppr7'!$A$1:$A$186</definedName>
    <definedName name="website3_8" localSheetId="28">'ppr7'!$A$1:$A$186</definedName>
    <definedName name="website3_9" localSheetId="28">'ppr7'!$A$1:$A$186</definedName>
    <definedName name="website30" localSheetId="25">'ppr4'!$A$1:$A$186</definedName>
    <definedName name="website30_1" localSheetId="25">'ppr4'!$A$1:$A$186</definedName>
    <definedName name="website30_10" localSheetId="25">'ppr4'!$A$1:$A$18</definedName>
    <definedName name="website30_11" localSheetId="25">'ppr4'!$A$1:$A$18</definedName>
    <definedName name="website30_12" localSheetId="25">'ppr4'!$A$1:$A$186</definedName>
    <definedName name="website30_13" localSheetId="25">'ppr4'!$A$1:$A$186</definedName>
    <definedName name="website30_14" localSheetId="25">'ppr4'!$A$1:$A$186</definedName>
    <definedName name="website30_2" localSheetId="25">'ppr4'!$A$1:$A$186</definedName>
    <definedName name="website30_3" localSheetId="25">'ppr4'!$A$1:$A$186</definedName>
    <definedName name="website30_4" localSheetId="25">'ppr4'!$A$1:$A$186</definedName>
    <definedName name="website30_5" localSheetId="25">'ppr4'!$A$1:$A$186</definedName>
    <definedName name="website30_6" localSheetId="25">'ppr4'!$A$1:$A$186</definedName>
    <definedName name="website30_7" localSheetId="25">'ppr4'!$A$1:$A$186</definedName>
    <definedName name="website30_8" localSheetId="25">'ppr4'!$A$1:$A$186</definedName>
    <definedName name="website30_9" localSheetId="25">'ppr4'!$A$1:$A$186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35" l="1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40" i="35" l="1"/>
  <c r="A39" i="35"/>
  <c r="A38" i="35"/>
  <c r="A37" i="35"/>
  <c r="A36" i="35"/>
  <c r="A35" i="35"/>
  <c r="A34" i="35"/>
  <c r="A14" i="35"/>
  <c r="A15" i="35" s="1"/>
  <c r="A16" i="35" s="1"/>
  <c r="A17" i="35" s="1"/>
  <c r="A18" i="35" s="1"/>
  <c r="A19" i="35" s="1"/>
  <c r="A20" i="35" s="1"/>
  <c r="P44" i="44" l="1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P12" i="35" l="1"/>
  <c r="C12" i="35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F12" i="35"/>
  <c r="O12" i="35"/>
  <c r="N12" i="35"/>
  <c r="K12" i="35"/>
  <c r="K31" i="35"/>
  <c r="K32" i="35" s="1"/>
  <c r="H12" i="35"/>
  <c r="E12" i="35"/>
  <c r="D12" i="35"/>
  <c r="B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" name="Connection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" name="Connection10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" name="Connection100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" name="Connection10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" name="Connection102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" name="Connection103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" name="Connection104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" name="Connection11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" name="Connection12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" name="Connection13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" name="Connection14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" name="Connection1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" name="Connection16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" name="Connection1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" name="Connection18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" name="Connection19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" name="Connection2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" name="Connection20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" name="Connection2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" name="Connection22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2" name="Connection2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" name="Connection24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4" name="Connection25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" name="Connection26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" name="Connection27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" name="Connection28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" name="Connection2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9" name="Connection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" name="Connection30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1" name="Connection3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2" name="Connection32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3" name="Connection33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" name="Connection34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5" name="Connection3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6" name="Connection36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" name="Connection3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" name="Connection38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9" name="Connection39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0" name="Connection4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1" name="Connection40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2" name="Connection41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3" name="Connection42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4" name="Connection43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5" name="Connection44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6" name="Connection45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" name="Connection46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8" name="Connection47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9" name="Connection48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0" name="Connection4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" name="Connection5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" name="Connection50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" name="Connection5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4" name="Connection52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5" name="Connection53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6" name="Connection54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7" name="Connection55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8" name="Connection56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9" name="Connection5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0" name="Connection58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1" name="Connection5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2" name="Connection6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3" name="Connection60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4" name="Connection61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5" name="Connection62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6" name="Connection6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7" name="Connection64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8" name="Connection6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9" name="Connection66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0" name="Connection67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1" name="Connection68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2" name="Connection69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3" name="Connection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4" name="Connection7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5" name="Connection7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6" name="Connection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7" name="Connection7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8" name="Connection7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9" name="Connection7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0" name="Connection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1" name="Connection7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2" name="Connection7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3" name="Connection7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4" name="Connection8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5" name="Connection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6" name="Connection8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7" name="Connection8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8" name="Connection8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9" name="Connection84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0" name="Connection8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1" name="Connection86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2" name="Connection8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3" name="Connection88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4" name="Connection89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5" name="Connection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6" name="Connection90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7" name="Connection9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8" name="Connection92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9" name="Connection9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0" name="Connection94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1" name="Connection95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2" name="Connection96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3" name="Connection97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4" name="Connection98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5" name="Connection9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<sst xmlns="http://schemas.openxmlformats.org/spreadsheetml/2006/main" count="8426" uniqueCount="452">
  <si>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</si>
  <si>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</si>
  <si>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</si>
  <si>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</si>
  <si>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</si>
  <si>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</si>
  <si>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</si>
  <si>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</si>
  <si>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</si>
  <si>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</si>
  <si>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</si>
  <si>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</si>
  <si>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</si>
  <si>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</si>
  <si>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</si>
  <si>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</si>
  <si>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</si>
  <si>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</si>
  <si>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</si>
  <si>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</si>
  <si>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</si>
  <si>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</si>
  <si>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</si>
  <si>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</si>
  <si>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</si>
  <si>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</si>
  <si>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</si>
  <si>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</si>
  <si>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</si>
  <si>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</si>
  <si>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OR/AND</t>
  </si>
  <si>
    <t>KRB1</t>
  </si>
  <si>
    <t>Building</t>
  </si>
  <si>
    <t xml:space="preserve"> 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</si>
  <si>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</si>
  <si>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</si>
  <si>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</si>
  <si>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</si>
  <si>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</si>
  <si>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</si>
  <si>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</si>
  <si>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</si>
  <si>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</si>
  <si>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</si>
  <si>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</si>
  <si>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</si>
  <si>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</si>
  <si>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</si>
  <si>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</si>
  <si>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</si>
  <si>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</si>
  <si>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</si>
  <si>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</si>
  <si>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</si>
  <si>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</si>
  <si>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</si>
  <si>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</si>
  <si>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</si>
  <si>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</si>
  <si>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</si>
  <si>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</si>
  <si>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</si>
  <si>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</si>
  <si>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</si>
  <si>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</si>
  <si>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</si>
  <si>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</si>
  <si>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</si>
  <si>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</si>
  <si>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</si>
  <si>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</si>
  <si>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</si>
  <si>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</si>
  <si>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</si>
  <si>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</si>
  <si>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</si>
  <si>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</si>
  <si>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</si>
  <si>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</si>
  <si>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</si>
  <si>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</si>
  <si>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</si>
  <si>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</si>
  <si>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</si>
  <si>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</si>
  <si>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</si>
  <si>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</si>
  <si>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</si>
  <si>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</si>
  <si>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</si>
  <si>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</si>
  <si>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</si>
  <si>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</si>
  <si>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</si>
  <si>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</si>
  <si>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</si>
  <si>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</si>
  <si>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</si>
  <si>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</si>
  <si>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</si>
  <si>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</si>
  <si>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</si>
  <si>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</si>
  <si>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</si>
  <si>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</si>
  <si>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</si>
  <si>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</si>
  <si>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</si>
  <si>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</si>
  <si>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</si>
  <si>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</si>
  <si>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</si>
  <si>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</si>
  <si>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</si>
  <si>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</si>
  <si>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</si>
  <si>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</si>
  <si>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</si>
  <si>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</si>
  <si>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</si>
  <si>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</si>
  <si>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</si>
  <si>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</si>
  <si>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</si>
  <si>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</si>
  <si>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</si>
  <si>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</si>
  <si>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</si>
  <si>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</si>
  <si>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</si>
  <si>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</si>
  <si>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</si>
  <si>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</si>
  <si>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</si>
  <si>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</si>
  <si>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</si>
  <si>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</si>
  <si>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</si>
  <si>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</si>
  <si>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</si>
  <si>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</si>
  <si>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</si>
  <si>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</si>
  <si>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</si>
  <si>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</si>
  <si>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</si>
  <si>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</si>
  <si>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</si>
  <si>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</si>
  <si>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</si>
  <si>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</si>
  <si>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</si>
  <si>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</si>
  <si>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</si>
  <si>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</si>
  <si>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</si>
  <si>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</si>
  <si>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</si>
  <si>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</si>
  <si>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</si>
  <si>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</si>
  <si>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</si>
  <si>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</si>
  <si>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</si>
  <si>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</si>
  <si>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</si>
  <si>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</si>
  <si>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</si>
  <si>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</si>
  <si>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</si>
  <si>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</si>
  <si>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</si>
  <si>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</si>
  <si>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</si>
  <si>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</si>
  <si>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</si>
  <si>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</si>
  <si>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</si>
  <si>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</si>
  <si>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</si>
  <si>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</si>
  <si>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</si>
  <si>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</si>
  <si>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</si>
  <si>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</si>
  <si>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</si>
  <si>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</si>
  <si>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</si>
  <si>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</si>
  <si>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</si>
  <si>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</si>
  <si>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</si>
  <si>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</si>
  <si>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</si>
  <si>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</si>
  <si>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</si>
  <si>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</si>
  <si>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</si>
  <si>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</si>
  <si>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</si>
  <si>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</si>
  <si>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</si>
  <si>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</si>
  <si>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</si>
  <si>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</si>
  <si>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</si>
  <si>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</si>
  <si>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</si>
  <si>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</si>
  <si>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</si>
  <si>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</si>
  <si>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</si>
  <si>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</si>
  <si>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</si>
  <si>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</si>
  <si>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</si>
  <si>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</si>
  <si>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</si>
  <si>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</si>
  <si>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</si>
  <si>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</si>
  <si>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</si>
  <si>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</si>
  <si>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</si>
  <si>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</si>
  <si>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</si>
  <si>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</si>
  <si>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</si>
  <si>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</si>
  <si>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</si>
  <si>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</si>
  <si>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</si>
  <si>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</si>
  <si>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</si>
  <si>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</si>
  <si>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</si>
  <si>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</si>
  <si>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</si>
  <si>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</si>
  <si>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</si>
  <si>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</si>
  <si>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</si>
  <si>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</si>
  <si>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</si>
  <si>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</si>
  <si>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</si>
  <si>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</si>
  <si>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</si>
  <si>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</si>
  <si>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</si>
  <si>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</si>
  <si>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</si>
  <si>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</si>
  <si>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</si>
  <si>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</si>
  <si>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</si>
  <si>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</si>
  <si>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</si>
  <si>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</si>
  <si>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</si>
  <si>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</si>
  <si>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</si>
  <si>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</si>
  <si>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</si>
  <si>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</si>
  <si>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</si>
  <si>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</si>
  <si>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</si>
  <si>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</si>
  <si>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</si>
  <si>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</si>
  <si>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</si>
  <si>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</si>
  <si>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</si>
  <si>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</si>
  <si>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</si>
  <si>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</si>
  <si>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</si>
  <si>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</si>
  <si>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</si>
  <si>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</si>
  <si>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</si>
  <si>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</si>
  <si>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</si>
  <si>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</si>
  <si>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</si>
  <si>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</si>
  <si>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</si>
  <si>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</si>
  <si>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</si>
  <si>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</si>
  <si>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</si>
  <si>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</si>
  <si>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</si>
  <si>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</si>
  <si>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</si>
  <si>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</si>
  <si>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</si>
  <si>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</si>
  <si>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</si>
  <si>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</si>
  <si>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</si>
  <si>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</si>
  <si>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</si>
  <si>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</si>
  <si>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</si>
  <si>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</si>
  <si>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</si>
  <si>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</si>
  <si>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</si>
  <si>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</si>
  <si>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</si>
  <si>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</si>
  <si>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</si>
  <si>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</si>
  <si>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</si>
  <si>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</si>
  <si>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</si>
  <si>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</si>
  <si>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</si>
  <si>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</si>
  <si>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</si>
  <si>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</si>
  <si>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</si>
  <si>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</si>
  <si>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</si>
  <si>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</si>
  <si>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</si>
  <si>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</si>
  <si>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</si>
  <si>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</si>
  <si>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</si>
  <si>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</si>
  <si>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</si>
  <si>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</si>
  <si>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</si>
  <si>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</si>
  <si>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</si>
  <si>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</si>
  <si>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</si>
  <si>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</si>
  <si>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</si>
  <si>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</si>
  <si>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</si>
  <si>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</si>
  <si>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</si>
  <si>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</si>
  <si>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</si>
  <si>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</si>
  <si>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</si>
  <si>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</si>
  <si>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</si>
  <si>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</si>
  <si>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</si>
  <si>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</si>
  <si>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</si>
  <si>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</si>
  <si>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</si>
  <si>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</si>
  <si>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</si>
  <si>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</si>
  <si>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</si>
  <si>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</si>
  <si>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</si>
  <si>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</si>
  <si>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</si>
  <si>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</si>
  <si>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</si>
  <si>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</si>
  <si>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</si>
  <si>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</si>
  <si>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</si>
  <si>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</si>
  <si>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</si>
  <si>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</si>
  <si>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</si>
  <si>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</si>
  <si>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</si>
  <si>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</si>
  <si>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</si>
  <si>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</si>
  <si>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</si>
  <si>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</si>
  <si>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</si>
  <si>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</si>
  <si>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</si>
  <si>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</si>
  <si>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</si>
  <si>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</si>
  <si>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</si>
  <si>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</si>
  <si>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</si>
  <si>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</si>
  <si>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</si>
  <si>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</si>
  <si>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</si>
  <si>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</si>
  <si>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</si>
  <si>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</si>
  <si>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</si>
  <si>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</si>
  <si>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</si>
  <si>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</si>
  <si>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</si>
  <si>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</si>
  <si>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</si>
  <si>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</si>
  <si>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</si>
  <si>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</si>
  <si>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</si>
  <si>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</si>
  <si>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</si>
  <si>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</si>
  <si>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</si>
  <si>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</si>
  <si>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</si>
  <si>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</si>
  <si>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</si>
  <si>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</si>
  <si>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</si>
  <si>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</si>
  <si>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</si>
  <si>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</si>
  <si>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</si>
  <si>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</si>
  <si>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</si>
  <si>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</si>
  <si>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</si>
  <si>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</si>
  <si>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</si>
  <si>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</si>
  <si>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</si>
  <si>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</si>
  <si>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</si>
  <si>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</si>
  <si>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</si>
  <si>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</si>
  <si>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</si>
  <si>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</si>
  <si>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</si>
  <si>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</si>
  <si>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</si>
  <si>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</si>
  <si>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</si>
  <si>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</si>
  <si>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</si>
  <si>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</si>
  <si>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</si>
  <si>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</si>
  <si>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</si>
  <si>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Inputs</t>
  </si>
  <si>
    <t>Start date for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</si>
</sst>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m/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167" fontId="0" fillId="17" borderId="1" xfId="3" applyNumberFormat="1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0" fontId="0" fillId="12" borderId="0" xfId="3" applyFont="1" applyFill="1" applyBorder="1" applyAlignment="1">
      <alignment horizontal="right"/>
    </xf>
    <xf numFmtId="166" fontId="0" fillId="12" borderId="0" xfId="3" applyNumberFormat="1" applyFont="1" applyFill="1" applyBorder="1" applyAlignment="1">
      <alignment horizontal="right"/>
    </xf>
    <xf numFmtId="0" fontId="0" fillId="12" borderId="0" xfId="3" applyFont="1" applyFill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9" fillId="12" borderId="0" xfId="4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8B31C"/>
      <color rgb="FFC68606"/>
      <color rgb="FF66CCFF"/>
      <color rgb="FF33CC33"/>
      <color rgb="FFFF4747"/>
      <color rgb="FFFFE593"/>
      <color rgb="FFBDE7BB"/>
      <color rgb="FF96B3E2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566395</xdr:colOff>
      <xdr:row>2</xdr:row>
      <xdr:rowOff>117363</xdr:rowOff>
    </xdr:from>
    <xdr:to>
      <xdr:col>21</xdr:col>
      <xdr:colOff>267040</xdr:colOff>
      <xdr:row>5</xdr:row>
      <xdr:rowOff>136072</xdr:rowOff>
    </xdr:to>
    <xdr:sp macro="[0]!openWebsites" textlink="">
      <xdr:nvSpPr>
        <xdr:cNvPr id="11" name="Rectangle 10"/>
        <xdr:cNvSpPr/>
      </xdr:nvSpPr>
      <xdr:spPr>
        <a:xfrm>
          <a:off x="13792538" y="498363"/>
          <a:ext cx="2381252" cy="60381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776356"/>
          <a:ext cx="260237" cy="1520598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583406</xdr:colOff>
      <xdr:row>2</xdr:row>
      <xdr:rowOff>166688</xdr:rowOff>
    </xdr:from>
    <xdr:to>
      <xdr:col>15</xdr:col>
      <xdr:colOff>440531</xdr:colOff>
      <xdr:row>5</xdr:row>
      <xdr:rowOff>11907</xdr:rowOff>
    </xdr:to>
    <xdr:sp macro="[0]!restart_report" textlink="">
      <xdr:nvSpPr>
        <xdr:cNvPr id="25" name="Rectangle 24"/>
        <xdr:cNvSpPr/>
      </xdr:nvSpPr>
      <xdr:spPr>
        <a:xfrm>
          <a:off x="10048875" y="547688"/>
          <a:ext cx="2452687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4) Click to Reset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11</xdr:col>
      <xdr:colOff>583407</xdr:colOff>
      <xdr:row>0</xdr:row>
      <xdr:rowOff>45244</xdr:rowOff>
    </xdr:from>
    <xdr:to>
      <xdr:col>15</xdr:col>
      <xdr:colOff>438151</xdr:colOff>
      <xdr:row>2</xdr:row>
      <xdr:rowOff>80963</xdr:rowOff>
    </xdr:to>
    <xdr:sp macro="[0]!copy_report.copy_report" textlink="">
      <xdr:nvSpPr>
        <xdr:cNvPr id="26" name="Rectangle 25"/>
        <xdr:cNvSpPr/>
      </xdr:nvSpPr>
      <xdr:spPr>
        <a:xfrm>
          <a:off x="10048876" y="45244"/>
          <a:ext cx="2450306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3) Copy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 to New Sheet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1440656</xdr:colOff>
      <xdr:row>13</xdr:row>
      <xdr:rowOff>1</xdr:rowOff>
    </xdr:from>
    <xdr:to>
      <xdr:col>1</xdr:col>
      <xdr:colOff>-1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6" y="2598965"/>
          <a:ext cx="260236" cy="1483180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63845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142875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3</xdr:row>
          <xdr:rowOff>9525</xdr:rowOff>
        </xdr:from>
        <xdr:to>
          <xdr:col>5</xdr:col>
          <xdr:colOff>171450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1695449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4793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1692274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website27_14" growShrinkType="overwriteClear" connectionId="10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7_13" growShrinkType="overwriteClear" connectionId="9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7_12" growShrinkType="overwriteClear" connectionId="8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7_11" growShrinkType="overwriteClear" connectionId="8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7_10" growShrinkType="overwriteClear" connectionId="7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7_9" growShrinkType="overwriteClear" connectionId="6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7_8" growShrinkType="overwriteClear" connectionId="5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7_3" growShrinkType="overwriteClear" connectionId="2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7_2" growShrinkType="overwriteClear" connectionId="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27_1" growShrinkType="overwriteClear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27_7" growShrinkType="overwriteClear" connectionId="5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27_6" growShrinkType="overwriteClear" connectionId="4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7_5" growShrinkType="overwriteClear" connectionId="3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27_4" growShrinkType="overwriteClear" connectionId="2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28_14" growShrinkType="overwriteClear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28_13" growShrinkType="overwriteClear" connectionId="9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28_12" growShrinkType="overwriteClear" connectionId="9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28_11" growShrinkType="overwriteClear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28_10" growShrinkType="overwriteClear" connectionId="7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28_9" growShrinkType="overwriteClear" connectionId="6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28_8" growShrinkType="overwriteClear" connectionId="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28_7" growShrinkType="overwriteClear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28_6" growShrinkType="overwriteClear" connectionId="4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28" growShrinkType="overwriteClear" connectionId="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28_5" growShrinkType="overwriteClear" connectionId="3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28_4" growShrinkType="overwriteClear" connectionId="2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28_3" growShrinkType="overwriteClear" connectionId="2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28_2" growShrinkType="overwriteClear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28_1" growShrinkType="overwriteClear" connectionId="8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29_14" growShrinkType="overwriteClear" connectionId="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29_13" growShrinkType="overwriteClear" connectionId="9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29_12" growShrinkType="overwriteClear" connectionId="9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29_11" growShrinkType="overwriteClear" connectionId="8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29_10" growShrinkType="overwriteClear" connectionId="7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29_9" growShrinkType="overwriteClear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29_8" growShrinkType="overwriteClear" connectionId="6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29_5" growShrinkType="overwriteClear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29_4" growShrinkType="overwriteClear" connectionId="3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29_3" growShrinkType="overwriteClear" connectionId="2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29_2" growShrinkType="overwriteClear" connectionId="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29_1" growShrinkType="overwriteClear" connectionId="9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29_7" growShrinkType="overwriteClear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29_6" growShrinkType="overwriteClear" connectionId="4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29" growShrinkType="overwriteClear" connectionId="1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30_14" growShrinkType="overwriteClear" connectionId="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30_13" growShrinkType="overwriteClear" connectionId="10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30_12" growShrinkType="overwriteClear" connectionId="9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30_11" growShrinkType="overwriteClear" connectionId="8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30_10" growShrinkType="overwriteClear" connectionId="7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30_9" growShrinkType="overwriteClear" connectionId="6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30_8" growShrinkType="overwriteClear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30_2" growShrinkType="overwriteClear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30_1" growShrinkType="overwriteClear" connectionId="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30_7" growShrinkType="overwriteClear" connectionId="5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30_6" growShrinkType="overwriteClear" connectionId="4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30" growShrinkType="overwriteClear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30_5" growShrinkType="overwriteClear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30_4" growShrinkType="overwriteClear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30_3" growShrinkType="overwriteClear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1_14" growShrinkType="overwriteClear" connectionId="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1_13" growShrinkType="overwriteClear" connectionId="10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1_12" growShrinkType="overwriteClear" connectionId="9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1_11" growShrinkType="overwriteClear" connectionId="8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1_10" growShrinkType="overwriteClear" connectionId="7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1_9" growShrinkType="overwriteClear" connectionId="7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1_8" growShrinkType="overwriteClear" connectionId="6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1_6" growShrinkType="overwriteClear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1" growShrinkType="overwriteClear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1_5" growShrinkType="overwriteClear" connectionId="3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1_4" growShrinkType="overwriteClear" connectionId="3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1_3" growShrinkType="overwriteClear" connectionId="2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1_2" growShrinkType="overwriteClear" connectionId="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1_1" growShrinkType="overwriteClear" connectionId="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1_7" growShrinkType="overwriteClear" connectionId="5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2_14" growShrinkType="overwriteClear" connectionId="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2_13" growShrinkType="overwriteClear" connectionId="10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2_12" growShrinkType="overwriteClear" connectionId="9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2_11" growShrinkType="overwriteClear" connectionId="8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2_10" growShrinkType="overwriteClear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2_9" growShrinkType="overwriteClear" connectionId="7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2_8" growShrinkType="overwriteClear" connectionId="6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2_4" growShrinkType="overwriteClear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2_3" growShrinkType="overwriteClear" connectionId="2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2_2" growShrinkType="overwriteClear" connectionId="1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2_1" growShrinkType="overwriteClear" connectionId="1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2_7" growShrinkType="overwriteClear" connectionId="5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2_6" growShrinkType="overwriteClear" connectionId="4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2" growShrinkType="overwriteClear" connectionId="5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2_5" growShrinkType="overwriteClear" connectionId="4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3_14" growShrinkType="overwriteClear" connectionId="8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3_13" growShrinkType="overwriteClear" connectionId="10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3_12" growShrinkType="overwriteClear" connectionId="9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3_11" growShrinkType="overwriteClear" connectionId="8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3_10" growShrinkType="overwriteClear" connectionId="8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3_9" growShrinkType="overwriteClear" connectionId="7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3_8" growShrinkType="overwriteClear" connectionId="6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3_1" growShrinkType="overwriteClear" connectionId="1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3_7" growShrinkType="overwriteClear" connectionId="5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3_6" growShrinkType="overwriteClear" connectionId="4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3" growShrinkType="overwriteClear" connectionId="6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3_5" growShrinkType="overwriteClear" connectionId="4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3_4" growShrinkType="overwriteClear" connectionId="3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3_3" growShrinkType="overwriteClear" connectionId="2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3_2" growShrinkType="overwriteClear" connectionId="1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3.xml"/><Relationship Id="rId13" Type="http://schemas.openxmlformats.org/officeDocument/2006/relationships/queryTable" Target="../queryTables/queryTable28.xml"/><Relationship Id="rId3" Type="http://schemas.openxmlformats.org/officeDocument/2006/relationships/queryTable" Target="../queryTables/queryTable18.xml"/><Relationship Id="rId7" Type="http://schemas.openxmlformats.org/officeDocument/2006/relationships/queryTable" Target="../queryTables/queryTable22.xml"/><Relationship Id="rId12" Type="http://schemas.openxmlformats.org/officeDocument/2006/relationships/queryTable" Target="../queryTables/queryTable27.xml"/><Relationship Id="rId2" Type="http://schemas.openxmlformats.org/officeDocument/2006/relationships/queryTable" Target="../queryTables/queryTable17.xml"/><Relationship Id="rId1" Type="http://schemas.openxmlformats.org/officeDocument/2006/relationships/queryTable" Target="../queryTables/queryTable16.xml"/><Relationship Id="rId6" Type="http://schemas.openxmlformats.org/officeDocument/2006/relationships/queryTable" Target="../queryTables/queryTable21.xml"/><Relationship Id="rId11" Type="http://schemas.openxmlformats.org/officeDocument/2006/relationships/queryTable" Target="../queryTables/queryTable26.xml"/><Relationship Id="rId5" Type="http://schemas.openxmlformats.org/officeDocument/2006/relationships/queryTable" Target="../queryTables/queryTable20.xml"/><Relationship Id="rId15" Type="http://schemas.openxmlformats.org/officeDocument/2006/relationships/queryTable" Target="../queryTables/queryTable30.xml"/><Relationship Id="rId10" Type="http://schemas.openxmlformats.org/officeDocument/2006/relationships/queryTable" Target="../queryTables/queryTable25.xml"/><Relationship Id="rId4" Type="http://schemas.openxmlformats.org/officeDocument/2006/relationships/queryTable" Target="../queryTables/queryTable19.xml"/><Relationship Id="rId9" Type="http://schemas.openxmlformats.org/officeDocument/2006/relationships/queryTable" Target="../queryTables/queryTable24.xml"/><Relationship Id="rId14" Type="http://schemas.openxmlformats.org/officeDocument/2006/relationships/queryTable" Target="../queryTables/queryTable2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8.xml"/><Relationship Id="rId13" Type="http://schemas.openxmlformats.org/officeDocument/2006/relationships/queryTable" Target="../queryTables/queryTable43.xml"/><Relationship Id="rId3" Type="http://schemas.openxmlformats.org/officeDocument/2006/relationships/queryTable" Target="../queryTables/queryTable33.xml"/><Relationship Id="rId7" Type="http://schemas.openxmlformats.org/officeDocument/2006/relationships/queryTable" Target="../queryTables/queryTable37.xml"/><Relationship Id="rId12" Type="http://schemas.openxmlformats.org/officeDocument/2006/relationships/queryTable" Target="../queryTables/queryTable42.xml"/><Relationship Id="rId2" Type="http://schemas.openxmlformats.org/officeDocument/2006/relationships/queryTable" Target="../queryTables/queryTable32.xml"/><Relationship Id="rId1" Type="http://schemas.openxmlformats.org/officeDocument/2006/relationships/queryTable" Target="../queryTables/queryTable31.xml"/><Relationship Id="rId6" Type="http://schemas.openxmlformats.org/officeDocument/2006/relationships/queryTable" Target="../queryTables/queryTable36.xml"/><Relationship Id="rId11" Type="http://schemas.openxmlformats.org/officeDocument/2006/relationships/queryTable" Target="../queryTables/queryTable41.xml"/><Relationship Id="rId5" Type="http://schemas.openxmlformats.org/officeDocument/2006/relationships/queryTable" Target="../queryTables/queryTable35.xml"/><Relationship Id="rId15" Type="http://schemas.openxmlformats.org/officeDocument/2006/relationships/queryTable" Target="../queryTables/queryTable45.xml"/><Relationship Id="rId10" Type="http://schemas.openxmlformats.org/officeDocument/2006/relationships/queryTable" Target="../queryTables/queryTable40.xml"/><Relationship Id="rId4" Type="http://schemas.openxmlformats.org/officeDocument/2006/relationships/queryTable" Target="../queryTables/queryTable34.xml"/><Relationship Id="rId9" Type="http://schemas.openxmlformats.org/officeDocument/2006/relationships/queryTable" Target="../queryTables/queryTable39.xml"/><Relationship Id="rId1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.xml"/><Relationship Id="rId13" Type="http://schemas.openxmlformats.org/officeDocument/2006/relationships/queryTable" Target="../queryTables/queryTable58.xml"/><Relationship Id="rId3" Type="http://schemas.openxmlformats.org/officeDocument/2006/relationships/queryTable" Target="../queryTables/queryTable48.xml"/><Relationship Id="rId7" Type="http://schemas.openxmlformats.org/officeDocument/2006/relationships/queryTable" Target="../queryTables/queryTable52.xml"/><Relationship Id="rId12" Type="http://schemas.openxmlformats.org/officeDocument/2006/relationships/queryTable" Target="../queryTables/queryTable57.xml"/><Relationship Id="rId2" Type="http://schemas.openxmlformats.org/officeDocument/2006/relationships/queryTable" Target="../queryTables/queryTable47.xml"/><Relationship Id="rId1" Type="http://schemas.openxmlformats.org/officeDocument/2006/relationships/queryTable" Target="../queryTables/queryTable46.xml"/><Relationship Id="rId6" Type="http://schemas.openxmlformats.org/officeDocument/2006/relationships/queryTable" Target="../queryTables/queryTable51.xml"/><Relationship Id="rId11" Type="http://schemas.openxmlformats.org/officeDocument/2006/relationships/queryTable" Target="../queryTables/queryTable56.xml"/><Relationship Id="rId5" Type="http://schemas.openxmlformats.org/officeDocument/2006/relationships/queryTable" Target="../queryTables/queryTable50.xml"/><Relationship Id="rId15" Type="http://schemas.openxmlformats.org/officeDocument/2006/relationships/queryTable" Target="../queryTables/queryTable60.xml"/><Relationship Id="rId10" Type="http://schemas.openxmlformats.org/officeDocument/2006/relationships/queryTable" Target="../queryTables/queryTable55.xml"/><Relationship Id="rId4" Type="http://schemas.openxmlformats.org/officeDocument/2006/relationships/queryTable" Target="../queryTables/queryTable49.xml"/><Relationship Id="rId9" Type="http://schemas.openxmlformats.org/officeDocument/2006/relationships/queryTable" Target="../queryTables/queryTable54.xml"/><Relationship Id="rId14" Type="http://schemas.openxmlformats.org/officeDocument/2006/relationships/queryTable" Target="../queryTables/queryTable59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8.xml"/><Relationship Id="rId13" Type="http://schemas.openxmlformats.org/officeDocument/2006/relationships/queryTable" Target="../queryTables/queryTable73.xml"/><Relationship Id="rId3" Type="http://schemas.openxmlformats.org/officeDocument/2006/relationships/queryTable" Target="../queryTables/queryTable63.xml"/><Relationship Id="rId7" Type="http://schemas.openxmlformats.org/officeDocument/2006/relationships/queryTable" Target="../queryTables/queryTable67.xml"/><Relationship Id="rId12" Type="http://schemas.openxmlformats.org/officeDocument/2006/relationships/queryTable" Target="../queryTables/queryTable72.xml"/><Relationship Id="rId2" Type="http://schemas.openxmlformats.org/officeDocument/2006/relationships/queryTable" Target="../queryTables/queryTable62.xml"/><Relationship Id="rId1" Type="http://schemas.openxmlformats.org/officeDocument/2006/relationships/queryTable" Target="../queryTables/queryTable61.xml"/><Relationship Id="rId6" Type="http://schemas.openxmlformats.org/officeDocument/2006/relationships/queryTable" Target="../queryTables/queryTable66.xml"/><Relationship Id="rId11" Type="http://schemas.openxmlformats.org/officeDocument/2006/relationships/queryTable" Target="../queryTables/queryTable71.xml"/><Relationship Id="rId5" Type="http://schemas.openxmlformats.org/officeDocument/2006/relationships/queryTable" Target="../queryTables/queryTable65.xml"/><Relationship Id="rId15" Type="http://schemas.openxmlformats.org/officeDocument/2006/relationships/queryTable" Target="../queryTables/queryTable75.xml"/><Relationship Id="rId10" Type="http://schemas.openxmlformats.org/officeDocument/2006/relationships/queryTable" Target="../queryTables/queryTable70.xml"/><Relationship Id="rId4" Type="http://schemas.openxmlformats.org/officeDocument/2006/relationships/queryTable" Target="../queryTables/queryTable64.xml"/><Relationship Id="rId9" Type="http://schemas.openxmlformats.org/officeDocument/2006/relationships/queryTable" Target="../queryTables/queryTable69.xml"/><Relationship Id="rId14" Type="http://schemas.openxmlformats.org/officeDocument/2006/relationships/queryTable" Target="../queryTables/queryTable7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3.xml"/><Relationship Id="rId13" Type="http://schemas.openxmlformats.org/officeDocument/2006/relationships/queryTable" Target="../queryTables/queryTable88.xml"/><Relationship Id="rId3" Type="http://schemas.openxmlformats.org/officeDocument/2006/relationships/queryTable" Target="../queryTables/queryTable78.xml"/><Relationship Id="rId7" Type="http://schemas.openxmlformats.org/officeDocument/2006/relationships/queryTable" Target="../queryTables/queryTable82.xml"/><Relationship Id="rId12" Type="http://schemas.openxmlformats.org/officeDocument/2006/relationships/queryTable" Target="../queryTables/queryTable87.xml"/><Relationship Id="rId2" Type="http://schemas.openxmlformats.org/officeDocument/2006/relationships/queryTable" Target="../queryTables/queryTable77.xml"/><Relationship Id="rId1" Type="http://schemas.openxmlformats.org/officeDocument/2006/relationships/queryTable" Target="../queryTables/queryTable76.xml"/><Relationship Id="rId6" Type="http://schemas.openxmlformats.org/officeDocument/2006/relationships/queryTable" Target="../queryTables/queryTable81.xml"/><Relationship Id="rId11" Type="http://schemas.openxmlformats.org/officeDocument/2006/relationships/queryTable" Target="../queryTables/queryTable86.xml"/><Relationship Id="rId5" Type="http://schemas.openxmlformats.org/officeDocument/2006/relationships/queryTable" Target="../queryTables/queryTable80.xml"/><Relationship Id="rId15" Type="http://schemas.openxmlformats.org/officeDocument/2006/relationships/queryTable" Target="../queryTables/queryTable90.xml"/><Relationship Id="rId10" Type="http://schemas.openxmlformats.org/officeDocument/2006/relationships/queryTable" Target="../queryTables/queryTable85.xml"/><Relationship Id="rId4" Type="http://schemas.openxmlformats.org/officeDocument/2006/relationships/queryTable" Target="../queryTables/queryTable79.xml"/><Relationship Id="rId9" Type="http://schemas.openxmlformats.org/officeDocument/2006/relationships/queryTable" Target="../queryTables/queryTable84.xml"/><Relationship Id="rId14" Type="http://schemas.openxmlformats.org/officeDocument/2006/relationships/queryTable" Target="../queryTables/queryTable89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8.xml"/><Relationship Id="rId13" Type="http://schemas.openxmlformats.org/officeDocument/2006/relationships/queryTable" Target="../queryTables/queryTable103.xml"/><Relationship Id="rId3" Type="http://schemas.openxmlformats.org/officeDocument/2006/relationships/queryTable" Target="../queryTables/queryTable93.xml"/><Relationship Id="rId7" Type="http://schemas.openxmlformats.org/officeDocument/2006/relationships/queryTable" Target="../queryTables/queryTable97.xml"/><Relationship Id="rId12" Type="http://schemas.openxmlformats.org/officeDocument/2006/relationships/queryTable" Target="../queryTables/queryTable102.xml"/><Relationship Id="rId2" Type="http://schemas.openxmlformats.org/officeDocument/2006/relationships/queryTable" Target="../queryTables/queryTable92.xml"/><Relationship Id="rId1" Type="http://schemas.openxmlformats.org/officeDocument/2006/relationships/queryTable" Target="../queryTables/queryTable91.xml"/><Relationship Id="rId6" Type="http://schemas.openxmlformats.org/officeDocument/2006/relationships/queryTable" Target="../queryTables/queryTable96.xml"/><Relationship Id="rId11" Type="http://schemas.openxmlformats.org/officeDocument/2006/relationships/queryTable" Target="../queryTables/queryTable101.xml"/><Relationship Id="rId5" Type="http://schemas.openxmlformats.org/officeDocument/2006/relationships/queryTable" Target="../queryTables/queryTable95.xml"/><Relationship Id="rId15" Type="http://schemas.openxmlformats.org/officeDocument/2006/relationships/queryTable" Target="../queryTables/queryTable105.xml"/><Relationship Id="rId10" Type="http://schemas.openxmlformats.org/officeDocument/2006/relationships/queryTable" Target="../queryTables/queryTable100.xml"/><Relationship Id="rId4" Type="http://schemas.openxmlformats.org/officeDocument/2006/relationships/queryTable" Target="../queryTables/queryTable94.xml"/><Relationship Id="rId9" Type="http://schemas.openxmlformats.org/officeDocument/2006/relationships/queryTable" Target="../queryTables/queryTable99.xml"/><Relationship Id="rId14" Type="http://schemas.openxmlformats.org/officeDocument/2006/relationships/queryTable" Target="../queryTables/queryTable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70" zoomScaleNormal="70" workbookViewId="0">
      <selection activeCell="C35" sqref="C35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B1" s="79" t="s">
        <v>450</v>
      </c>
      <c r="S1" s="84"/>
      <c r="T1" s="84"/>
      <c r="U1" s="84"/>
      <c r="V1" s="84"/>
    </row>
    <row r="2" spans="1:23" x14ac:dyDescent="0.25">
      <c r="A2" s="82" t="s">
        <v>451</v>
      </c>
      <c r="B2" s="80">
        <v>44101</v>
      </c>
    </row>
    <row r="3" spans="1:23" ht="15.75" x14ac:dyDescent="0.25">
      <c r="A3" s="83" t="s">
        <v>32</v>
      </c>
      <c r="B3" s="81" t="s">
        <v>31</v>
      </c>
      <c r="Q3" s="74" t="s">
        <v>30</v>
      </c>
    </row>
    <row r="5" spans="1:23" x14ac:dyDescent="0.25">
      <c r="B5" s="91"/>
      <c r="C5" s="91"/>
      <c r="D5" s="91"/>
    </row>
    <row r="7" spans="1:23" x14ac:dyDescent="0.25">
      <c r="A7" s="32"/>
      <c r="B7" s="85" t="s">
        <v>13</v>
      </c>
      <c r="C7" s="86"/>
      <c r="D7" s="86"/>
      <c r="E7" s="86"/>
      <c r="F7" s="86"/>
      <c r="G7" s="86"/>
      <c r="H7" s="86"/>
      <c r="I7" s="86"/>
      <c r="J7" s="88" t="s">
        <v>14</v>
      </c>
      <c r="K7" s="89"/>
      <c r="L7" s="89"/>
      <c r="M7" s="89"/>
      <c r="N7" s="89"/>
      <c r="O7" s="89"/>
      <c r="P7" s="90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4"/>
      <c r="T9" s="84"/>
      <c r="U9" s="84"/>
      <c r="V9" s="84"/>
      <c r="W9" s="84"/>
    </row>
    <row r="10" spans="1:23" ht="17.25" x14ac:dyDescent="0.35">
      <c r="A10" s="35" t="s">
        <v>1</v>
      </c>
      <c r="B10" s="40">
        <f>IFERROR(AVERAGE(B$14:B$17),"")</f>
        <v>1788.35</v>
      </c>
      <c r="C10" s="40" t="str">
        <f t="shared" ref="C10:P10" si="0">IFERROR(AVERAGE(C$14:C$17),"")</f>
        <v/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 t="str">
        <f t="shared" si="0"/>
        <v/>
      </c>
      <c r="H10" s="40">
        <f t="shared" si="0"/>
        <v>11.975</v>
      </c>
      <c r="I10" s="53" t="str">
        <f t="shared" si="0"/>
        <v/>
      </c>
      <c r="J10" s="55" t="str">
        <f t="shared" si="0"/>
        <v/>
      </c>
      <c r="K10" s="40">
        <f t="shared" si="0"/>
        <v>80334.5</v>
      </c>
      <c r="L10" s="40" t="str">
        <f t="shared" si="0"/>
        <v/>
      </c>
      <c r="M10" s="40" t="str">
        <f t="shared" si="0"/>
        <v/>
      </c>
      <c r="N10" s="40">
        <f t="shared" si="0"/>
        <v>1202.9749999999999</v>
      </c>
      <c r="O10" s="40">
        <f t="shared" si="0"/>
        <v>179.75</v>
      </c>
      <c r="P10" s="40" t="str">
        <f t="shared" si="0"/>
        <v/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3170.2999999999997</v>
      </c>
      <c r="C11" s="40" t="str">
        <f t="shared" si="1"/>
        <v/>
      </c>
      <c r="D11" s="40">
        <f t="shared" si="1"/>
        <v>63.300000000000004</v>
      </c>
      <c r="E11" s="40">
        <f t="shared" si="1"/>
        <v>294.5333333333333</v>
      </c>
      <c r="F11" s="40">
        <f t="shared" si="1"/>
        <v>89432.666666666672</v>
      </c>
      <c r="G11" s="40" t="str">
        <f t="shared" si="1"/>
        <v/>
      </c>
      <c r="H11" s="40">
        <f t="shared" si="1"/>
        <v>16.466666666666665</v>
      </c>
      <c r="I11" s="53" t="str">
        <f t="shared" si="1"/>
        <v/>
      </c>
      <c r="J11" s="55" t="str">
        <f t="shared" si="1"/>
        <v/>
      </c>
      <c r="K11" s="40">
        <f t="shared" si="1"/>
        <v>73236</v>
      </c>
      <c r="L11" s="40" t="str">
        <f t="shared" si="1"/>
        <v/>
      </c>
      <c r="M11" s="40" t="str">
        <f t="shared" si="1"/>
        <v/>
      </c>
      <c r="N11" s="40">
        <f t="shared" si="1"/>
        <v>1064.5333333333335</v>
      </c>
      <c r="O11" s="40">
        <f t="shared" si="1"/>
        <v>150.20000000000002</v>
      </c>
      <c r="P11" s="40" t="str">
        <f t="shared" si="1"/>
        <v/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1381.9499999999998</v>
      </c>
      <c r="C12" s="48" t="str">
        <f t="shared" si="2"/>
        <v/>
      </c>
      <c r="D12" s="48">
        <f t="shared" si="2"/>
        <v>0.57499999999999574</v>
      </c>
      <c r="E12" s="48">
        <f t="shared" si="2"/>
        <v>33.18333333333328</v>
      </c>
      <c r="F12" s="48">
        <f t="shared" si="2"/>
        <v>23529.666666666672</v>
      </c>
      <c r="G12" s="48" t="str">
        <f t="shared" si="2"/>
        <v/>
      </c>
      <c r="H12" s="48">
        <f t="shared" si="2"/>
        <v>4.4916666666666654</v>
      </c>
      <c r="I12" s="62" t="str">
        <f t="shared" si="2"/>
        <v/>
      </c>
      <c r="J12" s="64" t="str">
        <f t="shared" si="2"/>
        <v/>
      </c>
      <c r="K12" s="48">
        <f t="shared" si="2"/>
        <v>7098.5</v>
      </c>
      <c r="L12" s="48" t="str">
        <f t="shared" si="2"/>
        <v/>
      </c>
      <c r="M12" s="48" t="str">
        <f t="shared" si="2"/>
        <v/>
      </c>
      <c r="N12" s="48">
        <f t="shared" si="2"/>
        <v>138.44166666666638</v>
      </c>
      <c r="O12" s="48">
        <f t="shared" si="2"/>
        <v>29.549999999999983</v>
      </c>
      <c r="P12" s="48" t="str">
        <f t="shared" si="2"/>
        <v/>
      </c>
      <c r="Q12" s="69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f>B2</f>
        <v>44101</v>
      </c>
      <c r="B14" s="42">
        <v>1650.1</v>
      </c>
      <c r="C14" s="42"/>
      <c r="D14" s="42">
        <v>55.1</v>
      </c>
      <c r="E14" s="42">
        <v>264.10000000000002</v>
      </c>
      <c r="F14" s="43">
        <v>58660</v>
      </c>
      <c r="G14" s="42"/>
      <c r="H14" s="42">
        <v>11</v>
      </c>
      <c r="I14" s="56"/>
      <c r="J14" s="59"/>
      <c r="K14" s="43">
        <v>85405</v>
      </c>
      <c r="L14" s="42"/>
      <c r="M14" s="42"/>
      <c r="N14" s="42">
        <v>1079.7</v>
      </c>
      <c r="O14" s="42">
        <v>181.4</v>
      </c>
      <c r="P14" s="42"/>
      <c r="Q14" s="34"/>
      <c r="U14" s="38"/>
    </row>
    <row r="15" spans="1:23" ht="17.25" x14ac:dyDescent="0.35">
      <c r="A15" s="51">
        <f t="shared" ref="A15:A20" si="3">A14+1</f>
        <v>44102</v>
      </c>
      <c r="B15" s="42">
        <v>1749</v>
      </c>
      <c r="C15" s="42"/>
      <c r="D15" s="42">
        <v>74.599999999999994</v>
      </c>
      <c r="E15" s="42">
        <v>228.6</v>
      </c>
      <c r="F15" s="43">
        <v>52761</v>
      </c>
      <c r="G15" s="42"/>
      <c r="H15" s="42">
        <v>10.3</v>
      </c>
      <c r="I15" s="56"/>
      <c r="J15" s="59"/>
      <c r="K15" s="43">
        <v>78257</v>
      </c>
      <c r="L15" s="42"/>
      <c r="M15" s="42"/>
      <c r="N15" s="42">
        <v>1074.5999999999999</v>
      </c>
      <c r="O15" s="42">
        <v>176.1</v>
      </c>
      <c r="P15" s="42"/>
      <c r="Q15" s="34"/>
      <c r="R15" s="38"/>
      <c r="U15" s="38"/>
    </row>
    <row r="16" spans="1:23" ht="17.25" x14ac:dyDescent="0.35">
      <c r="A16" s="51">
        <f t="shared" si="3"/>
        <v>44103</v>
      </c>
      <c r="B16" s="42">
        <v>1387.3</v>
      </c>
      <c r="C16" s="42"/>
      <c r="D16" s="42">
        <v>66.3</v>
      </c>
      <c r="E16" s="42">
        <v>298.5</v>
      </c>
      <c r="F16" s="43">
        <v>88113</v>
      </c>
      <c r="G16" s="42"/>
      <c r="H16" s="42">
        <v>10.7</v>
      </c>
      <c r="I16" s="56"/>
      <c r="J16" s="59"/>
      <c r="K16" s="43">
        <v>78728</v>
      </c>
      <c r="L16" s="42"/>
      <c r="M16" s="42"/>
      <c r="N16" s="42">
        <v>1110.7</v>
      </c>
      <c r="O16" s="42">
        <v>188.9</v>
      </c>
      <c r="P16" s="42"/>
      <c r="Q16" s="34"/>
      <c r="R16" s="38"/>
      <c r="U16" s="38"/>
    </row>
    <row r="17" spans="1:21" ht="15.75" customHeight="1" x14ac:dyDescent="0.35">
      <c r="A17" s="51">
        <f t="shared" si="3"/>
        <v>44104</v>
      </c>
      <c r="B17" s="46">
        <v>2367</v>
      </c>
      <c r="C17" s="46"/>
      <c r="D17" s="46">
        <v>59.5</v>
      </c>
      <c r="E17" s="46">
        <v>254.2</v>
      </c>
      <c r="F17" s="47">
        <v>64078</v>
      </c>
      <c r="G17" s="46"/>
      <c r="H17" s="46">
        <v>15.9</v>
      </c>
      <c r="I17" s="57"/>
      <c r="J17" s="60"/>
      <c r="K17" s="47">
        <v>78948</v>
      </c>
      <c r="L17" s="46"/>
      <c r="M17" s="46"/>
      <c r="N17" s="46">
        <v>1546.9</v>
      </c>
      <c r="O17" s="46">
        <v>172.6</v>
      </c>
      <c r="P17" s="46"/>
      <c r="Q17" s="34"/>
      <c r="R17" s="38"/>
      <c r="U17" s="38"/>
    </row>
    <row r="18" spans="1:21" ht="15" customHeight="1" x14ac:dyDescent="0.35">
      <c r="A18" s="51">
        <f t="shared" si="3"/>
        <v>44105</v>
      </c>
      <c r="B18" s="44">
        <v>4767.2</v>
      </c>
      <c r="C18" s="44"/>
      <c r="D18" s="44">
        <v>71.599999999999994</v>
      </c>
      <c r="E18" s="44">
        <v>464</v>
      </c>
      <c r="F18" s="45">
        <v>147069</v>
      </c>
      <c r="G18" s="44"/>
      <c r="H18" s="44">
        <v>25.3</v>
      </c>
      <c r="I18" s="58"/>
      <c r="J18" s="61"/>
      <c r="K18" s="45">
        <v>76481</v>
      </c>
      <c r="L18" s="44"/>
      <c r="M18" s="44"/>
      <c r="N18" s="44">
        <v>1284</v>
      </c>
      <c r="O18" s="44">
        <v>156.6</v>
      </c>
      <c r="P18" s="44"/>
      <c r="Q18" s="34"/>
      <c r="R18" s="38"/>
      <c r="U18" s="38"/>
    </row>
    <row r="19" spans="1:21" ht="17.25" x14ac:dyDescent="0.35">
      <c r="A19" s="51">
        <f t="shared" si="3"/>
        <v>44106</v>
      </c>
      <c r="B19" s="44">
        <v>3193.9</v>
      </c>
      <c r="C19" s="44"/>
      <c r="D19" s="44">
        <v>46.9</v>
      </c>
      <c r="E19" s="44">
        <v>225.4</v>
      </c>
      <c r="F19" s="45">
        <v>61165</v>
      </c>
      <c r="G19" s="44"/>
      <c r="H19" s="44">
        <v>15.7</v>
      </c>
      <c r="I19" s="58"/>
      <c r="J19" s="61"/>
      <c r="K19" s="45">
        <v>73257</v>
      </c>
      <c r="L19" s="44"/>
      <c r="M19" s="44"/>
      <c r="N19" s="44">
        <v>921.4</v>
      </c>
      <c r="O19" s="44">
        <v>147.6</v>
      </c>
      <c r="P19" s="44"/>
      <c r="Q19" s="34"/>
      <c r="R19" s="38"/>
      <c r="U19" s="38"/>
    </row>
    <row r="20" spans="1:21" ht="17.25" x14ac:dyDescent="0.35">
      <c r="A20" s="51">
        <f t="shared" si="3"/>
        <v>44107</v>
      </c>
      <c r="B20" s="44">
        <v>1549.8</v>
      </c>
      <c r="C20" s="44"/>
      <c r="D20" s="44">
        <v>71.400000000000006</v>
      </c>
      <c r="E20" s="44">
        <v>194.2</v>
      </c>
      <c r="F20" s="45">
        <v>60064</v>
      </c>
      <c r="G20" s="44"/>
      <c r="H20" s="44">
        <v>8.4</v>
      </c>
      <c r="I20" s="58"/>
      <c r="J20" s="61"/>
      <c r="K20" s="45">
        <v>69970</v>
      </c>
      <c r="L20" s="44"/>
      <c r="M20" s="44"/>
      <c r="N20" s="44">
        <v>988.2</v>
      </c>
      <c r="O20" s="44">
        <v>146.4</v>
      </c>
      <c r="P20" s="44"/>
      <c r="Q20" s="34"/>
      <c r="R20" s="38"/>
      <c r="U20" s="38"/>
    </row>
    <row r="21" spans="1:21" ht="17.25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ht="17.25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ht="17.25" x14ac:dyDescent="0.35">
      <c r="A23" s="35" t="s">
        <v>4</v>
      </c>
      <c r="B23" s="48">
        <f t="shared" ref="B23:N23" si="4">IFERROR(AVERAGE(B14:B20),"")</f>
        <v>2380.6142857142854</v>
      </c>
      <c r="C23" s="48" t="str">
        <f>IFERROR(AVERAGE(C14:C20),"")</f>
        <v/>
      </c>
      <c r="D23" s="48">
        <f>IFERROR(AVERAGE(D14:D20),"")</f>
        <v>63.628571428571426</v>
      </c>
      <c r="E23" s="48">
        <f>IFERROR(AVERAGE(E14:E20),"")</f>
        <v>275.57142857142861</v>
      </c>
      <c r="F23" s="48">
        <f t="shared" si="4"/>
        <v>75987.142857142855</v>
      </c>
      <c r="G23" s="48" t="str">
        <f t="shared" si="4"/>
        <v/>
      </c>
      <c r="H23" s="48">
        <f t="shared" si="4"/>
        <v>13.900000000000002</v>
      </c>
      <c r="I23" s="62" t="str">
        <f t="shared" si="4"/>
        <v/>
      </c>
      <c r="J23" s="64" t="str">
        <f>IFERROR(AVERAGE(J14:J20),"")</f>
        <v/>
      </c>
      <c r="K23" s="48">
        <f>IFERROR(AVERAGE(K14:K20),"")</f>
        <v>77292.28571428571</v>
      </c>
      <c r="L23" s="48" t="str">
        <f>IFERROR(AVERAGE(L14:L20),"")</f>
        <v/>
      </c>
      <c r="M23" s="48" t="str">
        <f>IFERROR(AVERAGE(M14:M20),"")</f>
        <v/>
      </c>
      <c r="N23" s="48">
        <f t="shared" si="4"/>
        <v>1143.6428571428571</v>
      </c>
      <c r="O23" s="48">
        <f>IFERROR(AVERAGE(O14:O20),"")</f>
        <v>167.08571428571432</v>
      </c>
      <c r="P23" s="48" t="str">
        <f>IFERROR(AVERAGE(P14:P20),"")</f>
        <v/>
      </c>
      <c r="Q23" s="34"/>
    </row>
    <row r="24" spans="1:21" ht="17.25" x14ac:dyDescent="0.35">
      <c r="A24" s="35" t="s">
        <v>5</v>
      </c>
      <c r="B24" s="41" t="str">
        <f t="shared" ref="B24:P24" si="5">IFERROR(-(B22-B23)/B22,"")</f>
        <v/>
      </c>
      <c r="C24" s="41" t="str">
        <f t="shared" si="5"/>
        <v/>
      </c>
      <c r="D24" s="41" t="str">
        <f t="shared" si="5"/>
        <v/>
      </c>
      <c r="E24" s="41" t="str">
        <f t="shared" si="5"/>
        <v/>
      </c>
      <c r="F24" s="41" t="str">
        <f t="shared" si="5"/>
        <v/>
      </c>
      <c r="G24" s="41" t="str">
        <f t="shared" si="5"/>
        <v/>
      </c>
      <c r="H24" s="41" t="str">
        <f t="shared" si="5"/>
        <v/>
      </c>
      <c r="I24" s="63" t="str">
        <f t="shared" si="5"/>
        <v/>
      </c>
      <c r="J24" s="65" t="str">
        <f t="shared" si="5"/>
        <v/>
      </c>
      <c r="K24" s="41" t="str">
        <f t="shared" si="5"/>
        <v/>
      </c>
      <c r="L24" s="41" t="str">
        <f t="shared" si="5"/>
        <v/>
      </c>
      <c r="M24" s="41" t="str">
        <f t="shared" si="5"/>
        <v/>
      </c>
      <c r="N24" s="41" t="str">
        <f t="shared" si="5"/>
        <v/>
      </c>
      <c r="O24" s="41" t="str">
        <f t="shared" si="5"/>
        <v/>
      </c>
      <c r="P24" s="41" t="str">
        <f t="shared" si="5"/>
        <v/>
      </c>
    </row>
    <row r="25" spans="1:21" x14ac:dyDescent="0.25">
      <c r="B25" s="73" t="s">
        <v>28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2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25">
      <c r="A27" s="32"/>
      <c r="B27" s="85" t="s">
        <v>13</v>
      </c>
      <c r="C27" s="86"/>
      <c r="D27" s="86"/>
      <c r="E27" s="86"/>
      <c r="F27" s="86"/>
      <c r="G27" s="86"/>
      <c r="H27" s="86"/>
      <c r="I27" s="87"/>
      <c r="J27" s="88" t="s">
        <v>14</v>
      </c>
      <c r="K27" s="89"/>
      <c r="L27" s="89"/>
      <c r="M27" s="89"/>
      <c r="N27" s="89"/>
      <c r="O27" s="89"/>
      <c r="P27" s="90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6">IFERROR(AVERAGE(B$34:B$36),"")</f>
        <v>1595.4666666666665</v>
      </c>
      <c r="C30" s="40" t="str">
        <f t="shared" si="6"/>
        <v/>
      </c>
      <c r="D30" s="40">
        <f t="shared" si="6"/>
        <v>65.333333333333329</v>
      </c>
      <c r="E30" s="40">
        <f t="shared" si="6"/>
        <v>263.73333333333335</v>
      </c>
      <c r="F30" s="40">
        <f t="shared" si="6"/>
        <v>66511.333333333328</v>
      </c>
      <c r="G30" s="40" t="str">
        <f t="shared" si="6"/>
        <v/>
      </c>
      <c r="H30" s="40">
        <f t="shared" si="6"/>
        <v>10.666666666666666</v>
      </c>
      <c r="I30" s="53" t="str">
        <f t="shared" si="6"/>
        <v/>
      </c>
      <c r="J30" s="55" t="str">
        <f t="shared" si="6"/>
        <v/>
      </c>
      <c r="K30" s="40">
        <f t="shared" si="6"/>
        <v>80796.666666666672</v>
      </c>
      <c r="L30" s="40" t="str">
        <f t="shared" si="6"/>
        <v/>
      </c>
      <c r="M30" s="40" t="str">
        <f t="shared" si="6"/>
        <v/>
      </c>
      <c r="N30" s="40">
        <f t="shared" si="6"/>
        <v>1088.3333333333333</v>
      </c>
      <c r="O30" s="40">
        <f t="shared" si="6"/>
        <v>182.13333333333333</v>
      </c>
      <c r="P30" s="40" t="str">
        <f t="shared" si="6"/>
        <v/>
      </c>
      <c r="Q30" s="34"/>
    </row>
    <row r="31" spans="1:21" ht="17.25" x14ac:dyDescent="0.35">
      <c r="A31" s="35" t="s">
        <v>2</v>
      </c>
      <c r="B31" s="40">
        <f>IFERROR(AVERAGE(B$37:B$40),"")</f>
        <v>2969.4749999999999</v>
      </c>
      <c r="C31" s="40" t="str">
        <f t="shared" ref="C31:P31" si="7">IFERROR(AVERAGE(C$37:C$40),"")</f>
        <v/>
      </c>
      <c r="D31" s="40">
        <f t="shared" si="7"/>
        <v>62.35</v>
      </c>
      <c r="E31" s="40">
        <f t="shared" si="7"/>
        <v>284.45</v>
      </c>
      <c r="F31" s="40">
        <f t="shared" si="7"/>
        <v>83094</v>
      </c>
      <c r="G31" s="40" t="str">
        <f t="shared" si="7"/>
        <v/>
      </c>
      <c r="H31" s="40">
        <f t="shared" si="7"/>
        <v>16.325000000000003</v>
      </c>
      <c r="I31" s="53" t="str">
        <f t="shared" si="7"/>
        <v/>
      </c>
      <c r="J31" s="55" t="str">
        <f t="shared" si="7"/>
        <v/>
      </c>
      <c r="K31" s="40">
        <f t="shared" si="7"/>
        <v>74664</v>
      </c>
      <c r="L31" s="40" t="str">
        <f t="shared" si="7"/>
        <v/>
      </c>
      <c r="M31" s="40" t="str">
        <f t="shared" si="7"/>
        <v/>
      </c>
      <c r="N31" s="40">
        <f t="shared" si="7"/>
        <v>1185.125</v>
      </c>
      <c r="O31" s="40">
        <f t="shared" si="7"/>
        <v>155.79999999999998</v>
      </c>
      <c r="P31" s="40" t="str">
        <f t="shared" si="7"/>
        <v/>
      </c>
      <c r="Q31" s="34"/>
    </row>
    <row r="32" spans="1:21" ht="17.25" x14ac:dyDescent="0.35">
      <c r="A32" s="35" t="s">
        <v>27</v>
      </c>
      <c r="B32" s="48">
        <f t="shared" ref="B32:P32" si="8">IFERROR(ABS(B$31-B$30), "")</f>
        <v>1374.0083333333334</v>
      </c>
      <c r="C32" s="48" t="str">
        <f t="shared" si="8"/>
        <v/>
      </c>
      <c r="D32" s="48">
        <f t="shared" si="8"/>
        <v>2.9833333333333272</v>
      </c>
      <c r="E32" s="48">
        <f t="shared" si="8"/>
        <v>20.71666666666664</v>
      </c>
      <c r="F32" s="48">
        <f t="shared" si="8"/>
        <v>16582.666666666672</v>
      </c>
      <c r="G32" s="48" t="str">
        <f t="shared" si="8"/>
        <v/>
      </c>
      <c r="H32" s="48">
        <f t="shared" si="8"/>
        <v>5.6583333333333368</v>
      </c>
      <c r="I32" s="62" t="str">
        <f t="shared" si="8"/>
        <v/>
      </c>
      <c r="J32" s="64" t="str">
        <f t="shared" si="8"/>
        <v/>
      </c>
      <c r="K32" s="48">
        <f t="shared" si="8"/>
        <v>6132.6666666666715</v>
      </c>
      <c r="L32" s="48" t="str">
        <f t="shared" si="8"/>
        <v/>
      </c>
      <c r="M32" s="48" t="str">
        <f t="shared" si="8"/>
        <v/>
      </c>
      <c r="N32" s="48">
        <f t="shared" si="8"/>
        <v>96.791666666666742</v>
      </c>
      <c r="O32" s="48">
        <f t="shared" si="8"/>
        <v>26.333333333333343</v>
      </c>
      <c r="P32" s="48" t="str">
        <f t="shared" si="8"/>
        <v/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f>A14</f>
        <v>44101</v>
      </c>
      <c r="B34" s="42">
        <f>IF(B14=0, "", B14)</f>
        <v>1650.1</v>
      </c>
      <c r="C34" s="42" t="str">
        <f>IF(C14=0, "", C14)</f>
        <v/>
      </c>
      <c r="D34" s="42">
        <f t="shared" ref="C34:P34" si="9">IF(D14=0, "", D14)</f>
        <v>55.1</v>
      </c>
      <c r="E34" s="42">
        <f t="shared" si="9"/>
        <v>264.10000000000002</v>
      </c>
      <c r="F34" s="42">
        <f t="shared" si="9"/>
        <v>58660</v>
      </c>
      <c r="G34" s="42" t="str">
        <f t="shared" si="9"/>
        <v/>
      </c>
      <c r="H34" s="42">
        <f t="shared" si="9"/>
        <v>11</v>
      </c>
      <c r="I34" s="42" t="str">
        <f t="shared" si="9"/>
        <v/>
      </c>
      <c r="J34" s="42" t="str">
        <f t="shared" si="9"/>
        <v/>
      </c>
      <c r="K34" s="42">
        <f t="shared" si="9"/>
        <v>85405</v>
      </c>
      <c r="L34" s="42" t="str">
        <f t="shared" si="9"/>
        <v/>
      </c>
      <c r="M34" s="42" t="str">
        <f t="shared" si="9"/>
        <v/>
      </c>
      <c r="N34" s="42">
        <f t="shared" si="9"/>
        <v>1079.7</v>
      </c>
      <c r="O34" s="42">
        <f t="shared" si="9"/>
        <v>181.4</v>
      </c>
      <c r="P34" s="42" t="str">
        <f t="shared" si="9"/>
        <v/>
      </c>
      <c r="Q34" s="34"/>
    </row>
    <row r="35" spans="1:18" ht="17.25" x14ac:dyDescent="0.35">
      <c r="A35" s="51">
        <f>A15</f>
        <v>44102</v>
      </c>
      <c r="B35" s="42">
        <f>IF(B15=0, "", B15)</f>
        <v>1749</v>
      </c>
      <c r="C35" s="42" t="str">
        <f t="shared" ref="C35:P35" si="10">IF(C15=0, "", C15)</f>
        <v/>
      </c>
      <c r="D35" s="42">
        <f t="shared" si="10"/>
        <v>74.599999999999994</v>
      </c>
      <c r="E35" s="42">
        <f t="shared" si="10"/>
        <v>228.6</v>
      </c>
      <c r="F35" s="42">
        <f t="shared" si="10"/>
        <v>52761</v>
      </c>
      <c r="G35" s="42" t="str">
        <f t="shared" si="10"/>
        <v/>
      </c>
      <c r="H35" s="42">
        <f t="shared" si="10"/>
        <v>10.3</v>
      </c>
      <c r="I35" s="42" t="str">
        <f t="shared" si="10"/>
        <v/>
      </c>
      <c r="J35" s="42" t="str">
        <f t="shared" si="10"/>
        <v/>
      </c>
      <c r="K35" s="42">
        <f t="shared" si="10"/>
        <v>78257</v>
      </c>
      <c r="L35" s="42" t="str">
        <f t="shared" si="10"/>
        <v/>
      </c>
      <c r="M35" s="42" t="str">
        <f t="shared" si="10"/>
        <v/>
      </c>
      <c r="N35" s="42">
        <f t="shared" si="10"/>
        <v>1074.5999999999999</v>
      </c>
      <c r="O35" s="42">
        <f t="shared" si="10"/>
        <v>176.1</v>
      </c>
      <c r="P35" s="42" t="str">
        <f t="shared" si="10"/>
        <v/>
      </c>
      <c r="Q35" s="34"/>
    </row>
    <row r="36" spans="1:18" ht="17.25" x14ac:dyDescent="0.35">
      <c r="A36" s="51">
        <f>A16</f>
        <v>44103</v>
      </c>
      <c r="B36" s="42">
        <f t="shared" ref="B36:P40" si="11">IF(B16=0, "", B16)</f>
        <v>1387.3</v>
      </c>
      <c r="C36" s="42" t="str">
        <f t="shared" si="11"/>
        <v/>
      </c>
      <c r="D36" s="42">
        <f t="shared" si="11"/>
        <v>66.3</v>
      </c>
      <c r="E36" s="42">
        <f t="shared" si="11"/>
        <v>298.5</v>
      </c>
      <c r="F36" s="42">
        <f t="shared" si="11"/>
        <v>88113</v>
      </c>
      <c r="G36" s="42" t="str">
        <f t="shared" si="11"/>
        <v/>
      </c>
      <c r="H36" s="42">
        <f t="shared" si="11"/>
        <v>10.7</v>
      </c>
      <c r="I36" s="42" t="str">
        <f t="shared" si="11"/>
        <v/>
      </c>
      <c r="J36" s="42" t="str">
        <f t="shared" si="11"/>
        <v/>
      </c>
      <c r="K36" s="42">
        <f t="shared" si="11"/>
        <v>78728</v>
      </c>
      <c r="L36" s="42" t="str">
        <f t="shared" si="11"/>
        <v/>
      </c>
      <c r="M36" s="42" t="str">
        <f t="shared" si="11"/>
        <v/>
      </c>
      <c r="N36" s="42">
        <f t="shared" si="11"/>
        <v>1110.7</v>
      </c>
      <c r="O36" s="42">
        <f t="shared" si="11"/>
        <v>188.9</v>
      </c>
      <c r="P36" s="42" t="str">
        <f t="shared" si="11"/>
        <v/>
      </c>
      <c r="Q36" s="34"/>
    </row>
    <row r="37" spans="1:18" ht="17.25" x14ac:dyDescent="0.35">
      <c r="A37" s="51">
        <f>A17</f>
        <v>44104</v>
      </c>
      <c r="B37" s="42">
        <f t="shared" si="11"/>
        <v>2367</v>
      </c>
      <c r="C37" s="42" t="str">
        <f t="shared" si="11"/>
        <v/>
      </c>
      <c r="D37" s="42">
        <f t="shared" si="11"/>
        <v>59.5</v>
      </c>
      <c r="E37" s="42">
        <f t="shared" si="11"/>
        <v>254.2</v>
      </c>
      <c r="F37" s="42">
        <f t="shared" si="11"/>
        <v>64078</v>
      </c>
      <c r="G37" s="42" t="str">
        <f t="shared" si="11"/>
        <v/>
      </c>
      <c r="H37" s="42">
        <f t="shared" si="11"/>
        <v>15.9</v>
      </c>
      <c r="I37" s="42" t="str">
        <f t="shared" si="11"/>
        <v/>
      </c>
      <c r="J37" s="42" t="str">
        <f t="shared" si="11"/>
        <v/>
      </c>
      <c r="K37" s="42">
        <f t="shared" si="11"/>
        <v>78948</v>
      </c>
      <c r="L37" s="42" t="str">
        <f t="shared" si="11"/>
        <v/>
      </c>
      <c r="M37" s="42" t="str">
        <f t="shared" si="11"/>
        <v/>
      </c>
      <c r="N37" s="42">
        <f t="shared" si="11"/>
        <v>1546.9</v>
      </c>
      <c r="O37" s="42">
        <f t="shared" si="11"/>
        <v>172.6</v>
      </c>
      <c r="P37" s="42" t="str">
        <f t="shared" si="11"/>
        <v/>
      </c>
      <c r="Q37" s="34"/>
    </row>
    <row r="38" spans="1:18" ht="17.25" x14ac:dyDescent="0.35">
      <c r="A38" s="51">
        <f>A18</f>
        <v>44105</v>
      </c>
      <c r="B38" s="42">
        <f t="shared" si="11"/>
        <v>4767.2</v>
      </c>
      <c r="C38" s="42" t="str">
        <f t="shared" si="11"/>
        <v/>
      </c>
      <c r="D38" s="42">
        <f t="shared" si="11"/>
        <v>71.599999999999994</v>
      </c>
      <c r="E38" s="42">
        <f t="shared" si="11"/>
        <v>464</v>
      </c>
      <c r="F38" s="42">
        <f t="shared" si="11"/>
        <v>147069</v>
      </c>
      <c r="G38" s="42" t="str">
        <f t="shared" si="11"/>
        <v/>
      </c>
      <c r="H38" s="42">
        <f t="shared" si="11"/>
        <v>25.3</v>
      </c>
      <c r="I38" s="42" t="str">
        <f t="shared" si="11"/>
        <v/>
      </c>
      <c r="J38" s="42" t="str">
        <f t="shared" si="11"/>
        <v/>
      </c>
      <c r="K38" s="42">
        <f t="shared" si="11"/>
        <v>76481</v>
      </c>
      <c r="L38" s="42" t="str">
        <f t="shared" si="11"/>
        <v/>
      </c>
      <c r="M38" s="42" t="str">
        <f t="shared" si="11"/>
        <v/>
      </c>
      <c r="N38" s="42">
        <f t="shared" si="11"/>
        <v>1284</v>
      </c>
      <c r="O38" s="42">
        <f t="shared" si="11"/>
        <v>156.6</v>
      </c>
      <c r="P38" s="42" t="str">
        <f t="shared" si="11"/>
        <v/>
      </c>
      <c r="Q38" s="34"/>
    </row>
    <row r="39" spans="1:18" ht="17.25" x14ac:dyDescent="0.35">
      <c r="A39" s="51">
        <f>A19</f>
        <v>44106</v>
      </c>
      <c r="B39" s="42">
        <f t="shared" si="11"/>
        <v>3193.9</v>
      </c>
      <c r="C39" s="42" t="str">
        <f t="shared" si="11"/>
        <v/>
      </c>
      <c r="D39" s="42">
        <f t="shared" si="11"/>
        <v>46.9</v>
      </c>
      <c r="E39" s="42">
        <f t="shared" si="11"/>
        <v>225.4</v>
      </c>
      <c r="F39" s="42">
        <f t="shared" si="11"/>
        <v>61165</v>
      </c>
      <c r="G39" s="42" t="str">
        <f t="shared" si="11"/>
        <v/>
      </c>
      <c r="H39" s="42">
        <f t="shared" si="11"/>
        <v>15.7</v>
      </c>
      <c r="I39" s="42" t="str">
        <f t="shared" si="11"/>
        <v/>
      </c>
      <c r="J39" s="42" t="str">
        <f t="shared" si="11"/>
        <v/>
      </c>
      <c r="K39" s="42">
        <f t="shared" si="11"/>
        <v>73257</v>
      </c>
      <c r="L39" s="42" t="str">
        <f t="shared" si="11"/>
        <v/>
      </c>
      <c r="M39" s="42" t="str">
        <f t="shared" si="11"/>
        <v/>
      </c>
      <c r="N39" s="42">
        <f t="shared" si="11"/>
        <v>921.4</v>
      </c>
      <c r="O39" s="42">
        <f t="shared" si="11"/>
        <v>147.6</v>
      </c>
      <c r="P39" s="42" t="str">
        <f t="shared" si="11"/>
        <v/>
      </c>
      <c r="Q39" s="34"/>
    </row>
    <row r="40" spans="1:18" ht="17.25" x14ac:dyDescent="0.35">
      <c r="A40" s="51">
        <f>A20</f>
        <v>44107</v>
      </c>
      <c r="B40" s="42">
        <f t="shared" si="11"/>
        <v>1549.8</v>
      </c>
      <c r="C40" s="42" t="str">
        <f t="shared" si="11"/>
        <v/>
      </c>
      <c r="D40" s="42">
        <f t="shared" si="11"/>
        <v>71.400000000000006</v>
      </c>
      <c r="E40" s="42">
        <f t="shared" si="11"/>
        <v>194.2</v>
      </c>
      <c r="F40" s="42">
        <f t="shared" si="11"/>
        <v>60064</v>
      </c>
      <c r="G40" s="42" t="str">
        <f t="shared" si="11"/>
        <v/>
      </c>
      <c r="H40" s="42">
        <f t="shared" si="11"/>
        <v>8.4</v>
      </c>
      <c r="I40" s="42" t="str">
        <f t="shared" si="11"/>
        <v/>
      </c>
      <c r="J40" s="42" t="str">
        <f t="shared" si="11"/>
        <v/>
      </c>
      <c r="K40" s="42">
        <f t="shared" si="11"/>
        <v>69970</v>
      </c>
      <c r="L40" s="42" t="str">
        <f t="shared" si="11"/>
        <v/>
      </c>
      <c r="M40" s="42" t="str">
        <f t="shared" si="11"/>
        <v/>
      </c>
      <c r="N40" s="42">
        <f t="shared" si="11"/>
        <v>988.2</v>
      </c>
      <c r="O40" s="42">
        <f t="shared" si="11"/>
        <v>146.4</v>
      </c>
      <c r="P40" s="42" t="str">
        <f t="shared" si="11"/>
        <v/>
      </c>
      <c r="Q40" s="34"/>
    </row>
    <row r="41" spans="1:18" ht="17.25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ht="17.25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ht="17.25" x14ac:dyDescent="0.35">
      <c r="A43" s="35" t="s">
        <v>4</v>
      </c>
      <c r="B43" s="48">
        <f>IFERROR(AVERAGE(B34:B40),"")</f>
        <v>2380.6142857142854</v>
      </c>
      <c r="C43" s="48" t="str">
        <f>IFERROR(AVERAGE(C34:C40),"")</f>
        <v/>
      </c>
      <c r="D43" s="48">
        <f>IFERROR(AVERAGE(D34:D40),"")</f>
        <v>63.628571428571426</v>
      </c>
      <c r="E43" s="48">
        <f>IFERROR(AVERAGE(E34:E40),"")</f>
        <v>275.57142857142861</v>
      </c>
      <c r="F43" s="48">
        <f t="shared" ref="F43:N43" si="12">IFERROR(AVERAGE(F34:F40),"")</f>
        <v>75987.142857142855</v>
      </c>
      <c r="G43" s="48" t="str">
        <f t="shared" si="12"/>
        <v/>
      </c>
      <c r="H43" s="48">
        <f t="shared" si="12"/>
        <v>13.900000000000002</v>
      </c>
      <c r="I43" s="62" t="str">
        <f t="shared" si="12"/>
        <v/>
      </c>
      <c r="J43" s="64" t="str">
        <f>IFERROR(AVERAGE(J34:J40),"")</f>
        <v/>
      </c>
      <c r="K43" s="48">
        <f>IFERROR(AVERAGE(K34:K40),"")</f>
        <v>77292.28571428571</v>
      </c>
      <c r="L43" s="48" t="str">
        <f>IFERROR(AVERAGE(L34:L40),"")</f>
        <v/>
      </c>
      <c r="M43" s="48" t="str">
        <f>IFERROR(AVERAGE(M34:M40),"")</f>
        <v/>
      </c>
      <c r="N43" s="48">
        <f t="shared" si="12"/>
        <v>1143.6428571428571</v>
      </c>
      <c r="O43" s="48">
        <f>IFERROR(AVERAGE(O34:O40),"")</f>
        <v>167.08571428571432</v>
      </c>
      <c r="P43" s="48" t="str">
        <f>IFERROR(AVERAGE(P34:P40),"")</f>
        <v/>
      </c>
      <c r="Q43" s="34"/>
    </row>
    <row r="44" spans="1:18" ht="17.25" x14ac:dyDescent="0.35">
      <c r="A44" s="35" t="s">
        <v>5</v>
      </c>
      <c r="B44" s="41" t="str">
        <f>IFERROR((B43-B42)/B42,"")</f>
        <v/>
      </c>
      <c r="C44" s="41" t="str">
        <f t="shared" ref="C44:P44" si="13">IFERROR(-(C42-C43)/C42,"")</f>
        <v/>
      </c>
      <c r="D44" s="41" t="str">
        <f t="shared" si="13"/>
        <v/>
      </c>
      <c r="E44" s="41" t="str">
        <f t="shared" si="13"/>
        <v/>
      </c>
      <c r="F44" s="41" t="str">
        <f t="shared" si="13"/>
        <v/>
      </c>
      <c r="G44" s="41" t="str">
        <f t="shared" si="13"/>
        <v/>
      </c>
      <c r="H44" s="41" t="str">
        <f t="shared" si="13"/>
        <v/>
      </c>
      <c r="I44" s="63" t="str">
        <f t="shared" si="13"/>
        <v/>
      </c>
      <c r="J44" s="65" t="str">
        <f t="shared" si="13"/>
        <v/>
      </c>
      <c r="K44" s="41" t="str">
        <f t="shared" si="13"/>
        <v/>
      </c>
      <c r="L44" s="41" t="str">
        <f t="shared" si="13"/>
        <v/>
      </c>
      <c r="M44" s="41" t="str">
        <f t="shared" si="13"/>
        <v/>
      </c>
      <c r="N44" s="41" t="str">
        <f t="shared" si="13"/>
        <v/>
      </c>
      <c r="O44" s="41" t="str">
        <f t="shared" si="13"/>
        <v/>
      </c>
      <c r="P44" s="41" t="str">
        <f t="shared" si="13"/>
        <v/>
      </c>
    </row>
    <row r="45" spans="1:18" x14ac:dyDescent="0.25">
      <c r="B45" s="33" t="s">
        <v>29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Procedure.mainProcedure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142875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PPR">
                <anchor moveWithCells="1" sizeWithCells="1">
                  <from>
                    <xdr:col>2</xdr:col>
                    <xdr:colOff>209550</xdr:colOff>
                    <xdr:row>3</xdr:row>
                    <xdr:rowOff>9525</xdr:rowOff>
                  </from>
                  <to>
                    <xdr:col>5</xdr:col>
                    <xdr:colOff>171450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0" x14ac:dyDescent="0.25">
      <c r="A1" s="1"/>
      <c r="B1" s="93" t="s">
        <v>13</v>
      </c>
      <c r="C1" s="94"/>
      <c r="D1" s="94"/>
      <c r="E1" s="94"/>
      <c r="F1" s="95"/>
      <c r="G1" s="92" t="s">
        <v>14</v>
      </c>
      <c r="H1" s="92"/>
      <c r="I1" s="92"/>
      <c r="J1" s="92"/>
    </row>
    <row r="2" spans="1:10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2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2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2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2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2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2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2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2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2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2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2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2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3" t="s">
        <v>13</v>
      </c>
      <c r="C1" s="94"/>
      <c r="D1" s="94"/>
      <c r="E1" s="94"/>
      <c r="F1" s="95"/>
      <c r="G1" s="92" t="s">
        <v>14</v>
      </c>
      <c r="H1" s="92"/>
      <c r="I1" s="92"/>
      <c r="J1" s="92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2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2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2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2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2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45" customHeight="1" x14ac:dyDescent="0.2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96" t="s">
        <v>16</v>
      </c>
      <c r="M11" s="96"/>
      <c r="N11" s="96"/>
      <c r="O11" s="96"/>
      <c r="P11" s="96"/>
    </row>
    <row r="12" spans="1:16" x14ac:dyDescent="0.2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96"/>
      <c r="M12" s="96"/>
      <c r="N12" s="96"/>
      <c r="O12" s="96"/>
      <c r="P12" s="96"/>
    </row>
    <row r="13" spans="1:16" x14ac:dyDescent="0.2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96"/>
      <c r="M13" s="96"/>
      <c r="N13" s="96"/>
      <c r="O13" s="96"/>
      <c r="P13" s="96"/>
    </row>
    <row r="14" spans="1:16" ht="14.45" customHeight="1" x14ac:dyDescent="0.25">
      <c r="L14" s="96"/>
      <c r="M14" s="96"/>
      <c r="N14" s="96"/>
      <c r="O14" s="96"/>
      <c r="P14" s="96"/>
    </row>
    <row r="15" spans="1:16" x14ac:dyDescent="0.2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96"/>
      <c r="M15" s="96"/>
      <c r="N15" s="96"/>
      <c r="O15" s="96"/>
      <c r="P15" s="96"/>
    </row>
    <row r="16" spans="1:16" x14ac:dyDescent="0.2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96"/>
      <c r="M16" s="96"/>
      <c r="N16" s="96"/>
      <c r="O16" s="96"/>
      <c r="P16" s="96"/>
    </row>
    <row r="17" spans="1:10" x14ac:dyDescent="0.2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3" t="s">
        <v>13</v>
      </c>
      <c r="C1" s="94"/>
      <c r="D1" s="94"/>
      <c r="E1" s="94"/>
      <c r="F1" s="95"/>
      <c r="G1" s="92" t="s">
        <v>14</v>
      </c>
      <c r="H1" s="92"/>
      <c r="I1" s="92"/>
      <c r="J1" s="92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2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2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2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2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2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45" customHeight="1" x14ac:dyDescent="0.2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96" t="s">
        <v>16</v>
      </c>
      <c r="M11" s="96"/>
      <c r="N11" s="96"/>
      <c r="O11" s="96"/>
      <c r="P11" s="96"/>
    </row>
    <row r="12" spans="1:16" x14ac:dyDescent="0.2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96"/>
      <c r="M12" s="96"/>
      <c r="N12" s="96"/>
      <c r="O12" s="96"/>
      <c r="P12" s="96"/>
    </row>
    <row r="13" spans="1:16" x14ac:dyDescent="0.2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96"/>
      <c r="M13" s="96"/>
      <c r="N13" s="96"/>
      <c r="O13" s="96"/>
      <c r="P13" s="96"/>
    </row>
    <row r="14" spans="1:16" ht="14.45" customHeight="1" x14ac:dyDescent="0.25">
      <c r="L14" s="96"/>
      <c r="M14" s="96"/>
      <c r="N14" s="96"/>
      <c r="O14" s="96"/>
      <c r="P14" s="96"/>
    </row>
    <row r="15" spans="1:16" x14ac:dyDescent="0.2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96"/>
      <c r="M15" s="96"/>
      <c r="N15" s="96"/>
      <c r="O15" s="96"/>
      <c r="P15" s="96"/>
    </row>
    <row r="16" spans="1:16" x14ac:dyDescent="0.2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96"/>
      <c r="M16" s="96"/>
      <c r="N16" s="96"/>
      <c r="O16" s="96"/>
      <c r="P16" s="96"/>
    </row>
    <row r="17" spans="1:10" x14ac:dyDescent="0.2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3" t="s">
        <v>13</v>
      </c>
      <c r="C1" s="94"/>
      <c r="D1" s="94"/>
      <c r="E1" s="94"/>
      <c r="F1" s="95"/>
      <c r="G1" s="92" t="s">
        <v>14</v>
      </c>
      <c r="H1" s="92"/>
      <c r="I1" s="92"/>
      <c r="J1" s="92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2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2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2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2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2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45" customHeight="1" x14ac:dyDescent="0.2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96" t="s">
        <v>16</v>
      </c>
      <c r="M11" s="96"/>
      <c r="N11" s="96"/>
      <c r="O11" s="96"/>
      <c r="P11" s="96"/>
    </row>
    <row r="12" spans="1:16" x14ac:dyDescent="0.2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96"/>
      <c r="M12" s="96"/>
      <c r="N12" s="96"/>
      <c r="O12" s="96"/>
      <c r="P12" s="96"/>
    </row>
    <row r="13" spans="1:16" x14ac:dyDescent="0.2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96"/>
      <c r="M13" s="96"/>
      <c r="N13" s="96"/>
      <c r="O13" s="96"/>
      <c r="P13" s="96"/>
    </row>
    <row r="14" spans="1:16" ht="14.45" customHeight="1" x14ac:dyDescent="0.25">
      <c r="L14" s="96"/>
      <c r="M14" s="96"/>
      <c r="N14" s="96"/>
      <c r="O14" s="96"/>
      <c r="P14" s="96"/>
    </row>
    <row r="15" spans="1:16" x14ac:dyDescent="0.2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96"/>
      <c r="M15" s="96"/>
      <c r="N15" s="96"/>
      <c r="O15" s="96"/>
      <c r="P15" s="96"/>
    </row>
    <row r="16" spans="1:16" x14ac:dyDescent="0.2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96"/>
      <c r="M16" s="96"/>
      <c r="N16" s="96"/>
      <c r="O16" s="96"/>
      <c r="P16" s="96"/>
    </row>
    <row r="17" spans="1:10" x14ac:dyDescent="0.2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1.85546875" bestFit="1" customWidth="1"/>
    <col min="9" max="9" width="11.140625" bestFit="1" customWidth="1"/>
  </cols>
  <sheetData>
    <row r="1" spans="1:18" x14ac:dyDescent="0.25">
      <c r="A1" s="1"/>
      <c r="B1" s="93" t="s">
        <v>13</v>
      </c>
      <c r="C1" s="94"/>
      <c r="D1" s="94"/>
      <c r="E1" s="94"/>
      <c r="F1" s="94"/>
      <c r="G1" s="95"/>
      <c r="H1" s="92" t="s">
        <v>14</v>
      </c>
      <c r="I1" s="92"/>
      <c r="J1" s="92"/>
      <c r="K1" s="92"/>
      <c r="L1" s="92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2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25">
      <c r="F6" s="22"/>
      <c r="I6" s="22"/>
    </row>
    <row r="7" spans="1:18" x14ac:dyDescent="0.2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2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2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2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45" customHeight="1" x14ac:dyDescent="0.2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96" t="s">
        <v>16</v>
      </c>
      <c r="O11" s="96"/>
      <c r="P11" s="96"/>
      <c r="Q11" s="96"/>
      <c r="R11" s="96"/>
    </row>
    <row r="12" spans="1:18" x14ac:dyDescent="0.2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96"/>
      <c r="O12" s="96"/>
      <c r="P12" s="96"/>
      <c r="Q12" s="96"/>
      <c r="R12" s="96"/>
    </row>
    <row r="13" spans="1:18" x14ac:dyDescent="0.2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96"/>
      <c r="O13" s="96"/>
      <c r="P13" s="96"/>
      <c r="Q13" s="96"/>
      <c r="R13" s="96"/>
    </row>
    <row r="14" spans="1:18" ht="14.45" customHeight="1" x14ac:dyDescent="0.25">
      <c r="F14" s="22"/>
      <c r="I14" s="22"/>
      <c r="N14" s="96"/>
      <c r="O14" s="96"/>
      <c r="P14" s="96"/>
      <c r="Q14" s="96"/>
      <c r="R14" s="96"/>
    </row>
    <row r="15" spans="1:18" x14ac:dyDescent="0.2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96"/>
      <c r="O15" s="96"/>
      <c r="P15" s="96"/>
      <c r="Q15" s="96"/>
      <c r="R15" s="96"/>
    </row>
    <row r="16" spans="1:18" x14ac:dyDescent="0.2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96"/>
      <c r="O16" s="96"/>
      <c r="P16" s="96"/>
      <c r="Q16" s="96"/>
      <c r="R16" s="96"/>
    </row>
    <row r="17" spans="1:12" x14ac:dyDescent="0.2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1.85546875" bestFit="1" customWidth="1"/>
    <col min="9" max="9" width="11.140625" bestFit="1" customWidth="1"/>
  </cols>
  <sheetData>
    <row r="1" spans="1:18" x14ac:dyDescent="0.25">
      <c r="A1" s="1"/>
      <c r="B1" s="93" t="s">
        <v>13</v>
      </c>
      <c r="C1" s="94"/>
      <c r="D1" s="94"/>
      <c r="E1" s="94"/>
      <c r="F1" s="94"/>
      <c r="G1" s="95"/>
      <c r="H1" s="92" t="s">
        <v>14</v>
      </c>
      <c r="I1" s="92"/>
      <c r="J1" s="92"/>
      <c r="K1" s="92"/>
      <c r="L1" s="92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2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25">
      <c r="F6" s="22"/>
      <c r="I6" s="22"/>
    </row>
    <row r="7" spans="1:18" x14ac:dyDescent="0.2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2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2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2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45" customHeight="1" x14ac:dyDescent="0.2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96" t="s">
        <v>16</v>
      </c>
      <c r="O11" s="96"/>
      <c r="P11" s="96"/>
      <c r="Q11" s="96"/>
      <c r="R11" s="96"/>
    </row>
    <row r="12" spans="1:18" x14ac:dyDescent="0.2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96"/>
      <c r="O12" s="96"/>
      <c r="P12" s="96"/>
      <c r="Q12" s="96"/>
      <c r="R12" s="96"/>
    </row>
    <row r="13" spans="1:18" x14ac:dyDescent="0.2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96"/>
      <c r="O13" s="96"/>
      <c r="P13" s="96"/>
      <c r="Q13" s="96"/>
      <c r="R13" s="96"/>
    </row>
    <row r="14" spans="1:18" ht="14.45" customHeight="1" x14ac:dyDescent="0.25">
      <c r="F14" s="22"/>
      <c r="I14" s="22"/>
      <c r="N14" s="96"/>
      <c r="O14" s="96"/>
      <c r="P14" s="96"/>
      <c r="Q14" s="96"/>
      <c r="R14" s="96"/>
    </row>
    <row r="15" spans="1:18" x14ac:dyDescent="0.2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96"/>
      <c r="O15" s="96"/>
      <c r="P15" s="96"/>
      <c r="Q15" s="96"/>
      <c r="R15" s="96"/>
    </row>
    <row r="16" spans="1:18" x14ac:dyDescent="0.2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96"/>
      <c r="O16" s="96"/>
      <c r="P16" s="96"/>
      <c r="Q16" s="96"/>
      <c r="R16" s="96"/>
    </row>
    <row r="17" spans="1:12" x14ac:dyDescent="0.2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3" t="s">
        <v>13</v>
      </c>
      <c r="C1" s="94"/>
      <c r="D1" s="94"/>
      <c r="E1" s="94"/>
      <c r="F1" s="94"/>
      <c r="G1" s="95"/>
      <c r="H1" s="92" t="s">
        <v>14</v>
      </c>
      <c r="I1" s="92"/>
      <c r="J1" s="92"/>
      <c r="K1" s="92"/>
      <c r="L1" s="92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2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25">
      <c r="F6" s="22"/>
      <c r="I6" s="22"/>
    </row>
    <row r="7" spans="1:18" x14ac:dyDescent="0.2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2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2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2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45" customHeight="1" x14ac:dyDescent="0.2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96" t="s">
        <v>16</v>
      </c>
      <c r="O11" s="96"/>
      <c r="P11" s="96"/>
      <c r="Q11" s="96"/>
      <c r="R11" s="96"/>
    </row>
    <row r="12" spans="1:18" x14ac:dyDescent="0.2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96"/>
      <c r="O12" s="96"/>
      <c r="P12" s="96"/>
      <c r="Q12" s="96"/>
      <c r="R12" s="96"/>
    </row>
    <row r="13" spans="1:18" x14ac:dyDescent="0.2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96"/>
      <c r="O13" s="96"/>
      <c r="P13" s="96"/>
      <c r="Q13" s="96"/>
      <c r="R13" s="96"/>
    </row>
    <row r="14" spans="1:18" ht="14.45" customHeight="1" x14ac:dyDescent="0.25">
      <c r="F14" s="22"/>
      <c r="I14" s="22"/>
      <c r="N14" s="96"/>
      <c r="O14" s="96"/>
      <c r="P14" s="96"/>
      <c r="Q14" s="96"/>
      <c r="R14" s="96"/>
    </row>
    <row r="15" spans="1:18" x14ac:dyDescent="0.2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96"/>
      <c r="O15" s="96"/>
      <c r="P15" s="96"/>
      <c r="Q15" s="96"/>
      <c r="R15" s="96"/>
    </row>
    <row r="16" spans="1:18" x14ac:dyDescent="0.2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96"/>
      <c r="O16" s="96"/>
      <c r="P16" s="96"/>
      <c r="Q16" s="96"/>
      <c r="R16" s="96"/>
    </row>
    <row r="17" spans="1:12" x14ac:dyDescent="0.2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3" t="s">
        <v>13</v>
      </c>
      <c r="C1" s="94"/>
      <c r="D1" s="94"/>
      <c r="E1" s="94"/>
      <c r="F1" s="94"/>
      <c r="G1" s="95"/>
      <c r="H1" s="92" t="s">
        <v>14</v>
      </c>
      <c r="I1" s="92"/>
      <c r="J1" s="92"/>
      <c r="K1" s="92"/>
      <c r="L1" s="92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2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25">
      <c r="F6" s="22"/>
      <c r="I6" s="22"/>
    </row>
    <row r="7" spans="1:18" x14ac:dyDescent="0.2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2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2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2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45" customHeight="1" x14ac:dyDescent="0.2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96" t="s">
        <v>16</v>
      </c>
      <c r="O11" s="96"/>
      <c r="P11" s="96"/>
      <c r="Q11" s="96"/>
      <c r="R11" s="96"/>
    </row>
    <row r="12" spans="1:18" x14ac:dyDescent="0.2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96"/>
      <c r="O12" s="96"/>
      <c r="P12" s="96"/>
      <c r="Q12" s="96"/>
      <c r="R12" s="96"/>
    </row>
    <row r="13" spans="1:18" x14ac:dyDescent="0.2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96"/>
      <c r="O13" s="96"/>
      <c r="P13" s="96"/>
      <c r="Q13" s="96"/>
      <c r="R13" s="96"/>
    </row>
    <row r="14" spans="1:18" ht="14.45" customHeight="1" x14ac:dyDescent="0.25">
      <c r="F14" s="22"/>
      <c r="I14" s="22"/>
      <c r="N14" s="96"/>
      <c r="O14" s="96"/>
      <c r="P14" s="96"/>
      <c r="Q14" s="96"/>
      <c r="R14" s="96"/>
    </row>
    <row r="15" spans="1:18" x14ac:dyDescent="0.2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96"/>
      <c r="O15" s="96"/>
      <c r="P15" s="96"/>
      <c r="Q15" s="96"/>
      <c r="R15" s="96"/>
    </row>
    <row r="16" spans="1:18" x14ac:dyDescent="0.2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96"/>
      <c r="O16" s="96"/>
      <c r="P16" s="96"/>
      <c r="Q16" s="96"/>
      <c r="R16" s="96"/>
    </row>
    <row r="17" spans="1:14" x14ac:dyDescent="0.2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3" t="s">
        <v>13</v>
      </c>
      <c r="C1" s="94"/>
      <c r="D1" s="94"/>
      <c r="E1" s="94"/>
      <c r="F1" s="94"/>
      <c r="G1" s="95"/>
      <c r="H1" s="92" t="s">
        <v>14</v>
      </c>
      <c r="I1" s="92"/>
      <c r="J1" s="92"/>
      <c r="K1" s="92"/>
      <c r="L1" s="92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2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25">
      <c r="F6" s="22"/>
      <c r="I6" s="22"/>
    </row>
    <row r="7" spans="1:18" x14ac:dyDescent="0.2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2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2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2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45" customHeight="1" x14ac:dyDescent="0.2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96" t="s">
        <v>16</v>
      </c>
      <c r="O11" s="96"/>
      <c r="P11" s="96"/>
      <c r="Q11" s="96"/>
      <c r="R11" s="96"/>
    </row>
    <row r="12" spans="1:18" x14ac:dyDescent="0.2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96"/>
      <c r="O12" s="96"/>
      <c r="P12" s="96"/>
      <c r="Q12" s="96"/>
      <c r="R12" s="96"/>
    </row>
    <row r="13" spans="1:18" x14ac:dyDescent="0.2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96"/>
      <c r="O13" s="96"/>
      <c r="P13" s="96"/>
      <c r="Q13" s="96"/>
      <c r="R13" s="96"/>
    </row>
    <row r="14" spans="1:18" ht="14.45" customHeight="1" x14ac:dyDescent="0.25">
      <c r="F14" s="22"/>
      <c r="I14" s="22"/>
      <c r="N14" s="96"/>
      <c r="O14" s="96"/>
      <c r="P14" s="96"/>
      <c r="Q14" s="96"/>
      <c r="R14" s="96"/>
    </row>
    <row r="15" spans="1:18" x14ac:dyDescent="0.2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96"/>
      <c r="O15" s="96"/>
      <c r="P15" s="96"/>
      <c r="Q15" s="96"/>
      <c r="R15" s="96"/>
    </row>
    <row r="16" spans="1:18" x14ac:dyDescent="0.2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96"/>
      <c r="O16" s="96"/>
      <c r="P16" s="96"/>
      <c r="Q16" s="96"/>
      <c r="R16" s="96"/>
    </row>
    <row r="17" spans="1:14" x14ac:dyDescent="0.2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3" t="s">
        <v>13</v>
      </c>
      <c r="C1" s="94"/>
      <c r="D1" s="94"/>
      <c r="E1" s="94"/>
      <c r="F1" s="94"/>
      <c r="G1" s="95"/>
      <c r="H1" s="92" t="s">
        <v>14</v>
      </c>
      <c r="I1" s="92"/>
      <c r="J1" s="92"/>
      <c r="K1" s="92"/>
      <c r="L1" s="92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2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25">
      <c r="F6" s="22"/>
      <c r="I6" s="22"/>
    </row>
    <row r="7" spans="1:18" x14ac:dyDescent="0.2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2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2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2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45" customHeight="1" x14ac:dyDescent="0.2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96" t="s">
        <v>16</v>
      </c>
      <c r="O11" s="96"/>
      <c r="P11" s="96"/>
      <c r="Q11" s="96"/>
      <c r="R11" s="96"/>
    </row>
    <row r="12" spans="1:18" x14ac:dyDescent="0.2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96"/>
      <c r="O12" s="96"/>
      <c r="P12" s="96"/>
      <c r="Q12" s="96"/>
      <c r="R12" s="96"/>
    </row>
    <row r="13" spans="1:18" x14ac:dyDescent="0.2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96"/>
      <c r="O13" s="96"/>
      <c r="P13" s="96"/>
      <c r="Q13" s="96"/>
      <c r="R13" s="96"/>
    </row>
    <row r="14" spans="1:18" ht="14.45" customHeight="1" x14ac:dyDescent="0.25">
      <c r="F14" s="22"/>
      <c r="I14" s="22"/>
      <c r="N14" s="96"/>
      <c r="O14" s="96"/>
      <c r="P14" s="96"/>
      <c r="Q14" s="96"/>
      <c r="R14" s="96"/>
    </row>
    <row r="15" spans="1:18" x14ac:dyDescent="0.2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96"/>
      <c r="O15" s="96"/>
      <c r="P15" s="96"/>
      <c r="Q15" s="96"/>
      <c r="R15" s="96"/>
    </row>
    <row r="16" spans="1:18" x14ac:dyDescent="0.2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96"/>
      <c r="O16" s="96"/>
      <c r="P16" s="96"/>
      <c r="Q16" s="96"/>
      <c r="R16" s="96"/>
    </row>
    <row r="17" spans="1:14" x14ac:dyDescent="0.2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3" t="s">
        <v>13</v>
      </c>
      <c r="C1" s="94"/>
      <c r="D1" s="94"/>
      <c r="E1" s="94"/>
      <c r="F1" s="94"/>
      <c r="G1" s="95"/>
      <c r="H1" s="92" t="s">
        <v>14</v>
      </c>
      <c r="I1" s="92"/>
      <c r="J1" s="92"/>
      <c r="K1" s="92"/>
      <c r="L1" s="92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2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25">
      <c r="F6" s="22"/>
      <c r="I6" s="22"/>
    </row>
    <row r="7" spans="1:18" x14ac:dyDescent="0.2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2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2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2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45" customHeight="1" x14ac:dyDescent="0.2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96" t="s">
        <v>16</v>
      </c>
      <c r="O11" s="96"/>
      <c r="P11" s="96"/>
      <c r="Q11" s="96"/>
      <c r="R11" s="96"/>
    </row>
    <row r="12" spans="1:18" x14ac:dyDescent="0.2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96"/>
      <c r="O12" s="96"/>
      <c r="P12" s="96"/>
      <c r="Q12" s="96"/>
      <c r="R12" s="96"/>
    </row>
    <row r="13" spans="1:18" x14ac:dyDescent="0.2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96"/>
      <c r="O13" s="96"/>
      <c r="P13" s="96"/>
      <c r="Q13" s="96"/>
      <c r="R13" s="96"/>
    </row>
    <row r="14" spans="1:18" ht="14.45" customHeight="1" x14ac:dyDescent="0.25">
      <c r="F14" s="22"/>
      <c r="I14" s="22"/>
      <c r="N14" s="96"/>
      <c r="O14" s="96"/>
      <c r="P14" s="96"/>
      <c r="Q14" s="96"/>
      <c r="R14" s="96"/>
    </row>
    <row r="15" spans="1:18" x14ac:dyDescent="0.2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96"/>
      <c r="O15" s="96"/>
      <c r="P15" s="96"/>
      <c r="Q15" s="96"/>
      <c r="R15" s="96"/>
    </row>
    <row r="16" spans="1:18" x14ac:dyDescent="0.2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96"/>
      <c r="O16" s="96"/>
      <c r="P16" s="96"/>
      <c r="Q16" s="96"/>
      <c r="R16" s="96"/>
    </row>
    <row r="17" spans="1:14" x14ac:dyDescent="0.2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3" t="s">
        <v>13</v>
      </c>
      <c r="C1" s="94"/>
      <c r="D1" s="94"/>
      <c r="E1" s="94"/>
      <c r="F1" s="94"/>
      <c r="G1" s="95"/>
      <c r="H1" s="97" t="s">
        <v>14</v>
      </c>
      <c r="I1" s="98"/>
      <c r="J1" s="98"/>
      <c r="K1" s="98"/>
      <c r="L1" s="99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2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25">
      <c r="F6" s="22"/>
      <c r="I6" s="22"/>
    </row>
    <row r="7" spans="1:18" x14ac:dyDescent="0.2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2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2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2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45" customHeight="1" x14ac:dyDescent="0.2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96" t="s">
        <v>16</v>
      </c>
      <c r="O11" s="96"/>
      <c r="P11" s="96"/>
      <c r="Q11" s="96"/>
      <c r="R11" s="96"/>
    </row>
    <row r="12" spans="1:18" x14ac:dyDescent="0.2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96"/>
      <c r="O12" s="96"/>
      <c r="P12" s="96"/>
      <c r="Q12" s="96"/>
      <c r="R12" s="96"/>
    </row>
    <row r="13" spans="1:18" x14ac:dyDescent="0.2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96"/>
      <c r="O13" s="96"/>
      <c r="P13" s="96"/>
      <c r="Q13" s="96"/>
      <c r="R13" s="96"/>
    </row>
    <row r="14" spans="1:18" ht="14.45" customHeight="1" x14ac:dyDescent="0.25">
      <c r="F14" s="22"/>
      <c r="I14" s="22"/>
      <c r="N14" s="96"/>
      <c r="O14" s="96"/>
      <c r="P14" s="96"/>
      <c r="Q14" s="96"/>
      <c r="R14" s="96"/>
    </row>
    <row r="15" spans="1:18" x14ac:dyDescent="0.2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96"/>
      <c r="O15" s="96"/>
      <c r="P15" s="96"/>
      <c r="Q15" s="96"/>
      <c r="R15" s="96"/>
    </row>
    <row r="16" spans="1:18" x14ac:dyDescent="0.2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96"/>
      <c r="O16" s="96"/>
      <c r="P16" s="96"/>
      <c r="Q16" s="96"/>
      <c r="R16" s="96"/>
    </row>
    <row r="17" spans="1:14" x14ac:dyDescent="0.2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3" t="s">
        <v>13</v>
      </c>
      <c r="C1" s="94"/>
      <c r="D1" s="94"/>
      <c r="E1" s="94"/>
      <c r="F1" s="94"/>
      <c r="G1" s="95"/>
      <c r="H1" s="92" t="s">
        <v>14</v>
      </c>
      <c r="I1" s="92"/>
      <c r="J1" s="92"/>
      <c r="K1" s="92"/>
      <c r="L1" s="92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2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25">
      <c r="F6" s="22"/>
      <c r="I6" s="22"/>
    </row>
    <row r="7" spans="1:18" x14ac:dyDescent="0.2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2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2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2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45" customHeight="1" x14ac:dyDescent="0.2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96" t="s">
        <v>16</v>
      </c>
      <c r="O11" s="96"/>
      <c r="P11" s="96"/>
      <c r="Q11" s="96"/>
      <c r="R11" s="96"/>
    </row>
    <row r="12" spans="1:18" x14ac:dyDescent="0.2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96"/>
      <c r="O12" s="96"/>
      <c r="P12" s="96"/>
      <c r="Q12" s="96"/>
      <c r="R12" s="96"/>
    </row>
    <row r="13" spans="1:18" x14ac:dyDescent="0.2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96"/>
      <c r="O13" s="96"/>
      <c r="P13" s="96"/>
      <c r="Q13" s="96"/>
      <c r="R13" s="96"/>
    </row>
    <row r="14" spans="1:18" ht="14.45" customHeight="1" x14ac:dyDescent="0.25">
      <c r="F14" s="22"/>
      <c r="I14" s="22"/>
      <c r="N14" s="96"/>
      <c r="O14" s="96"/>
      <c r="P14" s="96"/>
      <c r="Q14" s="96"/>
      <c r="R14" s="96"/>
    </row>
    <row r="15" spans="1:18" x14ac:dyDescent="0.2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96"/>
      <c r="O15" s="96"/>
      <c r="P15" s="96"/>
      <c r="Q15" s="96"/>
      <c r="R15" s="96"/>
    </row>
    <row r="16" spans="1:18" x14ac:dyDescent="0.2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96"/>
      <c r="O16" s="96"/>
      <c r="P16" s="96"/>
      <c r="Q16" s="96"/>
      <c r="R16" s="96"/>
    </row>
    <row r="17" spans="1:12" x14ac:dyDescent="0.2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3" t="s">
        <v>13</v>
      </c>
      <c r="C1" s="94"/>
      <c r="D1" s="94"/>
      <c r="E1" s="94"/>
      <c r="F1" s="94"/>
      <c r="G1" s="95"/>
      <c r="H1" s="97" t="s">
        <v>14</v>
      </c>
      <c r="I1" s="98"/>
      <c r="J1" s="98"/>
      <c r="K1" s="98"/>
      <c r="L1" s="99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2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25">
      <c r="F6" s="22"/>
      <c r="I6" s="22"/>
    </row>
    <row r="7" spans="1:18" x14ac:dyDescent="0.2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2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2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2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45" customHeight="1" x14ac:dyDescent="0.2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96" t="s">
        <v>16</v>
      </c>
      <c r="O11" s="96"/>
      <c r="P11" s="96"/>
      <c r="Q11" s="96"/>
      <c r="R11" s="96"/>
    </row>
    <row r="12" spans="1:18" x14ac:dyDescent="0.2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96"/>
      <c r="O12" s="96"/>
      <c r="P12" s="96"/>
      <c r="Q12" s="96"/>
      <c r="R12" s="96"/>
    </row>
    <row r="13" spans="1:18" x14ac:dyDescent="0.2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96"/>
      <c r="O13" s="96"/>
      <c r="P13" s="96"/>
      <c r="Q13" s="96"/>
      <c r="R13" s="96"/>
    </row>
    <row r="14" spans="1:18" ht="14.45" customHeight="1" x14ac:dyDescent="0.25">
      <c r="F14" s="22"/>
      <c r="I14" s="22"/>
      <c r="N14" s="96"/>
      <c r="O14" s="96"/>
      <c r="P14" s="96"/>
      <c r="Q14" s="96"/>
      <c r="R14" s="96"/>
    </row>
    <row r="15" spans="1:18" x14ac:dyDescent="0.2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96"/>
      <c r="O15" s="96"/>
      <c r="P15" s="96"/>
      <c r="Q15" s="96"/>
      <c r="R15" s="96"/>
    </row>
    <row r="16" spans="1:18" x14ac:dyDescent="0.2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96"/>
      <c r="O16" s="96"/>
      <c r="P16" s="96"/>
      <c r="Q16" s="96"/>
      <c r="R16" s="96"/>
    </row>
    <row r="17" spans="1:14" x14ac:dyDescent="0.2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3" t="s">
        <v>13</v>
      </c>
      <c r="C1" s="94"/>
      <c r="D1" s="94"/>
      <c r="E1" s="94"/>
      <c r="F1" s="94"/>
      <c r="G1" s="95"/>
      <c r="H1" s="92" t="s">
        <v>14</v>
      </c>
      <c r="I1" s="92"/>
      <c r="J1" s="92"/>
      <c r="K1" s="92"/>
      <c r="L1" s="92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2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25">
      <c r="F6" s="22"/>
      <c r="I6" s="22"/>
    </row>
    <row r="7" spans="1:18" x14ac:dyDescent="0.2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2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2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2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45" customHeight="1" x14ac:dyDescent="0.2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96" t="s">
        <v>16</v>
      </c>
      <c r="O11" s="96"/>
      <c r="P11" s="96"/>
      <c r="Q11" s="96"/>
      <c r="R11" s="96"/>
    </row>
    <row r="12" spans="1:18" x14ac:dyDescent="0.2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96"/>
      <c r="O12" s="96"/>
      <c r="P12" s="96"/>
      <c r="Q12" s="96"/>
      <c r="R12" s="96"/>
    </row>
    <row r="13" spans="1:18" x14ac:dyDescent="0.2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96"/>
      <c r="O13" s="96"/>
      <c r="P13" s="96"/>
      <c r="Q13" s="96"/>
      <c r="R13" s="96"/>
    </row>
    <row r="14" spans="1:18" ht="14.45" customHeight="1" x14ac:dyDescent="0.25">
      <c r="F14" s="22"/>
      <c r="I14" s="22"/>
      <c r="N14" s="96"/>
      <c r="O14" s="96"/>
      <c r="P14" s="96"/>
      <c r="Q14" s="96"/>
      <c r="R14" s="96"/>
    </row>
    <row r="15" spans="1:18" x14ac:dyDescent="0.2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96"/>
      <c r="O15" s="96"/>
      <c r="P15" s="96"/>
      <c r="Q15" s="96"/>
      <c r="R15" s="96"/>
    </row>
    <row r="16" spans="1:18" x14ac:dyDescent="0.2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96"/>
      <c r="O16" s="96"/>
      <c r="P16" s="96"/>
      <c r="Q16" s="96"/>
      <c r="R16" s="96"/>
    </row>
    <row r="17" spans="1:12" x14ac:dyDescent="0.2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5" x14ac:dyDescent="0.25"/>
  <cols>
    <col min="1" max="1" width="23.5703125" customWidth="1"/>
    <col min="6" max="6" width="10.140625" bestFit="1" customWidth="1"/>
    <col min="9" max="9" width="10.140625" bestFit="1" customWidth="1"/>
  </cols>
  <sheetData>
    <row r="4" spans="1:12" x14ac:dyDescent="0.25">
      <c r="A4" s="1"/>
      <c r="B4" s="93" t="s">
        <v>13</v>
      </c>
      <c r="C4" s="94"/>
      <c r="D4" s="94"/>
      <c r="E4" s="94"/>
      <c r="F4" s="94"/>
      <c r="G4" s="95"/>
      <c r="H4" s="97" t="s">
        <v>14</v>
      </c>
      <c r="I4" s="98"/>
      <c r="J4" s="98"/>
      <c r="K4" s="98"/>
      <c r="L4" s="99"/>
    </row>
    <row r="5" spans="1:12" x14ac:dyDescent="0.2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2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2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2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25">
      <c r="F9" s="22"/>
      <c r="I9" s="22"/>
    </row>
    <row r="10" spans="1:12" x14ac:dyDescent="0.2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2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2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2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2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2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2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25">
      <c r="F17" s="22"/>
      <c r="I17" s="22"/>
    </row>
    <row r="18" spans="1:12" x14ac:dyDescent="0.2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2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2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3" t="s">
        <v>13</v>
      </c>
      <c r="C1" s="94"/>
      <c r="D1" s="94"/>
      <c r="E1" s="94"/>
      <c r="F1" s="94"/>
      <c r="G1" s="95"/>
      <c r="H1" s="97" t="s">
        <v>14</v>
      </c>
      <c r="I1" s="98"/>
      <c r="J1" s="98"/>
      <c r="K1" s="98"/>
      <c r="L1" s="99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2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25">
      <c r="F6" s="22"/>
      <c r="I6" s="22"/>
    </row>
    <row r="7" spans="1:18" x14ac:dyDescent="0.2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2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2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2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45" customHeight="1" x14ac:dyDescent="0.2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96" t="s">
        <v>16</v>
      </c>
      <c r="O11" s="96"/>
      <c r="P11" s="96"/>
      <c r="Q11" s="96"/>
      <c r="R11" s="96"/>
    </row>
    <row r="12" spans="1:18" x14ac:dyDescent="0.2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96"/>
      <c r="O12" s="96"/>
      <c r="P12" s="96"/>
      <c r="Q12" s="96"/>
      <c r="R12" s="96"/>
    </row>
    <row r="13" spans="1:18" x14ac:dyDescent="0.2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96"/>
      <c r="O13" s="96"/>
      <c r="P13" s="96"/>
      <c r="Q13" s="96"/>
      <c r="R13" s="96"/>
    </row>
    <row r="14" spans="1:18" ht="14.45" customHeight="1" x14ac:dyDescent="0.25">
      <c r="F14" s="22"/>
      <c r="I14" s="22"/>
      <c r="N14" s="96"/>
      <c r="O14" s="96"/>
      <c r="P14" s="96"/>
      <c r="Q14" s="96"/>
      <c r="R14" s="96"/>
    </row>
    <row r="15" spans="1:18" x14ac:dyDescent="0.2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96"/>
      <c r="O15" s="96"/>
      <c r="P15" s="96"/>
      <c r="Q15" s="96"/>
      <c r="R15" s="96"/>
    </row>
    <row r="16" spans="1:18" x14ac:dyDescent="0.2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96"/>
      <c r="O16" s="96"/>
      <c r="P16" s="96"/>
      <c r="Q16" s="96"/>
      <c r="R16" s="96"/>
    </row>
    <row r="17" spans="1:14" x14ac:dyDescent="0.2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4" max="4" width="7.5703125" customWidth="1"/>
    <col min="5" max="5" width="7.140625" bestFit="1" customWidth="1"/>
    <col min="6" max="6" width="14" bestFit="1" customWidth="1"/>
    <col min="7" max="7" width="7.85546875" customWidth="1"/>
    <col min="9" max="9" width="7.28515625" customWidth="1"/>
    <col min="10" max="10" width="8.140625" bestFit="1" customWidth="1"/>
    <col min="11" max="11" width="11.28515625" bestFit="1" customWidth="1"/>
    <col min="12" max="12" width="7.85546875" bestFit="1" customWidth="1"/>
  </cols>
  <sheetData>
    <row r="4" spans="1:16" x14ac:dyDescent="0.25">
      <c r="A4" s="1"/>
      <c r="B4" s="93" t="s">
        <v>13</v>
      </c>
      <c r="C4" s="94"/>
      <c r="D4" s="94"/>
      <c r="E4" s="94"/>
      <c r="F4" s="94"/>
      <c r="G4" s="94"/>
      <c r="H4" s="95"/>
      <c r="I4" s="28"/>
      <c r="J4" s="97" t="s">
        <v>14</v>
      </c>
      <c r="K4" s="98"/>
      <c r="L4" s="98"/>
      <c r="M4" s="98"/>
      <c r="N4" s="98"/>
      <c r="O4" s="98"/>
      <c r="P4" s="99"/>
    </row>
    <row r="5" spans="1:16" x14ac:dyDescent="0.2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2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2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2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25">
      <c r="F9" s="22"/>
      <c r="G9" s="22"/>
      <c r="K9" s="22"/>
      <c r="L9" s="22"/>
    </row>
    <row r="10" spans="1:16" x14ac:dyDescent="0.2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2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2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2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2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2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2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25">
      <c r="F17" s="22"/>
      <c r="G17" s="22"/>
      <c r="K17" s="22"/>
      <c r="L17" s="22"/>
    </row>
    <row r="18" spans="1:16" x14ac:dyDescent="0.2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2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2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4"/>
      <c r="T1" s="84"/>
      <c r="U1" s="84"/>
      <c r="V1" s="84"/>
    </row>
    <row r="3" spans="1:23" ht="15.75" x14ac:dyDescent="0.25">
      <c r="Q3" s="74"/>
    </row>
    <row r="5" spans="1:23" x14ac:dyDescent="0.25">
      <c r="B5" s="91"/>
      <c r="C5" s="91"/>
      <c r="D5" s="91"/>
    </row>
    <row r="7" spans="1:23" x14ac:dyDescent="0.25">
      <c r="A7" s="32"/>
      <c r="B7" s="85" t="s">
        <v>13</v>
      </c>
      <c r="C7" s="86"/>
      <c r="D7" s="86"/>
      <c r="E7" s="86"/>
      <c r="F7" s="86"/>
      <c r="G7" s="86"/>
      <c r="H7" s="86"/>
      <c r="I7" s="86"/>
      <c r="J7" s="88" t="s">
        <v>14</v>
      </c>
      <c r="K7" s="89"/>
      <c r="L7" s="89"/>
      <c r="M7" s="89"/>
      <c r="N7" s="89"/>
      <c r="O7" s="89"/>
      <c r="P7" s="90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4"/>
      <c r="T9" s="84"/>
      <c r="U9" s="84"/>
      <c r="V9" s="84"/>
      <c r="W9" s="84"/>
    </row>
    <row r="10" spans="1:23" ht="17.25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ht="17.25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ht="17.25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ht="17.25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ht="17.25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ht="17.25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ht="17.25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2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25">
      <c r="A27" s="32"/>
      <c r="B27" s="85" t="s">
        <v>13</v>
      </c>
      <c r="C27" s="86"/>
      <c r="D27" s="86"/>
      <c r="E27" s="86"/>
      <c r="F27" s="86"/>
      <c r="G27" s="86"/>
      <c r="H27" s="86"/>
      <c r="I27" s="87"/>
      <c r="J27" s="88" t="s">
        <v>14</v>
      </c>
      <c r="K27" s="89"/>
      <c r="L27" s="89"/>
      <c r="M27" s="89"/>
      <c r="N27" s="89"/>
      <c r="O27" s="89"/>
      <c r="P27" s="90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ht="17.25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ht="17.25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ht="17.25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ht="17.25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ht="17.25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ht="17.25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ht="17.25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ht="17.25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ht="17.25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ht="17.25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ht="17.25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4"/>
      <c r="T1" s="84"/>
      <c r="U1" s="84"/>
      <c r="V1" s="84"/>
    </row>
    <row r="3" spans="1:23" ht="15.75" x14ac:dyDescent="0.25">
      <c r="Q3" s="74"/>
    </row>
    <row r="5" spans="1:23" x14ac:dyDescent="0.25">
      <c r="B5" s="91"/>
      <c r="C5" s="91"/>
      <c r="D5" s="91"/>
    </row>
    <row r="7" spans="1:23" x14ac:dyDescent="0.25">
      <c r="A7" s="32"/>
      <c r="B7" s="85" t="s">
        <v>13</v>
      </c>
      <c r="C7" s="86"/>
      <c r="D7" s="86"/>
      <c r="E7" s="86"/>
      <c r="F7" s="86"/>
      <c r="G7" s="86"/>
      <c r="H7" s="86"/>
      <c r="I7" s="86"/>
      <c r="J7" s="88" t="s">
        <v>14</v>
      </c>
      <c r="K7" s="89"/>
      <c r="L7" s="89"/>
      <c r="M7" s="89"/>
      <c r="N7" s="89"/>
      <c r="O7" s="89"/>
      <c r="P7" s="90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4"/>
      <c r="T9" s="84"/>
      <c r="U9" s="84"/>
      <c r="V9" s="84"/>
      <c r="W9" s="84"/>
    </row>
    <row r="10" spans="1:23" ht="17.25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ht="17.25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ht="17.25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ht="17.25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ht="17.25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ht="17.25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ht="17.25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2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25">
      <c r="A27" s="32"/>
      <c r="B27" s="85" t="s">
        <v>13</v>
      </c>
      <c r="C27" s="86"/>
      <c r="D27" s="86"/>
      <c r="E27" s="86"/>
      <c r="F27" s="86"/>
      <c r="G27" s="86"/>
      <c r="H27" s="86"/>
      <c r="I27" s="87"/>
      <c r="J27" s="88" t="s">
        <v>14</v>
      </c>
      <c r="K27" s="89"/>
      <c r="L27" s="89"/>
      <c r="M27" s="89"/>
      <c r="N27" s="89"/>
      <c r="O27" s="89"/>
      <c r="P27" s="90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ht="17.25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ht="17.25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ht="17.25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ht="17.25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ht="17.25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ht="17.25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ht="17.25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ht="17.25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ht="17.25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ht="17.25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ht="17.25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D14" sqref="D14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4"/>
      <c r="T1" s="84"/>
      <c r="U1" s="84"/>
      <c r="V1" s="84"/>
    </row>
    <row r="3" spans="1:23" ht="15.75" x14ac:dyDescent="0.25">
      <c r="Q3" s="74"/>
    </row>
    <row r="5" spans="1:23" x14ac:dyDescent="0.25">
      <c r="B5" s="91"/>
      <c r="C5" s="91"/>
      <c r="D5" s="91"/>
    </row>
    <row r="7" spans="1:23" x14ac:dyDescent="0.25">
      <c r="A7" s="32"/>
      <c r="B7" s="85" t="s">
        <v>13</v>
      </c>
      <c r="C7" s="86"/>
      <c r="D7" s="86"/>
      <c r="E7" s="86"/>
      <c r="F7" s="86"/>
      <c r="G7" s="86"/>
      <c r="H7" s="86"/>
      <c r="I7" s="86"/>
      <c r="J7" s="88" t="s">
        <v>14</v>
      </c>
      <c r="K7" s="89"/>
      <c r="L7" s="89"/>
      <c r="M7" s="89"/>
      <c r="N7" s="89"/>
      <c r="O7" s="89"/>
      <c r="P7" s="90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4"/>
      <c r="T9" s="84"/>
      <c r="U9" s="84"/>
      <c r="V9" s="84"/>
      <c r="W9" s="84"/>
    </row>
    <row r="10" spans="1:23" ht="17.25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ht="17.25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ht="17.25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ht="17.25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ht="17.25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ht="17.25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ht="17.25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2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2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25">
      <c r="A27" s="32"/>
      <c r="B27" s="85" t="s">
        <v>13</v>
      </c>
      <c r="C27" s="86"/>
      <c r="D27" s="86"/>
      <c r="E27" s="86"/>
      <c r="F27" s="86"/>
      <c r="G27" s="86"/>
      <c r="H27" s="86"/>
      <c r="I27" s="87"/>
      <c r="J27" s="88" t="s">
        <v>14</v>
      </c>
      <c r="K27" s="89"/>
      <c r="L27" s="89"/>
      <c r="M27" s="89"/>
      <c r="N27" s="89"/>
      <c r="O27" s="89"/>
      <c r="P27" s="90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ht="17.25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ht="17.25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ht="17.25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ht="17.25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ht="17.25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ht="17.25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ht="17.25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ht="17.25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ht="17.25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ht="17.25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ht="17.25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58660</v>
      </c>
      <c r="I2">
        <v>35.549999999999997</v>
      </c>
      <c r="J2">
        <v>1650.07032348804</v>
      </c>
      <c r="K2">
        <v>995.00000399999999</v>
      </c>
      <c r="L2">
        <v>58.954773632342601</v>
      </c>
      <c r="M2">
        <v>23.4047736323426</v>
      </c>
      <c r="N2">
        <v>1.6583621274920499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500</v>
      </c>
      <c r="I3">
        <v>0.80555555555555503</v>
      </c>
      <c r="J3">
        <v>620.68965517241304</v>
      </c>
      <c r="K3">
        <v>275.00000399999999</v>
      </c>
      <c r="L3">
        <v>1.8181817917355301</v>
      </c>
      <c r="M3">
        <v>1.01262623617998</v>
      </c>
      <c r="N3">
        <v>2.25705325870618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1290</v>
      </c>
      <c r="I4">
        <v>2.72444444444444</v>
      </c>
      <c r="J4">
        <v>473.49102773246301</v>
      </c>
      <c r="K4">
        <v>101.999988</v>
      </c>
      <c r="L4">
        <v>12.6470603114188</v>
      </c>
      <c r="M4">
        <v>9.9226158669744091</v>
      </c>
      <c r="N4">
        <v>4.6420694454636902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10</v>
      </c>
      <c r="I5">
        <v>0.77666666666666595</v>
      </c>
      <c r="J5">
        <v>12.8755364806866</v>
      </c>
      <c r="K5">
        <v>52.999991999999999</v>
      </c>
      <c r="L5">
        <v>0.18867927376290899</v>
      </c>
      <c r="M5">
        <v>-0.58798739290375701</v>
      </c>
      <c r="N5">
        <v>0.24293468724838099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1800</v>
      </c>
      <c r="I7">
        <v>4.3066666666666604</v>
      </c>
      <c r="J7">
        <v>417.95665634674901</v>
      </c>
      <c r="K7">
        <v>122.834015121395</v>
      </c>
      <c r="L7">
        <v>14.6539213769173</v>
      </c>
      <c r="M7">
        <v>10.347254710250599</v>
      </c>
      <c r="N7">
        <v>3.4026133228136102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5318</v>
      </c>
      <c r="I14">
        <v>5.3366666666666598</v>
      </c>
      <c r="J14">
        <v>996.50218613366599</v>
      </c>
      <c r="K14">
        <v>524.99998800000003</v>
      </c>
      <c r="L14">
        <v>10.129524041055699</v>
      </c>
      <c r="M14">
        <v>4.7928573743891203</v>
      </c>
      <c r="N14">
        <v>1.8980994455444899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58660</v>
      </c>
      <c r="I16">
        <v>38.843611111111102</v>
      </c>
      <c r="J16">
        <v>1510.1582556834001</v>
      </c>
      <c r="K16">
        <v>2000.00001599999</v>
      </c>
      <c r="L16">
        <v>29.32999976536</v>
      </c>
      <c r="M16">
        <v>-9.5136113457510998</v>
      </c>
      <c r="N16">
        <v>0.75507912180106795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58660</v>
      </c>
      <c r="I17">
        <v>84.036944444444401</v>
      </c>
      <c r="J17">
        <v>698.026331011823</v>
      </c>
      <c r="K17">
        <v>518.80184029101702</v>
      </c>
      <c r="L17">
        <v>113.068218815675</v>
      </c>
      <c r="M17">
        <v>29.031274371231198</v>
      </c>
      <c r="N17">
        <v>1.34545847142768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5413</v>
      </c>
      <c r="I46">
        <v>98.203888888888798</v>
      </c>
      <c r="J46">
        <v>55.120016745206897</v>
      </c>
      <c r="K46">
        <v>86.000004000000004</v>
      </c>
      <c r="L46">
        <v>62.941857537588</v>
      </c>
      <c r="M46">
        <v>-35.262031351300799</v>
      </c>
      <c r="N46">
        <v>0.64093039745913205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141857</v>
      </c>
      <c r="I50">
        <v>16.502777777777698</v>
      </c>
      <c r="J50">
        <v>8595.9468103012896</v>
      </c>
      <c r="K50">
        <v>15000.0000119999</v>
      </c>
      <c r="L50">
        <v>9.4571333257676198</v>
      </c>
      <c r="M50">
        <v>-7.0456444520101504</v>
      </c>
      <c r="N50">
        <v>0.57306312022830197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141857</v>
      </c>
      <c r="I51">
        <v>114.706666666666</v>
      </c>
      <c r="J51">
        <v>1236.6935952574599</v>
      </c>
      <c r="K51">
        <v>1959.3781392303899</v>
      </c>
      <c r="L51">
        <v>72.398990863355607</v>
      </c>
      <c r="M51">
        <v>-42.307675803311</v>
      </c>
      <c r="N51">
        <v>0.63116637391045805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58660</v>
      </c>
      <c r="I52">
        <v>15.6</v>
      </c>
      <c r="J52">
        <v>3760.2564102564102</v>
      </c>
      <c r="K52">
        <v>4500</v>
      </c>
      <c r="L52">
        <v>13.035555555555501</v>
      </c>
      <c r="M52">
        <v>-2.5644444444444399</v>
      </c>
      <c r="N52">
        <v>0.83561253561253501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58660</v>
      </c>
      <c r="I53">
        <v>7.7844444444444401</v>
      </c>
      <c r="J53">
        <v>7535.5409648872301</v>
      </c>
      <c r="K53">
        <v>1850.000004</v>
      </c>
      <c r="L53">
        <v>31.708108039550002</v>
      </c>
      <c r="M53">
        <v>23.923663595105499</v>
      </c>
      <c r="N53">
        <v>4.07326537761847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58660</v>
      </c>
      <c r="I54">
        <v>222.12805555555499</v>
      </c>
      <c r="J54">
        <v>264.08190470711901</v>
      </c>
      <c r="K54">
        <v>254.809858308244</v>
      </c>
      <c r="L54">
        <v>230.21087327413699</v>
      </c>
      <c r="M54">
        <v>8.0828177185814098</v>
      </c>
      <c r="N54">
        <v>1.03638809919064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14511</v>
      </c>
      <c r="I65">
        <v>10.281388888888801</v>
      </c>
      <c r="J65">
        <v>1411.3851889876501</v>
      </c>
      <c r="K65">
        <v>1244.000016</v>
      </c>
      <c r="L65">
        <v>11.6647908467551</v>
      </c>
      <c r="M65">
        <v>1.38340195786621</v>
      </c>
      <c r="N65">
        <v>1.1345539958479001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70747</v>
      </c>
      <c r="I66">
        <v>325.04638888888798</v>
      </c>
      <c r="J66">
        <v>217.65201035407699</v>
      </c>
      <c r="K66">
        <v>288</v>
      </c>
      <c r="L66">
        <v>245.649305555555</v>
      </c>
      <c r="M66">
        <v>-79.397083333333299</v>
      </c>
      <c r="N66">
        <v>0.75573614706276904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147</v>
      </c>
      <c r="I67">
        <v>0.88194444444444398</v>
      </c>
      <c r="J67">
        <v>166.67716535432999</v>
      </c>
      <c r="K67">
        <v>117</v>
      </c>
      <c r="L67">
        <v>1.2564102564102499</v>
      </c>
      <c r="M67">
        <v>0.37446581196581102</v>
      </c>
      <c r="N67">
        <v>1.4245911568746199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85405</v>
      </c>
      <c r="I69">
        <v>336.20972222222201</v>
      </c>
      <c r="J69">
        <v>254.02299325404499</v>
      </c>
      <c r="K69">
        <v>330.29675775328599</v>
      </c>
      <c r="L69">
        <v>258.57050665871998</v>
      </c>
      <c r="M69">
        <v>-77.639215563501295</v>
      </c>
      <c r="N69">
        <v>0.76907504324879405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83197</v>
      </c>
      <c r="I70">
        <v>19.466666666666601</v>
      </c>
      <c r="J70">
        <v>4273.8184931506803</v>
      </c>
      <c r="K70">
        <v>3465</v>
      </c>
      <c r="L70">
        <v>24.010678210678201</v>
      </c>
      <c r="M70">
        <v>4.5440115440115401</v>
      </c>
      <c r="N70">
        <v>1.2334252505485299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83197</v>
      </c>
      <c r="I71">
        <v>77.057500000000005</v>
      </c>
      <c r="J71">
        <v>1079.6742692145399</v>
      </c>
      <c r="K71">
        <v>1524.999996</v>
      </c>
      <c r="L71">
        <v>54.555409979161702</v>
      </c>
      <c r="M71">
        <v>-22.5020900208382</v>
      </c>
      <c r="N71">
        <v>0.70798312921080597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83197</v>
      </c>
      <c r="I72">
        <v>14.7111111111111</v>
      </c>
      <c r="J72">
        <v>5655.3851963746201</v>
      </c>
      <c r="K72">
        <v>3499.999992</v>
      </c>
      <c r="L72">
        <v>23.770571482904099</v>
      </c>
      <c r="M72">
        <v>9.0594603717930493</v>
      </c>
      <c r="N72">
        <v>1.6158243455146299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83197</v>
      </c>
      <c r="I73">
        <v>11.1419444444444</v>
      </c>
      <c r="J73">
        <v>7467.0090498865602</v>
      </c>
      <c r="K73">
        <v>5000.0000040000004</v>
      </c>
      <c r="L73">
        <v>16.639399986688399</v>
      </c>
      <c r="M73">
        <v>5.4974555422440297</v>
      </c>
      <c r="N73">
        <v>1.49340180878259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83197</v>
      </c>
      <c r="I74">
        <v>458.58694444444399</v>
      </c>
      <c r="J74">
        <v>181.42034135051301</v>
      </c>
      <c r="K74">
        <v>220.36222130514801</v>
      </c>
      <c r="L74">
        <v>377.546566318153</v>
      </c>
      <c r="M74">
        <v>-81.040378126290904</v>
      </c>
      <c r="N74">
        <v>0.82328241327395901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85405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83197</v>
      </c>
      <c r="I161">
        <v>81.483055555555495</v>
      </c>
      <c r="J161">
        <v>1021.0343663815499</v>
      </c>
      <c r="K161">
        <v>1047.82115869017</v>
      </c>
      <c r="L161">
        <v>79.400000000000006</v>
      </c>
      <c r="M161">
        <v>-2.0830555555555499</v>
      </c>
      <c r="N161">
        <v>0.97443572112811405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83197</v>
      </c>
      <c r="I162">
        <v>0</v>
      </c>
      <c r="J162">
        <v>0</v>
      </c>
      <c r="K162">
        <v>7848.7735849056598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83197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83197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141857</v>
      </c>
      <c r="I165">
        <v>40.3333333333333</v>
      </c>
      <c r="J165">
        <v>3517.1157024793301</v>
      </c>
      <c r="K165">
        <v>2499.999984</v>
      </c>
      <c r="L165">
        <v>56.742800363153897</v>
      </c>
      <c r="M165">
        <v>16.409467029820501</v>
      </c>
      <c r="N165">
        <v>1.4068462899955501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83197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58660</v>
      </c>
      <c r="I170">
        <v>222.12805555555499</v>
      </c>
      <c r="J170">
        <v>264.08190470711901</v>
      </c>
      <c r="K170">
        <v>254.809858308244</v>
      </c>
      <c r="L170">
        <v>230.21087327413699</v>
      </c>
      <c r="M170">
        <v>8.0828177185814098</v>
      </c>
      <c r="N170">
        <v>1.03638809919064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58660</v>
      </c>
      <c r="I172">
        <v>222.12805555555499</v>
      </c>
      <c r="J172">
        <v>264.08190470711901</v>
      </c>
      <c r="K172">
        <v>254.809858308244</v>
      </c>
      <c r="L172">
        <v>230.21087327413699</v>
      </c>
      <c r="M172">
        <v>8.0828177185814098</v>
      </c>
      <c r="N172">
        <v>1.03638809919064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83197</v>
      </c>
      <c r="I174">
        <v>458.58694444444399</v>
      </c>
      <c r="J174">
        <v>181.42034135051301</v>
      </c>
      <c r="K174">
        <v>220.36222130514801</v>
      </c>
      <c r="L174">
        <v>377.546566318153</v>
      </c>
      <c r="M174">
        <v>-81.040378126290904</v>
      </c>
      <c r="N174">
        <v>0.82328241327395901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83197</v>
      </c>
      <c r="I177">
        <v>121.816388888888</v>
      </c>
      <c r="J177">
        <v>682.97049977310996</v>
      </c>
      <c r="K177">
        <v>566.95796859612096</v>
      </c>
      <c r="L177">
        <v>146.74280036315301</v>
      </c>
      <c r="M177">
        <v>24.926411474264999</v>
      </c>
      <c r="N177">
        <v>1.20462280733835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141857</v>
      </c>
      <c r="I179">
        <v>802.53138888888805</v>
      </c>
      <c r="J179">
        <v>176.76193350692699</v>
      </c>
      <c r="K179">
        <v>188.01451939680899</v>
      </c>
      <c r="L179">
        <v>754.50023995544404</v>
      </c>
      <c r="M179">
        <v>-48.0311489334443</v>
      </c>
      <c r="N179">
        <v>0.94015044196595898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58660</v>
      </c>
      <c r="I180">
        <v>222.12805555555499</v>
      </c>
      <c r="J180">
        <v>264.08190470711901</v>
      </c>
      <c r="K180">
        <v>254.809858308244</v>
      </c>
      <c r="L180">
        <v>230.21087327413699</v>
      </c>
      <c r="M180">
        <v>8.0828177185814098</v>
      </c>
      <c r="N180">
        <v>1.03638809919064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83197</v>
      </c>
      <c r="I181">
        <v>458.58694444444399</v>
      </c>
      <c r="J181">
        <v>181.42034135051301</v>
      </c>
      <c r="K181">
        <v>220.36222130514801</v>
      </c>
      <c r="L181">
        <v>377.546566318153</v>
      </c>
      <c r="M181">
        <v>-81.040378126290904</v>
      </c>
      <c r="N181">
        <v>0.82328241327395901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83197</v>
      </c>
      <c r="I183">
        <v>121.816388888888</v>
      </c>
      <c r="J183">
        <v>682.97049977310996</v>
      </c>
      <c r="K183">
        <v>566.95796859612096</v>
      </c>
      <c r="L183">
        <v>146.74280036315301</v>
      </c>
      <c r="M183">
        <v>24.926411474264999</v>
      </c>
      <c r="N183">
        <v>1.20462280733835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141857</v>
      </c>
      <c r="I185">
        <v>802.53138888888805</v>
      </c>
      <c r="J185">
        <v>176.76193350692699</v>
      </c>
      <c r="K185">
        <v>188.01451939680899</v>
      </c>
      <c r="L185">
        <v>754.50023995544404</v>
      </c>
      <c r="M185">
        <v>-48.0311489334443</v>
      </c>
      <c r="N185">
        <v>0.94015044196595898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52761</v>
      </c>
      <c r="I2">
        <v>30.1666666666666</v>
      </c>
      <c r="J2">
        <v>1748.98342541436</v>
      </c>
      <c r="K2">
        <v>995.00000399999999</v>
      </c>
      <c r="L2">
        <v>53.026130440095898</v>
      </c>
      <c r="M2">
        <v>22.859463773429201</v>
      </c>
      <c r="N2">
        <v>1.75777227978218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1616</v>
      </c>
      <c r="I3">
        <v>1.7097222222222199</v>
      </c>
      <c r="J3">
        <v>945.18277822908203</v>
      </c>
      <c r="K3">
        <v>275.00000399999999</v>
      </c>
      <c r="L3">
        <v>5.8763635508892502</v>
      </c>
      <c r="M3">
        <v>4.1666413286670299</v>
      </c>
      <c r="N3">
        <v>3.4370282344762502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6459</v>
      </c>
      <c r="I4">
        <v>17.4169444444444</v>
      </c>
      <c r="J4">
        <v>370.84576003572499</v>
      </c>
      <c r="K4">
        <v>101.999988</v>
      </c>
      <c r="L4">
        <v>63.323536861592501</v>
      </c>
      <c r="M4">
        <v>45.906592417148097</v>
      </c>
      <c r="N4">
        <v>3.6357431731827701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9</v>
      </c>
      <c r="I5">
        <v>0.32805555555555499</v>
      </c>
      <c r="J5">
        <v>27.4343776460626</v>
      </c>
      <c r="K5">
        <v>52.999991999999999</v>
      </c>
      <c r="L5">
        <v>0.16981134638661799</v>
      </c>
      <c r="M5">
        <v>-0.158244209168937</v>
      </c>
      <c r="N5">
        <v>0.51762984503964904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8084</v>
      </c>
      <c r="I7">
        <v>19.454722222222198</v>
      </c>
      <c r="J7">
        <v>415.52893470594103</v>
      </c>
      <c r="K7">
        <v>116.535009228527</v>
      </c>
      <c r="L7">
        <v>69.369711758868405</v>
      </c>
      <c r="M7">
        <v>49.914989536646203</v>
      </c>
      <c r="N7">
        <v>3.5657004487903001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5147</v>
      </c>
      <c r="I14">
        <v>9.24</v>
      </c>
      <c r="J14">
        <v>557.03463203463195</v>
      </c>
      <c r="K14">
        <v>524.99998800000003</v>
      </c>
      <c r="L14">
        <v>9.8038097478966009</v>
      </c>
      <c r="M14">
        <v>0.56380974789660299</v>
      </c>
      <c r="N14">
        <v>1.06101837098448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52761</v>
      </c>
      <c r="I16">
        <v>48.014722222222197</v>
      </c>
      <c r="J16">
        <v>1098.8504683169999</v>
      </c>
      <c r="K16">
        <v>2000.00001599999</v>
      </c>
      <c r="L16">
        <v>26.380499788956001</v>
      </c>
      <c r="M16">
        <v>-21.634222433266199</v>
      </c>
      <c r="N16">
        <v>0.54942522976310204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52761</v>
      </c>
      <c r="I17">
        <v>106.876111111111</v>
      </c>
      <c r="J17">
        <v>493.66504311846001</v>
      </c>
      <c r="K17">
        <v>332.708724405157</v>
      </c>
      <c r="L17">
        <v>158.580151735817</v>
      </c>
      <c r="M17">
        <v>51.704040624705897</v>
      </c>
      <c r="N17">
        <v>1.48377546756873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5728</v>
      </c>
      <c r="I46">
        <v>76.788611111111095</v>
      </c>
      <c r="J46">
        <v>74.594395146849706</v>
      </c>
      <c r="K46">
        <v>86.000004000000004</v>
      </c>
      <c r="L46">
        <v>66.604648064900005</v>
      </c>
      <c r="M46">
        <v>-10.183963046211</v>
      </c>
      <c r="N46">
        <v>0.86737664741096698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131640</v>
      </c>
      <c r="I50">
        <v>24.593333333333302</v>
      </c>
      <c r="J50">
        <v>5352.6701002981799</v>
      </c>
      <c r="K50">
        <v>15000.0000119999</v>
      </c>
      <c r="L50">
        <v>8.7759999929791999</v>
      </c>
      <c r="M50">
        <v>-15.8173333403541</v>
      </c>
      <c r="N50">
        <v>0.35684467306773598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131640</v>
      </c>
      <c r="I51">
        <v>101.381944444444</v>
      </c>
      <c r="J51">
        <v>1298.4560586341499</v>
      </c>
      <c r="K51">
        <v>1746.33680382958</v>
      </c>
      <c r="L51">
        <v>75.380648057879299</v>
      </c>
      <c r="M51">
        <v>-26.001296386565102</v>
      </c>
      <c r="N51">
        <v>0.74353129120724804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52761</v>
      </c>
      <c r="I52">
        <v>16.899999999999999</v>
      </c>
      <c r="J52">
        <v>3121.9526627218902</v>
      </c>
      <c r="K52">
        <v>4500</v>
      </c>
      <c r="L52">
        <v>11.7246666666666</v>
      </c>
      <c r="M52">
        <v>-5.17533333333333</v>
      </c>
      <c r="N52">
        <v>0.69376725838264297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52761</v>
      </c>
      <c r="I53">
        <v>5.6883333333333299</v>
      </c>
      <c r="J53">
        <v>9275.3003222971001</v>
      </c>
      <c r="K53">
        <v>1850.000004</v>
      </c>
      <c r="L53">
        <v>28.5194593977957</v>
      </c>
      <c r="M53">
        <v>22.831126064462399</v>
      </c>
      <c r="N53">
        <v>5.0136758390499399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52761</v>
      </c>
      <c r="I54">
        <v>230.84638888888799</v>
      </c>
      <c r="J54">
        <v>228.55458235214101</v>
      </c>
      <c r="K54">
        <v>192.41448648260999</v>
      </c>
      <c r="L54">
        <v>274.20492585815799</v>
      </c>
      <c r="M54">
        <v>43.358536969269799</v>
      </c>
      <c r="N54">
        <v>1.1878241941663601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18918</v>
      </c>
      <c r="I65">
        <v>15.0688888888888</v>
      </c>
      <c r="J65">
        <v>1255.4343017254</v>
      </c>
      <c r="K65">
        <v>1244.000016</v>
      </c>
      <c r="L65">
        <v>15.2073953027987</v>
      </c>
      <c r="M65">
        <v>0.13850641390988599</v>
      </c>
      <c r="N65">
        <v>1.0091915478925599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59288</v>
      </c>
      <c r="I66">
        <v>330.73888888888803</v>
      </c>
      <c r="J66">
        <v>179.25923437421201</v>
      </c>
      <c r="K66">
        <v>288</v>
      </c>
      <c r="L66">
        <v>205.861111111111</v>
      </c>
      <c r="M66">
        <v>-124.877777777777</v>
      </c>
      <c r="N66">
        <v>0.62242789713268198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51</v>
      </c>
      <c r="I67">
        <v>0.40333333333333299</v>
      </c>
      <c r="J67">
        <v>126.44628099173499</v>
      </c>
      <c r="K67">
        <v>117</v>
      </c>
      <c r="L67">
        <v>0.43589743589743501</v>
      </c>
      <c r="M67">
        <v>3.2564102564102498E-2</v>
      </c>
      <c r="N67">
        <v>1.0807374443738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78257</v>
      </c>
      <c r="I69">
        <v>346.21111111111099</v>
      </c>
      <c r="J69">
        <v>226.03838377354799</v>
      </c>
      <c r="K69">
        <v>353.29771616216999</v>
      </c>
      <c r="L69">
        <v>221.50440384980701</v>
      </c>
      <c r="M69">
        <v>-124.70670726130299</v>
      </c>
      <c r="N69">
        <v>0.63979576836492302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78879</v>
      </c>
      <c r="I70">
        <v>12.050277777777699</v>
      </c>
      <c r="J70">
        <v>6545.8242087549797</v>
      </c>
      <c r="K70">
        <v>3465</v>
      </c>
      <c r="L70">
        <v>22.764502164502101</v>
      </c>
      <c r="M70">
        <v>10.7142243867243</v>
      </c>
      <c r="N70">
        <v>1.8891267557734399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78879</v>
      </c>
      <c r="I71">
        <v>73.401944444444396</v>
      </c>
      <c r="J71">
        <v>1074.6173088057701</v>
      </c>
      <c r="K71">
        <v>1524.999996</v>
      </c>
      <c r="L71">
        <v>51.723934561898801</v>
      </c>
      <c r="M71">
        <v>-21.678009882545599</v>
      </c>
      <c r="N71">
        <v>0.70466708958979896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78879</v>
      </c>
      <c r="I72">
        <v>10.883333333333301</v>
      </c>
      <c r="J72">
        <v>7247.6875957120901</v>
      </c>
      <c r="K72">
        <v>3499.999992</v>
      </c>
      <c r="L72">
        <v>22.536857194369901</v>
      </c>
      <c r="M72">
        <v>11.6535238610366</v>
      </c>
      <c r="N72">
        <v>2.07076788922235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78879</v>
      </c>
      <c r="I73">
        <v>5.3</v>
      </c>
      <c r="J73">
        <v>14882.8301886792</v>
      </c>
      <c r="K73">
        <v>5000.0000040000004</v>
      </c>
      <c r="L73">
        <v>15.775799987379299</v>
      </c>
      <c r="M73">
        <v>10.4757999873793</v>
      </c>
      <c r="N73">
        <v>2.97656603535459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78879</v>
      </c>
      <c r="I74">
        <v>447.84666666666601</v>
      </c>
      <c r="J74">
        <v>176.129478839483</v>
      </c>
      <c r="K74">
        <v>235.94885674632101</v>
      </c>
      <c r="L74">
        <v>334.30549775795703</v>
      </c>
      <c r="M74">
        <v>-113.541168908709</v>
      </c>
      <c r="N74">
        <v>0.74647311823531304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78257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78879</v>
      </c>
      <c r="I161">
        <v>79.082499999999996</v>
      </c>
      <c r="J161">
        <v>997.42673790029403</v>
      </c>
      <c r="K161">
        <v>993.43828715365203</v>
      </c>
      <c r="L161">
        <v>79.400000000000006</v>
      </c>
      <c r="M161">
        <v>0.3175</v>
      </c>
      <c r="N161">
        <v>1.0040147946764399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78879</v>
      </c>
      <c r="I162">
        <v>0</v>
      </c>
      <c r="J162">
        <v>0</v>
      </c>
      <c r="K162">
        <v>7441.4150943396198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78879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78879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131640</v>
      </c>
      <c r="I165">
        <v>71.349999999999994</v>
      </c>
      <c r="J165">
        <v>1844.98948843728</v>
      </c>
      <c r="K165">
        <v>2499.999984</v>
      </c>
      <c r="L165">
        <v>52.656000336998297</v>
      </c>
      <c r="M165">
        <v>-18.693999663001598</v>
      </c>
      <c r="N165">
        <v>0.73799580009808496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78879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52761</v>
      </c>
      <c r="I170">
        <v>230.84638888888799</v>
      </c>
      <c r="J170">
        <v>228.55458235214101</v>
      </c>
      <c r="K170">
        <v>192.41448648260999</v>
      </c>
      <c r="L170">
        <v>274.20492585815799</v>
      </c>
      <c r="M170">
        <v>43.358536969269799</v>
      </c>
      <c r="N170">
        <v>1.1878241941663601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52761</v>
      </c>
      <c r="I172">
        <v>230.84638888888799</v>
      </c>
      <c r="J172">
        <v>228.55458235214101</v>
      </c>
      <c r="K172">
        <v>192.41448648260999</v>
      </c>
      <c r="L172">
        <v>274.20492585815799</v>
      </c>
      <c r="M172">
        <v>43.358536969269799</v>
      </c>
      <c r="N172">
        <v>1.1878241941663601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78879</v>
      </c>
      <c r="I174">
        <v>447.84666666666601</v>
      </c>
      <c r="J174">
        <v>176.129478839483</v>
      </c>
      <c r="K174">
        <v>235.94885674632101</v>
      </c>
      <c r="L174">
        <v>334.30549775795703</v>
      </c>
      <c r="M174">
        <v>-113.541168908709</v>
      </c>
      <c r="N174">
        <v>0.74647311823531304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78879</v>
      </c>
      <c r="I177">
        <v>150.4325</v>
      </c>
      <c r="J177">
        <v>524.34812955976895</v>
      </c>
      <c r="K177">
        <v>552.93152628464895</v>
      </c>
      <c r="L177">
        <v>142.65600033699801</v>
      </c>
      <c r="M177">
        <v>-7.7764996630016103</v>
      </c>
      <c r="N177">
        <v>0.94830572075182096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131640</v>
      </c>
      <c r="I179">
        <v>829.12555555555502</v>
      </c>
      <c r="J179">
        <v>158.76968104281201</v>
      </c>
      <c r="K179">
        <v>175.247449569466</v>
      </c>
      <c r="L179">
        <v>751.16642395311396</v>
      </c>
      <c r="M179">
        <v>-77.959131602440806</v>
      </c>
      <c r="N179">
        <v>0.90597427484887405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52761</v>
      </c>
      <c r="I180">
        <v>230.84638888888799</v>
      </c>
      <c r="J180">
        <v>228.55458235214101</v>
      </c>
      <c r="K180">
        <v>192.41448648260999</v>
      </c>
      <c r="L180">
        <v>274.20492585815799</v>
      </c>
      <c r="M180">
        <v>43.358536969269799</v>
      </c>
      <c r="N180">
        <v>1.1878241941663601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78879</v>
      </c>
      <c r="I181">
        <v>447.84666666666601</v>
      </c>
      <c r="J181">
        <v>176.129478839483</v>
      </c>
      <c r="K181">
        <v>235.94885674632101</v>
      </c>
      <c r="L181">
        <v>334.30549775795703</v>
      </c>
      <c r="M181">
        <v>-113.541168908709</v>
      </c>
      <c r="N181">
        <v>0.74647311823531304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78879</v>
      </c>
      <c r="I183">
        <v>150.4325</v>
      </c>
      <c r="J183">
        <v>524.34812955976895</v>
      </c>
      <c r="K183">
        <v>552.93152628464895</v>
      </c>
      <c r="L183">
        <v>142.65600033699801</v>
      </c>
      <c r="M183">
        <v>-7.7764996630016103</v>
      </c>
      <c r="N183">
        <v>0.94830572075182096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131640</v>
      </c>
      <c r="I185">
        <v>829.12555555555502</v>
      </c>
      <c r="J185">
        <v>158.76968104281201</v>
      </c>
      <c r="K185">
        <v>175.247449569466</v>
      </c>
      <c r="L185">
        <v>751.16642395311396</v>
      </c>
      <c r="M185">
        <v>-77.959131602440806</v>
      </c>
      <c r="N185">
        <v>0.90597427484887405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88113</v>
      </c>
      <c r="I2">
        <v>63.514166666666597</v>
      </c>
      <c r="J2">
        <v>1387.2967973024299</v>
      </c>
      <c r="K2">
        <v>995.00000399999999</v>
      </c>
      <c r="L2">
        <v>88.555778538469198</v>
      </c>
      <c r="M2">
        <v>25.041611871802498</v>
      </c>
      <c r="N2">
        <v>1.3942681323873001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1977</v>
      </c>
      <c r="I3">
        <v>1.6344444444444399</v>
      </c>
      <c r="J3">
        <v>1209.5853161114801</v>
      </c>
      <c r="K3">
        <v>275.00000399999999</v>
      </c>
      <c r="L3">
        <v>7.1890908045223103</v>
      </c>
      <c r="M3">
        <v>5.5546463600778697</v>
      </c>
      <c r="N3">
        <v>4.3984919946091603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12400</v>
      </c>
      <c r="I4">
        <v>27.0058333333333</v>
      </c>
      <c r="J4">
        <v>459.16005801215698</v>
      </c>
      <c r="K4">
        <v>101.999988</v>
      </c>
      <c r="L4">
        <v>121.568641753173</v>
      </c>
      <c r="M4">
        <v>94.562808419840195</v>
      </c>
      <c r="N4">
        <v>4.5015697257940603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12</v>
      </c>
      <c r="I5">
        <v>5.4166666666666599E-2</v>
      </c>
      <c r="J5">
        <v>221.53846153846101</v>
      </c>
      <c r="K5">
        <v>52.999991999999999</v>
      </c>
      <c r="L5">
        <v>0.226415128515491</v>
      </c>
      <c r="M5">
        <v>0.172248461848824</v>
      </c>
      <c r="N5">
        <v>4.17997160336291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14389</v>
      </c>
      <c r="I7">
        <v>28.6944444444444</v>
      </c>
      <c r="J7">
        <v>501.45595353339701</v>
      </c>
      <c r="K7">
        <v>111.55634438896401</v>
      </c>
      <c r="L7">
        <v>128.984147686211</v>
      </c>
      <c r="M7">
        <v>100.28970324176601</v>
      </c>
      <c r="N7">
        <v>4.4950913036820896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8261</v>
      </c>
      <c r="I14">
        <v>2.70583333333333</v>
      </c>
      <c r="J14">
        <v>3053.0335694487198</v>
      </c>
      <c r="K14">
        <v>524.99998800000003</v>
      </c>
      <c r="L14">
        <v>15.7352384549006</v>
      </c>
      <c r="M14">
        <v>13.029405121567301</v>
      </c>
      <c r="N14">
        <v>5.8153021699663698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88113</v>
      </c>
      <c r="I16">
        <v>27.05</v>
      </c>
      <c r="J16">
        <v>3257.4121996303102</v>
      </c>
      <c r="K16">
        <v>2000.00001599999</v>
      </c>
      <c r="L16">
        <v>44.056499647548002</v>
      </c>
      <c r="M16">
        <v>17.006499647548001</v>
      </c>
      <c r="N16">
        <v>1.6287060867855001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88113</v>
      </c>
      <c r="I17">
        <v>121.964444444444</v>
      </c>
      <c r="J17">
        <v>722.44825450040003</v>
      </c>
      <c r="K17">
        <v>317.717056268286</v>
      </c>
      <c r="L17">
        <v>277.33166432712898</v>
      </c>
      <c r="M17">
        <v>155.367219882684</v>
      </c>
      <c r="N17">
        <v>2.2738730585818798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9088</v>
      </c>
      <c r="I46">
        <v>137.160277777777</v>
      </c>
      <c r="J46">
        <v>66.258250181762193</v>
      </c>
      <c r="K46">
        <v>86.000004000000004</v>
      </c>
      <c r="L46">
        <v>105.674413689562</v>
      </c>
      <c r="M46">
        <v>-31.4858640882156</v>
      </c>
      <c r="N46">
        <v>0.77044473372073496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167873</v>
      </c>
      <c r="I50">
        <v>14.9333333333333</v>
      </c>
      <c r="J50">
        <v>11241.495535714201</v>
      </c>
      <c r="K50">
        <v>15000.0000119999</v>
      </c>
      <c r="L50">
        <v>11.191533324380099</v>
      </c>
      <c r="M50">
        <v>-3.74180000895322</v>
      </c>
      <c r="N50">
        <v>0.74943303511473902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167873</v>
      </c>
      <c r="I51">
        <v>152.09361111111099</v>
      </c>
      <c r="J51">
        <v>1103.7478745728599</v>
      </c>
      <c r="K51">
        <v>1436.45779022329</v>
      </c>
      <c r="L51">
        <v>116.86594701394201</v>
      </c>
      <c r="M51">
        <v>-35.227664097168798</v>
      </c>
      <c r="N51">
        <v>0.76838169703634995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88113</v>
      </c>
      <c r="I52">
        <v>10.5</v>
      </c>
      <c r="J52">
        <v>8391.7142857142808</v>
      </c>
      <c r="K52">
        <v>4500</v>
      </c>
      <c r="L52">
        <v>19.580666666666598</v>
      </c>
      <c r="M52">
        <v>9.0806666666666604</v>
      </c>
      <c r="N52">
        <v>1.8648253968253901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88113</v>
      </c>
      <c r="I53">
        <v>10.671111111111101</v>
      </c>
      <c r="J53">
        <v>8257.1532694710495</v>
      </c>
      <c r="K53">
        <v>1850.000004</v>
      </c>
      <c r="L53">
        <v>47.628648545667701</v>
      </c>
      <c r="M53">
        <v>36.957537434556599</v>
      </c>
      <c r="N53">
        <v>4.4633260819555396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88113</v>
      </c>
      <c r="I54">
        <v>295.229166666666</v>
      </c>
      <c r="J54">
        <v>298.45628396019998</v>
      </c>
      <c r="K54">
        <v>190.965923849869</v>
      </c>
      <c r="L54">
        <v>461.40692655340501</v>
      </c>
      <c r="M54">
        <v>166.17775988673901</v>
      </c>
      <c r="N54">
        <v>1.56287717695035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10948</v>
      </c>
      <c r="I65">
        <v>7.1547222222222198</v>
      </c>
      <c r="J65">
        <v>1530.1782039833799</v>
      </c>
      <c r="K65">
        <v>1244.000016</v>
      </c>
      <c r="L65">
        <v>8.8006429736251697</v>
      </c>
      <c r="M65">
        <v>1.6459207514029399</v>
      </c>
      <c r="N65">
        <v>1.2300467719474499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66548</v>
      </c>
      <c r="I66">
        <v>287.03583333333302</v>
      </c>
      <c r="J66">
        <v>231.84561741710499</v>
      </c>
      <c r="K66">
        <v>288</v>
      </c>
      <c r="L66">
        <v>231.069444444444</v>
      </c>
      <c r="M66">
        <v>-55.966388888888801</v>
      </c>
      <c r="N66">
        <v>0.805019504920504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1232</v>
      </c>
      <c r="I67">
        <v>4.5088888888888796</v>
      </c>
      <c r="J67">
        <v>273.23804829965502</v>
      </c>
      <c r="K67">
        <v>117</v>
      </c>
      <c r="L67">
        <v>10.5299145299145</v>
      </c>
      <c r="M67">
        <v>6.0210256410256404</v>
      </c>
      <c r="N67">
        <v>2.3353679341850802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78728</v>
      </c>
      <c r="I69">
        <v>298.699444444444</v>
      </c>
      <c r="J69">
        <v>263.56928834075097</v>
      </c>
      <c r="K69">
        <v>314.40894324095899</v>
      </c>
      <c r="L69">
        <v>250.40000194798401</v>
      </c>
      <c r="M69">
        <v>-48.299442496460301</v>
      </c>
      <c r="N69">
        <v>0.83830086264039305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79760</v>
      </c>
      <c r="I70">
        <v>35.337222222222202</v>
      </c>
      <c r="J70">
        <v>2257.1100665021099</v>
      </c>
      <c r="K70">
        <v>3465</v>
      </c>
      <c r="L70">
        <v>23.018759018758999</v>
      </c>
      <c r="M70">
        <v>-12.3184632034632</v>
      </c>
      <c r="N70">
        <v>0.65140261659512599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79760</v>
      </c>
      <c r="I71">
        <v>71.810277777777699</v>
      </c>
      <c r="J71">
        <v>1110.7045184649301</v>
      </c>
      <c r="K71">
        <v>1524.999996</v>
      </c>
      <c r="L71">
        <v>52.301639481446898</v>
      </c>
      <c r="M71">
        <v>-19.508638296330801</v>
      </c>
      <c r="N71">
        <v>0.72833083369066198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79760</v>
      </c>
      <c r="I72">
        <v>16.468055555555502</v>
      </c>
      <c r="J72">
        <v>4843.3161845323402</v>
      </c>
      <c r="K72">
        <v>3499.999992</v>
      </c>
      <c r="L72">
        <v>22.788571480659499</v>
      </c>
      <c r="M72">
        <v>6.3205159251040302</v>
      </c>
      <c r="N72">
        <v>1.3838046273150799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79760</v>
      </c>
      <c r="I73">
        <v>0</v>
      </c>
      <c r="J73">
        <v>0</v>
      </c>
      <c r="K73">
        <v>5000.0000040000004</v>
      </c>
      <c r="L73">
        <v>15.9519999872384</v>
      </c>
      <c r="M73">
        <v>15.9519999872384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79760</v>
      </c>
      <c r="I74">
        <v>422.315</v>
      </c>
      <c r="J74">
        <v>188.86376283106199</v>
      </c>
      <c r="K74">
        <v>218.84373402363499</v>
      </c>
      <c r="L74">
        <v>364.460971916088</v>
      </c>
      <c r="M74">
        <v>-57.854028083911899</v>
      </c>
      <c r="N74">
        <v>0.86300740422691102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78728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79760</v>
      </c>
      <c r="I161">
        <v>47.099444444444401</v>
      </c>
      <c r="J161">
        <v>1693.4382335248099</v>
      </c>
      <c r="K161">
        <v>1004.53400503778</v>
      </c>
      <c r="L161">
        <v>79.400000000000006</v>
      </c>
      <c r="M161">
        <v>32.300555555555498</v>
      </c>
      <c r="N161">
        <v>1.68579483126717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79760</v>
      </c>
      <c r="I162">
        <v>0</v>
      </c>
      <c r="J162">
        <v>0</v>
      </c>
      <c r="K162">
        <v>7524.5283018867904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79760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79760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167873</v>
      </c>
      <c r="I165">
        <v>72.228888888888804</v>
      </c>
      <c r="J165">
        <v>2324.1808448450902</v>
      </c>
      <c r="K165">
        <v>2499.999984</v>
      </c>
      <c r="L165">
        <v>67.149200429754799</v>
      </c>
      <c r="M165">
        <v>-5.0796884591340001</v>
      </c>
      <c r="N165">
        <v>0.92967234388793896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79760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88113</v>
      </c>
      <c r="I170">
        <v>295.229166666666</v>
      </c>
      <c r="J170">
        <v>298.45628396019998</v>
      </c>
      <c r="K170">
        <v>190.965923849869</v>
      </c>
      <c r="L170">
        <v>461.40692655340501</v>
      </c>
      <c r="M170">
        <v>166.17775988673901</v>
      </c>
      <c r="N170">
        <v>1.56287717695035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88113</v>
      </c>
      <c r="I172">
        <v>295.229166666666</v>
      </c>
      <c r="J172">
        <v>298.45628396019998</v>
      </c>
      <c r="K172">
        <v>190.965923849869</v>
      </c>
      <c r="L172">
        <v>461.40692655340501</v>
      </c>
      <c r="M172">
        <v>166.17775988673901</v>
      </c>
      <c r="N172">
        <v>1.56287717695035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79760</v>
      </c>
      <c r="I174">
        <v>422.315</v>
      </c>
      <c r="J174">
        <v>188.86376283106199</v>
      </c>
      <c r="K174">
        <v>218.84373402363499</v>
      </c>
      <c r="L174">
        <v>364.460971916088</v>
      </c>
      <c r="M174">
        <v>-57.854028083911899</v>
      </c>
      <c r="N174">
        <v>0.86300740422691102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79760</v>
      </c>
      <c r="I177">
        <v>119.32833333333301</v>
      </c>
      <c r="J177">
        <v>668.40789418551003</v>
      </c>
      <c r="K177">
        <v>507.54314868851202</v>
      </c>
      <c r="L177">
        <v>157.14920042975399</v>
      </c>
      <c r="M177">
        <v>37.820867096421502</v>
      </c>
      <c r="N177">
        <v>1.3169479204136001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167873</v>
      </c>
      <c r="I179">
        <v>836.87249999999995</v>
      </c>
      <c r="J179">
        <v>200.595670188708</v>
      </c>
      <c r="K179">
        <v>170.773224787217</v>
      </c>
      <c r="L179">
        <v>983.01709889924905</v>
      </c>
      <c r="M179">
        <v>146.14459889924899</v>
      </c>
      <c r="N179">
        <v>1.1746318571816401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88113</v>
      </c>
      <c r="I180">
        <v>295.229166666666</v>
      </c>
      <c r="J180">
        <v>298.45628396019998</v>
      </c>
      <c r="K180">
        <v>190.965923849869</v>
      </c>
      <c r="L180">
        <v>461.40692655340501</v>
      </c>
      <c r="M180">
        <v>166.17775988673901</v>
      </c>
      <c r="N180">
        <v>1.56287717695035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79760</v>
      </c>
      <c r="I181">
        <v>422.315</v>
      </c>
      <c r="J181">
        <v>188.86376283106199</v>
      </c>
      <c r="K181">
        <v>218.84373402363499</v>
      </c>
      <c r="L181">
        <v>364.460971916088</v>
      </c>
      <c r="M181">
        <v>-57.854028083911899</v>
      </c>
      <c r="N181">
        <v>0.86300740422691102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79760</v>
      </c>
      <c r="I183">
        <v>119.32833333333301</v>
      </c>
      <c r="J183">
        <v>668.40789418551003</v>
      </c>
      <c r="K183">
        <v>507.54314868851202</v>
      </c>
      <c r="L183">
        <v>157.14920042975399</v>
      </c>
      <c r="M183">
        <v>37.820867096421502</v>
      </c>
      <c r="N183">
        <v>1.3169479204136001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167873</v>
      </c>
      <c r="I185">
        <v>836.87249999999995</v>
      </c>
      <c r="J185">
        <v>200.595670188708</v>
      </c>
      <c r="K185">
        <v>170.773224787217</v>
      </c>
      <c r="L185">
        <v>983.01709889924905</v>
      </c>
      <c r="M185">
        <v>146.14459889924899</v>
      </c>
      <c r="N185">
        <v>1.1746318571816401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64078</v>
      </c>
      <c r="I2">
        <v>27.071111111111101</v>
      </c>
      <c r="J2">
        <v>2367.0251190280701</v>
      </c>
      <c r="K2">
        <v>995.00000399999999</v>
      </c>
      <c r="L2">
        <v>64.399999741105503</v>
      </c>
      <c r="M2">
        <v>37.328888629994402</v>
      </c>
      <c r="N2">
        <v>2.3789197080526501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2116</v>
      </c>
      <c r="I3">
        <v>2.0972222222222201</v>
      </c>
      <c r="J3">
        <v>1008.9536423841</v>
      </c>
      <c r="K3">
        <v>275.00000399999999</v>
      </c>
      <c r="L3">
        <v>7.6945453426247896</v>
      </c>
      <c r="M3">
        <v>5.59732312040257</v>
      </c>
      <c r="N3">
        <v>3.6689222825760601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1993</v>
      </c>
      <c r="I4">
        <v>5.4247222222222202</v>
      </c>
      <c r="J4">
        <v>367.39208356802698</v>
      </c>
      <c r="K4">
        <v>101.999988</v>
      </c>
      <c r="L4">
        <v>19.539217985006001</v>
      </c>
      <c r="M4">
        <v>14.1144957627838</v>
      </c>
      <c r="N4">
        <v>3.6018835959865698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4109</v>
      </c>
      <c r="I7">
        <v>7.5219444444444399</v>
      </c>
      <c r="J7">
        <v>546.26832600908403</v>
      </c>
      <c r="K7">
        <v>150.87889068313501</v>
      </c>
      <c r="L7">
        <v>27.2337633276308</v>
      </c>
      <c r="M7">
        <v>19.7118188831863</v>
      </c>
      <c r="N7">
        <v>3.6205749096890898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4032</v>
      </c>
      <c r="I14">
        <v>3.6158333333333301</v>
      </c>
      <c r="J14">
        <v>1115.09564415764</v>
      </c>
      <c r="K14">
        <v>524.99998800000003</v>
      </c>
      <c r="L14">
        <v>7.68000017554286</v>
      </c>
      <c r="M14">
        <v>4.0641668422095201</v>
      </c>
      <c r="N14">
        <v>2.1239917517057898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50</v>
      </c>
      <c r="I15">
        <v>3.6427777777777699</v>
      </c>
      <c r="J15">
        <v>13.7257892328808</v>
      </c>
      <c r="K15">
        <v>11.999988</v>
      </c>
      <c r="L15">
        <v>4.1666708333375002</v>
      </c>
      <c r="M15">
        <v>0.52389305555972199</v>
      </c>
      <c r="N15">
        <v>1.14381691322365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64078</v>
      </c>
      <c r="I16">
        <v>37.674166666666601</v>
      </c>
      <c r="J16">
        <v>1700.8471764471601</v>
      </c>
      <c r="K16">
        <v>2000.00001599999</v>
      </c>
      <c r="L16">
        <v>32.038999743688002</v>
      </c>
      <c r="M16">
        <v>-5.6351669229786596</v>
      </c>
      <c r="N16">
        <v>0.85042358142019503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64078</v>
      </c>
      <c r="I17">
        <v>79.525833333333296</v>
      </c>
      <c r="J17">
        <v>805.75075185212302</v>
      </c>
      <c r="K17">
        <v>472.83255392354198</v>
      </c>
      <c r="L17">
        <v>135.51943382130401</v>
      </c>
      <c r="M17">
        <v>55.993600487971399</v>
      </c>
      <c r="N17">
        <v>1.7040932253205501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4549</v>
      </c>
      <c r="I46">
        <v>76.407777777777696</v>
      </c>
      <c r="J46">
        <v>59.535823869006897</v>
      </c>
      <c r="K46">
        <v>86.000004000000004</v>
      </c>
      <c r="L46">
        <v>52.895346376960603</v>
      </c>
      <c r="M46">
        <v>-23.5124314008171</v>
      </c>
      <c r="N46">
        <v>0.69227698953370898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31</v>
      </c>
      <c r="I48">
        <v>5.9225000000000003</v>
      </c>
      <c r="J48">
        <v>5.2342760658505698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147443</v>
      </c>
      <c r="I50">
        <v>38.935277777777699</v>
      </c>
      <c r="J50">
        <v>3786.87422859874</v>
      </c>
      <c r="K50">
        <v>15000.0000119999</v>
      </c>
      <c r="L50">
        <v>9.8295333254697006</v>
      </c>
      <c r="M50">
        <v>-29.105744452307999</v>
      </c>
      <c r="N50">
        <v>0.25245828170461598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147443</v>
      </c>
      <c r="I51">
        <v>121.265555555555</v>
      </c>
      <c r="J51">
        <v>1215.86875452404</v>
      </c>
      <c r="K51">
        <v>2350.6302554819699</v>
      </c>
      <c r="L51">
        <v>62.7248797024303</v>
      </c>
      <c r="M51">
        <v>-58.540675853125201</v>
      </c>
      <c r="N51">
        <v>0.51725223551789201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64078</v>
      </c>
      <c r="I52">
        <v>20.6</v>
      </c>
      <c r="J52">
        <v>3110.5825242718402</v>
      </c>
      <c r="K52">
        <v>4500</v>
      </c>
      <c r="L52">
        <v>14.2395555555555</v>
      </c>
      <c r="M52">
        <v>-6.3604444444444397</v>
      </c>
      <c r="N52">
        <v>0.69124056094929798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64078</v>
      </c>
      <c r="I53">
        <v>30.706666666666599</v>
      </c>
      <c r="J53">
        <v>2086.77811550152</v>
      </c>
      <c r="K53">
        <v>1850.000004</v>
      </c>
      <c r="L53">
        <v>34.636756681866402</v>
      </c>
      <c r="M53">
        <v>3.9300900151997999</v>
      </c>
      <c r="N53">
        <v>1.1279881681024599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64078</v>
      </c>
      <c r="I54">
        <v>252.09805555555499</v>
      </c>
      <c r="J54">
        <v>254.178874401825</v>
      </c>
      <c r="K54">
        <v>259.29846933105199</v>
      </c>
      <c r="L54">
        <v>247.12062576115699</v>
      </c>
      <c r="M54">
        <v>-4.97742979439845</v>
      </c>
      <c r="N54">
        <v>0.980255977050558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94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12594</v>
      </c>
      <c r="I65">
        <v>9.7802777777777692</v>
      </c>
      <c r="J65">
        <v>1287.6934874605899</v>
      </c>
      <c r="K65">
        <v>1244.000016</v>
      </c>
      <c r="L65">
        <v>10.123794082009001</v>
      </c>
      <c r="M65">
        <v>0.34351630423130203</v>
      </c>
      <c r="N65">
        <v>1.03512336888956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65670</v>
      </c>
      <c r="I66">
        <v>347.91805555555499</v>
      </c>
      <c r="J66">
        <v>188.75134231000999</v>
      </c>
      <c r="K66">
        <v>288</v>
      </c>
      <c r="L66">
        <v>228.020833333333</v>
      </c>
      <c r="M66">
        <v>-119.897222222222</v>
      </c>
      <c r="N66">
        <v>0.655386605243092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684</v>
      </c>
      <c r="I67">
        <v>2.8169444444444398</v>
      </c>
      <c r="J67">
        <v>242.816290306675</v>
      </c>
      <c r="K67">
        <v>117</v>
      </c>
      <c r="L67">
        <v>5.8461538461538396</v>
      </c>
      <c r="M67">
        <v>3.0292094017093998</v>
      </c>
      <c r="N67">
        <v>2.0753529086040601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78948</v>
      </c>
      <c r="I69">
        <v>360.51527777777699</v>
      </c>
      <c r="J69">
        <v>218.98655859090499</v>
      </c>
      <c r="K69">
        <v>323.56960206372599</v>
      </c>
      <c r="L69">
        <v>243.99078126149601</v>
      </c>
      <c r="M69">
        <v>-116.524496516281</v>
      </c>
      <c r="N69">
        <v>0.67678347160613905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83365</v>
      </c>
      <c r="I70">
        <v>22.849444444444401</v>
      </c>
      <c r="J70">
        <v>3648.4475674098499</v>
      </c>
      <c r="K70">
        <v>3465</v>
      </c>
      <c r="L70">
        <v>24.059163059163001</v>
      </c>
      <c r="M70">
        <v>1.2097186147186101</v>
      </c>
      <c r="N70">
        <v>1.0529430208974999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83365</v>
      </c>
      <c r="I71">
        <v>53.892222222222202</v>
      </c>
      <c r="J71">
        <v>1546.8836979155899</v>
      </c>
      <c r="K71">
        <v>1524.999996</v>
      </c>
      <c r="L71">
        <v>54.665573913876898</v>
      </c>
      <c r="M71">
        <v>0.77335169165468698</v>
      </c>
      <c r="N71">
        <v>1.01434996850688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83365</v>
      </c>
      <c r="I72">
        <v>26.6</v>
      </c>
      <c r="J72">
        <v>3134.0225563909698</v>
      </c>
      <c r="K72">
        <v>3499.999992</v>
      </c>
      <c r="L72">
        <v>23.818571483013798</v>
      </c>
      <c r="M72">
        <v>-2.7814285169861201</v>
      </c>
      <c r="N72">
        <v>0.89543501815841597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83365</v>
      </c>
      <c r="I73">
        <v>19.195833333333301</v>
      </c>
      <c r="J73">
        <v>4342.8695463425202</v>
      </c>
      <c r="K73">
        <v>5000.0000040000004</v>
      </c>
      <c r="L73">
        <v>16.672999986661601</v>
      </c>
      <c r="M73">
        <v>-2.5228333466717299</v>
      </c>
      <c r="N73">
        <v>0.86857390857364503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83365</v>
      </c>
      <c r="I74">
        <v>483.05277777777701</v>
      </c>
      <c r="J74">
        <v>172.57948579347701</v>
      </c>
      <c r="K74">
        <v>229.524704674379</v>
      </c>
      <c r="L74">
        <v>363.207089704211</v>
      </c>
      <c r="M74">
        <v>-119.845688073566</v>
      </c>
      <c r="N74">
        <v>0.75189939156358698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78948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83365</v>
      </c>
      <c r="I161">
        <v>83.417222222222193</v>
      </c>
      <c r="J161">
        <v>999.37396354336602</v>
      </c>
      <c r="K161">
        <v>1049.9370277078001</v>
      </c>
      <c r="L161">
        <v>79.400000000000006</v>
      </c>
      <c r="M161">
        <v>-4.0172222222222196</v>
      </c>
      <c r="N161">
        <v>0.95184181257533995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83365</v>
      </c>
      <c r="I162">
        <v>0</v>
      </c>
      <c r="J162">
        <v>0</v>
      </c>
      <c r="K162">
        <v>7864.6226415094297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83365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83365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147443</v>
      </c>
      <c r="I165">
        <v>46.528888888888801</v>
      </c>
      <c r="J165">
        <v>3168.8485051103198</v>
      </c>
      <c r="K165">
        <v>2499.999984</v>
      </c>
      <c r="L165">
        <v>58.977200377453997</v>
      </c>
      <c r="M165">
        <v>12.4483114885651</v>
      </c>
      <c r="N165">
        <v>1.2675394101563799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83365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64078</v>
      </c>
      <c r="I170">
        <v>252.09805555555499</v>
      </c>
      <c r="J170">
        <v>254.178874401825</v>
      </c>
      <c r="K170">
        <v>259.29846933105199</v>
      </c>
      <c r="L170">
        <v>247.12062576115699</v>
      </c>
      <c r="M170">
        <v>-4.97742979439845</v>
      </c>
      <c r="N170">
        <v>0.980255977050558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64078</v>
      </c>
      <c r="I172">
        <v>252.09805555555499</v>
      </c>
      <c r="J172">
        <v>254.178874401825</v>
      </c>
      <c r="K172">
        <v>259.29846933105199</v>
      </c>
      <c r="L172">
        <v>247.12062576115699</v>
      </c>
      <c r="M172">
        <v>-4.97742979439845</v>
      </c>
      <c r="N172">
        <v>0.980255977050558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83365</v>
      </c>
      <c r="I174">
        <v>483.05277777777701</v>
      </c>
      <c r="J174">
        <v>172.57948579347701</v>
      </c>
      <c r="K174">
        <v>229.524704674379</v>
      </c>
      <c r="L174">
        <v>363.207089704211</v>
      </c>
      <c r="M174">
        <v>-119.845688073566</v>
      </c>
      <c r="N174">
        <v>0.75189939156358698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83365</v>
      </c>
      <c r="I177">
        <v>129.94611111111101</v>
      </c>
      <c r="J177">
        <v>641.53516628687896</v>
      </c>
      <c r="K177">
        <v>559.58227023184304</v>
      </c>
      <c r="L177">
        <v>148.97720037745401</v>
      </c>
      <c r="M177">
        <v>19.031089266342899</v>
      </c>
      <c r="N177">
        <v>1.1464537037978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147443</v>
      </c>
      <c r="I179">
        <v>865.09694444444403</v>
      </c>
      <c r="J179">
        <v>170.43523381611999</v>
      </c>
      <c r="K179">
        <v>194.181542781583</v>
      </c>
      <c r="L179">
        <v>759.30491584282197</v>
      </c>
      <c r="M179">
        <v>-105.792028601621</v>
      </c>
      <c r="N179">
        <v>0.87771078226433896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64078</v>
      </c>
      <c r="I180">
        <v>252.09805555555499</v>
      </c>
      <c r="J180">
        <v>254.178874401825</v>
      </c>
      <c r="K180">
        <v>259.29846933105199</v>
      </c>
      <c r="L180">
        <v>247.12062576115699</v>
      </c>
      <c r="M180">
        <v>-4.97742979439845</v>
      </c>
      <c r="N180">
        <v>0.980255977050558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83365</v>
      </c>
      <c r="I181">
        <v>483.05277777777701</v>
      </c>
      <c r="J181">
        <v>172.57948579347701</v>
      </c>
      <c r="K181">
        <v>229.524704674379</v>
      </c>
      <c r="L181">
        <v>363.207089704211</v>
      </c>
      <c r="M181">
        <v>-119.845688073566</v>
      </c>
      <c r="N181">
        <v>0.75189939156358698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83365</v>
      </c>
      <c r="I183">
        <v>129.94611111111101</v>
      </c>
      <c r="J183">
        <v>641.53516628687896</v>
      </c>
      <c r="K183">
        <v>559.58227023184304</v>
      </c>
      <c r="L183">
        <v>148.97720037745401</v>
      </c>
      <c r="M183">
        <v>19.031089266342899</v>
      </c>
      <c r="N183">
        <v>1.1464537037978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147443</v>
      </c>
      <c r="I185">
        <v>865.09694444444403</v>
      </c>
      <c r="J185">
        <v>170.43523381611999</v>
      </c>
      <c r="K185">
        <v>194.181542781583</v>
      </c>
      <c r="L185">
        <v>759.30491584282197</v>
      </c>
      <c r="M185">
        <v>-105.792028601621</v>
      </c>
      <c r="N185">
        <v>0.87771078226433896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147069</v>
      </c>
      <c r="I2">
        <v>30.85</v>
      </c>
      <c r="J2">
        <v>4767.2285251215499</v>
      </c>
      <c r="K2">
        <v>995.00000399999999</v>
      </c>
      <c r="L2">
        <v>147.808039606801</v>
      </c>
      <c r="M2">
        <v>116.95803960680099</v>
      </c>
      <c r="N2">
        <v>4.7911844280973002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2919</v>
      </c>
      <c r="I3">
        <v>3.3530555555555499</v>
      </c>
      <c r="J3">
        <v>870.54925026924002</v>
      </c>
      <c r="K3">
        <v>275.00000399999999</v>
      </c>
      <c r="L3">
        <v>10.614545300152001</v>
      </c>
      <c r="M3">
        <v>7.2614897445965099</v>
      </c>
      <c r="N3">
        <v>3.1656335912971101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6689</v>
      </c>
      <c r="I4">
        <v>22.058888888888799</v>
      </c>
      <c r="J4">
        <v>303.23376819624201</v>
      </c>
      <c r="K4">
        <v>101.999988</v>
      </c>
      <c r="L4">
        <v>65.578439087659504</v>
      </c>
      <c r="M4">
        <v>43.519550198770602</v>
      </c>
      <c r="N4">
        <v>2.9728804301059499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33</v>
      </c>
      <c r="I5">
        <v>0.806111111111111</v>
      </c>
      <c r="J5">
        <v>40.937284631288698</v>
      </c>
      <c r="K5">
        <v>52.999991999999999</v>
      </c>
      <c r="L5">
        <v>0.6226416034176</v>
      </c>
      <c r="M5">
        <v>-0.18346950769351</v>
      </c>
      <c r="N5">
        <v>0.77240171340570696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9641</v>
      </c>
      <c r="I7">
        <v>26.218055555555502</v>
      </c>
      <c r="J7">
        <v>367.723684907559</v>
      </c>
      <c r="K7">
        <v>125.508317814149</v>
      </c>
      <c r="L7">
        <v>76.815625991229098</v>
      </c>
      <c r="M7">
        <v>50.597570435673603</v>
      </c>
      <c r="N7">
        <v>2.9298750179416699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5818</v>
      </c>
      <c r="I14">
        <v>1.35111111111111</v>
      </c>
      <c r="J14">
        <v>4306.08552631578</v>
      </c>
      <c r="K14">
        <v>524.99998800000003</v>
      </c>
      <c r="L14">
        <v>11.0819050152054</v>
      </c>
      <c r="M14">
        <v>9.7307939040943303</v>
      </c>
      <c r="N14">
        <v>8.2020678566487693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34</v>
      </c>
      <c r="I15">
        <v>4.55138888888888</v>
      </c>
      <c r="J15">
        <v>7.4702471772962999</v>
      </c>
      <c r="K15">
        <v>11.999988</v>
      </c>
      <c r="L15">
        <v>2.8333361666695001</v>
      </c>
      <c r="M15">
        <v>-1.71805272221938</v>
      </c>
      <c r="N15">
        <v>0.62252122062924597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147069</v>
      </c>
      <c r="I16">
        <v>32.0058333333333</v>
      </c>
      <c r="J16">
        <v>4595.0686072851304</v>
      </c>
      <c r="K16">
        <v>2000.00001599999</v>
      </c>
      <c r="L16">
        <v>73.534499411723999</v>
      </c>
      <c r="M16">
        <v>41.5286660783906</v>
      </c>
      <c r="N16">
        <v>2.29753428526229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147069</v>
      </c>
      <c r="I17">
        <v>94.976388888888806</v>
      </c>
      <c r="J17">
        <v>1548.47959288127</v>
      </c>
      <c r="K17">
        <v>471.26412274197901</v>
      </c>
      <c r="L17">
        <v>312.07340619163</v>
      </c>
      <c r="M17">
        <v>217.09701730274099</v>
      </c>
      <c r="N17">
        <v>3.2857998692361199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6535</v>
      </c>
      <c r="I46">
        <v>91.329444444444405</v>
      </c>
      <c r="J46">
        <v>71.554141599703101</v>
      </c>
      <c r="K46">
        <v>86.000004000000004</v>
      </c>
      <c r="L46">
        <v>75.988368558680506</v>
      </c>
      <c r="M46">
        <v>-15.3410758857639</v>
      </c>
      <c r="N46">
        <v>0.83202486362329797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32</v>
      </c>
      <c r="I48">
        <v>11.7627777777777</v>
      </c>
      <c r="J48">
        <v>2.7204458508477698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224452</v>
      </c>
      <c r="I50">
        <v>59.4855555555555</v>
      </c>
      <c r="J50">
        <v>3773.2185217699898</v>
      </c>
      <c r="K50">
        <v>15000.0000119999</v>
      </c>
      <c r="L50">
        <v>14.9634666546958</v>
      </c>
      <c r="M50">
        <v>-44.5220889008596</v>
      </c>
      <c r="N50">
        <v>0.25154790125009402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224452</v>
      </c>
      <c r="I51">
        <v>162.57777777777699</v>
      </c>
      <c r="J51">
        <v>1380.58228540185</v>
      </c>
      <c r="K51">
        <v>2467.8116661794302</v>
      </c>
      <c r="L51">
        <v>90.951835213376398</v>
      </c>
      <c r="M51">
        <v>-71.625942564401299</v>
      </c>
      <c r="N51">
        <v>0.55943583715171397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147069</v>
      </c>
      <c r="I52">
        <v>20.8</v>
      </c>
      <c r="J52">
        <v>7070.625</v>
      </c>
      <c r="K52">
        <v>4500</v>
      </c>
      <c r="L52">
        <v>32.682000000000002</v>
      </c>
      <c r="M52">
        <v>11.882</v>
      </c>
      <c r="N52">
        <v>1.57125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147069</v>
      </c>
      <c r="I53">
        <v>38.606944444444402</v>
      </c>
      <c r="J53">
        <v>3809.3923804727101</v>
      </c>
      <c r="K53">
        <v>1850.000004</v>
      </c>
      <c r="L53">
        <v>79.496756584871804</v>
      </c>
      <c r="M53">
        <v>40.889812140427402</v>
      </c>
      <c r="N53">
        <v>2.0591310120195598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147069</v>
      </c>
      <c r="I54">
        <v>316.96111111111099</v>
      </c>
      <c r="J54">
        <v>463.99698525932001</v>
      </c>
      <c r="K54">
        <v>285.45780035443198</v>
      </c>
      <c r="L54">
        <v>515.20399798987796</v>
      </c>
      <c r="M54">
        <v>198.242886878767</v>
      </c>
      <c r="N54">
        <v>1.6254486116098701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12097</v>
      </c>
      <c r="I65">
        <v>9.2783333333333307</v>
      </c>
      <c r="J65">
        <v>1303.7901922040501</v>
      </c>
      <c r="K65">
        <v>1244.000016</v>
      </c>
      <c r="L65">
        <v>9.7242764022601094</v>
      </c>
      <c r="M65">
        <v>0.44594306892677799</v>
      </c>
      <c r="N65">
        <v>1.0480628419895901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63605</v>
      </c>
      <c r="I66">
        <v>330.00416666666598</v>
      </c>
      <c r="J66">
        <v>192.73999065668301</v>
      </c>
      <c r="K66">
        <v>288</v>
      </c>
      <c r="L66">
        <v>220.850694444444</v>
      </c>
      <c r="M66">
        <v>-109.15347222222201</v>
      </c>
      <c r="N66">
        <v>0.66923607866904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779</v>
      </c>
      <c r="I67">
        <v>4.2841666666666596</v>
      </c>
      <c r="J67">
        <v>181.83232834078899</v>
      </c>
      <c r="K67">
        <v>117</v>
      </c>
      <c r="L67">
        <v>6.6581196581196496</v>
      </c>
      <c r="M67">
        <v>2.37395299145299</v>
      </c>
      <c r="N67">
        <v>1.55412246445119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76481</v>
      </c>
      <c r="I69">
        <v>343.56666666666598</v>
      </c>
      <c r="J69">
        <v>222.60890656835099</v>
      </c>
      <c r="K69">
        <v>322.387571806491</v>
      </c>
      <c r="L69">
        <v>237.23309050482399</v>
      </c>
      <c r="M69">
        <v>-106.333576161842</v>
      </c>
      <c r="N69">
        <v>0.69050089406662696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77383</v>
      </c>
      <c r="I70">
        <v>47.743333333333297</v>
      </c>
      <c r="J70">
        <v>1620.81267890805</v>
      </c>
      <c r="K70">
        <v>3465</v>
      </c>
      <c r="L70">
        <v>22.332756132756099</v>
      </c>
      <c r="M70">
        <v>-25.410577200577201</v>
      </c>
      <c r="N70">
        <v>0.46776700689987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77383</v>
      </c>
      <c r="I71">
        <v>60.269444444444403</v>
      </c>
      <c r="J71">
        <v>1283.9507766050599</v>
      </c>
      <c r="K71">
        <v>1524.999996</v>
      </c>
      <c r="L71">
        <v>50.742950952768297</v>
      </c>
      <c r="M71">
        <v>-9.5264934916760495</v>
      </c>
      <c r="N71">
        <v>0.84193493768708205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77383</v>
      </c>
      <c r="I72">
        <v>28.566666666666599</v>
      </c>
      <c r="J72">
        <v>2708.8564760793402</v>
      </c>
      <c r="K72">
        <v>3499.999992</v>
      </c>
      <c r="L72">
        <v>22.109428621964401</v>
      </c>
      <c r="M72">
        <v>-6.4572380447022599</v>
      </c>
      <c r="N72">
        <v>0.77395899493457598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77383</v>
      </c>
      <c r="I73">
        <v>13.875277777777701</v>
      </c>
      <c r="J73">
        <v>5577.0415006706498</v>
      </c>
      <c r="K73">
        <v>5000.0000040000004</v>
      </c>
      <c r="L73">
        <v>15.4765999876187</v>
      </c>
      <c r="M73">
        <v>1.6013222098409401</v>
      </c>
      <c r="N73">
        <v>1.1154082992418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77383</v>
      </c>
      <c r="I74">
        <v>494.021388888888</v>
      </c>
      <c r="J74">
        <v>156.638966936316</v>
      </c>
      <c r="K74">
        <v>222.43216677079499</v>
      </c>
      <c r="L74">
        <v>347.894826199931</v>
      </c>
      <c r="M74">
        <v>-146.12656268895699</v>
      </c>
      <c r="N74">
        <v>0.70421004844018398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76481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77383</v>
      </c>
      <c r="I161">
        <v>63.416388888888797</v>
      </c>
      <c r="J161">
        <v>1220.2366195208899</v>
      </c>
      <c r="K161">
        <v>974.59697732997404</v>
      </c>
      <c r="L161">
        <v>79.400000000000006</v>
      </c>
      <c r="M161">
        <v>15.983611111111101</v>
      </c>
      <c r="N161">
        <v>1.25204227788996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77383</v>
      </c>
      <c r="I162">
        <v>0</v>
      </c>
      <c r="J162">
        <v>0</v>
      </c>
      <c r="K162">
        <v>7300.28301886792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77383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77383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224452</v>
      </c>
      <c r="I165">
        <v>65.708055555555504</v>
      </c>
      <c r="J165">
        <v>3415.89776325412</v>
      </c>
      <c r="K165">
        <v>2499.999984</v>
      </c>
      <c r="L165">
        <v>89.780800574597095</v>
      </c>
      <c r="M165">
        <v>24.072745019041498</v>
      </c>
      <c r="N165">
        <v>1.36635911404634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77383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147069</v>
      </c>
      <c r="I170">
        <v>316.96111111111099</v>
      </c>
      <c r="J170">
        <v>463.99698525932001</v>
      </c>
      <c r="K170">
        <v>285.45780035443198</v>
      </c>
      <c r="L170">
        <v>515.20399798987796</v>
      </c>
      <c r="M170">
        <v>198.242886878767</v>
      </c>
      <c r="N170">
        <v>1.6254486116098701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147069</v>
      </c>
      <c r="I172">
        <v>316.96111111111099</v>
      </c>
      <c r="J172">
        <v>463.99698525932001</v>
      </c>
      <c r="K172">
        <v>285.45780035443198</v>
      </c>
      <c r="L172">
        <v>515.20399798987796</v>
      </c>
      <c r="M172">
        <v>198.242886878767</v>
      </c>
      <c r="N172">
        <v>1.6254486116098701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77383</v>
      </c>
      <c r="I174">
        <v>494.021388888888</v>
      </c>
      <c r="J174">
        <v>156.638966936316</v>
      </c>
      <c r="K174">
        <v>222.43216677079499</v>
      </c>
      <c r="L174">
        <v>347.894826199931</v>
      </c>
      <c r="M174">
        <v>-146.12656268895699</v>
      </c>
      <c r="N174">
        <v>0.70421004844018398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77383</v>
      </c>
      <c r="I177">
        <v>129.12444444444401</v>
      </c>
      <c r="J177">
        <v>599.29009052421395</v>
      </c>
      <c r="K177">
        <v>430.42972193179799</v>
      </c>
      <c r="L177">
        <v>179.78080057459701</v>
      </c>
      <c r="M177">
        <v>50.656356130152602</v>
      </c>
      <c r="N177">
        <v>1.39230647882436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224452</v>
      </c>
      <c r="I179">
        <v>940.10694444444403</v>
      </c>
      <c r="J179">
        <v>238.751560475536</v>
      </c>
      <c r="K179">
        <v>215.22330542290999</v>
      </c>
      <c r="L179">
        <v>1042.8796247644</v>
      </c>
      <c r="M179">
        <v>102.77268031996201</v>
      </c>
      <c r="N179">
        <v>1.10932020120401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147069</v>
      </c>
      <c r="I180">
        <v>316.96111111111099</v>
      </c>
      <c r="J180">
        <v>463.99698525932001</v>
      </c>
      <c r="K180">
        <v>285.45780035443198</v>
      </c>
      <c r="L180">
        <v>515.20399798987796</v>
      </c>
      <c r="M180">
        <v>198.242886878767</v>
      </c>
      <c r="N180">
        <v>1.6254486116098701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77383</v>
      </c>
      <c r="I181">
        <v>494.021388888888</v>
      </c>
      <c r="J181">
        <v>156.638966936316</v>
      </c>
      <c r="K181">
        <v>222.43216677079499</v>
      </c>
      <c r="L181">
        <v>347.894826199931</v>
      </c>
      <c r="M181">
        <v>-146.12656268895699</v>
      </c>
      <c r="N181">
        <v>0.70421004844018398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77383</v>
      </c>
      <c r="I183">
        <v>129.12444444444401</v>
      </c>
      <c r="J183">
        <v>599.29009052421395</v>
      </c>
      <c r="K183">
        <v>430.42972193179799</v>
      </c>
      <c r="L183">
        <v>179.78080057459701</v>
      </c>
      <c r="M183">
        <v>50.656356130152602</v>
      </c>
      <c r="N183">
        <v>1.39230647882436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224452</v>
      </c>
      <c r="I185">
        <v>940.10694444444403</v>
      </c>
      <c r="J185">
        <v>238.751560475536</v>
      </c>
      <c r="K185">
        <v>215.22330542290999</v>
      </c>
      <c r="L185">
        <v>1042.8796247644</v>
      </c>
      <c r="M185">
        <v>102.77268031996201</v>
      </c>
      <c r="N185">
        <v>1.10932020120401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61165</v>
      </c>
      <c r="I2">
        <v>19.150555555555499</v>
      </c>
      <c r="J2">
        <v>3193.90212062313</v>
      </c>
      <c r="K2">
        <v>995.00000399999999</v>
      </c>
      <c r="L2">
        <v>61.472361561920103</v>
      </c>
      <c r="M2">
        <v>42.321806006364604</v>
      </c>
      <c r="N2">
        <v>3.2099518671189098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827</v>
      </c>
      <c r="I3">
        <v>0.93138888888888804</v>
      </c>
      <c r="J3">
        <v>887.92126453921799</v>
      </c>
      <c r="K3">
        <v>275.00000399999999</v>
      </c>
      <c r="L3">
        <v>3.0072726835305699</v>
      </c>
      <c r="M3">
        <v>2.0758837946416899</v>
      </c>
      <c r="N3">
        <v>3.2288045513600001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1673</v>
      </c>
      <c r="I4">
        <v>2.28527777777777</v>
      </c>
      <c r="J4">
        <v>732.07730643004697</v>
      </c>
      <c r="K4">
        <v>101.999988</v>
      </c>
      <c r="L4">
        <v>16.401962713956301</v>
      </c>
      <c r="M4">
        <v>14.116684936178601</v>
      </c>
      <c r="N4">
        <v>7.1772293387921504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32</v>
      </c>
      <c r="I5">
        <v>3.0105555555555501</v>
      </c>
      <c r="J5">
        <v>10.629267392507799</v>
      </c>
      <c r="K5">
        <v>52.999991999999999</v>
      </c>
      <c r="L5">
        <v>0.60377367604130905</v>
      </c>
      <c r="M5">
        <v>-2.4067818795142402</v>
      </c>
      <c r="N5">
        <v>0.200552245225015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5</v>
      </c>
      <c r="I6">
        <v>3.8888888888888799E-2</v>
      </c>
      <c r="J6">
        <v>128.57142857142799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2537</v>
      </c>
      <c r="I7">
        <v>6.2661111111111101</v>
      </c>
      <c r="J7">
        <v>404.87631882259001</v>
      </c>
      <c r="K7">
        <v>126.767543585225</v>
      </c>
      <c r="L7">
        <v>20.013009073528199</v>
      </c>
      <c r="M7">
        <v>13.746897962417099</v>
      </c>
      <c r="N7">
        <v>3.1938484202811299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3889</v>
      </c>
      <c r="I14">
        <v>0.193888888888888</v>
      </c>
      <c r="J14">
        <v>20057.879656160399</v>
      </c>
      <c r="K14">
        <v>524.99998800000003</v>
      </c>
      <c r="L14">
        <v>7.40761921693605</v>
      </c>
      <c r="M14">
        <v>7.2137303280471601</v>
      </c>
      <c r="N14">
        <v>38.2054859326215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31</v>
      </c>
      <c r="I15">
        <v>4.9577777777777703</v>
      </c>
      <c r="J15">
        <v>6.2528014343343798</v>
      </c>
      <c r="K15">
        <v>11.999988</v>
      </c>
      <c r="L15">
        <v>2.5833359166692502</v>
      </c>
      <c r="M15">
        <v>-2.3744418611085201</v>
      </c>
      <c r="N15">
        <v>0.52106730726183803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61165</v>
      </c>
      <c r="I16">
        <v>46.563055555555501</v>
      </c>
      <c r="J16">
        <v>1313.5950652341201</v>
      </c>
      <c r="K16">
        <v>2000.00001599999</v>
      </c>
      <c r="L16">
        <v>30.582499755339999</v>
      </c>
      <c r="M16">
        <v>-15.9805558002155</v>
      </c>
      <c r="N16">
        <v>0.65679752736268004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61165</v>
      </c>
      <c r="I17">
        <v>77.131388888888793</v>
      </c>
      <c r="J17">
        <v>792.99751866403994</v>
      </c>
      <c r="K17">
        <v>501.11083518312199</v>
      </c>
      <c r="L17">
        <v>122.058825524393</v>
      </c>
      <c r="M17">
        <v>44.927436635504797</v>
      </c>
      <c r="N17">
        <v>1.5824792899843201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4132</v>
      </c>
      <c r="I46">
        <v>88.129444444444403</v>
      </c>
      <c r="J46">
        <v>46.885578662699402</v>
      </c>
      <c r="K46">
        <v>86.000004000000004</v>
      </c>
      <c r="L46">
        <v>48.046509393185602</v>
      </c>
      <c r="M46">
        <v>-40.082935051258801</v>
      </c>
      <c r="N46">
        <v>0.54518112188342904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21</v>
      </c>
      <c r="I48">
        <v>0.45555555555555499</v>
      </c>
      <c r="J48">
        <v>46.097560975609703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135675</v>
      </c>
      <c r="I50">
        <v>54.420277777777699</v>
      </c>
      <c r="J50">
        <v>2493.09642545415</v>
      </c>
      <c r="K50">
        <v>15000.0000119999</v>
      </c>
      <c r="L50">
        <v>9.0449999927639997</v>
      </c>
      <c r="M50">
        <v>-45.375277785013701</v>
      </c>
      <c r="N50">
        <v>0.16620642823064499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135675</v>
      </c>
      <c r="I51">
        <v>143.005277777777</v>
      </c>
      <c r="J51">
        <v>948.74120807507097</v>
      </c>
      <c r="K51">
        <v>2376.4479422467298</v>
      </c>
      <c r="L51">
        <v>57.0915093859496</v>
      </c>
      <c r="M51">
        <v>-85.9137683918281</v>
      </c>
      <c r="N51">
        <v>0.39922658990716797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61165</v>
      </c>
      <c r="I52">
        <v>27.183333333333302</v>
      </c>
      <c r="J52">
        <v>2250.0919681177102</v>
      </c>
      <c r="K52">
        <v>4500</v>
      </c>
      <c r="L52">
        <v>13.592222222222199</v>
      </c>
      <c r="M52">
        <v>-13.5911111111111</v>
      </c>
      <c r="N52">
        <v>0.50002043735949298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61165</v>
      </c>
      <c r="I53">
        <v>24.043611111111101</v>
      </c>
      <c r="J53">
        <v>2543.9190360109501</v>
      </c>
      <c r="K53">
        <v>1850.000004</v>
      </c>
      <c r="L53">
        <v>33.062162090676402</v>
      </c>
      <c r="M53">
        <v>9.0185509795652905</v>
      </c>
      <c r="N53">
        <v>1.3750913678435599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61165</v>
      </c>
      <c r="I54">
        <v>271.36361111111103</v>
      </c>
      <c r="J54">
        <v>225.39868094162199</v>
      </c>
      <c r="K54">
        <v>270.875649589631</v>
      </c>
      <c r="L54">
        <v>225.80471922324199</v>
      </c>
      <c r="M54">
        <v>-45.558891887869102</v>
      </c>
      <c r="N54">
        <v>0.83211127055198697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2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10478</v>
      </c>
      <c r="I65">
        <v>8.3566666666666602</v>
      </c>
      <c r="J65">
        <v>1253.8492221778999</v>
      </c>
      <c r="K65">
        <v>1244.000016</v>
      </c>
      <c r="L65">
        <v>8.4228294736613503</v>
      </c>
      <c r="M65">
        <v>6.6162806994691098E-2</v>
      </c>
      <c r="N65">
        <v>1.00791736820837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60879</v>
      </c>
      <c r="I66">
        <v>325.89027777777699</v>
      </c>
      <c r="J66">
        <v>186.80827306395699</v>
      </c>
      <c r="K66">
        <v>288</v>
      </c>
      <c r="L66">
        <v>211.385416666666</v>
      </c>
      <c r="M66">
        <v>-114.504861111111</v>
      </c>
      <c r="N66">
        <v>0.64863983702762895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1900</v>
      </c>
      <c r="I67">
        <v>11.3294444444444</v>
      </c>
      <c r="J67">
        <v>167.70460452115901</v>
      </c>
      <c r="K67">
        <v>117</v>
      </c>
      <c r="L67">
        <v>16.239316239316199</v>
      </c>
      <c r="M67">
        <v>4.9098717948717896</v>
      </c>
      <c r="N67">
        <v>1.4333726882150299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73257</v>
      </c>
      <c r="I69">
        <v>345.576388888888</v>
      </c>
      <c r="J69">
        <v>211.984968751883</v>
      </c>
      <c r="K69">
        <v>310.34847071276999</v>
      </c>
      <c r="L69">
        <v>236.04756237964401</v>
      </c>
      <c r="M69">
        <v>-109.528826509244</v>
      </c>
      <c r="N69">
        <v>0.68305465873578297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74510</v>
      </c>
      <c r="I70">
        <v>37.063055555555501</v>
      </c>
      <c r="J70">
        <v>2010.3577236991</v>
      </c>
      <c r="K70">
        <v>3465</v>
      </c>
      <c r="L70">
        <v>21.503607503607501</v>
      </c>
      <c r="M70">
        <v>-15.559448051947999</v>
      </c>
      <c r="N70">
        <v>0.58018981924937896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74510</v>
      </c>
      <c r="I71">
        <v>80.864722222222198</v>
      </c>
      <c r="J71">
        <v>921.415395396289</v>
      </c>
      <c r="K71">
        <v>1524.999996</v>
      </c>
      <c r="L71">
        <v>48.859016521597397</v>
      </c>
      <c r="M71">
        <v>-32.005705700624802</v>
      </c>
      <c r="N71">
        <v>0.60420681823810896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74510</v>
      </c>
      <c r="I72">
        <v>27.905833333333302</v>
      </c>
      <c r="J72">
        <v>2670.05106459223</v>
      </c>
      <c r="K72">
        <v>3499.999992</v>
      </c>
      <c r="L72">
        <v>21.288571477230999</v>
      </c>
      <c r="M72">
        <v>-6.61726185610231</v>
      </c>
      <c r="N72">
        <v>0.76287173448434298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74510</v>
      </c>
      <c r="I73">
        <v>13.2488888888888</v>
      </c>
      <c r="J73">
        <v>5623.8678295873797</v>
      </c>
      <c r="K73">
        <v>5000.0000040000004</v>
      </c>
      <c r="L73">
        <v>14.9019999880784</v>
      </c>
      <c r="M73">
        <v>1.6531110991895099</v>
      </c>
      <c r="N73">
        <v>1.12477356501765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74510</v>
      </c>
      <c r="I74">
        <v>504.65888888888799</v>
      </c>
      <c r="J74">
        <v>147.64428337733</v>
      </c>
      <c r="K74">
        <v>217.48346519489701</v>
      </c>
      <c r="L74">
        <v>342.60075787015802</v>
      </c>
      <c r="M74">
        <v>-162.05813101872999</v>
      </c>
      <c r="N74">
        <v>0.67887590095651495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14</v>
      </c>
      <c r="I76">
        <v>1.41333333333333</v>
      </c>
      <c r="J76">
        <v>9.9056603773584904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6</v>
      </c>
      <c r="I77">
        <v>0.115555555555555</v>
      </c>
      <c r="J77">
        <v>51.923076923076898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20</v>
      </c>
      <c r="I79">
        <v>1.5288888888888801</v>
      </c>
      <c r="J79">
        <v>13.0813953488372</v>
      </c>
      <c r="K79">
        <v>0</v>
      </c>
      <c r="L79">
        <v>0</v>
      </c>
      <c r="M79">
        <v>-1.5288888888888801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73277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20</v>
      </c>
      <c r="I81">
        <v>1.5288888888888801</v>
      </c>
      <c r="J81">
        <v>13.0813953488372</v>
      </c>
      <c r="K81">
        <v>0</v>
      </c>
      <c r="L81">
        <v>0</v>
      </c>
      <c r="M81">
        <v>-1.5288888888888801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1.5288888888888801</v>
      </c>
      <c r="J121">
        <v>0</v>
      </c>
      <c r="K121">
        <v>0</v>
      </c>
      <c r="L121">
        <v>0</v>
      </c>
      <c r="M121">
        <v>-1.5288888888888801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74510</v>
      </c>
      <c r="I161">
        <v>51.356666666666598</v>
      </c>
      <c r="J161">
        <v>1450.8340364769199</v>
      </c>
      <c r="K161">
        <v>938.413098236775</v>
      </c>
      <c r="L161">
        <v>79.400000000000006</v>
      </c>
      <c r="M161">
        <v>28.043333333333301</v>
      </c>
      <c r="N161">
        <v>1.5460504965275499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74510</v>
      </c>
      <c r="I162">
        <v>0</v>
      </c>
      <c r="J162">
        <v>0</v>
      </c>
      <c r="K162">
        <v>7029.2452830188604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74510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74510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135675</v>
      </c>
      <c r="I165">
        <v>59.4</v>
      </c>
      <c r="J165">
        <v>2284.0909090908999</v>
      </c>
      <c r="K165">
        <v>2499.999984</v>
      </c>
      <c r="L165">
        <v>54.270000347328001</v>
      </c>
      <c r="M165">
        <v>-5.1299996526719998</v>
      </c>
      <c r="N165">
        <v>0.91363636948363602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74510</v>
      </c>
      <c r="I166">
        <v>10.466666666666599</v>
      </c>
      <c r="J166">
        <v>7118.7898089171904</v>
      </c>
      <c r="K166">
        <v>0</v>
      </c>
      <c r="L166">
        <v>0</v>
      </c>
      <c r="M166">
        <v>-10.466666666666599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61165</v>
      </c>
      <c r="I170">
        <v>271.36361111111103</v>
      </c>
      <c r="J170">
        <v>225.39868094162199</v>
      </c>
      <c r="K170">
        <v>270.875649589631</v>
      </c>
      <c r="L170">
        <v>225.80471922324199</v>
      </c>
      <c r="M170">
        <v>-45.558891887869102</v>
      </c>
      <c r="N170">
        <v>0.83211127055198697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61165</v>
      </c>
      <c r="I172">
        <v>271.36361111111103</v>
      </c>
      <c r="J172">
        <v>225.39868094162199</v>
      </c>
      <c r="K172">
        <v>270.875649589631</v>
      </c>
      <c r="L172">
        <v>225.80471922324199</v>
      </c>
      <c r="M172">
        <v>-45.558891887869102</v>
      </c>
      <c r="N172">
        <v>0.83211127055198697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1.5288888888888801</v>
      </c>
      <c r="J173">
        <v>0</v>
      </c>
      <c r="K173">
        <v>0</v>
      </c>
      <c r="L173">
        <v>0</v>
      </c>
      <c r="M173">
        <v>-1.5288888888888801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74510</v>
      </c>
      <c r="I174">
        <v>504.65888888888799</v>
      </c>
      <c r="J174">
        <v>147.64428337733</v>
      </c>
      <c r="K174">
        <v>217.48346519489701</v>
      </c>
      <c r="L174">
        <v>342.60075787015802</v>
      </c>
      <c r="M174">
        <v>-162.05813101872999</v>
      </c>
      <c r="N174">
        <v>0.67887590095651495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74510</v>
      </c>
      <c r="I177">
        <v>121.223333333333</v>
      </c>
      <c r="J177">
        <v>614.65064481535398</v>
      </c>
      <c r="K177">
        <v>516.46218770789596</v>
      </c>
      <c r="L177">
        <v>144.27000034732799</v>
      </c>
      <c r="M177">
        <v>23.0466670139946</v>
      </c>
      <c r="N177">
        <v>1.19011741700438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135675</v>
      </c>
      <c r="I179">
        <v>898.77472222222195</v>
      </c>
      <c r="J179">
        <v>150.955513818349</v>
      </c>
      <c r="K179">
        <v>190.37416649611501</v>
      </c>
      <c r="L179">
        <v>712.67547744072795</v>
      </c>
      <c r="M179">
        <v>-186.09924478149301</v>
      </c>
      <c r="N179">
        <v>0.79294116736910103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61165</v>
      </c>
      <c r="I180">
        <v>271.36361111111103</v>
      </c>
      <c r="J180">
        <v>225.39868094162199</v>
      </c>
      <c r="K180">
        <v>270.875649589631</v>
      </c>
      <c r="L180">
        <v>225.80471922324199</v>
      </c>
      <c r="M180">
        <v>-45.558891887869102</v>
      </c>
      <c r="N180">
        <v>0.83211127055198697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74510</v>
      </c>
      <c r="I181">
        <v>504.65888888888799</v>
      </c>
      <c r="J181">
        <v>147.64428337733</v>
      </c>
      <c r="K181">
        <v>217.48346519489701</v>
      </c>
      <c r="L181">
        <v>342.60075787015802</v>
      </c>
      <c r="M181">
        <v>-162.05813101872999</v>
      </c>
      <c r="N181">
        <v>0.67887590095651495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74510</v>
      </c>
      <c r="I183">
        <v>121.223333333333</v>
      </c>
      <c r="J183">
        <v>614.65064481535398</v>
      </c>
      <c r="K183">
        <v>516.46218770789596</v>
      </c>
      <c r="L183">
        <v>144.27000034732799</v>
      </c>
      <c r="M183">
        <v>23.0466670139946</v>
      </c>
      <c r="N183">
        <v>1.19011741700438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135675</v>
      </c>
      <c r="I185">
        <v>897.24583333333305</v>
      </c>
      <c r="J185">
        <v>151.21273898364899</v>
      </c>
      <c r="K185">
        <v>190.37416649611501</v>
      </c>
      <c r="L185">
        <v>712.67547744072795</v>
      </c>
      <c r="M185">
        <v>-184.570355892604</v>
      </c>
      <c r="N185">
        <v>0.79429232320097498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60064</v>
      </c>
      <c r="I2">
        <v>38.755555555555503</v>
      </c>
      <c r="J2">
        <v>1549.8165137614601</v>
      </c>
      <c r="K2">
        <v>995.00000399999999</v>
      </c>
      <c r="L2">
        <v>60.365828903051899</v>
      </c>
      <c r="M2">
        <v>21.6102733474963</v>
      </c>
      <c r="N2">
        <v>1.5576045301819501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595</v>
      </c>
      <c r="I3">
        <v>4.4444444444444398E-2</v>
      </c>
      <c r="J3">
        <v>13387.5</v>
      </c>
      <c r="K3">
        <v>275.00000399999999</v>
      </c>
      <c r="L3">
        <v>2.1636363321652898</v>
      </c>
      <c r="M3">
        <v>2.1191918877208402</v>
      </c>
      <c r="N3">
        <v>48.681817473719001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1115</v>
      </c>
      <c r="I4">
        <v>0.86027777777777703</v>
      </c>
      <c r="J4">
        <v>1296.09299321924</v>
      </c>
      <c r="K4">
        <v>101.999988</v>
      </c>
      <c r="L4">
        <v>10.9313738350635</v>
      </c>
      <c r="M4">
        <v>10.0710960572858</v>
      </c>
      <c r="N4">
        <v>12.7067955460861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1</v>
      </c>
      <c r="I5">
        <v>1.55555555555555E-2</v>
      </c>
      <c r="J5">
        <v>64.285714285714207</v>
      </c>
      <c r="K5">
        <v>52.999991999999999</v>
      </c>
      <c r="L5">
        <v>1.8867927376290901E-2</v>
      </c>
      <c r="M5">
        <v>3.31237182073536E-3</v>
      </c>
      <c r="N5">
        <v>1.2129381884758399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1711</v>
      </c>
      <c r="I7">
        <v>0.92027777777777697</v>
      </c>
      <c r="J7">
        <v>1859.22124962269</v>
      </c>
      <c r="K7">
        <v>130.47246494565701</v>
      </c>
      <c r="L7">
        <v>13.1138780946051</v>
      </c>
      <c r="M7">
        <v>12.1936003168273</v>
      </c>
      <c r="N7">
        <v>14.2499128103165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7112</v>
      </c>
      <c r="I14">
        <v>5.7763888888888797</v>
      </c>
      <c r="J14">
        <v>1231.21904303919</v>
      </c>
      <c r="K14">
        <v>524.99998800000003</v>
      </c>
      <c r="L14">
        <v>13.546666976304699</v>
      </c>
      <c r="M14">
        <v>7.7702780874158703</v>
      </c>
      <c r="N14">
        <v>2.3451791832025499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76</v>
      </c>
      <c r="I15">
        <v>8.7480555555555508</v>
      </c>
      <c r="J15">
        <v>8.68764487346394</v>
      </c>
      <c r="K15">
        <v>11.999988</v>
      </c>
      <c r="L15">
        <v>6.333339666673</v>
      </c>
      <c r="M15">
        <v>-2.41471588888255</v>
      </c>
      <c r="N15">
        <v>0.72397113009312497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60064</v>
      </c>
      <c r="I16">
        <v>42.913611111111102</v>
      </c>
      <c r="J16">
        <v>1399.6491659600299</v>
      </c>
      <c r="K16">
        <v>2000.00001599999</v>
      </c>
      <c r="L16">
        <v>30.031999759744</v>
      </c>
      <c r="M16">
        <v>-12.8816113513671</v>
      </c>
      <c r="N16">
        <v>0.69982457738142101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60064</v>
      </c>
      <c r="I17">
        <v>97.113888888888894</v>
      </c>
      <c r="J17">
        <v>618.49031778267204</v>
      </c>
      <c r="K17">
        <v>486.77498954168402</v>
      </c>
      <c r="L17">
        <v>123.39171340037799</v>
      </c>
      <c r="M17">
        <v>26.27782451149</v>
      </c>
      <c r="N17">
        <v>1.27058770699168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7344</v>
      </c>
      <c r="I46">
        <v>102.803888888888</v>
      </c>
      <c r="J46">
        <v>71.436986279161502</v>
      </c>
      <c r="K46">
        <v>86.000004000000004</v>
      </c>
      <c r="L46">
        <v>85.395344865332802</v>
      </c>
      <c r="M46">
        <v>-17.408544023556001</v>
      </c>
      <c r="N46">
        <v>0.83066259251757102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89</v>
      </c>
      <c r="I48">
        <v>14.9297222222222</v>
      </c>
      <c r="J48">
        <v>5.9612629542113904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131235</v>
      </c>
      <c r="I50">
        <v>53.110277777777704</v>
      </c>
      <c r="J50">
        <v>2470.9906536190401</v>
      </c>
      <c r="K50">
        <v>15000.0000119999</v>
      </c>
      <c r="L50">
        <v>8.7489999930007993</v>
      </c>
      <c r="M50">
        <v>-44.361277784776902</v>
      </c>
      <c r="N50">
        <v>0.16473271010948301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131235</v>
      </c>
      <c r="I51">
        <v>170.84388888888799</v>
      </c>
      <c r="J51">
        <v>768.15741466380905</v>
      </c>
      <c r="K51">
        <v>1393.9764538961899</v>
      </c>
      <c r="L51">
        <v>94.144344858333596</v>
      </c>
      <c r="M51">
        <v>-76.699544030555202</v>
      </c>
      <c r="N51">
        <v>0.55105479903680898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60064</v>
      </c>
      <c r="I52">
        <v>20.883333333333301</v>
      </c>
      <c r="J52">
        <v>2876.1691939345501</v>
      </c>
      <c r="K52">
        <v>4500</v>
      </c>
      <c r="L52">
        <v>13.3475555555555</v>
      </c>
      <c r="M52">
        <v>-7.5357777777777697</v>
      </c>
      <c r="N52">
        <v>0.63914870976323401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60064</v>
      </c>
      <c r="I53">
        <v>20.5130555555555</v>
      </c>
      <c r="J53">
        <v>2928.08644900943</v>
      </c>
      <c r="K53">
        <v>1850.000004</v>
      </c>
      <c r="L53">
        <v>32.467026956828001</v>
      </c>
      <c r="M53">
        <v>11.953971401272399</v>
      </c>
      <c r="N53">
        <v>1.58274942847483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60064</v>
      </c>
      <c r="I54">
        <v>309.354166666666</v>
      </c>
      <c r="J54">
        <v>194.15933732911299</v>
      </c>
      <c r="K54">
        <v>228.07614906168899</v>
      </c>
      <c r="L54">
        <v>263.35064077109598</v>
      </c>
      <c r="M54">
        <v>-46.003525895570498</v>
      </c>
      <c r="N54">
        <v>0.85129172045340495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9880</v>
      </c>
      <c r="I65">
        <v>8.4141666666666595</v>
      </c>
      <c r="J65">
        <v>1174.21016143408</v>
      </c>
      <c r="K65">
        <v>1244.000016</v>
      </c>
      <c r="L65">
        <v>7.9421220843456899</v>
      </c>
      <c r="M65">
        <v>-0.47204458232096902</v>
      </c>
      <c r="N65">
        <v>0.943898831456357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59097</v>
      </c>
      <c r="I66">
        <v>331.85805555555498</v>
      </c>
      <c r="J66">
        <v>178.07914863198701</v>
      </c>
      <c r="K66">
        <v>288</v>
      </c>
      <c r="L66">
        <v>205.197916666666</v>
      </c>
      <c r="M66">
        <v>-126.660138888888</v>
      </c>
      <c r="N66">
        <v>0.61833037719439898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993</v>
      </c>
      <c r="I67">
        <v>8.8275000000000006</v>
      </c>
      <c r="J67">
        <v>112.489379779099</v>
      </c>
      <c r="K67">
        <v>117</v>
      </c>
      <c r="L67">
        <v>8.4871794871794801</v>
      </c>
      <c r="M67">
        <v>-0.34032051282051301</v>
      </c>
      <c r="N67">
        <v>0.96144769041965294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69970</v>
      </c>
      <c r="I69">
        <v>349.099722222222</v>
      </c>
      <c r="J69">
        <v>200.42983579190599</v>
      </c>
      <c r="K69">
        <v>315.71032004200998</v>
      </c>
      <c r="L69">
        <v>221.62721823819101</v>
      </c>
      <c r="M69">
        <v>-127.47250398403</v>
      </c>
      <c r="N69">
        <v>0.63485360809629399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71171</v>
      </c>
      <c r="I70">
        <v>30.316666666666599</v>
      </c>
      <c r="J70">
        <v>2347.5865860362801</v>
      </c>
      <c r="K70">
        <v>3465</v>
      </c>
      <c r="L70">
        <v>20.539971139971101</v>
      </c>
      <c r="M70">
        <v>-9.7766955266955193</v>
      </c>
      <c r="N70">
        <v>0.67751416624423699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71171</v>
      </c>
      <c r="I71">
        <v>72.018055555555506</v>
      </c>
      <c r="J71">
        <v>988.23828900931403</v>
      </c>
      <c r="K71">
        <v>1524.999996</v>
      </c>
      <c r="L71">
        <v>46.669508319133101</v>
      </c>
      <c r="M71">
        <v>-25.348547236422402</v>
      </c>
      <c r="N71">
        <v>0.64802510924682899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71171</v>
      </c>
      <c r="I72">
        <v>32.727222222222203</v>
      </c>
      <c r="J72">
        <v>2174.6728004209799</v>
      </c>
      <c r="K72">
        <v>3499.999992</v>
      </c>
      <c r="L72">
        <v>20.334571475050399</v>
      </c>
      <c r="M72">
        <v>-12.3926507471717</v>
      </c>
      <c r="N72">
        <v>0.62133508725476205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71171</v>
      </c>
      <c r="I73">
        <v>1.9069444444444399</v>
      </c>
      <c r="J73">
        <v>37322.0101966496</v>
      </c>
      <c r="K73">
        <v>5000.0000040000004</v>
      </c>
      <c r="L73">
        <v>14.2341999886126</v>
      </c>
      <c r="M73">
        <v>12.3272555441681</v>
      </c>
      <c r="N73">
        <v>7.46440203335841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71171</v>
      </c>
      <c r="I74">
        <v>486.06861111111101</v>
      </c>
      <c r="J74">
        <v>146.42171572714599</v>
      </c>
      <c r="K74">
        <v>220.06739769938099</v>
      </c>
      <c r="L74">
        <v>323.405469160959</v>
      </c>
      <c r="M74">
        <v>-162.66314195015099</v>
      </c>
      <c r="N74">
        <v>0.66534942139481501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524</v>
      </c>
      <c r="I75">
        <v>0.206666666666666</v>
      </c>
      <c r="J75">
        <v>2535.4838709677401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492</v>
      </c>
      <c r="I76">
        <v>1.7488888888888801</v>
      </c>
      <c r="J76">
        <v>281.32147395171501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36</v>
      </c>
      <c r="I77">
        <v>0.211111111111111</v>
      </c>
      <c r="J77">
        <v>170.52631578947299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1052</v>
      </c>
      <c r="I79">
        <v>2.1666666666666599</v>
      </c>
      <c r="J79">
        <v>485.53846153846098</v>
      </c>
      <c r="K79">
        <v>0</v>
      </c>
      <c r="L79">
        <v>0</v>
      </c>
      <c r="M79">
        <v>-2.1666666666666599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71022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1052</v>
      </c>
      <c r="I81">
        <v>2.1666666666666599</v>
      </c>
      <c r="J81">
        <v>485.53846153846098</v>
      </c>
      <c r="K81">
        <v>0</v>
      </c>
      <c r="L81">
        <v>0</v>
      </c>
      <c r="M81">
        <v>-2.1666666666666599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2.1666666666666599</v>
      </c>
      <c r="J121">
        <v>0</v>
      </c>
      <c r="K121">
        <v>0</v>
      </c>
      <c r="L121">
        <v>0</v>
      </c>
      <c r="M121">
        <v>-2.1666666666666599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71171</v>
      </c>
      <c r="I161">
        <v>74.653333333333293</v>
      </c>
      <c r="J161">
        <v>953.35327737095895</v>
      </c>
      <c r="K161">
        <v>896.36020151133505</v>
      </c>
      <c r="L161">
        <v>79.400000000000006</v>
      </c>
      <c r="M161">
        <v>4.7466666666666599</v>
      </c>
      <c r="N161">
        <v>1.0635827826397499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71171</v>
      </c>
      <c r="I162">
        <v>0</v>
      </c>
      <c r="J162">
        <v>0</v>
      </c>
      <c r="K162">
        <v>6714.2452830188604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71171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71171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131235</v>
      </c>
      <c r="I165">
        <v>60.545555555555502</v>
      </c>
      <c r="J165">
        <v>2167.5414288598099</v>
      </c>
      <c r="K165">
        <v>2499.999984</v>
      </c>
      <c r="L165">
        <v>52.494000335961601</v>
      </c>
      <c r="M165">
        <v>-8.0515552195939506</v>
      </c>
      <c r="N165">
        <v>0.86701657709282998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71171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60064</v>
      </c>
      <c r="I170">
        <v>309.354166666666</v>
      </c>
      <c r="J170">
        <v>194.15933732911299</v>
      </c>
      <c r="K170">
        <v>228.07614906168899</v>
      </c>
      <c r="L170">
        <v>263.35064077109598</v>
      </c>
      <c r="M170">
        <v>-46.003525895570498</v>
      </c>
      <c r="N170">
        <v>0.85129172045340495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60064</v>
      </c>
      <c r="I172">
        <v>309.354166666666</v>
      </c>
      <c r="J172">
        <v>194.15933732911299</v>
      </c>
      <c r="K172">
        <v>228.07614906168899</v>
      </c>
      <c r="L172">
        <v>263.35064077109598</v>
      </c>
      <c r="M172">
        <v>-46.003525895570498</v>
      </c>
      <c r="N172">
        <v>0.85129172045340495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2.1666666666666599</v>
      </c>
      <c r="J173">
        <v>0</v>
      </c>
      <c r="K173">
        <v>0</v>
      </c>
      <c r="L173">
        <v>0</v>
      </c>
      <c r="M173">
        <v>-2.1666666666666599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71171</v>
      </c>
      <c r="I174">
        <v>486.06861111111101</v>
      </c>
      <c r="J174">
        <v>146.42171572714599</v>
      </c>
      <c r="K174">
        <v>220.06739769938099</v>
      </c>
      <c r="L174">
        <v>323.405469160959</v>
      </c>
      <c r="M174">
        <v>-162.66314195015099</v>
      </c>
      <c r="N174">
        <v>0.66534942139481501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71171</v>
      </c>
      <c r="I177">
        <v>135.19888888888801</v>
      </c>
      <c r="J177">
        <v>526.41704813484603</v>
      </c>
      <c r="K177">
        <v>499.46664303197599</v>
      </c>
      <c r="L177">
        <v>142.494000335961</v>
      </c>
      <c r="M177">
        <v>7.2951114470727001</v>
      </c>
      <c r="N177">
        <v>1.05395836834922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131235</v>
      </c>
      <c r="I179">
        <v>932.78833333333296</v>
      </c>
      <c r="J179">
        <v>140.69108211401999</v>
      </c>
      <c r="K179">
        <v>179.95883463324799</v>
      </c>
      <c r="L179">
        <v>729.25011026801701</v>
      </c>
      <c r="M179">
        <v>-203.538223065316</v>
      </c>
      <c r="N179">
        <v>0.781795916831453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60064</v>
      </c>
      <c r="I180">
        <v>309.354166666666</v>
      </c>
      <c r="J180">
        <v>194.15933732911299</v>
      </c>
      <c r="K180">
        <v>228.07614906168899</v>
      </c>
      <c r="L180">
        <v>263.35064077109598</v>
      </c>
      <c r="M180">
        <v>-46.003525895570498</v>
      </c>
      <c r="N180">
        <v>0.85129172045340495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71171</v>
      </c>
      <c r="I181">
        <v>486.06861111111101</v>
      </c>
      <c r="J181">
        <v>146.42171572714599</v>
      </c>
      <c r="K181">
        <v>220.06739769938099</v>
      </c>
      <c r="L181">
        <v>323.405469160959</v>
      </c>
      <c r="M181">
        <v>-162.66314195015099</v>
      </c>
      <c r="N181">
        <v>0.66534942139481501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71171</v>
      </c>
      <c r="I183">
        <v>135.19888888888801</v>
      </c>
      <c r="J183">
        <v>526.41704813484603</v>
      </c>
      <c r="K183">
        <v>499.46664303197599</v>
      </c>
      <c r="L183">
        <v>142.494000335961</v>
      </c>
      <c r="M183">
        <v>7.2951114470727001</v>
      </c>
      <c r="N183">
        <v>1.05395836834922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131235</v>
      </c>
      <c r="I185">
        <v>930.62166666666599</v>
      </c>
      <c r="J185">
        <v>141.01863807884601</v>
      </c>
      <c r="K185">
        <v>179.95883463324799</v>
      </c>
      <c r="L185">
        <v>729.25011026801701</v>
      </c>
      <c r="M185">
        <v>-201.37155639864901</v>
      </c>
      <c r="N185">
        <v>0.78361608845844999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105</vt:i4>
      </vt:variant>
    </vt:vector>
  </HeadingPairs>
  <TitlesOfParts>
    <vt:vector size="134" baseType="lpstr">
      <vt:lpstr>Report Generator</vt:lpstr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ppr1</vt:lpstr>
      <vt:lpstr>ppr2</vt:lpstr>
      <vt:lpstr>ppr3</vt:lpstr>
      <vt:lpstr>ppr4</vt:lpstr>
      <vt:lpstr>ppr5</vt:lpstr>
      <vt:lpstr>ppr6</vt:lpstr>
      <vt:lpstr>ppr7</vt:lpstr>
      <vt:lpstr>'ppr5'!website1</vt:lpstr>
      <vt:lpstr>'ppr5'!website1_1</vt:lpstr>
      <vt:lpstr>'ppr5'!website1_10</vt:lpstr>
      <vt:lpstr>'ppr5'!website1_11</vt:lpstr>
      <vt:lpstr>'ppr5'!website1_12</vt:lpstr>
      <vt:lpstr>'ppr5'!website1_13</vt:lpstr>
      <vt:lpstr>'ppr5'!website1_14</vt:lpstr>
      <vt:lpstr>'ppr5'!website1_2</vt:lpstr>
      <vt:lpstr>'ppr5'!website1_3</vt:lpstr>
      <vt:lpstr>'ppr5'!website1_4</vt:lpstr>
      <vt:lpstr>'ppr5'!website1_5</vt:lpstr>
      <vt:lpstr>'ppr5'!website1_6</vt:lpstr>
      <vt:lpstr>'ppr5'!website1_7</vt:lpstr>
      <vt:lpstr>'ppr5'!website1_8</vt:lpstr>
      <vt:lpstr>'ppr5'!website1_9</vt:lpstr>
      <vt:lpstr>'ppr6'!website2</vt:lpstr>
      <vt:lpstr>'ppr6'!website2_1</vt:lpstr>
      <vt:lpstr>'ppr6'!website2_10</vt:lpstr>
      <vt:lpstr>'ppr6'!website2_11</vt:lpstr>
      <vt:lpstr>'ppr6'!website2_12</vt:lpstr>
      <vt:lpstr>'ppr6'!website2_13</vt:lpstr>
      <vt:lpstr>'ppr6'!website2_14</vt:lpstr>
      <vt:lpstr>'ppr6'!website2_2</vt:lpstr>
      <vt:lpstr>'ppr6'!website2_3</vt:lpstr>
      <vt:lpstr>'ppr6'!website2_4</vt:lpstr>
      <vt:lpstr>'ppr6'!website2_5</vt:lpstr>
      <vt:lpstr>'ppr6'!website2_6</vt:lpstr>
      <vt:lpstr>'ppr6'!website2_7</vt:lpstr>
      <vt:lpstr>'ppr6'!website2_8</vt:lpstr>
      <vt:lpstr>'ppr6'!website2_9</vt:lpstr>
      <vt:lpstr>'ppr1'!website27</vt:lpstr>
      <vt:lpstr>'ppr1'!website27_1</vt:lpstr>
      <vt:lpstr>'ppr1'!website27_10</vt:lpstr>
      <vt:lpstr>'ppr1'!website27_11</vt:lpstr>
      <vt:lpstr>'ppr1'!website27_12</vt:lpstr>
      <vt:lpstr>'ppr1'!website27_13</vt:lpstr>
      <vt:lpstr>'ppr1'!website27_14</vt:lpstr>
      <vt:lpstr>'ppr1'!website27_2</vt:lpstr>
      <vt:lpstr>'ppr1'!website27_3</vt:lpstr>
      <vt:lpstr>'ppr1'!website27_4</vt:lpstr>
      <vt:lpstr>'ppr1'!website27_5</vt:lpstr>
      <vt:lpstr>'ppr1'!website27_6</vt:lpstr>
      <vt:lpstr>'ppr1'!website27_7</vt:lpstr>
      <vt:lpstr>'ppr1'!website27_8</vt:lpstr>
      <vt:lpstr>'ppr1'!website27_9</vt:lpstr>
      <vt:lpstr>'ppr2'!website28</vt:lpstr>
      <vt:lpstr>'ppr2'!website28_1</vt:lpstr>
      <vt:lpstr>'ppr2'!website28_10</vt:lpstr>
      <vt:lpstr>'ppr2'!website28_11</vt:lpstr>
      <vt:lpstr>'ppr2'!website28_12</vt:lpstr>
      <vt:lpstr>'ppr2'!website28_13</vt:lpstr>
      <vt:lpstr>'ppr2'!website28_14</vt:lpstr>
      <vt:lpstr>'ppr2'!website28_2</vt:lpstr>
      <vt:lpstr>'ppr2'!website28_3</vt:lpstr>
      <vt:lpstr>'ppr2'!website28_4</vt:lpstr>
      <vt:lpstr>'ppr2'!website28_5</vt:lpstr>
      <vt:lpstr>'ppr2'!website28_6</vt:lpstr>
      <vt:lpstr>'ppr2'!website28_7</vt:lpstr>
      <vt:lpstr>'ppr2'!website28_8</vt:lpstr>
      <vt:lpstr>'ppr2'!website28_9</vt:lpstr>
      <vt:lpstr>'ppr3'!website29</vt:lpstr>
      <vt:lpstr>'ppr3'!website29_1</vt:lpstr>
      <vt:lpstr>'ppr3'!website29_10</vt:lpstr>
      <vt:lpstr>'ppr3'!website29_11</vt:lpstr>
      <vt:lpstr>'ppr3'!website29_12</vt:lpstr>
      <vt:lpstr>'ppr3'!website29_13</vt:lpstr>
      <vt:lpstr>'ppr3'!website29_14</vt:lpstr>
      <vt:lpstr>'ppr3'!website29_2</vt:lpstr>
      <vt:lpstr>'ppr3'!website29_3</vt:lpstr>
      <vt:lpstr>'ppr3'!website29_4</vt:lpstr>
      <vt:lpstr>'ppr3'!website29_5</vt:lpstr>
      <vt:lpstr>'ppr3'!website29_6</vt:lpstr>
      <vt:lpstr>'ppr3'!website29_7</vt:lpstr>
      <vt:lpstr>'ppr3'!website29_8</vt:lpstr>
      <vt:lpstr>'ppr3'!website29_9</vt:lpstr>
      <vt:lpstr>'ppr7'!website3</vt:lpstr>
      <vt:lpstr>'ppr7'!website3_1</vt:lpstr>
      <vt:lpstr>'ppr7'!website3_10</vt:lpstr>
      <vt:lpstr>'ppr7'!website3_11</vt:lpstr>
      <vt:lpstr>'ppr7'!website3_12</vt:lpstr>
      <vt:lpstr>'ppr7'!website3_13</vt:lpstr>
      <vt:lpstr>'ppr7'!website3_14</vt:lpstr>
      <vt:lpstr>'ppr7'!website3_2</vt:lpstr>
      <vt:lpstr>'ppr7'!website3_3</vt:lpstr>
      <vt:lpstr>'ppr7'!website3_4</vt:lpstr>
      <vt:lpstr>'ppr7'!website3_5</vt:lpstr>
      <vt:lpstr>'ppr7'!website3_6</vt:lpstr>
      <vt:lpstr>'ppr7'!website3_7</vt:lpstr>
      <vt:lpstr>'ppr7'!website3_8</vt:lpstr>
      <vt:lpstr>'ppr7'!website3_9</vt:lpstr>
      <vt:lpstr>'ppr4'!website30</vt:lpstr>
      <vt:lpstr>'ppr4'!website30_1</vt:lpstr>
      <vt:lpstr>'ppr4'!website30_10</vt:lpstr>
      <vt:lpstr>'ppr4'!website30_11</vt:lpstr>
      <vt:lpstr>'ppr4'!website30_12</vt:lpstr>
      <vt:lpstr>'ppr4'!website30_13</vt:lpstr>
      <vt:lpstr>'ppr4'!website30_14</vt:lpstr>
      <vt:lpstr>'ppr4'!website30_2</vt:lpstr>
      <vt:lpstr>'ppr4'!website30_3</vt:lpstr>
      <vt:lpstr>'ppr4'!website30_4</vt:lpstr>
      <vt:lpstr>'ppr4'!website30_5</vt:lpstr>
      <vt:lpstr>'ppr4'!website30_6</vt:lpstr>
      <vt:lpstr>'ppr4'!website30_7</vt:lpstr>
      <vt:lpstr>'ppr4'!website30_8</vt:lpstr>
      <vt:lpstr>'ppr4'!website30_9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2020-10-07T00:20:18Z</dcterms:modified>
</cp:coreProperties>
</file>