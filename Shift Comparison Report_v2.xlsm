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iority  projects\icqa_shift_comparison_report_v2\"/>
    </mc:Choice>
  </mc:AlternateContent>
  <bookViews>
    <workbookView xWindow="0" yWindow="0" windowWidth="2450" windowHeight="360" tabRatio="910" firstSheet="19" activeTab="21"/>
  </bookViews>
  <sheets>
    <sheet name="1.19" sheetId="1" r:id="rId1"/>
    <sheet name="1.26" sheetId="3" r:id="rId2"/>
    <sheet name="2.2" sheetId="6" r:id="rId3"/>
    <sheet name="2.9" sheetId="7" r:id="rId4"/>
    <sheet name="2.16" sheetId="9" r:id="rId5"/>
    <sheet name="2.23" sheetId="10" r:id="rId6"/>
    <sheet name="3.1" sheetId="11" r:id="rId7"/>
    <sheet name="3.8" sheetId="12" r:id="rId8"/>
    <sheet name="4.26" sheetId="14" r:id="rId9"/>
    <sheet name="5.3" sheetId="15" r:id="rId10"/>
    <sheet name="5.10" sheetId="17" r:id="rId11"/>
    <sheet name="5.17" sheetId="18" r:id="rId12"/>
    <sheet name="5.24" sheetId="19" r:id="rId13"/>
    <sheet name="5.31" sheetId="20" r:id="rId14"/>
    <sheet name="6.7" sheetId="21" r:id="rId15"/>
    <sheet name="7.19" sheetId="22" r:id="rId16"/>
    <sheet name="7.26" sheetId="24" r:id="rId17"/>
    <sheet name="8.30" sheetId="27" r:id="rId18"/>
    <sheet name="9.13" sheetId="41" r:id="rId19"/>
    <sheet name="9.20" sheetId="43" r:id="rId20"/>
    <sheet name="9.27" sheetId="44" r:id="rId21"/>
    <sheet name="Report Generator" sheetId="35" r:id="rId22"/>
    <sheet name="pid1" sheetId="156" r:id="rId23"/>
    <sheet name="pid2" sheetId="157" r:id="rId24"/>
    <sheet name="pid3" sheetId="158" r:id="rId25"/>
    <sheet name="ppr1" sheetId="159" r:id="rId26"/>
    <sheet name="ppr2" sheetId="160" r:id="rId27"/>
    <sheet name="ppr3" sheetId="161" r:id="rId28"/>
    <sheet name="ppr4" sheetId="162" r:id="rId29"/>
    <sheet name="pid4" sheetId="163" r:id="rId30"/>
    <sheet name="frr1" sheetId="168" r:id="rId31"/>
    <sheet name="frr2" sheetId="169" r:id="rId32"/>
    <sheet name="frr3" sheetId="170" r:id="rId33"/>
    <sheet name="frr4" sheetId="171" r:id="rId34"/>
    <sheet name="ur1" sheetId="172" r:id="rId35"/>
    <sheet name="ur2" sheetId="173" r:id="rId36"/>
    <sheet name="ur3" sheetId="174" r:id="rId37"/>
    <sheet name="ur4" sheetId="175" r:id="rId38"/>
  </sheets>
  <functionGroups builtInGroupCount="18"/>
  <definedNames>
    <definedName name="website27" localSheetId="30">'frr1'!$A$1:$A$289</definedName>
    <definedName name="website27" localSheetId="22">'pid1'!$A$1:$A$18</definedName>
    <definedName name="website27" localSheetId="25">'ppr1'!$A$1:$A$186</definedName>
    <definedName name="website27" localSheetId="34">'ur1'!$A$1</definedName>
    <definedName name="website27_1" localSheetId="30">'frr1'!$A$1:$A$289</definedName>
    <definedName name="website27_1" localSheetId="22">'pid1'!$A$1:$A$18</definedName>
    <definedName name="website27_1" localSheetId="25">'ppr1'!$A$1:$A$186</definedName>
    <definedName name="website27_1" localSheetId="34">'ur1'!$A$1:$A$177</definedName>
    <definedName name="website27_10" localSheetId="30">'frr1'!$A$1:$A$282</definedName>
    <definedName name="website27_10" localSheetId="22">'pid1'!$A$1:$A$18</definedName>
    <definedName name="website27_10" localSheetId="25">'ppr1'!$A$1:$A$186</definedName>
    <definedName name="website27_10" localSheetId="34">'ur1'!$A$1:$A$177</definedName>
    <definedName name="website27_11" localSheetId="30">'frr1'!$A$1:$A$282</definedName>
    <definedName name="website27_11" localSheetId="22">'pid1'!$A$1:$A$18</definedName>
    <definedName name="website27_11" localSheetId="25">'ppr1'!$A$1:$A$186</definedName>
    <definedName name="website27_11" localSheetId="34">'ur1'!$A$1:$A$170</definedName>
    <definedName name="website27_12" localSheetId="30">'frr1'!$A$1:$A$282</definedName>
    <definedName name="website27_12" localSheetId="22">'pid1'!$A$1:$A$18</definedName>
    <definedName name="website27_12" localSheetId="25">'ppr1'!$A$1:$A$186</definedName>
    <definedName name="website27_12" localSheetId="34">'ur1'!$A$1:$A$170</definedName>
    <definedName name="website27_13" localSheetId="30">'frr1'!$A$1:$A$282</definedName>
    <definedName name="website27_13" localSheetId="22">'pid1'!$A$1:$A$18</definedName>
    <definedName name="website27_13" localSheetId="25">'ppr1'!$A$1:$A$186</definedName>
    <definedName name="website27_14" localSheetId="30">'frr1'!$A$1:$A$282</definedName>
    <definedName name="website27_14" localSheetId="22">'pid1'!$A$1:$A$18</definedName>
    <definedName name="website27_14" localSheetId="25">'ppr1'!$A$1:$A$186</definedName>
    <definedName name="website27_15" localSheetId="30">'frr1'!$A$1:$A$282</definedName>
    <definedName name="website27_15" localSheetId="22">'pid1'!$A$1:$A$18</definedName>
    <definedName name="website27_15" localSheetId="25">'ppr1'!$A$1:$A$186</definedName>
    <definedName name="website27_16" localSheetId="30">'frr1'!$A$1:$A$282</definedName>
    <definedName name="website27_16" localSheetId="22">'pid1'!$A$1:$A$18</definedName>
    <definedName name="website27_16" localSheetId="25">'ppr1'!$A$1:$A$186</definedName>
    <definedName name="website27_17" localSheetId="22">'pid1'!$A$1:$A$18</definedName>
    <definedName name="website27_17" localSheetId="25">'ppr1'!$A$1:$A$186</definedName>
    <definedName name="website27_18" localSheetId="22">'pid1'!$A$1:$A$18</definedName>
    <definedName name="website27_18" localSheetId="25">'ppr1'!$A$1:$A$186</definedName>
    <definedName name="website27_19" localSheetId="22">'pid1'!$A$1:$A$18</definedName>
    <definedName name="website27_19" localSheetId="25">'ppr1'!$A$1:$A$186</definedName>
    <definedName name="website27_2" localSheetId="30">'frr1'!$A$1:$A$282</definedName>
    <definedName name="website27_2" localSheetId="22">'pid1'!$A$1:$A$18</definedName>
    <definedName name="website27_2" localSheetId="25">'ppr1'!$A$1:$A$186</definedName>
    <definedName name="website27_2" localSheetId="34">'ur1'!$A$1:$A$177</definedName>
    <definedName name="website27_20" localSheetId="22">'pid1'!$A$1:$A$18</definedName>
    <definedName name="website27_20" localSheetId="25">'ppr1'!$A$1:$A$186</definedName>
    <definedName name="website27_21" localSheetId="22">'pid1'!$A$1:$A$18</definedName>
    <definedName name="website27_21" localSheetId="25">'ppr1'!$A$1:$A$186</definedName>
    <definedName name="website27_3" localSheetId="30">'frr1'!$A$1:$A$282</definedName>
    <definedName name="website27_3" localSheetId="22">'pid1'!$A$1:$A$18</definedName>
    <definedName name="website27_3" localSheetId="25">'ppr1'!$A$1:$A$289</definedName>
    <definedName name="website27_3" localSheetId="34">'ur1'!$A$1</definedName>
    <definedName name="website27_4" localSheetId="30">'frr1'!$A$1:$A$282</definedName>
    <definedName name="website27_4" localSheetId="22">'pid1'!$A$1:$A$18</definedName>
    <definedName name="website27_4" localSheetId="25">'ppr1'!$A$1:$A$186</definedName>
    <definedName name="website27_4" localSheetId="34">'ur1'!$A$1:$A$177</definedName>
    <definedName name="website27_5" localSheetId="30">'frr1'!$A$1:$A$282</definedName>
    <definedName name="website27_5" localSheetId="22">'pid1'!$A$1:$A$18</definedName>
    <definedName name="website27_5" localSheetId="25">'ppr1'!$A$1:$A$186</definedName>
    <definedName name="website27_5" localSheetId="34">'ur1'!$A$1:$A$177</definedName>
    <definedName name="website27_6" localSheetId="30">'frr1'!$A$1:$A$282</definedName>
    <definedName name="website27_6" localSheetId="22">'pid1'!$A$1:$A$18</definedName>
    <definedName name="website27_6" localSheetId="25">'ppr1'!$A$1:$A$186</definedName>
    <definedName name="website27_6" localSheetId="34">'ur1'!$A$1:$A$177</definedName>
    <definedName name="website27_7" localSheetId="30">'frr1'!$A$1:$A$282</definedName>
    <definedName name="website27_7" localSheetId="22">'pid1'!$A$1:$A$18</definedName>
    <definedName name="website27_7" localSheetId="25">'ppr1'!$A$1:$A$186</definedName>
    <definedName name="website27_7" localSheetId="34">'ur1'!$A$1:$A$177</definedName>
    <definedName name="website27_8" localSheetId="30">'frr1'!$A$1:$A$282</definedName>
    <definedName name="website27_8" localSheetId="22">'pid1'!$A$1:$A$18</definedName>
    <definedName name="website27_8" localSheetId="25">'ppr1'!$A$1:$A$186</definedName>
    <definedName name="website27_8" localSheetId="34">'ur1'!$A$1:$A$177</definedName>
    <definedName name="website27_9" localSheetId="30">'frr1'!$A$1:$A$282</definedName>
    <definedName name="website27_9" localSheetId="22">'pid1'!$A$1:$A$18</definedName>
    <definedName name="website27_9" localSheetId="25">'ppr1'!$A$1</definedName>
    <definedName name="website27_9" localSheetId="34">'ur1'!$A$1:$A$177</definedName>
    <definedName name="website28" localSheetId="31">'frr2'!$A$1:$A$289</definedName>
    <definedName name="website28" localSheetId="23">'pid2'!$A$1:$A$18</definedName>
    <definedName name="website28" localSheetId="26">'ppr2'!$A$1:$A$186</definedName>
    <definedName name="website28" localSheetId="35">'ur2'!$A$1</definedName>
    <definedName name="website28_1" localSheetId="31">'frr2'!$A$1:$A$289</definedName>
    <definedName name="website28_1" localSheetId="23">'pid2'!$A$1:$A$18</definedName>
    <definedName name="website28_1" localSheetId="26">'ppr2'!$A$1:$A$186</definedName>
    <definedName name="website28_1" localSheetId="35">'ur2'!$A$1:$A$177</definedName>
    <definedName name="website28_10" localSheetId="31">'frr2'!$A$1:$A$254</definedName>
    <definedName name="website28_10" localSheetId="23">'pid2'!$A$1:$A$18</definedName>
    <definedName name="website28_10" localSheetId="26">'ppr2'!$A$1:$A$186</definedName>
    <definedName name="website28_10" localSheetId="35">'ur2'!$A$1:$A$177</definedName>
    <definedName name="website28_11" localSheetId="31">'frr2'!$A$1:$A$254</definedName>
    <definedName name="website28_11" localSheetId="23">'pid2'!$A$1:$A$18</definedName>
    <definedName name="website28_11" localSheetId="26">'ppr2'!$A$1:$A$186</definedName>
    <definedName name="website28_11" localSheetId="35">'ur2'!$A$1:$A$170</definedName>
    <definedName name="website28_12" localSheetId="31">'frr2'!$A$1:$A$254</definedName>
    <definedName name="website28_12" localSheetId="23">'pid2'!$A$1:$A$18</definedName>
    <definedName name="website28_12" localSheetId="26">'ppr2'!$A$1:$A$186</definedName>
    <definedName name="website28_12" localSheetId="35">'ur2'!$A$1:$A$174</definedName>
    <definedName name="website28_13" localSheetId="31">'frr2'!$A$1:$A$254</definedName>
    <definedName name="website28_13" localSheetId="23">'pid2'!$A$1:$A$18</definedName>
    <definedName name="website28_13" localSheetId="26">'ppr2'!$A$1:$A$186</definedName>
    <definedName name="website28_14" localSheetId="31">'frr2'!$A$1:$A$254</definedName>
    <definedName name="website28_14" localSheetId="23">'pid2'!$A$1:$A$18</definedName>
    <definedName name="website28_14" localSheetId="26">'ppr2'!$A$1:$A$186</definedName>
    <definedName name="website28_15" localSheetId="31">'frr2'!$A$1:$A$254</definedName>
    <definedName name="website28_15" localSheetId="23">'pid2'!$A$1:$A$18</definedName>
    <definedName name="website28_15" localSheetId="26">'ppr2'!$A$1:$A$186</definedName>
    <definedName name="website28_16" localSheetId="31">'frr2'!$A$1:$A$254</definedName>
    <definedName name="website28_16" localSheetId="23">'pid2'!$A$1:$A$18</definedName>
    <definedName name="website28_16" localSheetId="26">'ppr2'!$A$1:$A$186</definedName>
    <definedName name="website28_17" localSheetId="23">'pid2'!$A$1:$A$18</definedName>
    <definedName name="website28_17" localSheetId="26">'ppr2'!$A$1:$A$186</definedName>
    <definedName name="website28_18" localSheetId="23">'pid2'!$A$1:$A$18</definedName>
    <definedName name="website28_18" localSheetId="26">'ppr2'!$A$1:$A$186</definedName>
    <definedName name="website28_19" localSheetId="23">'pid2'!$A$1:$A$18</definedName>
    <definedName name="website28_19" localSheetId="26">'ppr2'!$A$1:$A$186</definedName>
    <definedName name="website28_2" localSheetId="31">'frr2'!$A$1</definedName>
    <definedName name="website28_2" localSheetId="23">'pid2'!$A$1:$A$18</definedName>
    <definedName name="website28_2" localSheetId="26">'ppr2'!$A$1:$A$186</definedName>
    <definedName name="website28_2" localSheetId="35">'ur2'!$A$1:$A$177</definedName>
    <definedName name="website28_20" localSheetId="23">'pid2'!$A$1:$A$18</definedName>
    <definedName name="website28_20" localSheetId="26">'ppr2'!$A$1:$A$186</definedName>
    <definedName name="website28_21" localSheetId="23">'pid2'!$A$1:$A$18</definedName>
    <definedName name="website28_21" localSheetId="26">'ppr2'!$A$1:$A$186</definedName>
    <definedName name="website28_3" localSheetId="31">'frr2'!$A$1:$A$254</definedName>
    <definedName name="website28_3" localSheetId="23">'pid2'!$A$1:$A$18</definedName>
    <definedName name="website28_3" localSheetId="26">'ppr2'!$A$1:$A$289</definedName>
    <definedName name="website28_3" localSheetId="35">'ur2'!$A$1</definedName>
    <definedName name="website28_4" localSheetId="31">'frr2'!$A$1:$A$254</definedName>
    <definedName name="website28_4" localSheetId="23">'pid2'!$A$1:$A$18</definedName>
    <definedName name="website28_4" localSheetId="26">'ppr2'!$A$1:$A$186</definedName>
    <definedName name="website28_4" localSheetId="35">'ur2'!$A$1:$A$177</definedName>
    <definedName name="website28_5" localSheetId="31">'frr2'!$A$1</definedName>
    <definedName name="website28_5" localSheetId="23">'pid2'!$A$1:$A$18</definedName>
    <definedName name="website28_5" localSheetId="26">'ppr2'!$A$1:$A$186</definedName>
    <definedName name="website28_5" localSheetId="35">'ur2'!$A$1:$A$177</definedName>
    <definedName name="website28_6" localSheetId="31">'frr2'!$A$1:$A$254</definedName>
    <definedName name="website28_6" localSheetId="23">'pid2'!$A$1:$A$18</definedName>
    <definedName name="website28_6" localSheetId="26">'ppr2'!$A$1</definedName>
    <definedName name="website28_6" localSheetId="35">'ur2'!$A$1:$A$177</definedName>
    <definedName name="website28_7" localSheetId="31">'frr2'!$A$1:$A$254</definedName>
    <definedName name="website28_7" localSheetId="23">'pid2'!$A$1:$A$18</definedName>
    <definedName name="website28_7" localSheetId="26">'ppr2'!$A$1:$A$186</definedName>
    <definedName name="website28_7" localSheetId="35">'ur2'!$A$1:$A$177</definedName>
    <definedName name="website28_8" localSheetId="31">'frr2'!$A$1:$A$254</definedName>
    <definedName name="website28_8" localSheetId="23">'pid2'!$A$1:$A$18</definedName>
    <definedName name="website28_8" localSheetId="26">'ppr2'!$A$1:$A$186</definedName>
    <definedName name="website28_8" localSheetId="35">'ur2'!$A$1:$A$177</definedName>
    <definedName name="website28_9" localSheetId="31">'frr2'!$A$1:$A$254</definedName>
    <definedName name="website28_9" localSheetId="23">'pid2'!$A$1:$A$18</definedName>
    <definedName name="website28_9" localSheetId="26">'ppr2'!$A$1</definedName>
    <definedName name="website28_9" localSheetId="35">'ur2'!$A$1:$A$177</definedName>
    <definedName name="website29" localSheetId="32">'frr3'!$A$1:$A$289</definedName>
    <definedName name="website29" localSheetId="24">'pid3'!$A$1:$A$18</definedName>
    <definedName name="website29" localSheetId="27">'ppr3'!$A$1:$A$186</definedName>
    <definedName name="website29" localSheetId="36">'ur3'!$A$1</definedName>
    <definedName name="website29_1" localSheetId="32">'frr3'!$A$1:$A$289</definedName>
    <definedName name="website29_1" localSheetId="24">'pid3'!$A$1:$A$18</definedName>
    <definedName name="website29_1" localSheetId="27">'ppr3'!$A$1:$A$186</definedName>
    <definedName name="website29_1" localSheetId="36">'ur3'!$A$1:$A$177</definedName>
    <definedName name="website29_10" localSheetId="32">'frr3'!$A$1:$A$212</definedName>
    <definedName name="website29_10" localSheetId="24">'pid3'!$A$1:$A$18</definedName>
    <definedName name="website29_10" localSheetId="27">'ppr3'!$A$1:$A$186</definedName>
    <definedName name="website29_10" localSheetId="36">'ur3'!$A$1:$A$177</definedName>
    <definedName name="website29_11" localSheetId="32">'frr3'!$A$1:$A$212</definedName>
    <definedName name="website29_11" localSheetId="24">'pid3'!$A$1:$A$18</definedName>
    <definedName name="website29_11" localSheetId="27">'ppr3'!$A$1:$A$186</definedName>
    <definedName name="website29_11" localSheetId="36">'ur3'!$A$1:$A$170</definedName>
    <definedName name="website29_12" localSheetId="32">'frr3'!$A$1:$A$212</definedName>
    <definedName name="website29_12" localSheetId="24">'pid3'!$A$1:$A$18</definedName>
    <definedName name="website29_12" localSheetId="27">'ppr3'!$A$1:$A$186</definedName>
    <definedName name="website29_12" localSheetId="36">'ur3'!$A$1:$A$159</definedName>
    <definedName name="website29_13" localSheetId="32">'frr3'!$A$1:$A$212</definedName>
    <definedName name="website29_13" localSheetId="24">'pid3'!$A$1:$A$18</definedName>
    <definedName name="website29_13" localSheetId="27">'ppr3'!$A$1:$A$186</definedName>
    <definedName name="website29_14" localSheetId="32">'frr3'!$A$1:$A$212</definedName>
    <definedName name="website29_14" localSheetId="24">'pid3'!$A$1:$A$18</definedName>
    <definedName name="website29_14" localSheetId="27">'ppr3'!$A$1:$A$186</definedName>
    <definedName name="website29_15" localSheetId="32">'frr3'!$A$1:$A$212</definedName>
    <definedName name="website29_15" localSheetId="24">'pid3'!$A$1:$A$18</definedName>
    <definedName name="website29_15" localSheetId="27">'ppr3'!$A$1:$A$186</definedName>
    <definedName name="website29_16" localSheetId="32">'frr3'!$A$1:$A$212</definedName>
    <definedName name="website29_16" localSheetId="24">'pid3'!$A$1:$A$18</definedName>
    <definedName name="website29_16" localSheetId="27">'ppr3'!$A$1:$A$186</definedName>
    <definedName name="website29_17" localSheetId="24">'pid3'!$A$1:$A$18</definedName>
    <definedName name="website29_17" localSheetId="27">'ppr3'!$A$1:$A$186</definedName>
    <definedName name="website29_18" localSheetId="24">'pid3'!$A$1:$A$18</definedName>
    <definedName name="website29_18" localSheetId="27">'ppr3'!$A$1:$A$186</definedName>
    <definedName name="website29_19" localSheetId="24">'pid3'!$A$1:$A$18</definedName>
    <definedName name="website29_19" localSheetId="27">'ppr3'!$A$1:$A$186</definedName>
    <definedName name="website29_2" localSheetId="32">'frr3'!$A$1</definedName>
    <definedName name="website29_2" localSheetId="24">'pid3'!$A$1:$A$18</definedName>
    <definedName name="website29_2" localSheetId="27">'ppr3'!$A$1:$A$186</definedName>
    <definedName name="website29_2" localSheetId="36">'ur3'!$A$1:$A$177</definedName>
    <definedName name="website29_20" localSheetId="24">'pid3'!$A$1:$A$18</definedName>
    <definedName name="website29_20" localSheetId="27">'ppr3'!$A$1:$A$186</definedName>
    <definedName name="website29_21" localSheetId="24">'pid3'!$A$1:$A$18</definedName>
    <definedName name="website29_21" localSheetId="27">'ppr3'!$A$1:$A$186</definedName>
    <definedName name="website29_3" localSheetId="32">'frr3'!$A$1:$A$212</definedName>
    <definedName name="website29_3" localSheetId="24">'pid3'!$A$1:$A$18</definedName>
    <definedName name="website29_3" localSheetId="27">'ppr3'!$A$1:$A$289</definedName>
    <definedName name="website29_3" localSheetId="36">'ur3'!$A$1</definedName>
    <definedName name="website29_4" localSheetId="32">'frr3'!$A$1:$A$212</definedName>
    <definedName name="website29_4" localSheetId="24">'pid3'!$A$1:$A$18</definedName>
    <definedName name="website29_4" localSheetId="27">'ppr3'!$A$1:$A$186</definedName>
    <definedName name="website29_4" localSheetId="36">'ur3'!$A$1:$A$177</definedName>
    <definedName name="website29_5" localSheetId="32">'frr3'!$A$1</definedName>
    <definedName name="website29_5" localSheetId="24">'pid3'!$A$1:$A$18</definedName>
    <definedName name="website29_5" localSheetId="27">'ppr3'!$A$1:$A$186</definedName>
    <definedName name="website29_5" localSheetId="36">'ur3'!$A$1:$A$177</definedName>
    <definedName name="website29_6" localSheetId="32">'frr3'!$A$1:$A$212</definedName>
    <definedName name="website29_6" localSheetId="24">'pid3'!$A$1:$A$18</definedName>
    <definedName name="website29_6" localSheetId="27">'ppr3'!$A$1</definedName>
    <definedName name="website29_6" localSheetId="36">'ur3'!$A$1:$A$177</definedName>
    <definedName name="website29_7" localSheetId="32">'frr3'!$A$1:$A$212</definedName>
    <definedName name="website29_7" localSheetId="24">'pid3'!$A$1:$A$18</definedName>
    <definedName name="website29_7" localSheetId="27">'ppr3'!$A$1:$A$186</definedName>
    <definedName name="website29_7" localSheetId="36">'ur3'!$A$1:$A$177</definedName>
    <definedName name="website29_8" localSheetId="32">'frr3'!$A$1:$A$212</definedName>
    <definedName name="website29_8" localSheetId="24">'pid3'!$A$1:$A$18</definedName>
    <definedName name="website29_8" localSheetId="27">'ppr3'!$A$1:$A$186</definedName>
    <definedName name="website29_8" localSheetId="36">'ur3'!$A$1:$A$177</definedName>
    <definedName name="website29_9" localSheetId="32">'frr3'!$A$1:$A$212</definedName>
    <definedName name="website29_9" localSheetId="24">'pid3'!$A$1:$A$18</definedName>
    <definedName name="website29_9" localSheetId="27">'ppr3'!$A$1</definedName>
    <definedName name="website29_9" localSheetId="36">'ur3'!$A$1:$A$177</definedName>
    <definedName name="website30" localSheetId="33">'frr4'!$A$1:$A$289</definedName>
    <definedName name="website30" localSheetId="29">'pid4'!$A$1:$A$18</definedName>
    <definedName name="website30" localSheetId="28">'ppr4'!$A$1:$A$186</definedName>
    <definedName name="website30" localSheetId="37">'ur4'!$A$1</definedName>
    <definedName name="website30_1" localSheetId="33">'frr4'!$A$1:$A$289</definedName>
    <definedName name="website30_1" localSheetId="29">'pid4'!$A$1:$A$18</definedName>
    <definedName name="website30_1" localSheetId="28">'ppr4'!$A$1:$A$186</definedName>
    <definedName name="website30_1" localSheetId="37">'ur4'!$A$1:$A$177</definedName>
    <definedName name="website30_10" localSheetId="33">'frr4'!$A$1:$A$289</definedName>
    <definedName name="website30_10" localSheetId="29">'pid4'!$A$1:$A$18</definedName>
    <definedName name="website30_10" localSheetId="28">'ppr4'!$A$1:$A$186</definedName>
    <definedName name="website30_10" localSheetId="37">'ur4'!$A$1:$A$177</definedName>
    <definedName name="website30_11" localSheetId="33">'frr4'!$A$1:$A$289</definedName>
    <definedName name="website30_11" localSheetId="29">'pid4'!$A$1:$A$18</definedName>
    <definedName name="website30_11" localSheetId="28">'ppr4'!$A$1:$A$186</definedName>
    <definedName name="website30_11" localSheetId="37">'ur4'!$A$1:$A$170</definedName>
    <definedName name="website30_12" localSheetId="33">'frr4'!$A$1:$A$289</definedName>
    <definedName name="website30_12" localSheetId="29">'pid4'!$A$1:$A$18</definedName>
    <definedName name="website30_12" localSheetId="28">'ppr4'!$A$1:$A$186</definedName>
    <definedName name="website30_12" localSheetId="37">'ur4'!$A$1:$A$177</definedName>
    <definedName name="website30_13" localSheetId="33">'frr4'!$A$1:$A$289</definedName>
    <definedName name="website30_13" localSheetId="29">'pid4'!$A$1:$A$18</definedName>
    <definedName name="website30_13" localSheetId="28">'ppr4'!$A$1:$A$186</definedName>
    <definedName name="website30_14" localSheetId="33">'frr4'!$A$1:$A$289</definedName>
    <definedName name="website30_14" localSheetId="29">'pid4'!$A$1:$A$18</definedName>
    <definedName name="website30_14" localSheetId="28">'ppr4'!$A$1:$A$186</definedName>
    <definedName name="website30_15" localSheetId="33">'frr4'!$A$1:$A$289</definedName>
    <definedName name="website30_15" localSheetId="29">'pid4'!$A$1:$A$18</definedName>
    <definedName name="website30_15" localSheetId="28">'ppr4'!$A$1:$A$186</definedName>
    <definedName name="website30_16" localSheetId="33">'frr4'!$A$1:$A$289</definedName>
    <definedName name="website30_16" localSheetId="29">'pid4'!$A$1:$A$18</definedName>
    <definedName name="website30_16" localSheetId="28">'ppr4'!$A$1:$A$186</definedName>
    <definedName name="website30_17" localSheetId="29">'pid4'!$A$1:$A$18</definedName>
    <definedName name="website30_17" localSheetId="28">'ppr4'!$A$1:$A$186</definedName>
    <definedName name="website30_18" localSheetId="29">'pid4'!$A$1:$A$18</definedName>
    <definedName name="website30_18" localSheetId="28">'ppr4'!$A$1:$A$186</definedName>
    <definedName name="website30_19" localSheetId="29">'pid4'!$A$1:$A$18</definedName>
    <definedName name="website30_19" localSheetId="28">'ppr4'!$A$1:$A$186</definedName>
    <definedName name="website30_2" localSheetId="33">'frr4'!$A$1</definedName>
    <definedName name="website30_2" localSheetId="29">'pid4'!$A$1:$A$18</definedName>
    <definedName name="website30_2" localSheetId="28">'ppr4'!$A$1:$A$186</definedName>
    <definedName name="website30_2" localSheetId="37">'ur4'!$A$1:$A$177</definedName>
    <definedName name="website30_20" localSheetId="29">'pid4'!$A$1:$A$18</definedName>
    <definedName name="website30_20" localSheetId="28">'ppr4'!$A$1:$A$186</definedName>
    <definedName name="website30_21" localSheetId="28">'ppr4'!$A$1:$A$186</definedName>
    <definedName name="website30_3" localSheetId="33">'frr4'!$A$1:$A$289</definedName>
    <definedName name="website30_3" localSheetId="29">'pid4'!$A$1:$A$18</definedName>
    <definedName name="website30_3" localSheetId="28">'ppr4'!$A$1:$A$289</definedName>
    <definedName name="website30_3" localSheetId="37">'ur4'!$A$1</definedName>
    <definedName name="website30_4" localSheetId="33">'frr4'!$A$1:$A$289</definedName>
    <definedName name="website30_4" localSheetId="29">'pid4'!$A$1:$A$18</definedName>
    <definedName name="website30_4" localSheetId="28">'ppr4'!$A$1:$A$186</definedName>
    <definedName name="website30_4" localSheetId="37">'ur4'!$A$1:$A$177</definedName>
    <definedName name="website30_5" localSheetId="33">'frr4'!$A$1</definedName>
    <definedName name="website30_5" localSheetId="29">'pid4'!$A$1:$A$18</definedName>
    <definedName name="website30_5" localSheetId="28">'ppr4'!$A$1:$A$186</definedName>
    <definedName name="website30_5" localSheetId="37">'ur4'!$A$1:$A$177</definedName>
    <definedName name="website30_6" localSheetId="33">'frr4'!$A$1:$A$289</definedName>
    <definedName name="website30_6" localSheetId="29">'pid4'!$A$1:$A$18</definedName>
    <definedName name="website30_6" localSheetId="28">'ppr4'!$A$1</definedName>
    <definedName name="website30_6" localSheetId="37">'ur4'!$A$1:$A$177</definedName>
    <definedName name="website30_7" localSheetId="33">'frr4'!$A$1:$A$289</definedName>
    <definedName name="website30_7" localSheetId="29">'pid4'!$A$1:$A$18</definedName>
    <definedName name="website30_7" localSheetId="28">'ppr4'!$A$1:$A$186</definedName>
    <definedName name="website30_7" localSheetId="37">'ur4'!$A$1:$A$177</definedName>
    <definedName name="website30_8" localSheetId="33">'frr4'!$A$1:$A$289</definedName>
    <definedName name="website30_8" localSheetId="29">'pid4'!$A$1:$A$18</definedName>
    <definedName name="website30_8" localSheetId="28">'ppr4'!$A$1:$A$186</definedName>
    <definedName name="website30_8" localSheetId="37">'ur4'!$A$1:$A$177</definedName>
    <definedName name="website30_9" localSheetId="33">'frr4'!$A$1:$A$289</definedName>
    <definedName name="website30_9" localSheetId="29">'pid4'!$A$1:$A$18</definedName>
    <definedName name="website30_9" localSheetId="28">'ppr4'!$A$1</definedName>
    <definedName name="website30_9" localSheetId="37">'ur4'!$A$1:$A$177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4" i="35" l="1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C35" i="35"/>
  <c r="D35" i="35"/>
  <c r="E35" i="35"/>
  <c r="F35" i="35"/>
  <c r="G35" i="35"/>
  <c r="H35" i="35"/>
  <c r="I35" i="35"/>
  <c r="J35" i="35"/>
  <c r="K35" i="35"/>
  <c r="L35" i="35"/>
  <c r="M35" i="35"/>
  <c r="N35" i="35"/>
  <c r="O35" i="35"/>
  <c r="P35" i="35"/>
  <c r="C36" i="35"/>
  <c r="D36" i="35"/>
  <c r="E36" i="35"/>
  <c r="F36" i="35"/>
  <c r="G36" i="35"/>
  <c r="H36" i="35"/>
  <c r="I36" i="35"/>
  <c r="J36" i="35"/>
  <c r="K36" i="35"/>
  <c r="L36" i="35"/>
  <c r="M36" i="35"/>
  <c r="N36" i="35"/>
  <c r="O36" i="35"/>
  <c r="P36" i="35"/>
  <c r="C37" i="35"/>
  <c r="D37" i="35"/>
  <c r="E37" i="35"/>
  <c r="F37" i="35"/>
  <c r="G37" i="35"/>
  <c r="H37" i="35"/>
  <c r="I37" i="35"/>
  <c r="J37" i="35"/>
  <c r="K37" i="35"/>
  <c r="L37" i="35"/>
  <c r="M37" i="35"/>
  <c r="N37" i="35"/>
  <c r="O37" i="35"/>
  <c r="P37" i="35"/>
  <c r="C38" i="35"/>
  <c r="D38" i="35"/>
  <c r="E38" i="35"/>
  <c r="F38" i="35"/>
  <c r="G38" i="35"/>
  <c r="H38" i="35"/>
  <c r="I38" i="35"/>
  <c r="J38" i="35"/>
  <c r="K38" i="35"/>
  <c r="L38" i="35"/>
  <c r="M38" i="35"/>
  <c r="N38" i="35"/>
  <c r="O38" i="35"/>
  <c r="P38" i="35"/>
  <c r="C39" i="35"/>
  <c r="D39" i="35"/>
  <c r="E39" i="35"/>
  <c r="F39" i="35"/>
  <c r="G39" i="35"/>
  <c r="H39" i="35"/>
  <c r="I39" i="35"/>
  <c r="J39" i="35"/>
  <c r="K39" i="35"/>
  <c r="L39" i="35"/>
  <c r="M39" i="35"/>
  <c r="N39" i="35"/>
  <c r="O39" i="35"/>
  <c r="P39" i="35"/>
  <c r="C40" i="35"/>
  <c r="D40" i="35"/>
  <c r="E40" i="35"/>
  <c r="F40" i="35"/>
  <c r="G40" i="35"/>
  <c r="H40" i="35"/>
  <c r="I40" i="35"/>
  <c r="J40" i="35"/>
  <c r="K40" i="35"/>
  <c r="L40" i="35"/>
  <c r="M40" i="35"/>
  <c r="N40" i="35"/>
  <c r="O40" i="35"/>
  <c r="P40" i="35"/>
  <c r="B36" i="35"/>
  <c r="B37" i="35"/>
  <c r="B38" i="35"/>
  <c r="B39" i="35"/>
  <c r="B40" i="35"/>
  <c r="B35" i="35"/>
  <c r="B34" i="35"/>
  <c r="A14" i="35" l="1"/>
  <c r="A15" i="35" s="1"/>
  <c r="A16" i="35" s="1"/>
  <c r="A17" i="35" s="1"/>
  <c r="A18" i="35" s="1"/>
  <c r="A19" i="35" s="1"/>
  <c r="A20" i="35" s="1"/>
  <c r="A40" i="35" s="1"/>
  <c r="A36" i="35" l="1"/>
  <c r="A37" i="35"/>
  <c r="A35" i="35"/>
  <c r="A38" i="35"/>
  <c r="A39" i="35"/>
  <c r="A34" i="35"/>
  <c r="P44" i="44"/>
  <c r="O44" i="44"/>
  <c r="N44" i="44"/>
  <c r="M44" i="44"/>
  <c r="L44" i="44"/>
  <c r="K44" i="44"/>
  <c r="J44" i="44"/>
  <c r="I44" i="44"/>
  <c r="H44" i="44"/>
  <c r="G44" i="44"/>
  <c r="F44" i="44"/>
  <c r="E44" i="44"/>
  <c r="D44" i="44"/>
  <c r="C44" i="44"/>
  <c r="B44" i="44"/>
  <c r="P43" i="44"/>
  <c r="O43" i="44"/>
  <c r="N43" i="44"/>
  <c r="M43" i="44"/>
  <c r="L43" i="44"/>
  <c r="K43" i="44"/>
  <c r="J43" i="44"/>
  <c r="I43" i="44"/>
  <c r="H43" i="44"/>
  <c r="G43" i="44"/>
  <c r="F43" i="44"/>
  <c r="E43" i="44"/>
  <c r="D43" i="44"/>
  <c r="C43" i="44"/>
  <c r="B43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B12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B11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10" i="44"/>
  <c r="P44" i="43"/>
  <c r="O44" i="43"/>
  <c r="N44" i="43"/>
  <c r="M44" i="43"/>
  <c r="L44" i="43"/>
  <c r="K44" i="43"/>
  <c r="J44" i="43"/>
  <c r="I44" i="43"/>
  <c r="H44" i="43"/>
  <c r="G44" i="43"/>
  <c r="F44" i="43"/>
  <c r="E44" i="43"/>
  <c r="D44" i="43"/>
  <c r="C44" i="43"/>
  <c r="B44" i="43"/>
  <c r="P43" i="43"/>
  <c r="O43" i="43"/>
  <c r="N43" i="43"/>
  <c r="M43" i="43"/>
  <c r="L43" i="43"/>
  <c r="K43" i="43"/>
  <c r="J43" i="43"/>
  <c r="I43" i="43"/>
  <c r="H43" i="43"/>
  <c r="G43" i="43"/>
  <c r="F43" i="43"/>
  <c r="E43" i="43"/>
  <c r="D43" i="43"/>
  <c r="C43" i="43"/>
  <c r="B43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C12" i="43"/>
  <c r="B12" i="43"/>
  <c r="P11" i="43"/>
  <c r="O11" i="43"/>
  <c r="N11" i="43"/>
  <c r="M11" i="43"/>
  <c r="L11" i="43"/>
  <c r="K11" i="43"/>
  <c r="J11" i="43"/>
  <c r="I11" i="43"/>
  <c r="H11" i="43"/>
  <c r="G11" i="43"/>
  <c r="F11" i="43"/>
  <c r="E11" i="43"/>
  <c r="D11" i="43"/>
  <c r="C11" i="43"/>
  <c r="B11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10" i="43"/>
  <c r="P44" i="41"/>
  <c r="O44" i="41"/>
  <c r="N44" i="41"/>
  <c r="M44" i="41"/>
  <c r="L44" i="41"/>
  <c r="K44" i="41"/>
  <c r="J44" i="41"/>
  <c r="I44" i="41"/>
  <c r="H44" i="41"/>
  <c r="G44" i="41"/>
  <c r="F44" i="41"/>
  <c r="E44" i="41"/>
  <c r="D44" i="41"/>
  <c r="C44" i="41"/>
  <c r="B44" i="41"/>
  <c r="P43" i="41"/>
  <c r="O43" i="41"/>
  <c r="N43" i="41"/>
  <c r="M43" i="41"/>
  <c r="L43" i="41"/>
  <c r="K43" i="41"/>
  <c r="J43" i="41"/>
  <c r="I43" i="41"/>
  <c r="H43" i="41"/>
  <c r="G43" i="41"/>
  <c r="F43" i="41"/>
  <c r="E43" i="41"/>
  <c r="D43" i="41"/>
  <c r="C43" i="41"/>
  <c r="B43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P8" i="27"/>
  <c r="O8" i="27"/>
  <c r="N8" i="27"/>
  <c r="M8" i="27"/>
  <c r="L8" i="27"/>
  <c r="K8" i="27"/>
  <c r="J8" i="27"/>
  <c r="I8" i="27"/>
  <c r="H8" i="27"/>
  <c r="G8" i="27"/>
  <c r="F8" i="27"/>
  <c r="E8" i="27"/>
  <c r="D8" i="27"/>
  <c r="C8" i="27"/>
  <c r="B8" i="27"/>
  <c r="P7" i="27"/>
  <c r="O7" i="27"/>
  <c r="N7" i="27"/>
  <c r="M7" i="27"/>
  <c r="L7" i="27"/>
  <c r="K7" i="27"/>
  <c r="J7" i="27"/>
  <c r="I7" i="27"/>
  <c r="H7" i="27"/>
  <c r="G7" i="27"/>
  <c r="F7" i="27"/>
  <c r="E7" i="27"/>
  <c r="D7" i="27"/>
  <c r="C7" i="27"/>
  <c r="B7" i="27"/>
  <c r="L17" i="24"/>
  <c r="K17" i="24"/>
  <c r="J17" i="24"/>
  <c r="I17" i="24"/>
  <c r="H17" i="24"/>
  <c r="G17" i="24"/>
  <c r="F17" i="24"/>
  <c r="E17" i="24"/>
  <c r="D17" i="24"/>
  <c r="C17" i="24"/>
  <c r="B17" i="24"/>
  <c r="L16" i="24"/>
  <c r="K16" i="24"/>
  <c r="J16" i="24"/>
  <c r="I16" i="24"/>
  <c r="H16" i="24"/>
  <c r="G16" i="24"/>
  <c r="F16" i="24"/>
  <c r="E16" i="24"/>
  <c r="D16" i="24"/>
  <c r="C16" i="24"/>
  <c r="B16" i="24"/>
  <c r="L5" i="24"/>
  <c r="K5" i="24"/>
  <c r="J5" i="24"/>
  <c r="I5" i="24"/>
  <c r="H5" i="24"/>
  <c r="G5" i="24"/>
  <c r="F5" i="24"/>
  <c r="E5" i="24"/>
  <c r="D5" i="24"/>
  <c r="C5" i="24"/>
  <c r="B5" i="24"/>
  <c r="L4" i="24"/>
  <c r="K4" i="24"/>
  <c r="J4" i="24"/>
  <c r="I4" i="24"/>
  <c r="H4" i="24"/>
  <c r="G4" i="24"/>
  <c r="F4" i="24"/>
  <c r="E4" i="24"/>
  <c r="D4" i="24"/>
  <c r="C4" i="24"/>
  <c r="B4" i="24"/>
  <c r="L20" i="22"/>
  <c r="K20" i="22"/>
  <c r="J20" i="22"/>
  <c r="I20" i="22"/>
  <c r="H20" i="22"/>
  <c r="G20" i="22"/>
  <c r="F20" i="22"/>
  <c r="E20" i="22"/>
  <c r="D20" i="22"/>
  <c r="C20" i="22"/>
  <c r="B20" i="22"/>
  <c r="L19" i="22"/>
  <c r="K19" i="22"/>
  <c r="J19" i="22"/>
  <c r="I19" i="22"/>
  <c r="H19" i="22"/>
  <c r="G19" i="22"/>
  <c r="F19" i="22"/>
  <c r="E19" i="22"/>
  <c r="D19" i="22"/>
  <c r="C19" i="22"/>
  <c r="B19" i="22"/>
  <c r="L8" i="22"/>
  <c r="K8" i="22"/>
  <c r="J8" i="22"/>
  <c r="I8" i="22"/>
  <c r="H8" i="22"/>
  <c r="G8" i="22"/>
  <c r="F8" i="22"/>
  <c r="E8" i="22"/>
  <c r="D8" i="22"/>
  <c r="C8" i="22"/>
  <c r="B8" i="22"/>
  <c r="L7" i="22"/>
  <c r="K7" i="22"/>
  <c r="J7" i="22"/>
  <c r="I7" i="22"/>
  <c r="H7" i="22"/>
  <c r="G7" i="22"/>
  <c r="F7" i="22"/>
  <c r="E7" i="22"/>
  <c r="D7" i="22"/>
  <c r="C7" i="22"/>
  <c r="B7" i="22"/>
  <c r="L17" i="21"/>
  <c r="K17" i="21"/>
  <c r="J17" i="21"/>
  <c r="I17" i="21"/>
  <c r="H17" i="21"/>
  <c r="G17" i="21"/>
  <c r="F17" i="21"/>
  <c r="E17" i="21"/>
  <c r="D17" i="21"/>
  <c r="C17" i="21"/>
  <c r="B17" i="21"/>
  <c r="L16" i="21"/>
  <c r="K16" i="21"/>
  <c r="J16" i="21"/>
  <c r="I16" i="21"/>
  <c r="H16" i="21"/>
  <c r="G16" i="21"/>
  <c r="F16" i="21"/>
  <c r="E16" i="21"/>
  <c r="D16" i="21"/>
  <c r="C16" i="21"/>
  <c r="B16" i="21"/>
  <c r="L5" i="21"/>
  <c r="K5" i="21"/>
  <c r="J5" i="21"/>
  <c r="I5" i="21"/>
  <c r="H5" i="21"/>
  <c r="G5" i="21"/>
  <c r="F5" i="21"/>
  <c r="E5" i="21"/>
  <c r="D5" i="21"/>
  <c r="C5" i="21"/>
  <c r="B5" i="21"/>
  <c r="L4" i="21"/>
  <c r="K4" i="21"/>
  <c r="J4" i="21"/>
  <c r="I4" i="21"/>
  <c r="H4" i="21"/>
  <c r="G4" i="21"/>
  <c r="F4" i="21"/>
  <c r="E4" i="21"/>
  <c r="D4" i="21"/>
  <c r="C4" i="21"/>
  <c r="B4" i="21"/>
  <c r="L17" i="20"/>
  <c r="K17" i="20"/>
  <c r="J17" i="20"/>
  <c r="I17" i="20"/>
  <c r="H17" i="20"/>
  <c r="G17" i="20"/>
  <c r="F17" i="20"/>
  <c r="E17" i="20"/>
  <c r="D17" i="20"/>
  <c r="C17" i="20"/>
  <c r="B17" i="20"/>
  <c r="L16" i="20"/>
  <c r="K16" i="20"/>
  <c r="J16" i="20"/>
  <c r="I16" i="20"/>
  <c r="H16" i="20"/>
  <c r="G16" i="20"/>
  <c r="F16" i="20"/>
  <c r="E16" i="20"/>
  <c r="D16" i="20"/>
  <c r="C16" i="20"/>
  <c r="B16" i="20"/>
  <c r="L5" i="20"/>
  <c r="K5" i="20"/>
  <c r="J5" i="20"/>
  <c r="I5" i="20"/>
  <c r="H5" i="20"/>
  <c r="G5" i="20"/>
  <c r="F5" i="20"/>
  <c r="E5" i="20"/>
  <c r="D5" i="20"/>
  <c r="C5" i="20"/>
  <c r="B5" i="20"/>
  <c r="L4" i="20"/>
  <c r="K4" i="20"/>
  <c r="J4" i="20"/>
  <c r="I4" i="20"/>
  <c r="H4" i="20"/>
  <c r="G4" i="20"/>
  <c r="F4" i="20"/>
  <c r="E4" i="20"/>
  <c r="D4" i="20"/>
  <c r="C4" i="20"/>
  <c r="B4" i="20"/>
  <c r="L17" i="19"/>
  <c r="K17" i="19"/>
  <c r="J17" i="19"/>
  <c r="I17" i="19"/>
  <c r="H17" i="19"/>
  <c r="G17" i="19"/>
  <c r="F17" i="19"/>
  <c r="E17" i="19"/>
  <c r="D17" i="19"/>
  <c r="C17" i="19"/>
  <c r="B17" i="19"/>
  <c r="L16" i="19"/>
  <c r="K16" i="19"/>
  <c r="J16" i="19"/>
  <c r="I16" i="19"/>
  <c r="H16" i="19"/>
  <c r="G16" i="19"/>
  <c r="F16" i="19"/>
  <c r="E16" i="19"/>
  <c r="D16" i="19"/>
  <c r="C16" i="19"/>
  <c r="B16" i="19"/>
  <c r="L5" i="19"/>
  <c r="K5" i="19"/>
  <c r="J5" i="19"/>
  <c r="I5" i="19"/>
  <c r="H5" i="19"/>
  <c r="G5" i="19"/>
  <c r="F5" i="19"/>
  <c r="E5" i="19"/>
  <c r="D5" i="19"/>
  <c r="C5" i="19"/>
  <c r="B5" i="19"/>
  <c r="L4" i="19"/>
  <c r="K4" i="19"/>
  <c r="J4" i="19"/>
  <c r="I4" i="19"/>
  <c r="H4" i="19"/>
  <c r="G4" i="19"/>
  <c r="F4" i="19"/>
  <c r="E4" i="19"/>
  <c r="D4" i="19"/>
  <c r="C4" i="19"/>
  <c r="B4" i="19"/>
  <c r="L17" i="18"/>
  <c r="K17" i="18"/>
  <c r="J17" i="18"/>
  <c r="I17" i="18"/>
  <c r="H17" i="18"/>
  <c r="G17" i="18"/>
  <c r="F17" i="18"/>
  <c r="E17" i="18"/>
  <c r="D17" i="18"/>
  <c r="C17" i="18"/>
  <c r="B17" i="18"/>
  <c r="L16" i="18"/>
  <c r="K16" i="18"/>
  <c r="J16" i="18"/>
  <c r="I16" i="18"/>
  <c r="H16" i="18"/>
  <c r="G16" i="18"/>
  <c r="F16" i="18"/>
  <c r="E16" i="18"/>
  <c r="D16" i="18"/>
  <c r="C16" i="18"/>
  <c r="B16" i="18"/>
  <c r="L5" i="18"/>
  <c r="K5" i="18"/>
  <c r="J5" i="18"/>
  <c r="I5" i="18"/>
  <c r="H5" i="18"/>
  <c r="G5" i="18"/>
  <c r="F5" i="18"/>
  <c r="E5" i="18"/>
  <c r="D5" i="18"/>
  <c r="C5" i="18"/>
  <c r="B5" i="18"/>
  <c r="L4" i="18"/>
  <c r="K4" i="18"/>
  <c r="J4" i="18"/>
  <c r="I4" i="18"/>
  <c r="H4" i="18"/>
  <c r="G4" i="18"/>
  <c r="F4" i="18"/>
  <c r="E4" i="18"/>
  <c r="D4" i="18"/>
  <c r="C4" i="18"/>
  <c r="B4" i="18"/>
  <c r="L17" i="17"/>
  <c r="K17" i="17"/>
  <c r="J17" i="17"/>
  <c r="I17" i="17"/>
  <c r="H17" i="17"/>
  <c r="G17" i="17"/>
  <c r="F17" i="17"/>
  <c r="E17" i="17"/>
  <c r="D17" i="17"/>
  <c r="C17" i="17"/>
  <c r="B17" i="17"/>
  <c r="L16" i="17"/>
  <c r="K16" i="17"/>
  <c r="J16" i="17"/>
  <c r="I16" i="17"/>
  <c r="H16" i="17"/>
  <c r="G16" i="17"/>
  <c r="F16" i="17"/>
  <c r="E16" i="17"/>
  <c r="D16" i="17"/>
  <c r="C16" i="17"/>
  <c r="B16" i="17"/>
  <c r="L5" i="17"/>
  <c r="K5" i="17"/>
  <c r="J5" i="17"/>
  <c r="I5" i="17"/>
  <c r="H5" i="17"/>
  <c r="G5" i="17"/>
  <c r="F5" i="17"/>
  <c r="E5" i="17"/>
  <c r="D5" i="17"/>
  <c r="C5" i="17"/>
  <c r="B5" i="17"/>
  <c r="L4" i="17"/>
  <c r="K4" i="17"/>
  <c r="J4" i="17"/>
  <c r="I4" i="17"/>
  <c r="H4" i="17"/>
  <c r="G4" i="17"/>
  <c r="F4" i="17"/>
  <c r="E4" i="17"/>
  <c r="D4" i="17"/>
  <c r="C4" i="17"/>
  <c r="B4" i="17"/>
  <c r="L17" i="15"/>
  <c r="K17" i="15"/>
  <c r="J17" i="15"/>
  <c r="I17" i="15"/>
  <c r="H17" i="15"/>
  <c r="G17" i="15"/>
  <c r="F17" i="15"/>
  <c r="E17" i="15"/>
  <c r="D17" i="15"/>
  <c r="C17" i="15"/>
  <c r="B17" i="15"/>
  <c r="L16" i="15"/>
  <c r="K16" i="15"/>
  <c r="J16" i="15"/>
  <c r="I16" i="15"/>
  <c r="H16" i="15"/>
  <c r="G16" i="15"/>
  <c r="F16" i="15"/>
  <c r="E16" i="15"/>
  <c r="D16" i="15"/>
  <c r="C16" i="15"/>
  <c r="B1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17" i="14"/>
  <c r="K17" i="14"/>
  <c r="J17" i="14"/>
  <c r="I17" i="14"/>
  <c r="H17" i="14"/>
  <c r="G17" i="14"/>
  <c r="F17" i="14"/>
  <c r="E17" i="14"/>
  <c r="D17" i="14"/>
  <c r="C17" i="14"/>
  <c r="B17" i="14"/>
  <c r="L16" i="14"/>
  <c r="K16" i="14"/>
  <c r="J16" i="14"/>
  <c r="I16" i="14"/>
  <c r="H16" i="14"/>
  <c r="G16" i="14"/>
  <c r="F16" i="14"/>
  <c r="E16" i="14"/>
  <c r="D16" i="14"/>
  <c r="C16" i="14"/>
  <c r="B16" i="14"/>
  <c r="L5" i="14"/>
  <c r="K5" i="14"/>
  <c r="J5" i="14"/>
  <c r="I5" i="14"/>
  <c r="H5" i="14"/>
  <c r="G5" i="14"/>
  <c r="F5" i="14"/>
  <c r="E5" i="14"/>
  <c r="D5" i="14"/>
  <c r="C5" i="14"/>
  <c r="B5" i="14"/>
  <c r="L4" i="14"/>
  <c r="K4" i="14"/>
  <c r="J4" i="14"/>
  <c r="I4" i="14"/>
  <c r="H4" i="14"/>
  <c r="G4" i="14"/>
  <c r="F4" i="14"/>
  <c r="E4" i="14"/>
  <c r="D4" i="14"/>
  <c r="C4" i="14"/>
  <c r="B4" i="14"/>
  <c r="L17" i="12"/>
  <c r="K17" i="12"/>
  <c r="J17" i="12"/>
  <c r="I17" i="12"/>
  <c r="H17" i="12"/>
  <c r="G17" i="12"/>
  <c r="F17" i="12"/>
  <c r="E17" i="12"/>
  <c r="D17" i="12"/>
  <c r="C17" i="12"/>
  <c r="B17" i="12"/>
  <c r="L16" i="12"/>
  <c r="K16" i="12"/>
  <c r="J16" i="12"/>
  <c r="I16" i="12"/>
  <c r="H16" i="12"/>
  <c r="G16" i="12"/>
  <c r="F16" i="12"/>
  <c r="E16" i="12"/>
  <c r="D16" i="12"/>
  <c r="C16" i="12"/>
  <c r="B1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17" i="11"/>
  <c r="K17" i="11"/>
  <c r="J17" i="11"/>
  <c r="I17" i="11"/>
  <c r="H17" i="11"/>
  <c r="G17" i="11"/>
  <c r="F17" i="11"/>
  <c r="E17" i="11"/>
  <c r="D17" i="11"/>
  <c r="C17" i="11"/>
  <c r="B17" i="11"/>
  <c r="L16" i="11"/>
  <c r="K16" i="11"/>
  <c r="J16" i="11"/>
  <c r="I16" i="11"/>
  <c r="H16" i="11"/>
  <c r="G16" i="11"/>
  <c r="F16" i="11"/>
  <c r="E16" i="11"/>
  <c r="D16" i="11"/>
  <c r="C16" i="11"/>
  <c r="B16" i="11"/>
  <c r="L5" i="11"/>
  <c r="K5" i="11"/>
  <c r="J5" i="11"/>
  <c r="I5" i="11"/>
  <c r="H5" i="11"/>
  <c r="G5" i="11"/>
  <c r="F5" i="11"/>
  <c r="E5" i="11"/>
  <c r="D5" i="11"/>
  <c r="C5" i="11"/>
  <c r="B5" i="11"/>
  <c r="L4" i="11"/>
  <c r="K4" i="11"/>
  <c r="J4" i="11"/>
  <c r="I4" i="11"/>
  <c r="H4" i="11"/>
  <c r="G4" i="11"/>
  <c r="F4" i="11"/>
  <c r="E4" i="11"/>
  <c r="D4" i="11"/>
  <c r="C4" i="11"/>
  <c r="B4" i="11"/>
  <c r="L17" i="10"/>
  <c r="K17" i="10"/>
  <c r="J17" i="10"/>
  <c r="I17" i="10"/>
  <c r="H17" i="10"/>
  <c r="G17" i="10"/>
  <c r="F17" i="10"/>
  <c r="E17" i="10"/>
  <c r="D17" i="10"/>
  <c r="C17" i="10"/>
  <c r="B17" i="10"/>
  <c r="L16" i="10"/>
  <c r="K16" i="10"/>
  <c r="J16" i="10"/>
  <c r="I16" i="10"/>
  <c r="H16" i="10"/>
  <c r="G16" i="10"/>
  <c r="F16" i="10"/>
  <c r="E16" i="10"/>
  <c r="D16" i="10"/>
  <c r="C16" i="10"/>
  <c r="B1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17" i="9"/>
  <c r="K17" i="9"/>
  <c r="J17" i="9"/>
  <c r="I17" i="9"/>
  <c r="H17" i="9"/>
  <c r="G17" i="9"/>
  <c r="F17" i="9"/>
  <c r="E17" i="9"/>
  <c r="D17" i="9"/>
  <c r="C17" i="9"/>
  <c r="B17" i="9"/>
  <c r="L16" i="9"/>
  <c r="K16" i="9"/>
  <c r="J16" i="9"/>
  <c r="I16" i="9"/>
  <c r="H16" i="9"/>
  <c r="G16" i="9"/>
  <c r="F16" i="9"/>
  <c r="E16" i="9"/>
  <c r="D16" i="9"/>
  <c r="C16" i="9"/>
  <c r="B1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J17" i="7"/>
  <c r="I17" i="7"/>
  <c r="H17" i="7"/>
  <c r="G17" i="7"/>
  <c r="F17" i="7"/>
  <c r="E17" i="7"/>
  <c r="D17" i="7"/>
  <c r="C17" i="7"/>
  <c r="B17" i="7"/>
  <c r="J16" i="7"/>
  <c r="I16" i="7"/>
  <c r="H16" i="7"/>
  <c r="G16" i="7"/>
  <c r="F16" i="7"/>
  <c r="E16" i="7"/>
  <c r="D16" i="7"/>
  <c r="C16" i="7"/>
  <c r="B16" i="7"/>
  <c r="J5" i="7"/>
  <c r="I5" i="7"/>
  <c r="H5" i="7"/>
  <c r="G5" i="7"/>
  <c r="F5" i="7"/>
  <c r="E5" i="7"/>
  <c r="D5" i="7"/>
  <c r="C5" i="7"/>
  <c r="B5" i="7"/>
  <c r="J4" i="7"/>
  <c r="I4" i="7"/>
  <c r="H4" i="7"/>
  <c r="G4" i="7"/>
  <c r="F4" i="7"/>
  <c r="E4" i="7"/>
  <c r="D4" i="7"/>
  <c r="C4" i="7"/>
  <c r="B4" i="7"/>
  <c r="J17" i="6"/>
  <c r="I17" i="6"/>
  <c r="H17" i="6"/>
  <c r="G17" i="6"/>
  <c r="F17" i="6"/>
  <c r="E17" i="6"/>
  <c r="D17" i="6"/>
  <c r="C17" i="6"/>
  <c r="B17" i="6"/>
  <c r="J16" i="6"/>
  <c r="I16" i="6"/>
  <c r="H16" i="6"/>
  <c r="G16" i="6"/>
  <c r="F16" i="6"/>
  <c r="E16" i="6"/>
  <c r="D16" i="6"/>
  <c r="C16" i="6"/>
  <c r="B16" i="6"/>
  <c r="J5" i="6"/>
  <c r="I5" i="6"/>
  <c r="H5" i="6"/>
  <c r="G5" i="6"/>
  <c r="F5" i="6"/>
  <c r="E5" i="6"/>
  <c r="D5" i="6"/>
  <c r="C5" i="6"/>
  <c r="B5" i="6"/>
  <c r="J4" i="6"/>
  <c r="I4" i="6"/>
  <c r="H4" i="6"/>
  <c r="G4" i="6"/>
  <c r="F4" i="6"/>
  <c r="E4" i="6"/>
  <c r="D4" i="6"/>
  <c r="C4" i="6"/>
  <c r="B4" i="6"/>
  <c r="J17" i="3"/>
  <c r="I17" i="3"/>
  <c r="H17" i="3"/>
  <c r="G17" i="3"/>
  <c r="F17" i="3"/>
  <c r="E17" i="3"/>
  <c r="D17" i="3"/>
  <c r="C17" i="3"/>
  <c r="B17" i="3"/>
  <c r="J16" i="3"/>
  <c r="I16" i="3"/>
  <c r="H16" i="3"/>
  <c r="G16" i="3"/>
  <c r="F16" i="3"/>
  <c r="E16" i="3"/>
  <c r="D16" i="3"/>
  <c r="C16" i="3"/>
  <c r="B16" i="3"/>
  <c r="J5" i="3"/>
  <c r="I5" i="3"/>
  <c r="H5" i="3"/>
  <c r="G5" i="3"/>
  <c r="F5" i="3"/>
  <c r="E5" i="3"/>
  <c r="D5" i="3"/>
  <c r="C5" i="3"/>
  <c r="B5" i="3"/>
  <c r="J4" i="3"/>
  <c r="I4" i="3"/>
  <c r="H4" i="3"/>
  <c r="G4" i="3"/>
  <c r="F4" i="3"/>
  <c r="E4" i="3"/>
  <c r="D4" i="3"/>
  <c r="C4" i="3"/>
  <c r="B4" i="3"/>
  <c r="J17" i="1"/>
  <c r="I17" i="1"/>
  <c r="H17" i="1"/>
  <c r="G17" i="1"/>
  <c r="F17" i="1"/>
  <c r="E17" i="1"/>
  <c r="D17" i="1"/>
  <c r="C17" i="1"/>
  <c r="B17" i="1"/>
  <c r="J16" i="1"/>
  <c r="I16" i="1"/>
  <c r="H16" i="1"/>
  <c r="G16" i="1"/>
  <c r="F16" i="1"/>
  <c r="E16" i="1"/>
  <c r="D16" i="1"/>
  <c r="C16" i="1"/>
  <c r="B16" i="1"/>
  <c r="J5" i="1"/>
  <c r="I5" i="1"/>
  <c r="H5" i="1"/>
  <c r="G5" i="1"/>
  <c r="F5" i="1"/>
  <c r="E5" i="1"/>
  <c r="D5" i="1"/>
  <c r="C5" i="1"/>
  <c r="B5" i="1"/>
  <c r="J4" i="1"/>
  <c r="I4" i="1"/>
  <c r="H4" i="1"/>
  <c r="G4" i="1"/>
  <c r="F4" i="1"/>
  <c r="E4" i="1"/>
  <c r="D4" i="1"/>
  <c r="C4" i="1"/>
  <c r="B4" i="1"/>
  <c r="P43" i="35"/>
  <c r="P44" i="35" s="1"/>
  <c r="M43" i="35"/>
  <c r="M44" i="35" s="1"/>
  <c r="L43" i="35"/>
  <c r="L44" i="35" s="1"/>
  <c r="J43" i="35"/>
  <c r="J44" i="35" s="1"/>
  <c r="I43" i="35"/>
  <c r="I44" i="35" s="1"/>
  <c r="G43" i="35"/>
  <c r="G44" i="35" s="1"/>
  <c r="C43" i="35"/>
  <c r="C44" i="35" s="1"/>
  <c r="O31" i="35"/>
  <c r="K30" i="35"/>
  <c r="F30" i="35"/>
  <c r="P31" i="35"/>
  <c r="M31" i="35"/>
  <c r="L31" i="35"/>
  <c r="J31" i="35"/>
  <c r="I31" i="35"/>
  <c r="G31" i="35"/>
  <c r="C31" i="35"/>
  <c r="P30" i="35"/>
  <c r="M30" i="35"/>
  <c r="L30" i="35"/>
  <c r="J30" i="35"/>
  <c r="I30" i="35"/>
  <c r="G30" i="35"/>
  <c r="C30" i="35"/>
  <c r="P23" i="35"/>
  <c r="P24" i="35" s="1"/>
  <c r="O23" i="35"/>
  <c r="O24" i="35" s="1"/>
  <c r="N23" i="35"/>
  <c r="N24" i="35" s="1"/>
  <c r="M23" i="35"/>
  <c r="M24" i="35" s="1"/>
  <c r="L23" i="35"/>
  <c r="L24" i="35" s="1"/>
  <c r="K23" i="35"/>
  <c r="K24" i="35" s="1"/>
  <c r="J23" i="35"/>
  <c r="J24" i="35" s="1"/>
  <c r="I23" i="35"/>
  <c r="I24" i="35" s="1"/>
  <c r="H23" i="35"/>
  <c r="H24" i="35" s="1"/>
  <c r="G23" i="35"/>
  <c r="G24" i="35" s="1"/>
  <c r="F23" i="35"/>
  <c r="F24" i="35" s="1"/>
  <c r="E23" i="35"/>
  <c r="E24" i="35" s="1"/>
  <c r="D23" i="35"/>
  <c r="D24" i="35" s="1"/>
  <c r="C23" i="35"/>
  <c r="C24" i="35" s="1"/>
  <c r="B23" i="35"/>
  <c r="B24" i="35" s="1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C11" i="35"/>
  <c r="B11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C10" i="35"/>
  <c r="B10" i="35"/>
  <c r="P12" i="35" l="1"/>
  <c r="C12" i="35"/>
  <c r="I12" i="35"/>
  <c r="L32" i="35"/>
  <c r="L12" i="35"/>
  <c r="M32" i="35"/>
  <c r="P32" i="35"/>
  <c r="G12" i="35"/>
  <c r="J12" i="35"/>
  <c r="M12" i="35"/>
  <c r="G32" i="35"/>
  <c r="I32" i="35"/>
  <c r="J32" i="35"/>
  <c r="C32" i="35"/>
  <c r="B31" i="35"/>
  <c r="N31" i="35"/>
  <c r="D31" i="35"/>
  <c r="H31" i="35"/>
  <c r="N30" i="35"/>
  <c r="H30" i="35"/>
  <c r="D30" i="35"/>
  <c r="F31" i="35"/>
  <c r="F32" i="35" s="1"/>
  <c r="E31" i="35"/>
  <c r="F12" i="35"/>
  <c r="O12" i="35"/>
  <c r="N12" i="35"/>
  <c r="K12" i="35"/>
  <c r="K31" i="35"/>
  <c r="K32" i="35" s="1"/>
  <c r="H12" i="35"/>
  <c r="E12" i="35"/>
  <c r="D12" i="35"/>
  <c r="B12" i="35"/>
  <c r="O30" i="35"/>
  <c r="O32" i="35" s="1"/>
  <c r="E30" i="35"/>
  <c r="O43" i="35"/>
  <c r="O44" i="35" s="1"/>
  <c r="N43" i="35"/>
  <c r="N44" i="35" s="1"/>
  <c r="K43" i="35"/>
  <c r="K44" i="35" s="1"/>
  <c r="H43" i="35"/>
  <c r="H44" i="35" s="1"/>
  <c r="F43" i="35"/>
  <c r="F44" i="35" s="1"/>
  <c r="E43" i="35"/>
  <c r="E44" i="35" s="1"/>
  <c r="B43" i="35"/>
  <c r="B44" i="35" s="1"/>
  <c r="D43" i="35"/>
  <c r="D44" i="35" s="1"/>
  <c r="B30" i="35"/>
  <c r="N32" i="35" l="1"/>
  <c r="D32" i="35"/>
  <c r="B32" i="35"/>
  <c r="H32" i="35"/>
  <c r="E32" i="35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" name="Connection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" name="Connection1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" name="Connection10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" name="Connection101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6" name="Connection102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7" name="Connection103" type="4" refreshedVersion="0" background="1" saveData="1">
    <webPr sourceData="1" parsePre="1" consecutive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" name="Connection10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" name="Connection105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0" name="Connection106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1" name="Connection107" type="4" refreshedVersion="0" background="1" saveData="1">
    <webPr sourceData="1" parsePre="1" consecutive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" name="Connection10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" name="Connection109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4" name="Connection11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" name="Connection110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6" name="Connection11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" name="Connection1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8" name="Connection11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9" name="Connection11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0" name="Connection11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" name="Connection1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2" name="Connection11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23" name="Connection11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4" name="Connection11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5" name="Connection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6" name="Connection1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7" name="Connection12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28" name="Connection12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9" name="Connection12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0" name="Connection12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1" name="Connection12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32" name="Connection12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33" name="Connection12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4" name="Connection12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5" name="Connection12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36" name="Connection1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7" name="Connection13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38" name="Connection131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9" name="Connection13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0" name="Connection1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41" name="Connection13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42" name="Connection135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3" name="Connection1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4" name="Connection1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45" name="Connection13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46" name="Connection13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7" name="Connection1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8" name="Connection14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9" name="Connection14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50" name="Connection14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51" name="Connection14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2" name="Connection14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3" name="Connection14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54" name="Connection146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27&amp;endHour=18&amp;endMinute=0" htmlTables="1">
      <tables count="1">
        <x v="2"/>
      </tables>
    </webPr>
  </connection>
  <connection id="55" name="Connection147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6" name="Connection14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7" name="Connection14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58" name="Connection1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9" name="Connection150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27&amp;endHour=18&amp;endMinute=0" htmlTables="1">
      <tables count="1">
        <x v="2"/>
      </tables>
    </webPr>
  </connection>
  <connection id="60" name="Connection151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1" name="Connection15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62" name="Connection15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63" name="Connection154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27&amp;endHour=18&amp;endMinute=0" htmlTables="1">
      <tables count="1">
        <x v="2"/>
      </tables>
    </webPr>
  </connection>
  <connection id="64" name="Connection155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5" name="Connection15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66" name="Connection15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67" name="Connection158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27&amp;endHour=18&amp;endMinute=0" htmlTables="1">
      <tables count="1">
        <x v="2"/>
      </tables>
    </webPr>
  </connection>
  <connection id="68" name="Connection159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9" name="Connection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0" name="Connection1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1" name="Connection16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72" name="Connection16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73" name="Connection163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74" name="Connection16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5" name="Connection16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76" name="Connection16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77" name="Connection16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78" name="Connection16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9" name="Connection16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80" name="Connection17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1" name="Connection17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82" name="Connection171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3" name="Connection1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84" name="Connection17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85" name="Connection17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86" name="Connection17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7" name="Connection17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88" name="Connection17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89" name="Connection17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90" name="Connection179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1" name="Connection1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2" name="Connection18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3" name="Connection18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94" name="Connection18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95" name="Connection183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6" name="Connection18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7" name="Connection18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98" name="Connection18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99" name="Connection187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0" name="Connection18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01" name="Connection18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02" name="Connection1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3" name="Connection19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04" name="Connection19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5" name="Connection19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06" name="Connection19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07" name="Connection19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08" name="Connection19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9" name="Connection19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0" name="Connection19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11" name="Connection19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12" name="Connection19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13" name="Connection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4" name="Connection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5" name="Connection20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6" name="Connection20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17" name="Connection20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18" name="Connection20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19" name="Connection20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20" name="Connection20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21" name="Connection20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22" name="Connection20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3" name="Connection20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24" name="Connection20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25" name="Connection21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6" name="Connection21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27" name="Connection211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8" name="Connection2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29" name="Connection21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30" name="Connection21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31" name="Connection215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32" name="Connection2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3" name="Connection21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34" name="Connection21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35" name="Connection21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36" name="Connection2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7" name="Connection2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8" name="Connection22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39" name="Connection22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40" name="Connection22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1" name="Connection22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42" name="Connection22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3" name="Connection22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44" name="Connection22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5" name="Connection22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46" name="Connection22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7" name="Connection2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8" name="Connection23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49" name="Connection23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0" name="Connection23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51" name="Connection2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52" name="Connection23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53" name="Connection23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4" name="Connection2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55" name="Connection2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56" name="Connection23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57" name="Connection23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8" name="Connection2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59" name="Connection24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60" name="Connection24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61" name="Connection24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62" name="Connection24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63" name="Connection24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64" name="Connection24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65" name="Connection24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66" name="Connection24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67" name="Connection24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68" name="Connection24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69" name="Connection2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0" name="Connection25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71" name="Connection251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2" name="Connection25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73" name="Connection25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74" name="Connection25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75" name="Connection255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6" name="Connection25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77" name="Connection25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78" name="Connection25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79" name="Connection25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80" name="Connection2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81" name="Connection2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82" name="Connection26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83" name="Connection26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84" name="Connection26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85" name="Connection26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86" name="Connection26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87" name="Connection266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188" name="Connection267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89" name="Connection26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90" name="Connection26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91" name="Connection2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92" name="Connection270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193" name="Connection271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94" name="Connection2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95" name="Connection27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96" name="Connection274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197" name="Connection275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98" name="Connection27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99" name="Connection27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00" name="Connection278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201" name="Connection279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02" name="Connection2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03" name="Connection28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04" name="Connection28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205" name="Connection282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206" name="Connection283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07" name="Connection28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08" name="Connection28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209" name="Connection286" type="4" refreshedVersion="6" background="1" saveData="1">
    <webPr sourceData="1" parsePre="1" consecutive="1" xl2000="1" url="https://fclm-portal.amazon.com/reports/unitsRollup?reportFormat=CSV&amp;warehouseId=KRB1&amp;jobAction=ItemPicked&amp;startDate=2020%2F09%2F28&amp;startHour=7&amp;startMinute=0&amp;endDate=2020%2F09%2F28&amp;endHour=18&amp;endMinute=0" htmlTables="1">
      <tables count="1">
        <x v="2"/>
      </tables>
    </webPr>
  </connection>
  <connection id="210" name="Connection28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1" name="Connection28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12" name="Connection28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213" name="Connection2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4" name="Connection290" type="4" refreshedVersion="6" background="1" saveData="1">
    <webPr sourceData="1" parsePre="1" consecutive="1" xl2000="1" url="https://fclm-portal.amazon.com/reports/unitsRollup?reportFormat=CSV&amp;warehouseId=KRB1&amp;jobAction=ItemPicked&amp;startDate=2020%2F09%2F29&amp;startHour=7&amp;startMinute=0&amp;endDate=2020%2F09%2F29&amp;endHour=18&amp;endMinute=0" htmlTables="1">
      <tables count="1">
        <x v="2"/>
      </tables>
    </webPr>
  </connection>
  <connection id="215" name="Connection291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6" name="Connection29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17" name="Connection29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18" name="Connection29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19" name="Connection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20" name="Connection3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21" name="Connection3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22" name="Connection32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23" name="Connection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24" name="Connection34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25" name="Connection3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26" name="Connection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27" name="Connection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28" name="Connection38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29" name="Connection39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30" name="Connection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31" name="Connection40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32" name="Connection41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33" name="Connection4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34" name="Connection4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35" name="Connection44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36" name="Connection45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37" name="Connection46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38" name="Connection4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39" name="Connection4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40" name="Connection4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41" name="Connection5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42" name="Connection50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43" name="Connection5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44" name="Connection52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45" name="Connection53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46" name="Connection5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47" name="Connection5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48" name="Connection56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49" name="Connection57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50" name="Connection58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51" name="Connection59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52" name="Connection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53" name="Connection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54" name="Connection6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255" name="Connection62" type="4" refreshedVersion="0" background="1" saveData="1">
    <webPr sourceData="1" parsePre="1" consecutive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56" name="Connection6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57" name="Connection64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258" name="Connection65" type="4" refreshedVersion="0" background="1" saveData="1">
    <webPr sourceData="1" parsePre="1" consecutive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59" name="Connection6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60" name="Connection67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261" name="Connection68" type="4" refreshedVersion="0" background="1" saveData="1">
    <webPr sourceData="1" parsePre="1" consecutive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62" name="Connection69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63" name="Connection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64" name="Connection70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65" name="Connection7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66" name="Connection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67" name="Connection7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268" name="Connection74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69" name="Connection75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70" name="Connection76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271" name="Connection7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72" name="Connection7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73" name="Connection7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274" name="Connection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75" name="Connection80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76" name="Connection8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77" name="Connection82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78" name="Connection8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79" name="Connection8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80" name="Connection8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281" name="Connection86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82" name="Connection87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83" name="Connection88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284" name="Connection8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85" name="Connection9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86" name="Connection9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87" name="Connection9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288" name="Connection92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89" name="Connection9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90" name="Connection94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91" name="Connection95" type="4" refreshedVersion="0" background="1" saveData="1">
    <webPr sourceData="1" parsePre="1" consecutive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92" name="Connection9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93" name="Connection9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294" name="Connection98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95" name="Connection99" type="4" refreshedVersion="0" background="1" saveData="1">
    <webPr sourceData="1" parsePre="1" consecutive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</connections>
</file>

<file path=xl/sharedStrings.xml><?xml version="1.0" encoding="utf-8"?>
<sst xmlns="http://schemas.openxmlformats.org/spreadsheetml/2006/main" count="17519" uniqueCount="627">
  <si>
    <t>Goal</t>
  </si>
  <si>
    <t>Front Half</t>
  </si>
  <si>
    <t>Back Half</t>
  </si>
  <si>
    <t xml:space="preserve">Previous Week Average </t>
  </si>
  <si>
    <t>Current Week Average</t>
  </si>
  <si>
    <t xml:space="preserve">WoW Improvement </t>
  </si>
  <si>
    <t>Receive Dock</t>
  </si>
  <si>
    <t>LP Receive</t>
  </si>
  <si>
    <t>Stow</t>
  </si>
  <si>
    <t>Pick</t>
  </si>
  <si>
    <t>TO Dock</t>
  </si>
  <si>
    <t>IB Total</t>
  </si>
  <si>
    <t xml:space="preserve">TO Total </t>
  </si>
  <si>
    <t>Inbound</t>
  </si>
  <si>
    <t>Trans Out</t>
  </si>
  <si>
    <t>UPC</t>
  </si>
  <si>
    <r>
      <t xml:space="preserve">Before you send this out, is everything the right color? </t>
    </r>
    <r>
      <rPr>
        <b/>
        <sz val="11"/>
        <color theme="1"/>
        <rFont val="Calibri"/>
        <family val="2"/>
        <scheme val="minor"/>
      </rPr>
      <t>Stop sending this out like a dingus.</t>
    </r>
    <r>
      <rPr>
        <sz val="11"/>
        <color theme="1"/>
        <rFont val="Calibri"/>
        <family val="2"/>
        <scheme val="minor"/>
      </rPr>
      <t xml:space="preserve"> 
Don't forget to </t>
    </r>
    <r>
      <rPr>
        <b/>
        <sz val="11"/>
        <color theme="1"/>
        <rFont val="Calibri"/>
        <family val="2"/>
        <scheme val="minor"/>
      </rPr>
      <t xml:space="preserve">copy the previous weeks average </t>
    </r>
    <r>
      <rPr>
        <sz val="11"/>
        <color theme="1"/>
        <rFont val="Calibri"/>
        <family val="2"/>
        <scheme val="minor"/>
      </rPr>
      <t xml:space="preserve">when you start a new week!! 
</t>
    </r>
  </si>
  <si>
    <t>Stow Volume</t>
  </si>
  <si>
    <t xml:space="preserve">Pick Volume </t>
  </si>
  <si>
    <t>Receive Volume</t>
  </si>
  <si>
    <t>Time at Bin</t>
  </si>
  <si>
    <t>Time at bin</t>
  </si>
  <si>
    <t>TOT%</t>
  </si>
  <si>
    <t>TO total</t>
  </si>
  <si>
    <t>Pick Rate</t>
  </si>
  <si>
    <t>IB CPLH</t>
  </si>
  <si>
    <t>OB CPLH</t>
  </si>
  <si>
    <t>Absolute difference</t>
  </si>
  <si>
    <t>* Wednesday is considered to be Front Half this week</t>
  </si>
  <si>
    <t>*Wednesday is considered to be Back Half this week</t>
  </si>
  <si>
    <t>OR/AND</t>
  </si>
  <si>
    <t>KRB1</t>
  </si>
  <si>
    <t>Building</t>
  </si>
  <si>
    <t>Inputs</t>
  </si>
  <si>
    <t>Start date for report</t>
  </si>
  <si>
    <t>*Wednesday is considered to be Back Half (BH) this week</t>
  </si>
  <si>
    <t>* Wednesday is considered to be Front Half (FH) this week</t>
  </si>
  <si>
    <t xml:space="preserve"> </t>
  </si>
  <si>
    <t>Process Name</t>
  </si>
  <si>
    <t>Function Name</t>
  </si>
  <si>
    <t>Employee Type</t>
  </si>
  <si>
    <t>Employee Id</t>
  </si>
  <si>
    <t>Name</t>
  </si>
  <si>
    <t>Manager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</si>
  <si>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</si>
  <si>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</si>
  <si>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</si>
  <si>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</si>
  <si>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</si>
  <si>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</si>
  <si>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</si>
  <si>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</si>
  <si>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Unit Type</t>
  </si>
  <si>
    <t>Size</t>
  </si>
  <si>
    <t>Units</t>
  </si>
  <si>
    <t>UPH</t>
  </si>
  <si>
    <t>Transfer Out Pick</t>
  </si>
  <si>
    <t>RF Pick Transship</t>
  </si>
  <si>
    <t>TEMP</t>
  </si>
  <si>
    <t>Tuiasosopo,Erika D</t>
  </si>
  <si>
    <t>Villalobos Jr,Ricky</t>
  </si>
  <si>
    <t>ItemPicked</t>
  </si>
  <si>
    <t>EACH</t>
  </si>
  <si>
    <t>Small</t>
  </si>
  <si>
    <t>Medium</t>
  </si>
  <si>
    <t>Large</t>
  </si>
  <si>
    <t>HeavyBulky</t>
  </si>
  <si>
    <t>Total</t>
  </si>
  <si>
    <t>Case</t>
  </si>
  <si>
    <t>Pallet</t>
  </si>
  <si>
    <t>AMZN</t>
  </si>
  <si>
    <t>McGee,Dezzy</t>
  </si>
  <si>
    <t>Padilla,Erik Eliseo</t>
  </si>
  <si>
    <t>Tarbet,Mark Mark</t>
  </si>
  <si>
    <t>Ramirez,Monica</t>
  </si>
  <si>
    <t>Masterfield,Heidi</t>
  </si>
  <si>
    <t>Bansode,Mayur</t>
  </si>
  <si>
    <t>Brown,Tyrese</t>
  </si>
  <si>
    <t>Yarber,Danny</t>
  </si>
  <si>
    <t>Medina,Tanya</t>
  </si>
  <si>
    <t>Wilson,Lorenza</t>
  </si>
  <si>
    <t>Barrera,Melissa Elizabeth</t>
  </si>
  <si>
    <t>Duenas,Angel</t>
  </si>
  <si>
    <t>Moreno,Annette</t>
  </si>
  <si>
    <t>Skinner,Tristan</t>
  </si>
  <si>
    <t>Alarid,Marissa Marie</t>
  </si>
  <si>
    <t>beltran,mario</t>
  </si>
  <si>
    <t>Azanon,Jose Antonio</t>
  </si>
  <si>
    <t>Barnett,Matthew</t>
  </si>
  <si>
    <t>Burrows,Shevion J</t>
  </si>
  <si>
    <t>TINAJERO,CRISTOBAL</t>
  </si>
  <si>
    <t>Velasquez,Cristhian</t>
  </si>
  <si>
    <t>Palafox,Araceli A</t>
  </si>
  <si>
    <t>Trejo,Tais</t>
  </si>
  <si>
    <t>Hangyal,Christine Sotto</t>
  </si>
  <si>
    <t>Lauder,Kay N</t>
  </si>
  <si>
    <t>Mena,Francisco Angel</t>
  </si>
  <si>
    <t>Garcia,Perla</t>
  </si>
  <si>
    <t>Camacho,Danny</t>
  </si>
  <si>
    <t>macias,luca</t>
  </si>
  <si>
    <t>Napierala,Vanessa Joyce</t>
  </si>
  <si>
    <t>Haughton,Jurrien Leslie-Lee</t>
  </si>
  <si>
    <t>Curiel,Alyssa</t>
  </si>
  <si>
    <t>Sanico,Jason</t>
  </si>
  <si>
    <t>Jimenez,Guadalupe</t>
  </si>
  <si>
    <t>Gambino,Giovanni Giuseppe</t>
  </si>
  <si>
    <t>Ramirez,Yasmin Jade</t>
  </si>
  <si>
    <t>Pham,Kelly</t>
  </si>
  <si>
    <t>REYNA,BRYANT JONATHAN</t>
  </si>
  <si>
    <t>gomez,nicholas</t>
  </si>
  <si>
    <t>Clark,Christopher Luke</t>
  </si>
  <si>
    <t>Sanchez Ceron,Diana M</t>
  </si>
  <si>
    <t>arellano,adam</t>
  </si>
  <si>
    <t>Rodriguez,Moises</t>
  </si>
  <si>
    <t>Report</t>
  </si>
  <si>
    <t>Line Number</t>
  </si>
  <si>
    <t>LineItem Id</t>
  </si>
  <si>
    <t>LineItem Name</t>
  </si>
  <si>
    <t>Main Process</t>
  </si>
  <si>
    <t>Core Process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</si>
  <si>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</si>
  <si>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</si>
  <si>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</si>
  <si>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</si>
  <si>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</si>
  <si>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</si>
  <si>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</si>
  <si>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</si>
  <si>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</si>
  <si>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</si>
  <si>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</si>
  <si>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</si>
  <si>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</si>
  <si>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</si>
  <si>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</t>
  </si>
  <si>
    <t>-</t>
  </si>
  <si>
    <t>ppr.detail.inbound.receive.eachReceive.small</t>
  </si>
  <si>
    <t>Each Receive - Small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</si>
  <si>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</si>
  <si>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</si>
  <si>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</si>
  <si>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</si>
  <si>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</si>
  <si>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</si>
  <si>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</si>
  <si>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</si>
  <si>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</si>
  <si>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</si>
  <si>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</si>
  <si>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</si>
  <si>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</si>
  <si>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</si>
  <si>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</si>
  <si>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</si>
  <si>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</si>
  <si>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</si>
  <si>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</si>
  <si>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</si>
  <si>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ppr.detail.inbound.receive.lpReceive</t>
  </si>
  <si>
    <t>ppr.detail.inbound.receive.palletReceive</t>
  </si>
  <si>
    <t>Pallet Receive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</si>
  <si>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</si>
  <si>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</si>
  <si>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</si>
  <si>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</si>
  <si>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</si>
  <si>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</si>
  <si>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</si>
  <si>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</si>
  <si>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</si>
  <si>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</si>
  <si>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</si>
  <si>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</si>
  <si>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</si>
  <si>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</si>
  <si>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</si>
  <si>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</si>
  <si>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</si>
  <si>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</si>
  <si>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</si>
  <si>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</si>
  <si>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</si>
  <si>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</si>
  <si>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</si>
  <si>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</si>
  <si>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</si>
  <si>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</si>
  <si>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</si>
  <si>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</si>
  <si>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</si>
  <si>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</si>
  <si>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</si>
  <si>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</si>
  <si>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</si>
  <si>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</si>
  <si>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</si>
  <si>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</si>
  <si>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</si>
  <si>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</si>
  <si>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</si>
  <si>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</si>
  <si>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</si>
  <si>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</si>
  <si>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</si>
  <si>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</si>
  <si>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</si>
  <si>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</si>
  <si>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</si>
  <si>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</si>
  <si>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</si>
  <si>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</si>
  <si>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</si>
  <si>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</si>
  <si>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</si>
  <si>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</si>
  <si>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</si>
  <si>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</si>
  <si>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</si>
  <si>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</si>
  <si>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</si>
  <si>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</si>
  <si>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</si>
  <si>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</si>
  <si>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</si>
  <si>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</si>
  <si>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</si>
  <si>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</si>
  <si>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</si>
  <si>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</si>
  <si>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</si>
  <si>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</si>
  <si>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</si>
  <si>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</si>
  <si>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</si>
  <si>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</si>
  <si>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</si>
  <si>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</si>
  <si>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</si>
  <si>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</si>
  <si>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</si>
  <si>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</si>
  <si>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</si>
  <si>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</si>
  <si>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</si>
  <si>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</si>
  <si>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</si>
  <si>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</si>
  <si>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</si>
  <si>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</si>
  <si>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</si>
  <si>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</si>
  <si>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</si>
  <si>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</si>
  <si>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</si>
  <si>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</si>
  <si>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</si>
  <si>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</si>
  <si>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</si>
  <si>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</si>
  <si>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</si>
  <si>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</si>
  <si>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</si>
  <si>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</si>
  <si>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</si>
  <si>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</si>
  <si>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</si>
  <si>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</si>
  <si>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</si>
  <si>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</si>
  <si>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</si>
  <si>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</si>
  <si>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</si>
  <si>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</si>
  <si>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</si>
  <si>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</si>
  <si>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</si>
  <si>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</si>
  <si>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</si>
  <si>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</si>
  <si>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</si>
  <si>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</si>
  <si>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</si>
  <si>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</si>
  <si>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</si>
  <si>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</si>
  <si>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</si>
  <si>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</si>
  <si>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</si>
  <si>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</si>
  <si>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</si>
  <si>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</si>
  <si>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</si>
  <si>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</si>
  <si>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</si>
  <si>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</si>
  <si>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</si>
  <si>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</si>
  <si>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</si>
  <si>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</si>
  <si>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</si>
  <si>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</si>
  <si>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</si>
  <si>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</si>
  <si>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</si>
  <si>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</si>
  <si>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</si>
  <si>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</si>
  <si>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</si>
  <si>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</si>
  <si>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</si>
  <si>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</si>
  <si>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</si>
  <si>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</si>
  <si>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</si>
  <si>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</si>
  <si>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</si>
  <si>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</si>
  <si>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</si>
  <si>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</si>
  <si>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</si>
  <si>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</si>
  <si>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</si>
  <si>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</si>
  <si>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</si>
  <si>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</si>
  <si>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</si>
  <si>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</si>
  <si>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</si>
  <si>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</si>
  <si>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</si>
  <si>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</si>
  <si>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</si>
  <si>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</si>
  <si>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</si>
  <si>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</si>
  <si>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</si>
  <si>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</si>
  <si>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</si>
  <si>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</si>
  <si>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</si>
  <si>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</si>
  <si>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</si>
  <si>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</si>
  <si>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</si>
  <si>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Package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</si>
  <si>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</si>
  <si>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</si>
  <si>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</si>
  <si>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</si>
  <si>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</si>
  <si>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</si>
  <si>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</si>
  <si>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</si>
  <si>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</si>
  <si>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</si>
  <si>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</si>
  <si>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</si>
  <si>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</si>
  <si>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</si>
  <si>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</si>
  <si>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</si>
  <si>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</si>
  <si>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</si>
  <si>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</si>
  <si>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</si>
  <si>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</si>
  <si>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</si>
  <si>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</si>
  <si>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</si>
  <si>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</si>
  <si>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</si>
  <si>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</si>
  <si>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</si>
  <si>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</si>
  <si>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</si>
  <si>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</si>
  <si>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</si>
  <si>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</si>
  <si>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</si>
  <si>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</si>
  <si>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</si>
  <si>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</si>
  <si>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</si>
  <si>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</si>
  <si>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</si>
  <si>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</si>
  <si>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</si>
  <si>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</si>
  <si>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 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</si>
  <si>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</si>
  <si>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</si>
  <si>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</si>
  <si>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</si>
  <si>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</si>
  <si>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</si>
  <si>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</si>
  <si>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</si>
  <si>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</si>
  <si>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</si>
  <si>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</si>
  <si>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</si>
  <si>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</si>
  <si>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</si>
  <si>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</si>
  <si>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</si>
  <si>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</si>
  <si>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</si>
  <si>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</si>
  <si>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</si>
  <si>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</si>
  <si>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</si>
  <si>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</si>
  <si>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</si>
  <si>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</si>
  <si>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</si>
  <si>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</si>
  <si>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</si>
  <si>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</si>
  <si>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</si>
  <si>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</si>
  <si>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</si>
  <si>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</si>
  <si>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</si>
  <si>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</si>
  <si>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</si>
  <si>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</si>
  <si>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</si>
  <si>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</si>
  <si>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</si>
  <si>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</si>
  <si>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</si>
  <si>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</si>
  <si>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</si>
  <si>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</si>
  <si>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</si>
  <si>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</si>
  <si>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</si>
  <si>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</si>
  <si>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</si>
  <si>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</si>
  <si>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</si>
  <si>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</si>
  <si>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</si>
  <si>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</si>
  <si>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</si>
  <si>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</si>
  <si>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</si>
  <si>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</si>
  <si>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</si>
  <si>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</si>
  <si>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</si>
  <si>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</si>
  <si>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</si>
  <si>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</si>
  <si>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</si>
  <si>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</si>
  <si>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</si>
  <si>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</si>
  <si>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</si>
  <si>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</si>
  <si>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</si>
  <si>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</si>
  <si>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</si>
  <si>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</si>
  <si>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</si>
  <si>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</si>
  <si>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</si>
  <si>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</si>
  <si>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</si>
  <si>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</si>
  <si>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</si>
  <si>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</si>
  <si>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</si>
  <si>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</si>
  <si>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</si>
  <si>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</si>
  <si>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</si>
  <si>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</si>
  <si>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</si>
  <si>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</si>
  <si>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</si>
  <si>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</si>
  <si>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</si>
  <si>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</si>
  <si>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</si>
  <si>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</si>
  <si>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</si>
  <si>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</si>
  <si>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</si>
  <si>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</si>
  <si>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</si>
  <si>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</si>
  <si>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</si>
  <si>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</si>
  <si>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</si>
  <si>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</si>
  <si>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</si>
  <si>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</si>
  <si>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</si>
  <si>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</si>
  <si>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</si>
  <si>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</si>
  <si>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</si>
  <si>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</si>
  <si>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</si>
  <si>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</si>
  <si>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</si>
  <si>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</si>
  <si>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</si>
  <si>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</si>
  <si>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</si>
  <si>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</si>
  <si>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</si>
  <si>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</si>
  <si>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</si>
  <si>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</si>
  <si>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</si>
  <si>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</si>
  <si>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</si>
  <si>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</si>
  <si>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</si>
  <si>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</si>
  <si>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</si>
  <si>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</si>
  <si>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</si>
  <si>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Id</t>
  </si>
  <si>
    <t>Label=AVG (avg: {avg})</t>
  </si>
  <si>
    <t>Label</t>
  </si>
  <si>
    <t>AVG (avg: 528.27)</t>
  </si>
  <si>
    <t>Result</t>
  </si>
  <si>
    <t>MetricData</t>
  </si>
  <si>
    <t>Min</t>
  </si>
  <si>
    <t>Avg</t>
  </si>
  <si>
    <t>Max</t>
  </si>
  <si>
    <t>2020/09/27 07:00 PDT</t>
  </si>
  <si>
    <t>2020/09/27 08:00 PDT</t>
  </si>
  <si>
    <t>2020/09/27 09:00 PDT</t>
  </si>
  <si>
    <t>2020/09/27 10:00 PDT</t>
  </si>
  <si>
    <t>2020/09/27 11:00 PDT</t>
  </si>
  <si>
    <t>2020/09/27 12:00 PDT</t>
  </si>
  <si>
    <t>2020/09/27 13:00 PDT</t>
  </si>
  <si>
    <t>2020/09/27 14:00 PDT</t>
  </si>
  <si>
    <t>2020/09/27 15:00 PDT</t>
  </si>
  <si>
    <t>2020/09/27 16:00 PDT</t>
  </si>
  <si>
    <t>2020/09/27 17:00 PDT</t>
  </si>
  <si>
    <t>AVG (avg: 497.73)</t>
  </si>
  <si>
    <t>2020/09/28 07:00 PDT</t>
  </si>
  <si>
    <t>2020/09/28 08:00 PDT</t>
  </si>
  <si>
    <t>2020/09/28 09:00 PDT</t>
  </si>
  <si>
    <t>2020/09/28 10:00 PDT</t>
  </si>
  <si>
    <t>2020/09/28 11:00 PDT</t>
  </si>
  <si>
    <t>2020/09/28 12:00 PDT</t>
  </si>
  <si>
    <t>2020/09/28 13:00 PDT</t>
  </si>
  <si>
    <t>2020/09/28 14:00 PDT</t>
  </si>
  <si>
    <t>2020/09/28 15:00 PDT</t>
  </si>
  <si>
    <t>2020/09/28 16:00 PDT</t>
  </si>
  <si>
    <t>2020/09/28 17:00 PDT</t>
  </si>
  <si>
    <t>AVG (avg: 859.55)</t>
  </si>
  <si>
    <t>2020/09/29 07:00 PDT</t>
  </si>
  <si>
    <t>2020/09/29 08:00 PDT</t>
  </si>
  <si>
    <t>2020/09/29 09:00 PDT</t>
  </si>
  <si>
    <t>2020/09/29 10:00 PDT</t>
  </si>
  <si>
    <t>2020/09/29 11:00 PDT</t>
  </si>
  <si>
    <t>2020/09/29 12:00 PDT</t>
  </si>
  <si>
    <t>2020/09/29 13:00 PDT</t>
  </si>
  <si>
    <t>2020/09/29 14:00 PDT</t>
  </si>
  <si>
    <t>2020/09/29 15:00 PDT</t>
  </si>
  <si>
    <t>2020/09/29 16:00 PDT</t>
  </si>
  <si>
    <t>2020/09/29 17:00 PDT</t>
  </si>
  <si>
    <t>AVG (avg: 394.00)</t>
  </si>
  <si>
    <t>2020/09/30 07:00 PDT</t>
  </si>
  <si>
    <t>2020/09/30 08:00 PDT</t>
  </si>
  <si>
    <t>2020/09/30 09:00 PDT</t>
  </si>
  <si>
    <t>2020/09/30 10:00 PDT</t>
  </si>
  <si>
    <t>2020/09/30 11:00 PDT</t>
  </si>
  <si>
    <t>2020/09/30 12:00 PDT</t>
  </si>
  <si>
    <t>2020/09/30 13:00 PDT</t>
  </si>
  <si>
    <t>2020/09/30 14:00 PDT</t>
  </si>
  <si>
    <t>2020/09/30 15:00 PDT</t>
  </si>
  <si>
    <t>2020/09/30 16:00 PDT</t>
  </si>
  <si>
    <t>2020/09/30 17:00 PDT</t>
  </si>
  <si>
    <t>felix,cecelia</t>
  </si>
  <si>
    <t>Rivas,Brian</t>
  </si>
  <si>
    <t>Espinoza,Frank</t>
  </si>
  <si>
    <t>Kilioni,Debra</t>
  </si>
  <si>
    <t>Howard,Breland Ronniece</t>
  </si>
  <si>
    <t>De Haro,Jennifer</t>
  </si>
  <si>
    <t>Anguiano,Jose Francisco</t>
  </si>
  <si>
    <t>Johnson,Jakil Gregory</t>
  </si>
  <si>
    <t>Vargas,Cameron L</t>
  </si>
  <si>
    <t>Castellanos,Celine Silva</t>
  </si>
  <si>
    <t>Reddic,Jordyn</t>
  </si>
  <si>
    <t>Uisetiawan,Reza</t>
  </si>
  <si>
    <t>ringenberg,maryna</t>
  </si>
  <si>
    <t>Ramirez,Roberto Elian</t>
  </si>
  <si>
    <t>Casillas,Amy Fabiola</t>
  </si>
  <si>
    <t>Vazquez,Luis</t>
  </si>
  <si>
    <t>Sanchez,Beronica</t>
  </si>
  <si>
    <t>Murillo,Felipe</t>
  </si>
  <si>
    <t>Epley,Katelyn</t>
  </si>
  <si>
    <t>creek,brittney delaney</t>
  </si>
  <si>
    <t>Hanson,Lindsey Jo</t>
  </si>
  <si>
    <t>Johnson,Kyle Thomas</t>
  </si>
  <si>
    <t>Erickson,Carver</t>
  </si>
  <si>
    <t>Cooper,Audrey Hope-sailau</t>
  </si>
  <si>
    <t>james,larissa lynn</t>
  </si>
  <si>
    <t>Rosas,Esteban</t>
  </si>
  <si>
    <t>Ramirez,chris</t>
  </si>
  <si>
    <t>Roque,Melvin Nuguid</t>
  </si>
  <si>
    <t>Pajares,Roberto</t>
  </si>
  <si>
    <t>flores,bianca stephanie</t>
  </si>
  <si>
    <t>Rivera,Bobby Martin</t>
  </si>
  <si>
    <t>Valencia Garcia,Alfonso</t>
  </si>
  <si>
    <t>Rodriguez,Gerardo</t>
  </si>
  <si>
    <t>Villalobos,Jake W</t>
  </si>
  <si>
    <t>Nubes,Julio Cesar</t>
  </si>
  <si>
    <t>Jones,Xavier</t>
  </si>
  <si>
    <t>Urrutia,Diana</t>
  </si>
  <si>
    <t>Gertsch,Jessica</t>
  </si>
  <si>
    <t>Jackson,James</t>
  </si>
  <si>
    <t>Purtty-Harris,Keyaun C</t>
  </si>
  <si>
    <t>Employee Name</t>
  </si>
  <si>
    <t>Employee Manager</t>
  </si>
  <si>
    <t>Job Count</t>
  </si>
  <si>
    <t>Category</t>
  </si>
  <si>
    <t>Unit Count</t>
  </si>
  <si>
    <t>*before pressing, wait for imports to complete (~1 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</si>
</sst>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"/>
    <numFmt numFmtId="165" formatCode="_(* #,##0.0_);_(* \(#,##0.0\);_(* &quot;-&quot;??_);_(@_)"/>
    <numFmt numFmtId="166" formatCode="[$-409]h:mm\ AM/PM;@"/>
    <numFmt numFmtId="167" formatCode="m/d/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b/>
      <sz val="16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3CED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B481"/>
        <bgColor indexed="64"/>
      </patternFill>
    </fill>
    <fill>
      <patternFill patternType="solid">
        <fgColor rgb="FF96B3E2"/>
        <bgColor indexed="64"/>
      </patternFill>
    </fill>
    <fill>
      <patternFill patternType="solid">
        <fgColor rgb="FFBDE7B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1" xfId="0" applyNumberFormat="1" applyBorder="1" applyAlignment="1">
      <alignment horizontal="left"/>
    </xf>
    <xf numFmtId="164" fontId="0" fillId="0" borderId="1" xfId="0" applyNumberFormat="1" applyBorder="1"/>
    <xf numFmtId="1" fontId="0" fillId="0" borderId="1" xfId="0" applyNumberFormat="1" applyBorder="1"/>
    <xf numFmtId="9" fontId="0" fillId="0" borderId="1" xfId="1" applyFont="1" applyBorder="1"/>
    <xf numFmtId="0" fontId="0" fillId="5" borderId="1" xfId="0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0" fontId="0" fillId="2" borderId="1" xfId="0" applyFill="1" applyBorder="1"/>
    <xf numFmtId="0" fontId="3" fillId="8" borderId="1" xfId="0" applyFont="1" applyFill="1" applyBorder="1"/>
    <xf numFmtId="1" fontId="0" fillId="0" borderId="1" xfId="0" applyNumberFormat="1" applyBorder="1" applyAlignment="1">
      <alignment horizontal="right"/>
    </xf>
    <xf numFmtId="14" fontId="0" fillId="0" borderId="1" xfId="0" applyNumberFormat="1" applyFill="1" applyBorder="1" applyAlignment="1">
      <alignment horizontal="left"/>
    </xf>
    <xf numFmtId="164" fontId="0" fillId="6" borderId="1" xfId="0" applyNumberFormat="1" applyFill="1" applyBorder="1"/>
    <xf numFmtId="164" fontId="3" fillId="8" borderId="1" xfId="0" applyNumberFormat="1" applyFont="1" applyFill="1" applyBorder="1"/>
    <xf numFmtId="164" fontId="0" fillId="7" borderId="1" xfId="0" applyNumberFormat="1" applyFill="1" applyBorder="1"/>
    <xf numFmtId="164" fontId="0" fillId="0" borderId="1" xfId="0" applyNumberFormat="1" applyBorder="1" applyAlignment="1">
      <alignment horizontal="right"/>
    </xf>
    <xf numFmtId="164" fontId="0" fillId="9" borderId="1" xfId="0" applyNumberFormat="1" applyFill="1" applyBorder="1"/>
    <xf numFmtId="164" fontId="0" fillId="0" borderId="1" xfId="0" applyNumberFormat="1" applyFill="1" applyBorder="1"/>
    <xf numFmtId="43" fontId="0" fillId="0" borderId="1" xfId="2" applyFont="1" applyBorder="1"/>
    <xf numFmtId="43" fontId="0" fillId="0" borderId="0" xfId="2" applyFont="1"/>
    <xf numFmtId="165" fontId="3" fillId="8" borderId="1" xfId="2" applyNumberFormat="1" applyFont="1" applyFill="1" applyBorder="1"/>
    <xf numFmtId="165" fontId="0" fillId="0" borderId="1" xfId="2" applyNumberFormat="1" applyFont="1" applyBorder="1"/>
    <xf numFmtId="165" fontId="0" fillId="0" borderId="1" xfId="2" applyNumberFormat="1" applyFont="1" applyFill="1" applyBorder="1"/>
    <xf numFmtId="165" fontId="0" fillId="6" borderId="1" xfId="2" applyNumberFormat="1" applyFont="1" applyFill="1" applyBorder="1"/>
    <xf numFmtId="165" fontId="0" fillId="7" borderId="1" xfId="2" applyNumberFormat="1" applyFont="1" applyFill="1" applyBorder="1"/>
    <xf numFmtId="0" fontId="0" fillId="3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9" fontId="0" fillId="5" borderId="1" xfId="0" applyNumberFormat="1" applyFill="1" applyBorder="1" applyAlignment="1">
      <alignment horizontal="center"/>
    </xf>
    <xf numFmtId="0" fontId="5" fillId="12" borderId="0" xfId="3" applyFont="1" applyFill="1" applyBorder="1"/>
    <xf numFmtId="0" fontId="0" fillId="12" borderId="0" xfId="3" applyFont="1" applyFill="1"/>
    <xf numFmtId="0" fontId="0" fillId="12" borderId="0" xfId="3" applyFont="1" applyFill="1" applyBorder="1"/>
    <xf numFmtId="0" fontId="4" fillId="12" borderId="0" xfId="3" applyFont="1" applyFill="1" applyBorder="1" applyAlignment="1">
      <alignment horizontal="right"/>
    </xf>
    <xf numFmtId="14" fontId="0" fillId="12" borderId="0" xfId="3" applyNumberFormat="1" applyFont="1" applyFill="1" applyBorder="1" applyAlignment="1">
      <alignment horizontal="left"/>
    </xf>
    <xf numFmtId="43" fontId="4" fillId="12" borderId="0" xfId="3" applyNumberFormat="1" applyFont="1" applyFill="1" applyBorder="1" applyAlignment="1">
      <alignment horizontal="center"/>
    </xf>
    <xf numFmtId="14" fontId="0" fillId="12" borderId="0" xfId="3" applyNumberFormat="1" applyFont="1" applyFill="1"/>
    <xf numFmtId="0" fontId="5" fillId="12" borderId="6" xfId="3" applyFont="1" applyFill="1" applyBorder="1" applyAlignment="1">
      <alignment horizontal="center"/>
    </xf>
    <xf numFmtId="164" fontId="4" fillId="12" borderId="1" xfId="3" applyNumberFormat="1" applyFont="1" applyFill="1" applyBorder="1" applyAlignment="1">
      <alignment horizontal="center"/>
    </xf>
    <xf numFmtId="9" fontId="6" fillId="12" borderId="1" xfId="3" applyNumberFormat="1" applyFont="1" applyFill="1" applyBorder="1" applyAlignment="1">
      <alignment horizontal="center"/>
    </xf>
    <xf numFmtId="164" fontId="4" fillId="13" borderId="1" xfId="3" applyNumberFormat="1" applyFont="1" applyFill="1" applyBorder="1" applyAlignment="1">
      <alignment horizontal="center"/>
    </xf>
    <xf numFmtId="165" fontId="4" fillId="13" borderId="1" xfId="3" applyNumberFormat="1" applyFont="1" applyFill="1" applyBorder="1" applyAlignment="1">
      <alignment horizontal="center"/>
    </xf>
    <xf numFmtId="164" fontId="4" fillId="14" borderId="1" xfId="3" applyNumberFormat="1" applyFont="1" applyFill="1" applyBorder="1" applyAlignment="1">
      <alignment horizontal="center"/>
    </xf>
    <xf numFmtId="165" fontId="4" fillId="14" borderId="1" xfId="3" applyNumberFormat="1" applyFont="1" applyFill="1" applyBorder="1" applyAlignment="1">
      <alignment horizontal="center"/>
    </xf>
    <xf numFmtId="164" fontId="8" fillId="15" borderId="1" xfId="3" applyNumberFormat="1" applyFont="1" applyFill="1" applyBorder="1" applyAlignment="1">
      <alignment horizontal="center"/>
    </xf>
    <xf numFmtId="165" fontId="8" fillId="15" borderId="1" xfId="3" applyNumberFormat="1" applyFont="1" applyFill="1" applyBorder="1" applyAlignment="1">
      <alignment horizontal="center"/>
    </xf>
    <xf numFmtId="164" fontId="4" fillId="16" borderId="1" xfId="3" applyNumberFormat="1" applyFont="1" applyFill="1" applyBorder="1" applyAlignment="1">
      <alignment horizontal="center"/>
    </xf>
    <xf numFmtId="0" fontId="7" fillId="16" borderId="1" xfId="3" applyFont="1" applyFill="1" applyBorder="1" applyAlignment="1">
      <alignment horizontal="center"/>
    </xf>
    <xf numFmtId="9" fontId="7" fillId="16" borderId="1" xfId="3" applyNumberFormat="1" applyFont="1" applyFill="1" applyBorder="1" applyAlignment="1">
      <alignment horizontal="center"/>
    </xf>
    <xf numFmtId="14" fontId="4" fillId="12" borderId="0" xfId="3" applyNumberFormat="1" applyFont="1" applyFill="1" applyBorder="1" applyAlignment="1">
      <alignment horizontal="center"/>
    </xf>
    <xf numFmtId="0" fontId="5" fillId="12" borderId="5" xfId="3" applyFont="1" applyFill="1" applyBorder="1" applyAlignment="1">
      <alignment horizontal="center"/>
    </xf>
    <xf numFmtId="164" fontId="4" fillId="12" borderId="2" xfId="3" applyNumberFormat="1" applyFont="1" applyFill="1" applyBorder="1" applyAlignment="1">
      <alignment horizontal="center"/>
    </xf>
    <xf numFmtId="0" fontId="5" fillId="12" borderId="9" xfId="3" applyFont="1" applyFill="1" applyBorder="1" applyAlignment="1">
      <alignment horizontal="center"/>
    </xf>
    <xf numFmtId="164" fontId="4" fillId="12" borderId="7" xfId="3" applyNumberFormat="1" applyFont="1" applyFill="1" applyBorder="1" applyAlignment="1">
      <alignment horizontal="center"/>
    </xf>
    <xf numFmtId="164" fontId="4" fillId="13" borderId="2" xfId="3" applyNumberFormat="1" applyFont="1" applyFill="1" applyBorder="1" applyAlignment="1">
      <alignment horizontal="center"/>
    </xf>
    <xf numFmtId="164" fontId="8" fillId="15" borderId="2" xfId="3" applyNumberFormat="1" applyFont="1" applyFill="1" applyBorder="1" applyAlignment="1">
      <alignment horizontal="center"/>
    </xf>
    <xf numFmtId="164" fontId="4" fillId="14" borderId="2" xfId="3" applyNumberFormat="1" applyFont="1" applyFill="1" applyBorder="1" applyAlignment="1">
      <alignment horizontal="center"/>
    </xf>
    <xf numFmtId="164" fontId="4" fillId="13" borderId="7" xfId="3" applyNumberFormat="1" applyFont="1" applyFill="1" applyBorder="1" applyAlignment="1">
      <alignment horizontal="center"/>
    </xf>
    <xf numFmtId="164" fontId="8" fillId="15" borderId="7" xfId="3" applyNumberFormat="1" applyFont="1" applyFill="1" applyBorder="1" applyAlignment="1">
      <alignment horizontal="center"/>
    </xf>
    <xf numFmtId="164" fontId="4" fillId="14" borderId="7" xfId="3" applyNumberFormat="1" applyFont="1" applyFill="1" applyBorder="1" applyAlignment="1">
      <alignment horizontal="center"/>
    </xf>
    <xf numFmtId="164" fontId="4" fillId="16" borderId="2" xfId="3" applyNumberFormat="1" applyFont="1" applyFill="1" applyBorder="1" applyAlignment="1">
      <alignment horizontal="center"/>
    </xf>
    <xf numFmtId="9" fontId="6" fillId="12" borderId="2" xfId="3" applyNumberFormat="1" applyFont="1" applyFill="1" applyBorder="1" applyAlignment="1">
      <alignment horizontal="center"/>
    </xf>
    <xf numFmtId="164" fontId="4" fillId="16" borderId="7" xfId="3" applyNumberFormat="1" applyFont="1" applyFill="1" applyBorder="1" applyAlignment="1">
      <alignment horizontal="center"/>
    </xf>
    <xf numFmtId="9" fontId="6" fillId="12" borderId="7" xfId="3" applyNumberFormat="1" applyFont="1" applyFill="1" applyBorder="1" applyAlignment="1">
      <alignment horizontal="center"/>
    </xf>
    <xf numFmtId="9" fontId="7" fillId="16" borderId="2" xfId="3" applyNumberFormat="1" applyFont="1" applyFill="1" applyBorder="1" applyAlignment="1">
      <alignment horizontal="center"/>
    </xf>
    <xf numFmtId="0" fontId="7" fillId="16" borderId="7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9" fillId="12" borderId="0" xfId="4" applyFill="1"/>
    <xf numFmtId="0" fontId="0" fillId="12" borderId="0" xfId="3" applyFont="1" applyFill="1" applyBorder="1" applyAlignment="1">
      <alignment horizontal="center"/>
    </xf>
    <xf numFmtId="0" fontId="4" fillId="12" borderId="0" xfId="3" applyFont="1" applyFill="1" applyBorder="1" applyAlignment="1"/>
    <xf numFmtId="0" fontId="0" fillId="12" borderId="0" xfId="3" applyFont="1" applyFill="1" applyAlignment="1">
      <alignment horizontal="left"/>
    </xf>
    <xf numFmtId="0" fontId="10" fillId="12" borderId="0" xfId="3" applyFont="1" applyFill="1"/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167" fontId="0" fillId="17" borderId="1" xfId="3" applyNumberFormat="1" applyFont="1" applyFill="1" applyBorder="1" applyAlignment="1">
      <alignment horizontal="center"/>
    </xf>
    <xf numFmtId="0" fontId="0" fillId="17" borderId="1" xfId="3" applyFont="1" applyFill="1" applyBorder="1" applyAlignment="1">
      <alignment horizontal="center"/>
    </xf>
    <xf numFmtId="0" fontId="0" fillId="12" borderId="0" xfId="3" applyFont="1" applyFill="1" applyBorder="1" applyAlignment="1">
      <alignment horizontal="right"/>
    </xf>
    <xf numFmtId="166" fontId="0" fillId="12" borderId="0" xfId="3" applyNumberFormat="1" applyFont="1" applyFill="1" applyBorder="1" applyAlignment="1">
      <alignment horizontal="right"/>
    </xf>
    <xf numFmtId="164" fontId="4" fillId="18" borderId="1" xfId="3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5" fillId="11" borderId="2" xfId="3" applyFont="1" applyFill="1" applyBorder="1" applyAlignment="1">
      <alignment horizontal="center"/>
    </xf>
    <xf numFmtId="0" fontId="5" fillId="11" borderId="3" xfId="3" applyFont="1" applyFill="1" applyBorder="1" applyAlignment="1">
      <alignment horizontal="center"/>
    </xf>
    <xf numFmtId="0" fontId="5" fillId="11" borderId="10" xfId="3" applyFont="1" applyFill="1" applyBorder="1" applyAlignment="1">
      <alignment horizontal="center"/>
    </xf>
    <xf numFmtId="0" fontId="5" fillId="10" borderId="8" xfId="3" applyFont="1" applyFill="1" applyBorder="1" applyAlignment="1">
      <alignment horizontal="center"/>
    </xf>
    <xf numFmtId="0" fontId="5" fillId="10" borderId="3" xfId="3" applyFont="1" applyFill="1" applyBorder="1" applyAlignment="1">
      <alignment horizontal="center"/>
    </xf>
    <xf numFmtId="0" fontId="5" fillId="10" borderId="4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9" fillId="12" borderId="0" xfId="4" applyFill="1" applyAlignment="1">
      <alignment horizontal="center"/>
    </xf>
  </cellXfs>
  <cellStyles count="5">
    <cellStyle name="Comma" xfId="2" builtinId="3"/>
    <cellStyle name="Hyperlink" xfId="4" builtinId="8"/>
    <cellStyle name="Normal" xfId="0" builtinId="0"/>
    <cellStyle name="Percent" xfId="1" builtinId="5"/>
    <cellStyle name="Style 1" xfId="3"/>
  </cellStyles>
  <dxfs count="243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6B3E2"/>
      <color rgb="FFE8B31C"/>
      <color rgb="FFC68606"/>
      <color rgb="FF66CCFF"/>
      <color rgb="FF33CC33"/>
      <color rgb="FFFF4747"/>
      <color rgb="FFFFE593"/>
      <color rgb="FFBDE7BB"/>
      <color rgb="FFFFB481"/>
      <color rgb="FFFFD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072188"/>
          <a:ext cx="337343" cy="1289844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397126"/>
          <a:ext cx="337343" cy="1301751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397125"/>
          <a:ext cx="337343" cy="1301750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4843463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072188"/>
          <a:ext cx="337343" cy="1289844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1</xdr:col>
      <xdr:colOff>0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397126"/>
          <a:ext cx="337344" cy="1301751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625929</xdr:colOff>
      <xdr:row>0</xdr:row>
      <xdr:rowOff>108291</xdr:rowOff>
    </xdr:from>
    <xdr:to>
      <xdr:col>20</xdr:col>
      <xdr:colOff>212611</xdr:colOff>
      <xdr:row>3</xdr:row>
      <xdr:rowOff>117928</xdr:rowOff>
    </xdr:to>
    <xdr:sp macro="[0]!openWebsites" textlink="">
      <xdr:nvSpPr>
        <xdr:cNvPr id="11" name="Rectangle 10"/>
        <xdr:cNvSpPr/>
      </xdr:nvSpPr>
      <xdr:spPr>
        <a:xfrm>
          <a:off x="14478000" y="108291"/>
          <a:ext cx="1709397" cy="572066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Open All Websites </a:t>
          </a:r>
        </a:p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(Data Sources)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32</xdr:row>
      <xdr:rowOff>190499</xdr:rowOff>
    </xdr:from>
    <xdr:to>
      <xdr:col>1</xdr:col>
      <xdr:colOff>-1</xdr:colOff>
      <xdr:row>39</xdr:row>
      <xdr:rowOff>214311</xdr:rowOff>
    </xdr:to>
    <xdr:grpSp>
      <xdr:nvGrpSpPr>
        <xdr:cNvPr id="22" name="Group 21"/>
        <xdr:cNvGrpSpPr/>
      </xdr:nvGrpSpPr>
      <xdr:grpSpPr>
        <a:xfrm>
          <a:off x="1440655" y="6073774"/>
          <a:ext cx="337344" cy="1276350"/>
          <a:chOff x="1428749" y="6369844"/>
          <a:chExt cx="250032" cy="1500186"/>
        </a:xfrm>
      </xdr:grpSpPr>
      <xdr:sp macro="" textlink="">
        <xdr:nvSpPr>
          <xdr:cNvPr id="7" name="Rectangle 6"/>
          <xdr:cNvSpPr/>
        </xdr:nvSpPr>
        <xdr:spPr>
          <a:xfrm>
            <a:off x="1428749" y="7024689"/>
            <a:ext cx="250031" cy="84534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BH*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FH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11</xdr:col>
      <xdr:colOff>583406</xdr:colOff>
      <xdr:row>2</xdr:row>
      <xdr:rowOff>166688</xdr:rowOff>
    </xdr:from>
    <xdr:to>
      <xdr:col>15</xdr:col>
      <xdr:colOff>440531</xdr:colOff>
      <xdr:row>5</xdr:row>
      <xdr:rowOff>11907</xdr:rowOff>
    </xdr:to>
    <xdr:sp macro="[0]!restart_report" textlink="">
      <xdr:nvSpPr>
        <xdr:cNvPr id="25" name="Rectangle 24"/>
        <xdr:cNvSpPr/>
      </xdr:nvSpPr>
      <xdr:spPr>
        <a:xfrm>
          <a:off x="10048875" y="547688"/>
          <a:ext cx="2452687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4) Click to Reset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Report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11</xdr:col>
      <xdr:colOff>583407</xdr:colOff>
      <xdr:row>0</xdr:row>
      <xdr:rowOff>45244</xdr:rowOff>
    </xdr:from>
    <xdr:to>
      <xdr:col>15</xdr:col>
      <xdr:colOff>438151</xdr:colOff>
      <xdr:row>2</xdr:row>
      <xdr:rowOff>80963</xdr:rowOff>
    </xdr:to>
    <xdr:sp macro="[0]!copy_report.copy_report" textlink="">
      <xdr:nvSpPr>
        <xdr:cNvPr id="26" name="Rectangle 25"/>
        <xdr:cNvSpPr/>
      </xdr:nvSpPr>
      <xdr:spPr>
        <a:xfrm>
          <a:off x="10048876" y="45244"/>
          <a:ext cx="2450306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3) Copy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Report to New Sheet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13</xdr:row>
      <xdr:rowOff>1</xdr:rowOff>
    </xdr:from>
    <xdr:to>
      <xdr:col>1</xdr:col>
      <xdr:colOff>1</xdr:colOff>
      <xdr:row>20</xdr:row>
      <xdr:rowOff>2</xdr:rowOff>
    </xdr:to>
    <xdr:grpSp>
      <xdr:nvGrpSpPr>
        <xdr:cNvPr id="28" name="Group 27"/>
        <xdr:cNvGrpSpPr/>
      </xdr:nvGrpSpPr>
      <xdr:grpSpPr>
        <a:xfrm>
          <a:off x="1440655" y="2397126"/>
          <a:ext cx="337346" cy="1301751"/>
          <a:chOff x="1428748" y="6369844"/>
          <a:chExt cx="259533" cy="1512094"/>
        </a:xfrm>
      </xdr:grpSpPr>
      <xdr:sp macro="" textlink="">
        <xdr:nvSpPr>
          <xdr:cNvPr id="29" name="Rectangle 28"/>
          <xdr:cNvSpPr/>
        </xdr:nvSpPr>
        <xdr:spPr>
          <a:xfrm>
            <a:off x="1428748" y="7229932"/>
            <a:ext cx="259532" cy="652006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 baseline="0">
                <a:solidFill>
                  <a:sysClr val="windowText" lastClr="000000"/>
                </a:solidFill>
              </a:rPr>
              <a:t> BH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1" y="6369844"/>
            <a:ext cx="259530" cy="846216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  FH*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95250</xdr:rowOff>
        </xdr:from>
        <xdr:to>
          <xdr:col>5</xdr:col>
          <xdr:colOff>146050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FH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527050</xdr:colOff>
          <xdr:row>3</xdr:row>
          <xdr:rowOff>6350</xdr:rowOff>
        </xdr:from>
        <xdr:to>
          <xdr:col>5</xdr:col>
          <xdr:colOff>1301750</xdr:colOff>
          <xdr:row>5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317500</xdr:colOff>
          <xdr:row>0</xdr:row>
          <xdr:rowOff>88900</xdr:rowOff>
        </xdr:from>
        <xdr:to>
          <xdr:col>7</xdr:col>
          <xdr:colOff>381000</xdr:colOff>
          <xdr:row>2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BH Import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website27_21" growShrinkType="overwriteClear" connectionId="20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27_20" growShrinkType="overwriteClear" connectionId="18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27_19" growShrinkType="overwriteClear" connectionId="16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27_18" growShrinkType="overwriteClear" connectionId="15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27_17" growShrinkType="overwriteClear" connectionId="12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27_16" growShrinkType="overwriteClear" connectionId="10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27_1" growShrinkType="overwriteClear" connectionId="21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27_8" growShrinkType="overwriteClear" connectionId="26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27_7" growShrinkType="overwriteClear" connectionId="25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27_12" growShrinkType="overwriteClear" connectionId="3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27_6" growShrinkType="overwriteClear" connectionId="23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27_2" growShrinkType="overwriteClear" connectionId="27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27_11" growShrinkType="overwriteClear" connectionId="1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ebsite27_5" growShrinkType="overwriteClear" connectionId="22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website27_10" growShrinkType="overwriteClear" connectionId="29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website27_15" growShrinkType="overwriteClear" connectionId="8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website27_4" growShrinkType="overwriteClear" connectionId="15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website27_14" growShrinkType="overwriteClear" connectionId="7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website27_3" growShrinkType="overwriteClear" connectionId="6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website27_9" growShrinkType="overwriteClear" connectionId="27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website27_13" growShrinkType="overwriteClear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website28_21" growShrinkType="overwriteClear" connectionId="20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website28_20" growShrinkType="overwriteClear" connectionId="18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website28_19" growShrinkType="overwriteClear" connectionId="17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website28_18" growShrinkType="overwriteClear" connectionId="15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website28_17" growShrinkType="overwriteClear" connectionId="12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website28_16" growShrinkType="overwriteClear" connectionId="10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website28_4" growShrinkType="overwriteClear" connectionId="18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website28_14" growShrinkType="overwriteClear" connectionId="7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website28_3" growShrinkType="overwriteClear" connectionId="9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website28_9" growShrinkType="overwriteClear" connectionId="28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website28_13" growShrinkType="overwriteClear" connectionId="5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website28_2" growShrinkType="overwriteClear" connectionId="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website28_8" growShrinkType="overwriteClear" connectionId="26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website28_1" growShrinkType="overwriteClear" connectionId="23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website28_7" growShrinkType="overwriteClear" connectionId="2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website28_12" growShrinkType="overwriteClear" connectionId="3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website28_6" growShrinkType="overwriteClear" connectionId="24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website28" growShrinkType="overwriteClear" connectionId="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website28_11" growShrinkType="overwriteClear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website28_5" growShrinkType="overwriteClear" connectionId="22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website28_10" growShrinkType="overwriteClear" connectionId="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website28_15" growShrinkType="overwriteClear" connectionId="9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website29_21" growShrinkType="overwriteClear" connectionId="21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website29_20" growShrinkType="overwriteClear" connectionId="19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website29_19" growShrinkType="overwriteClear" connectionId="17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website29_18" growShrinkType="overwriteClear" connectionId="1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website29_17" growShrinkType="overwriteClear" connectionId="13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website29_16" growShrinkType="overwriteClear" connectionId="1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website29_1" growShrinkType="overwriteClear" connectionId="24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website29_11" growShrinkType="overwriteClear" connectionId="2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website29_5" growShrinkType="overwriteClear" connectionId="2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website29_10" growShrinkType="overwriteClear" connectionId="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website29_15" growShrinkType="overwriteClear" connectionId="9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website29_4" growShrinkType="overwriteClear" connectionId="20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website29_14" growShrinkType="overwriteClear" connectionId="7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website29_3" growShrinkType="overwriteClear" connectionId="1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website29_9" growShrinkType="overwriteClear" connectionId="28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website29_13" growShrinkType="overwriteClear" connectionId="6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website29" growShrinkType="overwriteClear" connectionId="11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website29_8" growShrinkType="overwriteClear" connectionId="27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website29_2" growShrinkType="overwriteClear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website29_7" growShrinkType="overwriteClear" connectionId="25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website29_12" growShrinkType="overwriteClear" connectionId="4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website29_6" growShrinkType="overwriteClear" connectionId="24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website27_21" growShrinkType="overwriteClear" connectionId="20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website27_20" growShrinkType="overwriteClear" connectionId="18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website27_19" growShrinkType="overwriteClear" connectionId="16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website27_18" growShrinkType="overwriteClear" connectionId="1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website27_17" growShrinkType="overwriteClear" connectionId="14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website27_16" growShrinkType="overwriteClear" connectionId="12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website27_15" growShrinkType="overwriteClear" connectionId="104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website27_14" growShrinkType="overwriteClear" connectionId="8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website27_13" growShrinkType="overwriteClear" connectionId="6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website27_3" growShrinkType="overwriteClear" connectionId="22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website27_8" growShrinkType="overwriteClear" connectionId="27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website27_12" growShrinkType="overwriteClear" connectionId="5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website27" growShrinkType="overwriteClear" connectionId="2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website27_7" growShrinkType="overwriteClear" connectionId="26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website27_2" growShrinkType="overwriteClear" connectionId="147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website27_6" growShrinkType="overwriteClear" connectionId="25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website27_11" growShrinkType="overwriteClear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website27_5" growShrinkType="overwriteClear" connectionId="23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website27_1" growShrinkType="overwriteClear" connectionId="5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website27_10" growShrinkType="overwriteClear" connectionId="1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website27_4" growShrinkType="overwriteClear" connectionId="225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website27_9" firstBackgroundRefresh="1" growShrinkType="overwriteClear" connectionId="29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website28_21" growShrinkType="overwriteClear" connectionId="20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website28_20" growShrinkType="overwriteClear" connectionId="188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website28_19" growShrinkType="overwriteClear" connectionId="17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website28_18" growShrinkType="overwriteClear" connectionId="153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website28_17" growShrinkType="overwriteClear" connectionId="14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website28_16" growShrinkType="overwriteClear" connectionId="12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website28_15" growShrinkType="overwriteClear" connectionId="10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website28_5" growShrinkType="overwriteClear" connectionId="24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website28" growShrinkType="overwriteClear" connectionId="28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website28_10" growShrinkType="overwriteClear" connectionId="20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website28_4" growShrinkType="overwriteClear" connectionId="22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website28_9" firstBackgroundRefresh="1" growShrinkType="overwriteClear" connectionId="29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website28_14" growShrinkType="overwriteClear" connectionId="9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website28_13" growShrinkType="overwriteClear" connectionId="7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website28_3" growShrinkType="overwriteClear" connectionId="22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website28_8" growShrinkType="overwriteClear" connectionId="28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website28_12" growShrinkType="overwriteClear" connectionId="5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website28_2" growShrinkType="overwriteClear" connectionId="16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website28_7" growShrinkType="overwriteClear" connectionId="26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website28_1" growShrinkType="overwriteClear" connectionId="80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website28_6" firstBackgroundRefresh="1" growShrinkType="overwriteClear" connectionId="255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website28_11" growShrinkType="overwriteClear" connectionId="38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website29_21" growShrinkType="overwriteClear" connectionId="210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website29_20" growShrinkType="overwriteClear" connectionId="19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website29_19" growShrinkType="overwriteClear" connectionId="175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website29_18" growShrinkType="overwriteClear" connectionId="157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website29_17" growShrinkType="overwriteClear" connectionId="144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website29_16" growShrinkType="overwriteClear" connectionId="13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website29_15" growShrinkType="overwriteClear" connectionId="112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website29_1" growShrinkType="overwriteClear" connectionId="10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website29_7" growShrinkType="overwriteClear" connectionId="27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website29" growShrinkType="overwriteClear" connectionId="14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website29_6" firstBackgroundRefresh="1" growShrinkType="overwriteClear" connectionId="258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website29_11" growShrinkType="overwriteClear" connectionId="4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website29_5" growShrinkType="overwriteClear" connectionId="245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website29_2" growShrinkType="overwriteClear" connectionId="19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website29_10" growShrinkType="overwriteClear" connectionId="24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website29_4" growShrinkType="overwriteClear" connectionId="232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website29_9" firstBackgroundRefresh="1" growShrinkType="overwriteClear" connectionId="7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website29_14" growShrinkType="overwriteClear" connectionId="95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website29_13" growShrinkType="overwriteClear" connectionId="7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website29_3" growShrinkType="overwriteClear" connectionId="22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website29_8" growShrinkType="overwriteClear" connectionId="284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website29_12" growShrinkType="overwriteClear" connectionId="6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website30_21" growShrinkType="overwriteClear" connectionId="215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website30_20" growShrinkType="overwriteClear" connectionId="197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website30_19" growShrinkType="overwriteClear" connectionId="179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website30_18" growShrinkType="overwriteClear" connectionId="162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website30_17" growShrinkType="overwriteClear" connectionId="146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website30_16" growShrinkType="overwriteClear" connectionId="135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website30_15" growShrinkType="overwriteClear" connectionId="118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website30_14" growShrinkType="overwriteClear" connectionId="99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website30_13" growShrinkType="overwriteClear" connectionId="82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website30_3" growShrinkType="overwriteClear" connectionId="224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website30_8" growShrinkType="overwriteClear" connectionId="288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website30_12" growShrinkType="overwriteClear" connectionId="64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website30" growShrinkType="overwriteClear" connectionId="36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website30_7" growShrinkType="overwriteClear" connectionId="275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website30_2" growShrinkType="overwriteClear" connectionId="213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website30_6" firstBackgroundRefresh="1" growShrinkType="overwriteClear" connectionId="26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website30_11" growShrinkType="overwriteClear" connectionId="46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website30_5" growShrinkType="overwriteClear" connectionId="248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website30_1" growShrinkType="overwriteClear" connectionId="125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website30_10" growShrinkType="overwriteClear" connectionId="29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website30_4" growShrinkType="overwriteClear" connectionId="235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website30_9" firstBackgroundRefresh="1" growShrinkType="overwriteClear" connectionId="1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website30_20" growShrinkType="overwriteClear" connectionId="216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website30_19" growShrinkType="overwriteClear" connectionId="198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website30_18" growShrinkType="overwriteClear" connectionId="18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website30_17" growShrinkType="overwriteClear" connectionId="163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website30_16" growShrinkType="overwriteClear" connectionId="137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website30_15" growShrinkType="overwriteClear" connectionId="119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website30_5" growShrinkType="overwriteClear" connectionId="249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website30_2" growShrinkType="overwriteClear" connectionId="136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website30_10" growShrinkType="overwriteClear" connectionId="30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website30_4" growShrinkType="overwriteClear" connectionId="236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website30_9" growShrinkType="overwriteClear" connectionId="12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website30_14" growShrinkType="overwriteClear" connectionId="100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website30_13" growShrinkType="overwriteClear" connectionId="83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website30_1" growShrinkType="overwriteClear" connectionId="47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website30_8" growShrinkType="overwriteClear" connectionId="289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website30_12" growShrinkType="overwriteClear" connectionId="65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website30" growShrinkType="overwriteClear" connectionId="252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website30_7" growShrinkType="overwriteClear" connectionId="276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website30_3" growShrinkType="overwriteClear" connectionId="220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website30_6" growShrinkType="overwriteClear" connectionId="26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website30_11" growShrinkType="overwriteClear" connectionId="48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website27_16" growShrinkType="overwriteClear" connectionId="204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website27_15" growShrinkType="overwriteClear" connectionId="186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website27_14" growShrinkType="overwriteClear" connectionId="168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website27_13" growShrinkType="overwriteClear" connectionId="15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website27_12" growShrinkType="overwriteClear" connectionId="124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website27_11" growShrinkType="overwriteClear" connectionId="106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website27_3" growShrinkType="overwriteClear" connectionId="267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website27_2" growShrinkType="overwriteClear" connectionId="254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website27_7" growShrinkType="overwriteClear" connectionId="35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website27_1" growShrinkType="overwriteClear" connectionId="240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website27_6" growShrinkType="overwriteClear" connectionId="18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website27" growShrinkType="overwriteClear" connectionId="227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website27_5" growShrinkType="overwriteClear" connectionId="293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website27_10" growShrinkType="overwriteClear" connectionId="88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website27_9" growShrinkType="overwriteClear" connectionId="7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website27_4" growShrinkType="overwriteClear" connectionId="280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website27_8" growShrinkType="overwriteClear" connectionId="53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website28_16" growShrinkType="overwriteClear" connectionId="208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website28_15" growShrinkType="overwriteClear" connectionId="190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website28_14" growShrinkType="overwriteClear" connectionId="173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website28_13" growShrinkType="overwriteClear" connectionId="155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website28_12" growShrinkType="overwriteClear" connectionId="129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website28_11" growShrinkType="overwriteClear" connectionId="110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website28_5" firstBackgroundRefresh="1" growShrinkType="overwriteClear" connectionId="5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website28_10" growShrinkType="overwriteClear" connectionId="93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website28_9" growShrinkType="overwriteClear" connectionId="75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website28_4" growShrinkType="overwriteClear" connectionId="283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website28_8" growShrinkType="overwriteClear" connectionId="57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website28_3" growShrinkType="overwriteClear" connectionId="270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website28_2" firstBackgroundRefresh="1" growShrinkType="overwriteClear" connectionId="257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website28_7" growShrinkType="overwriteClear" connectionId="40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website28_1" growShrinkType="overwriteClear" connectionId="244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website28_6" growShrinkType="overwriteClear" connectionId="22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website28" growShrinkType="overwriteClear" connectionId="231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website29_16" growShrinkType="overwriteClear" connectionId="21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website29_15" growShrinkType="overwriteClear" connectionId="195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website29_14" growShrinkType="overwriteClear" connectionId="177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website29_13" growShrinkType="overwriteClear" connectionId="160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website29_12" growShrinkType="overwriteClear" connectionId="133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website29_11" growShrinkType="overwriteClear" connectionId="116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website29_2" firstBackgroundRefresh="1" growShrinkType="overwriteClear" connectionId="260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website29_7" growShrinkType="overwriteClear" connectionId="44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website29_1" growShrinkType="overwriteClear" connectionId="247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website29_6" growShrinkType="overwriteClear" connectionId="27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website29" growShrinkType="overwriteClear" connectionId="234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website29_5" firstBackgroundRefresh="1" growShrinkType="overwriteClear" connectionId="9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website29_10" growShrinkType="overwriteClear" connectionId="97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website29_9" growShrinkType="overwriteClear" connectionId="79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website29_4" growShrinkType="overwriteClear" connectionId="287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website29_8" growShrinkType="overwriteClear" connectionId="62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website29_3" growShrinkType="overwriteClear" connectionId="273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website30_16" growShrinkType="overwriteClear" connectionId="217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website30_15" growShrinkType="overwriteClear" connectionId="199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website30_14" growShrinkType="overwriteClear" connectionId="182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website30_13" growShrinkType="overwriteClear" connectionId="164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website30_12" growShrinkType="overwriteClear" connectionId="138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website30_11" growShrinkType="overwriteClear" connectionId="120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website30_10" growShrinkType="overwriteClear" connectionId="101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website30_9" growShrinkType="overwriteClear" connectionId="84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website30_4" growShrinkType="overwriteClear" connectionId="290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website30_8" growShrinkType="overwriteClear" connectionId="66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website30_3" growShrinkType="overwriteClear" connectionId="277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website30_2" firstBackgroundRefresh="1" growShrinkType="overwriteClear" connectionId="264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website30_7" growShrinkType="overwriteClear" connectionId="49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website30_1" growShrinkType="overwriteClear" connectionId="250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website30_6" growShrinkType="overwriteClear" connectionId="31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website30" growShrinkType="overwriteClear" connectionId="237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website30_5" firstBackgroundRefresh="1" growShrinkType="overwriteClear" connectionId="13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website27_12" growShrinkType="overwriteClear" connectionId="205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website27_11" growShrinkType="overwriteClear" connectionId="187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website27_10" growShrinkType="overwriteClear" connectionId="170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website27_9" growShrinkType="overwriteClear" connectionId="15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website27_8" growShrinkType="overwriteClear" connectionId="14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website27_7" growShrinkType="overwriteClear" connectionId="126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website27_6" growShrinkType="overwriteClear" connectionId="107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website27" firstBackgroundRefresh="1" growShrinkType="overwriteClear" connectionId="294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website27_5" growShrinkType="overwriteClear" connectionId="89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website27_4" growShrinkType="overwriteClear" connectionId="72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website27_3" firstBackgroundRefresh="1" growShrinkType="overwriteClear" connectionId="54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website27_2" growShrinkType="overwriteClear" connectionId="37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website27_1" growShrinkType="overwriteClear" connectionId="19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website28_12" growShrinkType="overwriteClear" connectionId="209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website28_11" growShrinkType="overwriteClear" connectionId="192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website28_10" growShrinkType="overwriteClear" connectionId="174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website28_9" growShrinkType="overwriteClear" connectionId="156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website28_8" growShrinkType="overwriteClear" connectionId="143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website28_7" growShrinkType="overwriteClear" connectionId="130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website28_6" growShrinkType="overwriteClear" connectionId="111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website28_3" firstBackgroundRefresh="1" growShrinkType="overwriteClear" connectionId="59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website28_2" growShrinkType="overwriteClear" connectionId="41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website28_1" growShrinkType="overwriteClear" connectionId="23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website28_5" growShrinkType="overwriteClear" connectionId="94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website28" firstBackgroundRefresh="1" growShrinkType="overwriteClear" connectionId="6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website28_4" growShrinkType="overwriteClear" connectionId="76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website29_12" growShrinkType="overwriteClear" connectionId="214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website29_11" growShrinkType="overwriteClear" connectionId="196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website29_10" growShrinkType="overwriteClear" connectionId="178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website29_9" growShrinkType="overwriteClear" connectionId="161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website29_8" growShrinkType="overwriteClear" connectionId="145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website29_7" growShrinkType="overwriteClear" connectionId="134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website29_6" growShrinkType="overwriteClear" connectionId="117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website29_4" growShrinkType="overwriteClear" connectionId="81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website29_3" firstBackgroundRefresh="1" growShrinkType="overwriteClear" connectionId="63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website29_2" growShrinkType="overwriteClear" connectionId="45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website29_1" growShrinkType="overwriteClear" connectionId="28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website29" firstBackgroundRefresh="1" growShrinkType="overwriteClear" connectionId="10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website29_5" growShrinkType="overwriteClear" connectionId="98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website30_12" growShrinkType="overwriteClear" connectionId="218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website30_11" growShrinkType="overwriteClear" connectionId="200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website30_10" growShrinkType="overwriteClear" connectionId="183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website30_9" growShrinkType="overwriteClear" connectionId="165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website30_8" growShrinkType="overwriteClear" connectionId="148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website30_7" growShrinkType="overwriteClear" connectionId="139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website30_6" growShrinkType="overwriteClear" connectionId="121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website30_3" firstBackgroundRefresh="1" growShrinkType="overwriteClear" connectionId="67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website30_2" growShrinkType="overwriteClear" connectionId="50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website30_1" growShrinkType="overwriteClear" connectionId="32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website30" firstBackgroundRefresh="1" growShrinkType="overwriteClear" connectionId="15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website30_5" growShrinkType="overwriteClear" connectionId="103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website30_4" growShrinkType="overwriteClear" connectionId="8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0.xml"/><Relationship Id="rId13" Type="http://schemas.openxmlformats.org/officeDocument/2006/relationships/queryTable" Target="../queryTables/queryTable35.xml"/><Relationship Id="rId18" Type="http://schemas.openxmlformats.org/officeDocument/2006/relationships/queryTable" Target="../queryTables/queryTable40.xml"/><Relationship Id="rId3" Type="http://schemas.openxmlformats.org/officeDocument/2006/relationships/queryTable" Target="../queryTables/queryTable25.xml"/><Relationship Id="rId21" Type="http://schemas.openxmlformats.org/officeDocument/2006/relationships/queryTable" Target="../queryTables/queryTable43.xml"/><Relationship Id="rId7" Type="http://schemas.openxmlformats.org/officeDocument/2006/relationships/queryTable" Target="../queryTables/queryTable29.xml"/><Relationship Id="rId12" Type="http://schemas.openxmlformats.org/officeDocument/2006/relationships/queryTable" Target="../queryTables/queryTable34.xml"/><Relationship Id="rId17" Type="http://schemas.openxmlformats.org/officeDocument/2006/relationships/queryTable" Target="../queryTables/queryTable39.xml"/><Relationship Id="rId2" Type="http://schemas.openxmlformats.org/officeDocument/2006/relationships/queryTable" Target="../queryTables/queryTable24.xml"/><Relationship Id="rId16" Type="http://schemas.openxmlformats.org/officeDocument/2006/relationships/queryTable" Target="../queryTables/queryTable38.xml"/><Relationship Id="rId20" Type="http://schemas.openxmlformats.org/officeDocument/2006/relationships/queryTable" Target="../queryTables/queryTable42.xml"/><Relationship Id="rId1" Type="http://schemas.openxmlformats.org/officeDocument/2006/relationships/queryTable" Target="../queryTables/queryTable23.xml"/><Relationship Id="rId6" Type="http://schemas.openxmlformats.org/officeDocument/2006/relationships/queryTable" Target="../queryTables/queryTable28.xml"/><Relationship Id="rId11" Type="http://schemas.openxmlformats.org/officeDocument/2006/relationships/queryTable" Target="../queryTables/queryTable33.xml"/><Relationship Id="rId5" Type="http://schemas.openxmlformats.org/officeDocument/2006/relationships/queryTable" Target="../queryTables/queryTable27.xml"/><Relationship Id="rId15" Type="http://schemas.openxmlformats.org/officeDocument/2006/relationships/queryTable" Target="../queryTables/queryTable37.xml"/><Relationship Id="rId10" Type="http://schemas.openxmlformats.org/officeDocument/2006/relationships/queryTable" Target="../queryTables/queryTable32.xml"/><Relationship Id="rId19" Type="http://schemas.openxmlformats.org/officeDocument/2006/relationships/queryTable" Target="../queryTables/queryTable41.xml"/><Relationship Id="rId4" Type="http://schemas.openxmlformats.org/officeDocument/2006/relationships/queryTable" Target="../queryTables/queryTable26.xml"/><Relationship Id="rId9" Type="http://schemas.openxmlformats.org/officeDocument/2006/relationships/queryTable" Target="../queryTables/queryTable31.xml"/><Relationship Id="rId14" Type="http://schemas.openxmlformats.org/officeDocument/2006/relationships/queryTable" Target="../queryTables/queryTable36.xml"/><Relationship Id="rId22" Type="http://schemas.openxmlformats.org/officeDocument/2006/relationships/queryTable" Target="../queryTables/queryTable4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2.xml"/><Relationship Id="rId13" Type="http://schemas.openxmlformats.org/officeDocument/2006/relationships/queryTable" Target="../queryTables/queryTable57.xml"/><Relationship Id="rId18" Type="http://schemas.openxmlformats.org/officeDocument/2006/relationships/queryTable" Target="../queryTables/queryTable62.xml"/><Relationship Id="rId3" Type="http://schemas.openxmlformats.org/officeDocument/2006/relationships/queryTable" Target="../queryTables/queryTable47.xml"/><Relationship Id="rId21" Type="http://schemas.openxmlformats.org/officeDocument/2006/relationships/queryTable" Target="../queryTables/queryTable65.xml"/><Relationship Id="rId7" Type="http://schemas.openxmlformats.org/officeDocument/2006/relationships/queryTable" Target="../queryTables/queryTable51.xml"/><Relationship Id="rId12" Type="http://schemas.openxmlformats.org/officeDocument/2006/relationships/queryTable" Target="../queryTables/queryTable56.xml"/><Relationship Id="rId17" Type="http://schemas.openxmlformats.org/officeDocument/2006/relationships/queryTable" Target="../queryTables/queryTable61.xml"/><Relationship Id="rId2" Type="http://schemas.openxmlformats.org/officeDocument/2006/relationships/queryTable" Target="../queryTables/queryTable46.xml"/><Relationship Id="rId16" Type="http://schemas.openxmlformats.org/officeDocument/2006/relationships/queryTable" Target="../queryTables/queryTable60.xml"/><Relationship Id="rId20" Type="http://schemas.openxmlformats.org/officeDocument/2006/relationships/queryTable" Target="../queryTables/queryTable64.xml"/><Relationship Id="rId1" Type="http://schemas.openxmlformats.org/officeDocument/2006/relationships/queryTable" Target="../queryTables/queryTable45.xml"/><Relationship Id="rId6" Type="http://schemas.openxmlformats.org/officeDocument/2006/relationships/queryTable" Target="../queryTables/queryTable50.xml"/><Relationship Id="rId11" Type="http://schemas.openxmlformats.org/officeDocument/2006/relationships/queryTable" Target="../queryTables/queryTable55.xml"/><Relationship Id="rId5" Type="http://schemas.openxmlformats.org/officeDocument/2006/relationships/queryTable" Target="../queryTables/queryTable49.xml"/><Relationship Id="rId15" Type="http://schemas.openxmlformats.org/officeDocument/2006/relationships/queryTable" Target="../queryTables/queryTable59.xml"/><Relationship Id="rId10" Type="http://schemas.openxmlformats.org/officeDocument/2006/relationships/queryTable" Target="../queryTables/queryTable54.xml"/><Relationship Id="rId19" Type="http://schemas.openxmlformats.org/officeDocument/2006/relationships/queryTable" Target="../queryTables/queryTable63.xml"/><Relationship Id="rId4" Type="http://schemas.openxmlformats.org/officeDocument/2006/relationships/queryTable" Target="../queryTables/queryTable48.xml"/><Relationship Id="rId9" Type="http://schemas.openxmlformats.org/officeDocument/2006/relationships/queryTable" Target="../queryTables/queryTable53.xml"/><Relationship Id="rId14" Type="http://schemas.openxmlformats.org/officeDocument/2006/relationships/queryTable" Target="../queryTables/queryTable58.xml"/><Relationship Id="rId22" Type="http://schemas.openxmlformats.org/officeDocument/2006/relationships/queryTable" Target="../queryTables/queryTable66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4.xml"/><Relationship Id="rId13" Type="http://schemas.openxmlformats.org/officeDocument/2006/relationships/queryTable" Target="../queryTables/queryTable79.xml"/><Relationship Id="rId18" Type="http://schemas.openxmlformats.org/officeDocument/2006/relationships/queryTable" Target="../queryTables/queryTable84.xml"/><Relationship Id="rId3" Type="http://schemas.openxmlformats.org/officeDocument/2006/relationships/queryTable" Target="../queryTables/queryTable69.xml"/><Relationship Id="rId21" Type="http://schemas.openxmlformats.org/officeDocument/2006/relationships/queryTable" Target="../queryTables/queryTable87.xml"/><Relationship Id="rId7" Type="http://schemas.openxmlformats.org/officeDocument/2006/relationships/queryTable" Target="../queryTables/queryTable73.xml"/><Relationship Id="rId12" Type="http://schemas.openxmlformats.org/officeDocument/2006/relationships/queryTable" Target="../queryTables/queryTable78.xml"/><Relationship Id="rId17" Type="http://schemas.openxmlformats.org/officeDocument/2006/relationships/queryTable" Target="../queryTables/queryTable83.xml"/><Relationship Id="rId2" Type="http://schemas.openxmlformats.org/officeDocument/2006/relationships/queryTable" Target="../queryTables/queryTable68.xml"/><Relationship Id="rId16" Type="http://schemas.openxmlformats.org/officeDocument/2006/relationships/queryTable" Target="../queryTables/queryTable82.xml"/><Relationship Id="rId20" Type="http://schemas.openxmlformats.org/officeDocument/2006/relationships/queryTable" Target="../queryTables/queryTable86.xml"/><Relationship Id="rId1" Type="http://schemas.openxmlformats.org/officeDocument/2006/relationships/queryTable" Target="../queryTables/queryTable67.xml"/><Relationship Id="rId6" Type="http://schemas.openxmlformats.org/officeDocument/2006/relationships/queryTable" Target="../queryTables/queryTable72.xml"/><Relationship Id="rId11" Type="http://schemas.openxmlformats.org/officeDocument/2006/relationships/queryTable" Target="../queryTables/queryTable77.xml"/><Relationship Id="rId5" Type="http://schemas.openxmlformats.org/officeDocument/2006/relationships/queryTable" Target="../queryTables/queryTable71.xml"/><Relationship Id="rId15" Type="http://schemas.openxmlformats.org/officeDocument/2006/relationships/queryTable" Target="../queryTables/queryTable81.xml"/><Relationship Id="rId10" Type="http://schemas.openxmlformats.org/officeDocument/2006/relationships/queryTable" Target="../queryTables/queryTable76.xml"/><Relationship Id="rId19" Type="http://schemas.openxmlformats.org/officeDocument/2006/relationships/queryTable" Target="../queryTables/queryTable85.xml"/><Relationship Id="rId4" Type="http://schemas.openxmlformats.org/officeDocument/2006/relationships/queryTable" Target="../queryTables/queryTable70.xml"/><Relationship Id="rId9" Type="http://schemas.openxmlformats.org/officeDocument/2006/relationships/queryTable" Target="../queryTables/queryTable75.xml"/><Relationship Id="rId14" Type="http://schemas.openxmlformats.org/officeDocument/2006/relationships/queryTable" Target="../queryTables/queryTable80.xml"/><Relationship Id="rId22" Type="http://schemas.openxmlformats.org/officeDocument/2006/relationships/queryTable" Target="../queryTables/queryTable8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6.xml"/><Relationship Id="rId13" Type="http://schemas.openxmlformats.org/officeDocument/2006/relationships/queryTable" Target="../queryTables/queryTable101.xml"/><Relationship Id="rId18" Type="http://schemas.openxmlformats.org/officeDocument/2006/relationships/queryTable" Target="../queryTables/queryTable106.xml"/><Relationship Id="rId3" Type="http://schemas.openxmlformats.org/officeDocument/2006/relationships/queryTable" Target="../queryTables/queryTable91.xml"/><Relationship Id="rId21" Type="http://schemas.openxmlformats.org/officeDocument/2006/relationships/queryTable" Target="../queryTables/queryTable109.xml"/><Relationship Id="rId7" Type="http://schemas.openxmlformats.org/officeDocument/2006/relationships/queryTable" Target="../queryTables/queryTable95.xml"/><Relationship Id="rId12" Type="http://schemas.openxmlformats.org/officeDocument/2006/relationships/queryTable" Target="../queryTables/queryTable100.xml"/><Relationship Id="rId17" Type="http://schemas.openxmlformats.org/officeDocument/2006/relationships/queryTable" Target="../queryTables/queryTable105.xml"/><Relationship Id="rId2" Type="http://schemas.openxmlformats.org/officeDocument/2006/relationships/queryTable" Target="../queryTables/queryTable90.xml"/><Relationship Id="rId16" Type="http://schemas.openxmlformats.org/officeDocument/2006/relationships/queryTable" Target="../queryTables/queryTable104.xml"/><Relationship Id="rId20" Type="http://schemas.openxmlformats.org/officeDocument/2006/relationships/queryTable" Target="../queryTables/queryTable108.xml"/><Relationship Id="rId1" Type="http://schemas.openxmlformats.org/officeDocument/2006/relationships/queryTable" Target="../queryTables/queryTable89.xml"/><Relationship Id="rId6" Type="http://schemas.openxmlformats.org/officeDocument/2006/relationships/queryTable" Target="../queryTables/queryTable94.xml"/><Relationship Id="rId11" Type="http://schemas.openxmlformats.org/officeDocument/2006/relationships/queryTable" Target="../queryTables/queryTable99.xml"/><Relationship Id="rId5" Type="http://schemas.openxmlformats.org/officeDocument/2006/relationships/queryTable" Target="../queryTables/queryTable93.xml"/><Relationship Id="rId15" Type="http://schemas.openxmlformats.org/officeDocument/2006/relationships/queryTable" Target="../queryTables/queryTable103.xml"/><Relationship Id="rId10" Type="http://schemas.openxmlformats.org/officeDocument/2006/relationships/queryTable" Target="../queryTables/queryTable98.xml"/><Relationship Id="rId19" Type="http://schemas.openxmlformats.org/officeDocument/2006/relationships/queryTable" Target="../queryTables/queryTable107.xml"/><Relationship Id="rId4" Type="http://schemas.openxmlformats.org/officeDocument/2006/relationships/queryTable" Target="../queryTables/queryTable92.xml"/><Relationship Id="rId9" Type="http://schemas.openxmlformats.org/officeDocument/2006/relationships/queryTable" Target="../queryTables/queryTable97.xml"/><Relationship Id="rId14" Type="http://schemas.openxmlformats.org/officeDocument/2006/relationships/queryTable" Target="../queryTables/queryTable102.xml"/><Relationship Id="rId22" Type="http://schemas.openxmlformats.org/officeDocument/2006/relationships/queryTable" Target="../queryTables/queryTable110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8.xml"/><Relationship Id="rId13" Type="http://schemas.openxmlformats.org/officeDocument/2006/relationships/queryTable" Target="../queryTables/queryTable123.xml"/><Relationship Id="rId18" Type="http://schemas.openxmlformats.org/officeDocument/2006/relationships/queryTable" Target="../queryTables/queryTable128.xml"/><Relationship Id="rId3" Type="http://schemas.openxmlformats.org/officeDocument/2006/relationships/queryTable" Target="../queryTables/queryTable113.xml"/><Relationship Id="rId21" Type="http://schemas.openxmlformats.org/officeDocument/2006/relationships/queryTable" Target="../queryTables/queryTable131.xml"/><Relationship Id="rId7" Type="http://schemas.openxmlformats.org/officeDocument/2006/relationships/queryTable" Target="../queryTables/queryTable117.xml"/><Relationship Id="rId12" Type="http://schemas.openxmlformats.org/officeDocument/2006/relationships/queryTable" Target="../queryTables/queryTable122.xml"/><Relationship Id="rId17" Type="http://schemas.openxmlformats.org/officeDocument/2006/relationships/queryTable" Target="../queryTables/queryTable127.xml"/><Relationship Id="rId2" Type="http://schemas.openxmlformats.org/officeDocument/2006/relationships/queryTable" Target="../queryTables/queryTable112.xml"/><Relationship Id="rId16" Type="http://schemas.openxmlformats.org/officeDocument/2006/relationships/queryTable" Target="../queryTables/queryTable126.xml"/><Relationship Id="rId20" Type="http://schemas.openxmlformats.org/officeDocument/2006/relationships/queryTable" Target="../queryTables/queryTable130.xml"/><Relationship Id="rId1" Type="http://schemas.openxmlformats.org/officeDocument/2006/relationships/queryTable" Target="../queryTables/queryTable111.xml"/><Relationship Id="rId6" Type="http://schemas.openxmlformats.org/officeDocument/2006/relationships/queryTable" Target="../queryTables/queryTable116.xml"/><Relationship Id="rId11" Type="http://schemas.openxmlformats.org/officeDocument/2006/relationships/queryTable" Target="../queryTables/queryTable121.xml"/><Relationship Id="rId5" Type="http://schemas.openxmlformats.org/officeDocument/2006/relationships/queryTable" Target="../queryTables/queryTable115.xml"/><Relationship Id="rId15" Type="http://schemas.openxmlformats.org/officeDocument/2006/relationships/queryTable" Target="../queryTables/queryTable125.xml"/><Relationship Id="rId10" Type="http://schemas.openxmlformats.org/officeDocument/2006/relationships/queryTable" Target="../queryTables/queryTable120.xml"/><Relationship Id="rId19" Type="http://schemas.openxmlformats.org/officeDocument/2006/relationships/queryTable" Target="../queryTables/queryTable129.xml"/><Relationship Id="rId4" Type="http://schemas.openxmlformats.org/officeDocument/2006/relationships/queryTable" Target="../queryTables/queryTable114.xml"/><Relationship Id="rId9" Type="http://schemas.openxmlformats.org/officeDocument/2006/relationships/queryTable" Target="../queryTables/queryTable119.xml"/><Relationship Id="rId14" Type="http://schemas.openxmlformats.org/officeDocument/2006/relationships/queryTable" Target="../queryTables/queryTable124.xml"/><Relationship Id="rId22" Type="http://schemas.openxmlformats.org/officeDocument/2006/relationships/queryTable" Target="../queryTables/queryTable132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40.xml"/><Relationship Id="rId13" Type="http://schemas.openxmlformats.org/officeDocument/2006/relationships/queryTable" Target="../queryTables/queryTable145.xml"/><Relationship Id="rId18" Type="http://schemas.openxmlformats.org/officeDocument/2006/relationships/queryTable" Target="../queryTables/queryTable150.xml"/><Relationship Id="rId3" Type="http://schemas.openxmlformats.org/officeDocument/2006/relationships/queryTable" Target="../queryTables/queryTable135.xml"/><Relationship Id="rId21" Type="http://schemas.openxmlformats.org/officeDocument/2006/relationships/queryTable" Target="../queryTables/queryTable153.xml"/><Relationship Id="rId7" Type="http://schemas.openxmlformats.org/officeDocument/2006/relationships/queryTable" Target="../queryTables/queryTable139.xml"/><Relationship Id="rId12" Type="http://schemas.openxmlformats.org/officeDocument/2006/relationships/queryTable" Target="../queryTables/queryTable144.xml"/><Relationship Id="rId17" Type="http://schemas.openxmlformats.org/officeDocument/2006/relationships/queryTable" Target="../queryTables/queryTable149.xml"/><Relationship Id="rId2" Type="http://schemas.openxmlformats.org/officeDocument/2006/relationships/queryTable" Target="../queryTables/queryTable134.xml"/><Relationship Id="rId16" Type="http://schemas.openxmlformats.org/officeDocument/2006/relationships/queryTable" Target="../queryTables/queryTable148.xml"/><Relationship Id="rId20" Type="http://schemas.openxmlformats.org/officeDocument/2006/relationships/queryTable" Target="../queryTables/queryTable152.xml"/><Relationship Id="rId1" Type="http://schemas.openxmlformats.org/officeDocument/2006/relationships/queryTable" Target="../queryTables/queryTable133.xml"/><Relationship Id="rId6" Type="http://schemas.openxmlformats.org/officeDocument/2006/relationships/queryTable" Target="../queryTables/queryTable138.xml"/><Relationship Id="rId11" Type="http://schemas.openxmlformats.org/officeDocument/2006/relationships/queryTable" Target="../queryTables/queryTable143.xml"/><Relationship Id="rId5" Type="http://schemas.openxmlformats.org/officeDocument/2006/relationships/queryTable" Target="../queryTables/queryTable137.xml"/><Relationship Id="rId15" Type="http://schemas.openxmlformats.org/officeDocument/2006/relationships/queryTable" Target="../queryTables/queryTable147.xml"/><Relationship Id="rId10" Type="http://schemas.openxmlformats.org/officeDocument/2006/relationships/queryTable" Target="../queryTables/queryTable142.xml"/><Relationship Id="rId19" Type="http://schemas.openxmlformats.org/officeDocument/2006/relationships/queryTable" Target="../queryTables/queryTable151.xml"/><Relationship Id="rId4" Type="http://schemas.openxmlformats.org/officeDocument/2006/relationships/queryTable" Target="../queryTables/queryTable136.xml"/><Relationship Id="rId9" Type="http://schemas.openxmlformats.org/officeDocument/2006/relationships/queryTable" Target="../queryTables/queryTable141.xml"/><Relationship Id="rId14" Type="http://schemas.openxmlformats.org/officeDocument/2006/relationships/queryTable" Target="../queryTables/queryTable146.xml"/><Relationship Id="rId22" Type="http://schemas.openxmlformats.org/officeDocument/2006/relationships/queryTable" Target="../queryTables/queryTable154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2.xml"/><Relationship Id="rId13" Type="http://schemas.openxmlformats.org/officeDocument/2006/relationships/queryTable" Target="../queryTables/queryTable167.xml"/><Relationship Id="rId18" Type="http://schemas.openxmlformats.org/officeDocument/2006/relationships/queryTable" Target="../queryTables/queryTable172.xml"/><Relationship Id="rId3" Type="http://schemas.openxmlformats.org/officeDocument/2006/relationships/queryTable" Target="../queryTables/queryTable157.xml"/><Relationship Id="rId21" Type="http://schemas.openxmlformats.org/officeDocument/2006/relationships/queryTable" Target="../queryTables/queryTable175.xml"/><Relationship Id="rId7" Type="http://schemas.openxmlformats.org/officeDocument/2006/relationships/queryTable" Target="../queryTables/queryTable161.xml"/><Relationship Id="rId12" Type="http://schemas.openxmlformats.org/officeDocument/2006/relationships/queryTable" Target="../queryTables/queryTable166.xml"/><Relationship Id="rId17" Type="http://schemas.openxmlformats.org/officeDocument/2006/relationships/queryTable" Target="../queryTables/queryTable171.xml"/><Relationship Id="rId2" Type="http://schemas.openxmlformats.org/officeDocument/2006/relationships/queryTable" Target="../queryTables/queryTable156.xml"/><Relationship Id="rId16" Type="http://schemas.openxmlformats.org/officeDocument/2006/relationships/queryTable" Target="../queryTables/queryTable170.xml"/><Relationship Id="rId20" Type="http://schemas.openxmlformats.org/officeDocument/2006/relationships/queryTable" Target="../queryTables/queryTable174.xml"/><Relationship Id="rId1" Type="http://schemas.openxmlformats.org/officeDocument/2006/relationships/queryTable" Target="../queryTables/queryTable155.xml"/><Relationship Id="rId6" Type="http://schemas.openxmlformats.org/officeDocument/2006/relationships/queryTable" Target="../queryTables/queryTable160.xml"/><Relationship Id="rId11" Type="http://schemas.openxmlformats.org/officeDocument/2006/relationships/queryTable" Target="../queryTables/queryTable165.xml"/><Relationship Id="rId5" Type="http://schemas.openxmlformats.org/officeDocument/2006/relationships/queryTable" Target="../queryTables/queryTable159.xml"/><Relationship Id="rId15" Type="http://schemas.openxmlformats.org/officeDocument/2006/relationships/queryTable" Target="../queryTables/queryTable169.xml"/><Relationship Id="rId10" Type="http://schemas.openxmlformats.org/officeDocument/2006/relationships/queryTable" Target="../queryTables/queryTable164.xml"/><Relationship Id="rId19" Type="http://schemas.openxmlformats.org/officeDocument/2006/relationships/queryTable" Target="../queryTables/queryTable173.xml"/><Relationship Id="rId4" Type="http://schemas.openxmlformats.org/officeDocument/2006/relationships/queryTable" Target="../queryTables/queryTable158.xml"/><Relationship Id="rId9" Type="http://schemas.openxmlformats.org/officeDocument/2006/relationships/queryTable" Target="../queryTables/queryTable163.xml"/><Relationship Id="rId14" Type="http://schemas.openxmlformats.org/officeDocument/2006/relationships/queryTable" Target="../queryTables/queryTable168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83.xml"/><Relationship Id="rId13" Type="http://schemas.openxmlformats.org/officeDocument/2006/relationships/queryTable" Target="../queryTables/queryTable188.xml"/><Relationship Id="rId3" Type="http://schemas.openxmlformats.org/officeDocument/2006/relationships/queryTable" Target="../queryTables/queryTable178.xml"/><Relationship Id="rId7" Type="http://schemas.openxmlformats.org/officeDocument/2006/relationships/queryTable" Target="../queryTables/queryTable182.xml"/><Relationship Id="rId12" Type="http://schemas.openxmlformats.org/officeDocument/2006/relationships/queryTable" Target="../queryTables/queryTable187.xml"/><Relationship Id="rId17" Type="http://schemas.openxmlformats.org/officeDocument/2006/relationships/queryTable" Target="../queryTables/queryTable192.xml"/><Relationship Id="rId2" Type="http://schemas.openxmlformats.org/officeDocument/2006/relationships/queryTable" Target="../queryTables/queryTable177.xml"/><Relationship Id="rId16" Type="http://schemas.openxmlformats.org/officeDocument/2006/relationships/queryTable" Target="../queryTables/queryTable191.xml"/><Relationship Id="rId1" Type="http://schemas.openxmlformats.org/officeDocument/2006/relationships/queryTable" Target="../queryTables/queryTable176.xml"/><Relationship Id="rId6" Type="http://schemas.openxmlformats.org/officeDocument/2006/relationships/queryTable" Target="../queryTables/queryTable181.xml"/><Relationship Id="rId11" Type="http://schemas.openxmlformats.org/officeDocument/2006/relationships/queryTable" Target="../queryTables/queryTable186.xml"/><Relationship Id="rId5" Type="http://schemas.openxmlformats.org/officeDocument/2006/relationships/queryTable" Target="../queryTables/queryTable180.xml"/><Relationship Id="rId15" Type="http://schemas.openxmlformats.org/officeDocument/2006/relationships/queryTable" Target="../queryTables/queryTable190.xml"/><Relationship Id="rId10" Type="http://schemas.openxmlformats.org/officeDocument/2006/relationships/queryTable" Target="../queryTables/queryTable185.xml"/><Relationship Id="rId4" Type="http://schemas.openxmlformats.org/officeDocument/2006/relationships/queryTable" Target="../queryTables/queryTable179.xml"/><Relationship Id="rId9" Type="http://schemas.openxmlformats.org/officeDocument/2006/relationships/queryTable" Target="../queryTables/queryTable184.xml"/><Relationship Id="rId14" Type="http://schemas.openxmlformats.org/officeDocument/2006/relationships/queryTable" Target="../queryTables/queryTable189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00.xml"/><Relationship Id="rId13" Type="http://schemas.openxmlformats.org/officeDocument/2006/relationships/queryTable" Target="../queryTables/queryTable205.xml"/><Relationship Id="rId3" Type="http://schemas.openxmlformats.org/officeDocument/2006/relationships/queryTable" Target="../queryTables/queryTable195.xml"/><Relationship Id="rId7" Type="http://schemas.openxmlformats.org/officeDocument/2006/relationships/queryTable" Target="../queryTables/queryTable199.xml"/><Relationship Id="rId12" Type="http://schemas.openxmlformats.org/officeDocument/2006/relationships/queryTable" Target="../queryTables/queryTable204.xml"/><Relationship Id="rId17" Type="http://schemas.openxmlformats.org/officeDocument/2006/relationships/queryTable" Target="../queryTables/queryTable209.xml"/><Relationship Id="rId2" Type="http://schemas.openxmlformats.org/officeDocument/2006/relationships/queryTable" Target="../queryTables/queryTable194.xml"/><Relationship Id="rId16" Type="http://schemas.openxmlformats.org/officeDocument/2006/relationships/queryTable" Target="../queryTables/queryTable208.xml"/><Relationship Id="rId1" Type="http://schemas.openxmlformats.org/officeDocument/2006/relationships/queryTable" Target="../queryTables/queryTable193.xml"/><Relationship Id="rId6" Type="http://schemas.openxmlformats.org/officeDocument/2006/relationships/queryTable" Target="../queryTables/queryTable198.xml"/><Relationship Id="rId11" Type="http://schemas.openxmlformats.org/officeDocument/2006/relationships/queryTable" Target="../queryTables/queryTable203.xml"/><Relationship Id="rId5" Type="http://schemas.openxmlformats.org/officeDocument/2006/relationships/queryTable" Target="../queryTables/queryTable197.xml"/><Relationship Id="rId15" Type="http://schemas.openxmlformats.org/officeDocument/2006/relationships/queryTable" Target="../queryTables/queryTable207.xml"/><Relationship Id="rId10" Type="http://schemas.openxmlformats.org/officeDocument/2006/relationships/queryTable" Target="../queryTables/queryTable202.xml"/><Relationship Id="rId4" Type="http://schemas.openxmlformats.org/officeDocument/2006/relationships/queryTable" Target="../queryTables/queryTable196.xml"/><Relationship Id="rId9" Type="http://schemas.openxmlformats.org/officeDocument/2006/relationships/queryTable" Target="../queryTables/queryTable201.xml"/><Relationship Id="rId14" Type="http://schemas.openxmlformats.org/officeDocument/2006/relationships/queryTable" Target="../queryTables/queryTable206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17.xml"/><Relationship Id="rId13" Type="http://schemas.openxmlformats.org/officeDocument/2006/relationships/queryTable" Target="../queryTables/queryTable222.xml"/><Relationship Id="rId3" Type="http://schemas.openxmlformats.org/officeDocument/2006/relationships/queryTable" Target="../queryTables/queryTable212.xml"/><Relationship Id="rId7" Type="http://schemas.openxmlformats.org/officeDocument/2006/relationships/queryTable" Target="../queryTables/queryTable216.xml"/><Relationship Id="rId12" Type="http://schemas.openxmlformats.org/officeDocument/2006/relationships/queryTable" Target="../queryTables/queryTable221.xml"/><Relationship Id="rId17" Type="http://schemas.openxmlformats.org/officeDocument/2006/relationships/queryTable" Target="../queryTables/queryTable226.xml"/><Relationship Id="rId2" Type="http://schemas.openxmlformats.org/officeDocument/2006/relationships/queryTable" Target="../queryTables/queryTable211.xml"/><Relationship Id="rId16" Type="http://schemas.openxmlformats.org/officeDocument/2006/relationships/queryTable" Target="../queryTables/queryTable225.xml"/><Relationship Id="rId1" Type="http://schemas.openxmlformats.org/officeDocument/2006/relationships/queryTable" Target="../queryTables/queryTable210.xml"/><Relationship Id="rId6" Type="http://schemas.openxmlformats.org/officeDocument/2006/relationships/queryTable" Target="../queryTables/queryTable215.xml"/><Relationship Id="rId11" Type="http://schemas.openxmlformats.org/officeDocument/2006/relationships/queryTable" Target="../queryTables/queryTable220.xml"/><Relationship Id="rId5" Type="http://schemas.openxmlformats.org/officeDocument/2006/relationships/queryTable" Target="../queryTables/queryTable214.xml"/><Relationship Id="rId15" Type="http://schemas.openxmlformats.org/officeDocument/2006/relationships/queryTable" Target="../queryTables/queryTable224.xml"/><Relationship Id="rId10" Type="http://schemas.openxmlformats.org/officeDocument/2006/relationships/queryTable" Target="../queryTables/queryTable219.xml"/><Relationship Id="rId4" Type="http://schemas.openxmlformats.org/officeDocument/2006/relationships/queryTable" Target="../queryTables/queryTable213.xml"/><Relationship Id="rId9" Type="http://schemas.openxmlformats.org/officeDocument/2006/relationships/queryTable" Target="../queryTables/queryTable218.xml"/><Relationship Id="rId14" Type="http://schemas.openxmlformats.org/officeDocument/2006/relationships/queryTable" Target="../queryTables/queryTable223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34.xml"/><Relationship Id="rId13" Type="http://schemas.openxmlformats.org/officeDocument/2006/relationships/queryTable" Target="../queryTables/queryTable239.xml"/><Relationship Id="rId3" Type="http://schemas.openxmlformats.org/officeDocument/2006/relationships/queryTable" Target="../queryTables/queryTable229.xml"/><Relationship Id="rId7" Type="http://schemas.openxmlformats.org/officeDocument/2006/relationships/queryTable" Target="../queryTables/queryTable233.xml"/><Relationship Id="rId12" Type="http://schemas.openxmlformats.org/officeDocument/2006/relationships/queryTable" Target="../queryTables/queryTable238.xml"/><Relationship Id="rId17" Type="http://schemas.openxmlformats.org/officeDocument/2006/relationships/queryTable" Target="../queryTables/queryTable243.xml"/><Relationship Id="rId2" Type="http://schemas.openxmlformats.org/officeDocument/2006/relationships/queryTable" Target="../queryTables/queryTable228.xml"/><Relationship Id="rId16" Type="http://schemas.openxmlformats.org/officeDocument/2006/relationships/queryTable" Target="../queryTables/queryTable242.xml"/><Relationship Id="rId1" Type="http://schemas.openxmlformats.org/officeDocument/2006/relationships/queryTable" Target="../queryTables/queryTable227.xml"/><Relationship Id="rId6" Type="http://schemas.openxmlformats.org/officeDocument/2006/relationships/queryTable" Target="../queryTables/queryTable232.xml"/><Relationship Id="rId11" Type="http://schemas.openxmlformats.org/officeDocument/2006/relationships/queryTable" Target="../queryTables/queryTable237.xml"/><Relationship Id="rId5" Type="http://schemas.openxmlformats.org/officeDocument/2006/relationships/queryTable" Target="../queryTables/queryTable231.xml"/><Relationship Id="rId15" Type="http://schemas.openxmlformats.org/officeDocument/2006/relationships/queryTable" Target="../queryTables/queryTable241.xml"/><Relationship Id="rId10" Type="http://schemas.openxmlformats.org/officeDocument/2006/relationships/queryTable" Target="../queryTables/queryTable236.xml"/><Relationship Id="rId4" Type="http://schemas.openxmlformats.org/officeDocument/2006/relationships/queryTable" Target="../queryTables/queryTable230.xml"/><Relationship Id="rId9" Type="http://schemas.openxmlformats.org/officeDocument/2006/relationships/queryTable" Target="../queryTables/queryTable235.xml"/><Relationship Id="rId14" Type="http://schemas.openxmlformats.org/officeDocument/2006/relationships/queryTable" Target="../queryTables/queryTable240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51.xml"/><Relationship Id="rId13" Type="http://schemas.openxmlformats.org/officeDocument/2006/relationships/queryTable" Target="../queryTables/queryTable256.xml"/><Relationship Id="rId3" Type="http://schemas.openxmlformats.org/officeDocument/2006/relationships/queryTable" Target="../queryTables/queryTable246.xml"/><Relationship Id="rId7" Type="http://schemas.openxmlformats.org/officeDocument/2006/relationships/queryTable" Target="../queryTables/queryTable250.xml"/><Relationship Id="rId12" Type="http://schemas.openxmlformats.org/officeDocument/2006/relationships/queryTable" Target="../queryTables/queryTable255.xml"/><Relationship Id="rId2" Type="http://schemas.openxmlformats.org/officeDocument/2006/relationships/queryTable" Target="../queryTables/queryTable245.xml"/><Relationship Id="rId1" Type="http://schemas.openxmlformats.org/officeDocument/2006/relationships/queryTable" Target="../queryTables/queryTable244.xml"/><Relationship Id="rId6" Type="http://schemas.openxmlformats.org/officeDocument/2006/relationships/queryTable" Target="../queryTables/queryTable249.xml"/><Relationship Id="rId11" Type="http://schemas.openxmlformats.org/officeDocument/2006/relationships/queryTable" Target="../queryTables/queryTable254.xml"/><Relationship Id="rId5" Type="http://schemas.openxmlformats.org/officeDocument/2006/relationships/queryTable" Target="../queryTables/queryTable248.xml"/><Relationship Id="rId10" Type="http://schemas.openxmlformats.org/officeDocument/2006/relationships/queryTable" Target="../queryTables/queryTable253.xml"/><Relationship Id="rId4" Type="http://schemas.openxmlformats.org/officeDocument/2006/relationships/queryTable" Target="../queryTables/queryTable247.xml"/><Relationship Id="rId9" Type="http://schemas.openxmlformats.org/officeDocument/2006/relationships/queryTable" Target="../queryTables/queryTable252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63.xml"/><Relationship Id="rId13" Type="http://schemas.openxmlformats.org/officeDocument/2006/relationships/queryTable" Target="../queryTables/queryTable268.xml"/><Relationship Id="rId3" Type="http://schemas.openxmlformats.org/officeDocument/2006/relationships/queryTable" Target="../queryTables/queryTable258.xml"/><Relationship Id="rId7" Type="http://schemas.openxmlformats.org/officeDocument/2006/relationships/queryTable" Target="../queryTables/queryTable262.xml"/><Relationship Id="rId12" Type="http://schemas.openxmlformats.org/officeDocument/2006/relationships/queryTable" Target="../queryTables/queryTable267.xml"/><Relationship Id="rId2" Type="http://schemas.openxmlformats.org/officeDocument/2006/relationships/queryTable" Target="../queryTables/queryTable257.xml"/><Relationship Id="rId1" Type="http://schemas.openxmlformats.org/officeDocument/2006/relationships/printerSettings" Target="../printerSettings/printerSettings15.bin"/><Relationship Id="rId6" Type="http://schemas.openxmlformats.org/officeDocument/2006/relationships/queryTable" Target="../queryTables/queryTable261.xml"/><Relationship Id="rId11" Type="http://schemas.openxmlformats.org/officeDocument/2006/relationships/queryTable" Target="../queryTables/queryTable266.xml"/><Relationship Id="rId5" Type="http://schemas.openxmlformats.org/officeDocument/2006/relationships/queryTable" Target="../queryTables/queryTable260.xml"/><Relationship Id="rId10" Type="http://schemas.openxmlformats.org/officeDocument/2006/relationships/queryTable" Target="../queryTables/queryTable265.xml"/><Relationship Id="rId4" Type="http://schemas.openxmlformats.org/officeDocument/2006/relationships/queryTable" Target="../queryTables/queryTable259.xml"/><Relationship Id="rId9" Type="http://schemas.openxmlformats.org/officeDocument/2006/relationships/queryTable" Target="../queryTables/queryTable264.xml"/><Relationship Id="rId14" Type="http://schemas.openxmlformats.org/officeDocument/2006/relationships/queryTable" Target="../queryTables/queryTable269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77.xml"/><Relationship Id="rId13" Type="http://schemas.openxmlformats.org/officeDocument/2006/relationships/queryTable" Target="../queryTables/queryTable282.xml"/><Relationship Id="rId3" Type="http://schemas.openxmlformats.org/officeDocument/2006/relationships/queryTable" Target="../queryTables/queryTable272.xml"/><Relationship Id="rId7" Type="http://schemas.openxmlformats.org/officeDocument/2006/relationships/queryTable" Target="../queryTables/queryTable276.xml"/><Relationship Id="rId12" Type="http://schemas.openxmlformats.org/officeDocument/2006/relationships/queryTable" Target="../queryTables/queryTable281.xml"/><Relationship Id="rId2" Type="http://schemas.openxmlformats.org/officeDocument/2006/relationships/queryTable" Target="../queryTables/queryTable271.xml"/><Relationship Id="rId1" Type="http://schemas.openxmlformats.org/officeDocument/2006/relationships/queryTable" Target="../queryTables/queryTable270.xml"/><Relationship Id="rId6" Type="http://schemas.openxmlformats.org/officeDocument/2006/relationships/queryTable" Target="../queryTables/queryTable275.xml"/><Relationship Id="rId11" Type="http://schemas.openxmlformats.org/officeDocument/2006/relationships/queryTable" Target="../queryTables/queryTable280.xml"/><Relationship Id="rId5" Type="http://schemas.openxmlformats.org/officeDocument/2006/relationships/queryTable" Target="../queryTables/queryTable274.xml"/><Relationship Id="rId10" Type="http://schemas.openxmlformats.org/officeDocument/2006/relationships/queryTable" Target="../queryTables/queryTable279.xml"/><Relationship Id="rId4" Type="http://schemas.openxmlformats.org/officeDocument/2006/relationships/queryTable" Target="../queryTables/queryTable273.xml"/><Relationship Id="rId9" Type="http://schemas.openxmlformats.org/officeDocument/2006/relationships/queryTable" Target="../queryTables/queryTable278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90.xml"/><Relationship Id="rId13" Type="http://schemas.openxmlformats.org/officeDocument/2006/relationships/queryTable" Target="../queryTables/queryTable295.xml"/><Relationship Id="rId3" Type="http://schemas.openxmlformats.org/officeDocument/2006/relationships/queryTable" Target="../queryTables/queryTable285.xml"/><Relationship Id="rId7" Type="http://schemas.openxmlformats.org/officeDocument/2006/relationships/queryTable" Target="../queryTables/queryTable289.xml"/><Relationship Id="rId12" Type="http://schemas.openxmlformats.org/officeDocument/2006/relationships/queryTable" Target="../queryTables/queryTable294.xml"/><Relationship Id="rId2" Type="http://schemas.openxmlformats.org/officeDocument/2006/relationships/queryTable" Target="../queryTables/queryTable284.xml"/><Relationship Id="rId1" Type="http://schemas.openxmlformats.org/officeDocument/2006/relationships/queryTable" Target="../queryTables/queryTable283.xml"/><Relationship Id="rId6" Type="http://schemas.openxmlformats.org/officeDocument/2006/relationships/queryTable" Target="../queryTables/queryTable288.xml"/><Relationship Id="rId11" Type="http://schemas.openxmlformats.org/officeDocument/2006/relationships/queryTable" Target="../queryTables/queryTable293.xml"/><Relationship Id="rId5" Type="http://schemas.openxmlformats.org/officeDocument/2006/relationships/queryTable" Target="../queryTables/queryTable287.xml"/><Relationship Id="rId10" Type="http://schemas.openxmlformats.org/officeDocument/2006/relationships/queryTable" Target="../queryTables/queryTable292.xml"/><Relationship Id="rId4" Type="http://schemas.openxmlformats.org/officeDocument/2006/relationships/queryTable" Target="../queryTables/queryTable286.xml"/><Relationship Id="rId9" Type="http://schemas.openxmlformats.org/officeDocument/2006/relationships/queryTable" Target="../queryTables/queryTable29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0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0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0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0" x14ac:dyDescent="0.35">
      <c r="A4" s="1" t="s">
        <v>1</v>
      </c>
      <c r="B4" s="5">
        <f>IFERROR(AVERAGE(B7:B10),"")</f>
        <v>999.25</v>
      </c>
      <c r="C4" s="5">
        <f t="shared" ref="C4:J4" si="0">IFERROR(AVERAGE(C7:C10),"")</f>
        <v>305.25</v>
      </c>
      <c r="D4" s="5">
        <f t="shared" si="0"/>
        <v>67</v>
      </c>
      <c r="E4" s="5">
        <f t="shared" si="0"/>
        <v>218.5</v>
      </c>
      <c r="F4" s="4">
        <f t="shared" si="0"/>
        <v>8</v>
      </c>
      <c r="G4" s="5">
        <f t="shared" si="0"/>
        <v>47</v>
      </c>
      <c r="H4" s="4">
        <f t="shared" si="0"/>
        <v>12.15</v>
      </c>
      <c r="I4" s="5">
        <f t="shared" si="0"/>
        <v>577</v>
      </c>
      <c r="J4" s="5">
        <f t="shared" si="0"/>
        <v>204.5</v>
      </c>
    </row>
    <row r="5" spans="1:10" x14ac:dyDescent="0.35">
      <c r="A5" s="1" t="s">
        <v>2</v>
      </c>
      <c r="B5" s="5">
        <f>IFERROR(AVERAGE(B10:B13),"")</f>
        <v>1049.6666666666667</v>
      </c>
      <c r="C5" s="5">
        <f t="shared" ref="C5:J5" si="1">IFERROR(AVERAGE(C10:C13),"")</f>
        <v>331.25</v>
      </c>
      <c r="D5" s="5">
        <f t="shared" si="1"/>
        <v>62</v>
      </c>
      <c r="E5" s="5">
        <f t="shared" si="1"/>
        <v>231.75</v>
      </c>
      <c r="F5" s="4">
        <f t="shared" si="1"/>
        <v>8.7750000000000004</v>
      </c>
      <c r="G5" s="5">
        <f t="shared" si="1"/>
        <v>45.75</v>
      </c>
      <c r="H5" s="4">
        <f t="shared" si="1"/>
        <v>6.25</v>
      </c>
      <c r="I5" s="5">
        <f t="shared" si="1"/>
        <v>770.75</v>
      </c>
      <c r="J5" s="5">
        <f t="shared" si="1"/>
        <v>383.25</v>
      </c>
    </row>
    <row r="7" spans="1:10" x14ac:dyDescent="0.35">
      <c r="A7" s="3">
        <v>43849</v>
      </c>
      <c r="B7" s="8">
        <v>1223</v>
      </c>
      <c r="C7" s="9">
        <v>316</v>
      </c>
      <c r="D7" s="8">
        <v>61</v>
      </c>
      <c r="E7" s="8">
        <v>202</v>
      </c>
      <c r="F7" s="8">
        <v>8.4</v>
      </c>
      <c r="G7" s="8">
        <v>41</v>
      </c>
      <c r="H7" s="8">
        <v>26</v>
      </c>
      <c r="I7" s="8">
        <v>558</v>
      </c>
      <c r="J7" s="8">
        <v>310</v>
      </c>
    </row>
    <row r="8" spans="1:10" x14ac:dyDescent="0.35">
      <c r="A8" s="3">
        <v>43850</v>
      </c>
      <c r="B8" s="8">
        <v>987</v>
      </c>
      <c r="C8" s="8">
        <v>321</v>
      </c>
      <c r="D8" s="8">
        <v>68</v>
      </c>
      <c r="E8" s="8">
        <v>217</v>
      </c>
      <c r="F8" s="8">
        <v>7.9</v>
      </c>
      <c r="G8" s="8">
        <v>43</v>
      </c>
      <c r="H8" s="8">
        <v>11.1</v>
      </c>
      <c r="I8" s="8">
        <v>454</v>
      </c>
      <c r="J8" s="8">
        <v>209</v>
      </c>
    </row>
    <row r="9" spans="1:10" x14ac:dyDescent="0.35">
      <c r="A9" s="3">
        <v>43851</v>
      </c>
      <c r="B9" s="8">
        <v>886</v>
      </c>
      <c r="C9" s="8">
        <v>308</v>
      </c>
      <c r="D9" s="8">
        <v>76</v>
      </c>
      <c r="E9" s="8">
        <v>229</v>
      </c>
      <c r="F9" s="8">
        <v>7.4</v>
      </c>
      <c r="G9" s="8">
        <v>53</v>
      </c>
      <c r="H9" s="8">
        <v>4.5</v>
      </c>
      <c r="I9" s="8">
        <v>428</v>
      </c>
      <c r="J9" s="8">
        <v>126</v>
      </c>
    </row>
    <row r="10" spans="1:10" x14ac:dyDescent="0.35">
      <c r="A10" s="3">
        <v>43852</v>
      </c>
      <c r="B10" s="11">
        <v>901</v>
      </c>
      <c r="C10" s="11">
        <v>276</v>
      </c>
      <c r="D10" s="11">
        <v>63</v>
      </c>
      <c r="E10" s="11">
        <v>226</v>
      </c>
      <c r="F10" s="11">
        <v>8.3000000000000007</v>
      </c>
      <c r="G10" s="11">
        <v>51</v>
      </c>
      <c r="H10" s="11">
        <v>7</v>
      </c>
      <c r="I10" s="11">
        <v>868</v>
      </c>
      <c r="J10" s="11">
        <v>173</v>
      </c>
    </row>
    <row r="11" spans="1:10" x14ac:dyDescent="0.35">
      <c r="A11" s="3">
        <v>43853</v>
      </c>
      <c r="B11" s="10"/>
      <c r="C11" s="10">
        <v>381</v>
      </c>
      <c r="D11" s="10">
        <v>70</v>
      </c>
      <c r="E11" s="10">
        <v>189</v>
      </c>
      <c r="F11" s="10">
        <v>6.3</v>
      </c>
      <c r="G11" s="10">
        <v>40</v>
      </c>
      <c r="H11" s="10">
        <v>7.5</v>
      </c>
      <c r="I11" s="10">
        <v>952</v>
      </c>
      <c r="J11" s="10">
        <v>192</v>
      </c>
    </row>
    <row r="12" spans="1:10" x14ac:dyDescent="0.35">
      <c r="A12" s="3">
        <v>43854</v>
      </c>
      <c r="B12" s="10">
        <v>1239</v>
      </c>
      <c r="C12" s="10">
        <v>345</v>
      </c>
      <c r="D12" s="10">
        <v>57</v>
      </c>
      <c r="E12" s="10">
        <v>259</v>
      </c>
      <c r="F12" s="10">
        <v>9.6999999999999993</v>
      </c>
      <c r="G12" s="10">
        <v>42</v>
      </c>
      <c r="H12" s="10">
        <v>5.9</v>
      </c>
      <c r="I12" s="10">
        <v>663</v>
      </c>
      <c r="J12" s="10">
        <v>150</v>
      </c>
    </row>
    <row r="13" spans="1:10" x14ac:dyDescent="0.35">
      <c r="A13" s="3">
        <v>43855</v>
      </c>
      <c r="B13" s="10">
        <v>1009</v>
      </c>
      <c r="C13" s="10">
        <v>323</v>
      </c>
      <c r="D13" s="10">
        <v>58</v>
      </c>
      <c r="E13" s="10">
        <v>253</v>
      </c>
      <c r="F13" s="10">
        <v>10.8</v>
      </c>
      <c r="G13" s="10">
        <v>50</v>
      </c>
      <c r="H13" s="10">
        <v>4.5999999999999996</v>
      </c>
      <c r="I13" s="10">
        <v>600</v>
      </c>
      <c r="J13" s="10">
        <v>1018</v>
      </c>
    </row>
    <row r="15" spans="1:10" x14ac:dyDescent="0.35">
      <c r="A15" s="1" t="s">
        <v>3</v>
      </c>
      <c r="B15" s="5">
        <v>729</v>
      </c>
      <c r="C15" s="5">
        <v>318</v>
      </c>
      <c r="D15" s="5">
        <v>64</v>
      </c>
      <c r="E15" s="5">
        <v>182</v>
      </c>
      <c r="F15" s="4">
        <v>6.7</v>
      </c>
      <c r="G15" s="5">
        <v>308</v>
      </c>
      <c r="H15" s="5">
        <v>6.4</v>
      </c>
      <c r="I15" s="5">
        <v>705</v>
      </c>
      <c r="J15" s="5">
        <v>169</v>
      </c>
    </row>
    <row r="16" spans="1:10" x14ac:dyDescent="0.35">
      <c r="A16" s="1" t="s">
        <v>4</v>
      </c>
      <c r="B16" s="5">
        <f>IFERROR(AVERAGE(B7:B13),"")</f>
        <v>1040.8333333333333</v>
      </c>
      <c r="C16" s="5">
        <f t="shared" ref="C16:J16" si="2">IFERROR(AVERAGE(C7:C13),"")</f>
        <v>324.28571428571428</v>
      </c>
      <c r="D16" s="5">
        <f t="shared" si="2"/>
        <v>64.714285714285708</v>
      </c>
      <c r="E16" s="5">
        <f t="shared" si="2"/>
        <v>225</v>
      </c>
      <c r="F16" s="4">
        <f t="shared" si="2"/>
        <v>8.4</v>
      </c>
      <c r="G16" s="5">
        <f t="shared" si="2"/>
        <v>45.714285714285715</v>
      </c>
      <c r="H16" s="5">
        <f t="shared" si="2"/>
        <v>9.5142857142857142</v>
      </c>
      <c r="I16" s="5">
        <f t="shared" si="2"/>
        <v>646.14285714285711</v>
      </c>
      <c r="J16" s="5">
        <f t="shared" si="2"/>
        <v>311.14285714285717</v>
      </c>
    </row>
    <row r="17" spans="1:10" x14ac:dyDescent="0.35">
      <c r="A17" s="1" t="s">
        <v>5</v>
      </c>
      <c r="B17" s="6">
        <f>IFERROR(-(B15-B16)/B15,"")</f>
        <v>0.42775491540923627</v>
      </c>
      <c r="C17" s="6">
        <f t="shared" ref="C17:J17" si="3">IFERROR(-(C15-C16)/C15,"")</f>
        <v>1.9766397124887664E-2</v>
      </c>
      <c r="D17" s="6">
        <f t="shared" si="3"/>
        <v>1.1160714285714191E-2</v>
      </c>
      <c r="E17" s="6">
        <f t="shared" si="3"/>
        <v>0.23626373626373626</v>
      </c>
      <c r="F17" s="6">
        <f t="shared" si="3"/>
        <v>0.2537313432835821</v>
      </c>
      <c r="G17" s="6">
        <f t="shared" si="3"/>
        <v>-0.85157699443413726</v>
      </c>
      <c r="H17" s="6">
        <f t="shared" si="3"/>
        <v>0.48660714285714279</v>
      </c>
      <c r="I17" s="6">
        <f t="shared" si="3"/>
        <v>-8.3485309017223952E-2</v>
      </c>
      <c r="J17" s="6">
        <f t="shared" si="3"/>
        <v>0.84108199492814895</v>
      </c>
    </row>
  </sheetData>
  <mergeCells count="2">
    <mergeCell ref="G1:J1"/>
    <mergeCell ref="B1:F1"/>
  </mergeCells>
  <conditionalFormatting sqref="B4:B5">
    <cfRule type="top10" dxfId="242" priority="26" bottom="1" rank="1"/>
    <cfRule type="top10" dxfId="241" priority="27" rank="1"/>
  </conditionalFormatting>
  <conditionalFormatting sqref="B17">
    <cfRule type="cellIs" dxfId="240" priority="24" operator="greaterThanOrEqual">
      <formula>0</formula>
    </cfRule>
    <cfRule type="cellIs" dxfId="239" priority="25" operator="lessThan">
      <formula>0</formula>
    </cfRule>
  </conditionalFormatting>
  <conditionalFormatting sqref="C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8" priority="23" rank="1"/>
  </conditionalFormatting>
  <conditionalFormatting sqref="C5">
    <cfRule type="top10" dxfId="237" priority="22" bottom="1" rank="1"/>
  </conditionalFormatting>
  <conditionalFormatting sqref="D4:D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7"/>
  <sheetViews>
    <sheetView workbookViewId="0">
      <selection activeCell="F7" sqref="F7:F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5">
        <f>IFERROR(AVERAGE(B7:B10),"")</f>
        <v>981.5</v>
      </c>
      <c r="C4" s="5">
        <f t="shared" ref="C4:J4" si="0">IFERROR(AVERAGE(C7:C10),"")</f>
        <v>349.25</v>
      </c>
      <c r="D4" s="5">
        <f t="shared" si="0"/>
        <v>79.5</v>
      </c>
      <c r="E4" s="5">
        <f t="shared" si="0"/>
        <v>216.5</v>
      </c>
      <c r="F4" s="4">
        <f t="shared" si="0"/>
        <v>6.7750000000000004</v>
      </c>
      <c r="G4" s="5">
        <f t="shared" si="0"/>
        <v>57.333333333333336</v>
      </c>
      <c r="H4" s="4">
        <f t="shared" si="0"/>
        <v>6.9000000000000012</v>
      </c>
      <c r="I4" s="5">
        <f t="shared" si="0"/>
        <v>464.33333333333331</v>
      </c>
      <c r="J4" s="5">
        <f t="shared" si="0"/>
        <v>146.66666666666666</v>
      </c>
    </row>
    <row r="5" spans="1:16" x14ac:dyDescent="0.35">
      <c r="A5" s="1" t="s">
        <v>2</v>
      </c>
      <c r="B5" s="5">
        <f>IFERROR(AVERAGE(B10:B13),"")</f>
        <v>1093.5</v>
      </c>
      <c r="C5" s="13">
        <f t="shared" ref="C5:J5" si="1">IFERROR(AVERAGE(C10:C13),"")</f>
        <v>451.25</v>
      </c>
      <c r="D5" s="5">
        <f t="shared" si="1"/>
        <v>66.25</v>
      </c>
      <c r="E5" s="5">
        <f t="shared" si="1"/>
        <v>243</v>
      </c>
      <c r="F5" s="4">
        <f t="shared" si="1"/>
        <v>8.125</v>
      </c>
      <c r="G5" s="5">
        <f t="shared" si="1"/>
        <v>44</v>
      </c>
      <c r="H5" s="4">
        <f t="shared" si="1"/>
        <v>6.55</v>
      </c>
      <c r="I5" s="5">
        <f t="shared" si="1"/>
        <v>946.75</v>
      </c>
      <c r="J5" s="5">
        <f t="shared" si="1"/>
        <v>163.75</v>
      </c>
    </row>
    <row r="7" spans="1:16" x14ac:dyDescent="0.35">
      <c r="A7" s="3">
        <v>43856</v>
      </c>
      <c r="B7" s="8">
        <v>831</v>
      </c>
      <c r="C7" s="9">
        <v>347</v>
      </c>
      <c r="D7" s="8">
        <v>87</v>
      </c>
      <c r="E7" s="8">
        <v>181</v>
      </c>
      <c r="F7" s="8">
        <v>5.6</v>
      </c>
      <c r="G7" s="8"/>
      <c r="H7" s="8"/>
      <c r="I7" s="8"/>
      <c r="J7" s="8"/>
    </row>
    <row r="8" spans="1:16" x14ac:dyDescent="0.35">
      <c r="A8" s="3">
        <v>43857</v>
      </c>
      <c r="B8" s="8">
        <v>866</v>
      </c>
      <c r="C8" s="8">
        <v>299</v>
      </c>
      <c r="D8" s="8">
        <v>83</v>
      </c>
      <c r="E8" s="8">
        <v>171</v>
      </c>
      <c r="F8" s="8">
        <v>5.7</v>
      </c>
      <c r="G8" s="8">
        <v>60</v>
      </c>
      <c r="H8" s="8">
        <v>5.6</v>
      </c>
      <c r="I8" s="8">
        <v>296</v>
      </c>
      <c r="J8" s="8">
        <v>119</v>
      </c>
    </row>
    <row r="9" spans="1:16" x14ac:dyDescent="0.35">
      <c r="A9" s="3">
        <v>43858</v>
      </c>
      <c r="B9" s="8">
        <v>962</v>
      </c>
      <c r="C9" s="8">
        <v>368</v>
      </c>
      <c r="D9" s="8">
        <v>73</v>
      </c>
      <c r="E9" s="8">
        <v>246</v>
      </c>
      <c r="F9" s="8">
        <v>8.1999999999999993</v>
      </c>
      <c r="G9" s="8">
        <v>44</v>
      </c>
      <c r="H9" s="8">
        <v>10.5</v>
      </c>
      <c r="I9" s="8">
        <v>544</v>
      </c>
      <c r="J9" s="8">
        <v>148</v>
      </c>
    </row>
    <row r="10" spans="1:16" x14ac:dyDescent="0.35">
      <c r="A10" s="3">
        <v>43859</v>
      </c>
      <c r="B10" s="12">
        <v>1267</v>
      </c>
      <c r="C10" s="12">
        <v>383</v>
      </c>
      <c r="D10" s="12">
        <v>75</v>
      </c>
      <c r="E10" s="12">
        <v>268</v>
      </c>
      <c r="F10" s="12">
        <v>7.6</v>
      </c>
      <c r="G10" s="12">
        <v>68</v>
      </c>
      <c r="H10" s="12">
        <v>4.5999999999999996</v>
      </c>
      <c r="I10" s="12">
        <v>553</v>
      </c>
      <c r="J10" s="12">
        <v>173</v>
      </c>
    </row>
    <row r="11" spans="1:16" ht="14.5" customHeight="1" x14ac:dyDescent="0.35">
      <c r="A11" s="14">
        <v>43860</v>
      </c>
      <c r="B11" s="10">
        <v>896</v>
      </c>
      <c r="C11" s="10">
        <v>435</v>
      </c>
      <c r="D11" s="10">
        <v>69</v>
      </c>
      <c r="E11" s="10">
        <v>194</v>
      </c>
      <c r="F11" s="10">
        <v>5.9</v>
      </c>
      <c r="G11" s="10">
        <v>30</v>
      </c>
      <c r="H11" s="10">
        <v>8.9</v>
      </c>
      <c r="I11" s="10">
        <v>1251</v>
      </c>
      <c r="J11" s="10">
        <v>153</v>
      </c>
      <c r="L11" s="89" t="s">
        <v>16</v>
      </c>
      <c r="M11" s="89"/>
      <c r="N11" s="89"/>
      <c r="O11" s="89"/>
      <c r="P11" s="89"/>
    </row>
    <row r="12" spans="1:16" x14ac:dyDescent="0.35">
      <c r="A12" s="3">
        <v>43861</v>
      </c>
      <c r="B12" s="10">
        <v>1008</v>
      </c>
      <c r="C12" s="10">
        <v>476</v>
      </c>
      <c r="D12" s="10">
        <v>59</v>
      </c>
      <c r="E12" s="10">
        <v>227</v>
      </c>
      <c r="F12" s="10">
        <v>8.4</v>
      </c>
      <c r="G12" s="10">
        <v>38</v>
      </c>
      <c r="H12" s="10">
        <v>6.2</v>
      </c>
      <c r="I12" s="10">
        <v>921</v>
      </c>
      <c r="J12" s="10">
        <v>157</v>
      </c>
      <c r="L12" s="89"/>
      <c r="M12" s="89"/>
      <c r="N12" s="89"/>
      <c r="O12" s="89"/>
      <c r="P12" s="89"/>
    </row>
    <row r="13" spans="1:16" x14ac:dyDescent="0.35">
      <c r="A13" s="3">
        <v>43862</v>
      </c>
      <c r="B13" s="10">
        <v>1203</v>
      </c>
      <c r="C13" s="10">
        <v>511</v>
      </c>
      <c r="D13" s="10">
        <v>62</v>
      </c>
      <c r="E13" s="10">
        <v>283</v>
      </c>
      <c r="F13" s="10">
        <v>10.6</v>
      </c>
      <c r="G13" s="10">
        <v>40</v>
      </c>
      <c r="H13" s="10">
        <v>6.5</v>
      </c>
      <c r="I13" s="10">
        <v>1062</v>
      </c>
      <c r="J13" s="10">
        <v>172</v>
      </c>
      <c r="L13" s="89"/>
      <c r="M13" s="89"/>
      <c r="N13" s="89"/>
      <c r="O13" s="89"/>
      <c r="P13" s="89"/>
    </row>
    <row r="14" spans="1:16" ht="14.5" customHeight="1" x14ac:dyDescent="0.35">
      <c r="L14" s="89"/>
      <c r="M14" s="89"/>
      <c r="N14" s="89"/>
      <c r="O14" s="89"/>
      <c r="P14" s="89"/>
    </row>
    <row r="15" spans="1:16" x14ac:dyDescent="0.35">
      <c r="A15" s="1" t="s">
        <v>3</v>
      </c>
      <c r="B15" s="5">
        <v>1040.8333333333333</v>
      </c>
      <c r="C15" s="5">
        <v>324.28571428571428</v>
      </c>
      <c r="D15" s="5">
        <v>64.714285714285708</v>
      </c>
      <c r="E15" s="5">
        <v>225</v>
      </c>
      <c r="F15" s="4">
        <v>8.4</v>
      </c>
      <c r="G15" s="5">
        <v>45.714285714285715</v>
      </c>
      <c r="H15" s="5">
        <v>9.5142857142857142</v>
      </c>
      <c r="I15" s="5">
        <v>646.14285714285711</v>
      </c>
      <c r="J15" s="5">
        <v>311.14285714285717</v>
      </c>
      <c r="L15" s="89"/>
      <c r="M15" s="89"/>
      <c r="N15" s="89"/>
      <c r="O15" s="89"/>
      <c r="P15" s="89"/>
    </row>
    <row r="16" spans="1:16" x14ac:dyDescent="0.35">
      <c r="A16" s="1" t="s">
        <v>4</v>
      </c>
      <c r="B16" s="5">
        <f>IFERROR(AVERAGE(B7:B13),"")</f>
        <v>1004.7142857142857</v>
      </c>
      <c r="C16" s="5">
        <f t="shared" ref="C16:J16" si="2">IFERROR(AVERAGE(C7:C13),"")</f>
        <v>402.71428571428572</v>
      </c>
      <c r="D16" s="5">
        <f t="shared" si="2"/>
        <v>72.571428571428569</v>
      </c>
      <c r="E16" s="5">
        <f t="shared" si="2"/>
        <v>224.28571428571428</v>
      </c>
      <c r="F16" s="4">
        <f t="shared" si="2"/>
        <v>7.4285714285714288</v>
      </c>
      <c r="G16" s="5">
        <f t="shared" si="2"/>
        <v>46.666666666666664</v>
      </c>
      <c r="H16" s="5">
        <f t="shared" si="2"/>
        <v>7.0500000000000007</v>
      </c>
      <c r="I16" s="5">
        <f t="shared" si="2"/>
        <v>771.16666666666663</v>
      </c>
      <c r="J16" s="5">
        <f t="shared" si="2"/>
        <v>153.66666666666666</v>
      </c>
      <c r="L16" s="89"/>
      <c r="M16" s="89"/>
      <c r="N16" s="89"/>
      <c r="O16" s="89"/>
      <c r="P16" s="89"/>
    </row>
    <row r="17" spans="1:10" x14ac:dyDescent="0.35">
      <c r="A17" s="1" t="s">
        <v>5</v>
      </c>
      <c r="B17" s="6">
        <f>IFERROR(-(B15-B16)/B15,"")</f>
        <v>-3.4702047352167427E-2</v>
      </c>
      <c r="C17" s="6">
        <f t="shared" ref="C17:J17" si="3">IFERROR(-(C15-C16)/C15,"")</f>
        <v>0.24185022026431724</v>
      </c>
      <c r="D17" s="6">
        <f t="shared" si="3"/>
        <v>0.12141280353200891</v>
      </c>
      <c r="E17" s="6">
        <f t="shared" si="3"/>
        <v>-3.1746031746032106E-3</v>
      </c>
      <c r="F17" s="6">
        <f t="shared" si="3"/>
        <v>-0.11564625850340136</v>
      </c>
      <c r="G17" s="6">
        <f t="shared" si="3"/>
        <v>2.0833333333333259E-2</v>
      </c>
      <c r="H17" s="6">
        <f t="shared" si="3"/>
        <v>-0.25900900900900892</v>
      </c>
      <c r="I17" s="6">
        <f t="shared" si="3"/>
        <v>0.1934925197140541</v>
      </c>
      <c r="J17" s="6">
        <f t="shared" si="3"/>
        <v>-0.50612182430364261</v>
      </c>
    </row>
  </sheetData>
  <mergeCells count="3">
    <mergeCell ref="B1:F1"/>
    <mergeCell ref="G1:J1"/>
    <mergeCell ref="L11:P16"/>
  </mergeCells>
  <conditionalFormatting sqref="B4:B5">
    <cfRule type="top10" dxfId="236" priority="44" bottom="1" rank="1"/>
    <cfRule type="top10" dxfId="235" priority="45" rank="1"/>
  </conditionalFormatting>
  <conditionalFormatting sqref="B17">
    <cfRule type="cellIs" dxfId="234" priority="42" operator="greaterThanOrEqual">
      <formula>0</formula>
    </cfRule>
    <cfRule type="cellIs" dxfId="233" priority="43" operator="lessThan">
      <formula>0</formula>
    </cfRule>
  </conditionalFormatting>
  <conditionalFormatting sqref="C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2" priority="41" rank="1"/>
  </conditionalFormatting>
  <conditionalFormatting sqref="C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31" priority="40" bottom="1" rank="1"/>
  </conditionalFormatting>
  <conditionalFormatting sqref="D4:D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30" priority="24" operator="greaterThanOrEqual">
      <formula>0</formula>
    </cfRule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:J17">
    <cfRule type="cellIs" dxfId="229" priority="23" operator="greaterThanOrEqual">
      <formula>0</formula>
    </cfRule>
  </conditionalFormatting>
  <conditionalFormatting sqref="E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7"/>
  <sheetViews>
    <sheetView workbookViewId="0">
      <selection activeCell="J21" sqref="J21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4">
        <f>IFERROR(AVERAGE(B7:B10),"")</f>
        <v>898.81</v>
      </c>
      <c r="C4" s="4">
        <f t="shared" ref="C4:J4" si="0">IFERROR(AVERAGE(C7:C10),"")</f>
        <v>381.07249999999999</v>
      </c>
      <c r="D4" s="4">
        <f t="shared" si="0"/>
        <v>61.850000000000009</v>
      </c>
      <c r="E4" s="4">
        <f t="shared" si="0"/>
        <v>192.78250000000003</v>
      </c>
      <c r="F4" s="4">
        <f t="shared" si="0"/>
        <v>7.3</v>
      </c>
      <c r="G4" s="4">
        <f t="shared" si="0"/>
        <v>42.787499999999994</v>
      </c>
      <c r="H4" s="4">
        <f t="shared" si="0"/>
        <v>9.6</v>
      </c>
      <c r="I4" s="4">
        <f t="shared" si="0"/>
        <v>933.14499999999998</v>
      </c>
      <c r="J4" s="4">
        <f t="shared" si="0"/>
        <v>182.32</v>
      </c>
    </row>
    <row r="5" spans="1:16" x14ac:dyDescent="0.35">
      <c r="A5" s="1" t="s">
        <v>2</v>
      </c>
      <c r="B5" s="4">
        <f>IFERROR(AVERAGE(B10:B13),"")</f>
        <v>1102.3175000000001</v>
      </c>
      <c r="C5" s="18">
        <f t="shared" ref="C5:J5" si="1">IFERROR(AVERAGE(C10:C13),"")</f>
        <v>529.20749999999998</v>
      </c>
      <c r="D5" s="4">
        <f t="shared" si="1"/>
        <v>62.032499999999999</v>
      </c>
      <c r="E5" s="4">
        <f t="shared" si="1"/>
        <v>186.82499999999999</v>
      </c>
      <c r="F5" s="4">
        <f t="shared" si="1"/>
        <v>8.0749999999999993</v>
      </c>
      <c r="G5" s="4">
        <f t="shared" si="1"/>
        <v>42.67</v>
      </c>
      <c r="H5" s="4">
        <f t="shared" si="1"/>
        <v>6.2000000000000011</v>
      </c>
      <c r="I5" s="4">
        <f t="shared" si="1"/>
        <v>686.11750000000006</v>
      </c>
      <c r="J5" s="4">
        <f t="shared" si="1"/>
        <v>172.84500000000003</v>
      </c>
    </row>
    <row r="7" spans="1:16" x14ac:dyDescent="0.35">
      <c r="A7" s="3">
        <v>43863</v>
      </c>
      <c r="B7" s="15">
        <v>1255.5999999999999</v>
      </c>
      <c r="C7" s="15">
        <v>339.1</v>
      </c>
      <c r="D7" s="15">
        <v>69.7</v>
      </c>
      <c r="E7" s="15">
        <v>303.3</v>
      </c>
      <c r="F7" s="15">
        <v>10.199999999999999</v>
      </c>
      <c r="G7" s="15">
        <v>58.1</v>
      </c>
      <c r="H7" s="15">
        <v>9.8000000000000007</v>
      </c>
      <c r="I7" s="15">
        <v>726.9</v>
      </c>
      <c r="J7" s="15">
        <v>230.1</v>
      </c>
    </row>
    <row r="8" spans="1:16" x14ac:dyDescent="0.35">
      <c r="A8" s="3">
        <v>43864</v>
      </c>
      <c r="B8" s="15">
        <v>686.04</v>
      </c>
      <c r="C8" s="15">
        <v>326.19</v>
      </c>
      <c r="D8" s="15">
        <v>61.1</v>
      </c>
      <c r="E8" s="15">
        <v>135.13</v>
      </c>
      <c r="F8" s="15">
        <v>4.8</v>
      </c>
      <c r="G8" s="15">
        <v>29.35</v>
      </c>
      <c r="H8" s="15">
        <v>11.1</v>
      </c>
      <c r="I8" s="15">
        <v>971.68</v>
      </c>
      <c r="J8" s="15">
        <v>127.58</v>
      </c>
    </row>
    <row r="9" spans="1:16" x14ac:dyDescent="0.35">
      <c r="A9" s="3">
        <v>43865</v>
      </c>
      <c r="B9" s="15">
        <v>823.1</v>
      </c>
      <c r="C9" s="15">
        <v>311.60000000000002</v>
      </c>
      <c r="D9" s="15">
        <v>59.9</v>
      </c>
      <c r="E9" s="15">
        <v>163</v>
      </c>
      <c r="F9" s="15">
        <v>5.4</v>
      </c>
      <c r="G9" s="15">
        <v>39.9</v>
      </c>
      <c r="H9" s="15">
        <v>11.1</v>
      </c>
      <c r="I9" s="15">
        <v>1310.5</v>
      </c>
      <c r="J9" s="15">
        <v>175.1</v>
      </c>
    </row>
    <row r="10" spans="1:16" x14ac:dyDescent="0.35">
      <c r="A10" s="3">
        <v>43866</v>
      </c>
      <c r="B10" s="16">
        <v>830.5</v>
      </c>
      <c r="C10" s="16">
        <v>547.4</v>
      </c>
      <c r="D10" s="16">
        <v>56.7</v>
      </c>
      <c r="E10" s="16">
        <v>169.7</v>
      </c>
      <c r="F10" s="16">
        <v>8.8000000000000007</v>
      </c>
      <c r="G10" s="16">
        <v>43.8</v>
      </c>
      <c r="H10" s="16">
        <v>6.4</v>
      </c>
      <c r="I10" s="16">
        <v>723.5</v>
      </c>
      <c r="J10" s="16">
        <v>196.5</v>
      </c>
    </row>
    <row r="11" spans="1:16" ht="14.5" customHeight="1" x14ac:dyDescent="0.35">
      <c r="A11" s="3">
        <v>43867</v>
      </c>
      <c r="B11" s="17">
        <v>1674.99</v>
      </c>
      <c r="C11" s="17">
        <v>434.46</v>
      </c>
      <c r="D11" s="17">
        <v>55.5</v>
      </c>
      <c r="E11" s="17">
        <v>159.13</v>
      </c>
      <c r="F11" s="17">
        <v>9.1999999999999993</v>
      </c>
      <c r="G11" s="17">
        <v>43.39</v>
      </c>
      <c r="H11" s="17">
        <v>5.9</v>
      </c>
      <c r="I11" s="17">
        <v>925.92</v>
      </c>
      <c r="J11" s="17">
        <v>183.74</v>
      </c>
      <c r="L11" s="89" t="s">
        <v>16</v>
      </c>
      <c r="M11" s="89"/>
      <c r="N11" s="89"/>
      <c r="O11" s="89"/>
      <c r="P11" s="89"/>
    </row>
    <row r="12" spans="1:16" x14ac:dyDescent="0.35">
      <c r="A12" s="3">
        <v>43868</v>
      </c>
      <c r="B12" s="17">
        <v>982.59</v>
      </c>
      <c r="C12" s="17">
        <v>482.03</v>
      </c>
      <c r="D12" s="17">
        <v>46.08</v>
      </c>
      <c r="E12" s="17">
        <v>207.16</v>
      </c>
      <c r="F12" s="17">
        <v>7.8</v>
      </c>
      <c r="G12" s="17">
        <v>40.1</v>
      </c>
      <c r="H12" s="17">
        <v>5.4</v>
      </c>
      <c r="I12" s="17">
        <v>595.52</v>
      </c>
      <c r="J12" s="17">
        <v>144.18</v>
      </c>
      <c r="L12" s="89"/>
      <c r="M12" s="89"/>
      <c r="N12" s="89"/>
      <c r="O12" s="89"/>
      <c r="P12" s="89"/>
    </row>
    <row r="13" spans="1:16" x14ac:dyDescent="0.35">
      <c r="A13" s="3">
        <v>43869</v>
      </c>
      <c r="B13" s="17">
        <v>921.19</v>
      </c>
      <c r="C13" s="17">
        <v>652.94000000000005</v>
      </c>
      <c r="D13" s="17">
        <v>89.85</v>
      </c>
      <c r="E13" s="17">
        <v>211.31</v>
      </c>
      <c r="F13" s="17">
        <v>6.5</v>
      </c>
      <c r="G13" s="17">
        <v>43.39</v>
      </c>
      <c r="H13" s="17">
        <v>7.1</v>
      </c>
      <c r="I13" s="17">
        <v>499.53</v>
      </c>
      <c r="J13" s="17">
        <v>166.96</v>
      </c>
      <c r="L13" s="89"/>
      <c r="M13" s="89"/>
      <c r="N13" s="89"/>
      <c r="O13" s="89"/>
      <c r="P13" s="89"/>
    </row>
    <row r="14" spans="1:16" ht="14.5" customHeight="1" x14ac:dyDescent="0.35">
      <c r="L14" s="89"/>
      <c r="M14" s="89"/>
      <c r="N14" s="89"/>
      <c r="O14" s="89"/>
      <c r="P14" s="89"/>
    </row>
    <row r="15" spans="1:16" x14ac:dyDescent="0.35">
      <c r="A15" s="1" t="s">
        <v>3</v>
      </c>
      <c r="B15" s="4">
        <v>1004.7142857142857</v>
      </c>
      <c r="C15" s="4">
        <v>402.71428571428572</v>
      </c>
      <c r="D15" s="4">
        <v>72.571428571428569</v>
      </c>
      <c r="E15" s="4">
        <v>224.28571428571428</v>
      </c>
      <c r="F15" s="4">
        <v>7.4285714285714288</v>
      </c>
      <c r="G15" s="4">
        <v>46.666666666666664</v>
      </c>
      <c r="H15" s="4">
        <v>7.0500000000000007</v>
      </c>
      <c r="I15" s="4">
        <v>771.16666666666663</v>
      </c>
      <c r="J15" s="4">
        <v>153.66666666666666</v>
      </c>
      <c r="L15" s="89"/>
      <c r="M15" s="89"/>
      <c r="N15" s="89"/>
      <c r="O15" s="89"/>
      <c r="P15" s="89"/>
    </row>
    <row r="16" spans="1:16" x14ac:dyDescent="0.35">
      <c r="A16" s="1" t="s">
        <v>4</v>
      </c>
      <c r="B16" s="4">
        <f>IFERROR(AVERAGE(B7:B13),"")</f>
        <v>1024.8585714285714</v>
      </c>
      <c r="C16" s="4">
        <f t="shared" ref="C16:J16" si="2">IFERROR(AVERAGE(C7:C13),"")</f>
        <v>441.96</v>
      </c>
      <c r="D16" s="4">
        <f t="shared" si="2"/>
        <v>62.690000000000005</v>
      </c>
      <c r="E16" s="4">
        <f t="shared" si="2"/>
        <v>192.67571428571429</v>
      </c>
      <c r="F16" s="4">
        <f t="shared" si="2"/>
        <v>7.5285714285714276</v>
      </c>
      <c r="G16" s="4">
        <f t="shared" si="2"/>
        <v>42.575714285714284</v>
      </c>
      <c r="H16" s="4">
        <f t="shared" si="2"/>
        <v>8.1142857142857139</v>
      </c>
      <c r="I16" s="4">
        <f t="shared" si="2"/>
        <v>821.93571428571431</v>
      </c>
      <c r="J16" s="4">
        <f t="shared" si="2"/>
        <v>174.88000000000002</v>
      </c>
      <c r="L16" s="89"/>
      <c r="M16" s="89"/>
      <c r="N16" s="89"/>
      <c r="O16" s="89"/>
      <c r="P16" s="89"/>
    </row>
    <row r="17" spans="1:10" x14ac:dyDescent="0.35">
      <c r="A17" s="1" t="s">
        <v>5</v>
      </c>
      <c r="B17" s="6">
        <f>IFERROR(-(B15-B16)/B15,"")</f>
        <v>2.0049765391724744E-2</v>
      </c>
      <c r="C17" s="6">
        <f t="shared" ref="C17:J17" si="3">IFERROR(-(C15-C16)/C15,"")</f>
        <v>9.7452997516849868E-2</v>
      </c>
      <c r="D17" s="6">
        <f t="shared" si="3"/>
        <v>-0.13616141732283454</v>
      </c>
      <c r="E17" s="6">
        <f t="shared" si="3"/>
        <v>-0.140936305732484</v>
      </c>
      <c r="F17" s="6">
        <f t="shared" si="3"/>
        <v>1.3461538461538294E-2</v>
      </c>
      <c r="G17" s="6">
        <f t="shared" si="3"/>
        <v>-8.7663265306122437E-2</v>
      </c>
      <c r="H17" s="6">
        <f t="shared" si="3"/>
        <v>0.15096251266464014</v>
      </c>
      <c r="I17" s="6">
        <f t="shared" si="3"/>
        <v>6.5834079471425569E-2</v>
      </c>
      <c r="J17" s="6">
        <f t="shared" si="3"/>
        <v>0.13804772234273341</v>
      </c>
    </row>
  </sheetData>
  <mergeCells count="3">
    <mergeCell ref="B1:F1"/>
    <mergeCell ref="G1:J1"/>
    <mergeCell ref="L11:P16"/>
  </mergeCells>
  <conditionalFormatting sqref="B4:B5">
    <cfRule type="top10" dxfId="228" priority="41" bottom="1" rank="1"/>
    <cfRule type="top10" dxfId="227" priority="42" rank="1"/>
  </conditionalFormatting>
  <conditionalFormatting sqref="B17">
    <cfRule type="cellIs" dxfId="226" priority="39" operator="greaterThanOrEqual">
      <formula>0</formula>
    </cfRule>
    <cfRule type="cellIs" dxfId="225" priority="40" operator="lessThan">
      <formula>0</formula>
    </cfRule>
  </conditionalFormatting>
  <conditionalFormatting sqref="C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24" priority="38" rank="1"/>
  </conditionalFormatting>
  <conditionalFormatting sqref="C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23" priority="37" bottom="1" rank="1"/>
  </conditionalFormatting>
  <conditionalFormatting sqref="D4:D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22" priority="5" operator="lessThan">
      <formula>0</formula>
    </cfRule>
    <cfRule type="cellIs" dxfId="221" priority="25" operator="greaterThanOrEqual">
      <formula>0</formula>
    </cfRule>
  </conditionalFormatting>
  <conditionalFormatting sqref="D17:J17">
    <cfRule type="cellIs" dxfId="220" priority="24" operator="greaterThanOrEqual">
      <formula>0</formula>
    </cfRule>
  </conditionalFormatting>
  <conditionalFormatting sqref="E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19" priority="11" operator="lessThan">
      <formula>0</formula>
    </cfRule>
  </conditionalFormatting>
  <conditionalFormatting sqref="H17">
    <cfRule type="cellIs" dxfId="218" priority="10" operator="lessThan">
      <formula>0</formula>
    </cfRule>
  </conditionalFormatting>
  <conditionalFormatting sqref="G17">
    <cfRule type="cellIs" dxfId="217" priority="9" operator="lessThan">
      <formula>0</formula>
    </cfRule>
  </conditionalFormatting>
  <conditionalFormatting sqref="F17">
    <cfRule type="cellIs" dxfId="216" priority="8" operator="lessThan">
      <formula>0</formula>
    </cfRule>
  </conditionalFormatting>
  <conditionalFormatting sqref="E17">
    <cfRule type="cellIs" dxfId="215" priority="7" operator="lessThan">
      <formula>0</formula>
    </cfRule>
  </conditionalFormatting>
  <conditionalFormatting sqref="D17">
    <cfRule type="cellIs" dxfId="214" priority="6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7"/>
  <sheetViews>
    <sheetView workbookViewId="0">
      <selection activeCell="H3" sqref="H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4">
        <f>IFERROR(AVERAGE(B7:B10),"")</f>
        <v>762.19749999999999</v>
      </c>
      <c r="C4" s="4">
        <f t="shared" ref="C4:J4" si="0">IFERROR(AVERAGE(C7:C10),"")</f>
        <v>402.69749999999999</v>
      </c>
      <c r="D4" s="4">
        <f t="shared" si="0"/>
        <v>60.585000000000008</v>
      </c>
      <c r="E4" s="4">
        <f t="shared" si="0"/>
        <v>177.22500000000002</v>
      </c>
      <c r="F4" s="4">
        <f t="shared" si="0"/>
        <v>6.1999999999999993</v>
      </c>
      <c r="G4" s="4">
        <f t="shared" si="0"/>
        <v>37.425000000000004</v>
      </c>
      <c r="H4" s="4">
        <f t="shared" si="0"/>
        <v>6.9</v>
      </c>
      <c r="I4" s="4">
        <f t="shared" si="0"/>
        <v>1007.4100000000001</v>
      </c>
      <c r="J4" s="4">
        <f t="shared" si="0"/>
        <v>156.92750000000001</v>
      </c>
    </row>
    <row r="5" spans="1:16" x14ac:dyDescent="0.35">
      <c r="A5" s="1" t="s">
        <v>2</v>
      </c>
      <c r="B5" s="4">
        <f>IFERROR(AVERAGE(B10:B13),"")</f>
        <v>862.43999999999994</v>
      </c>
      <c r="C5" s="18">
        <f t="shared" ref="C5:J5" si="1">IFERROR(AVERAGE(C10:C13),"")</f>
        <v>487.41499999999996</v>
      </c>
      <c r="D5" s="4">
        <f t="shared" si="1"/>
        <v>81.142500000000013</v>
      </c>
      <c r="E5" s="4">
        <f t="shared" si="1"/>
        <v>222.26</v>
      </c>
      <c r="F5" s="4">
        <f t="shared" si="1"/>
        <v>6.5074999999999994</v>
      </c>
      <c r="G5" s="19">
        <f t="shared" si="1"/>
        <v>37.392499999999998</v>
      </c>
      <c r="H5" s="4">
        <f t="shared" si="1"/>
        <v>8.0350000000000001</v>
      </c>
      <c r="I5" s="4">
        <f t="shared" si="1"/>
        <v>1072.865</v>
      </c>
      <c r="J5" s="4">
        <f t="shared" si="1"/>
        <v>209.31250000000003</v>
      </c>
    </row>
    <row r="7" spans="1:16" x14ac:dyDescent="0.35">
      <c r="A7" s="3">
        <v>43870</v>
      </c>
      <c r="B7" s="15">
        <v>770</v>
      </c>
      <c r="C7" s="15">
        <v>395.64</v>
      </c>
      <c r="D7" s="15">
        <v>53.94</v>
      </c>
      <c r="E7" s="15">
        <v>158.96</v>
      </c>
      <c r="F7" s="15">
        <v>6.1</v>
      </c>
      <c r="G7" s="15">
        <v>41.44</v>
      </c>
      <c r="H7" s="15">
        <v>6</v>
      </c>
      <c r="I7" s="15">
        <v>951</v>
      </c>
      <c r="J7" s="15">
        <v>123.8</v>
      </c>
    </row>
    <row r="8" spans="1:16" x14ac:dyDescent="0.35">
      <c r="A8" s="3">
        <v>43871</v>
      </c>
      <c r="B8" s="15">
        <v>964.72</v>
      </c>
      <c r="C8" s="15">
        <v>391.39</v>
      </c>
      <c r="D8" s="15">
        <v>62.65</v>
      </c>
      <c r="E8" s="15">
        <v>195.75</v>
      </c>
      <c r="F8" s="15">
        <v>6.6</v>
      </c>
      <c r="G8" s="15">
        <v>34.590000000000003</v>
      </c>
      <c r="H8" s="15">
        <v>6.4</v>
      </c>
      <c r="I8" s="15">
        <v>1043.04</v>
      </c>
      <c r="J8" s="15">
        <v>167.99</v>
      </c>
    </row>
    <row r="9" spans="1:16" x14ac:dyDescent="0.35">
      <c r="A9" s="3">
        <v>43872</v>
      </c>
      <c r="B9" s="15">
        <v>625.12</v>
      </c>
      <c r="C9" s="15">
        <v>431.18</v>
      </c>
      <c r="D9" s="15">
        <v>53.77</v>
      </c>
      <c r="E9" s="15">
        <v>156.96</v>
      </c>
      <c r="F9" s="15">
        <v>6.1</v>
      </c>
      <c r="G9" s="15">
        <v>39.770000000000003</v>
      </c>
      <c r="H9" s="15">
        <v>8.6</v>
      </c>
      <c r="I9" s="15">
        <v>1104.0899999999999</v>
      </c>
      <c r="J9" s="15">
        <v>189.61</v>
      </c>
    </row>
    <row r="10" spans="1:16" x14ac:dyDescent="0.35">
      <c r="A10" s="3">
        <v>43873</v>
      </c>
      <c r="B10" s="16">
        <v>688.95</v>
      </c>
      <c r="C10" s="16">
        <v>392.58</v>
      </c>
      <c r="D10" s="16">
        <v>71.98</v>
      </c>
      <c r="E10" s="16">
        <v>197.23</v>
      </c>
      <c r="F10" s="16">
        <v>6</v>
      </c>
      <c r="G10" s="16">
        <v>33.9</v>
      </c>
      <c r="H10" s="16">
        <v>6.6</v>
      </c>
      <c r="I10" s="16">
        <v>931.51</v>
      </c>
      <c r="J10" s="16">
        <v>146.31</v>
      </c>
    </row>
    <row r="11" spans="1:16" ht="14.5" customHeight="1" x14ac:dyDescent="0.35">
      <c r="A11" s="3">
        <v>43874</v>
      </c>
      <c r="B11" s="17">
        <v>1019.42</v>
      </c>
      <c r="C11" s="17">
        <v>466</v>
      </c>
      <c r="D11" s="17">
        <v>79.069999999999993</v>
      </c>
      <c r="E11" s="17">
        <v>252.7</v>
      </c>
      <c r="F11" s="17">
        <v>7.3</v>
      </c>
      <c r="G11" s="17">
        <v>35.29</v>
      </c>
      <c r="H11" s="17">
        <v>7.2</v>
      </c>
      <c r="I11" s="17">
        <v>1304.8800000000001</v>
      </c>
      <c r="J11" s="17">
        <v>173.28</v>
      </c>
      <c r="L11" s="89" t="s">
        <v>16</v>
      </c>
      <c r="M11" s="89"/>
      <c r="N11" s="89"/>
      <c r="O11" s="89"/>
      <c r="P11" s="89"/>
    </row>
    <row r="12" spans="1:16" x14ac:dyDescent="0.35">
      <c r="A12" s="3">
        <v>43875</v>
      </c>
      <c r="B12" s="17">
        <v>738.39</v>
      </c>
      <c r="C12" s="17">
        <v>539.80999999999995</v>
      </c>
      <c r="D12" s="17">
        <v>75.3</v>
      </c>
      <c r="E12" s="17">
        <v>194.11</v>
      </c>
      <c r="F12" s="17">
        <v>5.6</v>
      </c>
      <c r="G12" s="17">
        <v>38.19</v>
      </c>
      <c r="H12" s="17">
        <v>9.94</v>
      </c>
      <c r="I12" s="17">
        <v>1218</v>
      </c>
      <c r="J12" s="17">
        <v>261.3</v>
      </c>
      <c r="L12" s="89"/>
      <c r="M12" s="89"/>
      <c r="N12" s="89"/>
      <c r="O12" s="89"/>
      <c r="P12" s="89"/>
    </row>
    <row r="13" spans="1:16" x14ac:dyDescent="0.35">
      <c r="A13" s="3">
        <v>43876</v>
      </c>
      <c r="B13" s="17">
        <v>1003</v>
      </c>
      <c r="C13" s="17">
        <v>551.27</v>
      </c>
      <c r="D13" s="17">
        <v>98.22</v>
      </c>
      <c r="E13" s="17">
        <v>245</v>
      </c>
      <c r="F13" s="17">
        <v>7.13</v>
      </c>
      <c r="G13" s="17">
        <v>42.19</v>
      </c>
      <c r="H13" s="17">
        <v>8.4</v>
      </c>
      <c r="I13" s="17">
        <v>837.07</v>
      </c>
      <c r="J13" s="17">
        <v>256.36</v>
      </c>
      <c r="L13" s="89"/>
      <c r="M13" s="89"/>
      <c r="N13" s="89"/>
      <c r="O13" s="89"/>
      <c r="P13" s="89"/>
    </row>
    <row r="14" spans="1:16" ht="14.5" customHeight="1" x14ac:dyDescent="0.35">
      <c r="L14" s="89"/>
      <c r="M14" s="89"/>
      <c r="N14" s="89"/>
      <c r="O14" s="89"/>
      <c r="P14" s="89"/>
    </row>
    <row r="15" spans="1:16" x14ac:dyDescent="0.35">
      <c r="A15" s="1" t="s">
        <v>3</v>
      </c>
      <c r="B15" s="4">
        <v>1024.8585714285714</v>
      </c>
      <c r="C15" s="4">
        <v>441.96</v>
      </c>
      <c r="D15" s="4">
        <v>62.690000000000005</v>
      </c>
      <c r="E15" s="4">
        <v>192.67571428571429</v>
      </c>
      <c r="F15" s="4">
        <v>7.5285714285714276</v>
      </c>
      <c r="G15" s="4">
        <v>42.575714285714284</v>
      </c>
      <c r="H15" s="4">
        <v>8.1142857142857139</v>
      </c>
      <c r="I15" s="4">
        <v>821.93571428571431</v>
      </c>
      <c r="J15" s="4">
        <v>174.88000000000002</v>
      </c>
      <c r="L15" s="89"/>
      <c r="M15" s="89"/>
      <c r="N15" s="89"/>
      <c r="O15" s="89"/>
      <c r="P15" s="89"/>
    </row>
    <row r="16" spans="1:16" x14ac:dyDescent="0.35">
      <c r="A16" s="1" t="s">
        <v>4</v>
      </c>
      <c r="B16" s="4">
        <f>IFERROR(AVERAGE(B7:B13),"")</f>
        <v>829.94285714285718</v>
      </c>
      <c r="C16" s="4">
        <f t="shared" ref="C16:J16" si="2">IFERROR(AVERAGE(C7:C13),"")</f>
        <v>452.55285714285714</v>
      </c>
      <c r="D16" s="4">
        <f t="shared" si="2"/>
        <v>70.704285714285717</v>
      </c>
      <c r="E16" s="4">
        <f t="shared" si="2"/>
        <v>200.10142857142858</v>
      </c>
      <c r="F16" s="4">
        <f t="shared" si="2"/>
        <v>6.4042857142857139</v>
      </c>
      <c r="G16" s="4">
        <f t="shared" si="2"/>
        <v>37.910000000000004</v>
      </c>
      <c r="H16" s="4">
        <f t="shared" si="2"/>
        <v>7.5914285714285716</v>
      </c>
      <c r="I16" s="4">
        <f t="shared" si="2"/>
        <v>1055.6557142857143</v>
      </c>
      <c r="J16" s="4">
        <f t="shared" si="2"/>
        <v>188.37857142857143</v>
      </c>
      <c r="L16" s="89"/>
      <c r="M16" s="89"/>
      <c r="N16" s="89"/>
      <c r="O16" s="89"/>
      <c r="P16" s="89"/>
    </row>
    <row r="17" spans="1:10" x14ac:dyDescent="0.35">
      <c r="A17" s="1" t="s">
        <v>5</v>
      </c>
      <c r="B17" s="6">
        <f>IFERROR(-(B15-B16)/B15,"")</f>
        <v>-0.19018791443000491</v>
      </c>
      <c r="C17" s="6">
        <f t="shared" ref="C17:J17" si="3">IFERROR(-(C15-C16)/C15,"")</f>
        <v>2.3967909183765852E-2</v>
      </c>
      <c r="D17" s="6">
        <f t="shared" si="3"/>
        <v>0.12783993801699972</v>
      </c>
      <c r="E17" s="6">
        <f t="shared" si="3"/>
        <v>3.8539959814047321E-2</v>
      </c>
      <c r="F17" s="6">
        <f t="shared" si="3"/>
        <v>-0.14933586337760904</v>
      </c>
      <c r="G17" s="6">
        <f t="shared" si="3"/>
        <v>-0.10958628326007436</v>
      </c>
      <c r="H17" s="6">
        <f t="shared" si="3"/>
        <v>-6.4436619718309787E-2</v>
      </c>
      <c r="I17" s="6">
        <f t="shared" si="3"/>
        <v>0.28435313849710181</v>
      </c>
      <c r="J17" s="6">
        <f t="shared" si="3"/>
        <v>7.7187622533002098E-2</v>
      </c>
    </row>
  </sheetData>
  <mergeCells count="3">
    <mergeCell ref="B1:F1"/>
    <mergeCell ref="G1:J1"/>
    <mergeCell ref="L11:P16"/>
  </mergeCells>
  <conditionalFormatting sqref="B17">
    <cfRule type="cellIs" dxfId="213" priority="48" operator="greaterThanOrEqual">
      <formula>0</formula>
    </cfRule>
    <cfRule type="cellIs" dxfId="212" priority="49" operator="lessThan">
      <formula>0</formula>
    </cfRule>
  </conditionalFormatting>
  <conditionalFormatting sqref="C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11" priority="46" bottom="1" rank="1"/>
  </conditionalFormatting>
  <conditionalFormatting sqref="D4:D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4:F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10" priority="26" operator="lessThan">
      <formula>0</formula>
    </cfRule>
    <cfRule type="cellIs" dxfId="209" priority="38" operator="greaterThanOrEqual">
      <formula>0</formula>
    </cfRule>
  </conditionalFormatting>
  <conditionalFormatting sqref="D17:I17">
    <cfRule type="cellIs" dxfId="208" priority="37" operator="greaterThanOrEqual">
      <formula>0</formula>
    </cfRule>
  </conditionalFormatting>
  <conditionalFormatting sqref="E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07" priority="32" operator="lessThan">
      <formula>0</formula>
    </cfRule>
  </conditionalFormatting>
  <conditionalFormatting sqref="H17">
    <cfRule type="cellIs" dxfId="206" priority="31" operator="lessThan">
      <formula>0</formula>
    </cfRule>
  </conditionalFormatting>
  <conditionalFormatting sqref="G17">
    <cfRule type="cellIs" dxfId="205" priority="30" operator="lessThan">
      <formula>0</formula>
    </cfRule>
  </conditionalFormatting>
  <conditionalFormatting sqref="F17">
    <cfRule type="cellIs" dxfId="204" priority="29" operator="lessThan">
      <formula>0</formula>
    </cfRule>
  </conditionalFormatting>
  <conditionalFormatting sqref="E17">
    <cfRule type="cellIs" dxfId="203" priority="28" operator="lessThan">
      <formula>0</formula>
    </cfRule>
  </conditionalFormatting>
  <conditionalFormatting sqref="D17">
    <cfRule type="cellIs" dxfId="202" priority="27" operator="lessThan">
      <formula>0</formula>
    </cfRule>
  </conditionalFormatting>
  <conditionalFormatting sqref="B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ellIs" dxfId="201" priority="12" operator="greaterThanOrEqual">
      <formula>0</formula>
    </cfRule>
    <cfRule type="cellIs" dxfId="200" priority="13" operator="lessThan">
      <formula>0</formula>
    </cfRule>
  </conditionalFormatting>
  <conditionalFormatting sqref="C4:C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7"/>
  <sheetViews>
    <sheetView workbookViewId="0">
      <selection activeCell="G7" sqref="G7:G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1.81640625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900.53250000000003</v>
      </c>
      <c r="C4" s="4">
        <f t="shared" ref="C4:L4" si="0">IFERROR(AVERAGE(C7:C10),"")</f>
        <v>376.26</v>
      </c>
      <c r="D4" s="4">
        <f t="shared" si="0"/>
        <v>65.587500000000006</v>
      </c>
      <c r="E4" s="4">
        <f>IFERROR(AVERAGE(E7:E10),"")</f>
        <v>182.38249999999999</v>
      </c>
      <c r="F4" s="24">
        <f t="shared" si="0"/>
        <v>71464.25</v>
      </c>
      <c r="G4" s="4">
        <f t="shared" si="0"/>
        <v>6.45</v>
      </c>
      <c r="H4" s="4">
        <f t="shared" si="0"/>
        <v>30.914999999999999</v>
      </c>
      <c r="I4" s="24">
        <f>IFERROR(AVERAGE(I7:I10),"")</f>
        <v>17030</v>
      </c>
      <c r="J4" s="4">
        <f t="shared" si="0"/>
        <v>10.524999999999999</v>
      </c>
      <c r="K4" s="4">
        <f t="shared" si="0"/>
        <v>1019.6599999999999</v>
      </c>
      <c r="L4" s="4">
        <f t="shared" si="0"/>
        <v>196.25</v>
      </c>
    </row>
    <row r="5" spans="1:18" x14ac:dyDescent="0.35">
      <c r="A5" s="1" t="s">
        <v>2</v>
      </c>
      <c r="B5" s="4">
        <f>IFERROR(AVERAGE(B10:B13),"")</f>
        <v>1212.68</v>
      </c>
      <c r="C5" s="18">
        <f t="shared" ref="C5:L5" si="1">IFERROR(AVERAGE(C10:C13),"")</f>
        <v>497.66500000000002</v>
      </c>
      <c r="D5" s="4">
        <f t="shared" si="1"/>
        <v>65.02000000000001</v>
      </c>
      <c r="E5" s="4">
        <f t="shared" si="1"/>
        <v>251.41500000000002</v>
      </c>
      <c r="F5" s="24">
        <f t="shared" si="1"/>
        <v>84317</v>
      </c>
      <c r="G5" s="4">
        <f t="shared" si="1"/>
        <v>10.025</v>
      </c>
      <c r="H5" s="20">
        <f t="shared" si="1"/>
        <v>39.147499999999994</v>
      </c>
      <c r="I5" s="25">
        <f t="shared" si="1"/>
        <v>31592</v>
      </c>
      <c r="J5" s="4">
        <f t="shared" si="1"/>
        <v>7.7725</v>
      </c>
      <c r="K5" s="4">
        <f t="shared" si="1"/>
        <v>1256.5625</v>
      </c>
      <c r="L5" s="4">
        <f t="shared" si="1"/>
        <v>255.13749999999999</v>
      </c>
    </row>
    <row r="6" spans="1:18" x14ac:dyDescent="0.35">
      <c r="F6" s="22"/>
      <c r="I6" s="22"/>
    </row>
    <row r="7" spans="1:18" x14ac:dyDescent="0.35">
      <c r="A7" s="3">
        <v>43877</v>
      </c>
      <c r="B7" s="15">
        <v>984.65</v>
      </c>
      <c r="C7" s="15">
        <v>404.78</v>
      </c>
      <c r="D7" s="15">
        <v>62.42</v>
      </c>
      <c r="E7" s="15">
        <v>217.75</v>
      </c>
      <c r="F7" s="26">
        <v>78783</v>
      </c>
      <c r="G7" s="15">
        <v>7.3</v>
      </c>
      <c r="H7" s="15">
        <v>27.16</v>
      </c>
      <c r="I7" s="26">
        <v>9895</v>
      </c>
      <c r="J7" s="15">
        <v>12.6</v>
      </c>
      <c r="K7" s="15">
        <v>1102.5899999999999</v>
      </c>
      <c r="L7" s="15">
        <v>252.49</v>
      </c>
    </row>
    <row r="8" spans="1:18" x14ac:dyDescent="0.35">
      <c r="A8" s="3">
        <v>43878</v>
      </c>
      <c r="B8" s="15">
        <v>744.91</v>
      </c>
      <c r="C8" s="15">
        <v>321.02</v>
      </c>
      <c r="D8" s="15">
        <v>66.180000000000007</v>
      </c>
      <c r="E8" s="15">
        <v>147.43</v>
      </c>
      <c r="F8" s="26">
        <v>65670</v>
      </c>
      <c r="G8" s="15">
        <v>4.7</v>
      </c>
      <c r="H8" s="15">
        <v>31.44</v>
      </c>
      <c r="I8" s="26">
        <v>6122</v>
      </c>
      <c r="J8" s="15">
        <v>6.3</v>
      </c>
      <c r="K8" s="15">
        <v>455.3</v>
      </c>
      <c r="L8" s="15">
        <v>91.39</v>
      </c>
    </row>
    <row r="9" spans="1:18" x14ac:dyDescent="0.35">
      <c r="A9" s="3">
        <v>43879</v>
      </c>
      <c r="B9" s="15">
        <v>871.32</v>
      </c>
      <c r="C9" s="15">
        <v>372.12</v>
      </c>
      <c r="D9" s="15">
        <v>64.58</v>
      </c>
      <c r="E9" s="15">
        <v>139.97</v>
      </c>
      <c r="F9" s="26">
        <v>49322</v>
      </c>
      <c r="G9" s="15">
        <v>5.5</v>
      </c>
      <c r="H9" s="15">
        <v>27.93</v>
      </c>
      <c r="I9" s="26">
        <v>16702</v>
      </c>
      <c r="J9" s="15">
        <v>13</v>
      </c>
      <c r="K9" s="15">
        <v>1091.93</v>
      </c>
      <c r="L9" s="15">
        <v>192.13</v>
      </c>
    </row>
    <row r="10" spans="1:18" x14ac:dyDescent="0.35">
      <c r="A10" s="3">
        <v>43880</v>
      </c>
      <c r="B10" s="16">
        <v>1001.25</v>
      </c>
      <c r="C10" s="16">
        <v>407.12</v>
      </c>
      <c r="D10" s="16">
        <v>69.17</v>
      </c>
      <c r="E10" s="16">
        <v>224.38</v>
      </c>
      <c r="F10" s="23">
        <v>92082</v>
      </c>
      <c r="G10" s="16">
        <v>8.3000000000000007</v>
      </c>
      <c r="H10" s="16">
        <v>37.130000000000003</v>
      </c>
      <c r="I10" s="23">
        <v>35401</v>
      </c>
      <c r="J10" s="16">
        <v>10.199999999999999</v>
      </c>
      <c r="K10" s="16">
        <v>1428.82</v>
      </c>
      <c r="L10" s="16">
        <v>248.99</v>
      </c>
    </row>
    <row r="11" spans="1:18" ht="14.5" customHeight="1" x14ac:dyDescent="0.35">
      <c r="A11" s="3">
        <v>43881</v>
      </c>
      <c r="B11" s="17">
        <v>1062.4000000000001</v>
      </c>
      <c r="C11" s="17">
        <v>474.54</v>
      </c>
      <c r="D11" s="17">
        <v>55.98</v>
      </c>
      <c r="E11" s="17">
        <v>209.48</v>
      </c>
      <c r="F11" s="27">
        <v>83686</v>
      </c>
      <c r="G11" s="17">
        <v>11.5</v>
      </c>
      <c r="H11" s="17">
        <v>45.81</v>
      </c>
      <c r="I11" s="27">
        <v>30612</v>
      </c>
      <c r="J11" s="17">
        <v>7.5</v>
      </c>
      <c r="K11" s="17">
        <v>1309.33</v>
      </c>
      <c r="L11" s="17">
        <v>232.3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43882</v>
      </c>
      <c r="B12" s="17">
        <v>1307.17</v>
      </c>
      <c r="C12" s="17">
        <v>598.79999999999995</v>
      </c>
      <c r="D12" s="17">
        <v>73.87</v>
      </c>
      <c r="E12" s="17">
        <v>254.87</v>
      </c>
      <c r="F12" s="27">
        <v>72876</v>
      </c>
      <c r="G12" s="17">
        <v>8</v>
      </c>
      <c r="H12" s="17">
        <v>34.82</v>
      </c>
      <c r="I12" s="27">
        <v>33155</v>
      </c>
      <c r="J12" s="17">
        <v>8.25</v>
      </c>
      <c r="K12" s="17">
        <v>1292.48</v>
      </c>
      <c r="L12" s="17">
        <v>287.45999999999998</v>
      </c>
      <c r="N12" s="89"/>
      <c r="O12" s="89"/>
      <c r="P12" s="89"/>
      <c r="Q12" s="89"/>
      <c r="R12" s="89"/>
    </row>
    <row r="13" spans="1:18" x14ac:dyDescent="0.35">
      <c r="A13" s="3">
        <v>43883</v>
      </c>
      <c r="B13" s="17">
        <v>1479.9</v>
      </c>
      <c r="C13" s="17">
        <v>510.2</v>
      </c>
      <c r="D13" s="17">
        <v>61.06</v>
      </c>
      <c r="E13" s="17">
        <v>316.93</v>
      </c>
      <c r="F13" s="27">
        <v>88624</v>
      </c>
      <c r="G13" s="17">
        <v>12.3</v>
      </c>
      <c r="H13" s="17">
        <v>38.83</v>
      </c>
      <c r="I13" s="27">
        <v>27200</v>
      </c>
      <c r="J13" s="17">
        <v>5.14</v>
      </c>
      <c r="K13" s="17">
        <v>995.62</v>
      </c>
      <c r="L13" s="17">
        <v>251.8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829.94285714285718</v>
      </c>
      <c r="C15" s="4">
        <v>452.55285714285714</v>
      </c>
      <c r="D15" s="4">
        <v>70.704285714285717</v>
      </c>
      <c r="E15" s="4">
        <v>200.10142857142858</v>
      </c>
      <c r="F15" s="21">
        <v>498713</v>
      </c>
      <c r="G15" s="4">
        <v>6.4042857142857139</v>
      </c>
      <c r="H15" s="4">
        <v>37.910000000000004</v>
      </c>
      <c r="I15" s="21">
        <v>225892</v>
      </c>
      <c r="J15" s="4">
        <v>7.5914285714285716</v>
      </c>
      <c r="K15" s="4">
        <v>1055.6557142857143</v>
      </c>
      <c r="L15" s="4">
        <v>188.37857142857143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>IFERROR(AVERAGE(B7:B13),"")</f>
        <v>1064.5142857142857</v>
      </c>
      <c r="C16" s="4">
        <f t="shared" ref="C16:L16" si="2">IFERROR(AVERAGE(C7:C13),"")</f>
        <v>441.22571428571428</v>
      </c>
      <c r="D16" s="4">
        <f t="shared" si="2"/>
        <v>64.751428571428576</v>
      </c>
      <c r="E16" s="4">
        <f t="shared" si="2"/>
        <v>215.83</v>
      </c>
      <c r="F16" s="4">
        <f t="shared" si="2"/>
        <v>75863.28571428571</v>
      </c>
      <c r="G16" s="4">
        <f t="shared" si="2"/>
        <v>8.2285714285714278</v>
      </c>
      <c r="H16" s="4">
        <f t="shared" si="2"/>
        <v>34.731428571428573</v>
      </c>
      <c r="I16" s="4">
        <f t="shared" si="2"/>
        <v>22726.714285714286</v>
      </c>
      <c r="J16" s="4">
        <f t="shared" si="2"/>
        <v>8.9985714285714273</v>
      </c>
      <c r="K16" s="4">
        <f t="shared" si="2"/>
        <v>1096.5814285714284</v>
      </c>
      <c r="L16" s="4">
        <f t="shared" si="2"/>
        <v>222.36571428571429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0.28263563756540894</v>
      </c>
      <c r="C17" s="6">
        <f t="shared" ref="C17:L17" si="3">IFERROR(-(C15-C16)/C15,"")</f>
        <v>-2.5029436182671644E-2</v>
      </c>
      <c r="D17" s="6">
        <f t="shared" si="3"/>
        <v>-8.4193724365061701E-2</v>
      </c>
      <c r="E17" s="6">
        <f t="shared" si="3"/>
        <v>7.8602994195800691E-2</v>
      </c>
      <c r="F17" s="6">
        <f t="shared" si="3"/>
        <v>-0.84788187652159519</v>
      </c>
      <c r="G17" s="6">
        <f t="shared" si="3"/>
        <v>0.28485389248271242</v>
      </c>
      <c r="H17" s="6">
        <f t="shared" si="3"/>
        <v>-8.3845197271733854E-2</v>
      </c>
      <c r="I17" s="6">
        <f t="shared" si="3"/>
        <v>-0.89939123879679539</v>
      </c>
      <c r="J17" s="6">
        <f t="shared" si="3"/>
        <v>0.18535942792623239</v>
      </c>
      <c r="K17" s="6">
        <f t="shared" si="3"/>
        <v>3.8768050730825204E-2</v>
      </c>
      <c r="L17" s="6">
        <f t="shared" si="3"/>
        <v>0.1804193682933303</v>
      </c>
    </row>
  </sheetData>
  <mergeCells count="3">
    <mergeCell ref="B1:G1"/>
    <mergeCell ref="H1:L1"/>
    <mergeCell ref="N11:R16"/>
  </mergeCells>
  <conditionalFormatting sqref="B17">
    <cfRule type="cellIs" dxfId="199" priority="45" operator="greaterThanOrEqual">
      <formula>0</formula>
    </cfRule>
    <cfRule type="cellIs" dxfId="198" priority="46" operator="lessThan">
      <formula>0</formula>
    </cfRule>
  </conditionalFormatting>
  <conditionalFormatting sqref="C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97" priority="44" bottom="1" rank="1"/>
  </conditionalFormatting>
  <conditionalFormatting sqref="D4:D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96" priority="31" operator="lessThan">
      <formula>0</formula>
    </cfRule>
    <cfRule type="cellIs" dxfId="195" priority="42" operator="greaterThanOrEqual">
      <formula>0</formula>
    </cfRule>
  </conditionalFormatting>
  <conditionalFormatting sqref="D17:K17">
    <cfRule type="cellIs" dxfId="194" priority="41" operator="greaterThanOrEqual">
      <formula>0</formula>
    </cfRule>
  </conditionalFormatting>
  <conditionalFormatting sqref="E4:F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93" priority="37" operator="lessThan">
      <formula>0</formula>
    </cfRule>
  </conditionalFormatting>
  <conditionalFormatting sqref="J17">
    <cfRule type="cellIs" dxfId="192" priority="36" operator="lessThan">
      <formula>0</formula>
    </cfRule>
  </conditionalFormatting>
  <conditionalFormatting sqref="H17:I17">
    <cfRule type="cellIs" dxfId="191" priority="35" operator="lessThan">
      <formula>0</formula>
    </cfRule>
  </conditionalFormatting>
  <conditionalFormatting sqref="G17">
    <cfRule type="cellIs" dxfId="190" priority="34" operator="lessThan">
      <formula>0</formula>
    </cfRule>
  </conditionalFormatting>
  <conditionalFormatting sqref="E17:F17">
    <cfRule type="cellIs" dxfId="189" priority="33" operator="lessThan">
      <formula>0</formula>
    </cfRule>
  </conditionalFormatting>
  <conditionalFormatting sqref="D17">
    <cfRule type="cellIs" dxfId="188" priority="32" operator="lessThan">
      <formula>0</formula>
    </cfRule>
  </conditionalFormatting>
  <conditionalFormatting sqref="B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87" priority="22" operator="greaterThanOrEqual">
      <formula>0</formula>
    </cfRule>
    <cfRule type="cellIs" dxfId="186" priority="23" operator="lessThan">
      <formula>0</formula>
    </cfRule>
  </conditionalFormatting>
  <conditionalFormatting sqref="C4:C5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5">
      <colorScale>
        <cfvo type="min"/>
        <cfvo type="max"/>
        <color rgb="FFFFEF9C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7"/>
  <sheetViews>
    <sheetView workbookViewId="0">
      <selection activeCell="G7" sqref="G7:G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1.81640625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1567.0325</v>
      </c>
      <c r="C4" s="4">
        <f t="shared" ref="C4:L4" si="0">IFERROR(AVERAGE(C7:C10),"")</f>
        <v>248.13749999999999</v>
      </c>
      <c r="D4" s="4">
        <f t="shared" si="0"/>
        <v>55.552499999999995</v>
      </c>
      <c r="E4" s="4">
        <f>IFERROR(AVERAGE(E7:E10),"")</f>
        <v>247.02750000000003</v>
      </c>
      <c r="F4" s="24">
        <f t="shared" si="0"/>
        <v>41759.5</v>
      </c>
      <c r="G4" s="4">
        <f t="shared" si="0"/>
        <v>12.8675</v>
      </c>
      <c r="H4" s="4">
        <f t="shared" si="0"/>
        <v>45.407499999999999</v>
      </c>
      <c r="I4" s="24">
        <f>IFERROR(AVERAGE(I7:I10),"")</f>
        <v>20581.75</v>
      </c>
      <c r="J4" s="4">
        <f t="shared" si="0"/>
        <v>5.9075000000000006</v>
      </c>
      <c r="K4" s="4">
        <f t="shared" si="0"/>
        <v>986.65249999999992</v>
      </c>
      <c r="L4" s="4">
        <f t="shared" si="0"/>
        <v>172.82499999999999</v>
      </c>
    </row>
    <row r="5" spans="1:18" x14ac:dyDescent="0.35">
      <c r="A5" s="1" t="s">
        <v>2</v>
      </c>
      <c r="B5" s="4">
        <f>IFERROR(AVERAGE(B10:B13),"")</f>
        <v>993.80250000000001</v>
      </c>
      <c r="C5" s="18">
        <f t="shared" ref="C5:L5" si="1">IFERROR(AVERAGE(C10:C13),"")</f>
        <v>280.83249999999998</v>
      </c>
      <c r="D5" s="4">
        <f t="shared" si="1"/>
        <v>56.352499999999992</v>
      </c>
      <c r="E5" s="4">
        <f t="shared" si="1"/>
        <v>223.97500000000002</v>
      </c>
      <c r="F5" s="24">
        <f t="shared" si="1"/>
        <v>42996</v>
      </c>
      <c r="G5" s="4">
        <f t="shared" si="1"/>
        <v>21.324999999999999</v>
      </c>
      <c r="H5" s="20">
        <f t="shared" si="1"/>
        <v>40.299999999999997</v>
      </c>
      <c r="I5" s="25">
        <f t="shared" si="1"/>
        <v>31336</v>
      </c>
      <c r="J5" s="4">
        <f t="shared" si="1"/>
        <v>8.9749999999999996</v>
      </c>
      <c r="K5" s="4">
        <f t="shared" si="1"/>
        <v>1248.3599999999999</v>
      </c>
      <c r="L5" s="4">
        <f t="shared" si="1"/>
        <v>243.55250000000001</v>
      </c>
    </row>
    <row r="6" spans="1:18" x14ac:dyDescent="0.35">
      <c r="F6" s="22"/>
      <c r="I6" s="22"/>
    </row>
    <row r="7" spans="1:18" x14ac:dyDescent="0.35">
      <c r="A7" s="3">
        <v>43884</v>
      </c>
      <c r="B7" s="15">
        <v>1582.13</v>
      </c>
      <c r="C7" s="15">
        <v>190.83</v>
      </c>
      <c r="D7" s="15">
        <v>46.34</v>
      </c>
      <c r="E7" s="15">
        <v>266.92</v>
      </c>
      <c r="F7" s="26">
        <v>37326</v>
      </c>
      <c r="G7" s="15">
        <v>14.3</v>
      </c>
      <c r="H7" s="15">
        <v>48.08</v>
      </c>
      <c r="I7" s="26">
        <v>21069</v>
      </c>
      <c r="J7" s="15">
        <v>4.2300000000000004</v>
      </c>
      <c r="K7" s="15">
        <v>909.83</v>
      </c>
      <c r="L7" s="15">
        <v>115.15</v>
      </c>
    </row>
    <row r="8" spans="1:18" x14ac:dyDescent="0.35">
      <c r="A8" s="3">
        <v>43885</v>
      </c>
      <c r="B8" s="15">
        <v>2438.7399999999998</v>
      </c>
      <c r="C8" s="15">
        <v>371.7</v>
      </c>
      <c r="D8" s="15">
        <v>58.69</v>
      </c>
      <c r="E8" s="15">
        <v>270.5</v>
      </c>
      <c r="F8" s="26">
        <v>38207</v>
      </c>
      <c r="G8" s="15">
        <v>11.7</v>
      </c>
      <c r="H8" s="15">
        <v>46.48</v>
      </c>
      <c r="I8" s="26">
        <v>14938</v>
      </c>
      <c r="J8" s="15">
        <v>5.3</v>
      </c>
      <c r="K8" s="15">
        <v>771.77</v>
      </c>
      <c r="L8" s="15">
        <v>167.05</v>
      </c>
    </row>
    <row r="9" spans="1:18" x14ac:dyDescent="0.35">
      <c r="A9" s="3">
        <v>43886</v>
      </c>
      <c r="B9" s="15">
        <v>1375.16</v>
      </c>
      <c r="C9" s="15">
        <v>212.32</v>
      </c>
      <c r="D9" s="15">
        <v>68.88</v>
      </c>
      <c r="E9" s="15">
        <v>287.19</v>
      </c>
      <c r="F9" s="26">
        <v>55035</v>
      </c>
      <c r="G9" s="15">
        <v>13.97</v>
      </c>
      <c r="H9" s="15">
        <v>43.47</v>
      </c>
      <c r="I9" s="26">
        <v>19585</v>
      </c>
      <c r="J9" s="15">
        <v>7.2</v>
      </c>
      <c r="K9" s="15">
        <v>1124.71</v>
      </c>
      <c r="L9" s="15">
        <v>219.9</v>
      </c>
    </row>
    <row r="10" spans="1:18" x14ac:dyDescent="0.35">
      <c r="A10" s="3">
        <v>43887</v>
      </c>
      <c r="B10" s="16">
        <v>872.1</v>
      </c>
      <c r="C10" s="16">
        <v>217.7</v>
      </c>
      <c r="D10" s="16">
        <v>48.3</v>
      </c>
      <c r="E10" s="16">
        <v>163.5</v>
      </c>
      <c r="F10" s="23">
        <v>36470</v>
      </c>
      <c r="G10" s="16">
        <v>11.5</v>
      </c>
      <c r="H10" s="16">
        <v>43.6</v>
      </c>
      <c r="I10" s="23">
        <v>26735</v>
      </c>
      <c r="J10" s="16">
        <v>6.9</v>
      </c>
      <c r="K10" s="16">
        <v>1140.3</v>
      </c>
      <c r="L10" s="16">
        <v>189.2</v>
      </c>
    </row>
    <row r="11" spans="1:18" ht="14.5" customHeight="1" x14ac:dyDescent="0.35">
      <c r="A11" s="3">
        <v>43888</v>
      </c>
      <c r="B11" s="17">
        <v>1009.4</v>
      </c>
      <c r="C11" s="17">
        <v>418</v>
      </c>
      <c r="D11" s="17">
        <v>41.7</v>
      </c>
      <c r="E11" s="17">
        <v>249.5</v>
      </c>
      <c r="F11" s="27">
        <v>51346</v>
      </c>
      <c r="G11" s="17">
        <v>27.1</v>
      </c>
      <c r="H11" s="17">
        <v>42.4</v>
      </c>
      <c r="I11" s="27">
        <v>35351</v>
      </c>
      <c r="J11" s="17">
        <v>9.6</v>
      </c>
      <c r="K11" s="17">
        <v>1133.3</v>
      </c>
      <c r="L11" s="17">
        <v>256.5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43889</v>
      </c>
      <c r="B12" s="17">
        <v>728.5</v>
      </c>
      <c r="C12" s="17">
        <v>175.5</v>
      </c>
      <c r="D12" s="17">
        <v>60.2</v>
      </c>
      <c r="E12" s="17">
        <v>192.2</v>
      </c>
      <c r="F12" s="27">
        <v>42597</v>
      </c>
      <c r="G12" s="17">
        <v>30.9</v>
      </c>
      <c r="H12" s="17">
        <v>35.299999999999997</v>
      </c>
      <c r="I12" s="27">
        <v>33627</v>
      </c>
      <c r="J12" s="17">
        <v>10.7</v>
      </c>
      <c r="K12" s="17">
        <v>1340.1</v>
      </c>
      <c r="L12" s="17">
        <v>261.7</v>
      </c>
      <c r="N12" s="89"/>
      <c r="O12" s="89"/>
      <c r="P12" s="89"/>
      <c r="Q12" s="89"/>
      <c r="R12" s="89"/>
    </row>
    <row r="13" spans="1:18" x14ac:dyDescent="0.35">
      <c r="A13" s="3">
        <v>43890</v>
      </c>
      <c r="B13" s="17">
        <v>1365.21</v>
      </c>
      <c r="C13" s="17">
        <v>312.13</v>
      </c>
      <c r="D13" s="17">
        <v>75.209999999999994</v>
      </c>
      <c r="E13" s="17">
        <v>290.7</v>
      </c>
      <c r="F13" s="27">
        <v>41571</v>
      </c>
      <c r="G13" s="17">
        <v>15.8</v>
      </c>
      <c r="H13" s="17">
        <v>39.9</v>
      </c>
      <c r="I13" s="27">
        <v>29631</v>
      </c>
      <c r="J13" s="17">
        <v>8.6999999999999993</v>
      </c>
      <c r="K13" s="17">
        <v>1379.74</v>
      </c>
      <c r="L13" s="17">
        <v>266.81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1064.5142857142857</v>
      </c>
      <c r="C15" s="4">
        <v>441.22571428571428</v>
      </c>
      <c r="D15" s="4">
        <v>64.751428571428576</v>
      </c>
      <c r="E15" s="4">
        <v>215.83</v>
      </c>
      <c r="F15" s="21">
        <v>75863.28571428571</v>
      </c>
      <c r="G15" s="4">
        <v>8.2285714285714278</v>
      </c>
      <c r="H15" s="4">
        <v>34.731428571428573</v>
      </c>
      <c r="I15" s="21">
        <v>22726.714285714286</v>
      </c>
      <c r="J15" s="4">
        <v>8.9985714285714273</v>
      </c>
      <c r="K15" s="4">
        <v>1096.5814285714284</v>
      </c>
      <c r="L15" s="4">
        <v>222.36571428571429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>IFERROR(AVERAGE(B7:B13),"")</f>
        <v>1338.7485714285715</v>
      </c>
      <c r="C16" s="4">
        <f t="shared" ref="C16:L16" si="2">IFERROR(AVERAGE(C7:C13),"")</f>
        <v>271.1685714285714</v>
      </c>
      <c r="D16" s="4">
        <f t="shared" si="2"/>
        <v>57.045714285714276</v>
      </c>
      <c r="E16" s="4">
        <f t="shared" si="2"/>
        <v>245.7871428571429</v>
      </c>
      <c r="F16" s="4">
        <f t="shared" si="2"/>
        <v>43221.714285714283</v>
      </c>
      <c r="G16" s="4">
        <f t="shared" si="2"/>
        <v>17.895714285714284</v>
      </c>
      <c r="H16" s="4">
        <f t="shared" si="2"/>
        <v>42.747142857142855</v>
      </c>
      <c r="I16" s="4">
        <f t="shared" si="2"/>
        <v>25848</v>
      </c>
      <c r="J16" s="4">
        <f t="shared" si="2"/>
        <v>7.5185714285714296</v>
      </c>
      <c r="K16" s="4">
        <f t="shared" si="2"/>
        <v>1114.25</v>
      </c>
      <c r="L16" s="4">
        <f t="shared" si="2"/>
        <v>210.90142857142857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0.2576144720596919</v>
      </c>
      <c r="C17" s="6">
        <f t="shared" ref="C17:L17" si="3">IFERROR(-(C15-C16)/C15,"")</f>
        <v>-0.38541983694772358</v>
      </c>
      <c r="D17" s="6">
        <f t="shared" si="3"/>
        <v>-0.11900454485284406</v>
      </c>
      <c r="E17" s="6">
        <f t="shared" si="3"/>
        <v>0.13879971670825594</v>
      </c>
      <c r="F17" s="6">
        <f t="shared" si="3"/>
        <v>-0.43026835868281854</v>
      </c>
      <c r="G17" s="6">
        <f t="shared" si="3"/>
        <v>1.174826388888889</v>
      </c>
      <c r="H17" s="6">
        <f t="shared" si="3"/>
        <v>0.23079137874300742</v>
      </c>
      <c r="I17" s="6">
        <f t="shared" si="3"/>
        <v>0.1373399460672462</v>
      </c>
      <c r="J17" s="6">
        <f t="shared" si="3"/>
        <v>-0.164470550881092</v>
      </c>
      <c r="K17" s="6">
        <f t="shared" si="3"/>
        <v>1.6112411689836202E-2</v>
      </c>
      <c r="L17" s="6">
        <f t="shared" si="3"/>
        <v>-5.1555995271624647E-2</v>
      </c>
    </row>
  </sheetData>
  <mergeCells count="3">
    <mergeCell ref="B1:G1"/>
    <mergeCell ref="H1:L1"/>
    <mergeCell ref="N11:R16"/>
  </mergeCells>
  <conditionalFormatting sqref="B17">
    <cfRule type="cellIs" dxfId="185" priority="41" operator="greaterThanOrEqual">
      <formula>0</formula>
    </cfRule>
    <cfRule type="cellIs" dxfId="18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8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82" priority="27" operator="lessThan">
      <formula>0</formula>
    </cfRule>
    <cfRule type="cellIs" dxfId="181" priority="38" operator="greaterThanOrEqual">
      <formula>0</formula>
    </cfRule>
  </conditionalFormatting>
  <conditionalFormatting sqref="D17:K17">
    <cfRule type="cellIs" dxfId="18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79" priority="33" operator="lessThan">
      <formula>0</formula>
    </cfRule>
  </conditionalFormatting>
  <conditionalFormatting sqref="J17">
    <cfRule type="cellIs" dxfId="178" priority="32" operator="lessThan">
      <formula>0</formula>
    </cfRule>
  </conditionalFormatting>
  <conditionalFormatting sqref="H17:I17">
    <cfRule type="cellIs" dxfId="177" priority="31" operator="lessThan">
      <formula>0</formula>
    </cfRule>
  </conditionalFormatting>
  <conditionalFormatting sqref="G17">
    <cfRule type="cellIs" dxfId="176" priority="30" operator="lessThan">
      <formula>0</formula>
    </cfRule>
  </conditionalFormatting>
  <conditionalFormatting sqref="E17:F17">
    <cfRule type="cellIs" dxfId="175" priority="29" operator="lessThan">
      <formula>0</formula>
    </cfRule>
  </conditionalFormatting>
  <conditionalFormatting sqref="D17">
    <cfRule type="cellIs" dxfId="17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73" priority="18" operator="greaterThanOrEqual">
      <formula>0</formula>
    </cfRule>
    <cfRule type="cellIs" dxfId="17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7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1243.03</v>
      </c>
      <c r="C4" s="4">
        <f t="shared" si="0"/>
        <v>398.22250000000003</v>
      </c>
      <c r="D4" s="4">
        <f t="shared" si="0"/>
        <v>72.622500000000002</v>
      </c>
      <c r="E4" s="4">
        <f t="shared" si="0"/>
        <v>271.745</v>
      </c>
      <c r="F4" s="24">
        <f t="shared" si="0"/>
        <v>46258.75</v>
      </c>
      <c r="G4" s="4">
        <f t="shared" si="0"/>
        <v>21.035</v>
      </c>
      <c r="H4" s="4">
        <f t="shared" si="0"/>
        <v>48.395000000000003</v>
      </c>
      <c r="I4" s="24">
        <f t="shared" si="0"/>
        <v>18875.5</v>
      </c>
      <c r="J4" s="4">
        <f t="shared" si="0"/>
        <v>6.25</v>
      </c>
      <c r="K4" s="4">
        <f t="shared" si="0"/>
        <v>1385.5475000000001</v>
      </c>
      <c r="L4" s="4">
        <f t="shared" si="0"/>
        <v>201.92500000000001</v>
      </c>
    </row>
    <row r="5" spans="1:18" x14ac:dyDescent="0.35">
      <c r="A5" s="1" t="s">
        <v>2</v>
      </c>
      <c r="B5" s="4" t="str">
        <f>IFERROR(AVERAGE(B10:B13),"")</f>
        <v/>
      </c>
      <c r="C5" s="18">
        <f t="shared" ref="C5:L5" si="1">IFERROR(AVERAGE(C10:C13),"")</f>
        <v>384.495</v>
      </c>
      <c r="D5" s="4">
        <f t="shared" si="1"/>
        <v>81.0625</v>
      </c>
      <c r="E5" s="4">
        <f t="shared" si="1"/>
        <v>289.21000000000004</v>
      </c>
      <c r="F5" s="24">
        <f t="shared" si="1"/>
        <v>36790.5</v>
      </c>
      <c r="G5" s="4">
        <f t="shared" si="1"/>
        <v>24.4</v>
      </c>
      <c r="H5" s="20">
        <f t="shared" si="1"/>
        <v>47.274999999999999</v>
      </c>
      <c r="I5" s="25">
        <f t="shared" si="1"/>
        <v>24312.75</v>
      </c>
      <c r="J5" s="4">
        <f t="shared" si="1"/>
        <v>9</v>
      </c>
      <c r="K5" s="4">
        <f t="shared" si="1"/>
        <v>1475.675</v>
      </c>
      <c r="L5" s="4">
        <f t="shared" si="1"/>
        <v>301.505</v>
      </c>
    </row>
    <row r="6" spans="1:18" x14ac:dyDescent="0.35">
      <c r="F6" s="22"/>
      <c r="I6" s="22"/>
    </row>
    <row r="7" spans="1:18" x14ac:dyDescent="0.35">
      <c r="A7" s="3">
        <v>43891</v>
      </c>
      <c r="B7" s="15">
        <v>1304.67</v>
      </c>
      <c r="C7" s="15">
        <v>300.77999999999997</v>
      </c>
      <c r="D7" s="15">
        <v>60.24</v>
      </c>
      <c r="E7" s="15">
        <v>313.67</v>
      </c>
      <c r="F7" s="26">
        <v>58626</v>
      </c>
      <c r="G7" s="15">
        <v>35.200000000000003</v>
      </c>
      <c r="H7" s="15">
        <v>48.52</v>
      </c>
      <c r="I7" s="26">
        <v>16734</v>
      </c>
      <c r="J7" s="15">
        <v>5</v>
      </c>
      <c r="K7" s="15">
        <v>1074.4000000000001</v>
      </c>
      <c r="L7" s="15">
        <v>157.06</v>
      </c>
    </row>
    <row r="8" spans="1:18" x14ac:dyDescent="0.35">
      <c r="A8" s="3">
        <v>43892</v>
      </c>
      <c r="B8" s="15">
        <v>1410.17</v>
      </c>
      <c r="C8" s="15">
        <v>355.91</v>
      </c>
      <c r="D8" s="15">
        <v>73.19</v>
      </c>
      <c r="E8" s="15">
        <v>268.37</v>
      </c>
      <c r="F8" s="26">
        <v>57227</v>
      </c>
      <c r="G8" s="15">
        <v>16.5</v>
      </c>
      <c r="H8" s="15">
        <v>51.96</v>
      </c>
      <c r="I8" s="26">
        <v>16215</v>
      </c>
      <c r="J8" s="15">
        <v>5.8</v>
      </c>
      <c r="K8" s="15">
        <v>1158.96</v>
      </c>
      <c r="L8" s="15">
        <v>186.53</v>
      </c>
    </row>
    <row r="9" spans="1:18" x14ac:dyDescent="0.35">
      <c r="A9" s="3">
        <v>43893</v>
      </c>
      <c r="B9" s="15">
        <v>1014.25</v>
      </c>
      <c r="C9" s="15">
        <v>572.04</v>
      </c>
      <c r="D9" s="15">
        <v>63.2</v>
      </c>
      <c r="E9" s="15">
        <v>225.37</v>
      </c>
      <c r="F9" s="26">
        <v>39560</v>
      </c>
      <c r="G9" s="15">
        <v>19.14</v>
      </c>
      <c r="H9" s="15">
        <v>44.26</v>
      </c>
      <c r="I9" s="26">
        <v>20819</v>
      </c>
      <c r="J9" s="15">
        <v>6.6</v>
      </c>
      <c r="K9" s="15">
        <v>1875.89</v>
      </c>
      <c r="L9" s="15">
        <v>178.8</v>
      </c>
    </row>
    <row r="10" spans="1:18" x14ac:dyDescent="0.35">
      <c r="A10" s="3">
        <v>43894</v>
      </c>
      <c r="B10" s="16"/>
      <c r="C10" s="16">
        <v>364.16</v>
      </c>
      <c r="D10" s="16">
        <v>93.86</v>
      </c>
      <c r="E10" s="16">
        <v>279.57</v>
      </c>
      <c r="F10" s="23">
        <v>29622</v>
      </c>
      <c r="G10" s="16">
        <v>13.3</v>
      </c>
      <c r="H10" s="16">
        <v>48.84</v>
      </c>
      <c r="I10" s="23">
        <v>21734</v>
      </c>
      <c r="J10" s="16">
        <v>7.6</v>
      </c>
      <c r="K10" s="16">
        <v>1432.94</v>
      </c>
      <c r="L10" s="16">
        <v>285.31</v>
      </c>
    </row>
    <row r="11" spans="1:18" ht="14.5" customHeight="1" x14ac:dyDescent="0.35">
      <c r="A11" s="3">
        <v>43895</v>
      </c>
      <c r="B11" s="17"/>
      <c r="C11" s="17">
        <v>564.29999999999995</v>
      </c>
      <c r="D11" s="17">
        <v>111.4</v>
      </c>
      <c r="E11" s="17">
        <v>275.89999999999998</v>
      </c>
      <c r="F11" s="27">
        <v>30035</v>
      </c>
      <c r="G11" s="17">
        <v>14.7</v>
      </c>
      <c r="H11" s="17">
        <v>46</v>
      </c>
      <c r="I11" s="27">
        <v>30184</v>
      </c>
      <c r="J11" s="17">
        <v>8.6</v>
      </c>
      <c r="K11" s="17">
        <v>1444.7</v>
      </c>
      <c r="L11" s="17">
        <v>264.60000000000002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43896</v>
      </c>
      <c r="B12" s="17"/>
      <c r="C12" s="17">
        <v>286.10000000000002</v>
      </c>
      <c r="D12" s="17">
        <v>68.7</v>
      </c>
      <c r="E12" s="17">
        <v>256.89999999999998</v>
      </c>
      <c r="F12" s="27">
        <v>40512</v>
      </c>
      <c r="G12" s="17">
        <v>26.7</v>
      </c>
      <c r="H12" s="17">
        <v>40.6</v>
      </c>
      <c r="I12" s="27">
        <v>19349</v>
      </c>
      <c r="J12" s="17">
        <v>11.6</v>
      </c>
      <c r="K12" s="17">
        <v>1219.2</v>
      </c>
      <c r="L12" s="17">
        <v>307</v>
      </c>
      <c r="N12" s="89"/>
      <c r="O12" s="89"/>
      <c r="P12" s="89"/>
      <c r="Q12" s="89"/>
      <c r="R12" s="89"/>
    </row>
    <row r="13" spans="1:18" x14ac:dyDescent="0.35">
      <c r="A13" s="3">
        <v>43897</v>
      </c>
      <c r="B13" s="17"/>
      <c r="C13" s="17">
        <v>323.42</v>
      </c>
      <c r="D13" s="17">
        <v>50.29</v>
      </c>
      <c r="E13" s="17">
        <v>344.47</v>
      </c>
      <c r="F13" s="27">
        <v>46993</v>
      </c>
      <c r="G13" s="17">
        <v>42.9</v>
      </c>
      <c r="H13" s="17">
        <v>53.66</v>
      </c>
      <c r="I13" s="27">
        <v>25984</v>
      </c>
      <c r="J13" s="17">
        <v>8.1999999999999993</v>
      </c>
      <c r="K13" s="17">
        <v>1805.86</v>
      </c>
      <c r="L13" s="17">
        <v>349.11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1243.03</v>
      </c>
      <c r="C16" s="4">
        <f t="shared" si="2"/>
        <v>395.2442857142857</v>
      </c>
      <c r="D16" s="4">
        <f t="shared" si="2"/>
        <v>74.411428571428573</v>
      </c>
      <c r="E16" s="4">
        <f t="shared" si="2"/>
        <v>280.60714285714289</v>
      </c>
      <c r="F16" s="4">
        <f t="shared" si="2"/>
        <v>43225</v>
      </c>
      <c r="G16" s="4">
        <f t="shared" si="2"/>
        <v>24.062857142857144</v>
      </c>
      <c r="H16" s="4">
        <f t="shared" si="2"/>
        <v>47.691428571428574</v>
      </c>
      <c r="I16" s="4">
        <f t="shared" si="2"/>
        <v>21574.142857142859</v>
      </c>
      <c r="J16" s="4">
        <f t="shared" si="2"/>
        <v>7.628571428571429</v>
      </c>
      <c r="K16" s="4">
        <f t="shared" si="2"/>
        <v>1430.2785714285715</v>
      </c>
      <c r="L16" s="4">
        <f t="shared" si="2"/>
        <v>246.91571428571433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-7.1498542348718053E-2</v>
      </c>
      <c r="C17" s="6">
        <f t="shared" ref="C17:L17" si="3">IFERROR(-(C15-C16)/C15,"")</f>
        <v>0.45755934632121303</v>
      </c>
      <c r="D17" s="6">
        <f t="shared" si="3"/>
        <v>0.30441750976660348</v>
      </c>
      <c r="E17" s="6">
        <f t="shared" si="3"/>
        <v>0.14166729632492686</v>
      </c>
      <c r="F17" s="6">
        <f t="shared" si="3"/>
        <v>7.6019989952212603E-5</v>
      </c>
      <c r="G17" s="6">
        <f t="shared" si="3"/>
        <v>0.34461563023868463</v>
      </c>
      <c r="H17" s="6">
        <f t="shared" si="3"/>
        <v>0.11566353641011944</v>
      </c>
      <c r="I17" s="6">
        <f t="shared" si="3"/>
        <v>-0.16534575761595255</v>
      </c>
      <c r="J17" s="6">
        <f t="shared" si="3"/>
        <v>1.4630438913167317E-2</v>
      </c>
      <c r="K17" s="6">
        <f t="shared" si="3"/>
        <v>0.28362447514343414</v>
      </c>
      <c r="L17" s="6">
        <f t="shared" si="3"/>
        <v>0.17076359301230795</v>
      </c>
    </row>
  </sheetData>
  <mergeCells count="3">
    <mergeCell ref="B1:G1"/>
    <mergeCell ref="H1:L1"/>
    <mergeCell ref="N11:R16"/>
  </mergeCells>
  <conditionalFormatting sqref="B17">
    <cfRule type="cellIs" dxfId="171" priority="41" operator="greaterThanOrEqual">
      <formula>0</formula>
    </cfRule>
    <cfRule type="cellIs" dxfId="17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6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68" priority="27" operator="lessThan">
      <formula>0</formula>
    </cfRule>
    <cfRule type="cellIs" dxfId="167" priority="38" operator="greaterThanOrEqual">
      <formula>0</formula>
    </cfRule>
  </conditionalFormatting>
  <conditionalFormatting sqref="D17:K17">
    <cfRule type="cellIs" dxfId="16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65" priority="33" operator="lessThan">
      <formula>0</formula>
    </cfRule>
  </conditionalFormatting>
  <conditionalFormatting sqref="J17">
    <cfRule type="cellIs" dxfId="164" priority="32" operator="lessThan">
      <formula>0</formula>
    </cfRule>
  </conditionalFormatting>
  <conditionalFormatting sqref="H17:I17">
    <cfRule type="cellIs" dxfId="163" priority="31" operator="lessThan">
      <formula>0</formula>
    </cfRule>
  </conditionalFormatting>
  <conditionalFormatting sqref="G17">
    <cfRule type="cellIs" dxfId="162" priority="30" operator="lessThan">
      <formula>0</formula>
    </cfRule>
  </conditionalFormatting>
  <conditionalFormatting sqref="E17:F17">
    <cfRule type="cellIs" dxfId="161" priority="29" operator="lessThan">
      <formula>0</formula>
    </cfRule>
  </conditionalFormatting>
  <conditionalFormatting sqref="D17">
    <cfRule type="cellIs" dxfId="16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59" priority="18" operator="greaterThanOrEqual">
      <formula>0</formula>
    </cfRule>
    <cfRule type="cellIs" dxfId="15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1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2780.74</v>
      </c>
      <c r="C4" s="4">
        <f t="shared" si="0"/>
        <v>376.68</v>
      </c>
      <c r="D4" s="4">
        <f t="shared" si="0"/>
        <v>66.64</v>
      </c>
      <c r="E4" s="4">
        <f t="shared" si="0"/>
        <v>249.255</v>
      </c>
      <c r="F4" s="24">
        <f t="shared" si="0"/>
        <v>21146.5</v>
      </c>
      <c r="G4" s="4">
        <f t="shared" si="0"/>
        <v>37.700000000000003</v>
      </c>
      <c r="H4" s="4">
        <f t="shared" si="0"/>
        <v>48.555000000000007</v>
      </c>
      <c r="I4" s="24">
        <f t="shared" si="0"/>
        <v>32515.75</v>
      </c>
      <c r="J4" s="4">
        <f t="shared" si="0"/>
        <v>8.99</v>
      </c>
      <c r="K4" s="4">
        <f t="shared" si="0"/>
        <v>1606.0775000000001</v>
      </c>
      <c r="L4" s="4">
        <f t="shared" si="0"/>
        <v>256.71749999999997</v>
      </c>
    </row>
    <row r="5" spans="1:18" x14ac:dyDescent="0.35">
      <c r="A5" s="1" t="s">
        <v>2</v>
      </c>
      <c r="B5" s="4" t="str">
        <f>IFERROR(AVERAGE(B10:B13),"")</f>
        <v/>
      </c>
      <c r="C5" s="18" t="str">
        <f t="shared" ref="C5:L5" si="1">IFERROR(AVERAGE(C10:C13),"")</f>
        <v/>
      </c>
      <c r="D5" s="4" t="str">
        <f t="shared" si="1"/>
        <v/>
      </c>
      <c r="E5" s="4" t="str">
        <f t="shared" si="1"/>
        <v/>
      </c>
      <c r="F5" s="24" t="str">
        <f t="shared" si="1"/>
        <v/>
      </c>
      <c r="G5" s="4" t="str">
        <f t="shared" si="1"/>
        <v/>
      </c>
      <c r="H5" s="20">
        <f t="shared" si="1"/>
        <v>33.799999999999997</v>
      </c>
      <c r="I5" s="25">
        <f t="shared" si="1"/>
        <v>45277</v>
      </c>
      <c r="J5" s="4">
        <f t="shared" si="1"/>
        <v>12.16</v>
      </c>
      <c r="K5" s="4">
        <f t="shared" si="1"/>
        <v>1486.88</v>
      </c>
      <c r="L5" s="4">
        <f t="shared" si="1"/>
        <v>270.08999999999997</v>
      </c>
    </row>
    <row r="6" spans="1:18" x14ac:dyDescent="0.35">
      <c r="F6" s="22"/>
      <c r="I6" s="22"/>
    </row>
    <row r="7" spans="1:18" x14ac:dyDescent="0.35">
      <c r="A7" s="3">
        <v>43898</v>
      </c>
      <c r="B7" s="15">
        <v>2780.74</v>
      </c>
      <c r="C7" s="15">
        <v>376.68</v>
      </c>
      <c r="D7" s="15">
        <v>66.19</v>
      </c>
      <c r="E7" s="15">
        <v>459.63</v>
      </c>
      <c r="F7" s="26">
        <v>40228</v>
      </c>
      <c r="G7" s="15">
        <v>37.700000000000003</v>
      </c>
      <c r="H7" s="15">
        <v>66.42</v>
      </c>
      <c r="I7" s="26">
        <v>25984</v>
      </c>
      <c r="J7" s="15">
        <v>7.6</v>
      </c>
      <c r="K7" s="15">
        <v>1451.55</v>
      </c>
      <c r="L7" s="15">
        <v>235.98</v>
      </c>
    </row>
    <row r="8" spans="1:18" x14ac:dyDescent="0.35">
      <c r="A8" s="3">
        <v>43899</v>
      </c>
      <c r="B8" s="15"/>
      <c r="C8" s="15"/>
      <c r="D8" s="15">
        <v>67.09</v>
      </c>
      <c r="E8" s="15">
        <v>38.880000000000003</v>
      </c>
      <c r="F8" s="26">
        <v>2065</v>
      </c>
      <c r="G8" s="15"/>
      <c r="H8" s="15">
        <v>55.33</v>
      </c>
      <c r="I8" s="26">
        <v>20586</v>
      </c>
      <c r="J8" s="15">
        <v>7.2</v>
      </c>
      <c r="K8" s="15">
        <v>1999</v>
      </c>
      <c r="L8" s="15">
        <v>299.38</v>
      </c>
    </row>
    <row r="9" spans="1:18" x14ac:dyDescent="0.35">
      <c r="A9" s="3">
        <v>43900</v>
      </c>
      <c r="B9" s="15"/>
      <c r="C9" s="15"/>
      <c r="D9" s="15"/>
      <c r="E9" s="15"/>
      <c r="F9" s="26"/>
      <c r="G9" s="15"/>
      <c r="H9" s="15">
        <v>38.67</v>
      </c>
      <c r="I9" s="26">
        <v>38216</v>
      </c>
      <c r="J9" s="15">
        <v>9</v>
      </c>
      <c r="K9" s="15">
        <v>1486.88</v>
      </c>
      <c r="L9" s="15">
        <v>221.42</v>
      </c>
    </row>
    <row r="10" spans="1:18" x14ac:dyDescent="0.35">
      <c r="A10" s="3">
        <v>43901</v>
      </c>
      <c r="B10" s="16"/>
      <c r="C10" s="16"/>
      <c r="D10" s="16"/>
      <c r="E10" s="16"/>
      <c r="F10" s="23"/>
      <c r="G10" s="16"/>
      <c r="H10" s="16">
        <v>33.799999999999997</v>
      </c>
      <c r="I10" s="23">
        <v>45277</v>
      </c>
      <c r="J10" s="16">
        <v>12.16</v>
      </c>
      <c r="K10" s="16">
        <v>1486.88</v>
      </c>
      <c r="L10" s="16">
        <v>270.08999999999997</v>
      </c>
    </row>
    <row r="11" spans="1:18" ht="14.5" customHeight="1" x14ac:dyDescent="0.35">
      <c r="A11" s="3">
        <v>43902</v>
      </c>
      <c r="B11" s="17"/>
      <c r="C11" s="17"/>
      <c r="D11" s="17"/>
      <c r="E11" s="17"/>
      <c r="F11" s="27"/>
      <c r="G11" s="17"/>
      <c r="H11" s="17"/>
      <c r="I11" s="27"/>
      <c r="J11" s="17"/>
      <c r="K11" s="17"/>
      <c r="L11" s="17"/>
      <c r="N11" s="89" t="s">
        <v>16</v>
      </c>
      <c r="O11" s="89"/>
      <c r="P11" s="89"/>
      <c r="Q11" s="89"/>
      <c r="R11" s="89"/>
    </row>
    <row r="12" spans="1:18" x14ac:dyDescent="0.35">
      <c r="A12" s="3">
        <v>43903</v>
      </c>
      <c r="B12" s="17"/>
      <c r="C12" s="17"/>
      <c r="D12" s="17"/>
      <c r="E12" s="17"/>
      <c r="F12" s="27"/>
      <c r="G12" s="17"/>
      <c r="H12" s="17"/>
      <c r="I12" s="27"/>
      <c r="J12" s="17"/>
      <c r="K12" s="17"/>
      <c r="L12" s="17"/>
      <c r="N12" s="89"/>
      <c r="O12" s="89"/>
      <c r="P12" s="89"/>
      <c r="Q12" s="89"/>
      <c r="R12" s="89"/>
    </row>
    <row r="13" spans="1:18" x14ac:dyDescent="0.35">
      <c r="A13" s="3">
        <v>43904</v>
      </c>
      <c r="B13" s="17"/>
      <c r="C13" s="17"/>
      <c r="D13" s="17"/>
      <c r="E13" s="17"/>
      <c r="F13" s="27"/>
      <c r="G13" s="17"/>
      <c r="H13" s="17"/>
      <c r="I13" s="27"/>
      <c r="J13" s="17"/>
      <c r="K13" s="17"/>
      <c r="L13" s="17"/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2780.74</v>
      </c>
      <c r="C16" s="4">
        <f t="shared" si="2"/>
        <v>376.68</v>
      </c>
      <c r="D16" s="4">
        <f t="shared" si="2"/>
        <v>66.64</v>
      </c>
      <c r="E16" s="4">
        <f t="shared" si="2"/>
        <v>249.255</v>
      </c>
      <c r="F16" s="4">
        <f t="shared" si="2"/>
        <v>21146.5</v>
      </c>
      <c r="G16" s="4">
        <f t="shared" si="2"/>
        <v>37.700000000000003</v>
      </c>
      <c r="H16" s="4">
        <f t="shared" si="2"/>
        <v>48.555000000000007</v>
      </c>
      <c r="I16" s="4">
        <f t="shared" si="2"/>
        <v>32515.75</v>
      </c>
      <c r="J16" s="4">
        <f t="shared" si="2"/>
        <v>8.99</v>
      </c>
      <c r="K16" s="4">
        <f t="shared" si="2"/>
        <v>1606.0775000000001</v>
      </c>
      <c r="L16" s="4">
        <f t="shared" si="2"/>
        <v>256.71749999999997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1.0771189298321244</v>
      </c>
      <c r="C17" s="6">
        <f t="shared" ref="C17:L17" si="3">IFERROR(-(C15-C16)/C15,"")</f>
        <v>0.38909903170405352</v>
      </c>
      <c r="D17" s="6">
        <f t="shared" si="3"/>
        <v>0.16818591605729763</v>
      </c>
      <c r="E17" s="6">
        <f t="shared" si="3"/>
        <v>1.4109188554556317E-2</v>
      </c>
      <c r="F17" s="6">
        <f t="shared" si="3"/>
        <v>-0.51074360771041005</v>
      </c>
      <c r="G17" s="6">
        <f t="shared" si="3"/>
        <v>1.1066496367845458</v>
      </c>
      <c r="H17" s="6">
        <f t="shared" si="3"/>
        <v>0.1358653878287607</v>
      </c>
      <c r="I17" s="6">
        <f t="shared" si="3"/>
        <v>0.257959996904983</v>
      </c>
      <c r="J17" s="6">
        <f t="shared" si="3"/>
        <v>0.19570587117613517</v>
      </c>
      <c r="K17" s="6">
        <f t="shared" si="3"/>
        <v>0.4413978012115774</v>
      </c>
      <c r="L17" s="6">
        <f t="shared" si="3"/>
        <v>0.21723926546592506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57" priority="41" operator="greaterThanOrEqual">
      <formula>0</formula>
    </cfRule>
    <cfRule type="cellIs" dxfId="15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54" priority="27" operator="lessThan">
      <formula>0</formula>
    </cfRule>
    <cfRule type="cellIs" dxfId="153" priority="38" operator="greaterThanOrEqual">
      <formula>0</formula>
    </cfRule>
  </conditionalFormatting>
  <conditionalFormatting sqref="D17:K17">
    <cfRule type="cellIs" dxfId="15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51" priority="33" operator="lessThan">
      <formula>0</formula>
    </cfRule>
  </conditionalFormatting>
  <conditionalFormatting sqref="J17">
    <cfRule type="cellIs" dxfId="150" priority="32" operator="lessThan">
      <formula>0</formula>
    </cfRule>
  </conditionalFormatting>
  <conditionalFormatting sqref="H17:I17">
    <cfRule type="cellIs" dxfId="149" priority="31" operator="lessThan">
      <formula>0</formula>
    </cfRule>
  </conditionalFormatting>
  <conditionalFormatting sqref="G17">
    <cfRule type="cellIs" dxfId="148" priority="30" operator="lessThan">
      <formula>0</formula>
    </cfRule>
  </conditionalFormatting>
  <conditionalFormatting sqref="E17:F17">
    <cfRule type="cellIs" dxfId="147" priority="29" operator="lessThan">
      <formula>0</formula>
    </cfRule>
  </conditionalFormatting>
  <conditionalFormatting sqref="D17">
    <cfRule type="cellIs" dxfId="14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45" priority="18" operator="greaterThanOrEqual">
      <formula>0</formula>
    </cfRule>
    <cfRule type="cellIs" dxfId="14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1"/>
  <sheetViews>
    <sheetView workbookViewId="0">
      <selection activeCell="B15" sqref="B15:L15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1973.23</v>
      </c>
      <c r="C4" s="4">
        <f t="shared" si="0"/>
        <v>565.83500000000004</v>
      </c>
      <c r="D4" s="4">
        <f t="shared" si="0"/>
        <v>94.75500000000001</v>
      </c>
      <c r="E4" s="4">
        <f t="shared" si="0"/>
        <v>357.82</v>
      </c>
      <c r="F4" s="24">
        <f t="shared" si="0"/>
        <v>54500.75</v>
      </c>
      <c r="G4" s="4">
        <f t="shared" si="0"/>
        <v>11.515000000000001</v>
      </c>
      <c r="H4" s="4">
        <f t="shared" si="0"/>
        <v>44.182500000000005</v>
      </c>
      <c r="I4" s="24">
        <f t="shared" si="0"/>
        <v>46839.25</v>
      </c>
      <c r="J4" s="4">
        <f t="shared" si="0"/>
        <v>8.7225000000000001</v>
      </c>
      <c r="K4" s="4">
        <f t="shared" si="0"/>
        <v>1306.6975</v>
      </c>
      <c r="L4" s="4">
        <f t="shared" si="0"/>
        <v>248.29499999999999</v>
      </c>
    </row>
    <row r="5" spans="1:18" x14ac:dyDescent="0.35">
      <c r="A5" s="1" t="s">
        <v>2</v>
      </c>
      <c r="B5" s="4">
        <f>IFERROR(AVERAGE(B10:B13),"")</f>
        <v>2216.7125000000001</v>
      </c>
      <c r="C5" s="18">
        <f t="shared" ref="C5:L5" si="1">IFERROR(AVERAGE(C10:C13),"")</f>
        <v>657.82</v>
      </c>
      <c r="D5" s="4">
        <f t="shared" si="1"/>
        <v>96.67</v>
      </c>
      <c r="E5" s="4">
        <f t="shared" si="1"/>
        <v>281.59500000000003</v>
      </c>
      <c r="F5" s="24">
        <f t="shared" si="1"/>
        <v>52432.75</v>
      </c>
      <c r="G5" s="4">
        <f t="shared" si="1"/>
        <v>8.7424999999999997</v>
      </c>
      <c r="H5" s="20">
        <f t="shared" si="1"/>
        <v>40.575000000000003</v>
      </c>
      <c r="I5" s="25">
        <f t="shared" si="1"/>
        <v>87100.5</v>
      </c>
      <c r="J5" s="4">
        <f t="shared" si="1"/>
        <v>16.61</v>
      </c>
      <c r="K5" s="4">
        <f t="shared" si="1"/>
        <v>2921.7425000000003</v>
      </c>
      <c r="L5" s="4">
        <f t="shared" si="1"/>
        <v>405.40750000000003</v>
      </c>
    </row>
    <row r="6" spans="1:18" x14ac:dyDescent="0.35">
      <c r="F6" s="22"/>
      <c r="I6" s="22"/>
    </row>
    <row r="7" spans="1:18" x14ac:dyDescent="0.35">
      <c r="A7" s="3">
        <v>43947</v>
      </c>
      <c r="B7" s="15">
        <v>1304.73</v>
      </c>
      <c r="C7" s="15">
        <v>544.99</v>
      </c>
      <c r="D7" s="15">
        <v>76.36</v>
      </c>
      <c r="E7" s="15">
        <v>349.02</v>
      </c>
      <c r="F7" s="26">
        <v>50584</v>
      </c>
      <c r="G7" s="15">
        <v>16.8</v>
      </c>
      <c r="H7" s="15">
        <v>52.02</v>
      </c>
      <c r="I7" s="26">
        <v>31381</v>
      </c>
      <c r="J7" s="15">
        <v>5.4</v>
      </c>
      <c r="K7" s="15">
        <v>704.45</v>
      </c>
      <c r="L7" s="15">
        <v>148.94999999999999</v>
      </c>
    </row>
    <row r="8" spans="1:18" x14ac:dyDescent="0.35">
      <c r="A8" s="3">
        <v>43948</v>
      </c>
      <c r="B8" s="15">
        <v>2891.03</v>
      </c>
      <c r="C8" s="15">
        <v>552.13</v>
      </c>
      <c r="D8" s="15">
        <v>76.680000000000007</v>
      </c>
      <c r="E8" s="15">
        <v>396.24</v>
      </c>
      <c r="F8" s="26">
        <v>55438</v>
      </c>
      <c r="G8" s="15">
        <v>9.33</v>
      </c>
      <c r="H8" s="15">
        <v>40.270000000000003</v>
      </c>
      <c r="I8" s="26">
        <v>74433</v>
      </c>
      <c r="J8" s="15">
        <v>16.03</v>
      </c>
      <c r="K8" s="15">
        <v>2661.19</v>
      </c>
      <c r="L8" s="15">
        <v>473.13</v>
      </c>
    </row>
    <row r="9" spans="1:18" x14ac:dyDescent="0.35">
      <c r="A9" s="3">
        <v>43949</v>
      </c>
      <c r="B9" s="15">
        <v>2245</v>
      </c>
      <c r="C9" s="15">
        <v>525.61</v>
      </c>
      <c r="D9" s="15">
        <v>104.49</v>
      </c>
      <c r="E9" s="15">
        <v>426.55</v>
      </c>
      <c r="F9" s="26">
        <v>78501</v>
      </c>
      <c r="G9" s="15">
        <v>11.5</v>
      </c>
      <c r="H9" s="15">
        <v>36.42</v>
      </c>
      <c r="I9" s="26">
        <v>49063</v>
      </c>
      <c r="J9" s="15">
        <v>8.9</v>
      </c>
      <c r="K9" s="15">
        <v>973.45</v>
      </c>
      <c r="L9" s="15">
        <v>207.43</v>
      </c>
    </row>
    <row r="10" spans="1:18" x14ac:dyDescent="0.35">
      <c r="A10" s="3">
        <v>43950</v>
      </c>
      <c r="B10" s="16">
        <v>1452.16</v>
      </c>
      <c r="C10" s="16">
        <v>640.61</v>
      </c>
      <c r="D10" s="16">
        <v>121.49</v>
      </c>
      <c r="E10" s="16">
        <v>259.47000000000003</v>
      </c>
      <c r="F10" s="23">
        <v>33480</v>
      </c>
      <c r="G10" s="16">
        <v>8.43</v>
      </c>
      <c r="H10" s="16">
        <v>48.02</v>
      </c>
      <c r="I10" s="23">
        <v>32480</v>
      </c>
      <c r="J10" s="16">
        <v>4.5599999999999996</v>
      </c>
      <c r="K10" s="16">
        <v>887.7</v>
      </c>
      <c r="L10" s="16">
        <v>163.66999999999999</v>
      </c>
    </row>
    <row r="11" spans="1:18" ht="14.5" customHeight="1" x14ac:dyDescent="0.35">
      <c r="A11" s="3">
        <v>43951</v>
      </c>
      <c r="B11" s="17">
        <v>2003.74</v>
      </c>
      <c r="C11" s="17">
        <v>853.79</v>
      </c>
      <c r="D11" s="17">
        <v>89.19</v>
      </c>
      <c r="E11" s="17">
        <v>281.02999999999997</v>
      </c>
      <c r="F11" s="27">
        <v>50919</v>
      </c>
      <c r="G11" s="17">
        <v>8.7200000000000006</v>
      </c>
      <c r="H11" s="17">
        <v>39</v>
      </c>
      <c r="I11" s="27">
        <v>61108</v>
      </c>
      <c r="J11" s="17">
        <v>8.8800000000000008</v>
      </c>
      <c r="K11" s="17">
        <v>1543.31</v>
      </c>
      <c r="L11" s="17">
        <v>239.08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43952</v>
      </c>
      <c r="B12" s="17">
        <v>1932.79</v>
      </c>
      <c r="C12" s="17">
        <v>534.21</v>
      </c>
      <c r="D12" s="17">
        <v>92.29</v>
      </c>
      <c r="E12" s="17">
        <v>289.91000000000003</v>
      </c>
      <c r="F12" s="27">
        <v>71605</v>
      </c>
      <c r="G12" s="17">
        <v>8.9</v>
      </c>
      <c r="H12" s="17">
        <v>29.45</v>
      </c>
      <c r="I12" s="27">
        <v>173012</v>
      </c>
      <c r="J12" s="17">
        <v>41.05</v>
      </c>
      <c r="K12" s="17">
        <v>6276.6</v>
      </c>
      <c r="L12" s="17">
        <v>776.36</v>
      </c>
      <c r="N12" s="89"/>
      <c r="O12" s="89"/>
      <c r="P12" s="89"/>
      <c r="Q12" s="89"/>
      <c r="R12" s="89"/>
    </row>
    <row r="13" spans="1:18" x14ac:dyDescent="0.35">
      <c r="A13" s="3">
        <v>43953</v>
      </c>
      <c r="B13" s="17">
        <v>3478.16</v>
      </c>
      <c r="C13" s="17">
        <v>602.66999999999996</v>
      </c>
      <c r="D13" s="17">
        <v>83.71</v>
      </c>
      <c r="E13" s="17">
        <v>295.97000000000003</v>
      </c>
      <c r="F13" s="27">
        <v>53727</v>
      </c>
      <c r="G13" s="17">
        <v>8.92</v>
      </c>
      <c r="H13" s="17">
        <v>45.83</v>
      </c>
      <c r="I13" s="27">
        <v>81802</v>
      </c>
      <c r="J13" s="17">
        <v>11.95</v>
      </c>
      <c r="K13" s="17">
        <v>2979.36</v>
      </c>
      <c r="L13" s="17">
        <v>442.52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2186.8014285714285</v>
      </c>
      <c r="C16" s="4">
        <f t="shared" si="2"/>
        <v>607.71571428571428</v>
      </c>
      <c r="D16" s="4">
        <f t="shared" si="2"/>
        <v>92.03</v>
      </c>
      <c r="E16" s="4">
        <f t="shared" si="2"/>
        <v>328.31285714285713</v>
      </c>
      <c r="F16" s="4">
        <f t="shared" si="2"/>
        <v>56322</v>
      </c>
      <c r="G16" s="4">
        <f t="shared" si="2"/>
        <v>10.37142857142857</v>
      </c>
      <c r="H16" s="4">
        <f t="shared" si="2"/>
        <v>41.572857142857139</v>
      </c>
      <c r="I16" s="4">
        <f t="shared" si="2"/>
        <v>71897</v>
      </c>
      <c r="J16" s="4">
        <f t="shared" si="2"/>
        <v>13.824285714285713</v>
      </c>
      <c r="K16" s="4">
        <f t="shared" si="2"/>
        <v>2289.437142857143</v>
      </c>
      <c r="L16" s="4">
        <f t="shared" si="2"/>
        <v>350.16285714285715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-0.2135901132175505</v>
      </c>
      <c r="C17" s="6">
        <f t="shared" ref="C17:L17" si="3">IFERROR(-(C15-C16)/C15,"")</f>
        <v>0.61334744155706244</v>
      </c>
      <c r="D17" s="6">
        <f t="shared" si="3"/>
        <v>0.38100240096038418</v>
      </c>
      <c r="E17" s="6">
        <f t="shared" si="3"/>
        <v>0.31717661488378218</v>
      </c>
      <c r="F17" s="6">
        <f t="shared" si="3"/>
        <v>1.6634194784006811</v>
      </c>
      <c r="G17" s="6">
        <f t="shared" si="3"/>
        <v>-0.7248957938613112</v>
      </c>
      <c r="H17" s="6">
        <f t="shared" si="3"/>
        <v>-0.1437986377745416</v>
      </c>
      <c r="I17" s="6">
        <f t="shared" si="3"/>
        <v>1.211143830297625</v>
      </c>
      <c r="J17" s="6">
        <f t="shared" si="3"/>
        <v>0.53774034641665325</v>
      </c>
      <c r="K17" s="6">
        <f t="shared" si="3"/>
        <v>0.42548360390899126</v>
      </c>
      <c r="L17" s="6">
        <f t="shared" si="3"/>
        <v>0.36400072898363839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43" priority="41" operator="greaterThanOrEqual">
      <formula>0</formula>
    </cfRule>
    <cfRule type="cellIs" dxfId="14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4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40" priority="27" operator="lessThan">
      <formula>0</formula>
    </cfRule>
    <cfRule type="cellIs" dxfId="139" priority="38" operator="greaterThanOrEqual">
      <formula>0</formula>
    </cfRule>
  </conditionalFormatting>
  <conditionalFormatting sqref="D17:K17">
    <cfRule type="cellIs" dxfId="13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37" priority="33" operator="lessThan">
      <formula>0</formula>
    </cfRule>
  </conditionalFormatting>
  <conditionalFormatting sqref="J17">
    <cfRule type="cellIs" dxfId="136" priority="32" operator="lessThan">
      <formula>0</formula>
    </cfRule>
  </conditionalFormatting>
  <conditionalFormatting sqref="H17:I17">
    <cfRule type="cellIs" dxfId="135" priority="31" operator="lessThan">
      <formula>0</formula>
    </cfRule>
  </conditionalFormatting>
  <conditionalFormatting sqref="G17">
    <cfRule type="cellIs" dxfId="134" priority="30" operator="lessThan">
      <formula>0</formula>
    </cfRule>
  </conditionalFormatting>
  <conditionalFormatting sqref="E17:F17">
    <cfRule type="cellIs" dxfId="133" priority="29" operator="lessThan">
      <formula>0</formula>
    </cfRule>
  </conditionalFormatting>
  <conditionalFormatting sqref="D17">
    <cfRule type="cellIs" dxfId="13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31" priority="18" operator="greaterThanOrEqual">
      <formula>0</formula>
    </cfRule>
    <cfRule type="cellIs" dxfId="13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1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1606.2350000000001</v>
      </c>
      <c r="C4" s="4">
        <f t="shared" ref="C4:L4" si="0">IFERROR(AVERAGE(C7:C10),"")</f>
        <v>1145.9425000000001</v>
      </c>
      <c r="D4" s="4">
        <f t="shared" si="0"/>
        <v>74.497500000000002</v>
      </c>
      <c r="E4" s="4">
        <f t="shared" si="0"/>
        <v>381.67999999999995</v>
      </c>
      <c r="F4" s="24">
        <f t="shared" si="0"/>
        <v>122767</v>
      </c>
      <c r="G4" s="4">
        <f t="shared" si="0"/>
        <v>12.397500000000001</v>
      </c>
      <c r="H4" s="4">
        <f t="shared" si="0"/>
        <v>41.202500000000001</v>
      </c>
      <c r="I4" s="24">
        <f t="shared" si="0"/>
        <v>86525</v>
      </c>
      <c r="J4" s="4">
        <f t="shared" si="0"/>
        <v>13.004999999999999</v>
      </c>
      <c r="K4" s="4">
        <f t="shared" si="0"/>
        <v>3569.09</v>
      </c>
      <c r="L4" s="4">
        <f t="shared" si="0"/>
        <v>311.26749999999998</v>
      </c>
    </row>
    <row r="5" spans="1:18" x14ac:dyDescent="0.35">
      <c r="A5" s="1" t="s">
        <v>2</v>
      </c>
      <c r="B5" s="4">
        <f>IFERROR(AVERAGE(B10:B13),"")</f>
        <v>1357.3150000000001</v>
      </c>
      <c r="C5" s="18">
        <f t="shared" ref="C5:L5" si="1">IFERROR(AVERAGE(C10:C13),"")</f>
        <v>1451.9999999999998</v>
      </c>
      <c r="D5" s="4">
        <f t="shared" si="1"/>
        <v>91.317499999999995</v>
      </c>
      <c r="E5" s="4">
        <f t="shared" si="1"/>
        <v>299.16750000000002</v>
      </c>
      <c r="F5" s="24">
        <f t="shared" si="1"/>
        <v>107486</v>
      </c>
      <c r="G5" s="4">
        <f t="shared" si="1"/>
        <v>7.5150000000000006</v>
      </c>
      <c r="H5" s="20">
        <f t="shared" si="1"/>
        <v>41.1875</v>
      </c>
      <c r="I5" s="25">
        <f t="shared" si="1"/>
        <v>67821.25</v>
      </c>
      <c r="J5" s="4">
        <f t="shared" si="1"/>
        <v>11.19</v>
      </c>
      <c r="K5" s="4">
        <f t="shared" si="1"/>
        <v>3848.7750000000001</v>
      </c>
      <c r="L5" s="4">
        <f t="shared" si="1"/>
        <v>526.39750000000004</v>
      </c>
    </row>
    <row r="6" spans="1:18" x14ac:dyDescent="0.35">
      <c r="F6" s="22"/>
      <c r="I6" s="22"/>
    </row>
    <row r="7" spans="1:18" x14ac:dyDescent="0.35">
      <c r="A7" s="3">
        <v>43954</v>
      </c>
      <c r="B7" s="15">
        <v>1576.53</v>
      </c>
      <c r="C7" s="15">
        <v>507.92</v>
      </c>
      <c r="D7" s="15">
        <v>66.28</v>
      </c>
      <c r="E7" s="15">
        <v>371.9</v>
      </c>
      <c r="F7" s="26">
        <v>101914</v>
      </c>
      <c r="G7" s="15">
        <v>14.19</v>
      </c>
      <c r="H7" s="15">
        <v>42.36</v>
      </c>
      <c r="I7" s="26">
        <v>89418</v>
      </c>
      <c r="J7" s="15">
        <v>13.8</v>
      </c>
      <c r="K7" s="15">
        <v>2523.5300000000002</v>
      </c>
      <c r="L7" s="15">
        <v>278.87</v>
      </c>
    </row>
    <row r="8" spans="1:18" x14ac:dyDescent="0.35">
      <c r="A8" s="3">
        <v>43955</v>
      </c>
      <c r="B8" s="15">
        <v>1565.77</v>
      </c>
      <c r="C8" s="15">
        <v>2009.6</v>
      </c>
      <c r="D8" s="15">
        <v>75.66</v>
      </c>
      <c r="E8" s="15">
        <v>370.4</v>
      </c>
      <c r="F8" s="26">
        <v>101647</v>
      </c>
      <c r="G8" s="15">
        <v>12.7</v>
      </c>
      <c r="H8" s="15">
        <v>42.89</v>
      </c>
      <c r="I8" s="26">
        <v>92590</v>
      </c>
      <c r="J8" s="15">
        <v>12.6</v>
      </c>
      <c r="K8" s="15">
        <v>2171.73</v>
      </c>
      <c r="L8" s="15">
        <v>376.47</v>
      </c>
    </row>
    <row r="9" spans="1:18" x14ac:dyDescent="0.35">
      <c r="A9" s="3">
        <v>43956</v>
      </c>
      <c r="B9" s="15">
        <v>1326.97</v>
      </c>
      <c r="C9" s="15">
        <v>817.28</v>
      </c>
      <c r="D9" s="15">
        <v>79.510000000000005</v>
      </c>
      <c r="E9" s="15">
        <v>404.65</v>
      </c>
      <c r="F9" s="26">
        <v>178104</v>
      </c>
      <c r="G9" s="15">
        <v>12.4</v>
      </c>
      <c r="H9" s="15">
        <v>35.89</v>
      </c>
      <c r="I9" s="26">
        <v>83401</v>
      </c>
      <c r="J9" s="15">
        <v>13.53</v>
      </c>
      <c r="K9" s="15">
        <v>2327.38</v>
      </c>
      <c r="L9" s="15">
        <v>226.15</v>
      </c>
    </row>
    <row r="10" spans="1:18" x14ac:dyDescent="0.35">
      <c r="A10" s="3">
        <v>43957</v>
      </c>
      <c r="B10" s="16">
        <v>1955.67</v>
      </c>
      <c r="C10" s="16">
        <v>1248.97</v>
      </c>
      <c r="D10" s="16">
        <v>76.540000000000006</v>
      </c>
      <c r="E10" s="16">
        <v>379.77</v>
      </c>
      <c r="F10" s="23">
        <v>109403</v>
      </c>
      <c r="G10" s="16">
        <v>10.3</v>
      </c>
      <c r="H10" s="16">
        <v>43.67</v>
      </c>
      <c r="I10" s="23">
        <v>80691</v>
      </c>
      <c r="J10" s="16">
        <v>12.09</v>
      </c>
      <c r="K10" s="16">
        <v>7253.72</v>
      </c>
      <c r="L10" s="16">
        <v>363.58</v>
      </c>
    </row>
    <row r="11" spans="1:18" ht="14.5" customHeight="1" x14ac:dyDescent="0.35">
      <c r="A11" s="3">
        <v>43958</v>
      </c>
      <c r="B11" s="17">
        <v>1108.19</v>
      </c>
      <c r="C11" s="17">
        <v>927.13</v>
      </c>
      <c r="D11" s="17">
        <v>88.23</v>
      </c>
      <c r="E11" s="17">
        <v>262.89999999999998</v>
      </c>
      <c r="F11" s="27">
        <v>106195</v>
      </c>
      <c r="G11" s="17">
        <v>7.76</v>
      </c>
      <c r="H11" s="17">
        <v>47.18</v>
      </c>
      <c r="I11" s="27">
        <v>63293</v>
      </c>
      <c r="J11" s="17">
        <v>7.77</v>
      </c>
      <c r="K11" s="17">
        <v>2624.38</v>
      </c>
      <c r="L11" s="17">
        <v>244.31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43959</v>
      </c>
      <c r="B12" s="17">
        <v>1235.7</v>
      </c>
      <c r="C12" s="17">
        <v>2082.1999999999998</v>
      </c>
      <c r="D12" s="17">
        <v>85.5</v>
      </c>
      <c r="E12" s="17">
        <v>315</v>
      </c>
      <c r="F12" s="27">
        <v>123331</v>
      </c>
      <c r="G12" s="17">
        <v>7.4</v>
      </c>
      <c r="H12" s="17">
        <v>32.1</v>
      </c>
      <c r="I12" s="27">
        <v>85627</v>
      </c>
      <c r="J12" s="17">
        <v>18.600000000000001</v>
      </c>
      <c r="K12" s="17">
        <v>4059</v>
      </c>
      <c r="L12" s="17">
        <v>414.2</v>
      </c>
      <c r="N12" s="89"/>
      <c r="O12" s="89"/>
      <c r="P12" s="89"/>
      <c r="Q12" s="89"/>
      <c r="R12" s="89"/>
    </row>
    <row r="13" spans="1:18" x14ac:dyDescent="0.35">
      <c r="A13" s="3">
        <v>43960</v>
      </c>
      <c r="B13" s="17">
        <v>1129.7</v>
      </c>
      <c r="C13" s="17">
        <v>1549.7</v>
      </c>
      <c r="D13" s="17">
        <v>115</v>
      </c>
      <c r="E13" s="17">
        <v>239</v>
      </c>
      <c r="F13" s="27">
        <v>91015</v>
      </c>
      <c r="G13" s="17">
        <v>4.5999999999999996</v>
      </c>
      <c r="H13" s="17">
        <v>41.8</v>
      </c>
      <c r="I13" s="27">
        <v>41674</v>
      </c>
      <c r="J13" s="17">
        <v>6.3</v>
      </c>
      <c r="K13" s="17">
        <v>1458</v>
      </c>
      <c r="L13" s="17">
        <v>1083.5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1414.0757142857146</v>
      </c>
      <c r="C16" s="4">
        <f t="shared" si="2"/>
        <v>1306.1142857142859</v>
      </c>
      <c r="D16" s="4">
        <f t="shared" si="2"/>
        <v>83.817142857142855</v>
      </c>
      <c r="E16" s="4">
        <f t="shared" si="2"/>
        <v>334.80285714285714</v>
      </c>
      <c r="F16" s="4">
        <f t="shared" si="2"/>
        <v>115944.14285714286</v>
      </c>
      <c r="G16" s="4">
        <f t="shared" si="2"/>
        <v>9.9071428571428566</v>
      </c>
      <c r="H16" s="4">
        <f t="shared" si="2"/>
        <v>40.841428571428573</v>
      </c>
      <c r="I16" s="4">
        <f t="shared" si="2"/>
        <v>76670.571428571435</v>
      </c>
      <c r="J16" s="4">
        <f t="shared" si="2"/>
        <v>12.098571428571427</v>
      </c>
      <c r="K16" s="4">
        <f t="shared" si="2"/>
        <v>3202.5342857142859</v>
      </c>
      <c r="L16" s="4">
        <f t="shared" si="2"/>
        <v>426.72571428571428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-0.49147503388101199</v>
      </c>
      <c r="C17" s="6">
        <f t="shared" ref="C17:L17" si="3">IFERROR(-(C15-C16)/C15,"")</f>
        <v>2.467437309425204</v>
      </c>
      <c r="D17" s="6">
        <f t="shared" si="3"/>
        <v>0.2577602469559252</v>
      </c>
      <c r="E17" s="6">
        <f t="shared" si="3"/>
        <v>0.34321420690801446</v>
      </c>
      <c r="F17" s="6">
        <f t="shared" si="3"/>
        <v>4.4828999057594805</v>
      </c>
      <c r="G17" s="6">
        <f t="shared" si="3"/>
        <v>-0.73721106479727172</v>
      </c>
      <c r="H17" s="6">
        <f t="shared" si="3"/>
        <v>-0.158862556452918</v>
      </c>
      <c r="I17" s="6">
        <f t="shared" si="3"/>
        <v>1.3579518057732463</v>
      </c>
      <c r="J17" s="6">
        <f t="shared" si="3"/>
        <v>0.34578102653742232</v>
      </c>
      <c r="K17" s="6">
        <f t="shared" si="3"/>
        <v>0.99400980694535956</v>
      </c>
      <c r="L17" s="6">
        <f t="shared" si="3"/>
        <v>0.66223850842156973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29" priority="41" operator="greaterThanOrEqual">
      <formula>0</formula>
    </cfRule>
    <cfRule type="cellIs" dxfId="12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2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26" priority="27" operator="lessThan">
      <formula>0</formula>
    </cfRule>
    <cfRule type="cellIs" dxfId="125" priority="38" operator="greaterThanOrEqual">
      <formula>0</formula>
    </cfRule>
  </conditionalFormatting>
  <conditionalFormatting sqref="D17:K17">
    <cfRule type="cellIs" dxfId="12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23" priority="33" operator="lessThan">
      <formula>0</formula>
    </cfRule>
  </conditionalFormatting>
  <conditionalFormatting sqref="J17">
    <cfRule type="cellIs" dxfId="122" priority="32" operator="lessThan">
      <formula>0</formula>
    </cfRule>
  </conditionalFormatting>
  <conditionalFormatting sqref="H17:I17">
    <cfRule type="cellIs" dxfId="121" priority="31" operator="lessThan">
      <formula>0</formula>
    </cfRule>
  </conditionalFormatting>
  <conditionalFormatting sqref="G17">
    <cfRule type="cellIs" dxfId="120" priority="30" operator="lessThan">
      <formula>0</formula>
    </cfRule>
  </conditionalFormatting>
  <conditionalFormatting sqref="E17:F17">
    <cfRule type="cellIs" dxfId="119" priority="29" operator="lessThan">
      <formula>0</formula>
    </cfRule>
  </conditionalFormatting>
  <conditionalFormatting sqref="D17">
    <cfRule type="cellIs" dxfId="11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17" priority="18" operator="greaterThanOrEqual">
      <formula>0</formula>
    </cfRule>
    <cfRule type="cellIs" dxfId="11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21"/>
  <sheetViews>
    <sheetView workbookViewId="0">
      <selection activeCell="G10" sqref="G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1011.73</v>
      </c>
      <c r="C4" s="4">
        <f>IFERROR(AVERAGE(C7:C9),"")</f>
        <v>952.30000000000007</v>
      </c>
      <c r="D4" s="4">
        <f>IFERROR(AVERAGE(D7:D9),"")</f>
        <v>92.59999999999998</v>
      </c>
      <c r="E4" s="4">
        <f>IFERROR(AVERAGE(E7:E10),"")</f>
        <v>269.83749999999998</v>
      </c>
      <c r="F4" s="24">
        <f t="shared" ref="F4:L4" si="0">IFERROR(AVERAGE(F7:F9),"")</f>
        <v>100853</v>
      </c>
      <c r="G4" s="4">
        <f t="shared" si="0"/>
        <v>7.1133333333333333</v>
      </c>
      <c r="H4" s="4">
        <f t="shared" si="0"/>
        <v>41.673333333333332</v>
      </c>
      <c r="I4" s="24">
        <f t="shared" si="0"/>
        <v>65291</v>
      </c>
      <c r="J4" s="4">
        <f t="shared" si="0"/>
        <v>9.4366666666666656</v>
      </c>
      <c r="K4" s="4">
        <f t="shared" si="0"/>
        <v>1500.11</v>
      </c>
      <c r="L4" s="4">
        <f t="shared" si="0"/>
        <v>271.28000000000003</v>
      </c>
    </row>
    <row r="5" spans="1:18" x14ac:dyDescent="0.35">
      <c r="A5" s="1" t="s">
        <v>2</v>
      </c>
      <c r="B5" s="4">
        <f t="shared" ref="B5:L5" si="1">IFERROR(AVERAGE(B10:B13),"")</f>
        <v>1156.5374999999999</v>
      </c>
      <c r="C5" s="18">
        <f t="shared" si="1"/>
        <v>1600.26</v>
      </c>
      <c r="D5" s="4">
        <f t="shared" si="1"/>
        <v>94.702500000000001</v>
      </c>
      <c r="E5" s="4">
        <f t="shared" si="1"/>
        <v>255.78750000000002</v>
      </c>
      <c r="F5" s="24">
        <f t="shared" si="1"/>
        <v>96977</v>
      </c>
      <c r="G5" s="4">
        <f t="shared" si="1"/>
        <v>6.4597499999999988</v>
      </c>
      <c r="H5" s="20">
        <f t="shared" si="1"/>
        <v>48.114999999999995</v>
      </c>
      <c r="I5" s="25">
        <f t="shared" si="1"/>
        <v>81242.75</v>
      </c>
      <c r="J5" s="4">
        <f t="shared" si="1"/>
        <v>11.49475</v>
      </c>
      <c r="K5" s="4">
        <f t="shared" si="1"/>
        <v>1920.7674999999999</v>
      </c>
      <c r="L5" s="4">
        <f t="shared" si="1"/>
        <v>314.45249999999999</v>
      </c>
    </row>
    <row r="6" spans="1:18" x14ac:dyDescent="0.35">
      <c r="F6" s="22"/>
      <c r="I6" s="22"/>
    </row>
    <row r="7" spans="1:18" x14ac:dyDescent="0.35">
      <c r="A7" s="3">
        <v>43961</v>
      </c>
      <c r="B7" s="15">
        <v>984.46</v>
      </c>
      <c r="C7" s="15">
        <v>899.35</v>
      </c>
      <c r="D7" s="15">
        <v>91.84</v>
      </c>
      <c r="E7" s="15">
        <v>272.70999999999998</v>
      </c>
      <c r="F7" s="26">
        <v>103784</v>
      </c>
      <c r="G7" s="15">
        <v>7.73</v>
      </c>
      <c r="H7" s="15">
        <v>38.97</v>
      </c>
      <c r="I7" s="26">
        <v>82423</v>
      </c>
      <c r="J7" s="15">
        <v>13.34</v>
      </c>
      <c r="K7" s="15">
        <v>1856.24</v>
      </c>
      <c r="L7" s="15">
        <v>374.51</v>
      </c>
    </row>
    <row r="8" spans="1:18" x14ac:dyDescent="0.35">
      <c r="A8" s="3">
        <v>43962</v>
      </c>
      <c r="B8" s="15">
        <v>996.15</v>
      </c>
      <c r="C8" s="15">
        <v>1129.1099999999999</v>
      </c>
      <c r="D8" s="15">
        <v>86.74</v>
      </c>
      <c r="E8" s="15">
        <v>230.55</v>
      </c>
      <c r="F8" s="26">
        <v>83513</v>
      </c>
      <c r="G8" s="15">
        <v>6.41</v>
      </c>
      <c r="H8" s="15">
        <v>40.89</v>
      </c>
      <c r="I8" s="26">
        <v>59842</v>
      </c>
      <c r="J8" s="15">
        <v>8.66</v>
      </c>
      <c r="K8" s="15">
        <v>1596.68</v>
      </c>
      <c r="L8" s="15">
        <v>241.86</v>
      </c>
    </row>
    <row r="9" spans="1:18" x14ac:dyDescent="0.35">
      <c r="A9" s="3">
        <v>43963</v>
      </c>
      <c r="B9" s="15">
        <v>1054.58</v>
      </c>
      <c r="C9" s="15">
        <v>828.44</v>
      </c>
      <c r="D9" s="15">
        <v>99.22</v>
      </c>
      <c r="E9" s="15">
        <v>281.19</v>
      </c>
      <c r="F9" s="26">
        <v>115262</v>
      </c>
      <c r="G9" s="15">
        <v>7.2</v>
      </c>
      <c r="H9" s="15">
        <v>45.16</v>
      </c>
      <c r="I9" s="26">
        <v>53608</v>
      </c>
      <c r="J9" s="15">
        <v>6.31</v>
      </c>
      <c r="K9" s="15">
        <v>1047.4100000000001</v>
      </c>
      <c r="L9" s="15">
        <v>197.47</v>
      </c>
    </row>
    <row r="10" spans="1:18" x14ac:dyDescent="0.35">
      <c r="A10" s="3">
        <v>43964</v>
      </c>
      <c r="B10" s="16">
        <v>1392.43</v>
      </c>
      <c r="C10" s="16">
        <v>1731.27</v>
      </c>
      <c r="D10" s="16">
        <v>85.29</v>
      </c>
      <c r="E10" s="16">
        <v>294.89999999999998</v>
      </c>
      <c r="F10" s="23">
        <v>99926</v>
      </c>
      <c r="G10" s="16">
        <v>8.3689999999999998</v>
      </c>
      <c r="H10" s="16">
        <v>60.37</v>
      </c>
      <c r="I10" s="23">
        <v>23929</v>
      </c>
      <c r="J10" s="16">
        <v>2.48</v>
      </c>
      <c r="K10" s="16">
        <v>552.66</v>
      </c>
      <c r="L10" s="16">
        <v>91.82</v>
      </c>
    </row>
    <row r="11" spans="1:18" ht="14.5" customHeight="1" x14ac:dyDescent="0.35">
      <c r="A11" s="3">
        <v>43965</v>
      </c>
      <c r="B11" s="17">
        <v>1425.16</v>
      </c>
      <c r="C11" s="17">
        <v>2087.4699999999998</v>
      </c>
      <c r="D11" s="17">
        <v>89.84</v>
      </c>
      <c r="E11" s="17">
        <v>352.1</v>
      </c>
      <c r="F11" s="27">
        <v>143077</v>
      </c>
      <c r="G11" s="17">
        <v>9.3699999999999992</v>
      </c>
      <c r="H11" s="17">
        <v>48.12</v>
      </c>
      <c r="I11" s="27">
        <v>57896</v>
      </c>
      <c r="J11" s="17">
        <v>6.92</v>
      </c>
      <c r="K11" s="17">
        <v>1399.51</v>
      </c>
      <c r="L11" s="17">
        <v>211.72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43966</v>
      </c>
      <c r="B12" s="17">
        <v>577.39</v>
      </c>
      <c r="C12" s="17">
        <v>992.02</v>
      </c>
      <c r="D12" s="17">
        <v>106.14</v>
      </c>
      <c r="E12" s="17">
        <v>111.22</v>
      </c>
      <c r="F12" s="27">
        <v>43781</v>
      </c>
      <c r="G12" s="17">
        <v>2.33</v>
      </c>
      <c r="H12" s="17">
        <v>44.93</v>
      </c>
      <c r="I12" s="27">
        <v>112521</v>
      </c>
      <c r="J12" s="17">
        <v>13.96</v>
      </c>
      <c r="K12" s="17">
        <v>2498.37</v>
      </c>
      <c r="L12" s="17">
        <v>408.12</v>
      </c>
      <c r="N12" s="89"/>
      <c r="O12" s="89"/>
      <c r="P12" s="89"/>
      <c r="Q12" s="89"/>
      <c r="R12" s="89"/>
    </row>
    <row r="13" spans="1:18" x14ac:dyDescent="0.35">
      <c r="A13" s="3">
        <v>43967</v>
      </c>
      <c r="B13" s="17">
        <v>1231.17</v>
      </c>
      <c r="C13" s="17">
        <v>1590.28</v>
      </c>
      <c r="D13" s="17">
        <v>97.54</v>
      </c>
      <c r="E13" s="17">
        <v>264.93</v>
      </c>
      <c r="F13" s="27">
        <v>101124</v>
      </c>
      <c r="G13" s="17">
        <v>5.77</v>
      </c>
      <c r="H13" s="17">
        <v>39.04</v>
      </c>
      <c r="I13" s="27">
        <v>130625</v>
      </c>
      <c r="J13" s="17">
        <v>22.619</v>
      </c>
      <c r="K13" s="17">
        <v>3232.53</v>
      </c>
      <c r="L13" s="17">
        <v>546.15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1414.1</v>
      </c>
      <c r="C15" s="4">
        <v>1306.0999999999999</v>
      </c>
      <c r="D15" s="4">
        <v>83.8</v>
      </c>
      <c r="E15" s="4">
        <v>334.8</v>
      </c>
      <c r="F15" s="4">
        <v>115944.1</v>
      </c>
      <c r="G15" s="4">
        <v>9.9</v>
      </c>
      <c r="H15" s="4">
        <v>40.799999999999997</v>
      </c>
      <c r="I15" s="4">
        <v>76670.600000000006</v>
      </c>
      <c r="J15" s="4">
        <v>12.1</v>
      </c>
      <c r="K15" s="4">
        <v>3202.5</v>
      </c>
      <c r="L15" s="4">
        <v>426.7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1094.4771428571428</v>
      </c>
      <c r="C16" s="4">
        <f t="shared" si="2"/>
        <v>1322.5628571428572</v>
      </c>
      <c r="D16" s="4">
        <f t="shared" si="2"/>
        <v>93.801428571428559</v>
      </c>
      <c r="E16" s="4">
        <f t="shared" si="2"/>
        <v>258.2285714285714</v>
      </c>
      <c r="F16" s="4">
        <f t="shared" si="2"/>
        <v>98638.142857142855</v>
      </c>
      <c r="G16" s="4">
        <f t="shared" si="2"/>
        <v>6.7398571428571428</v>
      </c>
      <c r="H16" s="4">
        <f t="shared" si="2"/>
        <v>45.354285714285716</v>
      </c>
      <c r="I16" s="4">
        <f t="shared" si="2"/>
        <v>74406.28571428571</v>
      </c>
      <c r="J16" s="4">
        <f t="shared" si="2"/>
        <v>10.612714285714286</v>
      </c>
      <c r="K16" s="4">
        <f t="shared" si="2"/>
        <v>1740.4857142857143</v>
      </c>
      <c r="L16" s="4">
        <f t="shared" si="2"/>
        <v>295.95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-0.22602563973046966</v>
      </c>
      <c r="C17" s="6">
        <f t="shared" ref="C17:L17" si="3">IFERROR(-(C15-C16)/C15,"")</f>
        <v>1.2604591641418939E-2</v>
      </c>
      <c r="D17" s="6">
        <f t="shared" si="3"/>
        <v>0.11934878963518571</v>
      </c>
      <c r="E17" s="6">
        <f t="shared" si="3"/>
        <v>-0.22870797064345463</v>
      </c>
      <c r="F17" s="6">
        <f t="shared" si="3"/>
        <v>-0.14926121417870464</v>
      </c>
      <c r="G17" s="6">
        <f t="shared" si="3"/>
        <v>-0.31920634920634922</v>
      </c>
      <c r="H17" s="6">
        <f t="shared" si="3"/>
        <v>0.11162464985994409</v>
      </c>
      <c r="I17" s="6">
        <f t="shared" si="3"/>
        <v>-2.9533018989212234E-2</v>
      </c>
      <c r="J17" s="6">
        <f t="shared" si="3"/>
        <v>-0.12291617473435647</v>
      </c>
      <c r="K17" s="6">
        <f t="shared" si="3"/>
        <v>-0.45652280584364896</v>
      </c>
      <c r="L17" s="6">
        <f t="shared" si="3"/>
        <v>-0.30642137333020858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15" priority="41" operator="greaterThanOrEqual">
      <formula>0</formula>
    </cfRule>
    <cfRule type="cellIs" dxfId="11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1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12" priority="27" operator="lessThan">
      <formula>0</formula>
    </cfRule>
    <cfRule type="cellIs" dxfId="111" priority="38" operator="greaterThanOrEqual">
      <formula>0</formula>
    </cfRule>
  </conditionalFormatting>
  <conditionalFormatting sqref="D17:K17">
    <cfRule type="cellIs" dxfId="11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09" priority="33" operator="lessThan">
      <formula>0</formula>
    </cfRule>
  </conditionalFormatting>
  <conditionalFormatting sqref="J17">
    <cfRule type="cellIs" dxfId="108" priority="32" operator="lessThan">
      <formula>0</formula>
    </cfRule>
  </conditionalFormatting>
  <conditionalFormatting sqref="H17:I17">
    <cfRule type="cellIs" dxfId="107" priority="31" operator="lessThan">
      <formula>0</formula>
    </cfRule>
  </conditionalFormatting>
  <conditionalFormatting sqref="G17">
    <cfRule type="cellIs" dxfId="106" priority="30" operator="lessThan">
      <formula>0</formula>
    </cfRule>
  </conditionalFormatting>
  <conditionalFormatting sqref="E17:F17">
    <cfRule type="cellIs" dxfId="105" priority="29" operator="lessThan">
      <formula>0</formula>
    </cfRule>
  </conditionalFormatting>
  <conditionalFormatting sqref="D17">
    <cfRule type="cellIs" dxfId="10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03" priority="18" operator="greaterThanOrEqual">
      <formula>0</formula>
    </cfRule>
    <cfRule type="cellIs" dxfId="10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21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90" t="s">
        <v>14</v>
      </c>
      <c r="I1" s="91"/>
      <c r="J1" s="91"/>
      <c r="K1" s="91"/>
      <c r="L1" s="92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1207.6824999999999</v>
      </c>
      <c r="C4" s="4">
        <f>IFERROR(AVERAGE(C7:C9),"")</f>
        <v>2767.3133333333335</v>
      </c>
      <c r="D4" s="4">
        <f>IFERROR(AVERAGE(D7:D10),"")</f>
        <v>103.52500000000001</v>
      </c>
      <c r="E4" s="4">
        <f>IFERROR(AVERAGE(E7:E10),"")</f>
        <v>339.53</v>
      </c>
      <c r="F4" s="24">
        <f t="shared" ref="F4:L4" si="0">IFERROR(AVERAGE(F7:F9),"")</f>
        <v>124581.33333333333</v>
      </c>
      <c r="G4" s="4">
        <f t="shared" si="0"/>
        <v>8.5633333333333344</v>
      </c>
      <c r="H4" s="4">
        <f t="shared" si="0"/>
        <v>54.443333333333328</v>
      </c>
      <c r="I4" s="24">
        <f t="shared" si="0"/>
        <v>37877.666666666664</v>
      </c>
      <c r="J4" s="4">
        <f t="shared" si="0"/>
        <v>4.0166666666666666</v>
      </c>
      <c r="K4" s="4">
        <f t="shared" si="0"/>
        <v>565.52666666666676</v>
      </c>
      <c r="L4" s="4">
        <f t="shared" si="0"/>
        <v>133.73666666666665</v>
      </c>
    </row>
    <row r="5" spans="1:18" x14ac:dyDescent="0.35">
      <c r="A5" s="1" t="s">
        <v>2</v>
      </c>
      <c r="B5" s="4">
        <f t="shared" ref="B5:L5" si="1">IFERROR(AVERAGE(B11:B13),"")</f>
        <v>1075.1666666666667</v>
      </c>
      <c r="C5" s="18">
        <f t="shared" si="1"/>
        <v>1909.26</v>
      </c>
      <c r="D5" s="4">
        <f t="shared" si="1"/>
        <v>96.206666666666663</v>
      </c>
      <c r="E5" s="4">
        <f t="shared" si="1"/>
        <v>216.51666666666668</v>
      </c>
      <c r="F5" s="24">
        <f t="shared" si="1"/>
        <v>94607.666666666672</v>
      </c>
      <c r="G5" s="4">
        <f t="shared" si="1"/>
        <v>4.8066666666666675</v>
      </c>
      <c r="H5" s="20">
        <f t="shared" si="1"/>
        <v>48.916666666666664</v>
      </c>
      <c r="I5" s="25">
        <f t="shared" si="1"/>
        <v>99345</v>
      </c>
      <c r="J5" s="4">
        <f t="shared" si="1"/>
        <v>16.889666666666667</v>
      </c>
      <c r="K5" s="4">
        <f t="shared" si="1"/>
        <v>3861.6933333333332</v>
      </c>
      <c r="L5" s="4">
        <f t="shared" si="1"/>
        <v>486.62000000000006</v>
      </c>
    </row>
    <row r="6" spans="1:18" x14ac:dyDescent="0.35">
      <c r="F6" s="22"/>
      <c r="I6" s="22"/>
    </row>
    <row r="7" spans="1:18" x14ac:dyDescent="0.35">
      <c r="A7" s="3">
        <v>43968</v>
      </c>
      <c r="B7" s="15">
        <v>1068.96</v>
      </c>
      <c r="C7" s="15">
        <v>5942.09</v>
      </c>
      <c r="D7" s="15">
        <v>142.25</v>
      </c>
      <c r="E7" s="15">
        <v>318.89999999999998</v>
      </c>
      <c r="F7" s="26">
        <v>103705</v>
      </c>
      <c r="G7" s="15">
        <v>8.4600000000000009</v>
      </c>
      <c r="H7" s="15">
        <v>57.16</v>
      </c>
      <c r="I7" s="26">
        <v>37749</v>
      </c>
      <c r="J7" s="15">
        <v>3.33</v>
      </c>
      <c r="K7" s="15">
        <v>613.69000000000005</v>
      </c>
      <c r="L7" s="15">
        <v>121.77</v>
      </c>
    </row>
    <row r="8" spans="1:18" x14ac:dyDescent="0.35">
      <c r="A8" s="3">
        <v>43969</v>
      </c>
      <c r="B8" s="15">
        <v>1071.97</v>
      </c>
      <c r="C8" s="15">
        <v>1055.53</v>
      </c>
      <c r="D8" s="15">
        <v>104.14</v>
      </c>
      <c r="E8" s="15">
        <v>317.95</v>
      </c>
      <c r="F8" s="26">
        <v>100229</v>
      </c>
      <c r="G8" s="15">
        <v>6.58</v>
      </c>
      <c r="H8" s="15">
        <v>60.63</v>
      </c>
      <c r="I8" s="26">
        <v>42984</v>
      </c>
      <c r="J8" s="15">
        <v>4.0599999999999996</v>
      </c>
      <c r="K8" s="15">
        <v>634.63</v>
      </c>
      <c r="L8" s="15">
        <v>156.75</v>
      </c>
    </row>
    <row r="9" spans="1:18" x14ac:dyDescent="0.35">
      <c r="A9" s="3">
        <v>43970</v>
      </c>
      <c r="B9" s="15">
        <v>1620.61</v>
      </c>
      <c r="C9" s="15">
        <v>1304.32</v>
      </c>
      <c r="D9" s="15">
        <v>88.06</v>
      </c>
      <c r="E9" s="15">
        <v>407.78</v>
      </c>
      <c r="F9" s="26">
        <v>169810</v>
      </c>
      <c r="G9" s="15">
        <v>10.65</v>
      </c>
      <c r="H9" s="15">
        <v>45.54</v>
      </c>
      <c r="I9" s="26">
        <v>32900</v>
      </c>
      <c r="J9" s="15">
        <v>4.66</v>
      </c>
      <c r="K9" s="15">
        <v>448.26</v>
      </c>
      <c r="L9" s="15">
        <v>122.69</v>
      </c>
    </row>
    <row r="10" spans="1:18" x14ac:dyDescent="0.35">
      <c r="A10" s="3">
        <v>43971</v>
      </c>
      <c r="B10" s="16">
        <v>1069.19</v>
      </c>
      <c r="C10" s="16">
        <v>1266.78</v>
      </c>
      <c r="D10" s="16">
        <v>79.650000000000006</v>
      </c>
      <c r="E10" s="16">
        <v>313.49</v>
      </c>
      <c r="F10" s="23">
        <v>106494</v>
      </c>
      <c r="G10" s="16">
        <v>8</v>
      </c>
      <c r="H10" s="16">
        <v>47.01</v>
      </c>
      <c r="I10" s="23">
        <v>25888</v>
      </c>
      <c r="J10" s="16">
        <v>3.84</v>
      </c>
      <c r="K10" s="16">
        <v>647.37</v>
      </c>
      <c r="L10" s="16">
        <v>135.44</v>
      </c>
    </row>
    <row r="11" spans="1:18" ht="14.5" customHeight="1" x14ac:dyDescent="0.35">
      <c r="A11" s="3">
        <v>43972</v>
      </c>
      <c r="B11" s="17">
        <v>1452.52</v>
      </c>
      <c r="C11" s="17">
        <v>2004</v>
      </c>
      <c r="D11" s="17">
        <v>94.05</v>
      </c>
      <c r="E11" s="17">
        <v>276.10000000000002</v>
      </c>
      <c r="F11" s="27">
        <v>118792</v>
      </c>
      <c r="G11" s="17">
        <v>6.24</v>
      </c>
      <c r="H11" s="17">
        <v>55.67</v>
      </c>
      <c r="I11" s="27">
        <v>35961</v>
      </c>
      <c r="J11" s="17">
        <v>3.22</v>
      </c>
      <c r="K11" s="17">
        <v>825.66</v>
      </c>
      <c r="L11" s="17">
        <v>125.96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43973</v>
      </c>
      <c r="B12" s="17">
        <v>1237.9100000000001</v>
      </c>
      <c r="C12" s="17">
        <v>1687.56</v>
      </c>
      <c r="D12" s="17">
        <v>100.59</v>
      </c>
      <c r="E12" s="17">
        <v>246.21</v>
      </c>
      <c r="F12" s="27">
        <v>113550</v>
      </c>
      <c r="G12" s="17">
        <v>5.48</v>
      </c>
      <c r="H12" s="17">
        <v>47.39</v>
      </c>
      <c r="I12" s="27">
        <v>124646</v>
      </c>
      <c r="J12" s="17">
        <v>19.02</v>
      </c>
      <c r="K12" s="17">
        <v>4281.1400000000003</v>
      </c>
      <c r="L12" s="17">
        <v>573.48</v>
      </c>
      <c r="N12" s="89"/>
      <c r="O12" s="89"/>
      <c r="P12" s="89"/>
      <c r="Q12" s="89"/>
      <c r="R12" s="89"/>
    </row>
    <row r="13" spans="1:18" x14ac:dyDescent="0.35">
      <c r="A13" s="3">
        <v>43974</v>
      </c>
      <c r="B13" s="17">
        <v>535.07000000000005</v>
      </c>
      <c r="C13" s="17">
        <v>2036.22</v>
      </c>
      <c r="D13" s="17">
        <v>93.98</v>
      </c>
      <c r="E13" s="17">
        <v>127.24</v>
      </c>
      <c r="F13" s="27">
        <v>51481</v>
      </c>
      <c r="G13" s="17">
        <v>2.7</v>
      </c>
      <c r="H13" s="17">
        <v>43.69</v>
      </c>
      <c r="I13" s="27">
        <v>137428</v>
      </c>
      <c r="J13" s="17">
        <v>28.428999999999998</v>
      </c>
      <c r="K13" s="17">
        <v>6478.28</v>
      </c>
      <c r="L13" s="17">
        <v>760.42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1094.5</v>
      </c>
      <c r="C15" s="4">
        <v>1322.6</v>
      </c>
      <c r="D15" s="4">
        <v>93.8</v>
      </c>
      <c r="E15" s="4">
        <v>258.2</v>
      </c>
      <c r="F15" s="4">
        <v>98638.1</v>
      </c>
      <c r="G15" s="4">
        <v>6.7</v>
      </c>
      <c r="H15" s="4">
        <v>45.4</v>
      </c>
      <c r="I15" s="4">
        <v>74406.3</v>
      </c>
      <c r="J15" s="4">
        <v>10.6</v>
      </c>
      <c r="K15" s="4">
        <v>1740.5</v>
      </c>
      <c r="L15" s="4">
        <v>296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>IFERROR(AVERAGE(B7:B13),"")</f>
        <v>1150.8899999999999</v>
      </c>
      <c r="C16" s="4">
        <f t="shared" ref="C16:L16" si="2">IFERROR(AVERAGE(C7:C13),"")</f>
        <v>2185.2142857142858</v>
      </c>
      <c r="D16" s="4">
        <f t="shared" si="2"/>
        <v>100.38857142857144</v>
      </c>
      <c r="E16" s="4">
        <f t="shared" si="2"/>
        <v>286.81</v>
      </c>
      <c r="F16" s="4">
        <f t="shared" si="2"/>
        <v>109151.57142857143</v>
      </c>
      <c r="G16" s="4">
        <f t="shared" si="2"/>
        <v>6.8728571428571428</v>
      </c>
      <c r="H16" s="4">
        <f t="shared" si="2"/>
        <v>51.012857142857136</v>
      </c>
      <c r="I16" s="4">
        <f t="shared" si="2"/>
        <v>62508</v>
      </c>
      <c r="J16" s="4">
        <f t="shared" si="2"/>
        <v>9.5084285714285706</v>
      </c>
      <c r="K16" s="4">
        <f t="shared" si="2"/>
        <v>1989.8614285714284</v>
      </c>
      <c r="L16" s="4">
        <f t="shared" si="2"/>
        <v>285.21571428571434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5.1521242576518841E-2</v>
      </c>
      <c r="C17" s="6">
        <f t="shared" ref="C17:L17" si="3">IFERROR(-(C15-C16)/C15,"")</f>
        <v>0.65221101293988049</v>
      </c>
      <c r="D17" s="6">
        <f t="shared" si="3"/>
        <v>7.0240633566859723E-2</v>
      </c>
      <c r="E17" s="6">
        <f t="shared" si="3"/>
        <v>0.11080557707203724</v>
      </c>
      <c r="F17" s="6">
        <f t="shared" si="3"/>
        <v>0.10658631328636124</v>
      </c>
      <c r="G17" s="6">
        <f t="shared" si="3"/>
        <v>2.579957356076755E-2</v>
      </c>
      <c r="H17" s="6">
        <f t="shared" si="3"/>
        <v>0.12363121460037749</v>
      </c>
      <c r="I17" s="6">
        <f t="shared" si="3"/>
        <v>-0.1599098463436564</v>
      </c>
      <c r="J17" s="6">
        <f t="shared" si="3"/>
        <v>-0.102978436657682</v>
      </c>
      <c r="K17" s="6">
        <f t="shared" si="3"/>
        <v>0.14326999630647999</v>
      </c>
      <c r="L17" s="6">
        <f t="shared" si="3"/>
        <v>-3.6433397683397498E-2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01" priority="41" operator="greaterThanOrEqual">
      <formula>0</formula>
    </cfRule>
    <cfRule type="cellIs" dxfId="10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9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98" priority="27" operator="lessThan">
      <formula>0</formula>
    </cfRule>
    <cfRule type="cellIs" dxfId="97" priority="38" operator="greaterThanOrEqual">
      <formula>0</formula>
    </cfRule>
  </conditionalFormatting>
  <conditionalFormatting sqref="D17:K17">
    <cfRule type="cellIs" dxfId="9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95" priority="33" operator="lessThan">
      <formula>0</formula>
    </cfRule>
  </conditionalFormatting>
  <conditionalFormatting sqref="J17">
    <cfRule type="cellIs" dxfId="94" priority="32" operator="lessThan">
      <formula>0</formula>
    </cfRule>
  </conditionalFormatting>
  <conditionalFormatting sqref="H17:I17">
    <cfRule type="cellIs" dxfId="93" priority="31" operator="lessThan">
      <formula>0</formula>
    </cfRule>
  </conditionalFormatting>
  <conditionalFormatting sqref="G17">
    <cfRule type="cellIs" dxfId="92" priority="30" operator="lessThan">
      <formula>0</formula>
    </cfRule>
  </conditionalFormatting>
  <conditionalFormatting sqref="E17:F17">
    <cfRule type="cellIs" dxfId="91" priority="29" operator="lessThan">
      <formula>0</formula>
    </cfRule>
  </conditionalFormatting>
  <conditionalFormatting sqref="D17">
    <cfRule type="cellIs" dxfId="9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89" priority="18" operator="greaterThanOrEqual">
      <formula>0</formula>
    </cfRule>
    <cfRule type="cellIs" dxfId="8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7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1053.9066666666665</v>
      </c>
      <c r="C4" s="4">
        <f>IFERROR(AVERAGE(C7:C9),"")</f>
        <v>1534.3733333333332</v>
      </c>
      <c r="D4" s="4">
        <f>IFERROR(AVERAGE(D7:D9),"")</f>
        <v>87.566666666666663</v>
      </c>
      <c r="E4" s="4">
        <f>IFERROR(AVERAGE(E7:E10),"")</f>
        <v>314.51499999999999</v>
      </c>
      <c r="F4" s="24">
        <f t="shared" ref="F4:L4" si="0">IFERROR(AVERAGE(F7:F9),"")</f>
        <v>93826.333333333328</v>
      </c>
      <c r="G4" s="4">
        <f t="shared" si="0"/>
        <v>6.3639999999999999</v>
      </c>
      <c r="H4" s="4">
        <f t="shared" si="0"/>
        <v>62.446666666666658</v>
      </c>
      <c r="I4" s="24">
        <f t="shared" si="0"/>
        <v>32231.333333333332</v>
      </c>
      <c r="J4" s="4">
        <f t="shared" si="0"/>
        <v>3.2086666666666672</v>
      </c>
      <c r="K4" s="4">
        <f t="shared" si="0"/>
        <v>548.85</v>
      </c>
      <c r="L4" s="4">
        <f t="shared" si="0"/>
        <v>133.43333333333334</v>
      </c>
    </row>
    <row r="5" spans="1:18" x14ac:dyDescent="0.35">
      <c r="A5" s="1" t="s">
        <v>2</v>
      </c>
      <c r="B5" s="4">
        <f t="shared" ref="B5:H5" si="1">IFERROR(AVERAGE(B10:B13),"")</f>
        <v>1850.6975</v>
      </c>
      <c r="C5" s="18">
        <f t="shared" si="1"/>
        <v>1644.7024999999999</v>
      </c>
      <c r="D5" s="4">
        <f t="shared" si="1"/>
        <v>91.125</v>
      </c>
      <c r="E5" s="4">
        <f t="shared" si="1"/>
        <v>348.73750000000001</v>
      </c>
      <c r="F5" s="24">
        <f t="shared" si="1"/>
        <v>133172.75</v>
      </c>
      <c r="G5" s="4">
        <f t="shared" si="1"/>
        <v>8.8525000000000009</v>
      </c>
      <c r="H5" s="20">
        <f t="shared" si="1"/>
        <v>43.870000000000005</v>
      </c>
      <c r="I5" s="25">
        <f>IFERROR(AVERAGE(I10:I13),"")</f>
        <v>87549.25</v>
      </c>
      <c r="J5" s="4">
        <f>IFERROR(AVERAGE(J10:J13),"")</f>
        <v>16.600000000000001</v>
      </c>
      <c r="K5" s="4">
        <f>IFERROR(AVERAGE(K10:K13),"")</f>
        <v>4004.2024999999999</v>
      </c>
      <c r="L5" s="4">
        <f>IFERROR(AVERAGE(L10:L13),"")</f>
        <v>439.52500000000003</v>
      </c>
    </row>
    <row r="6" spans="1:18" x14ac:dyDescent="0.35">
      <c r="F6" s="22"/>
      <c r="I6" s="22"/>
    </row>
    <row r="7" spans="1:18" x14ac:dyDescent="0.35">
      <c r="A7" s="3">
        <v>43975</v>
      </c>
      <c r="B7" s="15">
        <v>643.38</v>
      </c>
      <c r="C7" s="15">
        <v>1222.78</v>
      </c>
      <c r="D7" s="15">
        <v>87.64</v>
      </c>
      <c r="E7" s="15">
        <v>157.82</v>
      </c>
      <c r="F7" s="26">
        <v>44533</v>
      </c>
      <c r="G7" s="15">
        <v>3.9689999999999999</v>
      </c>
      <c r="H7" s="15">
        <v>67.92</v>
      </c>
      <c r="I7" s="26">
        <v>22922</v>
      </c>
      <c r="J7" s="15">
        <v>2.6960000000000002</v>
      </c>
      <c r="K7" s="15">
        <v>469.42</v>
      </c>
      <c r="L7" s="15">
        <v>114.94</v>
      </c>
    </row>
    <row r="8" spans="1:18" x14ac:dyDescent="0.35">
      <c r="A8" s="3">
        <v>43976</v>
      </c>
      <c r="B8" s="15">
        <v>1225.53</v>
      </c>
      <c r="C8" s="15">
        <v>1757.67</v>
      </c>
      <c r="D8" s="15">
        <v>94.77</v>
      </c>
      <c r="E8" s="15">
        <v>277.97000000000003</v>
      </c>
      <c r="F8" s="26">
        <v>109887</v>
      </c>
      <c r="G8" s="15">
        <v>6.32</v>
      </c>
      <c r="H8" s="15">
        <v>58.87</v>
      </c>
      <c r="I8" s="26">
        <v>32856</v>
      </c>
      <c r="J8" s="15">
        <v>3.2</v>
      </c>
      <c r="K8" s="15">
        <v>617.33000000000004</v>
      </c>
      <c r="L8" s="15">
        <v>135.93</v>
      </c>
    </row>
    <row r="9" spans="1:18" x14ac:dyDescent="0.35">
      <c r="A9" s="3">
        <v>43977</v>
      </c>
      <c r="B9" s="15">
        <v>1292.81</v>
      </c>
      <c r="C9" s="15">
        <v>1622.67</v>
      </c>
      <c r="D9" s="15">
        <v>80.290000000000006</v>
      </c>
      <c r="E9" s="15">
        <v>338.19</v>
      </c>
      <c r="F9" s="26">
        <v>127059</v>
      </c>
      <c r="G9" s="15">
        <v>8.8030000000000008</v>
      </c>
      <c r="H9" s="15">
        <v>60.55</v>
      </c>
      <c r="I9" s="26">
        <v>40916</v>
      </c>
      <c r="J9" s="15">
        <v>3.73</v>
      </c>
      <c r="K9" s="15">
        <v>559.79999999999995</v>
      </c>
      <c r="L9" s="15">
        <v>149.43</v>
      </c>
    </row>
    <row r="10" spans="1:18" x14ac:dyDescent="0.35">
      <c r="A10" s="3">
        <v>43978</v>
      </c>
      <c r="B10" s="16">
        <v>2155.27</v>
      </c>
      <c r="C10" s="16">
        <v>1056.33</v>
      </c>
      <c r="D10" s="16">
        <v>87.36</v>
      </c>
      <c r="E10" s="16">
        <v>484.08</v>
      </c>
      <c r="F10" s="23">
        <v>123953</v>
      </c>
      <c r="G10" s="16">
        <v>13.14</v>
      </c>
      <c r="H10" s="16">
        <v>49.92</v>
      </c>
      <c r="I10" s="23">
        <v>33349</v>
      </c>
      <c r="J10" s="16">
        <v>4.04</v>
      </c>
      <c r="K10" s="16">
        <v>882.28</v>
      </c>
      <c r="L10" s="16">
        <v>144.06</v>
      </c>
    </row>
    <row r="11" spans="1:18" ht="14.5" customHeight="1" x14ac:dyDescent="0.35">
      <c r="A11" s="3">
        <v>43979</v>
      </c>
      <c r="B11" s="17">
        <v>1639.6</v>
      </c>
      <c r="C11" s="17">
        <v>1807.78</v>
      </c>
      <c r="D11" s="17">
        <v>78.099999999999994</v>
      </c>
      <c r="E11" s="17">
        <v>320.85000000000002</v>
      </c>
      <c r="F11" s="27">
        <v>145217</v>
      </c>
      <c r="G11" s="17">
        <v>8.73</v>
      </c>
      <c r="H11" s="17">
        <v>51.86</v>
      </c>
      <c r="I11" s="27">
        <v>72143</v>
      </c>
      <c r="J11" s="17">
        <v>7.54</v>
      </c>
      <c r="K11" s="17">
        <v>3088.8</v>
      </c>
      <c r="L11" s="17">
        <v>300.63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43980</v>
      </c>
      <c r="B12" s="17">
        <v>2384.5</v>
      </c>
      <c r="C12" s="17">
        <v>1603.7</v>
      </c>
      <c r="D12" s="17">
        <v>102.55</v>
      </c>
      <c r="E12" s="17">
        <v>401.28</v>
      </c>
      <c r="F12" s="27">
        <v>184422</v>
      </c>
      <c r="G12" s="17">
        <v>9.07</v>
      </c>
      <c r="H12" s="17">
        <v>36.33</v>
      </c>
      <c r="I12" s="27">
        <v>144197</v>
      </c>
      <c r="J12" s="17">
        <v>31.5</v>
      </c>
      <c r="K12" s="17">
        <v>5529.4</v>
      </c>
      <c r="L12" s="17">
        <v>722.46</v>
      </c>
      <c r="N12" s="89"/>
      <c r="O12" s="89"/>
      <c r="P12" s="89"/>
      <c r="Q12" s="89"/>
      <c r="R12" s="89"/>
    </row>
    <row r="13" spans="1:18" x14ac:dyDescent="0.35">
      <c r="A13" s="3">
        <v>43981</v>
      </c>
      <c r="B13" s="17">
        <v>1223.42</v>
      </c>
      <c r="C13" s="17">
        <v>2111</v>
      </c>
      <c r="D13" s="17">
        <v>96.49</v>
      </c>
      <c r="E13" s="17">
        <v>188.74</v>
      </c>
      <c r="F13" s="27">
        <v>79099</v>
      </c>
      <c r="G13" s="17">
        <v>4.47</v>
      </c>
      <c r="H13" s="17">
        <v>37.369999999999997</v>
      </c>
      <c r="I13" s="27">
        <v>100508</v>
      </c>
      <c r="J13" s="17">
        <v>23.32</v>
      </c>
      <c r="K13" s="17">
        <v>6516.33</v>
      </c>
      <c r="L13" s="17">
        <v>590.95000000000005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1150.9000000000001</v>
      </c>
      <c r="C15" s="4">
        <v>2185.1999999999998</v>
      </c>
      <c r="D15" s="4">
        <v>100.4</v>
      </c>
      <c r="E15" s="4">
        <v>286.8</v>
      </c>
      <c r="F15" s="4">
        <v>109151.6</v>
      </c>
      <c r="G15" s="4">
        <v>6.9</v>
      </c>
      <c r="H15" s="4">
        <v>51</v>
      </c>
      <c r="I15" s="4">
        <v>62508</v>
      </c>
      <c r="J15" s="4">
        <v>9.5</v>
      </c>
      <c r="K15" s="4">
        <v>1989.9</v>
      </c>
      <c r="L15" s="4">
        <v>285.2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1509.2157142857143</v>
      </c>
      <c r="C16" s="4">
        <f t="shared" si="2"/>
        <v>1597.4185714285716</v>
      </c>
      <c r="D16" s="4">
        <f t="shared" si="2"/>
        <v>89.6</v>
      </c>
      <c r="E16" s="4">
        <f t="shared" si="2"/>
        <v>309.84714285714284</v>
      </c>
      <c r="F16" s="4">
        <f t="shared" si="2"/>
        <v>116310</v>
      </c>
      <c r="G16" s="4">
        <f t="shared" si="2"/>
        <v>7.7860000000000005</v>
      </c>
      <c r="H16" s="4">
        <f t="shared" si="2"/>
        <v>51.831428571428567</v>
      </c>
      <c r="I16" s="4">
        <f t="shared" si="2"/>
        <v>63841.571428571428</v>
      </c>
      <c r="J16" s="4">
        <f t="shared" si="2"/>
        <v>10.860857142857144</v>
      </c>
      <c r="K16" s="4">
        <f t="shared" si="2"/>
        <v>2523.3371428571431</v>
      </c>
      <c r="L16" s="4">
        <f t="shared" si="2"/>
        <v>308.34285714285716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 t="shared" ref="B17:L17" si="3">IFERROR(-(B15-B16)/B15,"")</f>
        <v>0.31133522833062316</v>
      </c>
      <c r="C17" s="6">
        <f t="shared" si="3"/>
        <v>-0.26898289793676933</v>
      </c>
      <c r="D17" s="6">
        <f t="shared" si="3"/>
        <v>-0.10756972111553796</v>
      </c>
      <c r="E17" s="6">
        <f t="shared" si="3"/>
        <v>8.0359633393106103E-2</v>
      </c>
      <c r="F17" s="6">
        <f t="shared" si="3"/>
        <v>6.5582181113240615E-2</v>
      </c>
      <c r="G17" s="6">
        <f t="shared" si="3"/>
        <v>0.12840579710144928</v>
      </c>
      <c r="H17" s="6">
        <f t="shared" si="3"/>
        <v>1.6302521008403282E-2</v>
      </c>
      <c r="I17" s="6">
        <f t="shared" si="3"/>
        <v>2.1334412052400133E-2</v>
      </c>
      <c r="J17" s="6">
        <f t="shared" si="3"/>
        <v>0.14324812030075201</v>
      </c>
      <c r="K17" s="6">
        <f t="shared" si="3"/>
        <v>0.26807233672905323</v>
      </c>
      <c r="L17" s="6">
        <f t="shared" si="3"/>
        <v>8.114606291324393E-2</v>
      </c>
    </row>
  </sheetData>
  <mergeCells count="3">
    <mergeCell ref="B1:G1"/>
    <mergeCell ref="H1:L1"/>
    <mergeCell ref="N11:R16"/>
  </mergeCells>
  <conditionalFormatting sqref="B17">
    <cfRule type="cellIs" dxfId="87" priority="41" operator="greaterThanOrEqual">
      <formula>0</formula>
    </cfRule>
    <cfRule type="cellIs" dxfId="8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8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84" priority="27" operator="lessThan">
      <formula>0</formula>
    </cfRule>
    <cfRule type="cellIs" dxfId="83" priority="38" operator="greaterThanOrEqual">
      <formula>0</formula>
    </cfRule>
  </conditionalFormatting>
  <conditionalFormatting sqref="D17:K17">
    <cfRule type="cellIs" dxfId="8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81" priority="33" operator="lessThan">
      <formula>0</formula>
    </cfRule>
  </conditionalFormatting>
  <conditionalFormatting sqref="J17">
    <cfRule type="cellIs" dxfId="80" priority="32" operator="lessThan">
      <formula>0</formula>
    </cfRule>
  </conditionalFormatting>
  <conditionalFormatting sqref="H17:I17">
    <cfRule type="cellIs" dxfId="79" priority="31" operator="lessThan">
      <formula>0</formula>
    </cfRule>
  </conditionalFormatting>
  <conditionalFormatting sqref="G17">
    <cfRule type="cellIs" dxfId="78" priority="30" operator="lessThan">
      <formula>0</formula>
    </cfRule>
  </conditionalFormatting>
  <conditionalFormatting sqref="E17:F17">
    <cfRule type="cellIs" dxfId="77" priority="29" operator="lessThan">
      <formula>0</formula>
    </cfRule>
  </conditionalFormatting>
  <conditionalFormatting sqref="D17">
    <cfRule type="cellIs" dxfId="7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75" priority="18" operator="greaterThanOrEqual">
      <formula>0</formula>
    </cfRule>
    <cfRule type="cellIs" dxfId="7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21"/>
  <sheetViews>
    <sheetView workbookViewId="0">
      <selection activeCell="G10" sqref="G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90" t="s">
        <v>14</v>
      </c>
      <c r="I1" s="91"/>
      <c r="J1" s="91"/>
      <c r="K1" s="91"/>
      <c r="L1" s="92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1087.5074999999999</v>
      </c>
      <c r="C4" s="4">
        <f t="shared" ref="C4:L4" si="0">IFERROR(AVERAGE(C7:C10),"")</f>
        <v>1475.1224999999999</v>
      </c>
      <c r="D4" s="4">
        <f t="shared" si="0"/>
        <v>97.987499999999997</v>
      </c>
      <c r="E4" s="4">
        <f>IFERROR(AVERAGE(E7:E10),"")</f>
        <v>256.44499999999999</v>
      </c>
      <c r="F4" s="24">
        <f t="shared" si="0"/>
        <v>79125</v>
      </c>
      <c r="G4" s="4">
        <f t="shared" si="0"/>
        <v>5.9350000000000005</v>
      </c>
      <c r="H4" s="4">
        <f t="shared" si="0"/>
        <v>57.965000000000003</v>
      </c>
      <c r="I4" s="24">
        <f t="shared" si="0"/>
        <v>33437.75</v>
      </c>
      <c r="J4" s="4">
        <f t="shared" si="0"/>
        <v>3.3287499999999999</v>
      </c>
      <c r="K4" s="4">
        <f t="shared" si="0"/>
        <v>779.80749999999989</v>
      </c>
      <c r="L4" s="4">
        <f t="shared" si="0"/>
        <v>138.745</v>
      </c>
    </row>
    <row r="5" spans="1:18" x14ac:dyDescent="0.35">
      <c r="A5" s="1" t="s">
        <v>2</v>
      </c>
      <c r="B5" s="4">
        <f>IFERROR(AVERAGE(B11:B13),"")</f>
        <v>2410.5766666666664</v>
      </c>
      <c r="C5" s="18">
        <f t="shared" ref="C5:L5" si="1">IFERROR(AVERAGE(C11:C13),"")</f>
        <v>1224.3333333333333</v>
      </c>
      <c r="D5" s="4">
        <f t="shared" si="1"/>
        <v>88.58</v>
      </c>
      <c r="E5" s="4">
        <f>IFERROR(AVERAGE(E11:E13),"")</f>
        <v>282.24333333333334</v>
      </c>
      <c r="F5" s="24">
        <f t="shared" si="1"/>
        <v>77525.666666666672</v>
      </c>
      <c r="G5" s="4">
        <f t="shared" si="1"/>
        <v>7.112333333333333</v>
      </c>
      <c r="H5" s="20">
        <f t="shared" si="1"/>
        <v>44.793333333333329</v>
      </c>
      <c r="I5" s="25">
        <f t="shared" si="1"/>
        <v>90259</v>
      </c>
      <c r="J5" s="4">
        <f t="shared" si="1"/>
        <v>12.792666666666667</v>
      </c>
      <c r="K5" s="4">
        <f t="shared" si="1"/>
        <v>3007.6066666666666</v>
      </c>
      <c r="L5" s="4">
        <f t="shared" si="1"/>
        <v>393.31666666666666</v>
      </c>
    </row>
    <row r="6" spans="1:18" x14ac:dyDescent="0.35">
      <c r="F6" s="22"/>
      <c r="I6" s="22"/>
    </row>
    <row r="7" spans="1:18" x14ac:dyDescent="0.35">
      <c r="A7" s="3">
        <v>43982</v>
      </c>
      <c r="B7" s="15">
        <v>624.57000000000005</v>
      </c>
      <c r="C7" s="15">
        <v>1620.33</v>
      </c>
      <c r="D7" s="15">
        <v>114.34</v>
      </c>
      <c r="E7" s="15">
        <v>182.7</v>
      </c>
      <c r="F7" s="26">
        <v>58385</v>
      </c>
      <c r="G7" s="15">
        <v>3.77</v>
      </c>
      <c r="H7" s="15">
        <v>65.069999999999993</v>
      </c>
      <c r="I7" s="26">
        <v>32999</v>
      </c>
      <c r="J7" s="15">
        <v>3.0449999999999999</v>
      </c>
      <c r="K7" s="15">
        <v>694.56</v>
      </c>
      <c r="L7" s="15">
        <v>135.61000000000001</v>
      </c>
    </row>
    <row r="8" spans="1:18" x14ac:dyDescent="0.35">
      <c r="A8" s="3">
        <v>43983</v>
      </c>
      <c r="B8" s="15">
        <v>1039.74</v>
      </c>
      <c r="C8" s="15">
        <v>1450.6</v>
      </c>
      <c r="D8" s="15">
        <v>92.3</v>
      </c>
      <c r="E8" s="15">
        <v>234.04</v>
      </c>
      <c r="F8" s="26">
        <v>70598</v>
      </c>
      <c r="G8" s="15">
        <v>5.37</v>
      </c>
      <c r="H8" s="15">
        <v>59.18</v>
      </c>
      <c r="I8" s="26">
        <v>31462</v>
      </c>
      <c r="J8" s="15">
        <v>3.63</v>
      </c>
      <c r="K8" s="15">
        <v>802.89</v>
      </c>
      <c r="L8" s="15">
        <v>144.12</v>
      </c>
    </row>
    <row r="9" spans="1:18" x14ac:dyDescent="0.35">
      <c r="A9" s="3">
        <v>43984</v>
      </c>
      <c r="B9" s="15">
        <v>1063.69</v>
      </c>
      <c r="C9" s="15">
        <v>1411.78</v>
      </c>
      <c r="D9" s="15">
        <v>93.43</v>
      </c>
      <c r="E9" s="15">
        <v>310.83</v>
      </c>
      <c r="F9" s="26">
        <v>101203</v>
      </c>
      <c r="G9" s="15">
        <v>7.73</v>
      </c>
      <c r="H9" s="15">
        <v>52.84</v>
      </c>
      <c r="I9" s="26">
        <v>41098</v>
      </c>
      <c r="J9" s="15">
        <v>3.31</v>
      </c>
      <c r="K9" s="15">
        <v>850.43</v>
      </c>
      <c r="L9" s="15">
        <v>128.33000000000001</v>
      </c>
    </row>
    <row r="10" spans="1:18" x14ac:dyDescent="0.35">
      <c r="A10" s="3">
        <v>43985</v>
      </c>
      <c r="B10" s="16">
        <v>1622.03</v>
      </c>
      <c r="C10" s="16">
        <v>1417.78</v>
      </c>
      <c r="D10" s="16">
        <v>91.88</v>
      </c>
      <c r="E10" s="16">
        <v>298.20999999999998</v>
      </c>
      <c r="F10" s="23">
        <v>86314</v>
      </c>
      <c r="G10" s="16">
        <v>6.87</v>
      </c>
      <c r="H10" s="16">
        <v>54.77</v>
      </c>
      <c r="I10" s="23">
        <v>28192</v>
      </c>
      <c r="J10" s="16">
        <v>3.33</v>
      </c>
      <c r="K10" s="16">
        <v>771.35</v>
      </c>
      <c r="L10" s="16">
        <v>146.91999999999999</v>
      </c>
    </row>
    <row r="11" spans="1:18" ht="14.5" customHeight="1" x14ac:dyDescent="0.35">
      <c r="A11" s="3">
        <v>43986</v>
      </c>
      <c r="B11" s="17">
        <v>2687.51</v>
      </c>
      <c r="C11" s="17">
        <v>756.33</v>
      </c>
      <c r="D11" s="17">
        <v>90.68</v>
      </c>
      <c r="E11" s="17">
        <v>196.17</v>
      </c>
      <c r="F11" s="27">
        <v>30136</v>
      </c>
      <c r="G11" s="17">
        <v>5.9470000000000001</v>
      </c>
      <c r="H11" s="17">
        <v>51</v>
      </c>
      <c r="I11" s="27">
        <v>54157</v>
      </c>
      <c r="J11" s="17">
        <v>3.7589999999999999</v>
      </c>
      <c r="K11" s="17">
        <v>1276.8499999999999</v>
      </c>
      <c r="L11" s="17">
        <v>150.66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43987</v>
      </c>
      <c r="B12" s="17">
        <v>2184.9499999999998</v>
      </c>
      <c r="C12" s="17">
        <v>1432.89</v>
      </c>
      <c r="D12" s="17">
        <v>91.96</v>
      </c>
      <c r="E12" s="17">
        <v>273.54000000000002</v>
      </c>
      <c r="F12" s="27">
        <v>85653</v>
      </c>
      <c r="G12" s="17">
        <v>6.39</v>
      </c>
      <c r="H12" s="17">
        <v>37.03</v>
      </c>
      <c r="I12" s="27">
        <v>144359</v>
      </c>
      <c r="J12" s="17">
        <v>22.239000000000001</v>
      </c>
      <c r="K12" s="17">
        <v>5773.15</v>
      </c>
      <c r="L12" s="17">
        <v>625.69000000000005</v>
      </c>
      <c r="N12" s="89"/>
      <c r="O12" s="89"/>
      <c r="P12" s="89"/>
      <c r="Q12" s="89"/>
      <c r="R12" s="89"/>
    </row>
    <row r="13" spans="1:18" x14ac:dyDescent="0.35">
      <c r="A13" s="3">
        <v>43988</v>
      </c>
      <c r="B13" s="17">
        <v>2359.27</v>
      </c>
      <c r="C13" s="17">
        <v>1483.78</v>
      </c>
      <c r="D13" s="17">
        <v>83.1</v>
      </c>
      <c r="E13" s="17">
        <v>377.02</v>
      </c>
      <c r="F13" s="27">
        <v>116788</v>
      </c>
      <c r="G13" s="17">
        <v>9</v>
      </c>
      <c r="H13" s="17">
        <v>46.35</v>
      </c>
      <c r="I13" s="27">
        <v>72261</v>
      </c>
      <c r="J13" s="17">
        <v>12.38</v>
      </c>
      <c r="K13" s="17">
        <v>1972.82</v>
      </c>
      <c r="L13" s="17">
        <v>403.6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1509.2</v>
      </c>
      <c r="C15" s="4">
        <v>1597.4</v>
      </c>
      <c r="D15" s="4">
        <v>89.6</v>
      </c>
      <c r="E15" s="4">
        <v>309.8</v>
      </c>
      <c r="F15" s="4">
        <v>116310</v>
      </c>
      <c r="G15" s="4">
        <v>7.8</v>
      </c>
      <c r="H15" s="4">
        <v>51.8</v>
      </c>
      <c r="I15" s="4">
        <v>63841.599999999999</v>
      </c>
      <c r="J15" s="4">
        <v>10.9</v>
      </c>
      <c r="K15" s="4">
        <v>2523.3000000000002</v>
      </c>
      <c r="L15" s="4">
        <v>308.3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1654.537142857143</v>
      </c>
      <c r="C16" s="4">
        <f t="shared" si="2"/>
        <v>1367.6414285714286</v>
      </c>
      <c r="D16" s="4">
        <f t="shared" si="2"/>
        <v>93.955714285714294</v>
      </c>
      <c r="E16" s="4">
        <f t="shared" si="2"/>
        <v>267.50142857142856</v>
      </c>
      <c r="F16" s="4">
        <f t="shared" si="2"/>
        <v>78439.571428571435</v>
      </c>
      <c r="G16" s="4">
        <f t="shared" si="2"/>
        <v>6.4395714285714281</v>
      </c>
      <c r="H16" s="4">
        <f t="shared" si="2"/>
        <v>52.32</v>
      </c>
      <c r="I16" s="4">
        <f t="shared" si="2"/>
        <v>57789.714285714283</v>
      </c>
      <c r="J16" s="4">
        <f t="shared" si="2"/>
        <v>7.3847142857142867</v>
      </c>
      <c r="K16" s="4">
        <f t="shared" si="2"/>
        <v>1734.5785714285714</v>
      </c>
      <c r="L16" s="4">
        <f t="shared" si="2"/>
        <v>247.84714285714284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 t="shared" ref="B17:L17" si="3">IFERROR(-(B15-B16)/B15,"")</f>
        <v>9.6300783764340647E-2</v>
      </c>
      <c r="C17" s="6">
        <f t="shared" si="3"/>
        <v>-0.14383283550054557</v>
      </c>
      <c r="D17" s="6">
        <f t="shared" si="3"/>
        <v>4.8612882653061379E-2</v>
      </c>
      <c r="E17" s="6">
        <f t="shared" si="3"/>
        <v>-0.13653509176427195</v>
      </c>
      <c r="F17" s="6">
        <f t="shared" si="3"/>
        <v>-0.32559907635997393</v>
      </c>
      <c r="G17" s="6">
        <f t="shared" si="3"/>
        <v>-0.17441391941391945</v>
      </c>
      <c r="H17" s="6">
        <f t="shared" si="3"/>
        <v>1.0038610038610099E-2</v>
      </c>
      <c r="I17" s="6">
        <f t="shared" si="3"/>
        <v>-9.4795332734231533E-2</v>
      </c>
      <c r="J17" s="6">
        <f t="shared" si="3"/>
        <v>-0.32250327653997374</v>
      </c>
      <c r="K17" s="6">
        <f t="shared" si="3"/>
        <v>-0.31257536898958854</v>
      </c>
      <c r="L17" s="6">
        <f t="shared" si="3"/>
        <v>-0.19608451878967617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73" priority="41" operator="greaterThanOrEqual">
      <formula>0</formula>
    </cfRule>
    <cfRule type="cellIs" dxfId="7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7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70" priority="27" operator="lessThan">
      <formula>0</formula>
    </cfRule>
    <cfRule type="cellIs" dxfId="69" priority="38" operator="greaterThanOrEqual">
      <formula>0</formula>
    </cfRule>
  </conditionalFormatting>
  <conditionalFormatting sqref="D17:K17">
    <cfRule type="cellIs" dxfId="6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67" priority="33" operator="lessThan">
      <formula>0</formula>
    </cfRule>
  </conditionalFormatting>
  <conditionalFormatting sqref="J17">
    <cfRule type="cellIs" dxfId="66" priority="32" operator="lessThan">
      <formula>0</formula>
    </cfRule>
  </conditionalFormatting>
  <conditionalFormatting sqref="H17:I17">
    <cfRule type="cellIs" dxfId="65" priority="31" operator="lessThan">
      <formula>0</formula>
    </cfRule>
  </conditionalFormatting>
  <conditionalFormatting sqref="G17">
    <cfRule type="cellIs" dxfId="64" priority="30" operator="lessThan">
      <formula>0</formula>
    </cfRule>
  </conditionalFormatting>
  <conditionalFormatting sqref="E17:F17">
    <cfRule type="cellIs" dxfId="63" priority="29" operator="lessThan">
      <formula>0</formula>
    </cfRule>
  </conditionalFormatting>
  <conditionalFormatting sqref="D17">
    <cfRule type="cellIs" dxfId="6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61" priority="18" operator="greaterThanOrEqual">
      <formula>0</formula>
    </cfRule>
    <cfRule type="cellIs" dxfId="6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17"/>
  <sheetViews>
    <sheetView workbookViewId="0">
      <selection sqref="A1:XFD1048576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1429.3266666666666</v>
      </c>
      <c r="C4" s="4">
        <f>IFERROR(AVERAGE(C7:C9),"")</f>
        <v>1455.4433333333334</v>
      </c>
      <c r="D4" s="4">
        <f>IFERROR(AVERAGE(D7:D9),"")</f>
        <v>95.806666666666672</v>
      </c>
      <c r="E4" s="4">
        <f>IFERROR(AVERAGE(E7:E10),"")</f>
        <v>271.67500000000001</v>
      </c>
      <c r="F4" s="24">
        <f t="shared" ref="F4:L4" si="0">IFERROR(AVERAGE(F7:F9),"")</f>
        <v>81408</v>
      </c>
      <c r="G4" s="4">
        <f t="shared" si="0"/>
        <v>6.3793333333333324</v>
      </c>
      <c r="H4" s="4">
        <f t="shared" si="0"/>
        <v>49.94</v>
      </c>
      <c r="I4" s="24">
        <f t="shared" si="0"/>
        <v>37229.333333333336</v>
      </c>
      <c r="J4" s="4">
        <f t="shared" si="0"/>
        <v>4.3809999999999993</v>
      </c>
      <c r="K4" s="4">
        <f t="shared" si="0"/>
        <v>998.20666666666659</v>
      </c>
      <c r="L4" s="4">
        <f t="shared" si="0"/>
        <v>163.04666666666665</v>
      </c>
    </row>
    <row r="5" spans="1:18" x14ac:dyDescent="0.35">
      <c r="A5" s="1" t="s">
        <v>2</v>
      </c>
      <c r="B5" s="4">
        <f t="shared" ref="B5:I5" si="1">IFERROR(AVERAGE(B10:B13),"")</f>
        <v>1776.4449999999999</v>
      </c>
      <c r="C5" s="18">
        <f t="shared" si="1"/>
        <v>736.87749999999994</v>
      </c>
      <c r="D5" s="4">
        <f t="shared" si="1"/>
        <v>100.67999999999999</v>
      </c>
      <c r="E5" s="4">
        <f t="shared" si="1"/>
        <v>264.875</v>
      </c>
      <c r="F5" s="24">
        <f t="shared" si="1"/>
        <v>39539</v>
      </c>
      <c r="G5" s="4">
        <f t="shared" si="1"/>
        <v>7.4625000000000004</v>
      </c>
      <c r="H5" s="20">
        <f t="shared" si="1"/>
        <v>44.414999999999999</v>
      </c>
      <c r="I5" s="25">
        <f t="shared" si="1"/>
        <v>113365.75</v>
      </c>
      <c r="J5" s="4">
        <f>IFERROR(AVERAGE(J10:J13),"")</f>
        <v>10.327249999999999</v>
      </c>
      <c r="K5" s="4">
        <f>IFERROR(AVERAGE(K10:K13),"")</f>
        <v>2714.8975</v>
      </c>
      <c r="L5" s="4">
        <f>IFERROR(AVERAGE(L10:L13),"")</f>
        <v>331.47749999999996</v>
      </c>
    </row>
    <row r="6" spans="1:18" x14ac:dyDescent="0.35">
      <c r="F6" s="22"/>
      <c r="I6" s="22"/>
    </row>
    <row r="7" spans="1:18" x14ac:dyDescent="0.35">
      <c r="A7" s="3">
        <v>43989</v>
      </c>
      <c r="B7" s="15">
        <v>1144.8499999999999</v>
      </c>
      <c r="C7" s="15">
        <v>1055.33</v>
      </c>
      <c r="D7" s="15">
        <v>79.260000000000005</v>
      </c>
      <c r="E7" s="15">
        <v>213.07</v>
      </c>
      <c r="F7" s="26">
        <v>58122</v>
      </c>
      <c r="G7" s="15">
        <v>5.95</v>
      </c>
      <c r="H7" s="15">
        <v>58.26</v>
      </c>
      <c r="I7" s="26">
        <v>33753</v>
      </c>
      <c r="J7" s="15">
        <v>3.74</v>
      </c>
      <c r="K7" s="15">
        <v>866.52</v>
      </c>
      <c r="L7" s="15">
        <v>146.31</v>
      </c>
    </row>
    <row r="8" spans="1:18" x14ac:dyDescent="0.35">
      <c r="A8" s="3">
        <v>43990</v>
      </c>
      <c r="B8" s="15">
        <v>2214.89</v>
      </c>
      <c r="C8" s="15">
        <v>1471.33</v>
      </c>
      <c r="D8" s="15">
        <v>101.58</v>
      </c>
      <c r="E8" s="15">
        <v>500.79</v>
      </c>
      <c r="F8" s="26">
        <v>121381</v>
      </c>
      <c r="G8" s="15">
        <v>9.4179999999999993</v>
      </c>
      <c r="H8" s="15">
        <v>49.57</v>
      </c>
      <c r="I8" s="26">
        <v>38680</v>
      </c>
      <c r="J8" s="15">
        <v>4.6139999999999999</v>
      </c>
      <c r="K8" s="15">
        <v>915.04</v>
      </c>
      <c r="L8" s="15">
        <v>169.68</v>
      </c>
    </row>
    <row r="9" spans="1:18" x14ac:dyDescent="0.35">
      <c r="A9" s="3">
        <v>43991</v>
      </c>
      <c r="B9" s="15">
        <v>928.24</v>
      </c>
      <c r="C9" s="15">
        <v>1839.67</v>
      </c>
      <c r="D9" s="15">
        <v>106.58</v>
      </c>
      <c r="E9" s="15">
        <v>178.03</v>
      </c>
      <c r="F9" s="26">
        <v>64721</v>
      </c>
      <c r="G9" s="15">
        <v>3.77</v>
      </c>
      <c r="H9" s="15">
        <v>41.99</v>
      </c>
      <c r="I9" s="26">
        <v>39255</v>
      </c>
      <c r="J9" s="15">
        <v>4.7889999999999997</v>
      </c>
      <c r="K9" s="15">
        <v>1213.06</v>
      </c>
      <c r="L9" s="15">
        <v>173.15</v>
      </c>
    </row>
    <row r="10" spans="1:18" x14ac:dyDescent="0.35">
      <c r="A10" s="3">
        <v>43992</v>
      </c>
      <c r="B10" s="16">
        <v>1564.35</v>
      </c>
      <c r="C10" s="16">
        <v>1254.1099999999999</v>
      </c>
      <c r="D10" s="16">
        <v>97.82</v>
      </c>
      <c r="E10" s="16">
        <v>194.81</v>
      </c>
      <c r="F10" s="23">
        <v>54554</v>
      </c>
      <c r="G10" s="16">
        <v>5.9</v>
      </c>
      <c r="H10" s="16">
        <v>51.69</v>
      </c>
      <c r="I10" s="23">
        <v>64554</v>
      </c>
      <c r="J10" s="16">
        <v>6.8890000000000002</v>
      </c>
      <c r="K10" s="16">
        <v>1892.09</v>
      </c>
      <c r="L10" s="16">
        <v>248.94</v>
      </c>
    </row>
    <row r="11" spans="1:18" ht="14.5" customHeight="1" x14ac:dyDescent="0.35">
      <c r="A11" s="3">
        <v>43993</v>
      </c>
      <c r="B11" s="17">
        <v>759.87</v>
      </c>
      <c r="C11" s="17">
        <v>454.44</v>
      </c>
      <c r="D11" s="17">
        <v>107.21</v>
      </c>
      <c r="E11" s="17">
        <v>177.82</v>
      </c>
      <c r="F11" s="27">
        <v>26281</v>
      </c>
      <c r="G11" s="17">
        <v>6.55</v>
      </c>
      <c r="H11" s="17">
        <v>45.22</v>
      </c>
      <c r="I11" s="27">
        <v>96955</v>
      </c>
      <c r="J11" s="17">
        <v>7.31</v>
      </c>
      <c r="K11" s="17">
        <v>2337.7800000000002</v>
      </c>
      <c r="L11" s="17">
        <v>258.33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43994</v>
      </c>
      <c r="B12" s="17">
        <v>1675.22</v>
      </c>
      <c r="C12" s="17">
        <v>558.13</v>
      </c>
      <c r="D12" s="17">
        <v>108.2</v>
      </c>
      <c r="E12" s="17">
        <v>189.82</v>
      </c>
      <c r="F12" s="27">
        <v>26132</v>
      </c>
      <c r="G12" s="17">
        <v>5.05</v>
      </c>
      <c r="H12" s="17">
        <v>38.99</v>
      </c>
      <c r="I12" s="27">
        <v>164439</v>
      </c>
      <c r="J12" s="17">
        <v>15.51</v>
      </c>
      <c r="K12" s="17">
        <v>3619.24</v>
      </c>
      <c r="L12" s="17">
        <v>462.37</v>
      </c>
      <c r="N12" s="89"/>
      <c r="O12" s="89"/>
      <c r="P12" s="89"/>
      <c r="Q12" s="89"/>
      <c r="R12" s="89"/>
    </row>
    <row r="13" spans="1:18" x14ac:dyDescent="0.35">
      <c r="A13" s="3">
        <v>43995</v>
      </c>
      <c r="B13" s="17">
        <v>3106.34</v>
      </c>
      <c r="C13" s="17">
        <v>680.83</v>
      </c>
      <c r="D13" s="17">
        <v>89.49</v>
      </c>
      <c r="E13" s="17">
        <v>497.05</v>
      </c>
      <c r="F13" s="27">
        <v>51189</v>
      </c>
      <c r="G13" s="17">
        <v>12.35</v>
      </c>
      <c r="H13" s="17">
        <v>41.76</v>
      </c>
      <c r="I13" s="27">
        <v>127515</v>
      </c>
      <c r="J13" s="17">
        <v>11.6</v>
      </c>
      <c r="K13" s="17">
        <v>3010.48</v>
      </c>
      <c r="L13" s="17">
        <v>356.27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1654.5</v>
      </c>
      <c r="C15" s="4">
        <v>1367.6</v>
      </c>
      <c r="D15" s="4">
        <v>94</v>
      </c>
      <c r="E15" s="4">
        <v>267.5</v>
      </c>
      <c r="F15" s="4">
        <v>78439.600000000006</v>
      </c>
      <c r="G15" s="4">
        <v>6.4</v>
      </c>
      <c r="H15" s="4">
        <v>52.3</v>
      </c>
      <c r="I15" s="4">
        <v>57789.7</v>
      </c>
      <c r="J15" s="4">
        <v>7.4</v>
      </c>
      <c r="K15" s="4">
        <v>1734.6</v>
      </c>
      <c r="L15" s="4">
        <v>247.8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K16" si="2">IFERROR(AVERAGE(B7:B13),"")</f>
        <v>1627.68</v>
      </c>
      <c r="C16" s="4">
        <f>IFERROR(AVERAGE(C7:C13),"")</f>
        <v>1044.8342857142857</v>
      </c>
      <c r="D16" s="4">
        <f>IFERROR(AVERAGE(D7:D13),"")</f>
        <v>98.591428571428565</v>
      </c>
      <c r="E16" s="4">
        <f>IFERROR(AVERAGE(E7:E13),"")</f>
        <v>278.77</v>
      </c>
      <c r="F16" s="4">
        <f t="shared" si="2"/>
        <v>57482.857142857145</v>
      </c>
      <c r="G16" s="4">
        <f t="shared" si="2"/>
        <v>6.9982857142857142</v>
      </c>
      <c r="H16" s="4">
        <f t="shared" si="2"/>
        <v>46.782857142857139</v>
      </c>
      <c r="I16" s="4">
        <f>IFERROR(AVERAGE(I7:I13),"")</f>
        <v>80735.857142857145</v>
      </c>
      <c r="J16" s="4">
        <f>IFERROR(AVERAGE(J7:J13),"")</f>
        <v>7.7788571428571425</v>
      </c>
      <c r="K16" s="4">
        <f t="shared" si="2"/>
        <v>1979.1728571428571</v>
      </c>
      <c r="L16" s="4">
        <f>IFERROR(AVERAGE(L7:L13),"")</f>
        <v>259.29285714285709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-1.6210335448776026E-2</v>
      </c>
      <c r="C17" s="6">
        <f>IFERROR(-(C15-C16)/C15,"")</f>
        <v>-0.23600885806208999</v>
      </c>
      <c r="D17" s="6">
        <f t="shared" ref="D17:K17" si="3">IFERROR(-(D15-D16)/D15,"")</f>
        <v>4.8844984802431546E-2</v>
      </c>
      <c r="E17" s="6">
        <f t="shared" si="3"/>
        <v>4.2130841121495261E-2</v>
      </c>
      <c r="F17" s="6">
        <f>IFERROR(-(F15-F16)/F15,"")</f>
        <v>-0.26717044524886485</v>
      </c>
      <c r="G17" s="6">
        <f>IFERROR(-(G15-G16)/G15,"")</f>
        <v>9.3482142857142791E-2</v>
      </c>
      <c r="H17" s="6">
        <f t="shared" si="3"/>
        <v>-0.10549030319584815</v>
      </c>
      <c r="I17" s="6">
        <f t="shared" si="3"/>
        <v>0.3970630950300339</v>
      </c>
      <c r="J17" s="6">
        <f>IFERROR(-(J15-J16)/J15,"")</f>
        <v>5.1196911196911096E-2</v>
      </c>
      <c r="K17" s="6">
        <f t="shared" si="3"/>
        <v>0.14099668923259379</v>
      </c>
      <c r="L17" s="6">
        <f>IFERROR(-(L15-L16)/L15,"")</f>
        <v>4.6379568776662938E-2</v>
      </c>
    </row>
  </sheetData>
  <mergeCells count="3">
    <mergeCell ref="B1:G1"/>
    <mergeCell ref="H1:L1"/>
    <mergeCell ref="N11:R16"/>
  </mergeCells>
  <conditionalFormatting sqref="B17">
    <cfRule type="cellIs" dxfId="59" priority="41" operator="greaterThanOrEqual">
      <formula>0</formula>
    </cfRule>
    <cfRule type="cellIs" dxfId="5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5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56" priority="27" operator="lessThan">
      <formula>0</formula>
    </cfRule>
    <cfRule type="cellIs" dxfId="55" priority="38" operator="greaterThanOrEqual">
      <formula>0</formula>
    </cfRule>
  </conditionalFormatting>
  <conditionalFormatting sqref="D17:K17">
    <cfRule type="cellIs" dxfId="5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53" priority="33" operator="lessThan">
      <formula>0</formula>
    </cfRule>
  </conditionalFormatting>
  <conditionalFormatting sqref="J17">
    <cfRule type="cellIs" dxfId="52" priority="32" operator="lessThan">
      <formula>0</formula>
    </cfRule>
  </conditionalFormatting>
  <conditionalFormatting sqref="H17:I17">
    <cfRule type="cellIs" dxfId="51" priority="31" operator="lessThan">
      <formula>0</formula>
    </cfRule>
  </conditionalFormatting>
  <conditionalFormatting sqref="G17">
    <cfRule type="cellIs" dxfId="50" priority="30" operator="lessThan">
      <formula>0</formula>
    </cfRule>
  </conditionalFormatting>
  <conditionalFormatting sqref="E17:F17">
    <cfRule type="cellIs" dxfId="49" priority="29" operator="lessThan">
      <formula>0</formula>
    </cfRule>
  </conditionalFormatting>
  <conditionalFormatting sqref="D17">
    <cfRule type="cellIs" dxfId="4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47" priority="18" operator="greaterThanOrEqual">
      <formula>0</formula>
    </cfRule>
    <cfRule type="cellIs" dxfId="4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4:L20"/>
  <sheetViews>
    <sheetView topLeftCell="A4" workbookViewId="0">
      <selection activeCell="G13" sqref="G13"/>
    </sheetView>
  </sheetViews>
  <sheetFormatPr defaultRowHeight="14.5" x14ac:dyDescent="0.35"/>
  <cols>
    <col min="1" max="1" width="23.54296875" customWidth="1"/>
    <col min="6" max="6" width="10.1796875" bestFit="1" customWidth="1"/>
    <col min="9" max="9" width="10.1796875" bestFit="1" customWidth="1"/>
  </cols>
  <sheetData>
    <row r="4" spans="1:12" x14ac:dyDescent="0.35">
      <c r="A4" s="1"/>
      <c r="B4" s="86" t="s">
        <v>13</v>
      </c>
      <c r="C4" s="87"/>
      <c r="D4" s="87"/>
      <c r="E4" s="87"/>
      <c r="F4" s="87"/>
      <c r="G4" s="88"/>
      <c r="H4" s="90" t="s">
        <v>14</v>
      </c>
      <c r="I4" s="91"/>
      <c r="J4" s="91"/>
      <c r="K4" s="91"/>
      <c r="L4" s="92"/>
    </row>
    <row r="5" spans="1:12" x14ac:dyDescent="0.35">
      <c r="A5" s="1"/>
      <c r="B5" s="1" t="s">
        <v>6</v>
      </c>
      <c r="C5" s="1" t="s">
        <v>7</v>
      </c>
      <c r="D5" s="1" t="s">
        <v>8</v>
      </c>
      <c r="E5" s="1" t="s">
        <v>11</v>
      </c>
      <c r="F5" s="1" t="s">
        <v>19</v>
      </c>
      <c r="G5" s="1" t="s">
        <v>15</v>
      </c>
      <c r="H5" s="1" t="s">
        <v>20</v>
      </c>
      <c r="I5" s="1" t="s">
        <v>18</v>
      </c>
      <c r="J5" s="1" t="s">
        <v>15</v>
      </c>
      <c r="K5" s="1" t="s">
        <v>10</v>
      </c>
      <c r="L5" s="1" t="s">
        <v>12</v>
      </c>
    </row>
    <row r="6" spans="1:12" x14ac:dyDescent="0.35">
      <c r="A6" s="2" t="s">
        <v>0</v>
      </c>
      <c r="B6" s="7">
        <v>995</v>
      </c>
      <c r="C6" s="7">
        <v>475</v>
      </c>
      <c r="D6" s="7">
        <v>85</v>
      </c>
      <c r="E6" s="7">
        <v>250</v>
      </c>
      <c r="F6" s="7"/>
      <c r="G6" s="7">
        <v>9</v>
      </c>
      <c r="H6" s="7">
        <v>0</v>
      </c>
      <c r="I6" s="7"/>
      <c r="J6" s="7">
        <v>9</v>
      </c>
      <c r="K6" s="7">
        <v>1400</v>
      </c>
      <c r="L6" s="7">
        <v>200</v>
      </c>
    </row>
    <row r="7" spans="1:12" x14ac:dyDescent="0.35">
      <c r="A7" s="1" t="s">
        <v>1</v>
      </c>
      <c r="B7" s="4">
        <f>IFERROR(AVERAGE(B10:B13),"")</f>
        <v>1905.5974999999999</v>
      </c>
      <c r="C7" s="4">
        <f t="shared" ref="C7:L7" si="0">IFERROR(AVERAGE(C10:C13),"")</f>
        <v>1167.6175000000001</v>
      </c>
      <c r="D7" s="4">
        <f t="shared" si="0"/>
        <v>81.754999999999995</v>
      </c>
      <c r="E7" s="4">
        <f>IFERROR(AVERAGE(E10:E13),"")</f>
        <v>377.27750000000003</v>
      </c>
      <c r="F7" s="24">
        <f t="shared" si="0"/>
        <v>107286.25</v>
      </c>
      <c r="G7" s="4">
        <f t="shared" si="0"/>
        <v>11.012500000000001</v>
      </c>
      <c r="H7" s="4">
        <f t="shared" si="0"/>
        <v>29.68</v>
      </c>
      <c r="I7" s="24">
        <f t="shared" si="0"/>
        <v>77586.5</v>
      </c>
      <c r="J7" s="4">
        <f t="shared" si="0"/>
        <v>10.994999999999999</v>
      </c>
      <c r="K7" s="4">
        <f t="shared" si="0"/>
        <v>2725.7799999999997</v>
      </c>
      <c r="L7" s="4">
        <f t="shared" si="0"/>
        <v>321.76249999999999</v>
      </c>
    </row>
    <row r="8" spans="1:12" x14ac:dyDescent="0.35">
      <c r="A8" s="1" t="s">
        <v>2</v>
      </c>
      <c r="B8" s="4">
        <f>IFERROR(AVERAGE(B14:B16),"")</f>
        <v>2390.4133333333334</v>
      </c>
      <c r="C8" s="18">
        <f t="shared" ref="C8:L8" si="1">IFERROR(AVERAGE(C14:C16),"")</f>
        <v>1064.2633333333335</v>
      </c>
      <c r="D8" s="4">
        <f t="shared" si="1"/>
        <v>52.75</v>
      </c>
      <c r="E8" s="4">
        <f>IFERROR(AVERAGE(E14:E16),"")</f>
        <v>270.10000000000002</v>
      </c>
      <c r="F8" s="24">
        <f t="shared" si="1"/>
        <v>113840.66666666667</v>
      </c>
      <c r="G8" s="4">
        <f t="shared" si="1"/>
        <v>12.503333333333332</v>
      </c>
      <c r="H8" s="20">
        <f t="shared" si="1"/>
        <v>26.02</v>
      </c>
      <c r="I8" s="25">
        <f t="shared" si="1"/>
        <v>69659.666666666672</v>
      </c>
      <c r="J8" s="4">
        <f t="shared" si="1"/>
        <v>12.806666666666667</v>
      </c>
      <c r="K8" s="4">
        <f t="shared" si="1"/>
        <v>2138.3266666666664</v>
      </c>
      <c r="L8" s="4">
        <f t="shared" si="1"/>
        <v>305.65333333333336</v>
      </c>
    </row>
    <row r="9" spans="1:12" x14ac:dyDescent="0.35">
      <c r="F9" s="22"/>
      <c r="I9" s="22"/>
    </row>
    <row r="10" spans="1:12" x14ac:dyDescent="0.35">
      <c r="A10" s="3">
        <v>44031</v>
      </c>
      <c r="B10" s="15">
        <v>1473.85</v>
      </c>
      <c r="C10" s="15">
        <v>1272.67</v>
      </c>
      <c r="D10" s="15">
        <v>76.239999999999995</v>
      </c>
      <c r="E10" s="15">
        <v>323.91000000000003</v>
      </c>
      <c r="F10" s="26">
        <v>92493</v>
      </c>
      <c r="G10" s="15">
        <v>8.27</v>
      </c>
      <c r="H10" s="15">
        <v>23.87</v>
      </c>
      <c r="I10" s="26">
        <v>90196</v>
      </c>
      <c r="J10" s="15">
        <v>12.24</v>
      </c>
      <c r="K10" s="15">
        <v>1721.9</v>
      </c>
      <c r="L10" s="15">
        <v>303.7</v>
      </c>
    </row>
    <row r="11" spans="1:12" x14ac:dyDescent="0.35">
      <c r="A11" s="3">
        <v>44032</v>
      </c>
      <c r="B11" s="15">
        <v>1511.68</v>
      </c>
      <c r="C11" s="15">
        <v>719.33</v>
      </c>
      <c r="D11" s="15">
        <v>118.23</v>
      </c>
      <c r="E11" s="15">
        <v>485.58</v>
      </c>
      <c r="F11" s="26">
        <v>82126</v>
      </c>
      <c r="G11" s="15">
        <v>12.75</v>
      </c>
      <c r="H11" s="15">
        <v>31.58</v>
      </c>
      <c r="I11" s="26">
        <v>84709</v>
      </c>
      <c r="J11" s="15">
        <v>7.84</v>
      </c>
      <c r="K11" s="15">
        <v>2624.25</v>
      </c>
      <c r="L11" s="15">
        <v>263.77999999999997</v>
      </c>
    </row>
    <row r="12" spans="1:12" x14ac:dyDescent="0.35">
      <c r="A12" s="3">
        <v>44033</v>
      </c>
      <c r="B12" s="15">
        <v>1703.7</v>
      </c>
      <c r="C12" s="15">
        <v>1415.8</v>
      </c>
      <c r="D12" s="15">
        <v>65.900000000000006</v>
      </c>
      <c r="E12" s="15">
        <v>338.7</v>
      </c>
      <c r="F12" s="26">
        <v>129255</v>
      </c>
      <c r="G12" s="15">
        <v>11.43</v>
      </c>
      <c r="H12" s="15">
        <v>27.74</v>
      </c>
      <c r="I12" s="26">
        <v>49563</v>
      </c>
      <c r="J12" s="15">
        <v>9.11</v>
      </c>
      <c r="K12" s="15">
        <v>1755.07</v>
      </c>
      <c r="L12" s="15">
        <v>269.07</v>
      </c>
    </row>
    <row r="13" spans="1:12" x14ac:dyDescent="0.35">
      <c r="A13" s="3">
        <v>44034</v>
      </c>
      <c r="B13" s="16">
        <v>2933.16</v>
      </c>
      <c r="C13" s="16">
        <v>1262.67</v>
      </c>
      <c r="D13" s="16">
        <v>66.650000000000006</v>
      </c>
      <c r="E13" s="16">
        <v>360.92</v>
      </c>
      <c r="F13" s="23">
        <v>125271</v>
      </c>
      <c r="G13" s="16">
        <v>11.6</v>
      </c>
      <c r="H13" s="16">
        <v>35.53</v>
      </c>
      <c r="I13" s="23">
        <v>85878</v>
      </c>
      <c r="J13" s="16">
        <v>14.79</v>
      </c>
      <c r="K13" s="16">
        <v>4801.8999999999996</v>
      </c>
      <c r="L13" s="16">
        <v>450.5</v>
      </c>
    </row>
    <row r="14" spans="1:12" x14ac:dyDescent="0.35">
      <c r="A14" s="3">
        <v>44035</v>
      </c>
      <c r="B14" s="17">
        <v>2982.9</v>
      </c>
      <c r="C14" s="17">
        <v>1117.67</v>
      </c>
      <c r="D14" s="17">
        <v>56.67</v>
      </c>
      <c r="E14" s="17">
        <v>365.74</v>
      </c>
      <c r="F14" s="27">
        <v>153764</v>
      </c>
      <c r="G14" s="17">
        <v>15.82</v>
      </c>
      <c r="H14" s="17">
        <v>27.5</v>
      </c>
      <c r="I14" s="27">
        <v>76675</v>
      </c>
      <c r="J14" s="17">
        <v>12.8</v>
      </c>
      <c r="K14" s="17">
        <v>1965.56</v>
      </c>
      <c r="L14" s="17">
        <v>336.98</v>
      </c>
    </row>
    <row r="15" spans="1:12" x14ac:dyDescent="0.35">
      <c r="A15" s="3">
        <v>44036</v>
      </c>
      <c r="B15" s="17">
        <v>1818.44</v>
      </c>
      <c r="C15" s="17">
        <v>983.22</v>
      </c>
      <c r="D15" s="17">
        <v>43.98</v>
      </c>
      <c r="E15" s="17">
        <v>244.96</v>
      </c>
      <c r="F15" s="27">
        <v>102600</v>
      </c>
      <c r="G15" s="17">
        <v>12.29</v>
      </c>
      <c r="H15" s="17">
        <v>24.26</v>
      </c>
      <c r="I15" s="27">
        <v>68481</v>
      </c>
      <c r="J15" s="17">
        <v>13.02</v>
      </c>
      <c r="K15" s="17">
        <v>2384.02</v>
      </c>
      <c r="L15" s="17">
        <v>316.98</v>
      </c>
    </row>
    <row r="16" spans="1:12" x14ac:dyDescent="0.35">
      <c r="A16" s="3">
        <v>44037</v>
      </c>
      <c r="B16" s="17">
        <v>2369.9</v>
      </c>
      <c r="C16" s="17">
        <v>1091.9000000000001</v>
      </c>
      <c r="D16" s="17">
        <v>57.6</v>
      </c>
      <c r="E16" s="17">
        <v>199.6</v>
      </c>
      <c r="F16" s="27">
        <v>85158</v>
      </c>
      <c r="G16" s="17">
        <v>9.4</v>
      </c>
      <c r="H16" s="17">
        <v>26.3</v>
      </c>
      <c r="I16" s="27">
        <v>63823</v>
      </c>
      <c r="J16" s="17">
        <v>12.6</v>
      </c>
      <c r="K16" s="17">
        <v>2065.4</v>
      </c>
      <c r="L16" s="17">
        <v>263</v>
      </c>
    </row>
    <row r="17" spans="1:12" x14ac:dyDescent="0.35">
      <c r="F17" s="22"/>
      <c r="I17" s="22"/>
    </row>
    <row r="18" spans="1:12" x14ac:dyDescent="0.35">
      <c r="A18" s="1" t="s">
        <v>3</v>
      </c>
      <c r="B18" s="4">
        <v>2504.5</v>
      </c>
      <c r="C18" s="4">
        <v>811.5</v>
      </c>
      <c r="D18" s="4">
        <v>85.5</v>
      </c>
      <c r="E18" s="4">
        <v>416.6</v>
      </c>
      <c r="F18" s="4">
        <v>85053.3</v>
      </c>
      <c r="G18" s="4">
        <v>17.399999999999999</v>
      </c>
      <c r="H18" s="4">
        <v>33.5</v>
      </c>
      <c r="I18" s="4">
        <v>106092.9</v>
      </c>
      <c r="J18" s="4">
        <v>15.4</v>
      </c>
      <c r="K18" s="4">
        <v>17640.900000000001</v>
      </c>
      <c r="L18" s="4">
        <v>405.6</v>
      </c>
    </row>
    <row r="19" spans="1:12" x14ac:dyDescent="0.35">
      <c r="A19" s="1" t="s">
        <v>4</v>
      </c>
      <c r="B19" s="4">
        <f t="shared" ref="B19:L19" si="2">IFERROR(AVERAGE(B10:B16),"")</f>
        <v>2113.3757142857144</v>
      </c>
      <c r="C19" s="4">
        <f t="shared" si="2"/>
        <v>1123.3228571428572</v>
      </c>
      <c r="D19" s="4">
        <f t="shared" si="2"/>
        <v>69.324285714285722</v>
      </c>
      <c r="E19" s="4">
        <f t="shared" si="2"/>
        <v>331.34428571428572</v>
      </c>
      <c r="F19" s="4">
        <f t="shared" si="2"/>
        <v>110095.28571428571</v>
      </c>
      <c r="G19" s="4">
        <f t="shared" si="2"/>
        <v>11.651428571428571</v>
      </c>
      <c r="H19" s="4">
        <f t="shared" si="2"/>
        <v>28.111428571428572</v>
      </c>
      <c r="I19" s="4">
        <f t="shared" si="2"/>
        <v>74189.28571428571</v>
      </c>
      <c r="J19" s="4">
        <f t="shared" si="2"/>
        <v>11.77142857142857</v>
      </c>
      <c r="K19" s="4">
        <f t="shared" si="2"/>
        <v>2474.0142857142855</v>
      </c>
      <c r="L19" s="4">
        <f t="shared" si="2"/>
        <v>314.85857142857145</v>
      </c>
    </row>
    <row r="20" spans="1:12" x14ac:dyDescent="0.35">
      <c r="A20" s="1" t="s">
        <v>5</v>
      </c>
      <c r="B20" s="6">
        <f t="shared" ref="B20:L20" si="3">IFERROR(-(B18-B19)/B18,"")</f>
        <v>-0.15616861078629893</v>
      </c>
      <c r="C20" s="6">
        <f t="shared" si="3"/>
        <v>0.38425490713845617</v>
      </c>
      <c r="D20" s="6">
        <f t="shared" si="3"/>
        <v>-0.18918964076858805</v>
      </c>
      <c r="E20" s="6">
        <f t="shared" si="3"/>
        <v>-0.20464645771894935</v>
      </c>
      <c r="F20" s="6">
        <f t="shared" si="3"/>
        <v>0.29442697360697007</v>
      </c>
      <c r="G20" s="6">
        <f t="shared" si="3"/>
        <v>-0.33037766830870274</v>
      </c>
      <c r="H20" s="6">
        <f t="shared" si="3"/>
        <v>-0.16085287846481874</v>
      </c>
      <c r="I20" s="6">
        <f t="shared" si="3"/>
        <v>-0.30071394302271204</v>
      </c>
      <c r="J20" s="6">
        <f t="shared" si="3"/>
        <v>-0.23562152133580713</v>
      </c>
      <c r="K20" s="6">
        <f t="shared" si="3"/>
        <v>-0.85975691230525175</v>
      </c>
      <c r="L20" s="6">
        <f t="shared" si="3"/>
        <v>-0.22372147083685545</v>
      </c>
    </row>
  </sheetData>
  <mergeCells count="2">
    <mergeCell ref="B4:G4"/>
    <mergeCell ref="H4:L4"/>
  </mergeCells>
  <conditionalFormatting sqref="B20">
    <cfRule type="cellIs" dxfId="45" priority="41" operator="greaterThanOrEqual">
      <formula>0</formula>
    </cfRule>
    <cfRule type="cellIs" dxfId="44" priority="42" operator="lessThan">
      <formula>0</formula>
    </cfRule>
  </conditionalFormatting>
  <conditionalFormatting sqref="C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43" priority="40" bottom="1" rank="1"/>
  </conditionalFormatting>
  <conditionalFormatting sqref="D7:D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F8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7:G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I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42" priority="27" operator="lessThan">
      <formula>0</formula>
    </cfRule>
    <cfRule type="cellIs" dxfId="41" priority="38" operator="greaterThanOrEqual">
      <formula>0</formula>
    </cfRule>
  </conditionalFormatting>
  <conditionalFormatting sqref="D20:K20">
    <cfRule type="cellIs" dxfId="40" priority="37" operator="greaterThanOrEqual">
      <formula>0</formula>
    </cfRule>
  </conditionalFormatting>
  <conditionalFormatting sqref="E7:F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0">
    <cfRule type="cellIs" dxfId="39" priority="33" operator="lessThan">
      <formula>0</formula>
    </cfRule>
  </conditionalFormatting>
  <conditionalFormatting sqref="J20">
    <cfRule type="cellIs" dxfId="38" priority="32" operator="lessThan">
      <formula>0</formula>
    </cfRule>
  </conditionalFormatting>
  <conditionalFormatting sqref="H20:I20">
    <cfRule type="cellIs" dxfId="37" priority="31" operator="lessThan">
      <formula>0</formula>
    </cfRule>
  </conditionalFormatting>
  <conditionalFormatting sqref="G20">
    <cfRule type="cellIs" dxfId="36" priority="30" operator="lessThan">
      <formula>0</formula>
    </cfRule>
  </conditionalFormatting>
  <conditionalFormatting sqref="E20:F20">
    <cfRule type="cellIs" dxfId="35" priority="29" operator="lessThan">
      <formula>0</formula>
    </cfRule>
  </conditionalFormatting>
  <conditionalFormatting sqref="D20">
    <cfRule type="cellIs" dxfId="34" priority="28" operator="lessThan">
      <formula>0</formula>
    </cfRule>
  </conditionalFormatting>
  <conditionalFormatting sqref="B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0">
    <cfRule type="cellIs" dxfId="33" priority="18" operator="greaterThanOrEqual">
      <formula>0</formula>
    </cfRule>
    <cfRule type="cellIs" dxfId="32" priority="19" operator="lessThan">
      <formula>0</formula>
    </cfRule>
  </conditionalFormatting>
  <conditionalFormatting sqref="C7:C8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I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F8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21"/>
  <sheetViews>
    <sheetView workbookViewId="0">
      <selection activeCell="I5" sqref="I5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90" t="s">
        <v>14</v>
      </c>
      <c r="I1" s="91"/>
      <c r="J1" s="91"/>
      <c r="K1" s="91"/>
      <c r="L1" s="92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21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/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1120.5250000000001</v>
      </c>
      <c r="C4" s="4">
        <f t="shared" ref="C4:L4" si="0">IFERROR(AVERAGE(C7:C10),"")</f>
        <v>1236.075</v>
      </c>
      <c r="D4" s="4">
        <f t="shared" si="0"/>
        <v>62.875</v>
      </c>
      <c r="E4" s="4">
        <f>IFERROR(AVERAGE(E7:E10),"")</f>
        <v>205.95</v>
      </c>
      <c r="F4" s="24">
        <f t="shared" si="0"/>
        <v>68658</v>
      </c>
      <c r="G4" s="4">
        <f t="shared" si="0"/>
        <v>6.8500000000000005</v>
      </c>
      <c r="H4" s="4">
        <f t="shared" si="0"/>
        <v>24.049999999999997</v>
      </c>
      <c r="I4" s="24">
        <f t="shared" si="0"/>
        <v>53560.25</v>
      </c>
      <c r="J4" s="4">
        <f t="shared" si="0"/>
        <v>6.85</v>
      </c>
      <c r="K4" s="4">
        <f t="shared" si="0"/>
        <v>1627.25</v>
      </c>
      <c r="L4" s="4">
        <f t="shared" si="0"/>
        <v>213.15</v>
      </c>
    </row>
    <row r="5" spans="1:18" x14ac:dyDescent="0.35">
      <c r="A5" s="1" t="s">
        <v>2</v>
      </c>
      <c r="B5" s="4">
        <f>IFERROR(AVERAGE(B11:B13),"")</f>
        <v>1413.0199999999998</v>
      </c>
      <c r="C5" s="18">
        <f t="shared" ref="C5:L5" si="1">IFERROR(AVERAGE(C11:C13),"")</f>
        <v>1144.6299999999999</v>
      </c>
      <c r="D5" s="4">
        <f t="shared" si="1"/>
        <v>65.213333333333324</v>
      </c>
      <c r="E5" s="4">
        <f>IFERROR(AVERAGE(E11:E13),"")</f>
        <v>242.31333333333336</v>
      </c>
      <c r="F5" s="24">
        <f t="shared" si="1"/>
        <v>87605</v>
      </c>
      <c r="G5" s="4">
        <f t="shared" si="1"/>
        <v>9.2299999999999986</v>
      </c>
      <c r="H5" s="20">
        <f t="shared" si="1"/>
        <v>25.466666666666665</v>
      </c>
      <c r="I5" s="25">
        <f t="shared" si="1"/>
        <v>52193.666666666664</v>
      </c>
      <c r="J5" s="4">
        <f t="shared" si="1"/>
        <v>6.1933333333333325</v>
      </c>
      <c r="K5" s="4">
        <f t="shared" si="1"/>
        <v>1857.4833333333333</v>
      </c>
      <c r="L5" s="4">
        <f t="shared" si="1"/>
        <v>190.10666666666665</v>
      </c>
    </row>
    <row r="6" spans="1:18" x14ac:dyDescent="0.35">
      <c r="F6" s="22"/>
      <c r="I6" s="22"/>
    </row>
    <row r="7" spans="1:18" x14ac:dyDescent="0.35">
      <c r="A7" s="3">
        <v>44038</v>
      </c>
      <c r="B7" s="15">
        <v>2050.5</v>
      </c>
      <c r="C7" s="15">
        <v>1105.7</v>
      </c>
      <c r="D7" s="15">
        <v>53.7</v>
      </c>
      <c r="E7" s="15">
        <v>341.1</v>
      </c>
      <c r="F7" s="26">
        <v>118759</v>
      </c>
      <c r="G7" s="15">
        <v>12.5</v>
      </c>
      <c r="H7" s="15">
        <v>26</v>
      </c>
      <c r="I7" s="26">
        <v>65696</v>
      </c>
      <c r="J7" s="15">
        <v>9</v>
      </c>
      <c r="K7" s="15">
        <v>1690.1</v>
      </c>
      <c r="L7" s="15">
        <v>258.7</v>
      </c>
    </row>
    <row r="8" spans="1:18" x14ac:dyDescent="0.35">
      <c r="A8" s="3">
        <v>44039</v>
      </c>
      <c r="B8" s="15">
        <v>798.1</v>
      </c>
      <c r="C8" s="15">
        <v>924.9</v>
      </c>
      <c r="D8" s="15">
        <v>52.3</v>
      </c>
      <c r="E8" s="15">
        <v>177.7</v>
      </c>
      <c r="F8" s="26">
        <v>53861</v>
      </c>
      <c r="G8" s="15">
        <v>6.6</v>
      </c>
      <c r="H8" s="15">
        <v>29.4</v>
      </c>
      <c r="I8" s="26">
        <v>52970</v>
      </c>
      <c r="J8" s="15">
        <v>6.2</v>
      </c>
      <c r="K8" s="15">
        <v>1802.4</v>
      </c>
      <c r="L8" s="15">
        <v>210.3</v>
      </c>
    </row>
    <row r="9" spans="1:18" x14ac:dyDescent="0.35">
      <c r="A9" s="3">
        <v>44040</v>
      </c>
      <c r="B9" s="15">
        <v>1064.4000000000001</v>
      </c>
      <c r="C9" s="15">
        <v>1622</v>
      </c>
      <c r="D9" s="15">
        <v>82.7</v>
      </c>
      <c r="E9" s="15">
        <v>149.69999999999999</v>
      </c>
      <c r="F9" s="26">
        <v>43287</v>
      </c>
      <c r="G9" s="15">
        <v>3.1</v>
      </c>
      <c r="H9" s="15">
        <v>14.4</v>
      </c>
      <c r="I9" s="26">
        <v>44898</v>
      </c>
      <c r="J9" s="15">
        <v>5.2</v>
      </c>
      <c r="K9" s="15">
        <v>1585.5</v>
      </c>
      <c r="L9" s="15">
        <v>187.5</v>
      </c>
    </row>
    <row r="10" spans="1:18" x14ac:dyDescent="0.35">
      <c r="A10" s="3">
        <v>44041</v>
      </c>
      <c r="B10" s="16">
        <v>569.1</v>
      </c>
      <c r="C10" s="16">
        <v>1291.7</v>
      </c>
      <c r="D10" s="16">
        <v>62.8</v>
      </c>
      <c r="E10" s="16">
        <v>155.30000000000001</v>
      </c>
      <c r="F10" s="23">
        <v>58725</v>
      </c>
      <c r="G10" s="16">
        <v>5.2</v>
      </c>
      <c r="H10" s="16">
        <v>26.4</v>
      </c>
      <c r="I10" s="23">
        <v>50677</v>
      </c>
      <c r="J10" s="16">
        <v>7</v>
      </c>
      <c r="K10" s="16">
        <v>1431</v>
      </c>
      <c r="L10" s="16">
        <v>196.1</v>
      </c>
    </row>
    <row r="11" spans="1:18" ht="14.5" customHeight="1" x14ac:dyDescent="0.35">
      <c r="A11" s="3">
        <v>44042</v>
      </c>
      <c r="B11" s="17">
        <v>1744.67</v>
      </c>
      <c r="C11" s="17">
        <v>1031.56</v>
      </c>
      <c r="D11" s="17">
        <v>58.45</v>
      </c>
      <c r="E11" s="17">
        <v>349.02</v>
      </c>
      <c r="F11" s="27">
        <v>110619</v>
      </c>
      <c r="G11" s="17">
        <v>13.08</v>
      </c>
      <c r="H11" s="17">
        <v>23.81</v>
      </c>
      <c r="I11" s="27">
        <v>40086</v>
      </c>
      <c r="J11" s="17">
        <v>4.9400000000000004</v>
      </c>
      <c r="K11" s="17">
        <v>923.43</v>
      </c>
      <c r="L11" s="17">
        <v>147.41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44043</v>
      </c>
      <c r="B12" s="17">
        <v>892.54</v>
      </c>
      <c r="C12" s="17">
        <v>1079.22</v>
      </c>
      <c r="D12" s="17">
        <v>59.95</v>
      </c>
      <c r="E12" s="17">
        <v>147.96</v>
      </c>
      <c r="F12" s="27">
        <v>49950</v>
      </c>
      <c r="G12" s="17">
        <v>5.43</v>
      </c>
      <c r="H12" s="17">
        <v>25.57</v>
      </c>
      <c r="I12" s="27">
        <v>59512</v>
      </c>
      <c r="J12" s="17">
        <v>6.38</v>
      </c>
      <c r="K12" s="17">
        <v>1813.79</v>
      </c>
      <c r="L12" s="17">
        <v>201.02</v>
      </c>
      <c r="N12" s="89"/>
      <c r="O12" s="89"/>
      <c r="P12" s="89"/>
      <c r="Q12" s="89"/>
      <c r="R12" s="89"/>
    </row>
    <row r="13" spans="1:18" x14ac:dyDescent="0.35">
      <c r="A13" s="3">
        <v>44044</v>
      </c>
      <c r="B13" s="17">
        <v>1601.85</v>
      </c>
      <c r="C13" s="17">
        <v>1323.11</v>
      </c>
      <c r="D13" s="17">
        <v>77.239999999999995</v>
      </c>
      <c r="E13" s="17">
        <v>229.96</v>
      </c>
      <c r="F13" s="27">
        <v>102246</v>
      </c>
      <c r="G13" s="17">
        <v>9.18</v>
      </c>
      <c r="H13" s="17">
        <v>27.02</v>
      </c>
      <c r="I13" s="27">
        <v>56983</v>
      </c>
      <c r="J13" s="17">
        <v>7.26</v>
      </c>
      <c r="K13" s="17">
        <v>2835.23</v>
      </c>
      <c r="L13" s="17">
        <v>221.89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2113.4</v>
      </c>
      <c r="C15" s="4">
        <v>1123.3</v>
      </c>
      <c r="D15" s="4">
        <v>69.3</v>
      </c>
      <c r="E15" s="4">
        <v>331.3</v>
      </c>
      <c r="F15" s="4">
        <v>110095.3</v>
      </c>
      <c r="G15" s="4">
        <v>11.6</v>
      </c>
      <c r="H15" s="4">
        <v>24.6</v>
      </c>
      <c r="I15" s="4">
        <v>74189.3</v>
      </c>
      <c r="J15" s="4">
        <v>11.8</v>
      </c>
      <c r="K15" s="4">
        <v>2474</v>
      </c>
      <c r="L15" s="4">
        <v>314.89999999999998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1245.8799999999999</v>
      </c>
      <c r="C16" s="4">
        <f t="shared" si="2"/>
        <v>1196.8842857142859</v>
      </c>
      <c r="D16" s="4">
        <f t="shared" si="2"/>
        <v>63.877142857142857</v>
      </c>
      <c r="E16" s="4">
        <f t="shared" si="2"/>
        <v>221.53428571428572</v>
      </c>
      <c r="F16" s="4">
        <f t="shared" si="2"/>
        <v>76778.142857142855</v>
      </c>
      <c r="G16" s="4">
        <f t="shared" si="2"/>
        <v>7.87</v>
      </c>
      <c r="H16" s="4">
        <f t="shared" si="2"/>
        <v>24.657142857142855</v>
      </c>
      <c r="I16" s="4">
        <f t="shared" si="2"/>
        <v>52974.571428571428</v>
      </c>
      <c r="J16" s="4">
        <f t="shared" si="2"/>
        <v>6.5685714285714285</v>
      </c>
      <c r="K16" s="4">
        <f t="shared" si="2"/>
        <v>1725.9214285714286</v>
      </c>
      <c r="L16" s="4">
        <f t="shared" si="2"/>
        <v>203.27428571428572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 t="shared" ref="B17:L17" si="3">IFERROR(-(B15-B16)/B15,"")</f>
        <v>-0.41048547364436461</v>
      </c>
      <c r="C17" s="6">
        <f t="shared" si="3"/>
        <v>6.5507242690542061E-2</v>
      </c>
      <c r="D17" s="6">
        <f t="shared" si="3"/>
        <v>-7.8251906823335354E-2</v>
      </c>
      <c r="E17" s="6">
        <f t="shared" si="3"/>
        <v>-0.33131818377818983</v>
      </c>
      <c r="F17" s="6">
        <f t="shared" si="3"/>
        <v>-0.30262106686531709</v>
      </c>
      <c r="G17" s="6">
        <f t="shared" si="3"/>
        <v>-0.32155172413793098</v>
      </c>
      <c r="H17" s="6">
        <f t="shared" si="3"/>
        <v>2.3228803716607068E-3</v>
      </c>
      <c r="I17" s="6">
        <f t="shared" si="3"/>
        <v>-0.28595401993857034</v>
      </c>
      <c r="J17" s="6">
        <f t="shared" si="3"/>
        <v>-0.44334140435835356</v>
      </c>
      <c r="K17" s="6">
        <f t="shared" si="3"/>
        <v>-0.30237614043192051</v>
      </c>
      <c r="L17" s="6">
        <f t="shared" si="3"/>
        <v>-0.35447988023408783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31" priority="41" operator="greaterThanOrEqual">
      <formula>0</formula>
    </cfRule>
    <cfRule type="cellIs" dxfId="3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8" priority="27" operator="lessThan">
      <formula>0</formula>
    </cfRule>
    <cfRule type="cellIs" dxfId="27" priority="38" operator="greaterThanOrEqual">
      <formula>0</formula>
    </cfRule>
  </conditionalFormatting>
  <conditionalFormatting sqref="D17:K17">
    <cfRule type="cellIs" dxfId="2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25" priority="33" operator="lessThan">
      <formula>0</formula>
    </cfRule>
  </conditionalFormatting>
  <conditionalFormatting sqref="J17">
    <cfRule type="cellIs" dxfId="24" priority="32" operator="lessThan">
      <formula>0</formula>
    </cfRule>
  </conditionalFormatting>
  <conditionalFormatting sqref="H17:I17">
    <cfRule type="cellIs" dxfId="23" priority="31" operator="lessThan">
      <formula>0</formula>
    </cfRule>
  </conditionalFormatting>
  <conditionalFormatting sqref="G17">
    <cfRule type="cellIs" dxfId="22" priority="30" operator="lessThan">
      <formula>0</formula>
    </cfRule>
  </conditionalFormatting>
  <conditionalFormatting sqref="E17:F17">
    <cfRule type="cellIs" dxfId="21" priority="29" operator="lessThan">
      <formula>0</formula>
    </cfRule>
  </conditionalFormatting>
  <conditionalFormatting sqref="D17">
    <cfRule type="cellIs" dxfId="2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9" priority="18" operator="greaterThanOrEqual">
      <formula>0</formula>
    </cfRule>
    <cfRule type="cellIs" dxfId="1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4:P20"/>
  <sheetViews>
    <sheetView zoomScale="90" zoomScaleNormal="90" workbookViewId="0">
      <selection activeCell="B19" sqref="B19:P19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4" max="4" width="7.54296875" customWidth="1"/>
    <col min="5" max="5" width="7.1796875" bestFit="1" customWidth="1"/>
    <col min="6" max="6" width="14" bestFit="1" customWidth="1"/>
    <col min="7" max="7" width="7.81640625" customWidth="1"/>
    <col min="9" max="9" width="7.26953125" customWidth="1"/>
    <col min="10" max="10" width="8.1796875" bestFit="1" customWidth="1"/>
    <col min="11" max="11" width="11.26953125" bestFit="1" customWidth="1"/>
    <col min="12" max="12" width="7.81640625" bestFit="1" customWidth="1"/>
  </cols>
  <sheetData>
    <row r="4" spans="1:16" x14ac:dyDescent="0.35">
      <c r="A4" s="1"/>
      <c r="B4" s="86" t="s">
        <v>13</v>
      </c>
      <c r="C4" s="87"/>
      <c r="D4" s="87"/>
      <c r="E4" s="87"/>
      <c r="F4" s="87"/>
      <c r="G4" s="87"/>
      <c r="H4" s="88"/>
      <c r="I4" s="28"/>
      <c r="J4" s="90" t="s">
        <v>14</v>
      </c>
      <c r="K4" s="91"/>
      <c r="L4" s="91"/>
      <c r="M4" s="91"/>
      <c r="N4" s="91"/>
      <c r="O4" s="91"/>
      <c r="P4" s="92"/>
    </row>
    <row r="5" spans="1:16" x14ac:dyDescent="0.35">
      <c r="A5" s="1"/>
      <c r="B5" s="29" t="s">
        <v>6</v>
      </c>
      <c r="C5" s="29" t="s">
        <v>7</v>
      </c>
      <c r="D5" s="29" t="s">
        <v>8</v>
      </c>
      <c r="E5" s="29" t="s">
        <v>11</v>
      </c>
      <c r="F5" s="29" t="s">
        <v>19</v>
      </c>
      <c r="G5" s="29" t="s">
        <v>25</v>
      </c>
      <c r="H5" s="29" t="s">
        <v>15</v>
      </c>
      <c r="I5" s="29" t="s">
        <v>22</v>
      </c>
      <c r="J5" s="29" t="s">
        <v>24</v>
      </c>
      <c r="K5" s="29" t="s">
        <v>18</v>
      </c>
      <c r="L5" s="29" t="s">
        <v>26</v>
      </c>
      <c r="M5" s="29" t="s">
        <v>15</v>
      </c>
      <c r="N5" s="29" t="s">
        <v>10</v>
      </c>
      <c r="O5" s="29" t="s">
        <v>23</v>
      </c>
      <c r="P5" s="29" t="s">
        <v>22</v>
      </c>
    </row>
    <row r="6" spans="1:16" x14ac:dyDescent="0.35">
      <c r="A6" s="2" t="s">
        <v>0</v>
      </c>
      <c r="B6" s="30">
        <v>995</v>
      </c>
      <c r="C6" s="30">
        <v>475</v>
      </c>
      <c r="D6" s="30">
        <v>85</v>
      </c>
      <c r="E6" s="30">
        <v>250</v>
      </c>
      <c r="F6" s="30"/>
      <c r="G6" s="30">
        <v>40</v>
      </c>
      <c r="H6" s="30">
        <v>9</v>
      </c>
      <c r="I6" s="31">
        <v>0.1</v>
      </c>
      <c r="J6" s="30">
        <v>0</v>
      </c>
      <c r="K6" s="30"/>
      <c r="L6" s="30">
        <v>30</v>
      </c>
      <c r="M6" s="30">
        <v>9</v>
      </c>
      <c r="N6" s="30">
        <v>1400</v>
      </c>
      <c r="O6" s="30">
        <v>200</v>
      </c>
      <c r="P6" s="31">
        <v>0.1</v>
      </c>
    </row>
    <row r="7" spans="1:16" x14ac:dyDescent="0.35">
      <c r="A7" s="1" t="s">
        <v>1</v>
      </c>
      <c r="B7" s="4">
        <f>IFERROR(AVERAGE(B10:B13),"")</f>
        <v>3017.0450000000001</v>
      </c>
      <c r="C7" s="4">
        <f t="shared" ref="C7:P7" si="0">IFERROR(AVERAGE(C10:C13),"")</f>
        <v>723.0675</v>
      </c>
      <c r="D7" s="4">
        <f t="shared" si="0"/>
        <v>69.314999999999998</v>
      </c>
      <c r="E7" s="4">
        <f>IFERROR(AVERAGE(E10:E13),"")</f>
        <v>445.07</v>
      </c>
      <c r="F7" s="24">
        <f t="shared" si="0"/>
        <v>127153.75</v>
      </c>
      <c r="G7" s="24">
        <f t="shared" si="0"/>
        <v>30</v>
      </c>
      <c r="H7" s="4">
        <f t="shared" si="0"/>
        <v>15.765000000000001</v>
      </c>
      <c r="I7" s="4">
        <f t="shared" si="0"/>
        <v>25.622499999999999</v>
      </c>
      <c r="J7" s="4">
        <f t="shared" si="0"/>
        <v>21.835000000000001</v>
      </c>
      <c r="K7" s="24">
        <f t="shared" si="0"/>
        <v>108044.75</v>
      </c>
      <c r="L7" s="24">
        <f t="shared" si="0"/>
        <v>30</v>
      </c>
      <c r="M7" s="4">
        <f t="shared" si="0"/>
        <v>10.0825</v>
      </c>
      <c r="N7" s="4">
        <f t="shared" si="0"/>
        <v>2127.1</v>
      </c>
      <c r="O7" s="4">
        <f t="shared" si="0"/>
        <v>329.65750000000003</v>
      </c>
      <c r="P7" s="4">
        <f t="shared" si="0"/>
        <v>27.657499999999999</v>
      </c>
    </row>
    <row r="8" spans="1:16" x14ac:dyDescent="0.35">
      <c r="A8" s="1" t="s">
        <v>2</v>
      </c>
      <c r="B8" s="4">
        <f>IFERROR(AVERAGE(B14:B16),"")</f>
        <v>4031.0833333333335</v>
      </c>
      <c r="C8" s="18">
        <f t="shared" ref="C8:P8" si="1">IFERROR(AVERAGE(C14:C16),"")</f>
        <v>1056.9099999999999</v>
      </c>
      <c r="D8" s="4">
        <f t="shared" si="1"/>
        <v>67.886666666666656</v>
      </c>
      <c r="E8" s="4">
        <f>IFERROR(AVERAGE(E14:E16),"")</f>
        <v>421.87666666666672</v>
      </c>
      <c r="F8" s="24">
        <f t="shared" si="1"/>
        <v>163210</v>
      </c>
      <c r="G8" s="24">
        <f t="shared" si="1"/>
        <v>34</v>
      </c>
      <c r="H8" s="4">
        <f t="shared" si="1"/>
        <v>14.566666666666668</v>
      </c>
      <c r="I8" s="20">
        <f t="shared" si="1"/>
        <v>31.223333333333333</v>
      </c>
      <c r="J8" s="20">
        <f t="shared" si="1"/>
        <v>39.343333333333334</v>
      </c>
      <c r="K8" s="25">
        <f t="shared" si="1"/>
        <v>87496.666666666672</v>
      </c>
      <c r="L8" s="25">
        <f t="shared" si="1"/>
        <v>34</v>
      </c>
      <c r="M8" s="4">
        <f t="shared" si="1"/>
        <v>10.226666666666667</v>
      </c>
      <c r="N8" s="4">
        <f t="shared" si="1"/>
        <v>2539.6033333333335</v>
      </c>
      <c r="O8" s="4">
        <f t="shared" si="1"/>
        <v>285.48666666666668</v>
      </c>
      <c r="P8" s="4">
        <f t="shared" si="1"/>
        <v>34.700000000000003</v>
      </c>
    </row>
    <row r="9" spans="1:16" x14ac:dyDescent="0.35">
      <c r="F9" s="22"/>
      <c r="G9" s="22"/>
      <c r="K9" s="22"/>
      <c r="L9" s="22"/>
    </row>
    <row r="10" spans="1:16" x14ac:dyDescent="0.35">
      <c r="A10" s="3">
        <v>44073</v>
      </c>
      <c r="B10" s="15">
        <v>3007.11</v>
      </c>
      <c r="C10" s="15">
        <v>883</v>
      </c>
      <c r="D10" s="15">
        <v>76.94</v>
      </c>
      <c r="E10" s="15">
        <v>467.7</v>
      </c>
      <c r="F10" s="26">
        <v>155147</v>
      </c>
      <c r="G10" s="26">
        <v>32</v>
      </c>
      <c r="H10" s="15">
        <v>16</v>
      </c>
      <c r="I10" s="15">
        <v>21</v>
      </c>
      <c r="J10" s="15">
        <v>28.23</v>
      </c>
      <c r="K10" s="26">
        <v>99627</v>
      </c>
      <c r="L10" s="26">
        <v>32</v>
      </c>
      <c r="M10" s="15">
        <v>11.23</v>
      </c>
      <c r="N10" s="15">
        <v>2258.46</v>
      </c>
      <c r="O10" s="15">
        <v>380.95</v>
      </c>
      <c r="P10" s="15">
        <v>25</v>
      </c>
    </row>
    <row r="11" spans="1:16" x14ac:dyDescent="0.35">
      <c r="A11" s="3">
        <v>44074</v>
      </c>
      <c r="B11" s="15">
        <v>3544.19</v>
      </c>
      <c r="C11" s="15">
        <v>734.73</v>
      </c>
      <c r="D11" s="15">
        <v>60.02</v>
      </c>
      <c r="E11" s="15">
        <v>479.84</v>
      </c>
      <c r="F11" s="26">
        <v>152913</v>
      </c>
      <c r="G11" s="26">
        <v>44</v>
      </c>
      <c r="H11" s="15">
        <v>18.97</v>
      </c>
      <c r="I11" s="15">
        <v>25</v>
      </c>
      <c r="J11" s="15">
        <v>21.85</v>
      </c>
      <c r="K11" s="26">
        <v>96812</v>
      </c>
      <c r="L11" s="26">
        <v>44</v>
      </c>
      <c r="M11" s="15">
        <v>9.19</v>
      </c>
      <c r="N11" s="15">
        <v>2097.4499999999998</v>
      </c>
      <c r="O11" s="15">
        <v>327.74</v>
      </c>
      <c r="P11" s="15">
        <v>28</v>
      </c>
    </row>
    <row r="12" spans="1:16" x14ac:dyDescent="0.35">
      <c r="A12" s="3">
        <v>44075</v>
      </c>
      <c r="B12" s="15">
        <v>1987.27</v>
      </c>
      <c r="C12" s="15">
        <v>515.27</v>
      </c>
      <c r="D12" s="15">
        <v>62.85</v>
      </c>
      <c r="E12" s="15">
        <v>307.19</v>
      </c>
      <c r="F12" s="26">
        <v>66327</v>
      </c>
      <c r="G12" s="26">
        <v>11</v>
      </c>
      <c r="H12" s="15">
        <v>11.67</v>
      </c>
      <c r="I12" s="15">
        <v>31.8</v>
      </c>
      <c r="J12" s="15">
        <v>19.510000000000002</v>
      </c>
      <c r="K12" s="26">
        <v>122506</v>
      </c>
      <c r="L12" s="26">
        <v>11</v>
      </c>
      <c r="M12" s="15">
        <v>10.01</v>
      </c>
      <c r="N12" s="15">
        <v>2148.4</v>
      </c>
      <c r="O12" s="15">
        <v>290.83</v>
      </c>
      <c r="P12" s="15">
        <v>30</v>
      </c>
    </row>
    <row r="13" spans="1:16" x14ac:dyDescent="0.35">
      <c r="A13" s="3">
        <v>44076</v>
      </c>
      <c r="B13" s="16">
        <v>3529.61</v>
      </c>
      <c r="C13" s="16">
        <v>759.27</v>
      </c>
      <c r="D13" s="16">
        <v>77.45</v>
      </c>
      <c r="E13" s="16">
        <v>525.54999999999995</v>
      </c>
      <c r="F13" s="23">
        <v>134228</v>
      </c>
      <c r="G13" s="23">
        <v>33</v>
      </c>
      <c r="H13" s="16">
        <v>16.420000000000002</v>
      </c>
      <c r="I13" s="16">
        <v>24.69</v>
      </c>
      <c r="J13" s="23">
        <v>17.75</v>
      </c>
      <c r="K13" s="16">
        <v>113234</v>
      </c>
      <c r="L13" s="23">
        <v>33</v>
      </c>
      <c r="M13" s="16">
        <v>9.9</v>
      </c>
      <c r="N13" s="16">
        <v>2004.09</v>
      </c>
      <c r="O13" s="16">
        <v>319.11</v>
      </c>
      <c r="P13" s="16">
        <v>27.63</v>
      </c>
    </row>
    <row r="14" spans="1:16" x14ac:dyDescent="0.35">
      <c r="A14" s="3">
        <v>44077</v>
      </c>
      <c r="B14" s="17">
        <v>4316.93</v>
      </c>
      <c r="C14" s="17">
        <v>998.55</v>
      </c>
      <c r="D14" s="17">
        <v>56.48</v>
      </c>
      <c r="E14" s="17">
        <v>387.23</v>
      </c>
      <c r="F14" s="27">
        <v>160628</v>
      </c>
      <c r="G14" s="27">
        <v>32</v>
      </c>
      <c r="H14" s="17">
        <v>15.05</v>
      </c>
      <c r="I14" s="17">
        <v>30.87</v>
      </c>
      <c r="J14" s="17">
        <v>43.06</v>
      </c>
      <c r="K14" s="27">
        <v>80153</v>
      </c>
      <c r="L14" s="27">
        <v>32</v>
      </c>
      <c r="M14" s="17">
        <v>9.8000000000000007</v>
      </c>
      <c r="N14" s="17">
        <v>1741.26</v>
      </c>
      <c r="O14" s="17">
        <v>267.13</v>
      </c>
      <c r="P14" s="17">
        <v>37.4</v>
      </c>
    </row>
    <row r="15" spans="1:16" x14ac:dyDescent="0.35">
      <c r="A15" s="3">
        <v>44078</v>
      </c>
      <c r="B15" s="17">
        <v>2614.98</v>
      </c>
      <c r="C15" s="17">
        <v>1138.0899999999999</v>
      </c>
      <c r="D15" s="17">
        <v>72.319999999999993</v>
      </c>
      <c r="E15" s="17">
        <v>302.64</v>
      </c>
      <c r="F15" s="27">
        <v>122580</v>
      </c>
      <c r="G15" s="27">
        <v>44</v>
      </c>
      <c r="H15" s="17">
        <v>9.93</v>
      </c>
      <c r="I15" s="17">
        <v>31.8</v>
      </c>
      <c r="J15" s="17">
        <v>38.380000000000003</v>
      </c>
      <c r="K15" s="27">
        <v>93962</v>
      </c>
      <c r="L15" s="27">
        <v>44</v>
      </c>
      <c r="M15" s="17">
        <v>9.75</v>
      </c>
      <c r="N15" s="17">
        <v>3368.26</v>
      </c>
      <c r="O15" s="17">
        <v>317.83999999999997</v>
      </c>
      <c r="P15" s="17">
        <v>32</v>
      </c>
    </row>
    <row r="16" spans="1:16" x14ac:dyDescent="0.35">
      <c r="A16" s="3">
        <v>44079</v>
      </c>
      <c r="B16" s="17">
        <v>5161.34</v>
      </c>
      <c r="C16" s="17">
        <v>1034.0899999999999</v>
      </c>
      <c r="D16" s="17">
        <v>74.86</v>
      </c>
      <c r="E16" s="17">
        <v>575.76</v>
      </c>
      <c r="F16" s="27">
        <v>206422</v>
      </c>
      <c r="G16" s="27">
        <v>26</v>
      </c>
      <c r="H16" s="17">
        <v>18.72</v>
      </c>
      <c r="I16" s="17">
        <v>31</v>
      </c>
      <c r="J16" s="17">
        <v>36.590000000000003</v>
      </c>
      <c r="K16" s="27">
        <v>88375</v>
      </c>
      <c r="L16" s="27">
        <v>26</v>
      </c>
      <c r="M16" s="17">
        <v>11.13</v>
      </c>
      <c r="N16" s="17">
        <v>2509.29</v>
      </c>
      <c r="O16" s="17">
        <v>271.49</v>
      </c>
      <c r="P16" s="17">
        <v>34.700000000000003</v>
      </c>
    </row>
    <row r="17" spans="1:16" x14ac:dyDescent="0.35">
      <c r="F17" s="22"/>
      <c r="G17" s="22"/>
      <c r="K17" s="22"/>
      <c r="L17" s="22"/>
    </row>
    <row r="18" spans="1:16" x14ac:dyDescent="0.35">
      <c r="A18" s="1" t="s">
        <v>3</v>
      </c>
      <c r="B18" s="4">
        <v>2756.9</v>
      </c>
      <c r="C18" s="4">
        <v>847.7</v>
      </c>
      <c r="D18" s="4">
        <v>84.4</v>
      </c>
      <c r="E18" s="4">
        <v>398.4</v>
      </c>
      <c r="F18" s="4">
        <v>116993.1</v>
      </c>
      <c r="G18" s="4">
        <v>29.2</v>
      </c>
      <c r="H18" s="4">
        <v>12.7</v>
      </c>
      <c r="I18" s="4">
        <v>23</v>
      </c>
      <c r="J18" s="4">
        <v>27</v>
      </c>
      <c r="K18" s="4">
        <v>84332.6</v>
      </c>
      <c r="L18" s="4">
        <v>29.7</v>
      </c>
      <c r="M18" s="4">
        <v>9.1</v>
      </c>
      <c r="N18" s="4">
        <v>2014.7</v>
      </c>
      <c r="O18" s="4">
        <v>306.7</v>
      </c>
      <c r="P18" s="4">
        <v>26.6</v>
      </c>
    </row>
    <row r="19" spans="1:16" x14ac:dyDescent="0.35">
      <c r="A19" s="1" t="s">
        <v>4</v>
      </c>
      <c r="B19" s="4">
        <v>3451.6328571428571</v>
      </c>
      <c r="C19" s="4">
        <v>866.14285714285711</v>
      </c>
      <c r="D19" s="4">
        <v>68.702857142857141</v>
      </c>
      <c r="E19" s="4">
        <v>435.13</v>
      </c>
      <c r="F19" s="4">
        <v>142606.42857142858</v>
      </c>
      <c r="G19" s="4">
        <v>31.714285714285715</v>
      </c>
      <c r="H19" s="4">
        <v>15.251428571428571</v>
      </c>
      <c r="I19" s="4">
        <v>28.022857142857141</v>
      </c>
      <c r="J19" s="4">
        <v>29.338571428571431</v>
      </c>
      <c r="K19" s="4">
        <v>99238.428571428565</v>
      </c>
      <c r="L19" s="4">
        <v>31.714285714285715</v>
      </c>
      <c r="M19" s="4">
        <v>10.144285714285713</v>
      </c>
      <c r="N19" s="4">
        <v>2303.8871428571429</v>
      </c>
      <c r="O19" s="4">
        <v>310.72714285714289</v>
      </c>
      <c r="P19" s="4">
        <v>30.675714285714289</v>
      </c>
    </row>
    <row r="20" spans="1:16" x14ac:dyDescent="0.35">
      <c r="A20" s="1" t="s">
        <v>5</v>
      </c>
      <c r="B20" s="6">
        <f t="shared" ref="B20:G20" si="2">IFERROR(-(B18-B19)/B18,"")</f>
        <v>0.25199784436971129</v>
      </c>
      <c r="C20" s="6">
        <f t="shared" si="2"/>
        <v>2.1756349112725094E-2</v>
      </c>
      <c r="D20" s="6">
        <f t="shared" si="2"/>
        <v>-0.18598510494245099</v>
      </c>
      <c r="E20" s="6">
        <f t="shared" si="2"/>
        <v>9.2193775100401651E-2</v>
      </c>
      <c r="F20" s="6">
        <f t="shared" si="2"/>
        <v>0.2189302494884619</v>
      </c>
      <c r="G20" s="6">
        <f t="shared" si="2"/>
        <v>8.6105675146771102E-2</v>
      </c>
      <c r="H20" s="6">
        <f t="shared" ref="H20:O20" si="3">IFERROR(-(H18-H19)/H18,"")</f>
        <v>0.20089988751406077</v>
      </c>
      <c r="I20" s="6">
        <f>IFERROR((I18-I19)/I18,"")</f>
        <v>-0.2183850931677018</v>
      </c>
      <c r="J20" s="6">
        <f>IFERROR(-(J18-J19)/J18,"")</f>
        <v>8.6613756613756698E-2</v>
      </c>
      <c r="K20" s="6">
        <f>IFERROR(-(K18-K19)/K18,"")</f>
        <v>0.17675049235323656</v>
      </c>
      <c r="L20" s="6">
        <f>IFERROR(-(L18-L19)/L18,"")</f>
        <v>6.7821067821067879E-2</v>
      </c>
      <c r="M20" s="6">
        <f t="shared" si="3"/>
        <v>0.11475667189952897</v>
      </c>
      <c r="N20" s="6">
        <f t="shared" si="3"/>
        <v>0.14353856299059056</v>
      </c>
      <c r="O20" s="6">
        <f t="shared" si="3"/>
        <v>1.3130560342820037E-2</v>
      </c>
      <c r="P20" s="6">
        <f>IFERROR((P18-P19)/P18,"")</f>
        <v>-0.15322234156820627</v>
      </c>
    </row>
  </sheetData>
  <mergeCells count="2">
    <mergeCell ref="B4:H4"/>
    <mergeCell ref="J4:P4"/>
  </mergeCells>
  <conditionalFormatting sqref="B20">
    <cfRule type="cellIs" dxfId="17" priority="53" operator="greaterThanOrEqual">
      <formula>0</formula>
    </cfRule>
    <cfRule type="cellIs" dxfId="16" priority="54" operator="lessThan">
      <formula>0</formula>
    </cfRule>
  </conditionalFormatting>
  <conditionalFormatting sqref="C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" priority="52" bottom="1" rank="1"/>
  </conditionalFormatting>
  <conditionalFormatting sqref="D7:D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G8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7:H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L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14" priority="39" operator="lessThan">
      <formula>0</formula>
    </cfRule>
    <cfRule type="cellIs" dxfId="13" priority="50" operator="greaterThanOrEqual">
      <formula>0</formula>
    </cfRule>
  </conditionalFormatting>
  <conditionalFormatting sqref="D20:H20 J20:N20">
    <cfRule type="cellIs" dxfId="12" priority="49" operator="greaterThanOrEqual">
      <formula>0</formula>
    </cfRule>
  </conditionalFormatting>
  <conditionalFormatting sqref="E7:G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">
    <cfRule type="cellIs" dxfId="11" priority="45" operator="lessThan">
      <formula>0</formula>
    </cfRule>
  </conditionalFormatting>
  <conditionalFormatting sqref="M20">
    <cfRule type="cellIs" dxfId="10" priority="44" operator="lessThan">
      <formula>0</formula>
    </cfRule>
  </conditionalFormatting>
  <conditionalFormatting sqref="J20:L20">
    <cfRule type="cellIs" dxfId="9" priority="43" operator="lessThan">
      <formula>0</formula>
    </cfRule>
  </conditionalFormatting>
  <conditionalFormatting sqref="H20">
    <cfRule type="cellIs" dxfId="8" priority="42" operator="lessThan">
      <formula>0</formula>
    </cfRule>
  </conditionalFormatting>
  <conditionalFormatting sqref="E20:G20">
    <cfRule type="cellIs" dxfId="7" priority="41" operator="lessThan">
      <formula>0</formula>
    </cfRule>
  </conditionalFormatting>
  <conditionalFormatting sqref="D20">
    <cfRule type="cellIs" dxfId="6" priority="40" operator="lessThan">
      <formula>0</formula>
    </cfRule>
  </conditionalFormatting>
  <conditionalFormatting sqref="B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C8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L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L8">
    <cfRule type="colorScale" priority="19">
      <colorScale>
        <cfvo type="min"/>
        <cfvo type="max"/>
        <color rgb="FFFFEF9C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G8">
    <cfRule type="colorScale" priority="20">
      <colorScale>
        <cfvo type="min"/>
        <cfvo type="max"/>
        <color rgb="FFFFEF9C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ellIs" dxfId="5" priority="16" operator="greaterThanOrEqual">
      <formula>0</formula>
    </cfRule>
  </conditionalFormatting>
  <conditionalFormatting sqref="I20">
    <cfRule type="cellIs" dxfId="4" priority="15" operator="lessThan">
      <formula>0</formula>
    </cfRule>
  </conditionalFormatting>
  <conditionalFormatting sqref="I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3" priority="10" operator="greaterThanOrEqual">
      <formula>0</formula>
    </cfRule>
  </conditionalFormatting>
  <conditionalFormatting sqref="O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2" priority="9" operator="lessThan">
      <formula>0</formula>
    </cfRule>
  </conditionalFormatting>
  <conditionalFormatting sqref="P7:P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1" priority="6" operator="greaterThanOrEqual">
      <formula>0</formula>
    </cfRule>
  </conditionalFormatting>
  <conditionalFormatting sqref="P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0" priority="5" operator="lessThan">
      <formula>0</formula>
    </cfRule>
  </conditionalFormatting>
  <conditionalFormatting sqref="G7:G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W45"/>
  <sheetViews>
    <sheetView zoomScale="80" zoomScaleNormal="80" workbookViewId="0">
      <selection activeCell="R29" sqref="R29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99"/>
      <c r="T1" s="99"/>
      <c r="U1" s="99"/>
      <c r="V1" s="99"/>
    </row>
    <row r="3" spans="1:23" ht="16" x14ac:dyDescent="0.4">
      <c r="Q3" s="74"/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1548.3749999999998</v>
      </c>
      <c r="C10" s="40">
        <f t="shared" ref="C10:P10" si="0">IFERROR(AVERAGE(C$14:C$17),"")</f>
        <v>796</v>
      </c>
      <c r="D10" s="40">
        <f t="shared" si="0"/>
        <v>56.050000000000004</v>
      </c>
      <c r="E10" s="40">
        <f t="shared" si="0"/>
        <v>230.52499999999998</v>
      </c>
      <c r="F10" s="40">
        <f t="shared" si="0"/>
        <v>88794</v>
      </c>
      <c r="G10" s="40">
        <f t="shared" si="0"/>
        <v>23.349999999999998</v>
      </c>
      <c r="H10" s="40">
        <f t="shared" si="0"/>
        <v>10.375</v>
      </c>
      <c r="I10" s="53">
        <f t="shared" si="0"/>
        <v>29.125</v>
      </c>
      <c r="J10" s="55">
        <f t="shared" si="0"/>
        <v>39.174999999999997</v>
      </c>
      <c r="K10" s="40">
        <f t="shared" si="0"/>
        <v>91542</v>
      </c>
      <c r="L10" s="40">
        <f t="shared" si="0"/>
        <v>29.075000000000003</v>
      </c>
      <c r="M10" s="40">
        <f t="shared" si="0"/>
        <v>8.1750000000000007</v>
      </c>
      <c r="N10" s="40">
        <f t="shared" si="0"/>
        <v>1705.8249999999998</v>
      </c>
      <c r="O10" s="40">
        <f t="shared" si="0"/>
        <v>242.05</v>
      </c>
      <c r="P10" s="40">
        <f t="shared" si="0"/>
        <v>35.174999999999997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2851.9333333333329</v>
      </c>
      <c r="C11" s="40">
        <f t="shared" si="1"/>
        <v>821.4666666666667</v>
      </c>
      <c r="D11" s="40">
        <f t="shared" si="1"/>
        <v>75.133333333333326</v>
      </c>
      <c r="E11" s="40">
        <f t="shared" si="1"/>
        <v>350.66666666666669</v>
      </c>
      <c r="F11" s="40">
        <f t="shared" si="1"/>
        <v>118610.33333333333</v>
      </c>
      <c r="G11" s="40">
        <f t="shared" si="1"/>
        <v>26</v>
      </c>
      <c r="H11" s="40">
        <f t="shared" si="1"/>
        <v>14.4</v>
      </c>
      <c r="I11" s="53">
        <f t="shared" si="1"/>
        <v>26.966666666666669</v>
      </c>
      <c r="J11" s="55">
        <f t="shared" si="1"/>
        <v>34.4</v>
      </c>
      <c r="K11" s="40">
        <f t="shared" si="1"/>
        <v>96051.333333333328</v>
      </c>
      <c r="L11" s="40">
        <f t="shared" si="1"/>
        <v>23.666666666666668</v>
      </c>
      <c r="M11" s="40">
        <f t="shared" si="1"/>
        <v>8.7000000000000011</v>
      </c>
      <c r="N11" s="40">
        <f t="shared" si="1"/>
        <v>1822.1666666666667</v>
      </c>
      <c r="O11" s="40">
        <f t="shared" si="1"/>
        <v>208.5333333333333</v>
      </c>
      <c r="P11" s="40">
        <f t="shared" si="1"/>
        <v>42.233333333333334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1303.5583333333332</v>
      </c>
      <c r="C12" s="48">
        <f t="shared" si="2"/>
        <v>25.466666666666697</v>
      </c>
      <c r="D12" s="48">
        <f t="shared" si="2"/>
        <v>19.083333333333321</v>
      </c>
      <c r="E12" s="48">
        <f t="shared" si="2"/>
        <v>120.14166666666671</v>
      </c>
      <c r="F12" s="48">
        <f t="shared" si="2"/>
        <v>29816.333333333328</v>
      </c>
      <c r="G12" s="48">
        <f t="shared" si="2"/>
        <v>2.6500000000000021</v>
      </c>
      <c r="H12" s="48">
        <f t="shared" si="2"/>
        <v>4.0250000000000004</v>
      </c>
      <c r="I12" s="62">
        <f t="shared" si="2"/>
        <v>2.1583333333333314</v>
      </c>
      <c r="J12" s="64">
        <f t="shared" si="2"/>
        <v>4.7749999999999986</v>
      </c>
      <c r="K12" s="48">
        <f t="shared" si="2"/>
        <v>4509.3333333333285</v>
      </c>
      <c r="L12" s="48">
        <f t="shared" si="2"/>
        <v>5.408333333333335</v>
      </c>
      <c r="M12" s="48">
        <f t="shared" si="2"/>
        <v>0.52500000000000036</v>
      </c>
      <c r="N12" s="48">
        <f t="shared" si="2"/>
        <v>116.34166666666692</v>
      </c>
      <c r="O12" s="48">
        <f t="shared" si="2"/>
        <v>33.516666666666708</v>
      </c>
      <c r="P12" s="48">
        <f t="shared" si="2"/>
        <v>7.0583333333333371</v>
      </c>
      <c r="Q12" s="76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44087</v>
      </c>
      <c r="B14" s="42">
        <v>1434.8</v>
      </c>
      <c r="C14" s="42">
        <v>857.3</v>
      </c>
      <c r="D14" s="42">
        <v>58.5</v>
      </c>
      <c r="E14" s="42">
        <v>212.6</v>
      </c>
      <c r="F14" s="43">
        <v>78144</v>
      </c>
      <c r="G14" s="42">
        <v>26.8</v>
      </c>
      <c r="H14" s="42">
        <v>8.5</v>
      </c>
      <c r="I14" s="56">
        <v>29</v>
      </c>
      <c r="J14" s="59">
        <v>43</v>
      </c>
      <c r="K14" s="43">
        <v>110809</v>
      </c>
      <c r="L14" s="42">
        <v>29.4</v>
      </c>
      <c r="M14" s="42">
        <v>9.1</v>
      </c>
      <c r="N14" s="42">
        <v>1427.1</v>
      </c>
      <c r="O14" s="42">
        <v>262.8</v>
      </c>
      <c r="P14" s="42">
        <v>29</v>
      </c>
      <c r="Q14" s="34"/>
      <c r="U14" s="38"/>
    </row>
    <row r="15" spans="1:23" x14ac:dyDescent="0.35">
      <c r="A15" s="51">
        <v>44088</v>
      </c>
      <c r="B15" s="42">
        <v>1239.9000000000001</v>
      </c>
      <c r="C15" s="42">
        <v>807.6</v>
      </c>
      <c r="D15" s="42">
        <v>56.9</v>
      </c>
      <c r="E15" s="42">
        <v>238.2</v>
      </c>
      <c r="F15" s="43">
        <v>94609</v>
      </c>
      <c r="G15" s="42">
        <v>23</v>
      </c>
      <c r="H15" s="42">
        <v>10.9</v>
      </c>
      <c r="I15" s="56">
        <v>31.6</v>
      </c>
      <c r="J15" s="59">
        <v>41.3</v>
      </c>
      <c r="K15" s="43">
        <v>103110</v>
      </c>
      <c r="L15" s="42">
        <v>32.6</v>
      </c>
      <c r="M15" s="42">
        <v>8.5</v>
      </c>
      <c r="N15" s="42">
        <v>1894.8</v>
      </c>
      <c r="O15" s="42">
        <v>277.2</v>
      </c>
      <c r="P15" s="42">
        <v>34.799999999999997</v>
      </c>
      <c r="Q15" s="34"/>
      <c r="R15" s="38"/>
      <c r="U15" s="38"/>
    </row>
    <row r="16" spans="1:23" x14ac:dyDescent="0.35">
      <c r="A16" s="51">
        <v>44089</v>
      </c>
      <c r="B16" s="42">
        <v>1636.1</v>
      </c>
      <c r="C16" s="42">
        <v>739.5</v>
      </c>
      <c r="D16" s="42">
        <v>48.2</v>
      </c>
      <c r="E16" s="42">
        <v>262.8</v>
      </c>
      <c r="F16" s="43">
        <v>103607</v>
      </c>
      <c r="G16" s="42">
        <v>20.399999999999999</v>
      </c>
      <c r="H16" s="42">
        <v>12.8</v>
      </c>
      <c r="I16" s="56">
        <v>33.299999999999997</v>
      </c>
      <c r="J16" s="59">
        <v>34.6</v>
      </c>
      <c r="K16" s="43">
        <v>84920</v>
      </c>
      <c r="L16" s="42">
        <v>27.2</v>
      </c>
      <c r="M16" s="42">
        <v>8.4</v>
      </c>
      <c r="N16" s="42">
        <v>2103.9</v>
      </c>
      <c r="O16" s="42">
        <v>248.5</v>
      </c>
      <c r="P16" s="42">
        <v>42</v>
      </c>
      <c r="Q16" s="34"/>
      <c r="R16" s="38"/>
      <c r="U16" s="38"/>
    </row>
    <row r="17" spans="1:21" ht="15.75" customHeight="1" x14ac:dyDescent="0.35">
      <c r="A17" s="51">
        <v>44090</v>
      </c>
      <c r="B17" s="46">
        <v>1882.7</v>
      </c>
      <c r="C17" s="46">
        <v>779.6</v>
      </c>
      <c r="D17" s="46">
        <v>60.6</v>
      </c>
      <c r="E17" s="46">
        <v>208.5</v>
      </c>
      <c r="F17" s="47">
        <v>78816</v>
      </c>
      <c r="G17" s="46">
        <v>23.2</v>
      </c>
      <c r="H17" s="46">
        <v>9.3000000000000007</v>
      </c>
      <c r="I17" s="57">
        <v>22.6</v>
      </c>
      <c r="J17" s="60">
        <v>37.799999999999997</v>
      </c>
      <c r="K17" s="47">
        <v>67329</v>
      </c>
      <c r="L17" s="46">
        <v>27.1</v>
      </c>
      <c r="M17" s="46">
        <v>6.7</v>
      </c>
      <c r="N17" s="46">
        <v>1397.5</v>
      </c>
      <c r="O17" s="46">
        <v>179.7</v>
      </c>
      <c r="P17" s="46">
        <v>34.9</v>
      </c>
      <c r="Q17" s="34"/>
      <c r="R17" s="38"/>
      <c r="U17" s="38"/>
    </row>
    <row r="18" spans="1:21" ht="15" customHeight="1" x14ac:dyDescent="0.35">
      <c r="A18" s="51">
        <v>44091</v>
      </c>
      <c r="B18" s="44">
        <v>2985.3</v>
      </c>
      <c r="C18" s="44">
        <v>1072.5</v>
      </c>
      <c r="D18" s="44">
        <v>70.2</v>
      </c>
      <c r="E18" s="44">
        <v>308.7</v>
      </c>
      <c r="F18" s="45">
        <v>120357</v>
      </c>
      <c r="G18" s="44">
        <v>28.6</v>
      </c>
      <c r="H18" s="44">
        <v>10.7</v>
      </c>
      <c r="I18" s="58">
        <v>25.4</v>
      </c>
      <c r="J18" s="61">
        <v>40.700000000000003</v>
      </c>
      <c r="K18" s="45">
        <v>78837</v>
      </c>
      <c r="L18" s="44">
        <v>27.2</v>
      </c>
      <c r="M18" s="44">
        <v>6.7</v>
      </c>
      <c r="N18" s="44">
        <v>1139.8</v>
      </c>
      <c r="O18" s="44">
        <v>184.2</v>
      </c>
      <c r="P18" s="44">
        <v>38.5</v>
      </c>
      <c r="Q18" s="34"/>
      <c r="R18" s="38"/>
      <c r="U18" s="38"/>
    </row>
    <row r="19" spans="1:21" x14ac:dyDescent="0.35">
      <c r="A19" s="51">
        <v>44092</v>
      </c>
      <c r="B19" s="44">
        <v>2824.7</v>
      </c>
      <c r="C19" s="44">
        <v>678.4</v>
      </c>
      <c r="D19" s="44">
        <v>97</v>
      </c>
      <c r="E19" s="44">
        <v>411</v>
      </c>
      <c r="F19" s="45">
        <v>116456</v>
      </c>
      <c r="G19" s="44">
        <v>27.3</v>
      </c>
      <c r="H19" s="44">
        <v>16.7</v>
      </c>
      <c r="I19" s="58">
        <v>22.1</v>
      </c>
      <c r="J19" s="61">
        <v>33.799999999999997</v>
      </c>
      <c r="K19" s="45">
        <v>95447</v>
      </c>
      <c r="L19" s="44">
        <v>24.8</v>
      </c>
      <c r="M19" s="44">
        <v>7.8</v>
      </c>
      <c r="N19" s="44">
        <v>1675.3</v>
      </c>
      <c r="O19" s="44">
        <v>199.1</v>
      </c>
      <c r="P19" s="44">
        <v>44.7</v>
      </c>
      <c r="Q19" s="34"/>
      <c r="R19" s="38"/>
      <c r="U19" s="38"/>
    </row>
    <row r="20" spans="1:21" x14ac:dyDescent="0.35">
      <c r="A20" s="51">
        <v>44093</v>
      </c>
      <c r="B20" s="44">
        <v>2745.8</v>
      </c>
      <c r="C20" s="44">
        <v>713.5</v>
      </c>
      <c r="D20" s="44">
        <v>58.2</v>
      </c>
      <c r="E20" s="44">
        <v>332.3</v>
      </c>
      <c r="F20" s="45">
        <v>119018</v>
      </c>
      <c r="G20" s="44">
        <v>22.1</v>
      </c>
      <c r="H20" s="44">
        <v>15.8</v>
      </c>
      <c r="I20" s="58">
        <v>33.4</v>
      </c>
      <c r="J20" s="61">
        <v>28.7</v>
      </c>
      <c r="K20" s="45">
        <v>113870</v>
      </c>
      <c r="L20" s="44">
        <v>19</v>
      </c>
      <c r="M20" s="44">
        <v>11.6</v>
      </c>
      <c r="N20" s="44">
        <v>2651.4</v>
      </c>
      <c r="O20" s="44">
        <v>242.3</v>
      </c>
      <c r="P20" s="44">
        <v>43.5</v>
      </c>
      <c r="Q20" s="34"/>
      <c r="R20" s="38"/>
      <c r="U20" s="38"/>
    </row>
    <row r="21" spans="1:21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x14ac:dyDescent="0.35">
      <c r="A22" s="35" t="s">
        <v>3</v>
      </c>
      <c r="B22" s="48">
        <v>3451.6328571428571</v>
      </c>
      <c r="C22" s="48">
        <v>866.14285714285711</v>
      </c>
      <c r="D22" s="48">
        <v>68.702857142857141</v>
      </c>
      <c r="E22" s="48">
        <v>435.13</v>
      </c>
      <c r="F22" s="48">
        <v>142606.42857142858</v>
      </c>
      <c r="G22" s="48">
        <v>31.714285714285715</v>
      </c>
      <c r="H22" s="48">
        <v>15.251428571428571</v>
      </c>
      <c r="I22" s="62">
        <v>28.022857142857141</v>
      </c>
      <c r="J22" s="64">
        <v>29.338571428571431</v>
      </c>
      <c r="K22" s="48">
        <v>99238.428571428565</v>
      </c>
      <c r="L22" s="48">
        <v>31.714285714285715</v>
      </c>
      <c r="M22" s="48">
        <v>10.144285714285713</v>
      </c>
      <c r="N22" s="48">
        <v>2303.8871428571429</v>
      </c>
      <c r="O22" s="48">
        <v>310.72714285714289</v>
      </c>
      <c r="P22" s="48">
        <v>30.675714285714289</v>
      </c>
      <c r="Q22" s="34"/>
    </row>
    <row r="23" spans="1:21" x14ac:dyDescent="0.35">
      <c r="A23" s="35" t="s">
        <v>4</v>
      </c>
      <c r="B23" s="48">
        <f t="shared" ref="B23:N23" si="3">IFERROR(AVERAGE(B14:B20),"")</f>
        <v>2107.042857142857</v>
      </c>
      <c r="C23" s="48">
        <f>IFERROR(AVERAGE(C14:C20),"")</f>
        <v>806.91428571428571</v>
      </c>
      <c r="D23" s="48">
        <f>IFERROR(AVERAGE(D14:D20),"")</f>
        <v>64.228571428571428</v>
      </c>
      <c r="E23" s="48">
        <f>IFERROR(AVERAGE(E14:E20),"")</f>
        <v>282.01428571428568</v>
      </c>
      <c r="F23" s="48">
        <f t="shared" si="3"/>
        <v>101572.42857142857</v>
      </c>
      <c r="G23" s="48">
        <f t="shared" si="3"/>
        <v>24.485714285714288</v>
      </c>
      <c r="H23" s="48">
        <f t="shared" si="3"/>
        <v>12.1</v>
      </c>
      <c r="I23" s="62">
        <f t="shared" si="3"/>
        <v>28.2</v>
      </c>
      <c r="J23" s="64">
        <f>IFERROR(AVERAGE(J14:J20),"")</f>
        <v>37.128571428571426</v>
      </c>
      <c r="K23" s="48">
        <f>IFERROR(AVERAGE(K14:K20),"")</f>
        <v>93474.571428571435</v>
      </c>
      <c r="L23" s="48">
        <f>IFERROR(AVERAGE(L14:L20),"")</f>
        <v>26.75714285714286</v>
      </c>
      <c r="M23" s="48">
        <f>IFERROR(AVERAGE(M14:M20),"")</f>
        <v>8.4</v>
      </c>
      <c r="N23" s="48">
        <f t="shared" si="3"/>
        <v>1755.6857142857141</v>
      </c>
      <c r="O23" s="48">
        <f>IFERROR(AVERAGE(O14:O20),"")</f>
        <v>227.68571428571428</v>
      </c>
      <c r="P23" s="48">
        <f>IFERROR(AVERAGE(P14:P20),"")</f>
        <v>38.199999999999996</v>
      </c>
      <c r="Q23" s="34"/>
    </row>
    <row r="24" spans="1:21" x14ac:dyDescent="0.35">
      <c r="A24" s="35" t="s">
        <v>5</v>
      </c>
      <c r="B24" s="41">
        <f t="shared" ref="B24:P24" si="4">IFERROR(-(B22-B23)/B22,"")</f>
        <v>-0.38955186013410636</v>
      </c>
      <c r="C24" s="41">
        <f t="shared" si="4"/>
        <v>-6.8381989114299824E-2</v>
      </c>
      <c r="D24" s="41">
        <f t="shared" si="4"/>
        <v>-6.5125176744572896E-2</v>
      </c>
      <c r="E24" s="41">
        <f t="shared" si="4"/>
        <v>-0.3518849867527275</v>
      </c>
      <c r="F24" s="41">
        <f t="shared" si="4"/>
        <v>-0.28774298894559963</v>
      </c>
      <c r="G24" s="41">
        <f t="shared" si="4"/>
        <v>-0.2279279279279279</v>
      </c>
      <c r="H24" s="41">
        <f t="shared" si="4"/>
        <v>-0.20663169726489322</v>
      </c>
      <c r="I24" s="63">
        <f t="shared" si="4"/>
        <v>6.3213703099510889E-3</v>
      </c>
      <c r="J24" s="65">
        <f t="shared" si="4"/>
        <v>0.26552076739543246</v>
      </c>
      <c r="K24" s="41">
        <f t="shared" si="4"/>
        <v>-5.8080898960512009E-2</v>
      </c>
      <c r="L24" s="41">
        <f t="shared" si="4"/>
        <v>-0.15630630630630624</v>
      </c>
      <c r="M24" s="41">
        <f t="shared" si="4"/>
        <v>-0.17194761301225167</v>
      </c>
      <c r="N24" s="41">
        <f t="shared" si="4"/>
        <v>-0.23794630317333262</v>
      </c>
      <c r="O24" s="41">
        <f t="shared" si="4"/>
        <v>-0.26724871154756824</v>
      </c>
      <c r="P24" s="41">
        <f t="shared" si="4"/>
        <v>0.24528477623061493</v>
      </c>
    </row>
    <row r="25" spans="1:21" x14ac:dyDescent="0.3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3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1436.9333333333332</v>
      </c>
      <c r="C30" s="40">
        <f t="shared" si="5"/>
        <v>801.4666666666667</v>
      </c>
      <c r="D30" s="40">
        <f t="shared" si="5"/>
        <v>54.533333333333339</v>
      </c>
      <c r="E30" s="40">
        <f t="shared" si="5"/>
        <v>237.86666666666665</v>
      </c>
      <c r="F30" s="40">
        <f t="shared" si="5"/>
        <v>92120</v>
      </c>
      <c r="G30" s="40">
        <f t="shared" si="5"/>
        <v>23.399999999999995</v>
      </c>
      <c r="H30" s="40">
        <f t="shared" si="5"/>
        <v>10.733333333333334</v>
      </c>
      <c r="I30" s="53">
        <f t="shared" si="5"/>
        <v>31.3</v>
      </c>
      <c r="J30" s="55">
        <f t="shared" si="5"/>
        <v>39.633333333333333</v>
      </c>
      <c r="K30" s="40">
        <f t="shared" si="5"/>
        <v>99613</v>
      </c>
      <c r="L30" s="40">
        <f t="shared" si="5"/>
        <v>29.733333333333334</v>
      </c>
      <c r="M30" s="40">
        <f t="shared" si="5"/>
        <v>8.6666666666666661</v>
      </c>
      <c r="N30" s="40">
        <f t="shared" si="5"/>
        <v>1808.5999999999997</v>
      </c>
      <c r="O30" s="40">
        <f t="shared" si="5"/>
        <v>262.83333333333331</v>
      </c>
      <c r="P30" s="40">
        <f t="shared" si="5"/>
        <v>35.266666666666666</v>
      </c>
      <c r="Q30" s="34"/>
    </row>
    <row r="31" spans="1:21" x14ac:dyDescent="0.35">
      <c r="A31" s="35" t="s">
        <v>2</v>
      </c>
      <c r="B31" s="40">
        <f>IFERROR(AVERAGE(B$37:B$40),"")</f>
        <v>2609.625</v>
      </c>
      <c r="C31" s="40">
        <f t="shared" ref="C31:P31" si="6">IFERROR(AVERAGE(C$37:C$40),"")</f>
        <v>811</v>
      </c>
      <c r="D31" s="40">
        <f t="shared" si="6"/>
        <v>71.5</v>
      </c>
      <c r="E31" s="40">
        <f t="shared" si="6"/>
        <v>315.125</v>
      </c>
      <c r="F31" s="40">
        <f t="shared" si="6"/>
        <v>108661.75</v>
      </c>
      <c r="G31" s="40">
        <f t="shared" si="6"/>
        <v>25.299999999999997</v>
      </c>
      <c r="H31" s="40">
        <f t="shared" si="6"/>
        <v>13.125</v>
      </c>
      <c r="I31" s="53">
        <f t="shared" si="6"/>
        <v>25.875</v>
      </c>
      <c r="J31" s="55">
        <f t="shared" si="6"/>
        <v>35.25</v>
      </c>
      <c r="K31" s="40">
        <f t="shared" si="6"/>
        <v>88870.75</v>
      </c>
      <c r="L31" s="40">
        <f t="shared" si="6"/>
        <v>24.524999999999999</v>
      </c>
      <c r="M31" s="40">
        <f t="shared" si="6"/>
        <v>8.1999999999999993</v>
      </c>
      <c r="N31" s="40">
        <f t="shared" si="6"/>
        <v>1716</v>
      </c>
      <c r="O31" s="40">
        <f t="shared" si="6"/>
        <v>201.32499999999999</v>
      </c>
      <c r="P31" s="40">
        <f t="shared" si="6"/>
        <v>40.400000000000006</v>
      </c>
      <c r="Q31" s="34"/>
    </row>
    <row r="32" spans="1:21" x14ac:dyDescent="0.35">
      <c r="A32" s="35" t="s">
        <v>27</v>
      </c>
      <c r="B32" s="48">
        <f t="shared" ref="B32:P32" si="7">IFERROR(ABS(B$31-B$30), "")</f>
        <v>1172.6916666666668</v>
      </c>
      <c r="C32" s="48">
        <f t="shared" si="7"/>
        <v>9.533333333333303</v>
      </c>
      <c r="D32" s="48">
        <f t="shared" si="7"/>
        <v>16.966666666666661</v>
      </c>
      <c r="E32" s="48">
        <f t="shared" si="7"/>
        <v>77.258333333333354</v>
      </c>
      <c r="F32" s="48">
        <f t="shared" si="7"/>
        <v>16541.75</v>
      </c>
      <c r="G32" s="48">
        <f t="shared" si="7"/>
        <v>1.9000000000000021</v>
      </c>
      <c r="H32" s="48">
        <f t="shared" si="7"/>
        <v>2.3916666666666657</v>
      </c>
      <c r="I32" s="62">
        <f t="shared" si="7"/>
        <v>5.4250000000000007</v>
      </c>
      <c r="J32" s="64">
        <f t="shared" si="7"/>
        <v>4.3833333333333329</v>
      </c>
      <c r="K32" s="48">
        <f t="shared" si="7"/>
        <v>10742.25</v>
      </c>
      <c r="L32" s="48">
        <f t="shared" si="7"/>
        <v>5.2083333333333357</v>
      </c>
      <c r="M32" s="48">
        <f t="shared" si="7"/>
        <v>0.46666666666666679</v>
      </c>
      <c r="N32" s="48">
        <f t="shared" si="7"/>
        <v>92.599999999999682</v>
      </c>
      <c r="O32" s="48">
        <f t="shared" si="7"/>
        <v>61.508333333333326</v>
      </c>
      <c r="P32" s="48">
        <f t="shared" si="7"/>
        <v>5.13333333333334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44087</v>
      </c>
      <c r="B34" s="42">
        <v>1434.8</v>
      </c>
      <c r="C34" s="42">
        <v>857.3</v>
      </c>
      <c r="D34" s="42">
        <v>58.5</v>
      </c>
      <c r="E34" s="42">
        <v>212.6</v>
      </c>
      <c r="F34" s="43">
        <v>78144</v>
      </c>
      <c r="G34" s="42">
        <v>26.8</v>
      </c>
      <c r="H34" s="42">
        <v>8.5</v>
      </c>
      <c r="I34" s="56">
        <v>29</v>
      </c>
      <c r="J34" s="59">
        <v>43</v>
      </c>
      <c r="K34" s="43">
        <v>110809</v>
      </c>
      <c r="L34" s="42">
        <v>29.4</v>
      </c>
      <c r="M34" s="42">
        <v>9.1</v>
      </c>
      <c r="N34" s="42">
        <v>1427.1</v>
      </c>
      <c r="O34" s="42">
        <v>262.8</v>
      </c>
      <c r="P34" s="42">
        <v>29</v>
      </c>
      <c r="Q34" s="34"/>
    </row>
    <row r="35" spans="1:18" x14ac:dyDescent="0.35">
      <c r="A35" s="51">
        <v>44088</v>
      </c>
      <c r="B35" s="42">
        <v>1239.9000000000001</v>
      </c>
      <c r="C35" s="42">
        <v>807.6</v>
      </c>
      <c r="D35" s="42">
        <v>56.9</v>
      </c>
      <c r="E35" s="42">
        <v>238.2</v>
      </c>
      <c r="F35" s="43">
        <v>94609</v>
      </c>
      <c r="G35" s="42">
        <v>23</v>
      </c>
      <c r="H35" s="42">
        <v>10.9</v>
      </c>
      <c r="I35" s="56">
        <v>31.6</v>
      </c>
      <c r="J35" s="59">
        <v>41.3</v>
      </c>
      <c r="K35" s="43">
        <v>103110</v>
      </c>
      <c r="L35" s="42">
        <v>32.6</v>
      </c>
      <c r="M35" s="42">
        <v>8.5</v>
      </c>
      <c r="N35" s="42">
        <v>1894.8</v>
      </c>
      <c r="O35" s="42">
        <v>277.2</v>
      </c>
      <c r="P35" s="42">
        <v>34.799999999999997</v>
      </c>
      <c r="Q35" s="34"/>
    </row>
    <row r="36" spans="1:18" x14ac:dyDescent="0.35">
      <c r="A36" s="51">
        <v>44089</v>
      </c>
      <c r="B36" s="42">
        <v>1636.1</v>
      </c>
      <c r="C36" s="42">
        <v>739.5</v>
      </c>
      <c r="D36" s="42">
        <v>48.2</v>
      </c>
      <c r="E36" s="42">
        <v>262.8</v>
      </c>
      <c r="F36" s="43">
        <v>103607</v>
      </c>
      <c r="G36" s="42">
        <v>20.399999999999999</v>
      </c>
      <c r="H36" s="42">
        <v>12.8</v>
      </c>
      <c r="I36" s="56">
        <v>33.299999999999997</v>
      </c>
      <c r="J36" s="59">
        <v>34.6</v>
      </c>
      <c r="K36" s="43">
        <v>84920</v>
      </c>
      <c r="L36" s="42">
        <v>27.2</v>
      </c>
      <c r="M36" s="42">
        <v>8.4</v>
      </c>
      <c r="N36" s="42">
        <v>2103.9</v>
      </c>
      <c r="O36" s="42">
        <v>248.5</v>
      </c>
      <c r="P36" s="42">
        <v>42</v>
      </c>
      <c r="Q36" s="34"/>
    </row>
    <row r="37" spans="1:18" x14ac:dyDescent="0.35">
      <c r="A37" s="51">
        <v>44090</v>
      </c>
      <c r="B37" s="46">
        <v>1882.7</v>
      </c>
      <c r="C37" s="46">
        <v>779.6</v>
      </c>
      <c r="D37" s="46">
        <v>60.6</v>
      </c>
      <c r="E37" s="46">
        <v>208.5</v>
      </c>
      <c r="F37" s="47">
        <v>78816</v>
      </c>
      <c r="G37" s="46">
        <v>23.2</v>
      </c>
      <c r="H37" s="46">
        <v>9.3000000000000007</v>
      </c>
      <c r="I37" s="57">
        <v>22.6</v>
      </c>
      <c r="J37" s="60">
        <v>37.799999999999997</v>
      </c>
      <c r="K37" s="47">
        <v>67329</v>
      </c>
      <c r="L37" s="46">
        <v>27.1</v>
      </c>
      <c r="M37" s="46">
        <v>6.7</v>
      </c>
      <c r="N37" s="46">
        <v>1397.5</v>
      </c>
      <c r="O37" s="46">
        <v>179.7</v>
      </c>
      <c r="P37" s="46">
        <v>34.9</v>
      </c>
      <c r="Q37" s="34"/>
    </row>
    <row r="38" spans="1:18" x14ac:dyDescent="0.35">
      <c r="A38" s="51">
        <v>44091</v>
      </c>
      <c r="B38" s="44">
        <v>2985.3</v>
      </c>
      <c r="C38" s="44">
        <v>1072.5</v>
      </c>
      <c r="D38" s="44">
        <v>70.2</v>
      </c>
      <c r="E38" s="44">
        <v>308.7</v>
      </c>
      <c r="F38" s="45">
        <v>120357</v>
      </c>
      <c r="G38" s="44">
        <v>28.6</v>
      </c>
      <c r="H38" s="44">
        <v>10.7</v>
      </c>
      <c r="I38" s="58">
        <v>25.4</v>
      </c>
      <c r="J38" s="61">
        <v>40.700000000000003</v>
      </c>
      <c r="K38" s="45">
        <v>78837</v>
      </c>
      <c r="L38" s="44">
        <v>27.2</v>
      </c>
      <c r="M38" s="44">
        <v>6.7</v>
      </c>
      <c r="N38" s="44">
        <v>1139.8</v>
      </c>
      <c r="O38" s="44">
        <v>184.2</v>
      </c>
      <c r="P38" s="44">
        <v>38.5</v>
      </c>
      <c r="Q38" s="34"/>
    </row>
    <row r="39" spans="1:18" x14ac:dyDescent="0.35">
      <c r="A39" s="51">
        <v>44092</v>
      </c>
      <c r="B39" s="44">
        <v>2824.7</v>
      </c>
      <c r="C39" s="44">
        <v>678.4</v>
      </c>
      <c r="D39" s="44">
        <v>97</v>
      </c>
      <c r="E39" s="44">
        <v>411</v>
      </c>
      <c r="F39" s="45">
        <v>116456</v>
      </c>
      <c r="G39" s="44">
        <v>27.3</v>
      </c>
      <c r="H39" s="44">
        <v>16.7</v>
      </c>
      <c r="I39" s="58">
        <v>22.1</v>
      </c>
      <c r="J39" s="61">
        <v>33.799999999999997</v>
      </c>
      <c r="K39" s="45">
        <v>95447</v>
      </c>
      <c r="L39" s="44">
        <v>24.8</v>
      </c>
      <c r="M39" s="44">
        <v>7.8</v>
      </c>
      <c r="N39" s="44">
        <v>1675.3</v>
      </c>
      <c r="O39" s="44">
        <v>199.1</v>
      </c>
      <c r="P39" s="44">
        <v>44.7</v>
      </c>
      <c r="Q39" s="34"/>
    </row>
    <row r="40" spans="1:18" x14ac:dyDescent="0.35">
      <c r="A40" s="51">
        <v>44093</v>
      </c>
      <c r="B40" s="44">
        <v>2745.8</v>
      </c>
      <c r="C40" s="44">
        <v>713.5</v>
      </c>
      <c r="D40" s="44">
        <v>58.2</v>
      </c>
      <c r="E40" s="44">
        <v>332.3</v>
      </c>
      <c r="F40" s="45">
        <v>119018</v>
      </c>
      <c r="G40" s="44">
        <v>22.1</v>
      </c>
      <c r="H40" s="44">
        <v>15.8</v>
      </c>
      <c r="I40" s="58">
        <v>33.4</v>
      </c>
      <c r="J40" s="61">
        <v>28.7</v>
      </c>
      <c r="K40" s="45">
        <v>113870</v>
      </c>
      <c r="L40" s="44">
        <v>19</v>
      </c>
      <c r="M40" s="44">
        <v>11.6</v>
      </c>
      <c r="N40" s="44">
        <v>2651.4</v>
      </c>
      <c r="O40" s="44">
        <v>242.3</v>
      </c>
      <c r="P40" s="44">
        <v>43.5</v>
      </c>
      <c r="Q40" s="34"/>
    </row>
    <row r="41" spans="1:18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x14ac:dyDescent="0.35">
      <c r="A42" s="35" t="s">
        <v>3</v>
      </c>
      <c r="B42" s="48">
        <v>3451.6328571428571</v>
      </c>
      <c r="C42" s="48">
        <v>866.14285714285711</v>
      </c>
      <c r="D42" s="48">
        <v>68.702857142857141</v>
      </c>
      <c r="E42" s="48">
        <v>435.13</v>
      </c>
      <c r="F42" s="48">
        <v>142606.42857142858</v>
      </c>
      <c r="G42" s="48">
        <v>31.714285714285715</v>
      </c>
      <c r="H42" s="48">
        <v>15.251428571428571</v>
      </c>
      <c r="I42" s="62">
        <v>28.022857142857141</v>
      </c>
      <c r="J42" s="64">
        <v>29.338571428571431</v>
      </c>
      <c r="K42" s="48">
        <v>99238.428571428565</v>
      </c>
      <c r="L42" s="48">
        <v>31.714285714285715</v>
      </c>
      <c r="M42" s="48">
        <v>10.144285714285713</v>
      </c>
      <c r="N42" s="48">
        <v>2303.8871428571429</v>
      </c>
      <c r="O42" s="48">
        <v>310.72714285714289</v>
      </c>
      <c r="P42" s="48">
        <v>30.675714285714289</v>
      </c>
      <c r="Q42" s="34"/>
    </row>
    <row r="43" spans="1:18" x14ac:dyDescent="0.35">
      <c r="A43" s="35" t="s">
        <v>4</v>
      </c>
      <c r="B43" s="48">
        <f>IFERROR(AVERAGE(B34:B40),"")</f>
        <v>2107.042857142857</v>
      </c>
      <c r="C43" s="48">
        <f>IFERROR(AVERAGE(C34:C40),"")</f>
        <v>806.91428571428571</v>
      </c>
      <c r="D43" s="48">
        <f>IFERROR(AVERAGE(D34:D40),"")</f>
        <v>64.228571428571428</v>
      </c>
      <c r="E43" s="48">
        <f>IFERROR(AVERAGE(E34:E40),"")</f>
        <v>282.01428571428568</v>
      </c>
      <c r="F43" s="48">
        <f t="shared" ref="F43:N43" si="8">IFERROR(AVERAGE(F34:F40),"")</f>
        <v>101572.42857142857</v>
      </c>
      <c r="G43" s="48">
        <f t="shared" si="8"/>
        <v>24.485714285714288</v>
      </c>
      <c r="H43" s="48">
        <f t="shared" si="8"/>
        <v>12.1</v>
      </c>
      <c r="I43" s="62">
        <f t="shared" si="8"/>
        <v>28.2</v>
      </c>
      <c r="J43" s="64">
        <f>IFERROR(AVERAGE(J34:J40),"")</f>
        <v>37.128571428571426</v>
      </c>
      <c r="K43" s="48">
        <f>IFERROR(AVERAGE(K34:K40),"")</f>
        <v>93474.571428571435</v>
      </c>
      <c r="L43" s="48">
        <f>IFERROR(AVERAGE(L34:L40),"")</f>
        <v>26.75714285714286</v>
      </c>
      <c r="M43" s="48">
        <f>IFERROR(AVERAGE(M34:M40),"")</f>
        <v>8.4</v>
      </c>
      <c r="N43" s="48">
        <f t="shared" si="8"/>
        <v>1755.6857142857141</v>
      </c>
      <c r="O43" s="48">
        <f>IFERROR(AVERAGE(O34:O40),"")</f>
        <v>227.68571428571428</v>
      </c>
      <c r="P43" s="48">
        <f>IFERROR(AVERAGE(P34:P40),"")</f>
        <v>38.199999999999996</v>
      </c>
      <c r="Q43" s="34"/>
    </row>
    <row r="44" spans="1:18" x14ac:dyDescent="0.35">
      <c r="A44" s="35" t="s">
        <v>5</v>
      </c>
      <c r="B44" s="41">
        <f>IFERROR((B43-B42)/B42,"")</f>
        <v>-0.38955186013410636</v>
      </c>
      <c r="C44" s="41">
        <f t="shared" ref="C44:P44" si="9">IFERROR(-(C42-C43)/C42,"")</f>
        <v>-6.8381989114299824E-2</v>
      </c>
      <c r="D44" s="41">
        <f t="shared" si="9"/>
        <v>-6.5125176744572896E-2</v>
      </c>
      <c r="E44" s="41">
        <f t="shared" si="9"/>
        <v>-0.3518849867527275</v>
      </c>
      <c r="F44" s="41">
        <f t="shared" si="9"/>
        <v>-0.28774298894559963</v>
      </c>
      <c r="G44" s="41">
        <f t="shared" si="9"/>
        <v>-0.2279279279279279</v>
      </c>
      <c r="H44" s="41">
        <f t="shared" si="9"/>
        <v>-0.20663169726489322</v>
      </c>
      <c r="I44" s="63">
        <f t="shared" si="9"/>
        <v>6.3213703099510889E-3</v>
      </c>
      <c r="J44" s="65">
        <f t="shared" si="9"/>
        <v>0.26552076739543246</v>
      </c>
      <c r="K44" s="41">
        <f t="shared" si="9"/>
        <v>-5.8080898960512009E-2</v>
      </c>
      <c r="L44" s="41">
        <f t="shared" si="9"/>
        <v>-0.15630630630630624</v>
      </c>
      <c r="M44" s="41">
        <f t="shared" si="9"/>
        <v>-0.17194761301225167</v>
      </c>
      <c r="N44" s="41">
        <f t="shared" si="9"/>
        <v>-0.23794630317333262</v>
      </c>
      <c r="O44" s="41">
        <f t="shared" si="9"/>
        <v>-0.26724871154756824</v>
      </c>
      <c r="P44" s="41">
        <f t="shared" si="9"/>
        <v>0.24528477623061493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:W45"/>
  <sheetViews>
    <sheetView zoomScale="80" zoomScaleNormal="80" workbookViewId="0">
      <selection activeCell="B43" sqref="B43:P43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99"/>
      <c r="T1" s="99"/>
      <c r="U1" s="99"/>
      <c r="V1" s="99"/>
    </row>
    <row r="3" spans="1:23" ht="16" x14ac:dyDescent="0.4">
      <c r="Q3" s="74"/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1518.9</v>
      </c>
      <c r="C10" s="40">
        <f t="shared" ref="C10:P10" si="0">IFERROR(AVERAGE(C$14:C$17),"")</f>
        <v>996.5</v>
      </c>
      <c r="D10" s="40">
        <f t="shared" si="0"/>
        <v>69.675000000000011</v>
      </c>
      <c r="E10" s="40">
        <f t="shared" si="0"/>
        <v>269.92499999999995</v>
      </c>
      <c r="F10" s="40">
        <f t="shared" si="0"/>
        <v>104357.75</v>
      </c>
      <c r="G10" s="40">
        <f t="shared" si="0"/>
        <v>27.499999999999996</v>
      </c>
      <c r="H10" s="40">
        <f t="shared" si="0"/>
        <v>10.875</v>
      </c>
      <c r="I10" s="53">
        <f t="shared" si="0"/>
        <v>27.475000000000001</v>
      </c>
      <c r="J10" s="55">
        <f t="shared" si="0"/>
        <v>43.524999999999999</v>
      </c>
      <c r="K10" s="40">
        <f t="shared" si="0"/>
        <v>102906.5</v>
      </c>
      <c r="L10" s="40">
        <f t="shared" si="0"/>
        <v>32.1</v>
      </c>
      <c r="M10" s="40">
        <f t="shared" si="0"/>
        <v>7.5250000000000004</v>
      </c>
      <c r="N10" s="40">
        <f t="shared" si="0"/>
        <v>1752.0500000000002</v>
      </c>
      <c r="O10" s="40">
        <f t="shared" si="0"/>
        <v>241.9</v>
      </c>
      <c r="P10" s="40">
        <f t="shared" si="0"/>
        <v>34.675000000000004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1803.9666666666665</v>
      </c>
      <c r="C11" s="40">
        <f t="shared" si="1"/>
        <v>605.20000000000005</v>
      </c>
      <c r="D11" s="40">
        <f t="shared" si="1"/>
        <v>60.266666666666673</v>
      </c>
      <c r="E11" s="40">
        <f t="shared" si="1"/>
        <v>166.86666666666667</v>
      </c>
      <c r="F11" s="40">
        <f t="shared" si="1"/>
        <v>49754.666666666664</v>
      </c>
      <c r="G11" s="40">
        <f t="shared" si="1"/>
        <v>21.733333333333334</v>
      </c>
      <c r="H11" s="40">
        <f t="shared" si="1"/>
        <v>8.9333333333333336</v>
      </c>
      <c r="I11" s="53">
        <f t="shared" si="1"/>
        <v>32.199999999999996</v>
      </c>
      <c r="J11" s="55">
        <f t="shared" si="1"/>
        <v>36.06666666666667</v>
      </c>
      <c r="K11" s="40">
        <f t="shared" si="1"/>
        <v>99702.666666666672</v>
      </c>
      <c r="L11" s="40">
        <f t="shared" si="1"/>
        <v>26.3</v>
      </c>
      <c r="M11" s="40">
        <f t="shared" si="1"/>
        <v>7.7</v>
      </c>
      <c r="N11" s="40">
        <f t="shared" si="1"/>
        <v>1604.1333333333334</v>
      </c>
      <c r="O11" s="40">
        <f t="shared" si="1"/>
        <v>200.20000000000002</v>
      </c>
      <c r="P11" s="40">
        <f t="shared" si="1"/>
        <v>38.833333333333336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285.06666666666638</v>
      </c>
      <c r="C12" s="48">
        <f t="shared" si="2"/>
        <v>391.29999999999995</v>
      </c>
      <c r="D12" s="48">
        <f t="shared" si="2"/>
        <v>9.4083333333333385</v>
      </c>
      <c r="E12" s="48">
        <f t="shared" si="2"/>
        <v>103.05833333333328</v>
      </c>
      <c r="F12" s="48">
        <f t="shared" si="2"/>
        <v>54603.083333333336</v>
      </c>
      <c r="G12" s="48">
        <f t="shared" si="2"/>
        <v>5.7666666666666622</v>
      </c>
      <c r="H12" s="48">
        <f t="shared" si="2"/>
        <v>1.9416666666666664</v>
      </c>
      <c r="I12" s="62">
        <f t="shared" si="2"/>
        <v>4.7249999999999943</v>
      </c>
      <c r="J12" s="64">
        <f t="shared" si="2"/>
        <v>7.4583333333333286</v>
      </c>
      <c r="K12" s="48">
        <f t="shared" si="2"/>
        <v>3203.8333333333285</v>
      </c>
      <c r="L12" s="48">
        <f t="shared" si="2"/>
        <v>5.8000000000000007</v>
      </c>
      <c r="M12" s="48">
        <f t="shared" si="2"/>
        <v>0.17499999999999982</v>
      </c>
      <c r="N12" s="48">
        <f t="shared" si="2"/>
        <v>147.91666666666674</v>
      </c>
      <c r="O12" s="48">
        <f t="shared" si="2"/>
        <v>41.699999999999989</v>
      </c>
      <c r="P12" s="48">
        <f t="shared" si="2"/>
        <v>4.1583333333333314</v>
      </c>
      <c r="Q12" s="76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44094</v>
      </c>
      <c r="B14" s="42">
        <v>1614.6</v>
      </c>
      <c r="C14" s="42">
        <v>666.4</v>
      </c>
      <c r="D14" s="42">
        <v>62.7</v>
      </c>
      <c r="E14" s="42">
        <v>313.89999999999998</v>
      </c>
      <c r="F14" s="43">
        <v>109106</v>
      </c>
      <c r="G14" s="42">
        <v>22.3</v>
      </c>
      <c r="H14" s="42">
        <v>15.2</v>
      </c>
      <c r="I14" s="56">
        <v>26.1</v>
      </c>
      <c r="J14" s="59">
        <v>37.9</v>
      </c>
      <c r="K14" s="43">
        <v>106027</v>
      </c>
      <c r="L14" s="42">
        <v>28.6</v>
      </c>
      <c r="M14" s="42">
        <v>8</v>
      </c>
      <c r="N14" s="42">
        <v>1720.6</v>
      </c>
      <c r="O14" s="42">
        <v>228.3</v>
      </c>
      <c r="P14" s="42">
        <v>35</v>
      </c>
      <c r="Q14" s="34"/>
      <c r="U14" s="38"/>
    </row>
    <row r="15" spans="1:23" x14ac:dyDescent="0.35">
      <c r="A15" s="51">
        <v>44095</v>
      </c>
      <c r="B15" s="42">
        <v>1468.5</v>
      </c>
      <c r="C15" s="42">
        <v>706.8</v>
      </c>
      <c r="D15" s="42">
        <v>50</v>
      </c>
      <c r="E15" s="42">
        <v>279.39999999999998</v>
      </c>
      <c r="F15" s="43">
        <v>100155</v>
      </c>
      <c r="G15" s="42">
        <v>21.5</v>
      </c>
      <c r="H15" s="42">
        <v>13.3</v>
      </c>
      <c r="I15" s="56">
        <v>31.4</v>
      </c>
      <c r="J15" s="59">
        <v>43.9</v>
      </c>
      <c r="K15" s="43">
        <v>106117</v>
      </c>
      <c r="L15" s="42">
        <v>31.6</v>
      </c>
      <c r="M15" s="42">
        <v>7.4</v>
      </c>
      <c r="N15" s="42">
        <v>1638.5</v>
      </c>
      <c r="O15" s="42">
        <v>232.4</v>
      </c>
      <c r="P15" s="42">
        <v>34.4</v>
      </c>
      <c r="Q15" s="34"/>
      <c r="R15" s="38"/>
      <c r="U15" s="38"/>
    </row>
    <row r="16" spans="1:23" x14ac:dyDescent="0.35">
      <c r="A16" s="51">
        <v>44096</v>
      </c>
      <c r="B16" s="42">
        <v>1273.4000000000001</v>
      </c>
      <c r="C16" s="42">
        <v>1207.5999999999999</v>
      </c>
      <c r="D16" s="42">
        <v>75.900000000000006</v>
      </c>
      <c r="E16" s="42">
        <v>226.9</v>
      </c>
      <c r="F16" s="43">
        <v>98718</v>
      </c>
      <c r="G16" s="42">
        <v>28.4</v>
      </c>
      <c r="H16" s="42">
        <v>7.7</v>
      </c>
      <c r="I16" s="56">
        <v>26</v>
      </c>
      <c r="J16" s="59">
        <v>50.4</v>
      </c>
      <c r="K16" s="43">
        <v>99764</v>
      </c>
      <c r="L16" s="42">
        <v>36.6</v>
      </c>
      <c r="M16" s="42">
        <v>7.3</v>
      </c>
      <c r="N16" s="42">
        <v>2109.5</v>
      </c>
      <c r="O16" s="42">
        <v>279</v>
      </c>
      <c r="P16" s="42">
        <v>28.9</v>
      </c>
      <c r="Q16" s="34"/>
      <c r="R16" s="38"/>
      <c r="U16" s="38"/>
    </row>
    <row r="17" spans="1:21" ht="15.75" customHeight="1" x14ac:dyDescent="0.35">
      <c r="A17" s="51">
        <v>44097</v>
      </c>
      <c r="B17" s="46">
        <v>1719.1</v>
      </c>
      <c r="C17" s="46">
        <v>1405.2</v>
      </c>
      <c r="D17" s="46">
        <v>90.1</v>
      </c>
      <c r="E17" s="46">
        <v>259.5</v>
      </c>
      <c r="F17" s="47">
        <v>109452</v>
      </c>
      <c r="G17" s="46">
        <v>37.799999999999997</v>
      </c>
      <c r="H17" s="46">
        <v>7.3</v>
      </c>
      <c r="I17" s="57">
        <v>26.4</v>
      </c>
      <c r="J17" s="60">
        <v>41.9</v>
      </c>
      <c r="K17" s="47">
        <v>99718</v>
      </c>
      <c r="L17" s="46">
        <v>31.6</v>
      </c>
      <c r="M17" s="46">
        <v>7.4</v>
      </c>
      <c r="N17" s="46">
        <v>1539.6</v>
      </c>
      <c r="O17" s="46">
        <v>227.9</v>
      </c>
      <c r="P17" s="46">
        <v>40.4</v>
      </c>
      <c r="Q17" s="34"/>
      <c r="R17" s="38"/>
      <c r="U17" s="38"/>
    </row>
    <row r="18" spans="1:21" ht="15" customHeight="1" x14ac:dyDescent="0.35">
      <c r="A18" s="51">
        <v>44098</v>
      </c>
      <c r="B18" s="44">
        <v>1062.5999999999999</v>
      </c>
      <c r="C18" s="44">
        <v>832.5</v>
      </c>
      <c r="D18" s="44">
        <v>81.8</v>
      </c>
      <c r="E18" s="44">
        <v>153.5</v>
      </c>
      <c r="F18" s="45">
        <v>49321</v>
      </c>
      <c r="G18" s="44">
        <v>28.9</v>
      </c>
      <c r="H18" s="44">
        <v>5.5</v>
      </c>
      <c r="I18" s="58">
        <v>27.7</v>
      </c>
      <c r="J18" s="61">
        <v>34.4</v>
      </c>
      <c r="K18" s="45">
        <v>100026</v>
      </c>
      <c r="L18" s="44">
        <v>26.3</v>
      </c>
      <c r="M18" s="44">
        <v>8.3000000000000007</v>
      </c>
      <c r="N18" s="44">
        <v>1737.2</v>
      </c>
      <c r="O18" s="44">
        <v>213.7</v>
      </c>
      <c r="P18" s="44">
        <v>41.9</v>
      </c>
      <c r="Q18" s="34"/>
      <c r="R18" s="38"/>
      <c r="U18" s="38"/>
    </row>
    <row r="19" spans="1:21" x14ac:dyDescent="0.35">
      <c r="A19" s="51">
        <v>44099</v>
      </c>
      <c r="B19" s="44">
        <v>956.3</v>
      </c>
      <c r="C19" s="44">
        <v>422.9</v>
      </c>
      <c r="D19" s="44">
        <v>45.7</v>
      </c>
      <c r="E19" s="44">
        <v>94.7</v>
      </c>
      <c r="F19" s="45">
        <v>19754</v>
      </c>
      <c r="G19" s="44">
        <v>17</v>
      </c>
      <c r="H19" s="44">
        <v>7.8</v>
      </c>
      <c r="I19" s="58">
        <v>39.6</v>
      </c>
      <c r="J19" s="61">
        <v>36</v>
      </c>
      <c r="K19" s="45">
        <v>108529</v>
      </c>
      <c r="L19" s="44">
        <v>25.9</v>
      </c>
      <c r="M19" s="44">
        <v>7.7</v>
      </c>
      <c r="N19" s="44">
        <v>1420.4</v>
      </c>
      <c r="O19" s="44">
        <v>197.5</v>
      </c>
      <c r="P19" s="44">
        <v>40.6</v>
      </c>
      <c r="Q19" s="34"/>
      <c r="R19" s="38"/>
      <c r="U19" s="38"/>
    </row>
    <row r="20" spans="1:21" x14ac:dyDescent="0.35">
      <c r="A20" s="51">
        <v>44100</v>
      </c>
      <c r="B20" s="44">
        <v>3393</v>
      </c>
      <c r="C20" s="44">
        <v>560.20000000000005</v>
      </c>
      <c r="D20" s="44">
        <v>53.3</v>
      </c>
      <c r="E20" s="44">
        <v>252.4</v>
      </c>
      <c r="F20" s="45">
        <v>80189</v>
      </c>
      <c r="G20" s="44">
        <v>19.3</v>
      </c>
      <c r="H20" s="44">
        <v>13.5</v>
      </c>
      <c r="I20" s="58">
        <v>29.3</v>
      </c>
      <c r="J20" s="61">
        <v>37.799999999999997</v>
      </c>
      <c r="K20" s="45">
        <v>90553</v>
      </c>
      <c r="L20" s="44">
        <v>26.7</v>
      </c>
      <c r="M20" s="44">
        <v>7.1</v>
      </c>
      <c r="N20" s="44">
        <v>1654.8</v>
      </c>
      <c r="O20" s="44">
        <v>189.4</v>
      </c>
      <c r="P20" s="44">
        <v>34</v>
      </c>
      <c r="Q20" s="34"/>
      <c r="R20" s="38"/>
      <c r="U20" s="38"/>
    </row>
    <row r="21" spans="1:21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x14ac:dyDescent="0.35">
      <c r="A22" s="35" t="s">
        <v>3</v>
      </c>
      <c r="B22" s="48">
        <v>2107.042857142857</v>
      </c>
      <c r="C22" s="48">
        <v>806.91428571428571</v>
      </c>
      <c r="D22" s="48">
        <v>64.228571428571428</v>
      </c>
      <c r="E22" s="48">
        <v>282.01428571428568</v>
      </c>
      <c r="F22" s="48">
        <v>101572.42857142857</v>
      </c>
      <c r="G22" s="48">
        <v>24.485714285714288</v>
      </c>
      <c r="H22" s="48">
        <v>12.1</v>
      </c>
      <c r="I22" s="62">
        <v>28.2</v>
      </c>
      <c r="J22" s="64">
        <v>37.128571428571426</v>
      </c>
      <c r="K22" s="48">
        <v>93474.571428571435</v>
      </c>
      <c r="L22" s="48">
        <v>26.75714285714286</v>
      </c>
      <c r="M22" s="48">
        <v>8.4</v>
      </c>
      <c r="N22" s="48">
        <v>1755.6857142857141</v>
      </c>
      <c r="O22" s="48">
        <v>227.68571428571428</v>
      </c>
      <c r="P22" s="48">
        <v>38.199999999999996</v>
      </c>
      <c r="Q22" s="34"/>
    </row>
    <row r="23" spans="1:21" x14ac:dyDescent="0.35">
      <c r="A23" s="35" t="s">
        <v>4</v>
      </c>
      <c r="B23" s="48">
        <f t="shared" ref="B23:N23" si="3">IFERROR(AVERAGE(B14:B20),"")</f>
        <v>1641.0714285714287</v>
      </c>
      <c r="C23" s="48">
        <f>IFERROR(AVERAGE(C14:C20),"")</f>
        <v>828.8</v>
      </c>
      <c r="D23" s="48">
        <f>IFERROR(AVERAGE(D14:D20),"")</f>
        <v>65.642857142857153</v>
      </c>
      <c r="E23" s="48">
        <f>IFERROR(AVERAGE(E14:E20),"")</f>
        <v>225.75714285714284</v>
      </c>
      <c r="F23" s="48">
        <f t="shared" si="3"/>
        <v>80956.428571428565</v>
      </c>
      <c r="G23" s="48">
        <f t="shared" si="3"/>
        <v>25.028571428571428</v>
      </c>
      <c r="H23" s="48">
        <f t="shared" si="3"/>
        <v>10.042857142857143</v>
      </c>
      <c r="I23" s="62">
        <f t="shared" si="3"/>
        <v>29.5</v>
      </c>
      <c r="J23" s="64">
        <f>IFERROR(AVERAGE(J14:J20),"")</f>
        <v>40.328571428571429</v>
      </c>
      <c r="K23" s="48">
        <f>IFERROR(AVERAGE(K14:K20),"")</f>
        <v>101533.42857142857</v>
      </c>
      <c r="L23" s="48">
        <f>IFERROR(AVERAGE(L14:L20),"")</f>
        <v>29.614285714285717</v>
      </c>
      <c r="M23" s="48">
        <f>IFERROR(AVERAGE(M14:M20),"")</f>
        <v>7.6000000000000014</v>
      </c>
      <c r="N23" s="48">
        <f t="shared" si="3"/>
        <v>1688.6571428571428</v>
      </c>
      <c r="O23" s="48">
        <f>IFERROR(AVERAGE(O14:O20),"")</f>
        <v>224.02857142857144</v>
      </c>
      <c r="P23" s="48">
        <f>IFERROR(AVERAGE(P14:P20),"")</f>
        <v>36.457142857142863</v>
      </c>
      <c r="Q23" s="34"/>
    </row>
    <row r="24" spans="1:21" x14ac:dyDescent="0.35">
      <c r="A24" s="35" t="s">
        <v>5</v>
      </c>
      <c r="B24" s="41">
        <f t="shared" ref="B24:P24" si="4">IFERROR(-(B22-B23)/B22,"")</f>
        <v>-0.22114947828032505</v>
      </c>
      <c r="C24" s="41">
        <f t="shared" si="4"/>
        <v>2.7122725019474488E-2</v>
      </c>
      <c r="D24" s="41">
        <f t="shared" si="4"/>
        <v>2.2019572953736827E-2</v>
      </c>
      <c r="E24" s="41">
        <f t="shared" si="4"/>
        <v>-0.1994833088496023</v>
      </c>
      <c r="F24" s="41">
        <f t="shared" si="4"/>
        <v>-0.20296846585195366</v>
      </c>
      <c r="G24" s="41">
        <f t="shared" si="4"/>
        <v>2.2170361726954413E-2</v>
      </c>
      <c r="H24" s="41">
        <f t="shared" si="4"/>
        <v>-0.17001180637544272</v>
      </c>
      <c r="I24" s="63">
        <f t="shared" si="4"/>
        <v>4.6099290780141869E-2</v>
      </c>
      <c r="J24" s="65">
        <f t="shared" si="4"/>
        <v>8.6186994998076263E-2</v>
      </c>
      <c r="K24" s="41">
        <f t="shared" si="4"/>
        <v>8.6214432649368219E-2</v>
      </c>
      <c r="L24" s="41">
        <f t="shared" si="4"/>
        <v>0.10678056593699947</v>
      </c>
      <c r="M24" s="41">
        <f t="shared" si="4"/>
        <v>-9.5238095238095108E-2</v>
      </c>
      <c r="N24" s="41">
        <f t="shared" si="4"/>
        <v>-3.8178001269345209E-2</v>
      </c>
      <c r="O24" s="41">
        <f t="shared" si="4"/>
        <v>-1.606224118459023E-2</v>
      </c>
      <c r="P24" s="41">
        <f t="shared" si="4"/>
        <v>-4.5624532535527049E-2</v>
      </c>
    </row>
    <row r="25" spans="1:21" x14ac:dyDescent="0.3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3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1452.1666666666667</v>
      </c>
      <c r="C30" s="40">
        <f t="shared" si="5"/>
        <v>860.26666666666654</v>
      </c>
      <c r="D30" s="40">
        <f t="shared" si="5"/>
        <v>62.866666666666674</v>
      </c>
      <c r="E30" s="40">
        <f t="shared" si="5"/>
        <v>273.39999999999998</v>
      </c>
      <c r="F30" s="40">
        <f t="shared" si="5"/>
        <v>102659.66666666667</v>
      </c>
      <c r="G30" s="40">
        <f t="shared" si="5"/>
        <v>24.066666666666663</v>
      </c>
      <c r="H30" s="40">
        <f t="shared" si="5"/>
        <v>12.066666666666668</v>
      </c>
      <c r="I30" s="53">
        <f t="shared" si="5"/>
        <v>27.833333333333332</v>
      </c>
      <c r="J30" s="55">
        <f t="shared" si="5"/>
        <v>44.066666666666663</v>
      </c>
      <c r="K30" s="40">
        <f t="shared" si="5"/>
        <v>103969.33333333333</v>
      </c>
      <c r="L30" s="40">
        <f t="shared" si="5"/>
        <v>32.266666666666673</v>
      </c>
      <c r="M30" s="40">
        <f t="shared" si="5"/>
        <v>7.5666666666666664</v>
      </c>
      <c r="N30" s="40">
        <f t="shared" si="5"/>
        <v>1822.8666666666668</v>
      </c>
      <c r="O30" s="40">
        <f t="shared" si="5"/>
        <v>246.56666666666669</v>
      </c>
      <c r="P30" s="40">
        <f t="shared" si="5"/>
        <v>32.766666666666673</v>
      </c>
      <c r="Q30" s="34"/>
    </row>
    <row r="31" spans="1:21" x14ac:dyDescent="0.35">
      <c r="A31" s="35" t="s">
        <v>2</v>
      </c>
      <c r="B31" s="40">
        <f>IFERROR(AVERAGE(B$37:B$40),"")</f>
        <v>1782.75</v>
      </c>
      <c r="C31" s="40">
        <f t="shared" ref="C31:P31" si="6">IFERROR(AVERAGE(C$37:C$40),"")</f>
        <v>805.2</v>
      </c>
      <c r="D31" s="40">
        <f t="shared" si="6"/>
        <v>67.724999999999994</v>
      </c>
      <c r="E31" s="40">
        <f t="shared" si="6"/>
        <v>190.02500000000001</v>
      </c>
      <c r="F31" s="40">
        <f t="shared" si="6"/>
        <v>64679</v>
      </c>
      <c r="G31" s="40">
        <f t="shared" si="6"/>
        <v>25.749999999999996</v>
      </c>
      <c r="H31" s="40">
        <f t="shared" si="6"/>
        <v>8.5250000000000004</v>
      </c>
      <c r="I31" s="53">
        <f t="shared" si="6"/>
        <v>30.749999999999996</v>
      </c>
      <c r="J31" s="55">
        <f t="shared" si="6"/>
        <v>37.524999999999999</v>
      </c>
      <c r="K31" s="40">
        <f t="shared" si="6"/>
        <v>99706.5</v>
      </c>
      <c r="L31" s="40">
        <f t="shared" si="6"/>
        <v>27.625000000000004</v>
      </c>
      <c r="M31" s="40">
        <f t="shared" si="6"/>
        <v>7.625</v>
      </c>
      <c r="N31" s="40">
        <f t="shared" si="6"/>
        <v>1588.0000000000002</v>
      </c>
      <c r="O31" s="40">
        <f t="shared" si="6"/>
        <v>207.125</v>
      </c>
      <c r="P31" s="40">
        <f t="shared" si="6"/>
        <v>39.225000000000001</v>
      </c>
      <c r="Q31" s="34"/>
    </row>
    <row r="32" spans="1:21" x14ac:dyDescent="0.35">
      <c r="A32" s="35" t="s">
        <v>27</v>
      </c>
      <c r="B32" s="48">
        <f t="shared" ref="B32:P32" si="7">IFERROR(ABS(B$31-B$30), "")</f>
        <v>330.58333333333326</v>
      </c>
      <c r="C32" s="48">
        <f t="shared" si="7"/>
        <v>55.066666666666492</v>
      </c>
      <c r="D32" s="48">
        <f t="shared" si="7"/>
        <v>4.8583333333333201</v>
      </c>
      <c r="E32" s="48">
        <f t="shared" si="7"/>
        <v>83.374999999999972</v>
      </c>
      <c r="F32" s="48">
        <f t="shared" si="7"/>
        <v>37980.666666666672</v>
      </c>
      <c r="G32" s="48">
        <f t="shared" si="7"/>
        <v>1.6833333333333336</v>
      </c>
      <c r="H32" s="48">
        <f t="shared" si="7"/>
        <v>3.5416666666666679</v>
      </c>
      <c r="I32" s="62">
        <f t="shared" si="7"/>
        <v>2.9166666666666643</v>
      </c>
      <c r="J32" s="64">
        <f t="shared" si="7"/>
        <v>6.5416666666666643</v>
      </c>
      <c r="K32" s="48">
        <f t="shared" si="7"/>
        <v>4262.8333333333285</v>
      </c>
      <c r="L32" s="48">
        <f t="shared" si="7"/>
        <v>4.6416666666666693</v>
      </c>
      <c r="M32" s="48">
        <f t="shared" si="7"/>
        <v>5.833333333333357E-2</v>
      </c>
      <c r="N32" s="48">
        <f t="shared" si="7"/>
        <v>234.86666666666656</v>
      </c>
      <c r="O32" s="48">
        <f t="shared" si="7"/>
        <v>39.441666666666691</v>
      </c>
      <c r="P32" s="48">
        <f t="shared" si="7"/>
        <v>6.4583333333333286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44094</v>
      </c>
      <c r="B34" s="42">
        <v>1614.6</v>
      </c>
      <c r="C34" s="42">
        <v>666.4</v>
      </c>
      <c r="D34" s="42">
        <v>62.7</v>
      </c>
      <c r="E34" s="42">
        <v>313.89999999999998</v>
      </c>
      <c r="F34" s="43">
        <v>109106</v>
      </c>
      <c r="G34" s="42">
        <v>22.3</v>
      </c>
      <c r="H34" s="42">
        <v>15.2</v>
      </c>
      <c r="I34" s="56">
        <v>26.1</v>
      </c>
      <c r="J34" s="59">
        <v>37.9</v>
      </c>
      <c r="K34" s="43">
        <v>106027</v>
      </c>
      <c r="L34" s="42">
        <v>28.6</v>
      </c>
      <c r="M34" s="42">
        <v>8</v>
      </c>
      <c r="N34" s="42">
        <v>1720.6</v>
      </c>
      <c r="O34" s="42">
        <v>228.3</v>
      </c>
      <c r="P34" s="42">
        <v>35</v>
      </c>
      <c r="Q34" s="34"/>
    </row>
    <row r="35" spans="1:18" x14ac:dyDescent="0.35">
      <c r="A35" s="51">
        <v>44095</v>
      </c>
      <c r="B35" s="42">
        <v>1468.5</v>
      </c>
      <c r="C35" s="42">
        <v>706.8</v>
      </c>
      <c r="D35" s="42">
        <v>50</v>
      </c>
      <c r="E35" s="42">
        <v>279.39999999999998</v>
      </c>
      <c r="F35" s="43">
        <v>100155</v>
      </c>
      <c r="G35" s="42">
        <v>21.5</v>
      </c>
      <c r="H35" s="42">
        <v>13.3</v>
      </c>
      <c r="I35" s="56">
        <v>31.4</v>
      </c>
      <c r="J35" s="59">
        <v>43.9</v>
      </c>
      <c r="K35" s="43">
        <v>106117</v>
      </c>
      <c r="L35" s="42">
        <v>31.6</v>
      </c>
      <c r="M35" s="42">
        <v>7.4</v>
      </c>
      <c r="N35" s="42">
        <v>1638.5</v>
      </c>
      <c r="O35" s="42">
        <v>232.4</v>
      </c>
      <c r="P35" s="42">
        <v>34.4</v>
      </c>
      <c r="Q35" s="34"/>
    </row>
    <row r="36" spans="1:18" x14ac:dyDescent="0.35">
      <c r="A36" s="51">
        <v>44096</v>
      </c>
      <c r="B36" s="42">
        <v>1273.4000000000001</v>
      </c>
      <c r="C36" s="42">
        <v>1207.5999999999999</v>
      </c>
      <c r="D36" s="42">
        <v>75.900000000000006</v>
      </c>
      <c r="E36" s="42">
        <v>226.9</v>
      </c>
      <c r="F36" s="43">
        <v>98718</v>
      </c>
      <c r="G36" s="42">
        <v>28.4</v>
      </c>
      <c r="H36" s="42">
        <v>7.7</v>
      </c>
      <c r="I36" s="56">
        <v>26</v>
      </c>
      <c r="J36" s="59">
        <v>50.4</v>
      </c>
      <c r="K36" s="43">
        <v>99764</v>
      </c>
      <c r="L36" s="42">
        <v>36.6</v>
      </c>
      <c r="M36" s="42">
        <v>7.3</v>
      </c>
      <c r="N36" s="42">
        <v>2109.5</v>
      </c>
      <c r="O36" s="42">
        <v>279</v>
      </c>
      <c r="P36" s="42">
        <v>28.9</v>
      </c>
      <c r="Q36" s="34"/>
    </row>
    <row r="37" spans="1:18" x14ac:dyDescent="0.35">
      <c r="A37" s="51">
        <v>44097</v>
      </c>
      <c r="B37" s="46">
        <v>1719.1</v>
      </c>
      <c r="C37" s="46">
        <v>1405.2</v>
      </c>
      <c r="D37" s="46">
        <v>90.1</v>
      </c>
      <c r="E37" s="46">
        <v>259.5</v>
      </c>
      <c r="F37" s="47">
        <v>109452</v>
      </c>
      <c r="G37" s="46">
        <v>37.799999999999997</v>
      </c>
      <c r="H37" s="46">
        <v>7.3</v>
      </c>
      <c r="I37" s="57">
        <v>26.4</v>
      </c>
      <c r="J37" s="60">
        <v>41.9</v>
      </c>
      <c r="K37" s="47">
        <v>99718</v>
      </c>
      <c r="L37" s="46">
        <v>31.6</v>
      </c>
      <c r="M37" s="46">
        <v>7.4</v>
      </c>
      <c r="N37" s="46">
        <v>1539.6</v>
      </c>
      <c r="O37" s="46">
        <v>227.9</v>
      </c>
      <c r="P37" s="46">
        <v>40.4</v>
      </c>
      <c r="Q37" s="34"/>
    </row>
    <row r="38" spans="1:18" x14ac:dyDescent="0.35">
      <c r="A38" s="51">
        <v>44098</v>
      </c>
      <c r="B38" s="44">
        <v>1062.5999999999999</v>
      </c>
      <c r="C38" s="44">
        <v>832.5</v>
      </c>
      <c r="D38" s="44">
        <v>81.8</v>
      </c>
      <c r="E38" s="44">
        <v>153.5</v>
      </c>
      <c r="F38" s="45">
        <v>49321</v>
      </c>
      <c r="G38" s="44">
        <v>28.9</v>
      </c>
      <c r="H38" s="44">
        <v>5.5</v>
      </c>
      <c r="I38" s="58">
        <v>27.7</v>
      </c>
      <c r="J38" s="61">
        <v>34.4</v>
      </c>
      <c r="K38" s="45">
        <v>100026</v>
      </c>
      <c r="L38" s="44">
        <v>26.3</v>
      </c>
      <c r="M38" s="44">
        <v>8.3000000000000007</v>
      </c>
      <c r="N38" s="44">
        <v>1737.2</v>
      </c>
      <c r="O38" s="44">
        <v>213.7</v>
      </c>
      <c r="P38" s="44">
        <v>41.9</v>
      </c>
      <c r="Q38" s="34"/>
    </row>
    <row r="39" spans="1:18" x14ac:dyDescent="0.35">
      <c r="A39" s="51">
        <v>44099</v>
      </c>
      <c r="B39" s="44">
        <v>956.3</v>
      </c>
      <c r="C39" s="44">
        <v>422.9</v>
      </c>
      <c r="D39" s="44">
        <v>45.7</v>
      </c>
      <c r="E39" s="44">
        <v>94.7</v>
      </c>
      <c r="F39" s="45">
        <v>19754</v>
      </c>
      <c r="G39" s="44">
        <v>17</v>
      </c>
      <c r="H39" s="44">
        <v>7.8</v>
      </c>
      <c r="I39" s="58">
        <v>39.6</v>
      </c>
      <c r="J39" s="61">
        <v>36</v>
      </c>
      <c r="K39" s="45">
        <v>108529</v>
      </c>
      <c r="L39" s="44">
        <v>25.9</v>
      </c>
      <c r="M39" s="44">
        <v>7.7</v>
      </c>
      <c r="N39" s="44">
        <v>1420.4</v>
      </c>
      <c r="O39" s="44">
        <v>197.5</v>
      </c>
      <c r="P39" s="44">
        <v>40.6</v>
      </c>
      <c r="Q39" s="34"/>
    </row>
    <row r="40" spans="1:18" x14ac:dyDescent="0.35">
      <c r="A40" s="51">
        <v>44100</v>
      </c>
      <c r="B40" s="44">
        <v>3393</v>
      </c>
      <c r="C40" s="44">
        <v>560.20000000000005</v>
      </c>
      <c r="D40" s="44">
        <v>53.3</v>
      </c>
      <c r="E40" s="44">
        <v>252.4</v>
      </c>
      <c r="F40" s="45">
        <v>80189</v>
      </c>
      <c r="G40" s="44">
        <v>19.3</v>
      </c>
      <c r="H40" s="44">
        <v>13.5</v>
      </c>
      <c r="I40" s="58">
        <v>29.3</v>
      </c>
      <c r="J40" s="61">
        <v>37.799999999999997</v>
      </c>
      <c r="K40" s="45">
        <v>90553</v>
      </c>
      <c r="L40" s="44">
        <v>26.7</v>
      </c>
      <c r="M40" s="44">
        <v>7.1</v>
      </c>
      <c r="N40" s="44">
        <v>1654.8</v>
      </c>
      <c r="O40" s="44">
        <v>189.4</v>
      </c>
      <c r="P40" s="44">
        <v>34</v>
      </c>
      <c r="Q40" s="34"/>
    </row>
    <row r="41" spans="1:18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x14ac:dyDescent="0.35">
      <c r="A42" s="35" t="s">
        <v>3</v>
      </c>
      <c r="B42" s="48">
        <v>2107.042857142857</v>
      </c>
      <c r="C42" s="48">
        <v>806.91428571428571</v>
      </c>
      <c r="D42" s="48">
        <v>64.228571428571428</v>
      </c>
      <c r="E42" s="48">
        <v>282.01428571428568</v>
      </c>
      <c r="F42" s="48">
        <v>101572.42857142857</v>
      </c>
      <c r="G42" s="48">
        <v>24.485714285714288</v>
      </c>
      <c r="H42" s="48">
        <v>12.1</v>
      </c>
      <c r="I42" s="62">
        <v>28.2</v>
      </c>
      <c r="J42" s="64">
        <v>37.128571428571426</v>
      </c>
      <c r="K42" s="48">
        <v>93474.571428571435</v>
      </c>
      <c r="L42" s="48">
        <v>26.75714285714286</v>
      </c>
      <c r="M42" s="48">
        <v>8.4</v>
      </c>
      <c r="N42" s="48">
        <v>1755.6857142857141</v>
      </c>
      <c r="O42" s="48">
        <v>227.68571428571428</v>
      </c>
      <c r="P42" s="48">
        <v>38.199999999999996</v>
      </c>
      <c r="Q42" s="34"/>
    </row>
    <row r="43" spans="1:18" x14ac:dyDescent="0.35">
      <c r="A43" s="35" t="s">
        <v>4</v>
      </c>
      <c r="B43" s="48">
        <f>IFERROR(AVERAGE(B34:B40),"")</f>
        <v>1641.0714285714287</v>
      </c>
      <c r="C43" s="48">
        <f>IFERROR(AVERAGE(C34:C40),"")</f>
        <v>828.8</v>
      </c>
      <c r="D43" s="48">
        <f>IFERROR(AVERAGE(D34:D40),"")</f>
        <v>65.642857142857153</v>
      </c>
      <c r="E43" s="48">
        <f>IFERROR(AVERAGE(E34:E40),"")</f>
        <v>225.75714285714284</v>
      </c>
      <c r="F43" s="48">
        <f t="shared" ref="F43:N43" si="8">IFERROR(AVERAGE(F34:F40),"")</f>
        <v>80956.428571428565</v>
      </c>
      <c r="G43" s="48">
        <f t="shared" si="8"/>
        <v>25.028571428571428</v>
      </c>
      <c r="H43" s="48">
        <f t="shared" si="8"/>
        <v>10.042857142857143</v>
      </c>
      <c r="I43" s="62">
        <f t="shared" si="8"/>
        <v>29.5</v>
      </c>
      <c r="J43" s="64">
        <f>IFERROR(AVERAGE(J34:J40),"")</f>
        <v>40.328571428571429</v>
      </c>
      <c r="K43" s="48">
        <f>IFERROR(AVERAGE(K34:K40),"")</f>
        <v>101533.42857142857</v>
      </c>
      <c r="L43" s="48">
        <f>IFERROR(AVERAGE(L34:L40),"")</f>
        <v>29.614285714285717</v>
      </c>
      <c r="M43" s="48">
        <f>IFERROR(AVERAGE(M34:M40),"")</f>
        <v>7.6000000000000014</v>
      </c>
      <c r="N43" s="48">
        <f t="shared" si="8"/>
        <v>1688.6571428571428</v>
      </c>
      <c r="O43" s="48">
        <f>IFERROR(AVERAGE(O34:O40),"")</f>
        <v>224.02857142857144</v>
      </c>
      <c r="P43" s="48">
        <f>IFERROR(AVERAGE(P34:P40),"")</f>
        <v>36.457142857142863</v>
      </c>
      <c r="Q43" s="34"/>
    </row>
    <row r="44" spans="1:18" x14ac:dyDescent="0.35">
      <c r="A44" s="35" t="s">
        <v>5</v>
      </c>
      <c r="B44" s="41">
        <f>IFERROR((B43-B42)/B42,"")</f>
        <v>-0.22114947828032505</v>
      </c>
      <c r="C44" s="41">
        <f t="shared" ref="C44:P44" si="9">IFERROR(-(C42-C43)/C42,"")</f>
        <v>2.7122725019474488E-2</v>
      </c>
      <c r="D44" s="41">
        <f t="shared" si="9"/>
        <v>2.2019572953736827E-2</v>
      </c>
      <c r="E44" s="41">
        <f t="shared" si="9"/>
        <v>-0.1994833088496023</v>
      </c>
      <c r="F44" s="41">
        <f t="shared" si="9"/>
        <v>-0.20296846585195366</v>
      </c>
      <c r="G44" s="41">
        <f t="shared" si="9"/>
        <v>2.2170361726954413E-2</v>
      </c>
      <c r="H44" s="41">
        <f t="shared" si="9"/>
        <v>-0.17001180637544272</v>
      </c>
      <c r="I44" s="63">
        <f t="shared" si="9"/>
        <v>4.6099290780141869E-2</v>
      </c>
      <c r="J44" s="65">
        <f t="shared" si="9"/>
        <v>8.6186994998076263E-2</v>
      </c>
      <c r="K44" s="41">
        <f t="shared" si="9"/>
        <v>8.6214432649368219E-2</v>
      </c>
      <c r="L44" s="41">
        <f t="shared" si="9"/>
        <v>0.10678056593699947</v>
      </c>
      <c r="M44" s="41">
        <f t="shared" si="9"/>
        <v>-9.5238095238095108E-2</v>
      </c>
      <c r="N44" s="41">
        <f t="shared" si="9"/>
        <v>-3.8178001269345209E-2</v>
      </c>
      <c r="O44" s="41">
        <f t="shared" si="9"/>
        <v>-1.606224118459023E-2</v>
      </c>
      <c r="P44" s="41">
        <f t="shared" si="9"/>
        <v>-4.5624532535527049E-2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00B050"/>
  </sheetPr>
  <dimension ref="A1:W45"/>
  <sheetViews>
    <sheetView zoomScale="80" zoomScaleNormal="80" workbookViewId="0">
      <selection activeCell="M17" sqref="M17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99"/>
      <c r="T1" s="99"/>
      <c r="U1" s="99"/>
      <c r="V1" s="99"/>
    </row>
    <row r="3" spans="1:23" ht="16" x14ac:dyDescent="0.4">
      <c r="Q3" s="74"/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1788.35</v>
      </c>
      <c r="C10" s="40">
        <f t="shared" ref="C10:P10" si="0">IFERROR(AVERAGE(C$14:C$17),"")</f>
        <v>569.875</v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>
        <f t="shared" si="0"/>
        <v>24.5</v>
      </c>
      <c r="H10" s="40">
        <f t="shared" si="0"/>
        <v>11.975</v>
      </c>
      <c r="I10" s="53">
        <f t="shared" si="0"/>
        <v>27.375000000000004</v>
      </c>
      <c r="J10" s="55">
        <f t="shared" si="0"/>
        <v>42.325000000000003</v>
      </c>
      <c r="K10" s="40">
        <f t="shared" si="0"/>
        <v>80334.5</v>
      </c>
      <c r="L10" s="40">
        <f t="shared" si="0"/>
        <v>31.25</v>
      </c>
      <c r="M10" s="40">
        <f t="shared" si="0"/>
        <v>5.75</v>
      </c>
      <c r="N10" s="40">
        <f t="shared" si="0"/>
        <v>1202.9749999999999</v>
      </c>
      <c r="O10" s="40">
        <f t="shared" si="0"/>
        <v>179.75</v>
      </c>
      <c r="P10" s="40">
        <f t="shared" si="0"/>
        <v>33.200000000000003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3170.2999999999997</v>
      </c>
      <c r="C11" s="40">
        <f t="shared" si="1"/>
        <v>560.9</v>
      </c>
      <c r="D11" s="40">
        <f t="shared" si="1"/>
        <v>63.199999999999996</v>
      </c>
      <c r="E11" s="40">
        <f t="shared" si="1"/>
        <v>294.40000000000003</v>
      </c>
      <c r="F11" s="40">
        <f t="shared" si="1"/>
        <v>89432.666666666672</v>
      </c>
      <c r="G11" s="40">
        <f t="shared" si="1"/>
        <v>19.833333333333332</v>
      </c>
      <c r="H11" s="40">
        <f t="shared" si="1"/>
        <v>16.466666666666665</v>
      </c>
      <c r="I11" s="53">
        <f t="shared" si="1"/>
        <v>27.099999999999998</v>
      </c>
      <c r="J11" s="55">
        <f t="shared" si="1"/>
        <v>45.9</v>
      </c>
      <c r="K11" s="40">
        <f t="shared" si="1"/>
        <v>73236</v>
      </c>
      <c r="L11" s="40">
        <f t="shared" si="1"/>
        <v>32.166666666666664</v>
      </c>
      <c r="M11" s="40">
        <f t="shared" si="1"/>
        <v>4.6333333333333337</v>
      </c>
      <c r="N11" s="40">
        <f t="shared" si="1"/>
        <v>1064.5333333333335</v>
      </c>
      <c r="O11" s="40">
        <f t="shared" si="1"/>
        <v>150.20000000000002</v>
      </c>
      <c r="P11" s="40">
        <f t="shared" si="1"/>
        <v>35.06666666666667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1381.9499999999998</v>
      </c>
      <c r="C12" s="48">
        <f t="shared" si="2"/>
        <v>8.9750000000000227</v>
      </c>
      <c r="D12" s="48">
        <f t="shared" si="2"/>
        <v>0.67500000000000426</v>
      </c>
      <c r="E12" s="48">
        <f t="shared" si="2"/>
        <v>33.050000000000011</v>
      </c>
      <c r="F12" s="48">
        <f t="shared" si="2"/>
        <v>23529.666666666672</v>
      </c>
      <c r="G12" s="48">
        <f t="shared" si="2"/>
        <v>4.6666666666666679</v>
      </c>
      <c r="H12" s="48">
        <f t="shared" si="2"/>
        <v>4.4916666666666654</v>
      </c>
      <c r="I12" s="62">
        <f t="shared" si="2"/>
        <v>0.27500000000000568</v>
      </c>
      <c r="J12" s="64">
        <f t="shared" si="2"/>
        <v>3.5749999999999957</v>
      </c>
      <c r="K12" s="48">
        <f t="shared" si="2"/>
        <v>7098.5</v>
      </c>
      <c r="L12" s="48">
        <f t="shared" si="2"/>
        <v>0.9166666666666643</v>
      </c>
      <c r="M12" s="48">
        <f t="shared" si="2"/>
        <v>1.1166666666666663</v>
      </c>
      <c r="N12" s="48">
        <f t="shared" si="2"/>
        <v>138.44166666666638</v>
      </c>
      <c r="O12" s="48">
        <f t="shared" si="2"/>
        <v>29.549999999999983</v>
      </c>
      <c r="P12" s="48">
        <f t="shared" si="2"/>
        <v>1.8666666666666671</v>
      </c>
      <c r="Q12" s="78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44101</v>
      </c>
      <c r="B14" s="42">
        <v>1650.1</v>
      </c>
      <c r="C14" s="42">
        <v>528.29999999999995</v>
      </c>
      <c r="D14" s="42">
        <v>55.1</v>
      </c>
      <c r="E14" s="42">
        <v>264.10000000000002</v>
      </c>
      <c r="F14" s="43">
        <v>58660</v>
      </c>
      <c r="G14" s="42">
        <v>24.4</v>
      </c>
      <c r="H14" s="42">
        <v>11</v>
      </c>
      <c r="I14" s="56">
        <v>25.8</v>
      </c>
      <c r="J14" s="59">
        <v>38.200000000000003</v>
      </c>
      <c r="K14" s="43">
        <v>85405</v>
      </c>
      <c r="L14" s="42">
        <v>28</v>
      </c>
      <c r="M14" s="42">
        <v>6.6</v>
      </c>
      <c r="N14" s="42">
        <v>1079.7</v>
      </c>
      <c r="O14" s="42">
        <v>181.4</v>
      </c>
      <c r="P14" s="42">
        <v>36.299999999999997</v>
      </c>
      <c r="Q14" s="34"/>
      <c r="U14" s="38"/>
    </row>
    <row r="15" spans="1:23" x14ac:dyDescent="0.35">
      <c r="A15" s="51">
        <v>44102</v>
      </c>
      <c r="B15" s="42">
        <v>1749</v>
      </c>
      <c r="C15" s="42">
        <v>497.7</v>
      </c>
      <c r="D15" s="42">
        <v>74.599999999999994</v>
      </c>
      <c r="E15" s="42">
        <v>228.6</v>
      </c>
      <c r="F15" s="43">
        <v>52761</v>
      </c>
      <c r="G15" s="42">
        <v>24.8</v>
      </c>
      <c r="H15" s="42">
        <v>10.3</v>
      </c>
      <c r="I15" s="56">
        <v>23.6</v>
      </c>
      <c r="J15" s="59">
        <v>37.700000000000003</v>
      </c>
      <c r="K15" s="43">
        <v>78257</v>
      </c>
      <c r="L15" s="42">
        <v>29.1</v>
      </c>
      <c r="M15" s="42">
        <v>6</v>
      </c>
      <c r="N15" s="42">
        <v>1074.5999999999999</v>
      </c>
      <c r="O15" s="42">
        <v>176.1</v>
      </c>
      <c r="P15" s="42">
        <v>34</v>
      </c>
      <c r="Q15" s="34"/>
      <c r="R15" s="38"/>
      <c r="U15" s="38"/>
    </row>
    <row r="16" spans="1:23" x14ac:dyDescent="0.35">
      <c r="A16" s="51">
        <v>44103</v>
      </c>
      <c r="B16" s="42">
        <v>1387.3</v>
      </c>
      <c r="C16" s="42">
        <v>859.5</v>
      </c>
      <c r="D16" s="42">
        <v>66.3</v>
      </c>
      <c r="E16" s="42">
        <v>298.5</v>
      </c>
      <c r="F16" s="43">
        <v>88113</v>
      </c>
      <c r="G16" s="42">
        <v>30.8</v>
      </c>
      <c r="H16" s="42">
        <v>10.7</v>
      </c>
      <c r="I16" s="56">
        <v>28.9</v>
      </c>
      <c r="J16" s="59">
        <v>47.4</v>
      </c>
      <c r="K16" s="43">
        <v>78728</v>
      </c>
      <c r="L16" s="42">
        <v>33.5</v>
      </c>
      <c r="M16" s="42">
        <v>5.6</v>
      </c>
      <c r="N16" s="42">
        <v>1110.7</v>
      </c>
      <c r="O16" s="42">
        <v>188.9</v>
      </c>
      <c r="P16" s="42">
        <v>29.1</v>
      </c>
      <c r="Q16" s="34"/>
      <c r="R16" s="38"/>
      <c r="U16" s="38"/>
    </row>
    <row r="17" spans="1:21" ht="15.75" customHeight="1" x14ac:dyDescent="0.35">
      <c r="A17" s="51">
        <v>44104</v>
      </c>
      <c r="B17" s="46">
        <v>2367</v>
      </c>
      <c r="C17" s="46">
        <v>394</v>
      </c>
      <c r="D17" s="46">
        <v>59.5</v>
      </c>
      <c r="E17" s="46">
        <v>254.2</v>
      </c>
      <c r="F17" s="47">
        <v>64078</v>
      </c>
      <c r="G17" s="46">
        <v>18</v>
      </c>
      <c r="H17" s="46">
        <v>15.9</v>
      </c>
      <c r="I17" s="57">
        <v>31.2</v>
      </c>
      <c r="J17" s="60">
        <v>46</v>
      </c>
      <c r="K17" s="47">
        <v>78948</v>
      </c>
      <c r="L17" s="46">
        <v>34.4</v>
      </c>
      <c r="M17" s="46">
        <v>4.8</v>
      </c>
      <c r="N17" s="46">
        <v>1546.9</v>
      </c>
      <c r="O17" s="46">
        <v>172.6</v>
      </c>
      <c r="P17" s="46">
        <v>33.4</v>
      </c>
      <c r="Q17" s="34"/>
      <c r="R17" s="38"/>
      <c r="U17" s="38"/>
    </row>
    <row r="18" spans="1:21" ht="15" customHeight="1" x14ac:dyDescent="0.35">
      <c r="A18" s="51">
        <v>44105</v>
      </c>
      <c r="B18" s="44">
        <v>4767.2</v>
      </c>
      <c r="C18" s="44">
        <v>615.6</v>
      </c>
      <c r="D18" s="44">
        <v>71.599999999999994</v>
      </c>
      <c r="E18" s="44">
        <v>464</v>
      </c>
      <c r="F18" s="45">
        <v>147069</v>
      </c>
      <c r="G18" s="44">
        <v>20.6</v>
      </c>
      <c r="H18" s="44">
        <v>25.3</v>
      </c>
      <c r="I18" s="58">
        <v>27.2</v>
      </c>
      <c r="J18" s="61">
        <v>43</v>
      </c>
      <c r="K18" s="45">
        <v>76481</v>
      </c>
      <c r="L18" s="44">
        <v>29.9</v>
      </c>
      <c r="M18" s="44">
        <v>5.2</v>
      </c>
      <c r="N18" s="44">
        <v>1284</v>
      </c>
      <c r="O18" s="44">
        <v>156.6</v>
      </c>
      <c r="P18" s="44">
        <v>35.6</v>
      </c>
      <c r="Q18" s="34"/>
      <c r="R18" s="38"/>
      <c r="U18" s="38"/>
    </row>
    <row r="19" spans="1:21" x14ac:dyDescent="0.35">
      <c r="A19" s="51">
        <v>44106</v>
      </c>
      <c r="B19" s="44">
        <v>3193.9</v>
      </c>
      <c r="C19" s="44">
        <v>402.6</v>
      </c>
      <c r="D19" s="44">
        <v>46.9</v>
      </c>
      <c r="E19" s="44">
        <v>225.4</v>
      </c>
      <c r="F19" s="45">
        <v>61165</v>
      </c>
      <c r="G19" s="44">
        <v>15.2</v>
      </c>
      <c r="H19" s="44">
        <v>15.7</v>
      </c>
      <c r="I19" s="58">
        <v>27.8</v>
      </c>
      <c r="J19" s="61">
        <v>49.4</v>
      </c>
      <c r="K19" s="45">
        <v>73257</v>
      </c>
      <c r="L19" s="44">
        <v>33.799999999999997</v>
      </c>
      <c r="M19" s="44">
        <v>4.3</v>
      </c>
      <c r="N19" s="44">
        <v>921.4</v>
      </c>
      <c r="O19" s="44">
        <v>147.6</v>
      </c>
      <c r="P19" s="44">
        <v>34.299999999999997</v>
      </c>
      <c r="Q19" s="34"/>
      <c r="R19" s="38"/>
      <c r="U19" s="38"/>
    </row>
    <row r="20" spans="1:21" x14ac:dyDescent="0.35">
      <c r="A20" s="51">
        <v>44107</v>
      </c>
      <c r="B20" s="44">
        <v>1549.8</v>
      </c>
      <c r="C20" s="44">
        <v>664.5</v>
      </c>
      <c r="D20" s="44">
        <v>71.099999999999994</v>
      </c>
      <c r="E20" s="44">
        <v>193.8</v>
      </c>
      <c r="F20" s="45">
        <v>60064</v>
      </c>
      <c r="G20" s="44">
        <v>23.7</v>
      </c>
      <c r="H20" s="44">
        <v>8.4</v>
      </c>
      <c r="I20" s="58">
        <v>26.3</v>
      </c>
      <c r="J20" s="61">
        <v>45.3</v>
      </c>
      <c r="K20" s="45">
        <v>69970</v>
      </c>
      <c r="L20" s="44">
        <v>32.799999999999997</v>
      </c>
      <c r="M20" s="44">
        <v>4.4000000000000004</v>
      </c>
      <c r="N20" s="44">
        <v>988.2</v>
      </c>
      <c r="O20" s="44">
        <v>146.4</v>
      </c>
      <c r="P20" s="44">
        <v>35.299999999999997</v>
      </c>
      <c r="Q20" s="34"/>
      <c r="R20" s="38"/>
      <c r="U20" s="38"/>
    </row>
    <row r="21" spans="1:21" x14ac:dyDescent="0.35">
      <c r="A21" s="35"/>
      <c r="B21" s="78"/>
      <c r="C21" s="78"/>
      <c r="D21" s="78"/>
      <c r="E21" s="78"/>
      <c r="F21" s="37"/>
      <c r="G21" s="78"/>
      <c r="H21" s="78"/>
      <c r="I21" s="78"/>
      <c r="J21" s="78"/>
      <c r="K21" s="37"/>
      <c r="L21" s="78"/>
      <c r="M21" s="78"/>
      <c r="N21" s="78"/>
      <c r="O21" s="78"/>
      <c r="P21" s="78"/>
      <c r="Q21" s="34"/>
      <c r="R21" s="38"/>
    </row>
    <row r="22" spans="1:21" x14ac:dyDescent="0.35">
      <c r="A22" s="35" t="s">
        <v>3</v>
      </c>
      <c r="B22" s="48">
        <v>1641.0714285714287</v>
      </c>
      <c r="C22" s="48">
        <v>828.8</v>
      </c>
      <c r="D22" s="48">
        <v>65.642857142857153</v>
      </c>
      <c r="E22" s="48">
        <v>225.75714285714284</v>
      </c>
      <c r="F22" s="48">
        <v>80956.428571428565</v>
      </c>
      <c r="G22" s="48">
        <v>25.028571428571428</v>
      </c>
      <c r="H22" s="48">
        <v>10.042857142857143</v>
      </c>
      <c r="I22" s="62">
        <v>29.5</v>
      </c>
      <c r="J22" s="64">
        <v>40.328571428571429</v>
      </c>
      <c r="K22" s="48">
        <v>101533.42857142857</v>
      </c>
      <c r="L22" s="48">
        <v>29.614285714285717</v>
      </c>
      <c r="M22" s="48">
        <v>7.6000000000000014</v>
      </c>
      <c r="N22" s="48">
        <v>1688.6571428571428</v>
      </c>
      <c r="O22" s="48">
        <v>224.02857142857144</v>
      </c>
      <c r="P22" s="48">
        <v>36.457142857142863</v>
      </c>
      <c r="Q22" s="34"/>
    </row>
    <row r="23" spans="1:21" x14ac:dyDescent="0.35">
      <c r="A23" s="35" t="s">
        <v>4</v>
      </c>
      <c r="B23" s="48">
        <f t="shared" ref="B23:N23" si="3">IFERROR(AVERAGE(B14:B20),"")</f>
        <v>2380.6142857142854</v>
      </c>
      <c r="C23" s="48">
        <f>IFERROR(AVERAGE(C14:C20),"")</f>
        <v>566.02857142857135</v>
      </c>
      <c r="D23" s="48">
        <f>IFERROR(AVERAGE(D14:D20),"")</f>
        <v>63.585714285714289</v>
      </c>
      <c r="E23" s="48">
        <f>IFERROR(AVERAGE(E14:E20),"")</f>
        <v>275.51428571428573</v>
      </c>
      <c r="F23" s="48">
        <f t="shared" si="3"/>
        <v>75987.142857142855</v>
      </c>
      <c r="G23" s="48">
        <f t="shared" si="3"/>
        <v>22.499999999999996</v>
      </c>
      <c r="H23" s="48">
        <f t="shared" si="3"/>
        <v>13.900000000000002</v>
      </c>
      <c r="I23" s="62">
        <f t="shared" si="3"/>
        <v>27.257142857142863</v>
      </c>
      <c r="J23" s="64">
        <f>IFERROR(AVERAGE(J14:J20),"")</f>
        <v>43.857142857142854</v>
      </c>
      <c r="K23" s="48">
        <f>IFERROR(AVERAGE(K14:K20),"")</f>
        <v>77292.28571428571</v>
      </c>
      <c r="L23" s="48">
        <f>IFERROR(AVERAGE(L14:L20),"")</f>
        <v>31.642857142857142</v>
      </c>
      <c r="M23" s="48">
        <f>IFERROR(AVERAGE(M14:M20),"")</f>
        <v>5.2714285714285714</v>
      </c>
      <c r="N23" s="48">
        <f t="shared" si="3"/>
        <v>1143.6428571428571</v>
      </c>
      <c r="O23" s="48">
        <f>IFERROR(AVERAGE(O14:O20),"")</f>
        <v>167.08571428571432</v>
      </c>
      <c r="P23" s="48">
        <f>IFERROR(AVERAGE(P14:P20),"")</f>
        <v>34</v>
      </c>
      <c r="Q23" s="34"/>
    </row>
    <row r="24" spans="1:21" x14ac:dyDescent="0.35">
      <c r="A24" s="35" t="s">
        <v>5</v>
      </c>
      <c r="B24" s="41">
        <f t="shared" ref="B24:P24" si="4">IFERROR(-(B22-B23)/B22,"")</f>
        <v>0.45064635473340559</v>
      </c>
      <c r="C24" s="41">
        <f t="shared" si="4"/>
        <v>-0.31705046883618315</v>
      </c>
      <c r="D24" s="41">
        <f t="shared" si="4"/>
        <v>-3.1338411316648634E-2</v>
      </c>
      <c r="E24" s="41">
        <f t="shared" si="4"/>
        <v>0.22040118964753547</v>
      </c>
      <c r="F24" s="41">
        <f t="shared" si="4"/>
        <v>-6.1382225006396694E-2</v>
      </c>
      <c r="G24" s="41">
        <f t="shared" si="4"/>
        <v>-0.10102739726027411</v>
      </c>
      <c r="H24" s="41">
        <f t="shared" si="4"/>
        <v>0.38406827880512112</v>
      </c>
      <c r="I24" s="63">
        <f t="shared" si="4"/>
        <v>-7.6029055690072428E-2</v>
      </c>
      <c r="J24" s="65">
        <f t="shared" si="4"/>
        <v>8.7495572086432785E-2</v>
      </c>
      <c r="K24" s="41">
        <f t="shared" si="4"/>
        <v>-0.23875036230150801</v>
      </c>
      <c r="L24" s="41">
        <f t="shared" si="4"/>
        <v>6.8499758803666058E-2</v>
      </c>
      <c r="M24" s="41">
        <f t="shared" si="4"/>
        <v>-0.30639097744360916</v>
      </c>
      <c r="N24" s="41">
        <f t="shared" si="4"/>
        <v>-0.32275011420740063</v>
      </c>
      <c r="O24" s="41">
        <f t="shared" si="4"/>
        <v>-0.25417676316796317</v>
      </c>
      <c r="P24" s="41">
        <f t="shared" si="4"/>
        <v>-6.7398119122257197E-2</v>
      </c>
    </row>
    <row r="25" spans="1:21" x14ac:dyDescent="0.35">
      <c r="B25" s="73" t="s">
        <v>28</v>
      </c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</row>
    <row r="26" spans="1:21" x14ac:dyDescent="0.35"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1595.4666666666665</v>
      </c>
      <c r="C30" s="40">
        <f t="shared" si="5"/>
        <v>628.5</v>
      </c>
      <c r="D30" s="40">
        <f t="shared" si="5"/>
        <v>65.333333333333329</v>
      </c>
      <c r="E30" s="40">
        <f t="shared" si="5"/>
        <v>263.73333333333335</v>
      </c>
      <c r="F30" s="40">
        <f t="shared" si="5"/>
        <v>66511.333333333328</v>
      </c>
      <c r="G30" s="40">
        <f t="shared" si="5"/>
        <v>26.666666666666668</v>
      </c>
      <c r="H30" s="40">
        <f t="shared" si="5"/>
        <v>10.666666666666666</v>
      </c>
      <c r="I30" s="53">
        <f t="shared" si="5"/>
        <v>26.100000000000005</v>
      </c>
      <c r="J30" s="55">
        <f t="shared" si="5"/>
        <v>41.1</v>
      </c>
      <c r="K30" s="40">
        <f t="shared" si="5"/>
        <v>80796.666666666672</v>
      </c>
      <c r="L30" s="40">
        <f t="shared" si="5"/>
        <v>30.2</v>
      </c>
      <c r="M30" s="40">
        <f t="shared" si="5"/>
        <v>6.0666666666666664</v>
      </c>
      <c r="N30" s="40">
        <f t="shared" si="5"/>
        <v>1088.3333333333333</v>
      </c>
      <c r="O30" s="40">
        <f t="shared" si="5"/>
        <v>182.13333333333333</v>
      </c>
      <c r="P30" s="40">
        <f t="shared" si="5"/>
        <v>33.133333333333333</v>
      </c>
      <c r="Q30" s="34"/>
    </row>
    <row r="31" spans="1:21" x14ac:dyDescent="0.35">
      <c r="A31" s="35" t="s">
        <v>2</v>
      </c>
      <c r="B31" s="40">
        <f>IFERROR(AVERAGE(B$37:B$40),"")</f>
        <v>2969.4749999999999</v>
      </c>
      <c r="C31" s="40">
        <f t="shared" ref="C31:P31" si="6">IFERROR(AVERAGE(C$37:C$40),"")</f>
        <v>519.17499999999995</v>
      </c>
      <c r="D31" s="40">
        <f t="shared" si="6"/>
        <v>62.274999999999999</v>
      </c>
      <c r="E31" s="40">
        <f t="shared" si="6"/>
        <v>284.35000000000002</v>
      </c>
      <c r="F31" s="40">
        <f t="shared" si="6"/>
        <v>83094</v>
      </c>
      <c r="G31" s="40">
        <f t="shared" si="6"/>
        <v>19.375</v>
      </c>
      <c r="H31" s="40">
        <f t="shared" si="6"/>
        <v>16.325000000000003</v>
      </c>
      <c r="I31" s="53">
        <f t="shared" si="6"/>
        <v>28.125</v>
      </c>
      <c r="J31" s="55">
        <f t="shared" si="6"/>
        <v>45.924999999999997</v>
      </c>
      <c r="K31" s="40">
        <f t="shared" si="6"/>
        <v>74664</v>
      </c>
      <c r="L31" s="40">
        <f t="shared" si="6"/>
        <v>32.724999999999994</v>
      </c>
      <c r="M31" s="40">
        <f t="shared" si="6"/>
        <v>4.6750000000000007</v>
      </c>
      <c r="N31" s="40">
        <f t="shared" si="6"/>
        <v>1185.125</v>
      </c>
      <c r="O31" s="40">
        <f t="shared" si="6"/>
        <v>155.79999999999998</v>
      </c>
      <c r="P31" s="40">
        <f t="shared" si="6"/>
        <v>34.65</v>
      </c>
      <c r="Q31" s="34"/>
    </row>
    <row r="32" spans="1:21" x14ac:dyDescent="0.35">
      <c r="A32" s="35" t="s">
        <v>27</v>
      </c>
      <c r="B32" s="48">
        <f t="shared" ref="B32:P32" si="7">IFERROR(ABS(B$31-B$30), "")</f>
        <v>1374.0083333333334</v>
      </c>
      <c r="C32" s="48">
        <f t="shared" si="7"/>
        <v>109.32500000000005</v>
      </c>
      <c r="D32" s="48">
        <f t="shared" si="7"/>
        <v>3.05833333333333</v>
      </c>
      <c r="E32" s="48">
        <f t="shared" si="7"/>
        <v>20.616666666666674</v>
      </c>
      <c r="F32" s="48">
        <f t="shared" si="7"/>
        <v>16582.666666666672</v>
      </c>
      <c r="G32" s="48">
        <f t="shared" si="7"/>
        <v>7.2916666666666679</v>
      </c>
      <c r="H32" s="48">
        <f t="shared" si="7"/>
        <v>5.6583333333333368</v>
      </c>
      <c r="I32" s="62">
        <f t="shared" si="7"/>
        <v>2.024999999999995</v>
      </c>
      <c r="J32" s="64">
        <f t="shared" si="7"/>
        <v>4.8249999999999957</v>
      </c>
      <c r="K32" s="48">
        <f t="shared" si="7"/>
        <v>6132.6666666666715</v>
      </c>
      <c r="L32" s="48">
        <f t="shared" si="7"/>
        <v>2.524999999999995</v>
      </c>
      <c r="M32" s="48">
        <f t="shared" si="7"/>
        <v>1.3916666666666657</v>
      </c>
      <c r="N32" s="48">
        <f t="shared" si="7"/>
        <v>96.791666666666742</v>
      </c>
      <c r="O32" s="48">
        <f t="shared" si="7"/>
        <v>26.333333333333343</v>
      </c>
      <c r="P32" s="48">
        <f t="shared" si="7"/>
        <v>1.5166666666666657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44101</v>
      </c>
      <c r="B34" s="42">
        <v>1650.1</v>
      </c>
      <c r="C34" s="42">
        <v>528.29999999999995</v>
      </c>
      <c r="D34" s="42">
        <v>55.1</v>
      </c>
      <c r="E34" s="42">
        <v>264.10000000000002</v>
      </c>
      <c r="F34" s="43">
        <v>58660</v>
      </c>
      <c r="G34" s="42">
        <v>24.4</v>
      </c>
      <c r="H34" s="42">
        <v>11</v>
      </c>
      <c r="I34" s="56">
        <v>25.8</v>
      </c>
      <c r="J34" s="59">
        <v>38.200000000000003</v>
      </c>
      <c r="K34" s="43">
        <v>85405</v>
      </c>
      <c r="L34" s="42">
        <v>28</v>
      </c>
      <c r="M34" s="42">
        <v>6.6</v>
      </c>
      <c r="N34" s="42">
        <v>1079.7</v>
      </c>
      <c r="O34" s="42">
        <v>181.4</v>
      </c>
      <c r="P34" s="42">
        <v>36.299999999999997</v>
      </c>
      <c r="Q34" s="34"/>
    </row>
    <row r="35" spans="1:18" x14ac:dyDescent="0.35">
      <c r="A35" s="51">
        <v>44102</v>
      </c>
      <c r="B35" s="42">
        <v>1749</v>
      </c>
      <c r="C35" s="42">
        <v>497.7</v>
      </c>
      <c r="D35" s="42">
        <v>74.599999999999994</v>
      </c>
      <c r="E35" s="42">
        <v>228.6</v>
      </c>
      <c r="F35" s="43">
        <v>52761</v>
      </c>
      <c r="G35" s="42">
        <v>24.8</v>
      </c>
      <c r="H35" s="42">
        <v>10.3</v>
      </c>
      <c r="I35" s="56">
        <v>23.6</v>
      </c>
      <c r="J35" s="59">
        <v>37.700000000000003</v>
      </c>
      <c r="K35" s="43">
        <v>78257</v>
      </c>
      <c r="L35" s="42">
        <v>29.1</v>
      </c>
      <c r="M35" s="42">
        <v>6</v>
      </c>
      <c r="N35" s="42">
        <v>1074.5999999999999</v>
      </c>
      <c r="O35" s="42">
        <v>176.1</v>
      </c>
      <c r="P35" s="42">
        <v>34</v>
      </c>
      <c r="Q35" s="34"/>
    </row>
    <row r="36" spans="1:18" x14ac:dyDescent="0.35">
      <c r="A36" s="51">
        <v>44103</v>
      </c>
      <c r="B36" s="42">
        <v>1387.3</v>
      </c>
      <c r="C36" s="42">
        <v>859.5</v>
      </c>
      <c r="D36" s="42">
        <v>66.3</v>
      </c>
      <c r="E36" s="42">
        <v>298.5</v>
      </c>
      <c r="F36" s="43">
        <v>88113</v>
      </c>
      <c r="G36" s="42">
        <v>30.8</v>
      </c>
      <c r="H36" s="42">
        <v>10.7</v>
      </c>
      <c r="I36" s="56">
        <v>28.9</v>
      </c>
      <c r="J36" s="59">
        <v>47.4</v>
      </c>
      <c r="K36" s="43">
        <v>78728</v>
      </c>
      <c r="L36" s="42">
        <v>33.5</v>
      </c>
      <c r="M36" s="42">
        <v>5.6</v>
      </c>
      <c r="N36" s="42">
        <v>1110.7</v>
      </c>
      <c r="O36" s="42">
        <v>188.9</v>
      </c>
      <c r="P36" s="42">
        <v>29.1</v>
      </c>
      <c r="Q36" s="34"/>
    </row>
    <row r="37" spans="1:18" x14ac:dyDescent="0.35">
      <c r="A37" s="51">
        <v>44104</v>
      </c>
      <c r="B37" s="46">
        <v>2367</v>
      </c>
      <c r="C37" s="46">
        <v>394</v>
      </c>
      <c r="D37" s="46">
        <v>59.5</v>
      </c>
      <c r="E37" s="46">
        <v>254.2</v>
      </c>
      <c r="F37" s="47">
        <v>64078</v>
      </c>
      <c r="G37" s="46">
        <v>18</v>
      </c>
      <c r="H37" s="46">
        <v>15.9</v>
      </c>
      <c r="I37" s="57">
        <v>31.2</v>
      </c>
      <c r="J37" s="60">
        <v>46</v>
      </c>
      <c r="K37" s="47">
        <v>78948</v>
      </c>
      <c r="L37" s="46">
        <v>34.4</v>
      </c>
      <c r="M37" s="46">
        <v>4.8</v>
      </c>
      <c r="N37" s="46">
        <v>1546.9</v>
      </c>
      <c r="O37" s="46">
        <v>172.6</v>
      </c>
      <c r="P37" s="46">
        <v>33.4</v>
      </c>
      <c r="Q37" s="34"/>
    </row>
    <row r="38" spans="1:18" x14ac:dyDescent="0.35">
      <c r="A38" s="51">
        <v>44105</v>
      </c>
      <c r="B38" s="44">
        <v>4767.2</v>
      </c>
      <c r="C38" s="44">
        <v>615.6</v>
      </c>
      <c r="D38" s="44">
        <v>71.599999999999994</v>
      </c>
      <c r="E38" s="44">
        <v>464</v>
      </c>
      <c r="F38" s="45">
        <v>147069</v>
      </c>
      <c r="G38" s="44">
        <v>20.6</v>
      </c>
      <c r="H38" s="44">
        <v>25.3</v>
      </c>
      <c r="I38" s="58">
        <v>27.2</v>
      </c>
      <c r="J38" s="61">
        <v>43</v>
      </c>
      <c r="K38" s="45">
        <v>76481</v>
      </c>
      <c r="L38" s="44">
        <v>29.9</v>
      </c>
      <c r="M38" s="44">
        <v>5.2</v>
      </c>
      <c r="N38" s="44">
        <v>1284</v>
      </c>
      <c r="O38" s="44">
        <v>156.6</v>
      </c>
      <c r="P38" s="44">
        <v>35.6</v>
      </c>
      <c r="Q38" s="34"/>
    </row>
    <row r="39" spans="1:18" x14ac:dyDescent="0.35">
      <c r="A39" s="51">
        <v>44106</v>
      </c>
      <c r="B39" s="44">
        <v>3193.9</v>
      </c>
      <c r="C39" s="44">
        <v>402.6</v>
      </c>
      <c r="D39" s="44">
        <v>46.9</v>
      </c>
      <c r="E39" s="44">
        <v>225.4</v>
      </c>
      <c r="F39" s="45">
        <v>61165</v>
      </c>
      <c r="G39" s="44">
        <v>15.2</v>
      </c>
      <c r="H39" s="44">
        <v>15.7</v>
      </c>
      <c r="I39" s="58">
        <v>27.8</v>
      </c>
      <c r="J39" s="61">
        <v>49.4</v>
      </c>
      <c r="K39" s="45">
        <v>73257</v>
      </c>
      <c r="L39" s="44">
        <v>33.799999999999997</v>
      </c>
      <c r="M39" s="44">
        <v>4.3</v>
      </c>
      <c r="N39" s="44">
        <v>921.4</v>
      </c>
      <c r="O39" s="44">
        <v>147.6</v>
      </c>
      <c r="P39" s="44">
        <v>34.299999999999997</v>
      </c>
      <c r="Q39" s="34"/>
    </row>
    <row r="40" spans="1:18" x14ac:dyDescent="0.35">
      <c r="A40" s="51">
        <v>44107</v>
      </c>
      <c r="B40" s="44">
        <v>1549.8</v>
      </c>
      <c r="C40" s="44">
        <v>664.5</v>
      </c>
      <c r="D40" s="44">
        <v>71.099999999999994</v>
      </c>
      <c r="E40" s="44">
        <v>193.8</v>
      </c>
      <c r="F40" s="45">
        <v>60064</v>
      </c>
      <c r="G40" s="44">
        <v>23.7</v>
      </c>
      <c r="H40" s="44">
        <v>8.4</v>
      </c>
      <c r="I40" s="58">
        <v>26.3</v>
      </c>
      <c r="J40" s="61">
        <v>45.3</v>
      </c>
      <c r="K40" s="45">
        <v>69970</v>
      </c>
      <c r="L40" s="44">
        <v>32.799999999999997</v>
      </c>
      <c r="M40" s="44">
        <v>4.4000000000000004</v>
      </c>
      <c r="N40" s="44">
        <v>988.2</v>
      </c>
      <c r="O40" s="44">
        <v>146.4</v>
      </c>
      <c r="P40" s="44">
        <v>35.299999999999997</v>
      </c>
      <c r="Q40" s="34"/>
    </row>
    <row r="41" spans="1:18" x14ac:dyDescent="0.35">
      <c r="A41" s="35"/>
      <c r="B41" s="78"/>
      <c r="C41" s="78"/>
      <c r="D41" s="78"/>
      <c r="E41" s="78"/>
      <c r="F41" s="37"/>
      <c r="G41" s="78"/>
      <c r="H41" s="78"/>
      <c r="I41" s="78"/>
      <c r="J41" s="78"/>
      <c r="K41" s="37"/>
      <c r="L41" s="78"/>
      <c r="M41" s="78"/>
      <c r="N41" s="78"/>
      <c r="O41" s="78"/>
      <c r="P41" s="78"/>
      <c r="Q41" s="34"/>
    </row>
    <row r="42" spans="1:18" x14ac:dyDescent="0.35">
      <c r="A42" s="35" t="s">
        <v>3</v>
      </c>
      <c r="B42" s="48">
        <v>1641.0714285714287</v>
      </c>
      <c r="C42" s="48">
        <v>828.8</v>
      </c>
      <c r="D42" s="48">
        <v>65.642857142857153</v>
      </c>
      <c r="E42" s="48">
        <v>225.75714285714284</v>
      </c>
      <c r="F42" s="48">
        <v>80956.428571428565</v>
      </c>
      <c r="G42" s="48">
        <v>25.028571428571428</v>
      </c>
      <c r="H42" s="48">
        <v>10.042857142857143</v>
      </c>
      <c r="I42" s="62">
        <v>29.5</v>
      </c>
      <c r="J42" s="64">
        <v>40.328571428571429</v>
      </c>
      <c r="K42" s="48">
        <v>101533.42857142857</v>
      </c>
      <c r="L42" s="48">
        <v>29.614285714285717</v>
      </c>
      <c r="M42" s="48">
        <v>7.6000000000000014</v>
      </c>
      <c r="N42" s="48">
        <v>1688.6571428571428</v>
      </c>
      <c r="O42" s="48">
        <v>224.02857142857144</v>
      </c>
      <c r="P42" s="48">
        <v>36.457142857142863</v>
      </c>
      <c r="Q42" s="34"/>
    </row>
    <row r="43" spans="1:18" x14ac:dyDescent="0.35">
      <c r="A43" s="35" t="s">
        <v>4</v>
      </c>
      <c r="B43" s="48">
        <f>IFERROR(AVERAGE(B34:B40),"")</f>
        <v>2380.6142857142854</v>
      </c>
      <c r="C43" s="48">
        <f>IFERROR(AVERAGE(C34:C40),"")</f>
        <v>566.02857142857135</v>
      </c>
      <c r="D43" s="48">
        <f>IFERROR(AVERAGE(D34:D40),"")</f>
        <v>63.585714285714289</v>
      </c>
      <c r="E43" s="48">
        <f>IFERROR(AVERAGE(E34:E40),"")</f>
        <v>275.51428571428573</v>
      </c>
      <c r="F43" s="48">
        <f t="shared" ref="F43:N43" si="8">IFERROR(AVERAGE(F34:F40),"")</f>
        <v>75987.142857142855</v>
      </c>
      <c r="G43" s="48">
        <f t="shared" si="8"/>
        <v>22.499999999999996</v>
      </c>
      <c r="H43" s="48">
        <f t="shared" si="8"/>
        <v>13.900000000000002</v>
      </c>
      <c r="I43" s="62">
        <f t="shared" si="8"/>
        <v>27.257142857142863</v>
      </c>
      <c r="J43" s="64">
        <f>IFERROR(AVERAGE(J34:J40),"")</f>
        <v>43.857142857142854</v>
      </c>
      <c r="K43" s="48">
        <f>IFERROR(AVERAGE(K34:K40),"")</f>
        <v>77292.28571428571</v>
      </c>
      <c r="L43" s="48">
        <f>IFERROR(AVERAGE(L34:L40),"")</f>
        <v>31.642857142857142</v>
      </c>
      <c r="M43" s="48">
        <f>IFERROR(AVERAGE(M34:M40),"")</f>
        <v>5.2714285714285714</v>
      </c>
      <c r="N43" s="48">
        <f t="shared" si="8"/>
        <v>1143.6428571428571</v>
      </c>
      <c r="O43" s="48">
        <f>IFERROR(AVERAGE(O34:O40),"")</f>
        <v>167.08571428571432</v>
      </c>
      <c r="P43" s="48">
        <f>IFERROR(AVERAGE(P34:P40),"")</f>
        <v>34</v>
      </c>
      <c r="Q43" s="34"/>
    </row>
    <row r="44" spans="1:18" x14ac:dyDescent="0.35">
      <c r="A44" s="35" t="s">
        <v>5</v>
      </c>
      <c r="B44" s="41">
        <f>IFERROR((B43-B42)/B42,"")</f>
        <v>0.45064635473340559</v>
      </c>
      <c r="C44" s="41">
        <f t="shared" ref="C44:P44" si="9">IFERROR(-(C42-C43)/C42,"")</f>
        <v>-0.31705046883618315</v>
      </c>
      <c r="D44" s="41">
        <f t="shared" si="9"/>
        <v>-3.1338411316648634E-2</v>
      </c>
      <c r="E44" s="41">
        <f t="shared" si="9"/>
        <v>0.22040118964753547</v>
      </c>
      <c r="F44" s="41">
        <f t="shared" si="9"/>
        <v>-6.1382225006396694E-2</v>
      </c>
      <c r="G44" s="41">
        <f t="shared" si="9"/>
        <v>-0.10102739726027411</v>
      </c>
      <c r="H44" s="41">
        <f t="shared" si="9"/>
        <v>0.38406827880512112</v>
      </c>
      <c r="I44" s="63">
        <f t="shared" si="9"/>
        <v>-7.6029055690072428E-2</v>
      </c>
      <c r="J44" s="65">
        <f t="shared" si="9"/>
        <v>8.7495572086432785E-2</v>
      </c>
      <c r="K44" s="41">
        <f t="shared" si="9"/>
        <v>-0.23875036230150801</v>
      </c>
      <c r="L44" s="41">
        <f t="shared" si="9"/>
        <v>6.8499758803666058E-2</v>
      </c>
      <c r="M44" s="41">
        <f t="shared" si="9"/>
        <v>-0.30639097744360916</v>
      </c>
      <c r="N44" s="41">
        <f t="shared" si="9"/>
        <v>-0.32275011420740063</v>
      </c>
      <c r="O44" s="41">
        <f t="shared" si="9"/>
        <v>-0.25417676316796317</v>
      </c>
      <c r="P44" s="41">
        <f t="shared" si="9"/>
        <v>-6.7398119122257197E-2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W45"/>
  <sheetViews>
    <sheetView tabSelected="1" zoomScale="80" zoomScaleNormal="80" workbookViewId="0">
      <selection activeCell="R13" sqref="R13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6.36328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B1" s="79" t="s">
        <v>33</v>
      </c>
      <c r="S1" s="99"/>
      <c r="T1" s="99"/>
      <c r="U1" s="99"/>
      <c r="V1" s="99"/>
    </row>
    <row r="2" spans="1:23" x14ac:dyDescent="0.35">
      <c r="A2" s="82" t="s">
        <v>34</v>
      </c>
      <c r="B2" s="80">
        <v>44101</v>
      </c>
    </row>
    <row r="3" spans="1:23" ht="16" x14ac:dyDescent="0.4">
      <c r="A3" s="83" t="s">
        <v>32</v>
      </c>
      <c r="B3" s="81" t="s">
        <v>31</v>
      </c>
      <c r="Q3" s="74" t="s">
        <v>30</v>
      </c>
    </row>
    <row r="5" spans="1:23" x14ac:dyDescent="0.35">
      <c r="B5" s="100"/>
      <c r="C5" s="100"/>
      <c r="D5" s="100"/>
      <c r="G5" s="33" t="s">
        <v>626</v>
      </c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1788.35</v>
      </c>
      <c r="C10" s="40">
        <f t="shared" ref="C10:P10" si="0">IFERROR(AVERAGE(C$14:C$17),"")</f>
        <v>569.875</v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>
        <f t="shared" si="0"/>
        <v>24.5</v>
      </c>
      <c r="H10" s="40">
        <f t="shared" si="0"/>
        <v>11.975</v>
      </c>
      <c r="I10" s="53" t="str">
        <f t="shared" si="0"/>
        <v/>
      </c>
      <c r="J10" s="55">
        <f t="shared" si="0"/>
        <v>42.325000000000003</v>
      </c>
      <c r="K10" s="40">
        <f t="shared" si="0"/>
        <v>80334.5</v>
      </c>
      <c r="L10" s="40">
        <f t="shared" si="0"/>
        <v>31.25</v>
      </c>
      <c r="M10" s="40">
        <f t="shared" si="0"/>
        <v>5.75</v>
      </c>
      <c r="N10" s="40">
        <f t="shared" si="0"/>
        <v>1202.9749999999999</v>
      </c>
      <c r="O10" s="40">
        <f t="shared" si="0"/>
        <v>179.75</v>
      </c>
      <c r="P10" s="40" t="str">
        <f t="shared" si="0"/>
        <v/>
      </c>
      <c r="Q10" s="34"/>
      <c r="R10" s="34"/>
    </row>
    <row r="11" spans="1:23" x14ac:dyDescent="0.35">
      <c r="A11" s="35" t="s">
        <v>2</v>
      </c>
      <c r="B11" s="40" t="str">
        <f t="shared" ref="B11:P11" si="1">IFERROR(AVERAGE(B$18:B$20),"")</f>
        <v/>
      </c>
      <c r="C11" s="40" t="str">
        <f t="shared" si="1"/>
        <v/>
      </c>
      <c r="D11" s="40" t="str">
        <f t="shared" si="1"/>
        <v/>
      </c>
      <c r="E11" s="40" t="str">
        <f t="shared" si="1"/>
        <v/>
      </c>
      <c r="F11" s="40" t="str">
        <f t="shared" si="1"/>
        <v/>
      </c>
      <c r="G11" s="40" t="str">
        <f t="shared" si="1"/>
        <v/>
      </c>
      <c r="H11" s="40" t="str">
        <f t="shared" si="1"/>
        <v/>
      </c>
      <c r="I11" s="53" t="str">
        <f t="shared" si="1"/>
        <v/>
      </c>
      <c r="J11" s="55" t="str">
        <f t="shared" si="1"/>
        <v/>
      </c>
      <c r="K11" s="40" t="str">
        <f t="shared" si="1"/>
        <v/>
      </c>
      <c r="L11" s="40" t="str">
        <f t="shared" si="1"/>
        <v/>
      </c>
      <c r="M11" s="40" t="str">
        <f t="shared" si="1"/>
        <v/>
      </c>
      <c r="N11" s="40" t="str">
        <f t="shared" si="1"/>
        <v/>
      </c>
      <c r="O11" s="40" t="str">
        <f t="shared" si="1"/>
        <v/>
      </c>
      <c r="P11" s="40" t="str">
        <f t="shared" si="1"/>
        <v/>
      </c>
      <c r="Q11" s="34"/>
      <c r="R11" s="36"/>
      <c r="S11" s="70"/>
    </row>
    <row r="12" spans="1:23" x14ac:dyDescent="0.35">
      <c r="A12" s="35" t="s">
        <v>27</v>
      </c>
      <c r="B12" s="48" t="str">
        <f t="shared" ref="B12:P12" si="2">IFERROR(ABS(B$10-B$11), "")</f>
        <v/>
      </c>
      <c r="C12" s="48" t="str">
        <f t="shared" si="2"/>
        <v/>
      </c>
      <c r="D12" s="48" t="str">
        <f t="shared" si="2"/>
        <v/>
      </c>
      <c r="E12" s="48" t="str">
        <f t="shared" si="2"/>
        <v/>
      </c>
      <c r="F12" s="48" t="str">
        <f t="shared" si="2"/>
        <v/>
      </c>
      <c r="G12" s="48" t="str">
        <f t="shared" si="2"/>
        <v/>
      </c>
      <c r="H12" s="48" t="str">
        <f t="shared" si="2"/>
        <v/>
      </c>
      <c r="I12" s="62" t="str">
        <f t="shared" si="2"/>
        <v/>
      </c>
      <c r="J12" s="64" t="str">
        <f t="shared" si="2"/>
        <v/>
      </c>
      <c r="K12" s="48" t="str">
        <f t="shared" si="2"/>
        <v/>
      </c>
      <c r="L12" s="48" t="str">
        <f t="shared" si="2"/>
        <v/>
      </c>
      <c r="M12" s="48" t="str">
        <f t="shared" si="2"/>
        <v/>
      </c>
      <c r="N12" s="48" t="str">
        <f t="shared" si="2"/>
        <v/>
      </c>
      <c r="O12" s="48" t="str">
        <f t="shared" si="2"/>
        <v/>
      </c>
      <c r="P12" s="48" t="str">
        <f t="shared" si="2"/>
        <v/>
      </c>
      <c r="Q12" s="69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f>B2</f>
        <v>44101</v>
      </c>
      <c r="B14" s="42">
        <v>1650.1</v>
      </c>
      <c r="C14" s="42">
        <v>528.29999999999995</v>
      </c>
      <c r="D14" s="42">
        <v>55.1</v>
      </c>
      <c r="E14" s="42">
        <v>264.10000000000002</v>
      </c>
      <c r="F14" s="43">
        <v>58660</v>
      </c>
      <c r="G14" s="42">
        <v>24.4</v>
      </c>
      <c r="H14" s="42">
        <v>11</v>
      </c>
      <c r="I14" s="56"/>
      <c r="J14" s="59">
        <v>38.200000000000003</v>
      </c>
      <c r="K14" s="43">
        <v>85405</v>
      </c>
      <c r="L14" s="42">
        <v>28</v>
      </c>
      <c r="M14" s="42">
        <v>6.6</v>
      </c>
      <c r="N14" s="42">
        <v>1079.7</v>
      </c>
      <c r="O14" s="42">
        <v>181.4</v>
      </c>
      <c r="P14" s="42"/>
      <c r="Q14" s="34"/>
      <c r="U14" s="38"/>
    </row>
    <row r="15" spans="1:23" x14ac:dyDescent="0.35">
      <c r="A15" s="51">
        <f t="shared" ref="A15:A20" si="3">A14+1</f>
        <v>44102</v>
      </c>
      <c r="B15" s="42">
        <v>1749</v>
      </c>
      <c r="C15" s="42">
        <v>497.7</v>
      </c>
      <c r="D15" s="42">
        <v>74.599999999999994</v>
      </c>
      <c r="E15" s="42">
        <v>228.6</v>
      </c>
      <c r="F15" s="43">
        <v>52761</v>
      </c>
      <c r="G15" s="42">
        <v>24.8</v>
      </c>
      <c r="H15" s="42">
        <v>10.3</v>
      </c>
      <c r="I15" s="56"/>
      <c r="J15" s="59">
        <v>37.700000000000003</v>
      </c>
      <c r="K15" s="43">
        <v>78257</v>
      </c>
      <c r="L15" s="42">
        <v>29.1</v>
      </c>
      <c r="M15" s="42">
        <v>6</v>
      </c>
      <c r="N15" s="42">
        <v>1074.5999999999999</v>
      </c>
      <c r="O15" s="42">
        <v>176.1</v>
      </c>
      <c r="P15" s="42"/>
      <c r="Q15" s="34"/>
      <c r="R15" s="38"/>
      <c r="U15" s="38"/>
    </row>
    <row r="16" spans="1:23" x14ac:dyDescent="0.35">
      <c r="A16" s="51">
        <f t="shared" si="3"/>
        <v>44103</v>
      </c>
      <c r="B16" s="42">
        <v>1387.3</v>
      </c>
      <c r="C16" s="42">
        <v>859.5</v>
      </c>
      <c r="D16" s="42">
        <v>66.3</v>
      </c>
      <c r="E16" s="42">
        <v>298.5</v>
      </c>
      <c r="F16" s="43">
        <v>88113</v>
      </c>
      <c r="G16" s="42">
        <v>30.8</v>
      </c>
      <c r="H16" s="42">
        <v>10.7</v>
      </c>
      <c r="I16" s="56"/>
      <c r="J16" s="59">
        <v>47.4</v>
      </c>
      <c r="K16" s="43">
        <v>78728</v>
      </c>
      <c r="L16" s="42">
        <v>33.5</v>
      </c>
      <c r="M16" s="42">
        <v>5.6</v>
      </c>
      <c r="N16" s="42">
        <v>1110.7</v>
      </c>
      <c r="O16" s="42">
        <v>188.9</v>
      </c>
      <c r="P16" s="42"/>
      <c r="Q16" s="34"/>
      <c r="R16" s="38"/>
      <c r="U16" s="38"/>
    </row>
    <row r="17" spans="1:21" ht="15.75" customHeight="1" x14ac:dyDescent="0.35">
      <c r="A17" s="51">
        <f t="shared" si="3"/>
        <v>44104</v>
      </c>
      <c r="B17" s="46">
        <v>2367</v>
      </c>
      <c r="C17" s="46">
        <v>394</v>
      </c>
      <c r="D17" s="46">
        <v>59.5</v>
      </c>
      <c r="E17" s="46">
        <v>254.2</v>
      </c>
      <c r="F17" s="47">
        <v>64078</v>
      </c>
      <c r="G17" s="46">
        <v>18</v>
      </c>
      <c r="H17" s="46">
        <v>15.9</v>
      </c>
      <c r="I17" s="57"/>
      <c r="J17" s="60">
        <v>46</v>
      </c>
      <c r="K17" s="47">
        <v>78948</v>
      </c>
      <c r="L17" s="46">
        <v>34.4</v>
      </c>
      <c r="M17" s="46">
        <v>4.8</v>
      </c>
      <c r="N17" s="46">
        <v>1546.9</v>
      </c>
      <c r="O17" s="46">
        <v>172.6</v>
      </c>
      <c r="P17" s="46"/>
      <c r="Q17" s="34"/>
      <c r="R17" s="38"/>
      <c r="U17" s="38"/>
    </row>
    <row r="18" spans="1:21" ht="15" customHeight="1" x14ac:dyDescent="0.35">
      <c r="A18" s="51">
        <f t="shared" si="3"/>
        <v>44105</v>
      </c>
      <c r="B18" s="44"/>
      <c r="C18" s="44"/>
      <c r="D18" s="44"/>
      <c r="E18" s="44"/>
      <c r="F18" s="45"/>
      <c r="G18" s="44"/>
      <c r="H18" s="44"/>
      <c r="I18" s="58"/>
      <c r="J18" s="61"/>
      <c r="K18" s="45"/>
      <c r="L18" s="44"/>
      <c r="M18" s="44"/>
      <c r="N18" s="44"/>
      <c r="O18" s="44"/>
      <c r="P18" s="44"/>
      <c r="Q18" s="34"/>
      <c r="R18" s="38"/>
      <c r="U18" s="38"/>
    </row>
    <row r="19" spans="1:21" x14ac:dyDescent="0.35">
      <c r="A19" s="51">
        <f t="shared" si="3"/>
        <v>44106</v>
      </c>
      <c r="B19" s="44"/>
      <c r="C19" s="44"/>
      <c r="D19" s="44"/>
      <c r="E19" s="44"/>
      <c r="F19" s="45"/>
      <c r="G19" s="44"/>
      <c r="H19" s="44"/>
      <c r="I19" s="58"/>
      <c r="J19" s="61"/>
      <c r="K19" s="45"/>
      <c r="L19" s="44"/>
      <c r="M19" s="44"/>
      <c r="N19" s="44"/>
      <c r="O19" s="44"/>
      <c r="P19" s="44"/>
      <c r="Q19" s="34"/>
      <c r="R19" s="38"/>
      <c r="U19" s="38"/>
    </row>
    <row r="20" spans="1:21" x14ac:dyDescent="0.35">
      <c r="A20" s="51">
        <f t="shared" si="3"/>
        <v>44107</v>
      </c>
      <c r="B20" s="44"/>
      <c r="C20" s="44"/>
      <c r="D20" s="44"/>
      <c r="E20" s="44"/>
      <c r="F20" s="45"/>
      <c r="G20" s="44"/>
      <c r="H20" s="44"/>
      <c r="I20" s="58"/>
      <c r="J20" s="61"/>
      <c r="K20" s="45"/>
      <c r="L20" s="44"/>
      <c r="M20" s="44"/>
      <c r="N20" s="44"/>
      <c r="O20" s="44"/>
      <c r="P20" s="44"/>
      <c r="Q20" s="34"/>
      <c r="R20" s="38"/>
      <c r="U20" s="38"/>
    </row>
    <row r="21" spans="1:21" x14ac:dyDescent="0.35">
      <c r="A21" s="35"/>
      <c r="B21" s="69"/>
      <c r="C21" s="69"/>
      <c r="D21" s="69"/>
      <c r="E21" s="69"/>
      <c r="F21" s="37"/>
      <c r="G21" s="69"/>
      <c r="H21" s="69"/>
      <c r="I21" s="69"/>
      <c r="J21" s="69"/>
      <c r="K21" s="37"/>
      <c r="L21" s="69"/>
      <c r="M21" s="69"/>
      <c r="N21" s="69"/>
      <c r="O21" s="69"/>
      <c r="P21" s="69"/>
      <c r="Q21" s="34"/>
      <c r="R21" s="38"/>
    </row>
    <row r="22" spans="1:21" x14ac:dyDescent="0.35">
      <c r="A22" s="35" t="s">
        <v>3</v>
      </c>
      <c r="B22" s="48"/>
      <c r="C22" s="48"/>
      <c r="D22" s="48"/>
      <c r="E22" s="48"/>
      <c r="F22" s="48"/>
      <c r="G22" s="48"/>
      <c r="H22" s="48"/>
      <c r="I22" s="62"/>
      <c r="J22" s="64"/>
      <c r="K22" s="48"/>
      <c r="L22" s="48"/>
      <c r="M22" s="48"/>
      <c r="N22" s="48"/>
      <c r="O22" s="48"/>
      <c r="P22" s="48"/>
      <c r="Q22" s="34"/>
    </row>
    <row r="23" spans="1:21" x14ac:dyDescent="0.35">
      <c r="A23" s="35" t="s">
        <v>4</v>
      </c>
      <c r="B23" s="48">
        <f t="shared" ref="B23:N23" si="4">IFERROR(AVERAGE(B14:B20),"")</f>
        <v>1788.35</v>
      </c>
      <c r="C23" s="48">
        <f>IFERROR(AVERAGE(C14:C20),"")</f>
        <v>569.875</v>
      </c>
      <c r="D23" s="48">
        <f>IFERROR(AVERAGE(D14:D20),"")</f>
        <v>63.875</v>
      </c>
      <c r="E23" s="48">
        <f>IFERROR(AVERAGE(E14:E20),"")</f>
        <v>261.35000000000002</v>
      </c>
      <c r="F23" s="48">
        <f t="shared" si="4"/>
        <v>65903</v>
      </c>
      <c r="G23" s="48">
        <f t="shared" si="4"/>
        <v>24.5</v>
      </c>
      <c r="H23" s="48">
        <f t="shared" si="4"/>
        <v>11.975</v>
      </c>
      <c r="I23" s="62" t="str">
        <f t="shared" si="4"/>
        <v/>
      </c>
      <c r="J23" s="64">
        <f>IFERROR(AVERAGE(J14:J20),"")</f>
        <v>42.325000000000003</v>
      </c>
      <c r="K23" s="48">
        <f>IFERROR(AVERAGE(K14:K20),"")</f>
        <v>80334.5</v>
      </c>
      <c r="L23" s="48">
        <f>IFERROR(AVERAGE(L14:L20),"")</f>
        <v>31.25</v>
      </c>
      <c r="M23" s="48">
        <f>IFERROR(AVERAGE(M14:M20),"")</f>
        <v>5.75</v>
      </c>
      <c r="N23" s="48">
        <f t="shared" si="4"/>
        <v>1202.9749999999999</v>
      </c>
      <c r="O23" s="48">
        <f>IFERROR(AVERAGE(O14:O20),"")</f>
        <v>179.75</v>
      </c>
      <c r="P23" s="48" t="str">
        <f>IFERROR(AVERAGE(P14:P20),"")</f>
        <v/>
      </c>
      <c r="Q23" s="34"/>
    </row>
    <row r="24" spans="1:21" x14ac:dyDescent="0.35">
      <c r="A24" s="35" t="s">
        <v>5</v>
      </c>
      <c r="B24" s="41" t="str">
        <f t="shared" ref="B24:P24" si="5">IFERROR(-(B22-B23)/B22,"")</f>
        <v/>
      </c>
      <c r="C24" s="41" t="str">
        <f t="shared" si="5"/>
        <v/>
      </c>
      <c r="D24" s="41" t="str">
        <f t="shared" si="5"/>
        <v/>
      </c>
      <c r="E24" s="41" t="str">
        <f t="shared" si="5"/>
        <v/>
      </c>
      <c r="F24" s="41" t="str">
        <f t="shared" si="5"/>
        <v/>
      </c>
      <c r="G24" s="41" t="str">
        <f t="shared" si="5"/>
        <v/>
      </c>
      <c r="H24" s="41" t="str">
        <f t="shared" si="5"/>
        <v/>
      </c>
      <c r="I24" s="63" t="str">
        <f t="shared" si="5"/>
        <v/>
      </c>
      <c r="J24" s="65" t="str">
        <f t="shared" si="5"/>
        <v/>
      </c>
      <c r="K24" s="41" t="str">
        <f t="shared" si="5"/>
        <v/>
      </c>
      <c r="L24" s="41" t="str">
        <f t="shared" si="5"/>
        <v/>
      </c>
      <c r="M24" s="41" t="str">
        <f t="shared" si="5"/>
        <v/>
      </c>
      <c r="N24" s="41" t="str">
        <f t="shared" si="5"/>
        <v/>
      </c>
      <c r="O24" s="41" t="str">
        <f t="shared" si="5"/>
        <v/>
      </c>
      <c r="P24" s="41" t="str">
        <f t="shared" si="5"/>
        <v/>
      </c>
    </row>
    <row r="25" spans="1:21" x14ac:dyDescent="0.35">
      <c r="B25" s="73" t="s">
        <v>36</v>
      </c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</row>
    <row r="26" spans="1:21" x14ac:dyDescent="0.35"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6">IFERROR(AVERAGE(B$34:B$36),"")</f>
        <v>1595.4666666666665</v>
      </c>
      <c r="C30" s="40">
        <f t="shared" si="6"/>
        <v>628.5</v>
      </c>
      <c r="D30" s="40">
        <f t="shared" si="6"/>
        <v>65.333333333333329</v>
      </c>
      <c r="E30" s="40">
        <f t="shared" si="6"/>
        <v>263.73333333333335</v>
      </c>
      <c r="F30" s="40">
        <f t="shared" si="6"/>
        <v>66511.333333333328</v>
      </c>
      <c r="G30" s="40">
        <f t="shared" si="6"/>
        <v>26.666666666666668</v>
      </c>
      <c r="H30" s="40">
        <f t="shared" si="6"/>
        <v>10.666666666666666</v>
      </c>
      <c r="I30" s="53" t="str">
        <f t="shared" si="6"/>
        <v/>
      </c>
      <c r="J30" s="55">
        <f t="shared" si="6"/>
        <v>41.1</v>
      </c>
      <c r="K30" s="40">
        <f t="shared" si="6"/>
        <v>80796.666666666672</v>
      </c>
      <c r="L30" s="40">
        <f t="shared" si="6"/>
        <v>30.2</v>
      </c>
      <c r="M30" s="40">
        <f t="shared" si="6"/>
        <v>6.0666666666666664</v>
      </c>
      <c r="N30" s="40">
        <f t="shared" si="6"/>
        <v>1088.3333333333333</v>
      </c>
      <c r="O30" s="40">
        <f t="shared" si="6"/>
        <v>182.13333333333333</v>
      </c>
      <c r="P30" s="40" t="str">
        <f t="shared" si="6"/>
        <v/>
      </c>
      <c r="Q30" s="34"/>
    </row>
    <row r="31" spans="1:21" x14ac:dyDescent="0.35">
      <c r="A31" s="35" t="s">
        <v>2</v>
      </c>
      <c r="B31" s="40">
        <f>IFERROR(AVERAGE(B$37:B$40),"")</f>
        <v>2367</v>
      </c>
      <c r="C31" s="40">
        <f t="shared" ref="C31:P31" si="7">IFERROR(AVERAGE(C$37:C$40),"")</f>
        <v>394</v>
      </c>
      <c r="D31" s="40">
        <f t="shared" si="7"/>
        <v>59.5</v>
      </c>
      <c r="E31" s="40">
        <f t="shared" si="7"/>
        <v>254.2</v>
      </c>
      <c r="F31" s="40">
        <f t="shared" si="7"/>
        <v>64078</v>
      </c>
      <c r="G31" s="40">
        <f t="shared" si="7"/>
        <v>18</v>
      </c>
      <c r="H31" s="40">
        <f t="shared" si="7"/>
        <v>15.9</v>
      </c>
      <c r="I31" s="53" t="str">
        <f t="shared" si="7"/>
        <v/>
      </c>
      <c r="J31" s="55">
        <f t="shared" si="7"/>
        <v>46</v>
      </c>
      <c r="K31" s="40">
        <f t="shared" si="7"/>
        <v>78948</v>
      </c>
      <c r="L31" s="40">
        <f t="shared" si="7"/>
        <v>34.4</v>
      </c>
      <c r="M31" s="40">
        <f t="shared" si="7"/>
        <v>4.8</v>
      </c>
      <c r="N31" s="40">
        <f t="shared" si="7"/>
        <v>1546.9</v>
      </c>
      <c r="O31" s="40">
        <f t="shared" si="7"/>
        <v>172.6</v>
      </c>
      <c r="P31" s="40" t="str">
        <f t="shared" si="7"/>
        <v/>
      </c>
      <c r="Q31" s="34"/>
    </row>
    <row r="32" spans="1:21" x14ac:dyDescent="0.35">
      <c r="A32" s="35" t="s">
        <v>27</v>
      </c>
      <c r="B32" s="48">
        <f t="shared" ref="B32:P32" si="8">IFERROR(ABS(B$31-B$30), "")</f>
        <v>771.53333333333353</v>
      </c>
      <c r="C32" s="48">
        <f t="shared" si="8"/>
        <v>234.5</v>
      </c>
      <c r="D32" s="48">
        <f t="shared" si="8"/>
        <v>5.8333333333333286</v>
      </c>
      <c r="E32" s="48">
        <f t="shared" si="8"/>
        <v>9.5333333333333599</v>
      </c>
      <c r="F32" s="48">
        <f t="shared" si="8"/>
        <v>2433.3333333333285</v>
      </c>
      <c r="G32" s="48">
        <f t="shared" si="8"/>
        <v>8.6666666666666679</v>
      </c>
      <c r="H32" s="48">
        <f t="shared" si="8"/>
        <v>5.2333333333333343</v>
      </c>
      <c r="I32" s="62" t="str">
        <f t="shared" si="8"/>
        <v/>
      </c>
      <c r="J32" s="64">
        <f t="shared" si="8"/>
        <v>4.8999999999999986</v>
      </c>
      <c r="K32" s="48">
        <f t="shared" si="8"/>
        <v>1848.6666666666715</v>
      </c>
      <c r="L32" s="48">
        <f t="shared" si="8"/>
        <v>4.1999999999999993</v>
      </c>
      <c r="M32" s="48">
        <f t="shared" si="8"/>
        <v>1.2666666666666666</v>
      </c>
      <c r="N32" s="48">
        <f t="shared" si="8"/>
        <v>458.56666666666683</v>
      </c>
      <c r="O32" s="48">
        <f t="shared" si="8"/>
        <v>9.5333333333333314</v>
      </c>
      <c r="P32" s="48" t="str">
        <f t="shared" si="8"/>
        <v/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f t="shared" ref="A34:A40" si="9">A14</f>
        <v>44101</v>
      </c>
      <c r="B34" s="42">
        <f>IF(B14=0, "", B14)</f>
        <v>1650.1</v>
      </c>
      <c r="C34" s="42">
        <f>IF(C14=0, "", C14)</f>
        <v>528.29999999999995</v>
      </c>
      <c r="D34" s="42">
        <f t="shared" ref="D34:P34" si="10">IF(D14=0, "", D14)</f>
        <v>55.1</v>
      </c>
      <c r="E34" s="42">
        <f t="shared" si="10"/>
        <v>264.10000000000002</v>
      </c>
      <c r="F34" s="42">
        <f t="shared" si="10"/>
        <v>58660</v>
      </c>
      <c r="G34" s="42">
        <f t="shared" si="10"/>
        <v>24.4</v>
      </c>
      <c r="H34" s="42">
        <f t="shared" si="10"/>
        <v>11</v>
      </c>
      <c r="I34" s="42" t="str">
        <f t="shared" si="10"/>
        <v/>
      </c>
      <c r="J34" s="42">
        <f t="shared" si="10"/>
        <v>38.200000000000003</v>
      </c>
      <c r="K34" s="42">
        <f t="shared" si="10"/>
        <v>85405</v>
      </c>
      <c r="L34" s="42">
        <f t="shared" si="10"/>
        <v>28</v>
      </c>
      <c r="M34" s="42">
        <f t="shared" si="10"/>
        <v>6.6</v>
      </c>
      <c r="N34" s="42">
        <f t="shared" si="10"/>
        <v>1079.7</v>
      </c>
      <c r="O34" s="42">
        <f t="shared" si="10"/>
        <v>181.4</v>
      </c>
      <c r="P34" s="42" t="str">
        <f t="shared" si="10"/>
        <v/>
      </c>
      <c r="Q34" s="34"/>
    </row>
    <row r="35" spans="1:18" x14ac:dyDescent="0.35">
      <c r="A35" s="51">
        <f t="shared" si="9"/>
        <v>44102</v>
      </c>
      <c r="B35" s="42">
        <f>IF(B15=0, "", B15)</f>
        <v>1749</v>
      </c>
      <c r="C35" s="42">
        <f t="shared" ref="C35:P35" si="11">IF(C15=0, "", C15)</f>
        <v>497.7</v>
      </c>
      <c r="D35" s="42">
        <f t="shared" si="11"/>
        <v>74.599999999999994</v>
      </c>
      <c r="E35" s="42">
        <f t="shared" si="11"/>
        <v>228.6</v>
      </c>
      <c r="F35" s="42">
        <f t="shared" si="11"/>
        <v>52761</v>
      </c>
      <c r="G35" s="42">
        <f t="shared" si="11"/>
        <v>24.8</v>
      </c>
      <c r="H35" s="42">
        <f t="shared" si="11"/>
        <v>10.3</v>
      </c>
      <c r="I35" s="42" t="str">
        <f t="shared" si="11"/>
        <v/>
      </c>
      <c r="J35" s="42">
        <f t="shared" si="11"/>
        <v>37.700000000000003</v>
      </c>
      <c r="K35" s="42">
        <f t="shared" si="11"/>
        <v>78257</v>
      </c>
      <c r="L35" s="42">
        <f t="shared" si="11"/>
        <v>29.1</v>
      </c>
      <c r="M35" s="42">
        <f t="shared" si="11"/>
        <v>6</v>
      </c>
      <c r="N35" s="42">
        <f t="shared" si="11"/>
        <v>1074.5999999999999</v>
      </c>
      <c r="O35" s="42">
        <f t="shared" si="11"/>
        <v>176.1</v>
      </c>
      <c r="P35" s="42" t="str">
        <f t="shared" si="11"/>
        <v/>
      </c>
      <c r="Q35" s="34"/>
    </row>
    <row r="36" spans="1:18" x14ac:dyDescent="0.35">
      <c r="A36" s="51">
        <f t="shared" si="9"/>
        <v>44103</v>
      </c>
      <c r="B36" s="42">
        <f t="shared" ref="B36:P40" si="12">IF(B16=0, "", B16)</f>
        <v>1387.3</v>
      </c>
      <c r="C36" s="42">
        <f t="shared" si="12"/>
        <v>859.5</v>
      </c>
      <c r="D36" s="42">
        <f t="shared" si="12"/>
        <v>66.3</v>
      </c>
      <c r="E36" s="42">
        <f t="shared" si="12"/>
        <v>298.5</v>
      </c>
      <c r="F36" s="42">
        <f t="shared" si="12"/>
        <v>88113</v>
      </c>
      <c r="G36" s="42">
        <f t="shared" si="12"/>
        <v>30.8</v>
      </c>
      <c r="H36" s="42">
        <f t="shared" si="12"/>
        <v>10.7</v>
      </c>
      <c r="I36" s="42" t="str">
        <f t="shared" si="12"/>
        <v/>
      </c>
      <c r="J36" s="42">
        <f t="shared" si="12"/>
        <v>47.4</v>
      </c>
      <c r="K36" s="42">
        <f t="shared" si="12"/>
        <v>78728</v>
      </c>
      <c r="L36" s="42">
        <f t="shared" si="12"/>
        <v>33.5</v>
      </c>
      <c r="M36" s="42">
        <f t="shared" si="12"/>
        <v>5.6</v>
      </c>
      <c r="N36" s="42">
        <f t="shared" si="12"/>
        <v>1110.7</v>
      </c>
      <c r="O36" s="42">
        <f t="shared" si="12"/>
        <v>188.9</v>
      </c>
      <c r="P36" s="42" t="str">
        <f t="shared" si="12"/>
        <v/>
      </c>
      <c r="Q36" s="34"/>
    </row>
    <row r="37" spans="1:18" x14ac:dyDescent="0.35">
      <c r="A37" s="51">
        <f t="shared" si="9"/>
        <v>44104</v>
      </c>
      <c r="B37" s="84">
        <f t="shared" si="12"/>
        <v>2367</v>
      </c>
      <c r="C37" s="84">
        <f t="shared" si="12"/>
        <v>394</v>
      </c>
      <c r="D37" s="84">
        <f t="shared" si="12"/>
        <v>59.5</v>
      </c>
      <c r="E37" s="84">
        <f t="shared" si="12"/>
        <v>254.2</v>
      </c>
      <c r="F37" s="84">
        <f t="shared" si="12"/>
        <v>64078</v>
      </c>
      <c r="G37" s="84">
        <f t="shared" si="12"/>
        <v>18</v>
      </c>
      <c r="H37" s="84">
        <f t="shared" si="12"/>
        <v>15.9</v>
      </c>
      <c r="I37" s="84" t="str">
        <f t="shared" si="12"/>
        <v/>
      </c>
      <c r="J37" s="84">
        <f t="shared" si="12"/>
        <v>46</v>
      </c>
      <c r="K37" s="84">
        <f t="shared" si="12"/>
        <v>78948</v>
      </c>
      <c r="L37" s="84">
        <f t="shared" si="12"/>
        <v>34.4</v>
      </c>
      <c r="M37" s="84">
        <f t="shared" si="12"/>
        <v>4.8</v>
      </c>
      <c r="N37" s="84">
        <f t="shared" si="12"/>
        <v>1546.9</v>
      </c>
      <c r="O37" s="84">
        <f t="shared" si="12"/>
        <v>172.6</v>
      </c>
      <c r="P37" s="84" t="str">
        <f t="shared" si="12"/>
        <v/>
      </c>
      <c r="Q37" s="34"/>
    </row>
    <row r="38" spans="1:18" x14ac:dyDescent="0.35">
      <c r="A38" s="51">
        <f t="shared" si="9"/>
        <v>44105</v>
      </c>
      <c r="B38" s="44" t="str">
        <f t="shared" si="12"/>
        <v/>
      </c>
      <c r="C38" s="44" t="str">
        <f t="shared" si="12"/>
        <v/>
      </c>
      <c r="D38" s="44" t="str">
        <f t="shared" si="12"/>
        <v/>
      </c>
      <c r="E38" s="44" t="str">
        <f t="shared" si="12"/>
        <v/>
      </c>
      <c r="F38" s="44" t="str">
        <f t="shared" si="12"/>
        <v/>
      </c>
      <c r="G38" s="44" t="str">
        <f t="shared" si="12"/>
        <v/>
      </c>
      <c r="H38" s="44" t="str">
        <f t="shared" si="12"/>
        <v/>
      </c>
      <c r="I38" s="44" t="str">
        <f t="shared" si="12"/>
        <v/>
      </c>
      <c r="J38" s="44" t="str">
        <f t="shared" si="12"/>
        <v/>
      </c>
      <c r="K38" s="44" t="str">
        <f t="shared" si="12"/>
        <v/>
      </c>
      <c r="L38" s="44" t="str">
        <f t="shared" si="12"/>
        <v/>
      </c>
      <c r="M38" s="44" t="str">
        <f t="shared" si="12"/>
        <v/>
      </c>
      <c r="N38" s="44" t="str">
        <f t="shared" si="12"/>
        <v/>
      </c>
      <c r="O38" s="44" t="str">
        <f t="shared" si="12"/>
        <v/>
      </c>
      <c r="P38" s="44" t="str">
        <f t="shared" si="12"/>
        <v/>
      </c>
      <c r="Q38" s="34"/>
    </row>
    <row r="39" spans="1:18" x14ac:dyDescent="0.35">
      <c r="A39" s="51">
        <f t="shared" si="9"/>
        <v>44106</v>
      </c>
      <c r="B39" s="44" t="str">
        <f t="shared" si="12"/>
        <v/>
      </c>
      <c r="C39" s="44" t="str">
        <f t="shared" si="12"/>
        <v/>
      </c>
      <c r="D39" s="44" t="str">
        <f t="shared" si="12"/>
        <v/>
      </c>
      <c r="E39" s="44" t="str">
        <f t="shared" si="12"/>
        <v/>
      </c>
      <c r="F39" s="44" t="str">
        <f t="shared" si="12"/>
        <v/>
      </c>
      <c r="G39" s="44" t="str">
        <f t="shared" si="12"/>
        <v/>
      </c>
      <c r="H39" s="44" t="str">
        <f t="shared" si="12"/>
        <v/>
      </c>
      <c r="I39" s="44" t="str">
        <f t="shared" si="12"/>
        <v/>
      </c>
      <c r="J39" s="44" t="str">
        <f t="shared" si="12"/>
        <v/>
      </c>
      <c r="K39" s="44" t="str">
        <f t="shared" si="12"/>
        <v/>
      </c>
      <c r="L39" s="44" t="str">
        <f t="shared" si="12"/>
        <v/>
      </c>
      <c r="M39" s="44" t="str">
        <f t="shared" si="12"/>
        <v/>
      </c>
      <c r="N39" s="44" t="str">
        <f t="shared" si="12"/>
        <v/>
      </c>
      <c r="O39" s="44" t="str">
        <f t="shared" si="12"/>
        <v/>
      </c>
      <c r="P39" s="44" t="str">
        <f t="shared" si="12"/>
        <v/>
      </c>
      <c r="Q39" s="34"/>
    </row>
    <row r="40" spans="1:18" x14ac:dyDescent="0.35">
      <c r="A40" s="51">
        <f t="shared" si="9"/>
        <v>44107</v>
      </c>
      <c r="B40" s="44" t="str">
        <f t="shared" si="12"/>
        <v/>
      </c>
      <c r="C40" s="44" t="str">
        <f t="shared" si="12"/>
        <v/>
      </c>
      <c r="D40" s="44" t="str">
        <f t="shared" si="12"/>
        <v/>
      </c>
      <c r="E40" s="44" t="str">
        <f t="shared" si="12"/>
        <v/>
      </c>
      <c r="F40" s="44" t="str">
        <f t="shared" si="12"/>
        <v/>
      </c>
      <c r="G40" s="44" t="str">
        <f t="shared" si="12"/>
        <v/>
      </c>
      <c r="H40" s="44" t="str">
        <f t="shared" si="12"/>
        <v/>
      </c>
      <c r="I40" s="44" t="str">
        <f t="shared" si="12"/>
        <v/>
      </c>
      <c r="J40" s="44" t="str">
        <f t="shared" si="12"/>
        <v/>
      </c>
      <c r="K40" s="44" t="str">
        <f t="shared" si="12"/>
        <v/>
      </c>
      <c r="L40" s="44" t="str">
        <f t="shared" si="12"/>
        <v/>
      </c>
      <c r="M40" s="44" t="str">
        <f t="shared" si="12"/>
        <v/>
      </c>
      <c r="N40" s="44" t="str">
        <f t="shared" si="12"/>
        <v/>
      </c>
      <c r="O40" s="44" t="str">
        <f t="shared" si="12"/>
        <v/>
      </c>
      <c r="P40" s="44" t="str">
        <f t="shared" si="12"/>
        <v/>
      </c>
      <c r="Q40" s="34"/>
    </row>
    <row r="41" spans="1:18" x14ac:dyDescent="0.35">
      <c r="A41" s="35"/>
      <c r="B41" s="69"/>
      <c r="C41" s="69"/>
      <c r="D41" s="69"/>
      <c r="E41" s="69"/>
      <c r="F41" s="37"/>
      <c r="G41" s="69"/>
      <c r="H41" s="69"/>
      <c r="I41" s="69"/>
      <c r="J41" s="69"/>
      <c r="K41" s="37"/>
      <c r="L41" s="69"/>
      <c r="M41" s="69"/>
      <c r="N41" s="69"/>
      <c r="O41" s="69"/>
      <c r="P41" s="69"/>
      <c r="Q41" s="34"/>
    </row>
    <row r="42" spans="1:18" x14ac:dyDescent="0.35">
      <c r="A42" s="35" t="s">
        <v>3</v>
      </c>
      <c r="B42" s="48"/>
      <c r="C42" s="48"/>
      <c r="D42" s="48"/>
      <c r="E42" s="48"/>
      <c r="F42" s="48"/>
      <c r="G42" s="48"/>
      <c r="H42" s="48"/>
      <c r="I42" s="62"/>
      <c r="J42" s="64"/>
      <c r="K42" s="48"/>
      <c r="L42" s="48"/>
      <c r="M42" s="48"/>
      <c r="N42" s="48"/>
      <c r="O42" s="48"/>
      <c r="P42" s="48"/>
      <c r="Q42" s="34"/>
    </row>
    <row r="43" spans="1:18" x14ac:dyDescent="0.35">
      <c r="A43" s="35" t="s">
        <v>4</v>
      </c>
      <c r="B43" s="48">
        <f>IFERROR(AVERAGE(B34:B40),"")</f>
        <v>1788.35</v>
      </c>
      <c r="C43" s="48">
        <f>IFERROR(AVERAGE(C34:C40),"")</f>
        <v>569.875</v>
      </c>
      <c r="D43" s="48">
        <f>IFERROR(AVERAGE(D34:D40),"")</f>
        <v>63.875</v>
      </c>
      <c r="E43" s="48">
        <f>IFERROR(AVERAGE(E34:E40),"")</f>
        <v>261.35000000000002</v>
      </c>
      <c r="F43" s="48">
        <f t="shared" ref="F43:N43" si="13">IFERROR(AVERAGE(F34:F40),"")</f>
        <v>65903</v>
      </c>
      <c r="G43" s="48">
        <f t="shared" si="13"/>
        <v>24.5</v>
      </c>
      <c r="H43" s="48">
        <f t="shared" si="13"/>
        <v>11.975</v>
      </c>
      <c r="I43" s="62" t="str">
        <f t="shared" si="13"/>
        <v/>
      </c>
      <c r="J43" s="64">
        <f>IFERROR(AVERAGE(J34:J40),"")</f>
        <v>42.325000000000003</v>
      </c>
      <c r="K43" s="48">
        <f>IFERROR(AVERAGE(K34:K40),"")</f>
        <v>80334.5</v>
      </c>
      <c r="L43" s="48">
        <f>IFERROR(AVERAGE(L34:L40),"")</f>
        <v>31.25</v>
      </c>
      <c r="M43" s="48">
        <f>IFERROR(AVERAGE(M34:M40),"")</f>
        <v>5.75</v>
      </c>
      <c r="N43" s="48">
        <f t="shared" si="13"/>
        <v>1202.9749999999999</v>
      </c>
      <c r="O43" s="48">
        <f>IFERROR(AVERAGE(O34:O40),"")</f>
        <v>179.75</v>
      </c>
      <c r="P43" s="48" t="str">
        <f>IFERROR(AVERAGE(P34:P40),"")</f>
        <v/>
      </c>
      <c r="Q43" s="34"/>
    </row>
    <row r="44" spans="1:18" x14ac:dyDescent="0.35">
      <c r="A44" s="35" t="s">
        <v>5</v>
      </c>
      <c r="B44" s="41" t="str">
        <f>IFERROR((B43-B42)/B42,"")</f>
        <v/>
      </c>
      <c r="C44" s="41" t="str">
        <f t="shared" ref="C44:P44" si="14">IFERROR(-(C42-C43)/C42,"")</f>
        <v/>
      </c>
      <c r="D44" s="41" t="str">
        <f t="shared" si="14"/>
        <v/>
      </c>
      <c r="E44" s="41" t="str">
        <f t="shared" si="14"/>
        <v/>
      </c>
      <c r="F44" s="41" t="str">
        <f t="shared" si="14"/>
        <v/>
      </c>
      <c r="G44" s="41" t="str">
        <f t="shared" si="14"/>
        <v/>
      </c>
      <c r="H44" s="41" t="str">
        <f t="shared" si="14"/>
        <v/>
      </c>
      <c r="I44" s="63" t="str">
        <f t="shared" si="14"/>
        <v/>
      </c>
      <c r="J44" s="65" t="str">
        <f t="shared" si="14"/>
        <v/>
      </c>
      <c r="K44" s="41" t="str">
        <f t="shared" si="14"/>
        <v/>
      </c>
      <c r="L44" s="41" t="str">
        <f t="shared" si="14"/>
        <v/>
      </c>
      <c r="M44" s="41" t="str">
        <f t="shared" si="14"/>
        <v/>
      </c>
      <c r="N44" s="41" t="str">
        <f t="shared" si="14"/>
        <v/>
      </c>
      <c r="O44" s="41" t="str">
        <f t="shared" si="14"/>
        <v/>
      </c>
      <c r="P44" s="41" t="str">
        <f t="shared" si="14"/>
        <v/>
      </c>
    </row>
    <row r="45" spans="1:18" x14ac:dyDescent="0.35">
      <c r="B45" s="33" t="s">
        <v>35</v>
      </c>
    </row>
  </sheetData>
  <mergeCells count="7">
    <mergeCell ref="S1:V1"/>
    <mergeCell ref="S9:W9"/>
    <mergeCell ref="B27:I27"/>
    <mergeCell ref="J27:P27"/>
    <mergeCell ref="B5:D5"/>
    <mergeCell ref="B7:I7"/>
    <mergeCell ref="J7:P7"/>
  </mergeCells>
  <conditionalFormatting sqref="B10:P11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77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51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2</xdr:col>
                    <xdr:colOff>228600</xdr:colOff>
                    <xdr:row>0</xdr:row>
                    <xdr:rowOff>95250</xdr:rowOff>
                  </from>
                  <to>
                    <xdr:col>5</xdr:col>
                    <xdr:colOff>146050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sort">
                <anchor moveWithCells="1" sizeWithCells="1">
                  <from>
                    <xdr:col>3</xdr:col>
                    <xdr:colOff>527050</xdr:colOff>
                    <xdr:row>3</xdr:row>
                    <xdr:rowOff>6350</xdr:rowOff>
                  </from>
                  <to>
                    <xdr:col>5</xdr:col>
                    <xdr:colOff>1301750</xdr:colOff>
                    <xdr:row>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.main">
                <anchor moveWithCells="1" sizeWithCells="1">
                  <from>
                    <xdr:col>5</xdr:col>
                    <xdr:colOff>317500</xdr:colOff>
                    <xdr:row>0</xdr:row>
                    <xdr:rowOff>88900</xdr:rowOff>
                  </from>
                  <to>
                    <xdr:col>7</xdr:col>
                    <xdr:colOff>381000</xdr:colOff>
                    <xdr:row>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525</v>
      </c>
      <c r="B1" t="s">
        <v>526</v>
      </c>
    </row>
    <row r="2" spans="1:2" x14ac:dyDescent="0.35">
      <c r="A2" t="s">
        <v>527</v>
      </c>
      <c r="B2" t="s">
        <v>528</v>
      </c>
    </row>
    <row r="3" spans="1:2" x14ac:dyDescent="0.35">
      <c r="A3" t="s">
        <v>529</v>
      </c>
      <c r="B3" t="s">
        <v>530</v>
      </c>
    </row>
    <row r="4" spans="1:2" x14ac:dyDescent="0.35">
      <c r="A4" t="s">
        <v>531</v>
      </c>
      <c r="B4">
        <v>157</v>
      </c>
    </row>
    <row r="5" spans="1:2" x14ac:dyDescent="0.35">
      <c r="A5" t="s">
        <v>532</v>
      </c>
      <c r="B5">
        <v>528.27272727272702</v>
      </c>
    </row>
    <row r="6" spans="1:2" x14ac:dyDescent="0.35">
      <c r="A6" t="s">
        <v>533</v>
      </c>
      <c r="B6">
        <v>1362</v>
      </c>
    </row>
    <row r="7" spans="1:2" x14ac:dyDescent="0.35">
      <c r="A7" t="s">
        <v>534</v>
      </c>
      <c r="B7">
        <v>1175</v>
      </c>
    </row>
    <row r="8" spans="1:2" x14ac:dyDescent="0.35">
      <c r="A8" t="s">
        <v>535</v>
      </c>
      <c r="B8">
        <v>1362</v>
      </c>
    </row>
    <row r="9" spans="1:2" x14ac:dyDescent="0.35">
      <c r="A9" t="s">
        <v>536</v>
      </c>
      <c r="B9">
        <v>552</v>
      </c>
    </row>
    <row r="10" spans="1:2" x14ac:dyDescent="0.35">
      <c r="A10" t="s">
        <v>537</v>
      </c>
      <c r="B10">
        <v>687</v>
      </c>
    </row>
    <row r="11" spans="1:2" x14ac:dyDescent="0.35">
      <c r="A11" t="s">
        <v>538</v>
      </c>
      <c r="B11">
        <v>200</v>
      </c>
    </row>
    <row r="12" spans="1:2" x14ac:dyDescent="0.35">
      <c r="A12" t="s">
        <v>539</v>
      </c>
      <c r="B12">
        <v>345</v>
      </c>
    </row>
    <row r="13" spans="1:2" x14ac:dyDescent="0.35">
      <c r="A13" t="s">
        <v>540</v>
      </c>
      <c r="B13">
        <v>538</v>
      </c>
    </row>
    <row r="14" spans="1:2" x14ac:dyDescent="0.35">
      <c r="A14" t="s">
        <v>541</v>
      </c>
      <c r="B14">
        <v>242</v>
      </c>
    </row>
    <row r="15" spans="1:2" x14ac:dyDescent="0.35">
      <c r="A15" t="s">
        <v>542</v>
      </c>
      <c r="B15">
        <v>264</v>
      </c>
    </row>
    <row r="16" spans="1:2" x14ac:dyDescent="0.35">
      <c r="A16" t="s">
        <v>543</v>
      </c>
      <c r="B16">
        <v>289</v>
      </c>
    </row>
    <row r="17" spans="1:2" x14ac:dyDescent="0.35">
      <c r="A17" t="s">
        <v>544</v>
      </c>
      <c r="B17">
        <v>157</v>
      </c>
    </row>
    <row r="18" spans="1:2" x14ac:dyDescent="0.35">
      <c r="A18" t="s">
        <v>37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525</v>
      </c>
      <c r="B1" t="s">
        <v>526</v>
      </c>
    </row>
    <row r="2" spans="1:2" x14ac:dyDescent="0.35">
      <c r="A2" t="s">
        <v>527</v>
      </c>
      <c r="B2" t="s">
        <v>545</v>
      </c>
    </row>
    <row r="3" spans="1:2" x14ac:dyDescent="0.35">
      <c r="A3" t="s">
        <v>529</v>
      </c>
      <c r="B3" t="s">
        <v>530</v>
      </c>
    </row>
    <row r="4" spans="1:2" x14ac:dyDescent="0.35">
      <c r="A4" t="s">
        <v>531</v>
      </c>
      <c r="B4">
        <v>110</v>
      </c>
    </row>
    <row r="5" spans="1:2" x14ac:dyDescent="0.35">
      <c r="A5" t="s">
        <v>532</v>
      </c>
      <c r="B5">
        <v>497.72727272727201</v>
      </c>
    </row>
    <row r="6" spans="1:2" x14ac:dyDescent="0.35">
      <c r="A6" t="s">
        <v>533</v>
      </c>
      <c r="B6">
        <v>984</v>
      </c>
    </row>
    <row r="7" spans="1:2" x14ac:dyDescent="0.35">
      <c r="A7" t="s">
        <v>546</v>
      </c>
      <c r="B7">
        <v>914</v>
      </c>
    </row>
    <row r="8" spans="1:2" x14ac:dyDescent="0.35">
      <c r="A8" t="s">
        <v>547</v>
      </c>
      <c r="B8">
        <v>984</v>
      </c>
    </row>
    <row r="9" spans="1:2" x14ac:dyDescent="0.35">
      <c r="A9" t="s">
        <v>548</v>
      </c>
      <c r="B9">
        <v>539</v>
      </c>
    </row>
    <row r="10" spans="1:2" x14ac:dyDescent="0.35">
      <c r="A10" t="s">
        <v>549</v>
      </c>
      <c r="B10">
        <v>407</v>
      </c>
    </row>
    <row r="11" spans="1:2" x14ac:dyDescent="0.35">
      <c r="A11" t="s">
        <v>550</v>
      </c>
      <c r="B11">
        <v>143</v>
      </c>
    </row>
    <row r="12" spans="1:2" x14ac:dyDescent="0.35">
      <c r="A12" t="s">
        <v>551</v>
      </c>
      <c r="B12">
        <v>446</v>
      </c>
    </row>
    <row r="13" spans="1:2" x14ac:dyDescent="0.35">
      <c r="A13" t="s">
        <v>552</v>
      </c>
      <c r="B13">
        <v>518</v>
      </c>
    </row>
    <row r="14" spans="1:2" x14ac:dyDescent="0.35">
      <c r="A14" t="s">
        <v>553</v>
      </c>
      <c r="B14">
        <v>407</v>
      </c>
    </row>
    <row r="15" spans="1:2" x14ac:dyDescent="0.35">
      <c r="A15" t="s">
        <v>554</v>
      </c>
      <c r="B15">
        <v>590</v>
      </c>
    </row>
    <row r="16" spans="1:2" x14ac:dyDescent="0.35">
      <c r="A16" t="s">
        <v>555</v>
      </c>
      <c r="B16">
        <v>417</v>
      </c>
    </row>
    <row r="17" spans="1:2" x14ac:dyDescent="0.35">
      <c r="A17" t="s">
        <v>556</v>
      </c>
      <c r="B17">
        <v>110</v>
      </c>
    </row>
    <row r="18" spans="1:2" x14ac:dyDescent="0.35">
      <c r="A18" t="s">
        <v>37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525</v>
      </c>
      <c r="B1" t="s">
        <v>526</v>
      </c>
    </row>
    <row r="2" spans="1:2" x14ac:dyDescent="0.35">
      <c r="A2" t="s">
        <v>527</v>
      </c>
      <c r="B2" t="s">
        <v>557</v>
      </c>
    </row>
    <row r="3" spans="1:2" x14ac:dyDescent="0.35">
      <c r="A3" t="s">
        <v>529</v>
      </c>
      <c r="B3" t="s">
        <v>530</v>
      </c>
    </row>
    <row r="4" spans="1:2" x14ac:dyDescent="0.35">
      <c r="A4" t="s">
        <v>531</v>
      </c>
      <c r="B4">
        <v>470</v>
      </c>
    </row>
    <row r="5" spans="1:2" x14ac:dyDescent="0.35">
      <c r="A5" t="s">
        <v>532</v>
      </c>
      <c r="B5">
        <v>859.54545454545405</v>
      </c>
    </row>
    <row r="6" spans="1:2" x14ac:dyDescent="0.35">
      <c r="A6" t="s">
        <v>533</v>
      </c>
      <c r="B6">
        <v>1143</v>
      </c>
    </row>
    <row r="7" spans="1:2" x14ac:dyDescent="0.35">
      <c r="A7" t="s">
        <v>558</v>
      </c>
      <c r="B7">
        <v>905</v>
      </c>
    </row>
    <row r="8" spans="1:2" x14ac:dyDescent="0.35">
      <c r="A8" t="s">
        <v>559</v>
      </c>
      <c r="B8">
        <v>1143</v>
      </c>
    </row>
    <row r="9" spans="1:2" x14ac:dyDescent="0.35">
      <c r="A9" t="s">
        <v>560</v>
      </c>
      <c r="B9">
        <v>1070</v>
      </c>
    </row>
    <row r="10" spans="1:2" x14ac:dyDescent="0.35">
      <c r="A10" t="s">
        <v>561</v>
      </c>
      <c r="B10">
        <v>1030</v>
      </c>
    </row>
    <row r="11" spans="1:2" x14ac:dyDescent="0.35">
      <c r="A11" t="s">
        <v>562</v>
      </c>
      <c r="B11">
        <v>491</v>
      </c>
    </row>
    <row r="12" spans="1:2" x14ac:dyDescent="0.35">
      <c r="A12" t="s">
        <v>563</v>
      </c>
      <c r="B12">
        <v>1065</v>
      </c>
    </row>
    <row r="13" spans="1:2" x14ac:dyDescent="0.35">
      <c r="A13" t="s">
        <v>564</v>
      </c>
      <c r="B13">
        <v>906</v>
      </c>
    </row>
    <row r="14" spans="1:2" x14ac:dyDescent="0.35">
      <c r="A14" t="s">
        <v>565</v>
      </c>
      <c r="B14">
        <v>948</v>
      </c>
    </row>
    <row r="15" spans="1:2" x14ac:dyDescent="0.35">
      <c r="A15" t="s">
        <v>566</v>
      </c>
      <c r="B15">
        <v>470</v>
      </c>
    </row>
    <row r="16" spans="1:2" x14ac:dyDescent="0.35">
      <c r="A16" t="s">
        <v>567</v>
      </c>
      <c r="B16">
        <v>834</v>
      </c>
    </row>
    <row r="17" spans="1:2" x14ac:dyDescent="0.35">
      <c r="A17" t="s">
        <v>568</v>
      </c>
      <c r="B17">
        <v>593</v>
      </c>
    </row>
    <row r="18" spans="1:2" x14ac:dyDescent="0.35">
      <c r="A18" t="s">
        <v>37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S186"/>
  <sheetViews>
    <sheetView topLeftCell="A154"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t="s">
        <v>119</v>
      </c>
      <c r="G1" t="s">
        <v>52</v>
      </c>
      <c r="H1" t="s">
        <v>120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</row>
    <row r="2" spans="1:19" x14ac:dyDescent="0.35">
      <c r="A2" t="s">
        <v>132</v>
      </c>
      <c r="B2">
        <v>1</v>
      </c>
      <c r="C2" t="s">
        <v>133</v>
      </c>
      <c r="D2" t="s">
        <v>6</v>
      </c>
      <c r="E2" t="s">
        <v>13</v>
      </c>
      <c r="F2" t="s">
        <v>134</v>
      </c>
      <c r="G2" t="s">
        <v>135</v>
      </c>
      <c r="H2">
        <v>58660</v>
      </c>
      <c r="I2">
        <v>35.549999999999997</v>
      </c>
      <c r="J2">
        <v>1650.07032348804</v>
      </c>
      <c r="K2">
        <v>995.00000399999999</v>
      </c>
      <c r="L2">
        <v>58.954773632342601</v>
      </c>
      <c r="M2">
        <v>23.4047736323426</v>
      </c>
      <c r="N2">
        <v>1.6583621274920499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132</v>
      </c>
      <c r="B3">
        <v>2</v>
      </c>
      <c r="C3" t="s">
        <v>136</v>
      </c>
      <c r="D3" t="s">
        <v>137</v>
      </c>
      <c r="E3" t="s">
        <v>13</v>
      </c>
      <c r="F3" t="s">
        <v>134</v>
      </c>
      <c r="G3" t="s">
        <v>62</v>
      </c>
      <c r="H3">
        <v>500</v>
      </c>
      <c r="I3">
        <v>0.80555555555555503</v>
      </c>
      <c r="J3">
        <v>620.68965517241304</v>
      </c>
      <c r="K3">
        <v>275.00000399999999</v>
      </c>
      <c r="L3">
        <v>1.8181817917355301</v>
      </c>
      <c r="M3">
        <v>1.01262623617998</v>
      </c>
      <c r="N3">
        <v>2.25705325870618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132</v>
      </c>
      <c r="B4">
        <v>3</v>
      </c>
      <c r="C4" t="s">
        <v>138</v>
      </c>
      <c r="D4" t="s">
        <v>139</v>
      </c>
      <c r="E4" t="s">
        <v>13</v>
      </c>
      <c r="F4" t="s">
        <v>134</v>
      </c>
      <c r="G4" t="s">
        <v>62</v>
      </c>
      <c r="H4">
        <v>1290</v>
      </c>
      <c r="I4">
        <v>2.72444444444444</v>
      </c>
      <c r="J4">
        <v>473.49102773246301</v>
      </c>
      <c r="K4">
        <v>101.999988</v>
      </c>
      <c r="L4">
        <v>12.6470603114188</v>
      </c>
      <c r="M4">
        <v>9.9226158669744091</v>
      </c>
      <c r="N4">
        <v>4.6420694454636902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132</v>
      </c>
      <c r="B5">
        <v>4</v>
      </c>
      <c r="C5" t="s">
        <v>140</v>
      </c>
      <c r="D5" t="s">
        <v>141</v>
      </c>
      <c r="E5" t="s">
        <v>13</v>
      </c>
      <c r="F5" t="s">
        <v>134</v>
      </c>
      <c r="G5" t="s">
        <v>62</v>
      </c>
      <c r="H5">
        <v>10</v>
      </c>
      <c r="I5">
        <v>0.77666666666666595</v>
      </c>
      <c r="J5">
        <v>12.8755364806866</v>
      </c>
      <c r="K5">
        <v>52.999991999999999</v>
      </c>
      <c r="L5">
        <v>0.18867927376290899</v>
      </c>
      <c r="M5">
        <v>-0.58798739290375701</v>
      </c>
      <c r="N5">
        <v>0.24293468724838099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132</v>
      </c>
      <c r="B6">
        <v>5</v>
      </c>
      <c r="C6" t="s">
        <v>142</v>
      </c>
      <c r="D6" t="s">
        <v>143</v>
      </c>
      <c r="E6" t="s">
        <v>13</v>
      </c>
      <c r="F6" t="s">
        <v>134</v>
      </c>
      <c r="G6" t="s">
        <v>62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132</v>
      </c>
      <c r="B7">
        <v>6</v>
      </c>
      <c r="C7" t="s">
        <v>144</v>
      </c>
      <c r="D7" t="s">
        <v>145</v>
      </c>
      <c r="E7" t="s">
        <v>13</v>
      </c>
      <c r="F7" t="s">
        <v>134</v>
      </c>
      <c r="G7" t="s">
        <v>62</v>
      </c>
      <c r="H7">
        <v>1800</v>
      </c>
      <c r="I7">
        <v>4.3066666666666604</v>
      </c>
      <c r="J7">
        <v>417.95665634674901</v>
      </c>
      <c r="K7">
        <v>122.834015121395</v>
      </c>
      <c r="L7">
        <v>14.6539213769173</v>
      </c>
      <c r="M7">
        <v>10.347254710250599</v>
      </c>
      <c r="N7">
        <v>3.4026133228136102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132</v>
      </c>
      <c r="B8">
        <v>7</v>
      </c>
      <c r="C8" t="s">
        <v>146</v>
      </c>
      <c r="D8" t="s">
        <v>147</v>
      </c>
      <c r="E8" t="s">
        <v>13</v>
      </c>
      <c r="F8" t="s">
        <v>134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132</v>
      </c>
      <c r="B9">
        <v>8</v>
      </c>
      <c r="C9" t="s">
        <v>148</v>
      </c>
      <c r="D9" t="s">
        <v>149</v>
      </c>
      <c r="E9" t="s">
        <v>13</v>
      </c>
      <c r="F9" t="s">
        <v>134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132</v>
      </c>
      <c r="B10">
        <v>9</v>
      </c>
      <c r="C10" t="s">
        <v>150</v>
      </c>
      <c r="D10" t="s">
        <v>151</v>
      </c>
      <c r="E10" t="s">
        <v>13</v>
      </c>
      <c r="F10" t="s">
        <v>134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132</v>
      </c>
      <c r="B11">
        <v>10</v>
      </c>
      <c r="C11" t="s">
        <v>152</v>
      </c>
      <c r="D11" t="s">
        <v>153</v>
      </c>
      <c r="E11" t="s">
        <v>13</v>
      </c>
      <c r="F11" t="s">
        <v>134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132</v>
      </c>
      <c r="B12">
        <v>11</v>
      </c>
      <c r="C12" t="s">
        <v>154</v>
      </c>
      <c r="D12" t="s">
        <v>155</v>
      </c>
      <c r="E12" t="s">
        <v>13</v>
      </c>
      <c r="F12" t="s">
        <v>134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132</v>
      </c>
      <c r="B13">
        <v>12</v>
      </c>
      <c r="C13" t="s">
        <v>156</v>
      </c>
      <c r="D13" t="s">
        <v>157</v>
      </c>
      <c r="E13" t="s">
        <v>13</v>
      </c>
      <c r="F13" t="s">
        <v>134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132</v>
      </c>
      <c r="B14">
        <v>13</v>
      </c>
      <c r="C14" t="s">
        <v>158</v>
      </c>
      <c r="D14" t="s">
        <v>7</v>
      </c>
      <c r="E14" t="s">
        <v>13</v>
      </c>
      <c r="F14" t="s">
        <v>134</v>
      </c>
      <c r="G14" t="s">
        <v>68</v>
      </c>
      <c r="H14">
        <v>5318</v>
      </c>
      <c r="I14">
        <v>5.3366666666666598</v>
      </c>
      <c r="J14">
        <v>996.50218613366599</v>
      </c>
      <c r="K14">
        <v>524.99998800000003</v>
      </c>
      <c r="L14">
        <v>10.129524041055699</v>
      </c>
      <c r="M14">
        <v>4.7928573743891203</v>
      </c>
      <c r="N14">
        <v>1.8980994455444899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132</v>
      </c>
      <c r="B15">
        <v>14</v>
      </c>
      <c r="C15" t="s">
        <v>159</v>
      </c>
      <c r="D15" t="s">
        <v>160</v>
      </c>
      <c r="E15" t="s">
        <v>13</v>
      </c>
      <c r="F15" t="s">
        <v>134</v>
      </c>
      <c r="G15" t="s">
        <v>69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132</v>
      </c>
      <c r="B16">
        <v>15</v>
      </c>
      <c r="C16" t="s">
        <v>161</v>
      </c>
      <c r="D16" t="s">
        <v>162</v>
      </c>
      <c r="E16" t="s">
        <v>13</v>
      </c>
      <c r="F16" t="s">
        <v>134</v>
      </c>
      <c r="G16" t="s">
        <v>135</v>
      </c>
      <c r="H16">
        <v>58660</v>
      </c>
      <c r="I16">
        <v>38.843611111111102</v>
      </c>
      <c r="J16">
        <v>1510.1582556834001</v>
      </c>
      <c r="K16">
        <v>2000.00001599999</v>
      </c>
      <c r="L16">
        <v>29.32999976536</v>
      </c>
      <c r="M16">
        <v>-9.5136113457510998</v>
      </c>
      <c r="N16">
        <v>0.75507912180106795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132</v>
      </c>
      <c r="B17">
        <v>16</v>
      </c>
      <c r="C17" t="s">
        <v>163</v>
      </c>
      <c r="D17" t="s">
        <v>164</v>
      </c>
      <c r="E17" t="s">
        <v>13</v>
      </c>
      <c r="F17" t="s">
        <v>134</v>
      </c>
      <c r="G17" t="s">
        <v>62</v>
      </c>
      <c r="H17">
        <v>58660</v>
      </c>
      <c r="I17">
        <v>84.036944444444401</v>
      </c>
      <c r="J17">
        <v>698.026331011823</v>
      </c>
      <c r="K17">
        <v>518.80184029101702</v>
      </c>
      <c r="L17">
        <v>113.068218815675</v>
      </c>
      <c r="M17">
        <v>29.031274371231198</v>
      </c>
      <c r="N17">
        <v>1.34545847142768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132</v>
      </c>
      <c r="B18">
        <v>17</v>
      </c>
      <c r="C18" t="s">
        <v>165</v>
      </c>
      <c r="D18" t="s">
        <v>166</v>
      </c>
      <c r="E18" t="s">
        <v>13</v>
      </c>
      <c r="F18" t="s">
        <v>167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132</v>
      </c>
      <c r="B19">
        <v>18</v>
      </c>
      <c r="C19" t="s">
        <v>168</v>
      </c>
      <c r="D19" t="s">
        <v>169</v>
      </c>
      <c r="E19" t="s">
        <v>13</v>
      </c>
      <c r="F19" t="s">
        <v>167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132</v>
      </c>
      <c r="B20">
        <v>19</v>
      </c>
      <c r="C20" t="s">
        <v>170</v>
      </c>
      <c r="D20" t="s">
        <v>171</v>
      </c>
      <c r="E20" t="s">
        <v>13</v>
      </c>
      <c r="F20" t="s">
        <v>167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132</v>
      </c>
      <c r="B21">
        <v>20</v>
      </c>
      <c r="C21" t="s">
        <v>172</v>
      </c>
      <c r="D21" t="s">
        <v>173</v>
      </c>
      <c r="E21" t="s">
        <v>13</v>
      </c>
      <c r="F21" t="s">
        <v>167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132</v>
      </c>
      <c r="B22">
        <v>21</v>
      </c>
      <c r="C22" t="s">
        <v>174</v>
      </c>
      <c r="D22" t="s">
        <v>175</v>
      </c>
      <c r="E22" t="s">
        <v>13</v>
      </c>
      <c r="F22" t="s">
        <v>167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132</v>
      </c>
      <c r="B23">
        <v>22</v>
      </c>
      <c r="C23" t="s">
        <v>176</v>
      </c>
      <c r="D23" t="s">
        <v>177</v>
      </c>
      <c r="E23" t="s">
        <v>13</v>
      </c>
      <c r="F23" t="s">
        <v>167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132</v>
      </c>
      <c r="B24">
        <v>23</v>
      </c>
      <c r="C24" t="s">
        <v>178</v>
      </c>
      <c r="D24" t="s">
        <v>179</v>
      </c>
      <c r="E24" t="s">
        <v>13</v>
      </c>
      <c r="F24" t="s">
        <v>167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132</v>
      </c>
      <c r="B25">
        <v>24</v>
      </c>
      <c r="C25" t="s">
        <v>180</v>
      </c>
      <c r="D25" t="s">
        <v>181</v>
      </c>
      <c r="E25" t="s">
        <v>13</v>
      </c>
      <c r="F25" t="s">
        <v>167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132</v>
      </c>
      <c r="B26">
        <v>25</v>
      </c>
      <c r="C26" t="s">
        <v>182</v>
      </c>
      <c r="D26" t="s">
        <v>183</v>
      </c>
      <c r="E26" t="s">
        <v>13</v>
      </c>
      <c r="F26" t="s">
        <v>167</v>
      </c>
      <c r="G26" t="s">
        <v>135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132</v>
      </c>
      <c r="B27">
        <v>26</v>
      </c>
      <c r="C27" t="s">
        <v>184</v>
      </c>
      <c r="D27" t="s">
        <v>185</v>
      </c>
      <c r="E27" t="s">
        <v>13</v>
      </c>
      <c r="F27" t="s">
        <v>167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132</v>
      </c>
      <c r="B28">
        <v>27</v>
      </c>
      <c r="C28" t="s">
        <v>186</v>
      </c>
      <c r="D28" t="s">
        <v>187</v>
      </c>
      <c r="E28" t="s">
        <v>13</v>
      </c>
      <c r="F28" t="s">
        <v>188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132</v>
      </c>
      <c r="B29">
        <v>28</v>
      </c>
      <c r="C29" t="s">
        <v>189</v>
      </c>
      <c r="D29" t="s">
        <v>190</v>
      </c>
      <c r="E29" t="s">
        <v>13</v>
      </c>
      <c r="F29" t="s">
        <v>188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132</v>
      </c>
      <c r="B30">
        <v>29</v>
      </c>
      <c r="C30" t="s">
        <v>191</v>
      </c>
      <c r="D30" t="s">
        <v>192</v>
      </c>
      <c r="E30" t="s">
        <v>13</v>
      </c>
      <c r="F30" t="s">
        <v>188</v>
      </c>
      <c r="G30" t="s">
        <v>62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132</v>
      </c>
      <c r="B31">
        <v>30</v>
      </c>
      <c r="C31" t="s">
        <v>193</v>
      </c>
      <c r="D31" t="s">
        <v>194</v>
      </c>
      <c r="E31" t="s">
        <v>13</v>
      </c>
      <c r="F31" t="s">
        <v>188</v>
      </c>
      <c r="G31" t="s">
        <v>62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132</v>
      </c>
      <c r="B32">
        <v>31</v>
      </c>
      <c r="C32" t="s">
        <v>195</v>
      </c>
      <c r="D32" t="s">
        <v>196</v>
      </c>
      <c r="E32" t="s">
        <v>13</v>
      </c>
      <c r="F32" t="s">
        <v>188</v>
      </c>
      <c r="G32" t="s">
        <v>62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132</v>
      </c>
      <c r="B33">
        <v>32</v>
      </c>
      <c r="C33" t="s">
        <v>197</v>
      </c>
      <c r="D33" t="s">
        <v>198</v>
      </c>
      <c r="E33" t="s">
        <v>13</v>
      </c>
      <c r="F33" t="s">
        <v>188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132</v>
      </c>
      <c r="B34">
        <v>33</v>
      </c>
      <c r="C34" t="s">
        <v>199</v>
      </c>
      <c r="D34" t="s">
        <v>200</v>
      </c>
      <c r="E34" t="s">
        <v>13</v>
      </c>
      <c r="F34" t="s">
        <v>188</v>
      </c>
      <c r="G34" t="s">
        <v>62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132</v>
      </c>
      <c r="B35">
        <v>34</v>
      </c>
      <c r="C35" t="s">
        <v>201</v>
      </c>
      <c r="D35" t="s">
        <v>202</v>
      </c>
      <c r="E35" t="s">
        <v>13</v>
      </c>
      <c r="F35" t="s">
        <v>188</v>
      </c>
      <c r="G35" t="s">
        <v>135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132</v>
      </c>
      <c r="B36">
        <v>35</v>
      </c>
      <c r="C36" t="s">
        <v>203</v>
      </c>
      <c r="D36" t="s">
        <v>204</v>
      </c>
      <c r="E36" t="s">
        <v>13</v>
      </c>
      <c r="F36" t="s">
        <v>188</v>
      </c>
      <c r="G36" t="s">
        <v>135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132</v>
      </c>
      <c r="B37">
        <v>36</v>
      </c>
      <c r="C37" t="s">
        <v>205</v>
      </c>
      <c r="D37" t="s">
        <v>206</v>
      </c>
      <c r="E37" t="s">
        <v>13</v>
      </c>
      <c r="F37" t="s">
        <v>207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132</v>
      </c>
      <c r="B38">
        <v>37</v>
      </c>
      <c r="C38" t="s">
        <v>208</v>
      </c>
      <c r="D38" t="s">
        <v>209</v>
      </c>
      <c r="E38" t="s">
        <v>13</v>
      </c>
      <c r="F38" t="s">
        <v>207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132</v>
      </c>
      <c r="B39">
        <v>38</v>
      </c>
      <c r="C39" t="s">
        <v>210</v>
      </c>
      <c r="D39" t="s">
        <v>211</v>
      </c>
      <c r="E39" t="s">
        <v>13</v>
      </c>
      <c r="F39" t="s">
        <v>207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132</v>
      </c>
      <c r="B40">
        <v>39</v>
      </c>
      <c r="C40" t="s">
        <v>212</v>
      </c>
      <c r="D40" t="s">
        <v>213</v>
      </c>
      <c r="E40" t="s">
        <v>13</v>
      </c>
      <c r="F40" t="s">
        <v>207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132</v>
      </c>
      <c r="B41">
        <v>40</v>
      </c>
      <c r="C41" t="s">
        <v>214</v>
      </c>
      <c r="D41" t="s">
        <v>215</v>
      </c>
      <c r="E41" t="s">
        <v>13</v>
      </c>
      <c r="F41" t="s">
        <v>207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132</v>
      </c>
      <c r="B42">
        <v>41</v>
      </c>
      <c r="C42" t="s">
        <v>216</v>
      </c>
      <c r="D42" t="s">
        <v>217</v>
      </c>
      <c r="E42" t="s">
        <v>13</v>
      </c>
      <c r="F42" t="s">
        <v>207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132</v>
      </c>
      <c r="B43">
        <v>42</v>
      </c>
      <c r="C43" t="s">
        <v>218</v>
      </c>
      <c r="D43" t="s">
        <v>219</v>
      </c>
      <c r="E43" t="s">
        <v>13</v>
      </c>
      <c r="F43" t="s">
        <v>207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132</v>
      </c>
      <c r="B44">
        <v>43</v>
      </c>
      <c r="C44" t="s">
        <v>220</v>
      </c>
      <c r="D44" t="s">
        <v>221</v>
      </c>
      <c r="E44" t="s">
        <v>13</v>
      </c>
      <c r="F44" t="s">
        <v>207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132</v>
      </c>
      <c r="B45">
        <v>44</v>
      </c>
      <c r="C45" t="s">
        <v>222</v>
      </c>
      <c r="D45" t="s">
        <v>223</v>
      </c>
      <c r="E45" t="s">
        <v>13</v>
      </c>
      <c r="F45" t="s">
        <v>207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132</v>
      </c>
      <c r="B46">
        <v>45</v>
      </c>
      <c r="C46" t="s">
        <v>224</v>
      </c>
      <c r="D46" t="s">
        <v>225</v>
      </c>
      <c r="E46" t="s">
        <v>13</v>
      </c>
      <c r="F46" t="s">
        <v>226</v>
      </c>
      <c r="G46" t="s">
        <v>68</v>
      </c>
      <c r="H46">
        <v>5413</v>
      </c>
      <c r="I46">
        <v>98.203888888888798</v>
      </c>
      <c r="J46">
        <v>55.120016745206897</v>
      </c>
      <c r="K46">
        <v>86.000004000000004</v>
      </c>
      <c r="L46">
        <v>62.941857537588</v>
      </c>
      <c r="M46">
        <v>-35.262031351300799</v>
      </c>
      <c r="N46">
        <v>0.64093039745913205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132</v>
      </c>
      <c r="B47">
        <v>46</v>
      </c>
      <c r="C47" t="s">
        <v>227</v>
      </c>
      <c r="D47" t="s">
        <v>228</v>
      </c>
      <c r="E47" t="s">
        <v>13</v>
      </c>
      <c r="F47" t="s">
        <v>226</v>
      </c>
      <c r="G47" t="s">
        <v>229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132</v>
      </c>
      <c r="B48">
        <v>47</v>
      </c>
      <c r="C48" t="s">
        <v>230</v>
      </c>
      <c r="D48" t="s">
        <v>231</v>
      </c>
      <c r="E48" t="s">
        <v>13</v>
      </c>
      <c r="F48" t="s">
        <v>226</v>
      </c>
      <c r="G48" t="s">
        <v>69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132</v>
      </c>
      <c r="B49">
        <v>48</v>
      </c>
      <c r="C49" t="s">
        <v>232</v>
      </c>
      <c r="D49" t="s">
        <v>233</v>
      </c>
      <c r="E49" t="s">
        <v>13</v>
      </c>
      <c r="F49" t="s">
        <v>226</v>
      </c>
      <c r="G49" t="s">
        <v>234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132</v>
      </c>
      <c r="B50">
        <v>49</v>
      </c>
      <c r="C50" t="s">
        <v>235</v>
      </c>
      <c r="D50" t="s">
        <v>236</v>
      </c>
      <c r="E50" t="s">
        <v>13</v>
      </c>
      <c r="F50" t="s">
        <v>226</v>
      </c>
      <c r="G50" t="s">
        <v>135</v>
      </c>
      <c r="H50">
        <v>141857</v>
      </c>
      <c r="I50">
        <v>16.502777777777698</v>
      </c>
      <c r="J50">
        <v>8595.9468103012896</v>
      </c>
      <c r="K50">
        <v>15000.0000119999</v>
      </c>
      <c r="L50">
        <v>9.4571333257676198</v>
      </c>
      <c r="M50">
        <v>-7.0456444520101504</v>
      </c>
      <c r="N50">
        <v>0.57306312022830197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132</v>
      </c>
      <c r="B51">
        <v>50</v>
      </c>
      <c r="C51" t="s">
        <v>237</v>
      </c>
      <c r="D51" t="s">
        <v>238</v>
      </c>
      <c r="E51" t="s">
        <v>13</v>
      </c>
      <c r="F51" t="s">
        <v>226</v>
      </c>
      <c r="G51" t="s">
        <v>135</v>
      </c>
      <c r="H51">
        <v>141857</v>
      </c>
      <c r="I51">
        <v>114.706666666666</v>
      </c>
      <c r="J51">
        <v>1236.6935952574599</v>
      </c>
      <c r="K51">
        <v>1959.3781392303899</v>
      </c>
      <c r="L51">
        <v>72.398990863355607</v>
      </c>
      <c r="M51">
        <v>-42.307675803311</v>
      </c>
      <c r="N51">
        <v>0.63116637391045805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132</v>
      </c>
      <c r="B52">
        <v>51</v>
      </c>
      <c r="C52" t="s">
        <v>239</v>
      </c>
      <c r="D52" t="s">
        <v>240</v>
      </c>
      <c r="E52" t="s">
        <v>13</v>
      </c>
      <c r="F52" t="s">
        <v>240</v>
      </c>
      <c r="G52" t="s">
        <v>135</v>
      </c>
      <c r="H52">
        <v>58660</v>
      </c>
      <c r="I52">
        <v>15.6</v>
      </c>
      <c r="J52">
        <v>3760.2564102564102</v>
      </c>
      <c r="K52">
        <v>4500</v>
      </c>
      <c r="L52">
        <v>13.035555555555501</v>
      </c>
      <c r="M52">
        <v>-2.5644444444444399</v>
      </c>
      <c r="N52">
        <v>0.83561253561253501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132</v>
      </c>
      <c r="B53">
        <v>52</v>
      </c>
      <c r="C53" t="s">
        <v>241</v>
      </c>
      <c r="D53" t="s">
        <v>242</v>
      </c>
      <c r="E53" t="s">
        <v>13</v>
      </c>
      <c r="F53" t="s">
        <v>243</v>
      </c>
      <c r="G53" t="s">
        <v>135</v>
      </c>
      <c r="H53">
        <v>58660</v>
      </c>
      <c r="I53">
        <v>7.7844444444444401</v>
      </c>
      <c r="J53">
        <v>7535.5409648872301</v>
      </c>
      <c r="K53">
        <v>1850.000004</v>
      </c>
      <c r="L53">
        <v>31.708108039550002</v>
      </c>
      <c r="M53">
        <v>23.923663595105499</v>
      </c>
      <c r="N53">
        <v>4.07326537761847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132</v>
      </c>
      <c r="B54">
        <v>53</v>
      </c>
      <c r="C54" t="s">
        <v>244</v>
      </c>
      <c r="D54" t="s">
        <v>11</v>
      </c>
      <c r="E54" t="s">
        <v>13</v>
      </c>
      <c r="F54" t="s">
        <v>245</v>
      </c>
      <c r="G54" t="s">
        <v>62</v>
      </c>
      <c r="H54">
        <v>58660</v>
      </c>
      <c r="I54">
        <v>222.12805555555499</v>
      </c>
      <c r="J54">
        <v>264.08190470711901</v>
      </c>
      <c r="K54">
        <v>254.809858308244</v>
      </c>
      <c r="L54">
        <v>230.21087327413699</v>
      </c>
      <c r="M54">
        <v>8.0828177185814098</v>
      </c>
      <c r="N54">
        <v>1.03638809919064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132</v>
      </c>
      <c r="B55">
        <v>54</v>
      </c>
      <c r="C55" t="s">
        <v>246</v>
      </c>
      <c r="D55" t="s">
        <v>247</v>
      </c>
      <c r="E55" t="s">
        <v>248</v>
      </c>
      <c r="F55" t="s">
        <v>249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132</v>
      </c>
      <c r="B56">
        <v>55</v>
      </c>
      <c r="C56" t="s">
        <v>250</v>
      </c>
      <c r="D56" t="s">
        <v>251</v>
      </c>
      <c r="E56" t="s">
        <v>248</v>
      </c>
      <c r="F56" t="s">
        <v>249</v>
      </c>
      <c r="G56" t="s">
        <v>69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132</v>
      </c>
      <c r="B57">
        <v>56</v>
      </c>
      <c r="C57" t="s">
        <v>252</v>
      </c>
      <c r="D57" t="s">
        <v>253</v>
      </c>
      <c r="E57" t="s">
        <v>248</v>
      </c>
      <c r="F57" t="s">
        <v>254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132</v>
      </c>
      <c r="B58">
        <v>57</v>
      </c>
      <c r="C58" t="s">
        <v>255</v>
      </c>
      <c r="D58" t="s">
        <v>256</v>
      </c>
      <c r="E58" t="s">
        <v>248</v>
      </c>
      <c r="F58" t="s">
        <v>254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132</v>
      </c>
      <c r="B59">
        <v>58</v>
      </c>
      <c r="C59" t="s">
        <v>257</v>
      </c>
      <c r="D59" t="s">
        <v>258</v>
      </c>
      <c r="E59" t="s">
        <v>248</v>
      </c>
      <c r="F59" t="s">
        <v>259</v>
      </c>
      <c r="G59" t="s">
        <v>68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132</v>
      </c>
      <c r="B60">
        <v>59</v>
      </c>
      <c r="C60" t="s">
        <v>260</v>
      </c>
      <c r="D60" t="s">
        <v>261</v>
      </c>
      <c r="E60" t="s">
        <v>248</v>
      </c>
      <c r="F60" t="s">
        <v>259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132</v>
      </c>
      <c r="B61">
        <v>60</v>
      </c>
      <c r="C61" t="s">
        <v>262</v>
      </c>
      <c r="D61" t="s">
        <v>263</v>
      </c>
      <c r="E61" t="s">
        <v>248</v>
      </c>
      <c r="F61" t="s">
        <v>259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132</v>
      </c>
      <c r="B62">
        <v>61</v>
      </c>
      <c r="C62" t="s">
        <v>264</v>
      </c>
      <c r="D62" t="s">
        <v>265</v>
      </c>
      <c r="E62" t="s">
        <v>248</v>
      </c>
      <c r="F62" t="s">
        <v>259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132</v>
      </c>
      <c r="B63">
        <v>62</v>
      </c>
      <c r="C63" t="s">
        <v>266</v>
      </c>
      <c r="D63" t="s">
        <v>267</v>
      </c>
      <c r="E63" t="s">
        <v>248</v>
      </c>
      <c r="F63" t="s">
        <v>259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132</v>
      </c>
      <c r="B64">
        <v>63</v>
      </c>
      <c r="C64" t="s">
        <v>268</v>
      </c>
      <c r="D64" t="s">
        <v>269</v>
      </c>
      <c r="E64" t="s">
        <v>248</v>
      </c>
      <c r="F64" t="s">
        <v>259</v>
      </c>
      <c r="G64" t="s">
        <v>135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132</v>
      </c>
      <c r="B65">
        <v>64</v>
      </c>
      <c r="C65" t="s">
        <v>270</v>
      </c>
      <c r="D65" t="s">
        <v>271</v>
      </c>
      <c r="E65" t="s">
        <v>248</v>
      </c>
      <c r="F65" t="s">
        <v>56</v>
      </c>
      <c r="G65" t="s">
        <v>62</v>
      </c>
      <c r="H65">
        <v>14511</v>
      </c>
      <c r="I65">
        <v>10.281388888888801</v>
      </c>
      <c r="J65">
        <v>1411.3851889876501</v>
      </c>
      <c r="K65">
        <v>1244.000016</v>
      </c>
      <c r="L65">
        <v>11.6647908467551</v>
      </c>
      <c r="M65">
        <v>1.38340195786621</v>
      </c>
      <c r="N65">
        <v>1.1345539958479001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132</v>
      </c>
      <c r="B66">
        <v>65</v>
      </c>
      <c r="C66" t="s">
        <v>272</v>
      </c>
      <c r="D66" t="s">
        <v>273</v>
      </c>
      <c r="E66" t="s">
        <v>248</v>
      </c>
      <c r="F66" t="s">
        <v>56</v>
      </c>
      <c r="G66" t="s">
        <v>62</v>
      </c>
      <c r="H66">
        <v>70747</v>
      </c>
      <c r="I66">
        <v>325.04638888888798</v>
      </c>
      <c r="J66">
        <v>217.65201035407699</v>
      </c>
      <c r="K66">
        <v>288</v>
      </c>
      <c r="L66">
        <v>245.649305555555</v>
      </c>
      <c r="M66">
        <v>-79.397083333333299</v>
      </c>
      <c r="N66">
        <v>0.75573614706276904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132</v>
      </c>
      <c r="B67">
        <v>66</v>
      </c>
      <c r="C67" t="s">
        <v>274</v>
      </c>
      <c r="D67" t="s">
        <v>275</v>
      </c>
      <c r="E67" t="s">
        <v>248</v>
      </c>
      <c r="F67" t="s">
        <v>56</v>
      </c>
      <c r="G67" t="s">
        <v>62</v>
      </c>
      <c r="H67">
        <v>147</v>
      </c>
      <c r="I67">
        <v>0.88194444444444398</v>
      </c>
      <c r="J67">
        <v>166.67716535432999</v>
      </c>
      <c r="K67">
        <v>117</v>
      </c>
      <c r="L67">
        <v>1.2564102564102499</v>
      </c>
      <c r="M67">
        <v>0.37446581196581102</v>
      </c>
      <c r="N67">
        <v>1.4245911568746199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132</v>
      </c>
      <c r="B68">
        <v>67</v>
      </c>
      <c r="C68" t="s">
        <v>276</v>
      </c>
      <c r="D68" t="s">
        <v>277</v>
      </c>
      <c r="E68" t="s">
        <v>248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132</v>
      </c>
      <c r="B69">
        <v>68</v>
      </c>
      <c r="C69" t="s">
        <v>278</v>
      </c>
      <c r="D69" t="s">
        <v>279</v>
      </c>
      <c r="E69" t="s">
        <v>248</v>
      </c>
      <c r="F69" t="s">
        <v>56</v>
      </c>
      <c r="G69" t="s">
        <v>62</v>
      </c>
      <c r="H69">
        <v>85405</v>
      </c>
      <c r="I69">
        <v>336.20972222222201</v>
      </c>
      <c r="J69">
        <v>254.02299325404499</v>
      </c>
      <c r="K69">
        <v>330.29675775328599</v>
      </c>
      <c r="L69">
        <v>258.57050665871998</v>
      </c>
      <c r="M69">
        <v>-77.639215563501295</v>
      </c>
      <c r="N69">
        <v>0.76907504324879405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132</v>
      </c>
      <c r="B70">
        <v>69</v>
      </c>
      <c r="C70" t="s">
        <v>280</v>
      </c>
      <c r="D70" t="s">
        <v>281</v>
      </c>
      <c r="E70" t="s">
        <v>248</v>
      </c>
      <c r="F70" t="s">
        <v>281</v>
      </c>
      <c r="G70" t="s">
        <v>62</v>
      </c>
      <c r="H70">
        <v>83197</v>
      </c>
      <c r="I70">
        <v>19.466666666666601</v>
      </c>
      <c r="J70">
        <v>4273.8184931506803</v>
      </c>
      <c r="K70">
        <v>3465</v>
      </c>
      <c r="L70">
        <v>24.010678210678201</v>
      </c>
      <c r="M70">
        <v>4.5440115440115401</v>
      </c>
      <c r="N70">
        <v>1.2334252505485299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132</v>
      </c>
      <c r="B71">
        <v>70</v>
      </c>
      <c r="C71" t="s">
        <v>282</v>
      </c>
      <c r="D71" t="s">
        <v>283</v>
      </c>
      <c r="E71" t="s">
        <v>248</v>
      </c>
      <c r="F71" t="s">
        <v>283</v>
      </c>
      <c r="G71" t="s">
        <v>135</v>
      </c>
      <c r="H71">
        <v>83197</v>
      </c>
      <c r="I71">
        <v>77.057500000000005</v>
      </c>
      <c r="J71">
        <v>1079.6742692145399</v>
      </c>
      <c r="K71">
        <v>1524.999996</v>
      </c>
      <c r="L71">
        <v>54.555409979161702</v>
      </c>
      <c r="M71">
        <v>-22.5020900208382</v>
      </c>
      <c r="N71">
        <v>0.70798312921080597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132</v>
      </c>
      <c r="B72">
        <v>71</v>
      </c>
      <c r="C72" t="s">
        <v>284</v>
      </c>
      <c r="D72" t="s">
        <v>285</v>
      </c>
      <c r="E72" t="s">
        <v>248</v>
      </c>
      <c r="F72" t="s">
        <v>285</v>
      </c>
      <c r="G72" t="s">
        <v>135</v>
      </c>
      <c r="H72">
        <v>83197</v>
      </c>
      <c r="I72">
        <v>14.7111111111111</v>
      </c>
      <c r="J72">
        <v>5655.3851963746201</v>
      </c>
      <c r="K72">
        <v>3499.999992</v>
      </c>
      <c r="L72">
        <v>23.770571482904099</v>
      </c>
      <c r="M72">
        <v>9.0594603717930493</v>
      </c>
      <c r="N72">
        <v>1.6158243455146299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132</v>
      </c>
      <c r="B73">
        <v>72</v>
      </c>
      <c r="C73" t="s">
        <v>286</v>
      </c>
      <c r="D73" t="s">
        <v>287</v>
      </c>
      <c r="E73" t="s">
        <v>248</v>
      </c>
      <c r="F73" t="s">
        <v>288</v>
      </c>
      <c r="G73" t="s">
        <v>135</v>
      </c>
      <c r="H73">
        <v>83197</v>
      </c>
      <c r="I73">
        <v>11.1419444444444</v>
      </c>
      <c r="J73">
        <v>7467.0090498865602</v>
      </c>
      <c r="K73">
        <v>5000.0000040000004</v>
      </c>
      <c r="L73">
        <v>16.639399986688399</v>
      </c>
      <c r="M73">
        <v>5.4974555422440297</v>
      </c>
      <c r="N73">
        <v>1.49340180878259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132</v>
      </c>
      <c r="B74">
        <v>73</v>
      </c>
      <c r="C74" t="s">
        <v>289</v>
      </c>
      <c r="D74" t="s">
        <v>290</v>
      </c>
      <c r="E74" t="s">
        <v>248</v>
      </c>
      <c r="F74" t="s">
        <v>245</v>
      </c>
      <c r="G74" t="s">
        <v>135</v>
      </c>
      <c r="H74">
        <v>83197</v>
      </c>
      <c r="I74">
        <v>458.58694444444399</v>
      </c>
      <c r="J74">
        <v>181.42034135051301</v>
      </c>
      <c r="K74">
        <v>220.36222130514801</v>
      </c>
      <c r="L74">
        <v>377.546566318153</v>
      </c>
      <c r="M74">
        <v>-81.040378126290904</v>
      </c>
      <c r="N74">
        <v>0.82328241327395901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132</v>
      </c>
      <c r="B75">
        <v>74</v>
      </c>
      <c r="C75" t="s">
        <v>291</v>
      </c>
      <c r="D75" t="s">
        <v>292</v>
      </c>
      <c r="E75" t="s">
        <v>293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132</v>
      </c>
      <c r="B76">
        <v>75</v>
      </c>
      <c r="C76" t="s">
        <v>294</v>
      </c>
      <c r="D76" t="s">
        <v>295</v>
      </c>
      <c r="E76" t="s">
        <v>293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132</v>
      </c>
      <c r="B77">
        <v>76</v>
      </c>
      <c r="C77" t="s">
        <v>296</v>
      </c>
      <c r="D77" t="s">
        <v>297</v>
      </c>
      <c r="E77" t="s">
        <v>293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132</v>
      </c>
      <c r="B78">
        <v>77</v>
      </c>
      <c r="C78" t="s">
        <v>298</v>
      </c>
      <c r="D78" t="s">
        <v>299</v>
      </c>
      <c r="E78" t="s">
        <v>293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132</v>
      </c>
      <c r="B79">
        <v>78</v>
      </c>
      <c r="C79" t="s">
        <v>300</v>
      </c>
      <c r="D79" t="s">
        <v>301</v>
      </c>
      <c r="E79" t="s">
        <v>293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132</v>
      </c>
      <c r="B80">
        <v>79</v>
      </c>
      <c r="C80" t="s">
        <v>302</v>
      </c>
      <c r="D80" t="s">
        <v>303</v>
      </c>
      <c r="E80" t="s">
        <v>293</v>
      </c>
      <c r="F80" t="s">
        <v>9</v>
      </c>
      <c r="G80" t="s">
        <v>135</v>
      </c>
      <c r="H80">
        <v>85405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132</v>
      </c>
      <c r="B81">
        <v>80</v>
      </c>
      <c r="C81" t="s">
        <v>304</v>
      </c>
      <c r="D81" t="s">
        <v>305</v>
      </c>
      <c r="E81" t="s">
        <v>293</v>
      </c>
      <c r="F81" t="s">
        <v>9</v>
      </c>
      <c r="G81" t="s">
        <v>135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132</v>
      </c>
      <c r="B82">
        <v>81</v>
      </c>
      <c r="C82" t="s">
        <v>306</v>
      </c>
      <c r="D82" t="s">
        <v>307</v>
      </c>
      <c r="E82" t="s">
        <v>293</v>
      </c>
      <c r="F82" t="s">
        <v>308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132</v>
      </c>
      <c r="B83">
        <v>82</v>
      </c>
      <c r="C83" t="s">
        <v>309</v>
      </c>
      <c r="D83" t="s">
        <v>310</v>
      </c>
      <c r="E83" t="s">
        <v>293</v>
      </c>
      <c r="F83" t="s">
        <v>308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132</v>
      </c>
      <c r="B84">
        <v>83</v>
      </c>
      <c r="C84" t="s">
        <v>311</v>
      </c>
      <c r="D84" t="s">
        <v>312</v>
      </c>
      <c r="E84" t="s">
        <v>293</v>
      </c>
      <c r="F84" t="s">
        <v>308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132</v>
      </c>
      <c r="B85">
        <v>84</v>
      </c>
      <c r="C85" t="s">
        <v>313</v>
      </c>
      <c r="D85" t="s">
        <v>314</v>
      </c>
      <c r="E85" t="s">
        <v>293</v>
      </c>
      <c r="F85" t="s">
        <v>308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132</v>
      </c>
      <c r="B86">
        <v>85</v>
      </c>
      <c r="C86" t="s">
        <v>315</v>
      </c>
      <c r="D86" t="s">
        <v>316</v>
      </c>
      <c r="E86" t="s">
        <v>293</v>
      </c>
      <c r="F86" t="s">
        <v>308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132</v>
      </c>
      <c r="B87">
        <v>86</v>
      </c>
      <c r="C87" t="s">
        <v>317</v>
      </c>
      <c r="D87" t="s">
        <v>318</v>
      </c>
      <c r="E87" t="s">
        <v>293</v>
      </c>
      <c r="F87" t="s">
        <v>308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132</v>
      </c>
      <c r="B88">
        <v>87</v>
      </c>
      <c r="C88" t="s">
        <v>319</v>
      </c>
      <c r="D88" t="s">
        <v>320</v>
      </c>
      <c r="E88" t="s">
        <v>293</v>
      </c>
      <c r="F88" t="s">
        <v>308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132</v>
      </c>
      <c r="B89">
        <v>88</v>
      </c>
      <c r="C89" t="s">
        <v>321</v>
      </c>
      <c r="D89" t="s">
        <v>322</v>
      </c>
      <c r="E89" t="s">
        <v>293</v>
      </c>
      <c r="F89" t="s">
        <v>308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132</v>
      </c>
      <c r="B90">
        <v>89</v>
      </c>
      <c r="C90" t="s">
        <v>323</v>
      </c>
      <c r="D90" t="s">
        <v>324</v>
      </c>
      <c r="E90" t="s">
        <v>293</v>
      </c>
      <c r="F90" t="s">
        <v>308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132</v>
      </c>
      <c r="B91">
        <v>90</v>
      </c>
      <c r="C91" t="s">
        <v>325</v>
      </c>
      <c r="D91" t="s">
        <v>326</v>
      </c>
      <c r="E91" t="s">
        <v>293</v>
      </c>
      <c r="F91" t="s">
        <v>308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132</v>
      </c>
      <c r="B92">
        <v>91</v>
      </c>
      <c r="C92" t="s">
        <v>327</v>
      </c>
      <c r="D92" t="s">
        <v>328</v>
      </c>
      <c r="E92" t="s">
        <v>293</v>
      </c>
      <c r="F92" t="s">
        <v>308</v>
      </c>
      <c r="G92" t="s">
        <v>135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132</v>
      </c>
      <c r="B93">
        <v>92</v>
      </c>
      <c r="C93" t="s">
        <v>329</v>
      </c>
      <c r="D93" t="s">
        <v>330</v>
      </c>
      <c r="E93" t="s">
        <v>293</v>
      </c>
      <c r="F93" t="s">
        <v>308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132</v>
      </c>
      <c r="B94">
        <v>93</v>
      </c>
      <c r="C94" t="s">
        <v>331</v>
      </c>
      <c r="D94" t="s">
        <v>332</v>
      </c>
      <c r="E94" t="s">
        <v>293</v>
      </c>
      <c r="F94" t="s">
        <v>333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132</v>
      </c>
      <c r="B95">
        <v>94</v>
      </c>
      <c r="C95" t="s">
        <v>334</v>
      </c>
      <c r="D95" t="s">
        <v>335</v>
      </c>
      <c r="E95" t="s">
        <v>293</v>
      </c>
      <c r="F95" t="s">
        <v>333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132</v>
      </c>
      <c r="B96">
        <v>95</v>
      </c>
      <c r="C96" t="s">
        <v>336</v>
      </c>
      <c r="D96" t="s">
        <v>337</v>
      </c>
      <c r="E96" t="s">
        <v>293</v>
      </c>
      <c r="F96" t="s">
        <v>333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132</v>
      </c>
      <c r="B97">
        <v>96</v>
      </c>
      <c r="C97" t="s">
        <v>338</v>
      </c>
      <c r="D97" t="s">
        <v>339</v>
      </c>
      <c r="E97" t="s">
        <v>293</v>
      </c>
      <c r="F97" t="s">
        <v>333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132</v>
      </c>
      <c r="B98">
        <v>97</v>
      </c>
      <c r="C98" t="s">
        <v>340</v>
      </c>
      <c r="D98" t="s">
        <v>341</v>
      </c>
      <c r="E98" t="s">
        <v>293</v>
      </c>
      <c r="F98" t="s">
        <v>333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132</v>
      </c>
      <c r="B99">
        <v>98</v>
      </c>
      <c r="C99" t="s">
        <v>342</v>
      </c>
      <c r="D99" t="s">
        <v>343</v>
      </c>
      <c r="E99" t="s">
        <v>293</v>
      </c>
      <c r="F99" t="s">
        <v>333</v>
      </c>
      <c r="G99" t="s">
        <v>344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132</v>
      </c>
      <c r="B100">
        <v>99</v>
      </c>
      <c r="C100" t="s">
        <v>345</v>
      </c>
      <c r="D100" t="s">
        <v>346</v>
      </c>
      <c r="E100" t="s">
        <v>293</v>
      </c>
      <c r="F100" t="s">
        <v>333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132</v>
      </c>
      <c r="B101">
        <v>100</v>
      </c>
      <c r="C101" t="s">
        <v>347</v>
      </c>
      <c r="D101" t="s">
        <v>348</v>
      </c>
      <c r="E101" t="s">
        <v>293</v>
      </c>
      <c r="F101" t="s">
        <v>333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132</v>
      </c>
      <c r="B102">
        <v>101</v>
      </c>
      <c r="C102" t="s">
        <v>349</v>
      </c>
      <c r="D102" t="s">
        <v>350</v>
      </c>
      <c r="E102" t="s">
        <v>293</v>
      </c>
      <c r="F102" t="s">
        <v>333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132</v>
      </c>
      <c r="B103">
        <v>102</v>
      </c>
      <c r="C103" t="s">
        <v>351</v>
      </c>
      <c r="D103" t="s">
        <v>352</v>
      </c>
      <c r="E103" t="s">
        <v>293</v>
      </c>
      <c r="F103" t="s">
        <v>333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132</v>
      </c>
      <c r="B104">
        <v>103</v>
      </c>
      <c r="C104" t="s">
        <v>353</v>
      </c>
      <c r="D104" t="s">
        <v>354</v>
      </c>
      <c r="E104" t="s">
        <v>293</v>
      </c>
      <c r="F104" t="s">
        <v>333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132</v>
      </c>
      <c r="B105">
        <v>104</v>
      </c>
      <c r="C105" t="s">
        <v>355</v>
      </c>
      <c r="D105" t="s">
        <v>356</v>
      </c>
      <c r="E105" t="s">
        <v>293</v>
      </c>
      <c r="F105" t="s">
        <v>333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132</v>
      </c>
      <c r="B106">
        <v>105</v>
      </c>
      <c r="C106" t="s">
        <v>357</v>
      </c>
      <c r="D106" t="s">
        <v>358</v>
      </c>
      <c r="E106" t="s">
        <v>293</v>
      </c>
      <c r="F106" t="s">
        <v>333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132</v>
      </c>
      <c r="B107">
        <v>106</v>
      </c>
      <c r="C107" t="s">
        <v>359</v>
      </c>
      <c r="D107" t="s">
        <v>360</v>
      </c>
      <c r="E107" t="s">
        <v>293</v>
      </c>
      <c r="F107" t="s">
        <v>333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132</v>
      </c>
      <c r="B108">
        <v>107</v>
      </c>
      <c r="C108" t="s">
        <v>361</v>
      </c>
      <c r="D108" t="s">
        <v>362</v>
      </c>
      <c r="E108" t="s">
        <v>293</v>
      </c>
      <c r="F108" t="s">
        <v>333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132</v>
      </c>
      <c r="B109">
        <v>108</v>
      </c>
      <c r="C109" t="s">
        <v>363</v>
      </c>
      <c r="D109" t="s">
        <v>364</v>
      </c>
      <c r="E109" t="s">
        <v>293</v>
      </c>
      <c r="F109" t="s">
        <v>333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132</v>
      </c>
      <c r="B110">
        <v>109</v>
      </c>
      <c r="C110" t="s">
        <v>365</v>
      </c>
      <c r="D110" t="s">
        <v>366</v>
      </c>
      <c r="E110" t="s">
        <v>293</v>
      </c>
      <c r="F110" t="s">
        <v>333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132</v>
      </c>
      <c r="B111">
        <v>110</v>
      </c>
      <c r="C111" t="s">
        <v>367</v>
      </c>
      <c r="D111" t="s">
        <v>368</v>
      </c>
      <c r="E111" t="s">
        <v>293</v>
      </c>
      <c r="F111" t="s">
        <v>333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132</v>
      </c>
      <c r="B112">
        <v>111</v>
      </c>
      <c r="C112" t="s">
        <v>369</v>
      </c>
      <c r="D112" t="s">
        <v>370</v>
      </c>
      <c r="E112" t="s">
        <v>293</v>
      </c>
      <c r="F112" t="s">
        <v>333</v>
      </c>
      <c r="G112" t="s">
        <v>135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132</v>
      </c>
      <c r="B113">
        <v>112</v>
      </c>
      <c r="C113" t="s">
        <v>371</v>
      </c>
      <c r="D113" t="s">
        <v>372</v>
      </c>
      <c r="E113" t="s">
        <v>293</v>
      </c>
      <c r="F113" t="s">
        <v>373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132</v>
      </c>
      <c r="B114">
        <v>113</v>
      </c>
      <c r="C114" t="s">
        <v>374</v>
      </c>
      <c r="D114" t="s">
        <v>375</v>
      </c>
      <c r="E114" t="s">
        <v>293</v>
      </c>
      <c r="F114" t="s">
        <v>373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132</v>
      </c>
      <c r="B115">
        <v>114</v>
      </c>
      <c r="C115" t="s">
        <v>376</v>
      </c>
      <c r="D115" t="s">
        <v>377</v>
      </c>
      <c r="E115" t="s">
        <v>293</v>
      </c>
      <c r="F115" t="s">
        <v>373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132</v>
      </c>
      <c r="B116">
        <v>115</v>
      </c>
      <c r="C116" t="s">
        <v>378</v>
      </c>
      <c r="D116" t="s">
        <v>379</v>
      </c>
      <c r="E116" t="s">
        <v>293</v>
      </c>
      <c r="F116" t="s">
        <v>373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132</v>
      </c>
      <c r="B117">
        <v>116</v>
      </c>
      <c r="C117" t="s">
        <v>380</v>
      </c>
      <c r="D117" t="s">
        <v>381</v>
      </c>
      <c r="E117" t="s">
        <v>293</v>
      </c>
      <c r="F117" t="s">
        <v>373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132</v>
      </c>
      <c r="B118">
        <v>117</v>
      </c>
      <c r="C118" t="s">
        <v>382</v>
      </c>
      <c r="D118" t="s">
        <v>383</v>
      </c>
      <c r="E118" t="s">
        <v>293</v>
      </c>
      <c r="F118" t="s">
        <v>383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132</v>
      </c>
      <c r="B119">
        <v>118</v>
      </c>
      <c r="C119" t="s">
        <v>384</v>
      </c>
      <c r="D119" t="s">
        <v>385</v>
      </c>
      <c r="E119" t="s">
        <v>293</v>
      </c>
      <c r="F119" t="s">
        <v>386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132</v>
      </c>
      <c r="B120">
        <v>119</v>
      </c>
      <c r="C120" t="s">
        <v>387</v>
      </c>
      <c r="D120" t="s">
        <v>388</v>
      </c>
      <c r="E120" t="s">
        <v>293</v>
      </c>
      <c r="F120" t="s">
        <v>389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132</v>
      </c>
      <c r="B121">
        <v>120</v>
      </c>
      <c r="C121" t="s">
        <v>390</v>
      </c>
      <c r="D121" t="s">
        <v>391</v>
      </c>
      <c r="E121" t="s">
        <v>293</v>
      </c>
      <c r="F121" t="s">
        <v>245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132</v>
      </c>
      <c r="B122">
        <v>121</v>
      </c>
      <c r="C122" t="s">
        <v>392</v>
      </c>
      <c r="D122" t="s">
        <v>393</v>
      </c>
      <c r="E122" t="s">
        <v>394</v>
      </c>
      <c r="F122" t="s">
        <v>395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132</v>
      </c>
      <c r="B123">
        <v>122</v>
      </c>
      <c r="C123" t="s">
        <v>396</v>
      </c>
      <c r="D123" t="s">
        <v>397</v>
      </c>
      <c r="E123" t="s">
        <v>394</v>
      </c>
      <c r="F123" t="s">
        <v>395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132</v>
      </c>
      <c r="B124">
        <v>123</v>
      </c>
      <c r="C124" t="s">
        <v>398</v>
      </c>
      <c r="D124" t="s">
        <v>399</v>
      </c>
      <c r="E124" t="s">
        <v>394</v>
      </c>
      <c r="F124" t="s">
        <v>395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132</v>
      </c>
      <c r="B125">
        <v>124</v>
      </c>
      <c r="C125" t="s">
        <v>400</v>
      </c>
      <c r="D125" t="s">
        <v>401</v>
      </c>
      <c r="E125" t="s">
        <v>394</v>
      </c>
      <c r="F125" t="s">
        <v>395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132</v>
      </c>
      <c r="B126">
        <v>125</v>
      </c>
      <c r="C126" t="s">
        <v>402</v>
      </c>
      <c r="D126" t="s">
        <v>403</v>
      </c>
      <c r="E126" t="s">
        <v>394</v>
      </c>
      <c r="F126" t="s">
        <v>395</v>
      </c>
      <c r="G126" t="s">
        <v>135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132</v>
      </c>
      <c r="B127">
        <v>126</v>
      </c>
      <c r="C127" t="s">
        <v>404</v>
      </c>
      <c r="D127" t="s">
        <v>405</v>
      </c>
      <c r="E127" t="s">
        <v>394</v>
      </c>
      <c r="F127" t="s">
        <v>395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132</v>
      </c>
      <c r="B128">
        <v>127</v>
      </c>
      <c r="C128" t="s">
        <v>406</v>
      </c>
      <c r="D128" t="s">
        <v>407</v>
      </c>
      <c r="E128" t="s">
        <v>394</v>
      </c>
      <c r="F128" t="s">
        <v>395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132</v>
      </c>
      <c r="B129">
        <v>128</v>
      </c>
      <c r="C129" t="s">
        <v>408</v>
      </c>
      <c r="D129" t="s">
        <v>409</v>
      </c>
      <c r="E129" t="s">
        <v>394</v>
      </c>
      <c r="F129" t="s">
        <v>395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132</v>
      </c>
      <c r="B130">
        <v>129</v>
      </c>
      <c r="C130" t="s">
        <v>410</v>
      </c>
      <c r="D130" t="s">
        <v>411</v>
      </c>
      <c r="E130" t="s">
        <v>394</v>
      </c>
      <c r="F130" t="s">
        <v>395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132</v>
      </c>
      <c r="B131">
        <v>130</v>
      </c>
      <c r="C131" t="s">
        <v>412</v>
      </c>
      <c r="D131" t="s">
        <v>413</v>
      </c>
      <c r="E131" t="s">
        <v>394</v>
      </c>
      <c r="F131" t="s">
        <v>395</v>
      </c>
      <c r="G131" t="s">
        <v>135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132</v>
      </c>
      <c r="B132">
        <v>131</v>
      </c>
      <c r="C132" t="s">
        <v>414</v>
      </c>
      <c r="D132" t="s">
        <v>415</v>
      </c>
      <c r="E132" t="s">
        <v>394</v>
      </c>
      <c r="F132" t="s">
        <v>395</v>
      </c>
      <c r="G132" t="s">
        <v>135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132</v>
      </c>
      <c r="B133">
        <v>132</v>
      </c>
      <c r="C133" t="s">
        <v>416</v>
      </c>
      <c r="D133" t="s">
        <v>417</v>
      </c>
      <c r="E133" t="s">
        <v>394</v>
      </c>
      <c r="F133" t="s">
        <v>395</v>
      </c>
      <c r="G133" t="s">
        <v>135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132</v>
      </c>
      <c r="B134">
        <v>133</v>
      </c>
      <c r="C134" t="s">
        <v>418</v>
      </c>
      <c r="D134" t="s">
        <v>419</v>
      </c>
      <c r="E134" t="s">
        <v>394</v>
      </c>
      <c r="F134" t="s">
        <v>420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132</v>
      </c>
      <c r="B135">
        <v>134</v>
      </c>
      <c r="C135" t="s">
        <v>421</v>
      </c>
      <c r="D135" t="s">
        <v>422</v>
      </c>
      <c r="E135" t="s">
        <v>394</v>
      </c>
      <c r="F135" t="s">
        <v>420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132</v>
      </c>
      <c r="B136">
        <v>135</v>
      </c>
      <c r="C136" t="s">
        <v>423</v>
      </c>
      <c r="D136" t="s">
        <v>424</v>
      </c>
      <c r="E136" t="s">
        <v>394</v>
      </c>
      <c r="F136" t="s">
        <v>420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132</v>
      </c>
      <c r="B137">
        <v>136</v>
      </c>
      <c r="C137" t="s">
        <v>425</v>
      </c>
      <c r="D137" t="s">
        <v>426</v>
      </c>
      <c r="E137" t="s">
        <v>394</v>
      </c>
      <c r="F137" t="s">
        <v>420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132</v>
      </c>
      <c r="B138">
        <v>137</v>
      </c>
      <c r="C138" t="s">
        <v>427</v>
      </c>
      <c r="D138" t="s">
        <v>428</v>
      </c>
      <c r="E138" t="s">
        <v>394</v>
      </c>
      <c r="F138" t="s">
        <v>420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132</v>
      </c>
      <c r="B139">
        <v>138</v>
      </c>
      <c r="C139" t="s">
        <v>429</v>
      </c>
      <c r="D139" t="s">
        <v>430</v>
      </c>
      <c r="E139" t="s">
        <v>394</v>
      </c>
      <c r="F139" t="s">
        <v>420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132</v>
      </c>
      <c r="B140">
        <v>139</v>
      </c>
      <c r="C140" t="s">
        <v>431</v>
      </c>
      <c r="D140" t="s">
        <v>432</v>
      </c>
      <c r="E140" t="s">
        <v>394</v>
      </c>
      <c r="F140" t="s">
        <v>420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132</v>
      </c>
      <c r="B141">
        <v>140</v>
      </c>
      <c r="C141" t="s">
        <v>433</v>
      </c>
      <c r="D141" t="s">
        <v>434</v>
      </c>
      <c r="E141" t="s">
        <v>394</v>
      </c>
      <c r="F141" t="s">
        <v>420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132</v>
      </c>
      <c r="B142">
        <v>141</v>
      </c>
      <c r="C142" t="s">
        <v>435</v>
      </c>
      <c r="D142" t="s">
        <v>436</v>
      </c>
      <c r="E142" t="s">
        <v>394</v>
      </c>
      <c r="F142" t="s">
        <v>420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132</v>
      </c>
      <c r="B143">
        <v>142</v>
      </c>
      <c r="C143" t="s">
        <v>437</v>
      </c>
      <c r="D143" t="s">
        <v>438</v>
      </c>
      <c r="E143" t="s">
        <v>394</v>
      </c>
      <c r="F143" t="s">
        <v>420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132</v>
      </c>
      <c r="B144">
        <v>143</v>
      </c>
      <c r="C144" t="s">
        <v>439</v>
      </c>
      <c r="D144" t="s">
        <v>440</v>
      </c>
      <c r="E144" t="s">
        <v>394</v>
      </c>
      <c r="F144" t="s">
        <v>420</v>
      </c>
      <c r="G144" t="s">
        <v>135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132</v>
      </c>
      <c r="B145">
        <v>144</v>
      </c>
      <c r="C145" t="s">
        <v>441</v>
      </c>
      <c r="D145" t="s">
        <v>442</v>
      </c>
      <c r="E145" t="s">
        <v>394</v>
      </c>
      <c r="F145" t="s">
        <v>420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132</v>
      </c>
      <c r="B146">
        <v>145</v>
      </c>
      <c r="C146" t="s">
        <v>443</v>
      </c>
      <c r="D146" t="s">
        <v>444</v>
      </c>
      <c r="E146" t="s">
        <v>394</v>
      </c>
      <c r="F146" t="s">
        <v>445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132</v>
      </c>
      <c r="B147">
        <v>146</v>
      </c>
      <c r="C147" t="s">
        <v>446</v>
      </c>
      <c r="D147" t="s">
        <v>447</v>
      </c>
      <c r="E147" t="s">
        <v>394</v>
      </c>
      <c r="F147" t="s">
        <v>445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132</v>
      </c>
      <c r="B148">
        <v>147</v>
      </c>
      <c r="C148" t="s">
        <v>448</v>
      </c>
      <c r="D148" t="s">
        <v>449</v>
      </c>
      <c r="E148" t="s">
        <v>394</v>
      </c>
      <c r="F148" t="s">
        <v>445</v>
      </c>
      <c r="G148" t="s">
        <v>135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132</v>
      </c>
      <c r="B149">
        <v>148</v>
      </c>
      <c r="C149" t="s">
        <v>450</v>
      </c>
      <c r="D149" t="s">
        <v>451</v>
      </c>
      <c r="E149" t="s">
        <v>394</v>
      </c>
      <c r="F149" t="s">
        <v>445</v>
      </c>
      <c r="G149" t="s">
        <v>135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132</v>
      </c>
      <c r="B150">
        <v>149</v>
      </c>
      <c r="C150" t="s">
        <v>452</v>
      </c>
      <c r="D150" t="s">
        <v>453</v>
      </c>
      <c r="E150" t="s">
        <v>394</v>
      </c>
      <c r="F150" t="s">
        <v>454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132</v>
      </c>
      <c r="B151">
        <v>150</v>
      </c>
      <c r="C151" t="s">
        <v>455</v>
      </c>
      <c r="D151" t="s">
        <v>456</v>
      </c>
      <c r="E151" t="s">
        <v>394</v>
      </c>
      <c r="F151" t="s">
        <v>454</v>
      </c>
      <c r="G151" t="s">
        <v>135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132</v>
      </c>
      <c r="B152">
        <v>151</v>
      </c>
      <c r="C152" t="s">
        <v>457</v>
      </c>
      <c r="D152" t="s">
        <v>458</v>
      </c>
      <c r="E152" t="s">
        <v>394</v>
      </c>
      <c r="F152" t="s">
        <v>454</v>
      </c>
      <c r="G152" t="s">
        <v>135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132</v>
      </c>
      <c r="B153">
        <v>152</v>
      </c>
      <c r="C153" t="s">
        <v>459</v>
      </c>
      <c r="D153" t="s">
        <v>460</v>
      </c>
      <c r="E153" t="s">
        <v>394</v>
      </c>
      <c r="F153" t="s">
        <v>461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132</v>
      </c>
      <c r="B154">
        <v>153</v>
      </c>
      <c r="C154" t="s">
        <v>462</v>
      </c>
      <c r="D154" t="s">
        <v>463</v>
      </c>
      <c r="E154" t="s">
        <v>394</v>
      </c>
      <c r="F154" t="s">
        <v>461</v>
      </c>
      <c r="G154" t="s">
        <v>135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132</v>
      </c>
      <c r="B155">
        <v>154</v>
      </c>
      <c r="C155" t="s">
        <v>464</v>
      </c>
      <c r="D155" t="s">
        <v>465</v>
      </c>
      <c r="E155" t="s">
        <v>394</v>
      </c>
      <c r="F155" t="s">
        <v>461</v>
      </c>
      <c r="G155" t="s">
        <v>135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132</v>
      </c>
      <c r="B156">
        <v>155</v>
      </c>
      <c r="C156" t="s">
        <v>466</v>
      </c>
      <c r="D156" t="s">
        <v>467</v>
      </c>
      <c r="E156" t="s">
        <v>394</v>
      </c>
      <c r="F156" t="s">
        <v>467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132</v>
      </c>
      <c r="B157">
        <v>156</v>
      </c>
      <c r="C157" t="s">
        <v>468</v>
      </c>
      <c r="D157" t="s">
        <v>469</v>
      </c>
      <c r="E157" t="s">
        <v>394</v>
      </c>
      <c r="F157" t="s">
        <v>245</v>
      </c>
      <c r="G157" t="s">
        <v>135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132</v>
      </c>
      <c r="B158">
        <v>157</v>
      </c>
      <c r="C158" t="s">
        <v>470</v>
      </c>
      <c r="D158" t="s">
        <v>471</v>
      </c>
      <c r="E158" t="s">
        <v>472</v>
      </c>
      <c r="F158" t="s">
        <v>473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132</v>
      </c>
      <c r="B159">
        <v>158</v>
      </c>
      <c r="C159" t="s">
        <v>474</v>
      </c>
      <c r="D159" t="s">
        <v>475</v>
      </c>
      <c r="E159" t="s">
        <v>472</v>
      </c>
      <c r="F159" t="s">
        <v>473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132</v>
      </c>
      <c r="B160">
        <v>159</v>
      </c>
      <c r="C160" t="s">
        <v>476</v>
      </c>
      <c r="D160" t="s">
        <v>477</v>
      </c>
      <c r="E160" t="s">
        <v>472</v>
      </c>
      <c r="F160" t="s">
        <v>473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132</v>
      </c>
      <c r="B161">
        <v>160</v>
      </c>
      <c r="C161" t="s">
        <v>478</v>
      </c>
      <c r="D161" t="s">
        <v>479</v>
      </c>
      <c r="E161" t="s">
        <v>480</v>
      </c>
      <c r="F161" t="s">
        <v>480</v>
      </c>
      <c r="G161" t="s">
        <v>135</v>
      </c>
      <c r="H161">
        <v>83197</v>
      </c>
      <c r="I161">
        <v>81.483055555555495</v>
      </c>
      <c r="J161">
        <v>1021.0343663815499</v>
      </c>
      <c r="K161">
        <v>1047.82115869017</v>
      </c>
      <c r="L161">
        <v>79.400000000000006</v>
      </c>
      <c r="M161">
        <v>-2.0830555555555499</v>
      </c>
      <c r="N161">
        <v>0.97443572112811405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132</v>
      </c>
      <c r="B162">
        <v>161</v>
      </c>
      <c r="C162" t="s">
        <v>481</v>
      </c>
      <c r="D162" t="s">
        <v>482</v>
      </c>
      <c r="E162" t="s">
        <v>480</v>
      </c>
      <c r="F162" t="s">
        <v>480</v>
      </c>
      <c r="G162" t="s">
        <v>135</v>
      </c>
      <c r="H162">
        <v>83197</v>
      </c>
      <c r="I162">
        <v>0</v>
      </c>
      <c r="J162">
        <v>0</v>
      </c>
      <c r="K162">
        <v>7848.7735849056598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132</v>
      </c>
      <c r="B163">
        <v>162</v>
      </c>
      <c r="C163" t="s">
        <v>483</v>
      </c>
      <c r="D163" t="s">
        <v>484</v>
      </c>
      <c r="E163" t="s">
        <v>480</v>
      </c>
      <c r="F163" t="s">
        <v>480</v>
      </c>
      <c r="G163" t="s">
        <v>135</v>
      </c>
      <c r="H163">
        <v>83197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132</v>
      </c>
      <c r="B164">
        <v>163</v>
      </c>
      <c r="C164" t="s">
        <v>485</v>
      </c>
      <c r="D164" t="s">
        <v>486</v>
      </c>
      <c r="E164" t="s">
        <v>480</v>
      </c>
      <c r="F164" t="s">
        <v>480</v>
      </c>
      <c r="G164" t="s">
        <v>135</v>
      </c>
      <c r="H164">
        <v>83197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132</v>
      </c>
      <c r="B165">
        <v>164</v>
      </c>
      <c r="C165" t="s">
        <v>487</v>
      </c>
      <c r="D165" t="s">
        <v>488</v>
      </c>
      <c r="E165" t="s">
        <v>480</v>
      </c>
      <c r="F165" t="s">
        <v>480</v>
      </c>
      <c r="G165" t="s">
        <v>135</v>
      </c>
      <c r="H165">
        <v>141857</v>
      </c>
      <c r="I165">
        <v>40.3333333333333</v>
      </c>
      <c r="J165">
        <v>3517.1157024793301</v>
      </c>
      <c r="K165">
        <v>2499.999984</v>
      </c>
      <c r="L165">
        <v>56.742800363153897</v>
      </c>
      <c r="M165">
        <v>16.409467029820501</v>
      </c>
      <c r="N165">
        <v>1.4068462899955501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132</v>
      </c>
      <c r="B166">
        <v>165</v>
      </c>
      <c r="C166" t="s">
        <v>489</v>
      </c>
      <c r="D166" t="s">
        <v>490</v>
      </c>
      <c r="E166" t="s">
        <v>480</v>
      </c>
      <c r="F166" t="s">
        <v>480</v>
      </c>
      <c r="G166" t="s">
        <v>135</v>
      </c>
      <c r="H166">
        <v>83197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132</v>
      </c>
      <c r="B167">
        <v>166</v>
      </c>
      <c r="C167" t="s">
        <v>491</v>
      </c>
      <c r="D167" t="s">
        <v>492</v>
      </c>
      <c r="E167" t="s">
        <v>493</v>
      </c>
      <c r="F167" t="s">
        <v>494</v>
      </c>
      <c r="G167" t="s">
        <v>344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132</v>
      </c>
      <c r="B168">
        <v>167</v>
      </c>
      <c r="C168" t="s">
        <v>495</v>
      </c>
      <c r="D168" t="s">
        <v>496</v>
      </c>
      <c r="E168" t="s">
        <v>493</v>
      </c>
      <c r="F168" t="s">
        <v>494</v>
      </c>
      <c r="G168" t="s">
        <v>344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132</v>
      </c>
      <c r="B169">
        <v>168</v>
      </c>
      <c r="C169" t="s">
        <v>497</v>
      </c>
      <c r="D169" t="s">
        <v>498</v>
      </c>
      <c r="E169" t="s">
        <v>493</v>
      </c>
      <c r="F169" t="s">
        <v>494</v>
      </c>
      <c r="G169" t="s">
        <v>344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499</v>
      </c>
      <c r="B170">
        <v>1</v>
      </c>
      <c r="C170" t="s">
        <v>500</v>
      </c>
      <c r="D170" t="s">
        <v>501</v>
      </c>
      <c r="E170" t="s">
        <v>502</v>
      </c>
      <c r="F170" t="s">
        <v>502</v>
      </c>
      <c r="G170" t="s">
        <v>62</v>
      </c>
      <c r="H170">
        <v>58660</v>
      </c>
      <c r="I170">
        <v>222.12805555555499</v>
      </c>
      <c r="J170">
        <v>264.08190470711901</v>
      </c>
      <c r="K170">
        <v>254.809858308244</v>
      </c>
      <c r="L170">
        <v>230.21087327413699</v>
      </c>
      <c r="M170">
        <v>8.0828177185814098</v>
      </c>
      <c r="N170">
        <v>1.03638809919064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499</v>
      </c>
      <c r="B171">
        <v>2</v>
      </c>
      <c r="C171" t="s">
        <v>503</v>
      </c>
      <c r="D171" t="s">
        <v>504</v>
      </c>
      <c r="E171" t="s">
        <v>502</v>
      </c>
      <c r="F171" t="s">
        <v>502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499</v>
      </c>
      <c r="B172">
        <v>3</v>
      </c>
      <c r="C172" t="s">
        <v>505</v>
      </c>
      <c r="D172" t="s">
        <v>506</v>
      </c>
      <c r="E172" t="s">
        <v>502</v>
      </c>
      <c r="F172" t="s">
        <v>502</v>
      </c>
      <c r="G172" t="s">
        <v>62</v>
      </c>
      <c r="H172">
        <v>58660</v>
      </c>
      <c r="I172">
        <v>222.12805555555499</v>
      </c>
      <c r="J172">
        <v>264.08190470711901</v>
      </c>
      <c r="K172">
        <v>254.809858308244</v>
      </c>
      <c r="L172">
        <v>230.21087327413699</v>
      </c>
      <c r="M172">
        <v>8.0828177185814098</v>
      </c>
      <c r="N172">
        <v>1.03638809919064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499</v>
      </c>
      <c r="B173">
        <v>4</v>
      </c>
      <c r="C173" t="s">
        <v>507</v>
      </c>
      <c r="D173" t="s">
        <v>293</v>
      </c>
      <c r="E173" t="s">
        <v>502</v>
      </c>
      <c r="F173" t="s">
        <v>502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499</v>
      </c>
      <c r="B174">
        <v>5</v>
      </c>
      <c r="C174" t="s">
        <v>508</v>
      </c>
      <c r="D174" t="s">
        <v>509</v>
      </c>
      <c r="E174" t="s">
        <v>502</v>
      </c>
      <c r="F174" t="s">
        <v>502</v>
      </c>
      <c r="G174" t="s">
        <v>62</v>
      </c>
      <c r="H174">
        <v>83197</v>
      </c>
      <c r="I174">
        <v>458.58694444444399</v>
      </c>
      <c r="J174">
        <v>181.42034135051301</v>
      </c>
      <c r="K174">
        <v>220.36222130514801</v>
      </c>
      <c r="L174">
        <v>377.546566318153</v>
      </c>
      <c r="M174">
        <v>-81.040378126290904</v>
      </c>
      <c r="N174">
        <v>0.82328241327395901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499</v>
      </c>
      <c r="B175">
        <v>6</v>
      </c>
      <c r="C175" t="s">
        <v>510</v>
      </c>
      <c r="D175" t="s">
        <v>394</v>
      </c>
      <c r="E175" t="s">
        <v>502</v>
      </c>
      <c r="F175" t="s">
        <v>502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499</v>
      </c>
      <c r="B176">
        <v>7</v>
      </c>
      <c r="C176" t="s">
        <v>511</v>
      </c>
      <c r="D176" t="s">
        <v>473</v>
      </c>
      <c r="E176" t="s">
        <v>502</v>
      </c>
      <c r="F176" t="s">
        <v>502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499</v>
      </c>
      <c r="B177">
        <v>8</v>
      </c>
      <c r="C177" t="s">
        <v>512</v>
      </c>
      <c r="D177" t="s">
        <v>480</v>
      </c>
      <c r="E177" t="s">
        <v>502</v>
      </c>
      <c r="F177" t="s">
        <v>502</v>
      </c>
      <c r="G177" t="s">
        <v>62</v>
      </c>
      <c r="H177">
        <v>83197</v>
      </c>
      <c r="I177">
        <v>121.816388888888</v>
      </c>
      <c r="J177">
        <v>682.97049977310996</v>
      </c>
      <c r="K177">
        <v>566.95796859612096</v>
      </c>
      <c r="L177">
        <v>146.74280036315301</v>
      </c>
      <c r="M177">
        <v>24.926411474264999</v>
      </c>
      <c r="N177">
        <v>1.20462280733835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499</v>
      </c>
      <c r="B178">
        <v>9</v>
      </c>
      <c r="C178" t="s">
        <v>513</v>
      </c>
      <c r="D178" t="s">
        <v>493</v>
      </c>
      <c r="E178" t="s">
        <v>502</v>
      </c>
      <c r="F178" t="s">
        <v>502</v>
      </c>
      <c r="G178" t="s">
        <v>344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499</v>
      </c>
      <c r="B179">
        <v>10</v>
      </c>
      <c r="C179" t="s">
        <v>514</v>
      </c>
      <c r="D179" t="s">
        <v>515</v>
      </c>
      <c r="E179" t="s">
        <v>502</v>
      </c>
      <c r="F179" t="s">
        <v>502</v>
      </c>
      <c r="G179" t="s">
        <v>62</v>
      </c>
      <c r="H179">
        <v>141857</v>
      </c>
      <c r="I179">
        <v>802.53138888888805</v>
      </c>
      <c r="J179">
        <v>176.76193350692699</v>
      </c>
      <c r="K179">
        <v>188.01451939680899</v>
      </c>
      <c r="L179">
        <v>754.50023995544404</v>
      </c>
      <c r="M179">
        <v>-48.0311489334443</v>
      </c>
      <c r="N179">
        <v>0.94015044196595898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516</v>
      </c>
      <c r="B180">
        <v>1</v>
      </c>
      <c r="C180" t="s">
        <v>517</v>
      </c>
      <c r="D180" t="s">
        <v>13</v>
      </c>
      <c r="E180" t="s">
        <v>518</v>
      </c>
      <c r="F180" t="s">
        <v>518</v>
      </c>
      <c r="G180" t="s">
        <v>62</v>
      </c>
      <c r="H180">
        <v>58660</v>
      </c>
      <c r="I180">
        <v>222.12805555555499</v>
      </c>
      <c r="J180">
        <v>264.08190470711901</v>
      </c>
      <c r="K180">
        <v>254.809858308244</v>
      </c>
      <c r="L180">
        <v>230.21087327413699</v>
      </c>
      <c r="M180">
        <v>8.0828177185814098</v>
      </c>
      <c r="N180">
        <v>1.03638809919064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516</v>
      </c>
      <c r="B181">
        <v>2</v>
      </c>
      <c r="C181" t="s">
        <v>519</v>
      </c>
      <c r="D181" t="s">
        <v>520</v>
      </c>
      <c r="E181" t="s">
        <v>518</v>
      </c>
      <c r="F181" t="s">
        <v>518</v>
      </c>
      <c r="G181" t="s">
        <v>62</v>
      </c>
      <c r="H181">
        <v>83197</v>
      </c>
      <c r="I181">
        <v>458.58694444444399</v>
      </c>
      <c r="J181">
        <v>181.42034135051301</v>
      </c>
      <c r="K181">
        <v>220.36222130514801</v>
      </c>
      <c r="L181">
        <v>377.546566318153</v>
      </c>
      <c r="M181">
        <v>-81.040378126290904</v>
      </c>
      <c r="N181">
        <v>0.82328241327395901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516</v>
      </c>
      <c r="B182">
        <v>3</v>
      </c>
      <c r="C182" t="s">
        <v>521</v>
      </c>
      <c r="D182" t="s">
        <v>394</v>
      </c>
      <c r="E182" t="s">
        <v>518</v>
      </c>
      <c r="F182" t="s">
        <v>518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516</v>
      </c>
      <c r="B183">
        <v>4</v>
      </c>
      <c r="C183" t="s">
        <v>522</v>
      </c>
      <c r="D183" t="s">
        <v>480</v>
      </c>
      <c r="E183" t="s">
        <v>518</v>
      </c>
      <c r="F183" t="s">
        <v>518</v>
      </c>
      <c r="G183" t="s">
        <v>62</v>
      </c>
      <c r="H183">
        <v>83197</v>
      </c>
      <c r="I183">
        <v>121.816388888888</v>
      </c>
      <c r="J183">
        <v>682.97049977310996</v>
      </c>
      <c r="K183">
        <v>566.95796859612096</v>
      </c>
      <c r="L183">
        <v>146.74280036315301</v>
      </c>
      <c r="M183">
        <v>24.926411474264999</v>
      </c>
      <c r="N183">
        <v>1.20462280733835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516</v>
      </c>
      <c r="B184">
        <v>5</v>
      </c>
      <c r="C184" t="s">
        <v>523</v>
      </c>
      <c r="D184" t="s">
        <v>493</v>
      </c>
      <c r="E184" t="s">
        <v>518</v>
      </c>
      <c r="F184" t="s">
        <v>518</v>
      </c>
      <c r="G184" t="s">
        <v>344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516</v>
      </c>
      <c r="B185">
        <v>6</v>
      </c>
      <c r="C185" t="s">
        <v>524</v>
      </c>
      <c r="D185" t="s">
        <v>515</v>
      </c>
      <c r="E185" t="s">
        <v>518</v>
      </c>
      <c r="F185" t="s">
        <v>518</v>
      </c>
      <c r="G185" t="s">
        <v>62</v>
      </c>
      <c r="H185">
        <v>141857</v>
      </c>
      <c r="I185">
        <v>802.53138888888805</v>
      </c>
      <c r="J185">
        <v>176.76193350692699</v>
      </c>
      <c r="K185">
        <v>188.01451939680899</v>
      </c>
      <c r="L185">
        <v>754.50023995544404</v>
      </c>
      <c r="M185">
        <v>-48.0311489334443</v>
      </c>
      <c r="N185">
        <v>0.94015044196595898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t="s">
        <v>119</v>
      </c>
      <c r="G1" t="s">
        <v>52</v>
      </c>
      <c r="H1" t="s">
        <v>120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</row>
    <row r="2" spans="1:19" x14ac:dyDescent="0.35">
      <c r="A2" t="s">
        <v>132</v>
      </c>
      <c r="B2">
        <v>1</v>
      </c>
      <c r="C2" t="s">
        <v>133</v>
      </c>
      <c r="D2" t="s">
        <v>6</v>
      </c>
      <c r="E2" t="s">
        <v>13</v>
      </c>
      <c r="F2" t="s">
        <v>134</v>
      </c>
      <c r="G2" t="s">
        <v>135</v>
      </c>
      <c r="H2">
        <v>52761</v>
      </c>
      <c r="I2">
        <v>30.1666666666666</v>
      </c>
      <c r="J2">
        <v>1748.98342541436</v>
      </c>
      <c r="K2">
        <v>995.00000399999999</v>
      </c>
      <c r="L2">
        <v>53.026130440095898</v>
      </c>
      <c r="M2">
        <v>22.859463773429201</v>
      </c>
      <c r="N2">
        <v>1.75777227978218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132</v>
      </c>
      <c r="B3">
        <v>2</v>
      </c>
      <c r="C3" t="s">
        <v>136</v>
      </c>
      <c r="D3" t="s">
        <v>137</v>
      </c>
      <c r="E3" t="s">
        <v>13</v>
      </c>
      <c r="F3" t="s">
        <v>134</v>
      </c>
      <c r="G3" t="s">
        <v>62</v>
      </c>
      <c r="H3">
        <v>1616</v>
      </c>
      <c r="I3">
        <v>1.7097222222222199</v>
      </c>
      <c r="J3">
        <v>945.18277822908203</v>
      </c>
      <c r="K3">
        <v>275.00000399999999</v>
      </c>
      <c r="L3">
        <v>5.8763635508892502</v>
      </c>
      <c r="M3">
        <v>4.1666413286670299</v>
      </c>
      <c r="N3">
        <v>3.4370282344762502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132</v>
      </c>
      <c r="B4">
        <v>3</v>
      </c>
      <c r="C4" t="s">
        <v>138</v>
      </c>
      <c r="D4" t="s">
        <v>139</v>
      </c>
      <c r="E4" t="s">
        <v>13</v>
      </c>
      <c r="F4" t="s">
        <v>134</v>
      </c>
      <c r="G4" t="s">
        <v>62</v>
      </c>
      <c r="H4">
        <v>6459</v>
      </c>
      <c r="I4">
        <v>17.4169444444444</v>
      </c>
      <c r="J4">
        <v>370.84576003572499</v>
      </c>
      <c r="K4">
        <v>101.999988</v>
      </c>
      <c r="L4">
        <v>63.323536861592501</v>
      </c>
      <c r="M4">
        <v>45.906592417148097</v>
      </c>
      <c r="N4">
        <v>3.6357431731827701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132</v>
      </c>
      <c r="B5">
        <v>4</v>
      </c>
      <c r="C5" t="s">
        <v>140</v>
      </c>
      <c r="D5" t="s">
        <v>141</v>
      </c>
      <c r="E5" t="s">
        <v>13</v>
      </c>
      <c r="F5" t="s">
        <v>134</v>
      </c>
      <c r="G5" t="s">
        <v>62</v>
      </c>
      <c r="H5">
        <v>9</v>
      </c>
      <c r="I5">
        <v>0.32805555555555499</v>
      </c>
      <c r="J5">
        <v>27.4343776460626</v>
      </c>
      <c r="K5">
        <v>52.999991999999999</v>
      </c>
      <c r="L5">
        <v>0.16981134638661799</v>
      </c>
      <c r="M5">
        <v>-0.158244209168937</v>
      </c>
      <c r="N5">
        <v>0.51762984503964904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132</v>
      </c>
      <c r="B6">
        <v>5</v>
      </c>
      <c r="C6" t="s">
        <v>142</v>
      </c>
      <c r="D6" t="s">
        <v>143</v>
      </c>
      <c r="E6" t="s">
        <v>13</v>
      </c>
      <c r="F6" t="s">
        <v>134</v>
      </c>
      <c r="G6" t="s">
        <v>62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132</v>
      </c>
      <c r="B7">
        <v>6</v>
      </c>
      <c r="C7" t="s">
        <v>144</v>
      </c>
      <c r="D7" t="s">
        <v>145</v>
      </c>
      <c r="E7" t="s">
        <v>13</v>
      </c>
      <c r="F7" t="s">
        <v>134</v>
      </c>
      <c r="G7" t="s">
        <v>62</v>
      </c>
      <c r="H7">
        <v>8084</v>
      </c>
      <c r="I7">
        <v>19.454722222222198</v>
      </c>
      <c r="J7">
        <v>415.52893470594103</v>
      </c>
      <c r="K7">
        <v>116.535009228527</v>
      </c>
      <c r="L7">
        <v>69.369711758868405</v>
      </c>
      <c r="M7">
        <v>49.914989536646203</v>
      </c>
      <c r="N7">
        <v>3.5657004487903001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132</v>
      </c>
      <c r="B8">
        <v>7</v>
      </c>
      <c r="C8" t="s">
        <v>146</v>
      </c>
      <c r="D8" t="s">
        <v>147</v>
      </c>
      <c r="E8" t="s">
        <v>13</v>
      </c>
      <c r="F8" t="s">
        <v>134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132</v>
      </c>
      <c r="B9">
        <v>8</v>
      </c>
      <c r="C9" t="s">
        <v>148</v>
      </c>
      <c r="D9" t="s">
        <v>149</v>
      </c>
      <c r="E9" t="s">
        <v>13</v>
      </c>
      <c r="F9" t="s">
        <v>134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132</v>
      </c>
      <c r="B10">
        <v>9</v>
      </c>
      <c r="C10" t="s">
        <v>150</v>
      </c>
      <c r="D10" t="s">
        <v>151</v>
      </c>
      <c r="E10" t="s">
        <v>13</v>
      </c>
      <c r="F10" t="s">
        <v>134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132</v>
      </c>
      <c r="B11">
        <v>10</v>
      </c>
      <c r="C11" t="s">
        <v>152</v>
      </c>
      <c r="D11" t="s">
        <v>153</v>
      </c>
      <c r="E11" t="s">
        <v>13</v>
      </c>
      <c r="F11" t="s">
        <v>134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132</v>
      </c>
      <c r="B12">
        <v>11</v>
      </c>
      <c r="C12" t="s">
        <v>154</v>
      </c>
      <c r="D12" t="s">
        <v>155</v>
      </c>
      <c r="E12" t="s">
        <v>13</v>
      </c>
      <c r="F12" t="s">
        <v>134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132</v>
      </c>
      <c r="B13">
        <v>12</v>
      </c>
      <c r="C13" t="s">
        <v>156</v>
      </c>
      <c r="D13" t="s">
        <v>157</v>
      </c>
      <c r="E13" t="s">
        <v>13</v>
      </c>
      <c r="F13" t="s">
        <v>134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132</v>
      </c>
      <c r="B14">
        <v>13</v>
      </c>
      <c r="C14" t="s">
        <v>158</v>
      </c>
      <c r="D14" t="s">
        <v>7</v>
      </c>
      <c r="E14" t="s">
        <v>13</v>
      </c>
      <c r="F14" t="s">
        <v>134</v>
      </c>
      <c r="G14" t="s">
        <v>68</v>
      </c>
      <c r="H14">
        <v>5147</v>
      </c>
      <c r="I14">
        <v>9.24</v>
      </c>
      <c r="J14">
        <v>557.03463203463195</v>
      </c>
      <c r="K14">
        <v>524.99998800000003</v>
      </c>
      <c r="L14">
        <v>9.8038097478966009</v>
      </c>
      <c r="M14">
        <v>0.56380974789660299</v>
      </c>
      <c r="N14">
        <v>1.06101837098448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132</v>
      </c>
      <c r="B15">
        <v>14</v>
      </c>
      <c r="C15" t="s">
        <v>159</v>
      </c>
      <c r="D15" t="s">
        <v>160</v>
      </c>
      <c r="E15" t="s">
        <v>13</v>
      </c>
      <c r="F15" t="s">
        <v>134</v>
      </c>
      <c r="G15" t="s">
        <v>69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132</v>
      </c>
      <c r="B16">
        <v>15</v>
      </c>
      <c r="C16" t="s">
        <v>161</v>
      </c>
      <c r="D16" t="s">
        <v>162</v>
      </c>
      <c r="E16" t="s">
        <v>13</v>
      </c>
      <c r="F16" t="s">
        <v>134</v>
      </c>
      <c r="G16" t="s">
        <v>135</v>
      </c>
      <c r="H16">
        <v>52761</v>
      </c>
      <c r="I16">
        <v>48.014722222222197</v>
      </c>
      <c r="J16">
        <v>1098.8504683169999</v>
      </c>
      <c r="K16">
        <v>2000.00001599999</v>
      </c>
      <c r="L16">
        <v>26.380499788956001</v>
      </c>
      <c r="M16">
        <v>-21.634222433266199</v>
      </c>
      <c r="N16">
        <v>0.54942522976310204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132</v>
      </c>
      <c r="B17">
        <v>16</v>
      </c>
      <c r="C17" t="s">
        <v>163</v>
      </c>
      <c r="D17" t="s">
        <v>164</v>
      </c>
      <c r="E17" t="s">
        <v>13</v>
      </c>
      <c r="F17" t="s">
        <v>134</v>
      </c>
      <c r="G17" t="s">
        <v>62</v>
      </c>
      <c r="H17">
        <v>52761</v>
      </c>
      <c r="I17">
        <v>106.876111111111</v>
      </c>
      <c r="J17">
        <v>493.66504311846001</v>
      </c>
      <c r="K17">
        <v>332.708724405157</v>
      </c>
      <c r="L17">
        <v>158.580151735817</v>
      </c>
      <c r="M17">
        <v>51.704040624705897</v>
      </c>
      <c r="N17">
        <v>1.48377546756873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132</v>
      </c>
      <c r="B18">
        <v>17</v>
      </c>
      <c r="C18" t="s">
        <v>165</v>
      </c>
      <c r="D18" t="s">
        <v>166</v>
      </c>
      <c r="E18" t="s">
        <v>13</v>
      </c>
      <c r="F18" t="s">
        <v>167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132</v>
      </c>
      <c r="B19">
        <v>18</v>
      </c>
      <c r="C19" t="s">
        <v>168</v>
      </c>
      <c r="D19" t="s">
        <v>169</v>
      </c>
      <c r="E19" t="s">
        <v>13</v>
      </c>
      <c r="F19" t="s">
        <v>167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132</v>
      </c>
      <c r="B20">
        <v>19</v>
      </c>
      <c r="C20" t="s">
        <v>170</v>
      </c>
      <c r="D20" t="s">
        <v>171</v>
      </c>
      <c r="E20" t="s">
        <v>13</v>
      </c>
      <c r="F20" t="s">
        <v>167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132</v>
      </c>
      <c r="B21">
        <v>20</v>
      </c>
      <c r="C21" t="s">
        <v>172</v>
      </c>
      <c r="D21" t="s">
        <v>173</v>
      </c>
      <c r="E21" t="s">
        <v>13</v>
      </c>
      <c r="F21" t="s">
        <v>167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132</v>
      </c>
      <c r="B22">
        <v>21</v>
      </c>
      <c r="C22" t="s">
        <v>174</v>
      </c>
      <c r="D22" t="s">
        <v>175</v>
      </c>
      <c r="E22" t="s">
        <v>13</v>
      </c>
      <c r="F22" t="s">
        <v>167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132</v>
      </c>
      <c r="B23">
        <v>22</v>
      </c>
      <c r="C23" t="s">
        <v>176</v>
      </c>
      <c r="D23" t="s">
        <v>177</v>
      </c>
      <c r="E23" t="s">
        <v>13</v>
      </c>
      <c r="F23" t="s">
        <v>167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132</v>
      </c>
      <c r="B24">
        <v>23</v>
      </c>
      <c r="C24" t="s">
        <v>178</v>
      </c>
      <c r="D24" t="s">
        <v>179</v>
      </c>
      <c r="E24" t="s">
        <v>13</v>
      </c>
      <c r="F24" t="s">
        <v>167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132</v>
      </c>
      <c r="B25">
        <v>24</v>
      </c>
      <c r="C25" t="s">
        <v>180</v>
      </c>
      <c r="D25" t="s">
        <v>181</v>
      </c>
      <c r="E25" t="s">
        <v>13</v>
      </c>
      <c r="F25" t="s">
        <v>167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132</v>
      </c>
      <c r="B26">
        <v>25</v>
      </c>
      <c r="C26" t="s">
        <v>182</v>
      </c>
      <c r="D26" t="s">
        <v>183</v>
      </c>
      <c r="E26" t="s">
        <v>13</v>
      </c>
      <c r="F26" t="s">
        <v>167</v>
      </c>
      <c r="G26" t="s">
        <v>135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132</v>
      </c>
      <c r="B27">
        <v>26</v>
      </c>
      <c r="C27" t="s">
        <v>184</v>
      </c>
      <c r="D27" t="s">
        <v>185</v>
      </c>
      <c r="E27" t="s">
        <v>13</v>
      </c>
      <c r="F27" t="s">
        <v>167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132</v>
      </c>
      <c r="B28">
        <v>27</v>
      </c>
      <c r="C28" t="s">
        <v>186</v>
      </c>
      <c r="D28" t="s">
        <v>187</v>
      </c>
      <c r="E28" t="s">
        <v>13</v>
      </c>
      <c r="F28" t="s">
        <v>188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132</v>
      </c>
      <c r="B29">
        <v>28</v>
      </c>
      <c r="C29" t="s">
        <v>189</v>
      </c>
      <c r="D29" t="s">
        <v>190</v>
      </c>
      <c r="E29" t="s">
        <v>13</v>
      </c>
      <c r="F29" t="s">
        <v>188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132</v>
      </c>
      <c r="B30">
        <v>29</v>
      </c>
      <c r="C30" t="s">
        <v>191</v>
      </c>
      <c r="D30" t="s">
        <v>192</v>
      </c>
      <c r="E30" t="s">
        <v>13</v>
      </c>
      <c r="F30" t="s">
        <v>188</v>
      </c>
      <c r="G30" t="s">
        <v>62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132</v>
      </c>
      <c r="B31">
        <v>30</v>
      </c>
      <c r="C31" t="s">
        <v>193</v>
      </c>
      <c r="D31" t="s">
        <v>194</v>
      </c>
      <c r="E31" t="s">
        <v>13</v>
      </c>
      <c r="F31" t="s">
        <v>188</v>
      </c>
      <c r="G31" t="s">
        <v>62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132</v>
      </c>
      <c r="B32">
        <v>31</v>
      </c>
      <c r="C32" t="s">
        <v>195</v>
      </c>
      <c r="D32" t="s">
        <v>196</v>
      </c>
      <c r="E32" t="s">
        <v>13</v>
      </c>
      <c r="F32" t="s">
        <v>188</v>
      </c>
      <c r="G32" t="s">
        <v>62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132</v>
      </c>
      <c r="B33">
        <v>32</v>
      </c>
      <c r="C33" t="s">
        <v>197</v>
      </c>
      <c r="D33" t="s">
        <v>198</v>
      </c>
      <c r="E33" t="s">
        <v>13</v>
      </c>
      <c r="F33" t="s">
        <v>188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132</v>
      </c>
      <c r="B34">
        <v>33</v>
      </c>
      <c r="C34" t="s">
        <v>199</v>
      </c>
      <c r="D34" t="s">
        <v>200</v>
      </c>
      <c r="E34" t="s">
        <v>13</v>
      </c>
      <c r="F34" t="s">
        <v>188</v>
      </c>
      <c r="G34" t="s">
        <v>62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132</v>
      </c>
      <c r="B35">
        <v>34</v>
      </c>
      <c r="C35" t="s">
        <v>201</v>
      </c>
      <c r="D35" t="s">
        <v>202</v>
      </c>
      <c r="E35" t="s">
        <v>13</v>
      </c>
      <c r="F35" t="s">
        <v>188</v>
      </c>
      <c r="G35" t="s">
        <v>135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132</v>
      </c>
      <c r="B36">
        <v>35</v>
      </c>
      <c r="C36" t="s">
        <v>203</v>
      </c>
      <c r="D36" t="s">
        <v>204</v>
      </c>
      <c r="E36" t="s">
        <v>13</v>
      </c>
      <c r="F36" t="s">
        <v>188</v>
      </c>
      <c r="G36" t="s">
        <v>135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132</v>
      </c>
      <c r="B37">
        <v>36</v>
      </c>
      <c r="C37" t="s">
        <v>205</v>
      </c>
      <c r="D37" t="s">
        <v>206</v>
      </c>
      <c r="E37" t="s">
        <v>13</v>
      </c>
      <c r="F37" t="s">
        <v>207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132</v>
      </c>
      <c r="B38">
        <v>37</v>
      </c>
      <c r="C38" t="s">
        <v>208</v>
      </c>
      <c r="D38" t="s">
        <v>209</v>
      </c>
      <c r="E38" t="s">
        <v>13</v>
      </c>
      <c r="F38" t="s">
        <v>207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132</v>
      </c>
      <c r="B39">
        <v>38</v>
      </c>
      <c r="C39" t="s">
        <v>210</v>
      </c>
      <c r="D39" t="s">
        <v>211</v>
      </c>
      <c r="E39" t="s">
        <v>13</v>
      </c>
      <c r="F39" t="s">
        <v>207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132</v>
      </c>
      <c r="B40">
        <v>39</v>
      </c>
      <c r="C40" t="s">
        <v>212</v>
      </c>
      <c r="D40" t="s">
        <v>213</v>
      </c>
      <c r="E40" t="s">
        <v>13</v>
      </c>
      <c r="F40" t="s">
        <v>207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132</v>
      </c>
      <c r="B41">
        <v>40</v>
      </c>
      <c r="C41" t="s">
        <v>214</v>
      </c>
      <c r="D41" t="s">
        <v>215</v>
      </c>
      <c r="E41" t="s">
        <v>13</v>
      </c>
      <c r="F41" t="s">
        <v>207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132</v>
      </c>
      <c r="B42">
        <v>41</v>
      </c>
      <c r="C42" t="s">
        <v>216</v>
      </c>
      <c r="D42" t="s">
        <v>217</v>
      </c>
      <c r="E42" t="s">
        <v>13</v>
      </c>
      <c r="F42" t="s">
        <v>207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132</v>
      </c>
      <c r="B43">
        <v>42</v>
      </c>
      <c r="C43" t="s">
        <v>218</v>
      </c>
      <c r="D43" t="s">
        <v>219</v>
      </c>
      <c r="E43" t="s">
        <v>13</v>
      </c>
      <c r="F43" t="s">
        <v>207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132</v>
      </c>
      <c r="B44">
        <v>43</v>
      </c>
      <c r="C44" t="s">
        <v>220</v>
      </c>
      <c r="D44" t="s">
        <v>221</v>
      </c>
      <c r="E44" t="s">
        <v>13</v>
      </c>
      <c r="F44" t="s">
        <v>207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132</v>
      </c>
      <c r="B45">
        <v>44</v>
      </c>
      <c r="C45" t="s">
        <v>222</v>
      </c>
      <c r="D45" t="s">
        <v>223</v>
      </c>
      <c r="E45" t="s">
        <v>13</v>
      </c>
      <c r="F45" t="s">
        <v>207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132</v>
      </c>
      <c r="B46">
        <v>45</v>
      </c>
      <c r="C46" t="s">
        <v>224</v>
      </c>
      <c r="D46" t="s">
        <v>225</v>
      </c>
      <c r="E46" t="s">
        <v>13</v>
      </c>
      <c r="F46" t="s">
        <v>226</v>
      </c>
      <c r="G46" t="s">
        <v>68</v>
      </c>
      <c r="H46">
        <v>5728</v>
      </c>
      <c r="I46">
        <v>76.788611111111095</v>
      </c>
      <c r="J46">
        <v>74.594395146849706</v>
      </c>
      <c r="K46">
        <v>86.000004000000004</v>
      </c>
      <c r="L46">
        <v>66.604648064900005</v>
      </c>
      <c r="M46">
        <v>-10.183963046211</v>
      </c>
      <c r="N46">
        <v>0.86737664741096698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132</v>
      </c>
      <c r="B47">
        <v>46</v>
      </c>
      <c r="C47" t="s">
        <v>227</v>
      </c>
      <c r="D47" t="s">
        <v>228</v>
      </c>
      <c r="E47" t="s">
        <v>13</v>
      </c>
      <c r="F47" t="s">
        <v>226</v>
      </c>
      <c r="G47" t="s">
        <v>229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132</v>
      </c>
      <c r="B48">
        <v>47</v>
      </c>
      <c r="C48" t="s">
        <v>230</v>
      </c>
      <c r="D48" t="s">
        <v>231</v>
      </c>
      <c r="E48" t="s">
        <v>13</v>
      </c>
      <c r="F48" t="s">
        <v>226</v>
      </c>
      <c r="G48" t="s">
        <v>69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132</v>
      </c>
      <c r="B49">
        <v>48</v>
      </c>
      <c r="C49" t="s">
        <v>232</v>
      </c>
      <c r="D49" t="s">
        <v>233</v>
      </c>
      <c r="E49" t="s">
        <v>13</v>
      </c>
      <c r="F49" t="s">
        <v>226</v>
      </c>
      <c r="G49" t="s">
        <v>234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132</v>
      </c>
      <c r="B50">
        <v>49</v>
      </c>
      <c r="C50" t="s">
        <v>235</v>
      </c>
      <c r="D50" t="s">
        <v>236</v>
      </c>
      <c r="E50" t="s">
        <v>13</v>
      </c>
      <c r="F50" t="s">
        <v>226</v>
      </c>
      <c r="G50" t="s">
        <v>135</v>
      </c>
      <c r="H50">
        <v>131640</v>
      </c>
      <c r="I50">
        <v>24.593333333333302</v>
      </c>
      <c r="J50">
        <v>5352.6701002981799</v>
      </c>
      <c r="K50">
        <v>15000.0000119999</v>
      </c>
      <c r="L50">
        <v>8.7759999929791999</v>
      </c>
      <c r="M50">
        <v>-15.8173333403541</v>
      </c>
      <c r="N50">
        <v>0.35684467306773598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132</v>
      </c>
      <c r="B51">
        <v>50</v>
      </c>
      <c r="C51" t="s">
        <v>237</v>
      </c>
      <c r="D51" t="s">
        <v>238</v>
      </c>
      <c r="E51" t="s">
        <v>13</v>
      </c>
      <c r="F51" t="s">
        <v>226</v>
      </c>
      <c r="G51" t="s">
        <v>135</v>
      </c>
      <c r="H51">
        <v>131640</v>
      </c>
      <c r="I51">
        <v>101.381944444444</v>
      </c>
      <c r="J51">
        <v>1298.4560586341499</v>
      </c>
      <c r="K51">
        <v>1746.33680382958</v>
      </c>
      <c r="L51">
        <v>75.380648057879299</v>
      </c>
      <c r="M51">
        <v>-26.001296386565102</v>
      </c>
      <c r="N51">
        <v>0.74353129120724804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132</v>
      </c>
      <c r="B52">
        <v>51</v>
      </c>
      <c r="C52" t="s">
        <v>239</v>
      </c>
      <c r="D52" t="s">
        <v>240</v>
      </c>
      <c r="E52" t="s">
        <v>13</v>
      </c>
      <c r="F52" t="s">
        <v>240</v>
      </c>
      <c r="G52" t="s">
        <v>135</v>
      </c>
      <c r="H52">
        <v>52761</v>
      </c>
      <c r="I52">
        <v>16.899999999999999</v>
      </c>
      <c r="J52">
        <v>3121.9526627218902</v>
      </c>
      <c r="K52">
        <v>4500</v>
      </c>
      <c r="L52">
        <v>11.7246666666666</v>
      </c>
      <c r="M52">
        <v>-5.17533333333333</v>
      </c>
      <c r="N52">
        <v>0.69376725838264297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132</v>
      </c>
      <c r="B53">
        <v>52</v>
      </c>
      <c r="C53" t="s">
        <v>241</v>
      </c>
      <c r="D53" t="s">
        <v>242</v>
      </c>
      <c r="E53" t="s">
        <v>13</v>
      </c>
      <c r="F53" t="s">
        <v>243</v>
      </c>
      <c r="G53" t="s">
        <v>135</v>
      </c>
      <c r="H53">
        <v>52761</v>
      </c>
      <c r="I53">
        <v>5.6883333333333299</v>
      </c>
      <c r="J53">
        <v>9275.3003222971001</v>
      </c>
      <c r="K53">
        <v>1850.000004</v>
      </c>
      <c r="L53">
        <v>28.5194593977957</v>
      </c>
      <c r="M53">
        <v>22.831126064462399</v>
      </c>
      <c r="N53">
        <v>5.0136758390499399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132</v>
      </c>
      <c r="B54">
        <v>53</v>
      </c>
      <c r="C54" t="s">
        <v>244</v>
      </c>
      <c r="D54" t="s">
        <v>11</v>
      </c>
      <c r="E54" t="s">
        <v>13</v>
      </c>
      <c r="F54" t="s">
        <v>245</v>
      </c>
      <c r="G54" t="s">
        <v>62</v>
      </c>
      <c r="H54">
        <v>52761</v>
      </c>
      <c r="I54">
        <v>230.84638888888799</v>
      </c>
      <c r="J54">
        <v>228.55458235214101</v>
      </c>
      <c r="K54">
        <v>192.41448648260999</v>
      </c>
      <c r="L54">
        <v>274.20492585815799</v>
      </c>
      <c r="M54">
        <v>43.358536969269799</v>
      </c>
      <c r="N54">
        <v>1.1878241941663601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132</v>
      </c>
      <c r="B55">
        <v>54</v>
      </c>
      <c r="C55" t="s">
        <v>246</v>
      </c>
      <c r="D55" t="s">
        <v>247</v>
      </c>
      <c r="E55" t="s">
        <v>248</v>
      </c>
      <c r="F55" t="s">
        <v>249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132</v>
      </c>
      <c r="B56">
        <v>55</v>
      </c>
      <c r="C56" t="s">
        <v>250</v>
      </c>
      <c r="D56" t="s">
        <v>251</v>
      </c>
      <c r="E56" t="s">
        <v>248</v>
      </c>
      <c r="F56" t="s">
        <v>249</v>
      </c>
      <c r="G56" t="s">
        <v>69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132</v>
      </c>
      <c r="B57">
        <v>56</v>
      </c>
      <c r="C57" t="s">
        <v>252</v>
      </c>
      <c r="D57" t="s">
        <v>253</v>
      </c>
      <c r="E57" t="s">
        <v>248</v>
      </c>
      <c r="F57" t="s">
        <v>254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132</v>
      </c>
      <c r="B58">
        <v>57</v>
      </c>
      <c r="C58" t="s">
        <v>255</v>
      </c>
      <c r="D58" t="s">
        <v>256</v>
      </c>
      <c r="E58" t="s">
        <v>248</v>
      </c>
      <c r="F58" t="s">
        <v>254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132</v>
      </c>
      <c r="B59">
        <v>58</v>
      </c>
      <c r="C59" t="s">
        <v>257</v>
      </c>
      <c r="D59" t="s">
        <v>258</v>
      </c>
      <c r="E59" t="s">
        <v>248</v>
      </c>
      <c r="F59" t="s">
        <v>259</v>
      </c>
      <c r="G59" t="s">
        <v>68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132</v>
      </c>
      <c r="B60">
        <v>59</v>
      </c>
      <c r="C60" t="s">
        <v>260</v>
      </c>
      <c r="D60" t="s">
        <v>261</v>
      </c>
      <c r="E60" t="s">
        <v>248</v>
      </c>
      <c r="F60" t="s">
        <v>259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132</v>
      </c>
      <c r="B61">
        <v>60</v>
      </c>
      <c r="C61" t="s">
        <v>262</v>
      </c>
      <c r="D61" t="s">
        <v>263</v>
      </c>
      <c r="E61" t="s">
        <v>248</v>
      </c>
      <c r="F61" t="s">
        <v>259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132</v>
      </c>
      <c r="B62">
        <v>61</v>
      </c>
      <c r="C62" t="s">
        <v>264</v>
      </c>
      <c r="D62" t="s">
        <v>265</v>
      </c>
      <c r="E62" t="s">
        <v>248</v>
      </c>
      <c r="F62" t="s">
        <v>259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132</v>
      </c>
      <c r="B63">
        <v>62</v>
      </c>
      <c r="C63" t="s">
        <v>266</v>
      </c>
      <c r="D63" t="s">
        <v>267</v>
      </c>
      <c r="E63" t="s">
        <v>248</v>
      </c>
      <c r="F63" t="s">
        <v>259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132</v>
      </c>
      <c r="B64">
        <v>63</v>
      </c>
      <c r="C64" t="s">
        <v>268</v>
      </c>
      <c r="D64" t="s">
        <v>269</v>
      </c>
      <c r="E64" t="s">
        <v>248</v>
      </c>
      <c r="F64" t="s">
        <v>259</v>
      </c>
      <c r="G64" t="s">
        <v>135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132</v>
      </c>
      <c r="B65">
        <v>64</v>
      </c>
      <c r="C65" t="s">
        <v>270</v>
      </c>
      <c r="D65" t="s">
        <v>271</v>
      </c>
      <c r="E65" t="s">
        <v>248</v>
      </c>
      <c r="F65" t="s">
        <v>56</v>
      </c>
      <c r="G65" t="s">
        <v>62</v>
      </c>
      <c r="H65">
        <v>18918</v>
      </c>
      <c r="I65">
        <v>15.0688888888888</v>
      </c>
      <c r="J65">
        <v>1255.4343017254</v>
      </c>
      <c r="K65">
        <v>1244.000016</v>
      </c>
      <c r="L65">
        <v>15.2073953027987</v>
      </c>
      <c r="M65">
        <v>0.13850641390988599</v>
      </c>
      <c r="N65">
        <v>1.0091915478925599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132</v>
      </c>
      <c r="B66">
        <v>65</v>
      </c>
      <c r="C66" t="s">
        <v>272</v>
      </c>
      <c r="D66" t="s">
        <v>273</v>
      </c>
      <c r="E66" t="s">
        <v>248</v>
      </c>
      <c r="F66" t="s">
        <v>56</v>
      </c>
      <c r="G66" t="s">
        <v>62</v>
      </c>
      <c r="H66">
        <v>59288</v>
      </c>
      <c r="I66">
        <v>330.73888888888803</v>
      </c>
      <c r="J66">
        <v>179.25923437421201</v>
      </c>
      <c r="K66">
        <v>288</v>
      </c>
      <c r="L66">
        <v>205.861111111111</v>
      </c>
      <c r="M66">
        <v>-124.877777777777</v>
      </c>
      <c r="N66">
        <v>0.62242789713268198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132</v>
      </c>
      <c r="B67">
        <v>66</v>
      </c>
      <c r="C67" t="s">
        <v>274</v>
      </c>
      <c r="D67" t="s">
        <v>275</v>
      </c>
      <c r="E67" t="s">
        <v>248</v>
      </c>
      <c r="F67" t="s">
        <v>56</v>
      </c>
      <c r="G67" t="s">
        <v>62</v>
      </c>
      <c r="H67">
        <v>51</v>
      </c>
      <c r="I67">
        <v>0.40333333333333299</v>
      </c>
      <c r="J67">
        <v>126.44628099173499</v>
      </c>
      <c r="K67">
        <v>117</v>
      </c>
      <c r="L67">
        <v>0.43589743589743501</v>
      </c>
      <c r="M67">
        <v>3.2564102564102498E-2</v>
      </c>
      <c r="N67">
        <v>1.0807374443738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132</v>
      </c>
      <c r="B68">
        <v>67</v>
      </c>
      <c r="C68" t="s">
        <v>276</v>
      </c>
      <c r="D68" t="s">
        <v>277</v>
      </c>
      <c r="E68" t="s">
        <v>248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132</v>
      </c>
      <c r="B69">
        <v>68</v>
      </c>
      <c r="C69" t="s">
        <v>278</v>
      </c>
      <c r="D69" t="s">
        <v>279</v>
      </c>
      <c r="E69" t="s">
        <v>248</v>
      </c>
      <c r="F69" t="s">
        <v>56</v>
      </c>
      <c r="G69" t="s">
        <v>62</v>
      </c>
      <c r="H69">
        <v>78257</v>
      </c>
      <c r="I69">
        <v>346.21111111111099</v>
      </c>
      <c r="J69">
        <v>226.03838377354799</v>
      </c>
      <c r="K69">
        <v>353.29771616216999</v>
      </c>
      <c r="L69">
        <v>221.50440384980701</v>
      </c>
      <c r="M69">
        <v>-124.70670726130299</v>
      </c>
      <c r="N69">
        <v>0.63979576836492302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132</v>
      </c>
      <c r="B70">
        <v>69</v>
      </c>
      <c r="C70" t="s">
        <v>280</v>
      </c>
      <c r="D70" t="s">
        <v>281</v>
      </c>
      <c r="E70" t="s">
        <v>248</v>
      </c>
      <c r="F70" t="s">
        <v>281</v>
      </c>
      <c r="G70" t="s">
        <v>62</v>
      </c>
      <c r="H70">
        <v>78879</v>
      </c>
      <c r="I70">
        <v>12.050277777777699</v>
      </c>
      <c r="J70">
        <v>6545.8242087549797</v>
      </c>
      <c r="K70">
        <v>3465</v>
      </c>
      <c r="L70">
        <v>22.764502164502101</v>
      </c>
      <c r="M70">
        <v>10.7142243867243</v>
      </c>
      <c r="N70">
        <v>1.8891267557734399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132</v>
      </c>
      <c r="B71">
        <v>70</v>
      </c>
      <c r="C71" t="s">
        <v>282</v>
      </c>
      <c r="D71" t="s">
        <v>283</v>
      </c>
      <c r="E71" t="s">
        <v>248</v>
      </c>
      <c r="F71" t="s">
        <v>283</v>
      </c>
      <c r="G71" t="s">
        <v>135</v>
      </c>
      <c r="H71">
        <v>78879</v>
      </c>
      <c r="I71">
        <v>73.401944444444396</v>
      </c>
      <c r="J71">
        <v>1074.6173088057701</v>
      </c>
      <c r="K71">
        <v>1524.999996</v>
      </c>
      <c r="L71">
        <v>51.723934561898801</v>
      </c>
      <c r="M71">
        <v>-21.678009882545599</v>
      </c>
      <c r="N71">
        <v>0.70466708958979896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132</v>
      </c>
      <c r="B72">
        <v>71</v>
      </c>
      <c r="C72" t="s">
        <v>284</v>
      </c>
      <c r="D72" t="s">
        <v>285</v>
      </c>
      <c r="E72" t="s">
        <v>248</v>
      </c>
      <c r="F72" t="s">
        <v>285</v>
      </c>
      <c r="G72" t="s">
        <v>135</v>
      </c>
      <c r="H72">
        <v>78879</v>
      </c>
      <c r="I72">
        <v>10.883333333333301</v>
      </c>
      <c r="J72">
        <v>7247.6875957120901</v>
      </c>
      <c r="K72">
        <v>3499.999992</v>
      </c>
      <c r="L72">
        <v>22.536857194369901</v>
      </c>
      <c r="M72">
        <v>11.6535238610366</v>
      </c>
      <c r="N72">
        <v>2.07076788922235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132</v>
      </c>
      <c r="B73">
        <v>72</v>
      </c>
      <c r="C73" t="s">
        <v>286</v>
      </c>
      <c r="D73" t="s">
        <v>287</v>
      </c>
      <c r="E73" t="s">
        <v>248</v>
      </c>
      <c r="F73" t="s">
        <v>288</v>
      </c>
      <c r="G73" t="s">
        <v>135</v>
      </c>
      <c r="H73">
        <v>78879</v>
      </c>
      <c r="I73">
        <v>5.3</v>
      </c>
      <c r="J73">
        <v>14882.8301886792</v>
      </c>
      <c r="K73">
        <v>5000.0000040000004</v>
      </c>
      <c r="L73">
        <v>15.775799987379299</v>
      </c>
      <c r="M73">
        <v>10.4757999873793</v>
      </c>
      <c r="N73">
        <v>2.97656603535459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132</v>
      </c>
      <c r="B74">
        <v>73</v>
      </c>
      <c r="C74" t="s">
        <v>289</v>
      </c>
      <c r="D74" t="s">
        <v>290</v>
      </c>
      <c r="E74" t="s">
        <v>248</v>
      </c>
      <c r="F74" t="s">
        <v>245</v>
      </c>
      <c r="G74" t="s">
        <v>135</v>
      </c>
      <c r="H74">
        <v>78879</v>
      </c>
      <c r="I74">
        <v>447.84666666666601</v>
      </c>
      <c r="J74">
        <v>176.129478839483</v>
      </c>
      <c r="K74">
        <v>235.94885674632101</v>
      </c>
      <c r="L74">
        <v>334.30549775795703</v>
      </c>
      <c r="M74">
        <v>-113.541168908709</v>
      </c>
      <c r="N74">
        <v>0.74647311823531304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132</v>
      </c>
      <c r="B75">
        <v>74</v>
      </c>
      <c r="C75" t="s">
        <v>291</v>
      </c>
      <c r="D75" t="s">
        <v>292</v>
      </c>
      <c r="E75" t="s">
        <v>293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132</v>
      </c>
      <c r="B76">
        <v>75</v>
      </c>
      <c r="C76" t="s">
        <v>294</v>
      </c>
      <c r="D76" t="s">
        <v>295</v>
      </c>
      <c r="E76" t="s">
        <v>293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132</v>
      </c>
      <c r="B77">
        <v>76</v>
      </c>
      <c r="C77" t="s">
        <v>296</v>
      </c>
      <c r="D77" t="s">
        <v>297</v>
      </c>
      <c r="E77" t="s">
        <v>293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132</v>
      </c>
      <c r="B78">
        <v>77</v>
      </c>
      <c r="C78" t="s">
        <v>298</v>
      </c>
      <c r="D78" t="s">
        <v>299</v>
      </c>
      <c r="E78" t="s">
        <v>293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132</v>
      </c>
      <c r="B79">
        <v>78</v>
      </c>
      <c r="C79" t="s">
        <v>300</v>
      </c>
      <c r="D79" t="s">
        <v>301</v>
      </c>
      <c r="E79" t="s">
        <v>293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132</v>
      </c>
      <c r="B80">
        <v>79</v>
      </c>
      <c r="C80" t="s">
        <v>302</v>
      </c>
      <c r="D80" t="s">
        <v>303</v>
      </c>
      <c r="E80" t="s">
        <v>293</v>
      </c>
      <c r="F80" t="s">
        <v>9</v>
      </c>
      <c r="G80" t="s">
        <v>135</v>
      </c>
      <c r="H80">
        <v>78257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132</v>
      </c>
      <c r="B81">
        <v>80</v>
      </c>
      <c r="C81" t="s">
        <v>304</v>
      </c>
      <c r="D81" t="s">
        <v>305</v>
      </c>
      <c r="E81" t="s">
        <v>293</v>
      </c>
      <c r="F81" t="s">
        <v>9</v>
      </c>
      <c r="G81" t="s">
        <v>135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132</v>
      </c>
      <c r="B82">
        <v>81</v>
      </c>
      <c r="C82" t="s">
        <v>306</v>
      </c>
      <c r="D82" t="s">
        <v>307</v>
      </c>
      <c r="E82" t="s">
        <v>293</v>
      </c>
      <c r="F82" t="s">
        <v>308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132</v>
      </c>
      <c r="B83">
        <v>82</v>
      </c>
      <c r="C83" t="s">
        <v>309</v>
      </c>
      <c r="D83" t="s">
        <v>310</v>
      </c>
      <c r="E83" t="s">
        <v>293</v>
      </c>
      <c r="F83" t="s">
        <v>308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132</v>
      </c>
      <c r="B84">
        <v>83</v>
      </c>
      <c r="C84" t="s">
        <v>311</v>
      </c>
      <c r="D84" t="s">
        <v>312</v>
      </c>
      <c r="E84" t="s">
        <v>293</v>
      </c>
      <c r="F84" t="s">
        <v>308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132</v>
      </c>
      <c r="B85">
        <v>84</v>
      </c>
      <c r="C85" t="s">
        <v>313</v>
      </c>
      <c r="D85" t="s">
        <v>314</v>
      </c>
      <c r="E85" t="s">
        <v>293</v>
      </c>
      <c r="F85" t="s">
        <v>308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132</v>
      </c>
      <c r="B86">
        <v>85</v>
      </c>
      <c r="C86" t="s">
        <v>315</v>
      </c>
      <c r="D86" t="s">
        <v>316</v>
      </c>
      <c r="E86" t="s">
        <v>293</v>
      </c>
      <c r="F86" t="s">
        <v>308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132</v>
      </c>
      <c r="B87">
        <v>86</v>
      </c>
      <c r="C87" t="s">
        <v>317</v>
      </c>
      <c r="D87" t="s">
        <v>318</v>
      </c>
      <c r="E87" t="s">
        <v>293</v>
      </c>
      <c r="F87" t="s">
        <v>308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132</v>
      </c>
      <c r="B88">
        <v>87</v>
      </c>
      <c r="C88" t="s">
        <v>319</v>
      </c>
      <c r="D88" t="s">
        <v>320</v>
      </c>
      <c r="E88" t="s">
        <v>293</v>
      </c>
      <c r="F88" t="s">
        <v>308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132</v>
      </c>
      <c r="B89">
        <v>88</v>
      </c>
      <c r="C89" t="s">
        <v>321</v>
      </c>
      <c r="D89" t="s">
        <v>322</v>
      </c>
      <c r="E89" t="s">
        <v>293</v>
      </c>
      <c r="F89" t="s">
        <v>308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132</v>
      </c>
      <c r="B90">
        <v>89</v>
      </c>
      <c r="C90" t="s">
        <v>323</v>
      </c>
      <c r="D90" t="s">
        <v>324</v>
      </c>
      <c r="E90" t="s">
        <v>293</v>
      </c>
      <c r="F90" t="s">
        <v>308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132</v>
      </c>
      <c r="B91">
        <v>90</v>
      </c>
      <c r="C91" t="s">
        <v>325</v>
      </c>
      <c r="D91" t="s">
        <v>326</v>
      </c>
      <c r="E91" t="s">
        <v>293</v>
      </c>
      <c r="F91" t="s">
        <v>308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132</v>
      </c>
      <c r="B92">
        <v>91</v>
      </c>
      <c r="C92" t="s">
        <v>327</v>
      </c>
      <c r="D92" t="s">
        <v>328</v>
      </c>
      <c r="E92" t="s">
        <v>293</v>
      </c>
      <c r="F92" t="s">
        <v>308</v>
      </c>
      <c r="G92" t="s">
        <v>135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132</v>
      </c>
      <c r="B93">
        <v>92</v>
      </c>
      <c r="C93" t="s">
        <v>329</v>
      </c>
      <c r="D93" t="s">
        <v>330</v>
      </c>
      <c r="E93" t="s">
        <v>293</v>
      </c>
      <c r="F93" t="s">
        <v>308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132</v>
      </c>
      <c r="B94">
        <v>93</v>
      </c>
      <c r="C94" t="s">
        <v>331</v>
      </c>
      <c r="D94" t="s">
        <v>332</v>
      </c>
      <c r="E94" t="s">
        <v>293</v>
      </c>
      <c r="F94" t="s">
        <v>333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132</v>
      </c>
      <c r="B95">
        <v>94</v>
      </c>
      <c r="C95" t="s">
        <v>334</v>
      </c>
      <c r="D95" t="s">
        <v>335</v>
      </c>
      <c r="E95" t="s">
        <v>293</v>
      </c>
      <c r="F95" t="s">
        <v>333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132</v>
      </c>
      <c r="B96">
        <v>95</v>
      </c>
      <c r="C96" t="s">
        <v>336</v>
      </c>
      <c r="D96" t="s">
        <v>337</v>
      </c>
      <c r="E96" t="s">
        <v>293</v>
      </c>
      <c r="F96" t="s">
        <v>333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132</v>
      </c>
      <c r="B97">
        <v>96</v>
      </c>
      <c r="C97" t="s">
        <v>338</v>
      </c>
      <c r="D97" t="s">
        <v>339</v>
      </c>
      <c r="E97" t="s">
        <v>293</v>
      </c>
      <c r="F97" t="s">
        <v>333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132</v>
      </c>
      <c r="B98">
        <v>97</v>
      </c>
      <c r="C98" t="s">
        <v>340</v>
      </c>
      <c r="D98" t="s">
        <v>341</v>
      </c>
      <c r="E98" t="s">
        <v>293</v>
      </c>
      <c r="F98" t="s">
        <v>333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132</v>
      </c>
      <c r="B99">
        <v>98</v>
      </c>
      <c r="C99" t="s">
        <v>342</v>
      </c>
      <c r="D99" t="s">
        <v>343</v>
      </c>
      <c r="E99" t="s">
        <v>293</v>
      </c>
      <c r="F99" t="s">
        <v>333</v>
      </c>
      <c r="G99" t="s">
        <v>344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132</v>
      </c>
      <c r="B100">
        <v>99</v>
      </c>
      <c r="C100" t="s">
        <v>345</v>
      </c>
      <c r="D100" t="s">
        <v>346</v>
      </c>
      <c r="E100" t="s">
        <v>293</v>
      </c>
      <c r="F100" t="s">
        <v>333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132</v>
      </c>
      <c r="B101">
        <v>100</v>
      </c>
      <c r="C101" t="s">
        <v>347</v>
      </c>
      <c r="D101" t="s">
        <v>348</v>
      </c>
      <c r="E101" t="s">
        <v>293</v>
      </c>
      <c r="F101" t="s">
        <v>333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132</v>
      </c>
      <c r="B102">
        <v>101</v>
      </c>
      <c r="C102" t="s">
        <v>349</v>
      </c>
      <c r="D102" t="s">
        <v>350</v>
      </c>
      <c r="E102" t="s">
        <v>293</v>
      </c>
      <c r="F102" t="s">
        <v>333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132</v>
      </c>
      <c r="B103">
        <v>102</v>
      </c>
      <c r="C103" t="s">
        <v>351</v>
      </c>
      <c r="D103" t="s">
        <v>352</v>
      </c>
      <c r="E103" t="s">
        <v>293</v>
      </c>
      <c r="F103" t="s">
        <v>333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132</v>
      </c>
      <c r="B104">
        <v>103</v>
      </c>
      <c r="C104" t="s">
        <v>353</v>
      </c>
      <c r="D104" t="s">
        <v>354</v>
      </c>
      <c r="E104" t="s">
        <v>293</v>
      </c>
      <c r="F104" t="s">
        <v>333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132</v>
      </c>
      <c r="B105">
        <v>104</v>
      </c>
      <c r="C105" t="s">
        <v>355</v>
      </c>
      <c r="D105" t="s">
        <v>356</v>
      </c>
      <c r="E105" t="s">
        <v>293</v>
      </c>
      <c r="F105" t="s">
        <v>333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132</v>
      </c>
      <c r="B106">
        <v>105</v>
      </c>
      <c r="C106" t="s">
        <v>357</v>
      </c>
      <c r="D106" t="s">
        <v>358</v>
      </c>
      <c r="E106" t="s">
        <v>293</v>
      </c>
      <c r="F106" t="s">
        <v>333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132</v>
      </c>
      <c r="B107">
        <v>106</v>
      </c>
      <c r="C107" t="s">
        <v>359</v>
      </c>
      <c r="D107" t="s">
        <v>360</v>
      </c>
      <c r="E107" t="s">
        <v>293</v>
      </c>
      <c r="F107" t="s">
        <v>333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132</v>
      </c>
      <c r="B108">
        <v>107</v>
      </c>
      <c r="C108" t="s">
        <v>361</v>
      </c>
      <c r="D108" t="s">
        <v>362</v>
      </c>
      <c r="E108" t="s">
        <v>293</v>
      </c>
      <c r="F108" t="s">
        <v>333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132</v>
      </c>
      <c r="B109">
        <v>108</v>
      </c>
      <c r="C109" t="s">
        <v>363</v>
      </c>
      <c r="D109" t="s">
        <v>364</v>
      </c>
      <c r="E109" t="s">
        <v>293</v>
      </c>
      <c r="F109" t="s">
        <v>333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132</v>
      </c>
      <c r="B110">
        <v>109</v>
      </c>
      <c r="C110" t="s">
        <v>365</v>
      </c>
      <c r="D110" t="s">
        <v>366</v>
      </c>
      <c r="E110" t="s">
        <v>293</v>
      </c>
      <c r="F110" t="s">
        <v>333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132</v>
      </c>
      <c r="B111">
        <v>110</v>
      </c>
      <c r="C111" t="s">
        <v>367</v>
      </c>
      <c r="D111" t="s">
        <v>368</v>
      </c>
      <c r="E111" t="s">
        <v>293</v>
      </c>
      <c r="F111" t="s">
        <v>333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132</v>
      </c>
      <c r="B112">
        <v>111</v>
      </c>
      <c r="C112" t="s">
        <v>369</v>
      </c>
      <c r="D112" t="s">
        <v>370</v>
      </c>
      <c r="E112" t="s">
        <v>293</v>
      </c>
      <c r="F112" t="s">
        <v>333</v>
      </c>
      <c r="G112" t="s">
        <v>135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132</v>
      </c>
      <c r="B113">
        <v>112</v>
      </c>
      <c r="C113" t="s">
        <v>371</v>
      </c>
      <c r="D113" t="s">
        <v>372</v>
      </c>
      <c r="E113" t="s">
        <v>293</v>
      </c>
      <c r="F113" t="s">
        <v>373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132</v>
      </c>
      <c r="B114">
        <v>113</v>
      </c>
      <c r="C114" t="s">
        <v>374</v>
      </c>
      <c r="D114" t="s">
        <v>375</v>
      </c>
      <c r="E114" t="s">
        <v>293</v>
      </c>
      <c r="F114" t="s">
        <v>373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132</v>
      </c>
      <c r="B115">
        <v>114</v>
      </c>
      <c r="C115" t="s">
        <v>376</v>
      </c>
      <c r="D115" t="s">
        <v>377</v>
      </c>
      <c r="E115" t="s">
        <v>293</v>
      </c>
      <c r="F115" t="s">
        <v>373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132</v>
      </c>
      <c r="B116">
        <v>115</v>
      </c>
      <c r="C116" t="s">
        <v>378</v>
      </c>
      <c r="D116" t="s">
        <v>379</v>
      </c>
      <c r="E116" t="s">
        <v>293</v>
      </c>
      <c r="F116" t="s">
        <v>373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132</v>
      </c>
      <c r="B117">
        <v>116</v>
      </c>
      <c r="C117" t="s">
        <v>380</v>
      </c>
      <c r="D117" t="s">
        <v>381</v>
      </c>
      <c r="E117" t="s">
        <v>293</v>
      </c>
      <c r="F117" t="s">
        <v>373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132</v>
      </c>
      <c r="B118">
        <v>117</v>
      </c>
      <c r="C118" t="s">
        <v>382</v>
      </c>
      <c r="D118" t="s">
        <v>383</v>
      </c>
      <c r="E118" t="s">
        <v>293</v>
      </c>
      <c r="F118" t="s">
        <v>383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132</v>
      </c>
      <c r="B119">
        <v>118</v>
      </c>
      <c r="C119" t="s">
        <v>384</v>
      </c>
      <c r="D119" t="s">
        <v>385</v>
      </c>
      <c r="E119" t="s">
        <v>293</v>
      </c>
      <c r="F119" t="s">
        <v>386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132</v>
      </c>
      <c r="B120">
        <v>119</v>
      </c>
      <c r="C120" t="s">
        <v>387</v>
      </c>
      <c r="D120" t="s">
        <v>388</v>
      </c>
      <c r="E120" t="s">
        <v>293</v>
      </c>
      <c r="F120" t="s">
        <v>389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132</v>
      </c>
      <c r="B121">
        <v>120</v>
      </c>
      <c r="C121" t="s">
        <v>390</v>
      </c>
      <c r="D121" t="s">
        <v>391</v>
      </c>
      <c r="E121" t="s">
        <v>293</v>
      </c>
      <c r="F121" t="s">
        <v>245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132</v>
      </c>
      <c r="B122">
        <v>121</v>
      </c>
      <c r="C122" t="s">
        <v>392</v>
      </c>
      <c r="D122" t="s">
        <v>393</v>
      </c>
      <c r="E122" t="s">
        <v>394</v>
      </c>
      <c r="F122" t="s">
        <v>395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132</v>
      </c>
      <c r="B123">
        <v>122</v>
      </c>
      <c r="C123" t="s">
        <v>396</v>
      </c>
      <c r="D123" t="s">
        <v>397</v>
      </c>
      <c r="E123" t="s">
        <v>394</v>
      </c>
      <c r="F123" t="s">
        <v>395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132</v>
      </c>
      <c r="B124">
        <v>123</v>
      </c>
      <c r="C124" t="s">
        <v>398</v>
      </c>
      <c r="D124" t="s">
        <v>399</v>
      </c>
      <c r="E124" t="s">
        <v>394</v>
      </c>
      <c r="F124" t="s">
        <v>395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132</v>
      </c>
      <c r="B125">
        <v>124</v>
      </c>
      <c r="C125" t="s">
        <v>400</v>
      </c>
      <c r="D125" t="s">
        <v>401</v>
      </c>
      <c r="E125" t="s">
        <v>394</v>
      </c>
      <c r="F125" t="s">
        <v>395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132</v>
      </c>
      <c r="B126">
        <v>125</v>
      </c>
      <c r="C126" t="s">
        <v>402</v>
      </c>
      <c r="D126" t="s">
        <v>403</v>
      </c>
      <c r="E126" t="s">
        <v>394</v>
      </c>
      <c r="F126" t="s">
        <v>395</v>
      </c>
      <c r="G126" t="s">
        <v>135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132</v>
      </c>
      <c r="B127">
        <v>126</v>
      </c>
      <c r="C127" t="s">
        <v>404</v>
      </c>
      <c r="D127" t="s">
        <v>405</v>
      </c>
      <c r="E127" t="s">
        <v>394</v>
      </c>
      <c r="F127" t="s">
        <v>395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132</v>
      </c>
      <c r="B128">
        <v>127</v>
      </c>
      <c r="C128" t="s">
        <v>406</v>
      </c>
      <c r="D128" t="s">
        <v>407</v>
      </c>
      <c r="E128" t="s">
        <v>394</v>
      </c>
      <c r="F128" t="s">
        <v>395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132</v>
      </c>
      <c r="B129">
        <v>128</v>
      </c>
      <c r="C129" t="s">
        <v>408</v>
      </c>
      <c r="D129" t="s">
        <v>409</v>
      </c>
      <c r="E129" t="s">
        <v>394</v>
      </c>
      <c r="F129" t="s">
        <v>395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132</v>
      </c>
      <c r="B130">
        <v>129</v>
      </c>
      <c r="C130" t="s">
        <v>410</v>
      </c>
      <c r="D130" t="s">
        <v>411</v>
      </c>
      <c r="E130" t="s">
        <v>394</v>
      </c>
      <c r="F130" t="s">
        <v>395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132</v>
      </c>
      <c r="B131">
        <v>130</v>
      </c>
      <c r="C131" t="s">
        <v>412</v>
      </c>
      <c r="D131" t="s">
        <v>413</v>
      </c>
      <c r="E131" t="s">
        <v>394</v>
      </c>
      <c r="F131" t="s">
        <v>395</v>
      </c>
      <c r="G131" t="s">
        <v>135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132</v>
      </c>
      <c r="B132">
        <v>131</v>
      </c>
      <c r="C132" t="s">
        <v>414</v>
      </c>
      <c r="D132" t="s">
        <v>415</v>
      </c>
      <c r="E132" t="s">
        <v>394</v>
      </c>
      <c r="F132" t="s">
        <v>395</v>
      </c>
      <c r="G132" t="s">
        <v>135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132</v>
      </c>
      <c r="B133">
        <v>132</v>
      </c>
      <c r="C133" t="s">
        <v>416</v>
      </c>
      <c r="D133" t="s">
        <v>417</v>
      </c>
      <c r="E133" t="s">
        <v>394</v>
      </c>
      <c r="F133" t="s">
        <v>395</v>
      </c>
      <c r="G133" t="s">
        <v>135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132</v>
      </c>
      <c r="B134">
        <v>133</v>
      </c>
      <c r="C134" t="s">
        <v>418</v>
      </c>
      <c r="D134" t="s">
        <v>419</v>
      </c>
      <c r="E134" t="s">
        <v>394</v>
      </c>
      <c r="F134" t="s">
        <v>420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132</v>
      </c>
      <c r="B135">
        <v>134</v>
      </c>
      <c r="C135" t="s">
        <v>421</v>
      </c>
      <c r="D135" t="s">
        <v>422</v>
      </c>
      <c r="E135" t="s">
        <v>394</v>
      </c>
      <c r="F135" t="s">
        <v>420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132</v>
      </c>
      <c r="B136">
        <v>135</v>
      </c>
      <c r="C136" t="s">
        <v>423</v>
      </c>
      <c r="D136" t="s">
        <v>424</v>
      </c>
      <c r="E136" t="s">
        <v>394</v>
      </c>
      <c r="F136" t="s">
        <v>420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132</v>
      </c>
      <c r="B137">
        <v>136</v>
      </c>
      <c r="C137" t="s">
        <v>425</v>
      </c>
      <c r="D137" t="s">
        <v>426</v>
      </c>
      <c r="E137" t="s">
        <v>394</v>
      </c>
      <c r="F137" t="s">
        <v>420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132</v>
      </c>
      <c r="B138">
        <v>137</v>
      </c>
      <c r="C138" t="s">
        <v>427</v>
      </c>
      <c r="D138" t="s">
        <v>428</v>
      </c>
      <c r="E138" t="s">
        <v>394</v>
      </c>
      <c r="F138" t="s">
        <v>420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132</v>
      </c>
      <c r="B139">
        <v>138</v>
      </c>
      <c r="C139" t="s">
        <v>429</v>
      </c>
      <c r="D139" t="s">
        <v>430</v>
      </c>
      <c r="E139" t="s">
        <v>394</v>
      </c>
      <c r="F139" t="s">
        <v>420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132</v>
      </c>
      <c r="B140">
        <v>139</v>
      </c>
      <c r="C140" t="s">
        <v>431</v>
      </c>
      <c r="D140" t="s">
        <v>432</v>
      </c>
      <c r="E140" t="s">
        <v>394</v>
      </c>
      <c r="F140" t="s">
        <v>420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132</v>
      </c>
      <c r="B141">
        <v>140</v>
      </c>
      <c r="C141" t="s">
        <v>433</v>
      </c>
      <c r="D141" t="s">
        <v>434</v>
      </c>
      <c r="E141" t="s">
        <v>394</v>
      </c>
      <c r="F141" t="s">
        <v>420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132</v>
      </c>
      <c r="B142">
        <v>141</v>
      </c>
      <c r="C142" t="s">
        <v>435</v>
      </c>
      <c r="D142" t="s">
        <v>436</v>
      </c>
      <c r="E142" t="s">
        <v>394</v>
      </c>
      <c r="F142" t="s">
        <v>420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132</v>
      </c>
      <c r="B143">
        <v>142</v>
      </c>
      <c r="C143" t="s">
        <v>437</v>
      </c>
      <c r="D143" t="s">
        <v>438</v>
      </c>
      <c r="E143" t="s">
        <v>394</v>
      </c>
      <c r="F143" t="s">
        <v>420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132</v>
      </c>
      <c r="B144">
        <v>143</v>
      </c>
      <c r="C144" t="s">
        <v>439</v>
      </c>
      <c r="D144" t="s">
        <v>440</v>
      </c>
      <c r="E144" t="s">
        <v>394</v>
      </c>
      <c r="F144" t="s">
        <v>420</v>
      </c>
      <c r="G144" t="s">
        <v>135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132</v>
      </c>
      <c r="B145">
        <v>144</v>
      </c>
      <c r="C145" t="s">
        <v>441</v>
      </c>
      <c r="D145" t="s">
        <v>442</v>
      </c>
      <c r="E145" t="s">
        <v>394</v>
      </c>
      <c r="F145" t="s">
        <v>420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132</v>
      </c>
      <c r="B146">
        <v>145</v>
      </c>
      <c r="C146" t="s">
        <v>443</v>
      </c>
      <c r="D146" t="s">
        <v>444</v>
      </c>
      <c r="E146" t="s">
        <v>394</v>
      </c>
      <c r="F146" t="s">
        <v>445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132</v>
      </c>
      <c r="B147">
        <v>146</v>
      </c>
      <c r="C147" t="s">
        <v>446</v>
      </c>
      <c r="D147" t="s">
        <v>447</v>
      </c>
      <c r="E147" t="s">
        <v>394</v>
      </c>
      <c r="F147" t="s">
        <v>445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132</v>
      </c>
      <c r="B148">
        <v>147</v>
      </c>
      <c r="C148" t="s">
        <v>448</v>
      </c>
      <c r="D148" t="s">
        <v>449</v>
      </c>
      <c r="E148" t="s">
        <v>394</v>
      </c>
      <c r="F148" t="s">
        <v>445</v>
      </c>
      <c r="G148" t="s">
        <v>135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132</v>
      </c>
      <c r="B149">
        <v>148</v>
      </c>
      <c r="C149" t="s">
        <v>450</v>
      </c>
      <c r="D149" t="s">
        <v>451</v>
      </c>
      <c r="E149" t="s">
        <v>394</v>
      </c>
      <c r="F149" t="s">
        <v>445</v>
      </c>
      <c r="G149" t="s">
        <v>135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132</v>
      </c>
      <c r="B150">
        <v>149</v>
      </c>
      <c r="C150" t="s">
        <v>452</v>
      </c>
      <c r="D150" t="s">
        <v>453</v>
      </c>
      <c r="E150" t="s">
        <v>394</v>
      </c>
      <c r="F150" t="s">
        <v>454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132</v>
      </c>
      <c r="B151">
        <v>150</v>
      </c>
      <c r="C151" t="s">
        <v>455</v>
      </c>
      <c r="D151" t="s">
        <v>456</v>
      </c>
      <c r="E151" t="s">
        <v>394</v>
      </c>
      <c r="F151" t="s">
        <v>454</v>
      </c>
      <c r="G151" t="s">
        <v>135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132</v>
      </c>
      <c r="B152">
        <v>151</v>
      </c>
      <c r="C152" t="s">
        <v>457</v>
      </c>
      <c r="D152" t="s">
        <v>458</v>
      </c>
      <c r="E152" t="s">
        <v>394</v>
      </c>
      <c r="F152" t="s">
        <v>454</v>
      </c>
      <c r="G152" t="s">
        <v>135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132</v>
      </c>
      <c r="B153">
        <v>152</v>
      </c>
      <c r="C153" t="s">
        <v>459</v>
      </c>
      <c r="D153" t="s">
        <v>460</v>
      </c>
      <c r="E153" t="s">
        <v>394</v>
      </c>
      <c r="F153" t="s">
        <v>461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132</v>
      </c>
      <c r="B154">
        <v>153</v>
      </c>
      <c r="C154" t="s">
        <v>462</v>
      </c>
      <c r="D154" t="s">
        <v>463</v>
      </c>
      <c r="E154" t="s">
        <v>394</v>
      </c>
      <c r="F154" t="s">
        <v>461</v>
      </c>
      <c r="G154" t="s">
        <v>135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132</v>
      </c>
      <c r="B155">
        <v>154</v>
      </c>
      <c r="C155" t="s">
        <v>464</v>
      </c>
      <c r="D155" t="s">
        <v>465</v>
      </c>
      <c r="E155" t="s">
        <v>394</v>
      </c>
      <c r="F155" t="s">
        <v>461</v>
      </c>
      <c r="G155" t="s">
        <v>135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132</v>
      </c>
      <c r="B156">
        <v>155</v>
      </c>
      <c r="C156" t="s">
        <v>466</v>
      </c>
      <c r="D156" t="s">
        <v>467</v>
      </c>
      <c r="E156" t="s">
        <v>394</v>
      </c>
      <c r="F156" t="s">
        <v>467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132</v>
      </c>
      <c r="B157">
        <v>156</v>
      </c>
      <c r="C157" t="s">
        <v>468</v>
      </c>
      <c r="D157" t="s">
        <v>469</v>
      </c>
      <c r="E157" t="s">
        <v>394</v>
      </c>
      <c r="F157" t="s">
        <v>245</v>
      </c>
      <c r="G157" t="s">
        <v>135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132</v>
      </c>
      <c r="B158">
        <v>157</v>
      </c>
      <c r="C158" t="s">
        <v>470</v>
      </c>
      <c r="D158" t="s">
        <v>471</v>
      </c>
      <c r="E158" t="s">
        <v>472</v>
      </c>
      <c r="F158" t="s">
        <v>473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132</v>
      </c>
      <c r="B159">
        <v>158</v>
      </c>
      <c r="C159" t="s">
        <v>474</v>
      </c>
      <c r="D159" t="s">
        <v>475</v>
      </c>
      <c r="E159" t="s">
        <v>472</v>
      </c>
      <c r="F159" t="s">
        <v>473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132</v>
      </c>
      <c r="B160">
        <v>159</v>
      </c>
      <c r="C160" t="s">
        <v>476</v>
      </c>
      <c r="D160" t="s">
        <v>477</v>
      </c>
      <c r="E160" t="s">
        <v>472</v>
      </c>
      <c r="F160" t="s">
        <v>473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132</v>
      </c>
      <c r="B161">
        <v>160</v>
      </c>
      <c r="C161" t="s">
        <v>478</v>
      </c>
      <c r="D161" t="s">
        <v>479</v>
      </c>
      <c r="E161" t="s">
        <v>480</v>
      </c>
      <c r="F161" t="s">
        <v>480</v>
      </c>
      <c r="G161" t="s">
        <v>135</v>
      </c>
      <c r="H161">
        <v>78879</v>
      </c>
      <c r="I161">
        <v>79.082499999999996</v>
      </c>
      <c r="J161">
        <v>997.42673790029403</v>
      </c>
      <c r="K161">
        <v>993.43828715365203</v>
      </c>
      <c r="L161">
        <v>79.400000000000006</v>
      </c>
      <c r="M161">
        <v>0.3175</v>
      </c>
      <c r="N161">
        <v>1.0040147946764399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132</v>
      </c>
      <c r="B162">
        <v>161</v>
      </c>
      <c r="C162" t="s">
        <v>481</v>
      </c>
      <c r="D162" t="s">
        <v>482</v>
      </c>
      <c r="E162" t="s">
        <v>480</v>
      </c>
      <c r="F162" t="s">
        <v>480</v>
      </c>
      <c r="G162" t="s">
        <v>135</v>
      </c>
      <c r="H162">
        <v>78879</v>
      </c>
      <c r="I162">
        <v>0</v>
      </c>
      <c r="J162">
        <v>0</v>
      </c>
      <c r="K162">
        <v>7441.4150943396198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132</v>
      </c>
      <c r="B163">
        <v>162</v>
      </c>
      <c r="C163" t="s">
        <v>483</v>
      </c>
      <c r="D163" t="s">
        <v>484</v>
      </c>
      <c r="E163" t="s">
        <v>480</v>
      </c>
      <c r="F163" t="s">
        <v>480</v>
      </c>
      <c r="G163" t="s">
        <v>135</v>
      </c>
      <c r="H163">
        <v>78879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132</v>
      </c>
      <c r="B164">
        <v>163</v>
      </c>
      <c r="C164" t="s">
        <v>485</v>
      </c>
      <c r="D164" t="s">
        <v>486</v>
      </c>
      <c r="E164" t="s">
        <v>480</v>
      </c>
      <c r="F164" t="s">
        <v>480</v>
      </c>
      <c r="G164" t="s">
        <v>135</v>
      </c>
      <c r="H164">
        <v>78879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132</v>
      </c>
      <c r="B165">
        <v>164</v>
      </c>
      <c r="C165" t="s">
        <v>487</v>
      </c>
      <c r="D165" t="s">
        <v>488</v>
      </c>
      <c r="E165" t="s">
        <v>480</v>
      </c>
      <c r="F165" t="s">
        <v>480</v>
      </c>
      <c r="G165" t="s">
        <v>135</v>
      </c>
      <c r="H165">
        <v>131640</v>
      </c>
      <c r="I165">
        <v>71.349999999999994</v>
      </c>
      <c r="J165">
        <v>1844.98948843728</v>
      </c>
      <c r="K165">
        <v>2499.999984</v>
      </c>
      <c r="L165">
        <v>52.656000336998297</v>
      </c>
      <c r="M165">
        <v>-18.693999663001598</v>
      </c>
      <c r="N165">
        <v>0.73799580009808496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132</v>
      </c>
      <c r="B166">
        <v>165</v>
      </c>
      <c r="C166" t="s">
        <v>489</v>
      </c>
      <c r="D166" t="s">
        <v>490</v>
      </c>
      <c r="E166" t="s">
        <v>480</v>
      </c>
      <c r="F166" t="s">
        <v>480</v>
      </c>
      <c r="G166" t="s">
        <v>135</v>
      </c>
      <c r="H166">
        <v>78879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132</v>
      </c>
      <c r="B167">
        <v>166</v>
      </c>
      <c r="C167" t="s">
        <v>491</v>
      </c>
      <c r="D167" t="s">
        <v>492</v>
      </c>
      <c r="E167" t="s">
        <v>493</v>
      </c>
      <c r="F167" t="s">
        <v>494</v>
      </c>
      <c r="G167" t="s">
        <v>344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132</v>
      </c>
      <c r="B168">
        <v>167</v>
      </c>
      <c r="C168" t="s">
        <v>495</v>
      </c>
      <c r="D168" t="s">
        <v>496</v>
      </c>
      <c r="E168" t="s">
        <v>493</v>
      </c>
      <c r="F168" t="s">
        <v>494</v>
      </c>
      <c r="G168" t="s">
        <v>344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132</v>
      </c>
      <c r="B169">
        <v>168</v>
      </c>
      <c r="C169" t="s">
        <v>497</v>
      </c>
      <c r="D169" t="s">
        <v>498</v>
      </c>
      <c r="E169" t="s">
        <v>493</v>
      </c>
      <c r="F169" t="s">
        <v>494</v>
      </c>
      <c r="G169" t="s">
        <v>344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499</v>
      </c>
      <c r="B170">
        <v>1</v>
      </c>
      <c r="C170" t="s">
        <v>500</v>
      </c>
      <c r="D170" t="s">
        <v>501</v>
      </c>
      <c r="E170" t="s">
        <v>502</v>
      </c>
      <c r="F170" t="s">
        <v>502</v>
      </c>
      <c r="G170" t="s">
        <v>62</v>
      </c>
      <c r="H170">
        <v>52761</v>
      </c>
      <c r="I170">
        <v>230.84638888888799</v>
      </c>
      <c r="J170">
        <v>228.55458235214101</v>
      </c>
      <c r="K170">
        <v>192.41448648260999</v>
      </c>
      <c r="L170">
        <v>274.20492585815799</v>
      </c>
      <c r="M170">
        <v>43.358536969269799</v>
      </c>
      <c r="N170">
        <v>1.1878241941663601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499</v>
      </c>
      <c r="B171">
        <v>2</v>
      </c>
      <c r="C171" t="s">
        <v>503</v>
      </c>
      <c r="D171" t="s">
        <v>504</v>
      </c>
      <c r="E171" t="s">
        <v>502</v>
      </c>
      <c r="F171" t="s">
        <v>502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499</v>
      </c>
      <c r="B172">
        <v>3</v>
      </c>
      <c r="C172" t="s">
        <v>505</v>
      </c>
      <c r="D172" t="s">
        <v>506</v>
      </c>
      <c r="E172" t="s">
        <v>502</v>
      </c>
      <c r="F172" t="s">
        <v>502</v>
      </c>
      <c r="G172" t="s">
        <v>62</v>
      </c>
      <c r="H172">
        <v>52761</v>
      </c>
      <c r="I172">
        <v>230.84638888888799</v>
      </c>
      <c r="J172">
        <v>228.55458235214101</v>
      </c>
      <c r="K172">
        <v>192.41448648260999</v>
      </c>
      <c r="L172">
        <v>274.20492585815799</v>
      </c>
      <c r="M172">
        <v>43.358536969269799</v>
      </c>
      <c r="N172">
        <v>1.1878241941663601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499</v>
      </c>
      <c r="B173">
        <v>4</v>
      </c>
      <c r="C173" t="s">
        <v>507</v>
      </c>
      <c r="D173" t="s">
        <v>293</v>
      </c>
      <c r="E173" t="s">
        <v>502</v>
      </c>
      <c r="F173" t="s">
        <v>502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499</v>
      </c>
      <c r="B174">
        <v>5</v>
      </c>
      <c r="C174" t="s">
        <v>508</v>
      </c>
      <c r="D174" t="s">
        <v>509</v>
      </c>
      <c r="E174" t="s">
        <v>502</v>
      </c>
      <c r="F174" t="s">
        <v>502</v>
      </c>
      <c r="G174" t="s">
        <v>62</v>
      </c>
      <c r="H174">
        <v>78879</v>
      </c>
      <c r="I174">
        <v>447.84666666666601</v>
      </c>
      <c r="J174">
        <v>176.129478839483</v>
      </c>
      <c r="K174">
        <v>235.94885674632101</v>
      </c>
      <c r="L174">
        <v>334.30549775795703</v>
      </c>
      <c r="M174">
        <v>-113.541168908709</v>
      </c>
      <c r="N174">
        <v>0.74647311823531304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499</v>
      </c>
      <c r="B175">
        <v>6</v>
      </c>
      <c r="C175" t="s">
        <v>510</v>
      </c>
      <c r="D175" t="s">
        <v>394</v>
      </c>
      <c r="E175" t="s">
        <v>502</v>
      </c>
      <c r="F175" t="s">
        <v>502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499</v>
      </c>
      <c r="B176">
        <v>7</v>
      </c>
      <c r="C176" t="s">
        <v>511</v>
      </c>
      <c r="D176" t="s">
        <v>473</v>
      </c>
      <c r="E176" t="s">
        <v>502</v>
      </c>
      <c r="F176" t="s">
        <v>502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499</v>
      </c>
      <c r="B177">
        <v>8</v>
      </c>
      <c r="C177" t="s">
        <v>512</v>
      </c>
      <c r="D177" t="s">
        <v>480</v>
      </c>
      <c r="E177" t="s">
        <v>502</v>
      </c>
      <c r="F177" t="s">
        <v>502</v>
      </c>
      <c r="G177" t="s">
        <v>62</v>
      </c>
      <c r="H177">
        <v>78879</v>
      </c>
      <c r="I177">
        <v>150.4325</v>
      </c>
      <c r="J177">
        <v>524.34812955976895</v>
      </c>
      <c r="K177">
        <v>552.93152628464895</v>
      </c>
      <c r="L177">
        <v>142.65600033699801</v>
      </c>
      <c r="M177">
        <v>-7.7764996630016103</v>
      </c>
      <c r="N177">
        <v>0.94830572075182096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499</v>
      </c>
      <c r="B178">
        <v>9</v>
      </c>
      <c r="C178" t="s">
        <v>513</v>
      </c>
      <c r="D178" t="s">
        <v>493</v>
      </c>
      <c r="E178" t="s">
        <v>502</v>
      </c>
      <c r="F178" t="s">
        <v>502</v>
      </c>
      <c r="G178" t="s">
        <v>344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499</v>
      </c>
      <c r="B179">
        <v>10</v>
      </c>
      <c r="C179" t="s">
        <v>514</v>
      </c>
      <c r="D179" t="s">
        <v>515</v>
      </c>
      <c r="E179" t="s">
        <v>502</v>
      </c>
      <c r="F179" t="s">
        <v>502</v>
      </c>
      <c r="G179" t="s">
        <v>62</v>
      </c>
      <c r="H179">
        <v>131640</v>
      </c>
      <c r="I179">
        <v>829.12555555555502</v>
      </c>
      <c r="J179">
        <v>158.76968104281201</v>
      </c>
      <c r="K179">
        <v>175.247449569466</v>
      </c>
      <c r="L179">
        <v>751.16642395311396</v>
      </c>
      <c r="M179">
        <v>-77.959131602440806</v>
      </c>
      <c r="N179">
        <v>0.90597427484887405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516</v>
      </c>
      <c r="B180">
        <v>1</v>
      </c>
      <c r="C180" t="s">
        <v>517</v>
      </c>
      <c r="D180" t="s">
        <v>13</v>
      </c>
      <c r="E180" t="s">
        <v>518</v>
      </c>
      <c r="F180" t="s">
        <v>518</v>
      </c>
      <c r="G180" t="s">
        <v>62</v>
      </c>
      <c r="H180">
        <v>52761</v>
      </c>
      <c r="I180">
        <v>230.84638888888799</v>
      </c>
      <c r="J180">
        <v>228.55458235214101</v>
      </c>
      <c r="K180">
        <v>192.41448648260999</v>
      </c>
      <c r="L180">
        <v>274.20492585815799</v>
      </c>
      <c r="M180">
        <v>43.358536969269799</v>
      </c>
      <c r="N180">
        <v>1.1878241941663601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516</v>
      </c>
      <c r="B181">
        <v>2</v>
      </c>
      <c r="C181" t="s">
        <v>519</v>
      </c>
      <c r="D181" t="s">
        <v>520</v>
      </c>
      <c r="E181" t="s">
        <v>518</v>
      </c>
      <c r="F181" t="s">
        <v>518</v>
      </c>
      <c r="G181" t="s">
        <v>62</v>
      </c>
      <c r="H181">
        <v>78879</v>
      </c>
      <c r="I181">
        <v>447.84666666666601</v>
      </c>
      <c r="J181">
        <v>176.129478839483</v>
      </c>
      <c r="K181">
        <v>235.94885674632101</v>
      </c>
      <c r="L181">
        <v>334.30549775795703</v>
      </c>
      <c r="M181">
        <v>-113.541168908709</v>
      </c>
      <c r="N181">
        <v>0.74647311823531304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516</v>
      </c>
      <c r="B182">
        <v>3</v>
      </c>
      <c r="C182" t="s">
        <v>521</v>
      </c>
      <c r="D182" t="s">
        <v>394</v>
      </c>
      <c r="E182" t="s">
        <v>518</v>
      </c>
      <c r="F182" t="s">
        <v>518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516</v>
      </c>
      <c r="B183">
        <v>4</v>
      </c>
      <c r="C183" t="s">
        <v>522</v>
      </c>
      <c r="D183" t="s">
        <v>480</v>
      </c>
      <c r="E183" t="s">
        <v>518</v>
      </c>
      <c r="F183" t="s">
        <v>518</v>
      </c>
      <c r="G183" t="s">
        <v>62</v>
      </c>
      <c r="H183">
        <v>78879</v>
      </c>
      <c r="I183">
        <v>150.4325</v>
      </c>
      <c r="J183">
        <v>524.34812955976895</v>
      </c>
      <c r="K183">
        <v>552.93152628464895</v>
      </c>
      <c r="L183">
        <v>142.65600033699801</v>
      </c>
      <c r="M183">
        <v>-7.7764996630016103</v>
      </c>
      <c r="N183">
        <v>0.94830572075182096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516</v>
      </c>
      <c r="B184">
        <v>5</v>
      </c>
      <c r="C184" t="s">
        <v>523</v>
      </c>
      <c r="D184" t="s">
        <v>493</v>
      </c>
      <c r="E184" t="s">
        <v>518</v>
      </c>
      <c r="F184" t="s">
        <v>518</v>
      </c>
      <c r="G184" t="s">
        <v>344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516</v>
      </c>
      <c r="B185">
        <v>6</v>
      </c>
      <c r="C185" t="s">
        <v>524</v>
      </c>
      <c r="D185" t="s">
        <v>515</v>
      </c>
      <c r="E185" t="s">
        <v>518</v>
      </c>
      <c r="F185" t="s">
        <v>518</v>
      </c>
      <c r="G185" t="s">
        <v>62</v>
      </c>
      <c r="H185">
        <v>131640</v>
      </c>
      <c r="I185">
        <v>829.12555555555502</v>
      </c>
      <c r="J185">
        <v>158.76968104281201</v>
      </c>
      <c r="K185">
        <v>175.247449569466</v>
      </c>
      <c r="L185">
        <v>751.16642395311396</v>
      </c>
      <c r="M185">
        <v>-77.959131602440806</v>
      </c>
      <c r="N185">
        <v>0.90597427484887405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t="s">
        <v>119</v>
      </c>
      <c r="G1" t="s">
        <v>52</v>
      </c>
      <c r="H1" t="s">
        <v>120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</row>
    <row r="2" spans="1:19" x14ac:dyDescent="0.35">
      <c r="A2" t="s">
        <v>132</v>
      </c>
      <c r="B2">
        <v>1</v>
      </c>
      <c r="C2" t="s">
        <v>133</v>
      </c>
      <c r="D2" t="s">
        <v>6</v>
      </c>
      <c r="E2" t="s">
        <v>13</v>
      </c>
      <c r="F2" t="s">
        <v>134</v>
      </c>
      <c r="G2" t="s">
        <v>135</v>
      </c>
      <c r="H2">
        <v>88113</v>
      </c>
      <c r="I2">
        <v>63.514166666666597</v>
      </c>
      <c r="J2">
        <v>1387.2967973024299</v>
      </c>
      <c r="K2">
        <v>995.00000399999999</v>
      </c>
      <c r="L2">
        <v>88.555778538469198</v>
      </c>
      <c r="M2">
        <v>25.041611871802498</v>
      </c>
      <c r="N2">
        <v>1.3942681323873001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132</v>
      </c>
      <c r="B3">
        <v>2</v>
      </c>
      <c r="C3" t="s">
        <v>136</v>
      </c>
      <c r="D3" t="s">
        <v>137</v>
      </c>
      <c r="E3" t="s">
        <v>13</v>
      </c>
      <c r="F3" t="s">
        <v>134</v>
      </c>
      <c r="G3" t="s">
        <v>62</v>
      </c>
      <c r="H3">
        <v>1977</v>
      </c>
      <c r="I3">
        <v>1.6344444444444399</v>
      </c>
      <c r="J3">
        <v>1209.5853161114801</v>
      </c>
      <c r="K3">
        <v>275.00000399999999</v>
      </c>
      <c r="L3">
        <v>7.1890908045223103</v>
      </c>
      <c r="M3">
        <v>5.5546463600778697</v>
      </c>
      <c r="N3">
        <v>4.3984919946091603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132</v>
      </c>
      <c r="B4">
        <v>3</v>
      </c>
      <c r="C4" t="s">
        <v>138</v>
      </c>
      <c r="D4" t="s">
        <v>139</v>
      </c>
      <c r="E4" t="s">
        <v>13</v>
      </c>
      <c r="F4" t="s">
        <v>134</v>
      </c>
      <c r="G4" t="s">
        <v>62</v>
      </c>
      <c r="H4">
        <v>12400</v>
      </c>
      <c r="I4">
        <v>27.0058333333333</v>
      </c>
      <c r="J4">
        <v>459.16005801215698</v>
      </c>
      <c r="K4">
        <v>101.999988</v>
      </c>
      <c r="L4">
        <v>121.568641753173</v>
      </c>
      <c r="M4">
        <v>94.562808419840195</v>
      </c>
      <c r="N4">
        <v>4.5015697257940603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132</v>
      </c>
      <c r="B5">
        <v>4</v>
      </c>
      <c r="C5" t="s">
        <v>140</v>
      </c>
      <c r="D5" t="s">
        <v>141</v>
      </c>
      <c r="E5" t="s">
        <v>13</v>
      </c>
      <c r="F5" t="s">
        <v>134</v>
      </c>
      <c r="G5" t="s">
        <v>62</v>
      </c>
      <c r="H5">
        <v>12</v>
      </c>
      <c r="I5">
        <v>5.4166666666666599E-2</v>
      </c>
      <c r="J5">
        <v>221.53846153846101</v>
      </c>
      <c r="K5">
        <v>52.999991999999999</v>
      </c>
      <c r="L5">
        <v>0.226415128515491</v>
      </c>
      <c r="M5">
        <v>0.172248461848824</v>
      </c>
      <c r="N5">
        <v>4.17997160336291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132</v>
      </c>
      <c r="B6">
        <v>5</v>
      </c>
      <c r="C6" t="s">
        <v>142</v>
      </c>
      <c r="D6" t="s">
        <v>143</v>
      </c>
      <c r="E6" t="s">
        <v>13</v>
      </c>
      <c r="F6" t="s">
        <v>134</v>
      </c>
      <c r="G6" t="s">
        <v>62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132</v>
      </c>
      <c r="B7">
        <v>6</v>
      </c>
      <c r="C7" t="s">
        <v>144</v>
      </c>
      <c r="D7" t="s">
        <v>145</v>
      </c>
      <c r="E7" t="s">
        <v>13</v>
      </c>
      <c r="F7" t="s">
        <v>134</v>
      </c>
      <c r="G7" t="s">
        <v>62</v>
      </c>
      <c r="H7">
        <v>14389</v>
      </c>
      <c r="I7">
        <v>28.6944444444444</v>
      </c>
      <c r="J7">
        <v>501.45595353339701</v>
      </c>
      <c r="K7">
        <v>111.55634438896401</v>
      </c>
      <c r="L7">
        <v>128.984147686211</v>
      </c>
      <c r="M7">
        <v>100.28970324176601</v>
      </c>
      <c r="N7">
        <v>4.4950913036820896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132</v>
      </c>
      <c r="B8">
        <v>7</v>
      </c>
      <c r="C8" t="s">
        <v>146</v>
      </c>
      <c r="D8" t="s">
        <v>147</v>
      </c>
      <c r="E8" t="s">
        <v>13</v>
      </c>
      <c r="F8" t="s">
        <v>134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132</v>
      </c>
      <c r="B9">
        <v>8</v>
      </c>
      <c r="C9" t="s">
        <v>148</v>
      </c>
      <c r="D9" t="s">
        <v>149</v>
      </c>
      <c r="E9" t="s">
        <v>13</v>
      </c>
      <c r="F9" t="s">
        <v>134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132</v>
      </c>
      <c r="B10">
        <v>9</v>
      </c>
      <c r="C10" t="s">
        <v>150</v>
      </c>
      <c r="D10" t="s">
        <v>151</v>
      </c>
      <c r="E10" t="s">
        <v>13</v>
      </c>
      <c r="F10" t="s">
        <v>134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132</v>
      </c>
      <c r="B11">
        <v>10</v>
      </c>
      <c r="C11" t="s">
        <v>152</v>
      </c>
      <c r="D11" t="s">
        <v>153</v>
      </c>
      <c r="E11" t="s">
        <v>13</v>
      </c>
      <c r="F11" t="s">
        <v>134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132</v>
      </c>
      <c r="B12">
        <v>11</v>
      </c>
      <c r="C12" t="s">
        <v>154</v>
      </c>
      <c r="D12" t="s">
        <v>155</v>
      </c>
      <c r="E12" t="s">
        <v>13</v>
      </c>
      <c r="F12" t="s">
        <v>134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132</v>
      </c>
      <c r="B13">
        <v>12</v>
      </c>
      <c r="C13" t="s">
        <v>156</v>
      </c>
      <c r="D13" t="s">
        <v>157</v>
      </c>
      <c r="E13" t="s">
        <v>13</v>
      </c>
      <c r="F13" t="s">
        <v>134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132</v>
      </c>
      <c r="B14">
        <v>13</v>
      </c>
      <c r="C14" t="s">
        <v>158</v>
      </c>
      <c r="D14" t="s">
        <v>7</v>
      </c>
      <c r="E14" t="s">
        <v>13</v>
      </c>
      <c r="F14" t="s">
        <v>134</v>
      </c>
      <c r="G14" t="s">
        <v>68</v>
      </c>
      <c r="H14">
        <v>8261</v>
      </c>
      <c r="I14">
        <v>2.70583333333333</v>
      </c>
      <c r="J14">
        <v>3053.0335694487198</v>
      </c>
      <c r="K14">
        <v>524.99998800000003</v>
      </c>
      <c r="L14">
        <v>15.7352384549006</v>
      </c>
      <c r="M14">
        <v>13.029405121567301</v>
      </c>
      <c r="N14">
        <v>5.8153021699663698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132</v>
      </c>
      <c r="B15">
        <v>14</v>
      </c>
      <c r="C15" t="s">
        <v>159</v>
      </c>
      <c r="D15" t="s">
        <v>160</v>
      </c>
      <c r="E15" t="s">
        <v>13</v>
      </c>
      <c r="F15" t="s">
        <v>134</v>
      </c>
      <c r="G15" t="s">
        <v>69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132</v>
      </c>
      <c r="B16">
        <v>15</v>
      </c>
      <c r="C16" t="s">
        <v>161</v>
      </c>
      <c r="D16" t="s">
        <v>162</v>
      </c>
      <c r="E16" t="s">
        <v>13</v>
      </c>
      <c r="F16" t="s">
        <v>134</v>
      </c>
      <c r="G16" t="s">
        <v>135</v>
      </c>
      <c r="H16">
        <v>88113</v>
      </c>
      <c r="I16">
        <v>27.05</v>
      </c>
      <c r="J16">
        <v>3257.4121996303102</v>
      </c>
      <c r="K16">
        <v>2000.00001599999</v>
      </c>
      <c r="L16">
        <v>44.056499647548002</v>
      </c>
      <c r="M16">
        <v>17.006499647548001</v>
      </c>
      <c r="N16">
        <v>1.6287060867855001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132</v>
      </c>
      <c r="B17">
        <v>16</v>
      </c>
      <c r="C17" t="s">
        <v>163</v>
      </c>
      <c r="D17" t="s">
        <v>164</v>
      </c>
      <c r="E17" t="s">
        <v>13</v>
      </c>
      <c r="F17" t="s">
        <v>134</v>
      </c>
      <c r="G17" t="s">
        <v>62</v>
      </c>
      <c r="H17">
        <v>88113</v>
      </c>
      <c r="I17">
        <v>121.964444444444</v>
      </c>
      <c r="J17">
        <v>722.44825450040003</v>
      </c>
      <c r="K17">
        <v>317.717056268286</v>
      </c>
      <c r="L17">
        <v>277.33166432712898</v>
      </c>
      <c r="M17">
        <v>155.367219882684</v>
      </c>
      <c r="N17">
        <v>2.2738730585818798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132</v>
      </c>
      <c r="B18">
        <v>17</v>
      </c>
      <c r="C18" t="s">
        <v>165</v>
      </c>
      <c r="D18" t="s">
        <v>166</v>
      </c>
      <c r="E18" t="s">
        <v>13</v>
      </c>
      <c r="F18" t="s">
        <v>167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132</v>
      </c>
      <c r="B19">
        <v>18</v>
      </c>
      <c r="C19" t="s">
        <v>168</v>
      </c>
      <c r="D19" t="s">
        <v>169</v>
      </c>
      <c r="E19" t="s">
        <v>13</v>
      </c>
      <c r="F19" t="s">
        <v>167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132</v>
      </c>
      <c r="B20">
        <v>19</v>
      </c>
      <c r="C20" t="s">
        <v>170</v>
      </c>
      <c r="D20" t="s">
        <v>171</v>
      </c>
      <c r="E20" t="s">
        <v>13</v>
      </c>
      <c r="F20" t="s">
        <v>167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132</v>
      </c>
      <c r="B21">
        <v>20</v>
      </c>
      <c r="C21" t="s">
        <v>172</v>
      </c>
      <c r="D21" t="s">
        <v>173</v>
      </c>
      <c r="E21" t="s">
        <v>13</v>
      </c>
      <c r="F21" t="s">
        <v>167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132</v>
      </c>
      <c r="B22">
        <v>21</v>
      </c>
      <c r="C22" t="s">
        <v>174</v>
      </c>
      <c r="D22" t="s">
        <v>175</v>
      </c>
      <c r="E22" t="s">
        <v>13</v>
      </c>
      <c r="F22" t="s">
        <v>167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132</v>
      </c>
      <c r="B23">
        <v>22</v>
      </c>
      <c r="C23" t="s">
        <v>176</v>
      </c>
      <c r="D23" t="s">
        <v>177</v>
      </c>
      <c r="E23" t="s">
        <v>13</v>
      </c>
      <c r="F23" t="s">
        <v>167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132</v>
      </c>
      <c r="B24">
        <v>23</v>
      </c>
      <c r="C24" t="s">
        <v>178</v>
      </c>
      <c r="D24" t="s">
        <v>179</v>
      </c>
      <c r="E24" t="s">
        <v>13</v>
      </c>
      <c r="F24" t="s">
        <v>167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132</v>
      </c>
      <c r="B25">
        <v>24</v>
      </c>
      <c r="C25" t="s">
        <v>180</v>
      </c>
      <c r="D25" t="s">
        <v>181</v>
      </c>
      <c r="E25" t="s">
        <v>13</v>
      </c>
      <c r="F25" t="s">
        <v>167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132</v>
      </c>
      <c r="B26">
        <v>25</v>
      </c>
      <c r="C26" t="s">
        <v>182</v>
      </c>
      <c r="D26" t="s">
        <v>183</v>
      </c>
      <c r="E26" t="s">
        <v>13</v>
      </c>
      <c r="F26" t="s">
        <v>167</v>
      </c>
      <c r="G26" t="s">
        <v>135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132</v>
      </c>
      <c r="B27">
        <v>26</v>
      </c>
      <c r="C27" t="s">
        <v>184</v>
      </c>
      <c r="D27" t="s">
        <v>185</v>
      </c>
      <c r="E27" t="s">
        <v>13</v>
      </c>
      <c r="F27" t="s">
        <v>167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132</v>
      </c>
      <c r="B28">
        <v>27</v>
      </c>
      <c r="C28" t="s">
        <v>186</v>
      </c>
      <c r="D28" t="s">
        <v>187</v>
      </c>
      <c r="E28" t="s">
        <v>13</v>
      </c>
      <c r="F28" t="s">
        <v>188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132</v>
      </c>
      <c r="B29">
        <v>28</v>
      </c>
      <c r="C29" t="s">
        <v>189</v>
      </c>
      <c r="D29" t="s">
        <v>190</v>
      </c>
      <c r="E29" t="s">
        <v>13</v>
      </c>
      <c r="F29" t="s">
        <v>188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132</v>
      </c>
      <c r="B30">
        <v>29</v>
      </c>
      <c r="C30" t="s">
        <v>191</v>
      </c>
      <c r="D30" t="s">
        <v>192</v>
      </c>
      <c r="E30" t="s">
        <v>13</v>
      </c>
      <c r="F30" t="s">
        <v>188</v>
      </c>
      <c r="G30" t="s">
        <v>62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132</v>
      </c>
      <c r="B31">
        <v>30</v>
      </c>
      <c r="C31" t="s">
        <v>193</v>
      </c>
      <c r="D31" t="s">
        <v>194</v>
      </c>
      <c r="E31" t="s">
        <v>13</v>
      </c>
      <c r="F31" t="s">
        <v>188</v>
      </c>
      <c r="G31" t="s">
        <v>62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132</v>
      </c>
      <c r="B32">
        <v>31</v>
      </c>
      <c r="C32" t="s">
        <v>195</v>
      </c>
      <c r="D32" t="s">
        <v>196</v>
      </c>
      <c r="E32" t="s">
        <v>13</v>
      </c>
      <c r="F32" t="s">
        <v>188</v>
      </c>
      <c r="G32" t="s">
        <v>62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132</v>
      </c>
      <c r="B33">
        <v>32</v>
      </c>
      <c r="C33" t="s">
        <v>197</v>
      </c>
      <c r="D33" t="s">
        <v>198</v>
      </c>
      <c r="E33" t="s">
        <v>13</v>
      </c>
      <c r="F33" t="s">
        <v>188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132</v>
      </c>
      <c r="B34">
        <v>33</v>
      </c>
      <c r="C34" t="s">
        <v>199</v>
      </c>
      <c r="D34" t="s">
        <v>200</v>
      </c>
      <c r="E34" t="s">
        <v>13</v>
      </c>
      <c r="F34" t="s">
        <v>188</v>
      </c>
      <c r="G34" t="s">
        <v>62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132</v>
      </c>
      <c r="B35">
        <v>34</v>
      </c>
      <c r="C35" t="s">
        <v>201</v>
      </c>
      <c r="D35" t="s">
        <v>202</v>
      </c>
      <c r="E35" t="s">
        <v>13</v>
      </c>
      <c r="F35" t="s">
        <v>188</v>
      </c>
      <c r="G35" t="s">
        <v>135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132</v>
      </c>
      <c r="B36">
        <v>35</v>
      </c>
      <c r="C36" t="s">
        <v>203</v>
      </c>
      <c r="D36" t="s">
        <v>204</v>
      </c>
      <c r="E36" t="s">
        <v>13</v>
      </c>
      <c r="F36" t="s">
        <v>188</v>
      </c>
      <c r="G36" t="s">
        <v>135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132</v>
      </c>
      <c r="B37">
        <v>36</v>
      </c>
      <c r="C37" t="s">
        <v>205</v>
      </c>
      <c r="D37" t="s">
        <v>206</v>
      </c>
      <c r="E37" t="s">
        <v>13</v>
      </c>
      <c r="F37" t="s">
        <v>207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132</v>
      </c>
      <c r="B38">
        <v>37</v>
      </c>
      <c r="C38" t="s">
        <v>208</v>
      </c>
      <c r="D38" t="s">
        <v>209</v>
      </c>
      <c r="E38" t="s">
        <v>13</v>
      </c>
      <c r="F38" t="s">
        <v>207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132</v>
      </c>
      <c r="B39">
        <v>38</v>
      </c>
      <c r="C39" t="s">
        <v>210</v>
      </c>
      <c r="D39" t="s">
        <v>211</v>
      </c>
      <c r="E39" t="s">
        <v>13</v>
      </c>
      <c r="F39" t="s">
        <v>207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132</v>
      </c>
      <c r="B40">
        <v>39</v>
      </c>
      <c r="C40" t="s">
        <v>212</v>
      </c>
      <c r="D40" t="s">
        <v>213</v>
      </c>
      <c r="E40" t="s">
        <v>13</v>
      </c>
      <c r="F40" t="s">
        <v>207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132</v>
      </c>
      <c r="B41">
        <v>40</v>
      </c>
      <c r="C41" t="s">
        <v>214</v>
      </c>
      <c r="D41" t="s">
        <v>215</v>
      </c>
      <c r="E41" t="s">
        <v>13</v>
      </c>
      <c r="F41" t="s">
        <v>207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132</v>
      </c>
      <c r="B42">
        <v>41</v>
      </c>
      <c r="C42" t="s">
        <v>216</v>
      </c>
      <c r="D42" t="s">
        <v>217</v>
      </c>
      <c r="E42" t="s">
        <v>13</v>
      </c>
      <c r="F42" t="s">
        <v>207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132</v>
      </c>
      <c r="B43">
        <v>42</v>
      </c>
      <c r="C43" t="s">
        <v>218</v>
      </c>
      <c r="D43" t="s">
        <v>219</v>
      </c>
      <c r="E43" t="s">
        <v>13</v>
      </c>
      <c r="F43" t="s">
        <v>207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132</v>
      </c>
      <c r="B44">
        <v>43</v>
      </c>
      <c r="C44" t="s">
        <v>220</v>
      </c>
      <c r="D44" t="s">
        <v>221</v>
      </c>
      <c r="E44" t="s">
        <v>13</v>
      </c>
      <c r="F44" t="s">
        <v>207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132</v>
      </c>
      <c r="B45">
        <v>44</v>
      </c>
      <c r="C45" t="s">
        <v>222</v>
      </c>
      <c r="D45" t="s">
        <v>223</v>
      </c>
      <c r="E45" t="s">
        <v>13</v>
      </c>
      <c r="F45" t="s">
        <v>207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132</v>
      </c>
      <c r="B46">
        <v>45</v>
      </c>
      <c r="C46" t="s">
        <v>224</v>
      </c>
      <c r="D46" t="s">
        <v>225</v>
      </c>
      <c r="E46" t="s">
        <v>13</v>
      </c>
      <c r="F46" t="s">
        <v>226</v>
      </c>
      <c r="G46" t="s">
        <v>68</v>
      </c>
      <c r="H46">
        <v>9088</v>
      </c>
      <c r="I46">
        <v>137.160277777777</v>
      </c>
      <c r="J46">
        <v>66.258250181762193</v>
      </c>
      <c r="K46">
        <v>86.000004000000004</v>
      </c>
      <c r="L46">
        <v>105.674413689562</v>
      </c>
      <c r="M46">
        <v>-31.4858640882156</v>
      </c>
      <c r="N46">
        <v>0.77044473372073496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132</v>
      </c>
      <c r="B47">
        <v>46</v>
      </c>
      <c r="C47" t="s">
        <v>227</v>
      </c>
      <c r="D47" t="s">
        <v>228</v>
      </c>
      <c r="E47" t="s">
        <v>13</v>
      </c>
      <c r="F47" t="s">
        <v>226</v>
      </c>
      <c r="G47" t="s">
        <v>229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132</v>
      </c>
      <c r="B48">
        <v>47</v>
      </c>
      <c r="C48" t="s">
        <v>230</v>
      </c>
      <c r="D48" t="s">
        <v>231</v>
      </c>
      <c r="E48" t="s">
        <v>13</v>
      </c>
      <c r="F48" t="s">
        <v>226</v>
      </c>
      <c r="G48" t="s">
        <v>69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132</v>
      </c>
      <c r="B49">
        <v>48</v>
      </c>
      <c r="C49" t="s">
        <v>232</v>
      </c>
      <c r="D49" t="s">
        <v>233</v>
      </c>
      <c r="E49" t="s">
        <v>13</v>
      </c>
      <c r="F49" t="s">
        <v>226</v>
      </c>
      <c r="G49" t="s">
        <v>234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132</v>
      </c>
      <c r="B50">
        <v>49</v>
      </c>
      <c r="C50" t="s">
        <v>235</v>
      </c>
      <c r="D50" t="s">
        <v>236</v>
      </c>
      <c r="E50" t="s">
        <v>13</v>
      </c>
      <c r="F50" t="s">
        <v>226</v>
      </c>
      <c r="G50" t="s">
        <v>135</v>
      </c>
      <c r="H50">
        <v>167873</v>
      </c>
      <c r="I50">
        <v>14.9333333333333</v>
      </c>
      <c r="J50">
        <v>11241.495535714201</v>
      </c>
      <c r="K50">
        <v>15000.0000119999</v>
      </c>
      <c r="L50">
        <v>11.191533324380099</v>
      </c>
      <c r="M50">
        <v>-3.74180000895322</v>
      </c>
      <c r="N50">
        <v>0.74943303511473902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132</v>
      </c>
      <c r="B51">
        <v>50</v>
      </c>
      <c r="C51" t="s">
        <v>237</v>
      </c>
      <c r="D51" t="s">
        <v>238</v>
      </c>
      <c r="E51" t="s">
        <v>13</v>
      </c>
      <c r="F51" t="s">
        <v>226</v>
      </c>
      <c r="G51" t="s">
        <v>135</v>
      </c>
      <c r="H51">
        <v>167873</v>
      </c>
      <c r="I51">
        <v>152.09361111111099</v>
      </c>
      <c r="J51">
        <v>1103.7478745728599</v>
      </c>
      <c r="K51">
        <v>1436.45779022329</v>
      </c>
      <c r="L51">
        <v>116.86594701394201</v>
      </c>
      <c r="M51">
        <v>-35.227664097168798</v>
      </c>
      <c r="N51">
        <v>0.76838169703634995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132</v>
      </c>
      <c r="B52">
        <v>51</v>
      </c>
      <c r="C52" t="s">
        <v>239</v>
      </c>
      <c r="D52" t="s">
        <v>240</v>
      </c>
      <c r="E52" t="s">
        <v>13</v>
      </c>
      <c r="F52" t="s">
        <v>240</v>
      </c>
      <c r="G52" t="s">
        <v>135</v>
      </c>
      <c r="H52">
        <v>88113</v>
      </c>
      <c r="I52">
        <v>10.5</v>
      </c>
      <c r="J52">
        <v>8391.7142857142808</v>
      </c>
      <c r="K52">
        <v>4500</v>
      </c>
      <c r="L52">
        <v>19.580666666666598</v>
      </c>
      <c r="M52">
        <v>9.0806666666666604</v>
      </c>
      <c r="N52">
        <v>1.8648253968253901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132</v>
      </c>
      <c r="B53">
        <v>52</v>
      </c>
      <c r="C53" t="s">
        <v>241</v>
      </c>
      <c r="D53" t="s">
        <v>242</v>
      </c>
      <c r="E53" t="s">
        <v>13</v>
      </c>
      <c r="F53" t="s">
        <v>243</v>
      </c>
      <c r="G53" t="s">
        <v>135</v>
      </c>
      <c r="H53">
        <v>88113</v>
      </c>
      <c r="I53">
        <v>10.671111111111101</v>
      </c>
      <c r="J53">
        <v>8257.1532694710495</v>
      </c>
      <c r="K53">
        <v>1850.000004</v>
      </c>
      <c r="L53">
        <v>47.628648545667701</v>
      </c>
      <c r="M53">
        <v>36.957537434556599</v>
      </c>
      <c r="N53">
        <v>4.4633260819555396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132</v>
      </c>
      <c r="B54">
        <v>53</v>
      </c>
      <c r="C54" t="s">
        <v>244</v>
      </c>
      <c r="D54" t="s">
        <v>11</v>
      </c>
      <c r="E54" t="s">
        <v>13</v>
      </c>
      <c r="F54" t="s">
        <v>245</v>
      </c>
      <c r="G54" t="s">
        <v>62</v>
      </c>
      <c r="H54">
        <v>88113</v>
      </c>
      <c r="I54">
        <v>295.229166666666</v>
      </c>
      <c r="J54">
        <v>298.45628396019998</v>
      </c>
      <c r="K54">
        <v>190.965923849869</v>
      </c>
      <c r="L54">
        <v>461.40692655340501</v>
      </c>
      <c r="M54">
        <v>166.17775988673901</v>
      </c>
      <c r="N54">
        <v>1.56287717695035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132</v>
      </c>
      <c r="B55">
        <v>54</v>
      </c>
      <c r="C55" t="s">
        <v>246</v>
      </c>
      <c r="D55" t="s">
        <v>247</v>
      </c>
      <c r="E55" t="s">
        <v>248</v>
      </c>
      <c r="F55" t="s">
        <v>249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132</v>
      </c>
      <c r="B56">
        <v>55</v>
      </c>
      <c r="C56" t="s">
        <v>250</v>
      </c>
      <c r="D56" t="s">
        <v>251</v>
      </c>
      <c r="E56" t="s">
        <v>248</v>
      </c>
      <c r="F56" t="s">
        <v>249</v>
      </c>
      <c r="G56" t="s">
        <v>69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132</v>
      </c>
      <c r="B57">
        <v>56</v>
      </c>
      <c r="C57" t="s">
        <v>252</v>
      </c>
      <c r="D57" t="s">
        <v>253</v>
      </c>
      <c r="E57" t="s">
        <v>248</v>
      </c>
      <c r="F57" t="s">
        <v>254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132</v>
      </c>
      <c r="B58">
        <v>57</v>
      </c>
      <c r="C58" t="s">
        <v>255</v>
      </c>
      <c r="D58" t="s">
        <v>256</v>
      </c>
      <c r="E58" t="s">
        <v>248</v>
      </c>
      <c r="F58" t="s">
        <v>254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132</v>
      </c>
      <c r="B59">
        <v>58</v>
      </c>
      <c r="C59" t="s">
        <v>257</v>
      </c>
      <c r="D59" t="s">
        <v>258</v>
      </c>
      <c r="E59" t="s">
        <v>248</v>
      </c>
      <c r="F59" t="s">
        <v>259</v>
      </c>
      <c r="G59" t="s">
        <v>68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132</v>
      </c>
      <c r="B60">
        <v>59</v>
      </c>
      <c r="C60" t="s">
        <v>260</v>
      </c>
      <c r="D60" t="s">
        <v>261</v>
      </c>
      <c r="E60" t="s">
        <v>248</v>
      </c>
      <c r="F60" t="s">
        <v>259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132</v>
      </c>
      <c r="B61">
        <v>60</v>
      </c>
      <c r="C61" t="s">
        <v>262</v>
      </c>
      <c r="D61" t="s">
        <v>263</v>
      </c>
      <c r="E61" t="s">
        <v>248</v>
      </c>
      <c r="F61" t="s">
        <v>259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132</v>
      </c>
      <c r="B62">
        <v>61</v>
      </c>
      <c r="C62" t="s">
        <v>264</v>
      </c>
      <c r="D62" t="s">
        <v>265</v>
      </c>
      <c r="E62" t="s">
        <v>248</v>
      </c>
      <c r="F62" t="s">
        <v>259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132</v>
      </c>
      <c r="B63">
        <v>62</v>
      </c>
      <c r="C63" t="s">
        <v>266</v>
      </c>
      <c r="D63" t="s">
        <v>267</v>
      </c>
      <c r="E63" t="s">
        <v>248</v>
      </c>
      <c r="F63" t="s">
        <v>259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132</v>
      </c>
      <c r="B64">
        <v>63</v>
      </c>
      <c r="C64" t="s">
        <v>268</v>
      </c>
      <c r="D64" t="s">
        <v>269</v>
      </c>
      <c r="E64" t="s">
        <v>248</v>
      </c>
      <c r="F64" t="s">
        <v>259</v>
      </c>
      <c r="G64" t="s">
        <v>135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132</v>
      </c>
      <c r="B65">
        <v>64</v>
      </c>
      <c r="C65" t="s">
        <v>270</v>
      </c>
      <c r="D65" t="s">
        <v>271</v>
      </c>
      <c r="E65" t="s">
        <v>248</v>
      </c>
      <c r="F65" t="s">
        <v>56</v>
      </c>
      <c r="G65" t="s">
        <v>62</v>
      </c>
      <c r="H65">
        <v>10948</v>
      </c>
      <c r="I65">
        <v>7.1547222222222198</v>
      </c>
      <c r="J65">
        <v>1530.1782039833799</v>
      </c>
      <c r="K65">
        <v>1244.000016</v>
      </c>
      <c r="L65">
        <v>8.8006429736251697</v>
      </c>
      <c r="M65">
        <v>1.6459207514029399</v>
      </c>
      <c r="N65">
        <v>1.2300467719474499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132</v>
      </c>
      <c r="B66">
        <v>65</v>
      </c>
      <c r="C66" t="s">
        <v>272</v>
      </c>
      <c r="D66" t="s">
        <v>273</v>
      </c>
      <c r="E66" t="s">
        <v>248</v>
      </c>
      <c r="F66" t="s">
        <v>56</v>
      </c>
      <c r="G66" t="s">
        <v>62</v>
      </c>
      <c r="H66">
        <v>66548</v>
      </c>
      <c r="I66">
        <v>287.03583333333302</v>
      </c>
      <c r="J66">
        <v>231.84561741710499</v>
      </c>
      <c r="K66">
        <v>288</v>
      </c>
      <c r="L66">
        <v>231.069444444444</v>
      </c>
      <c r="M66">
        <v>-55.966388888888801</v>
      </c>
      <c r="N66">
        <v>0.805019504920504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132</v>
      </c>
      <c r="B67">
        <v>66</v>
      </c>
      <c r="C67" t="s">
        <v>274</v>
      </c>
      <c r="D67" t="s">
        <v>275</v>
      </c>
      <c r="E67" t="s">
        <v>248</v>
      </c>
      <c r="F67" t="s">
        <v>56</v>
      </c>
      <c r="G67" t="s">
        <v>62</v>
      </c>
      <c r="H67">
        <v>1232</v>
      </c>
      <c r="I67">
        <v>4.5088888888888796</v>
      </c>
      <c r="J67">
        <v>273.23804829965502</v>
      </c>
      <c r="K67">
        <v>117</v>
      </c>
      <c r="L67">
        <v>10.5299145299145</v>
      </c>
      <c r="M67">
        <v>6.0210256410256404</v>
      </c>
      <c r="N67">
        <v>2.3353679341850802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132</v>
      </c>
      <c r="B68">
        <v>67</v>
      </c>
      <c r="C68" t="s">
        <v>276</v>
      </c>
      <c r="D68" t="s">
        <v>277</v>
      </c>
      <c r="E68" t="s">
        <v>248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132</v>
      </c>
      <c r="B69">
        <v>68</v>
      </c>
      <c r="C69" t="s">
        <v>278</v>
      </c>
      <c r="D69" t="s">
        <v>279</v>
      </c>
      <c r="E69" t="s">
        <v>248</v>
      </c>
      <c r="F69" t="s">
        <v>56</v>
      </c>
      <c r="G69" t="s">
        <v>62</v>
      </c>
      <c r="H69">
        <v>78728</v>
      </c>
      <c r="I69">
        <v>298.699444444444</v>
      </c>
      <c r="J69">
        <v>263.56928834075097</v>
      </c>
      <c r="K69">
        <v>314.40894324095899</v>
      </c>
      <c r="L69">
        <v>250.40000194798401</v>
      </c>
      <c r="M69">
        <v>-48.299442496460301</v>
      </c>
      <c r="N69">
        <v>0.83830086264039305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132</v>
      </c>
      <c r="B70">
        <v>69</v>
      </c>
      <c r="C70" t="s">
        <v>280</v>
      </c>
      <c r="D70" t="s">
        <v>281</v>
      </c>
      <c r="E70" t="s">
        <v>248</v>
      </c>
      <c r="F70" t="s">
        <v>281</v>
      </c>
      <c r="G70" t="s">
        <v>62</v>
      </c>
      <c r="H70">
        <v>79760</v>
      </c>
      <c r="I70">
        <v>35.337222222222202</v>
      </c>
      <c r="J70">
        <v>2257.1100665021099</v>
      </c>
      <c r="K70">
        <v>3465</v>
      </c>
      <c r="L70">
        <v>23.018759018758999</v>
      </c>
      <c r="M70">
        <v>-12.3184632034632</v>
      </c>
      <c r="N70">
        <v>0.65140261659512599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132</v>
      </c>
      <c r="B71">
        <v>70</v>
      </c>
      <c r="C71" t="s">
        <v>282</v>
      </c>
      <c r="D71" t="s">
        <v>283</v>
      </c>
      <c r="E71" t="s">
        <v>248</v>
      </c>
      <c r="F71" t="s">
        <v>283</v>
      </c>
      <c r="G71" t="s">
        <v>135</v>
      </c>
      <c r="H71">
        <v>79760</v>
      </c>
      <c r="I71">
        <v>71.810277777777699</v>
      </c>
      <c r="J71">
        <v>1110.7045184649301</v>
      </c>
      <c r="K71">
        <v>1524.999996</v>
      </c>
      <c r="L71">
        <v>52.301639481446898</v>
      </c>
      <c r="M71">
        <v>-19.508638296330801</v>
      </c>
      <c r="N71">
        <v>0.72833083369066198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132</v>
      </c>
      <c r="B72">
        <v>71</v>
      </c>
      <c r="C72" t="s">
        <v>284</v>
      </c>
      <c r="D72" t="s">
        <v>285</v>
      </c>
      <c r="E72" t="s">
        <v>248</v>
      </c>
      <c r="F72" t="s">
        <v>285</v>
      </c>
      <c r="G72" t="s">
        <v>135</v>
      </c>
      <c r="H72">
        <v>79760</v>
      </c>
      <c r="I72">
        <v>16.468055555555502</v>
      </c>
      <c r="J72">
        <v>4843.3161845323402</v>
      </c>
      <c r="K72">
        <v>3499.999992</v>
      </c>
      <c r="L72">
        <v>22.788571480659499</v>
      </c>
      <c r="M72">
        <v>6.3205159251040302</v>
      </c>
      <c r="N72">
        <v>1.3838046273150799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132</v>
      </c>
      <c r="B73">
        <v>72</v>
      </c>
      <c r="C73" t="s">
        <v>286</v>
      </c>
      <c r="D73" t="s">
        <v>287</v>
      </c>
      <c r="E73" t="s">
        <v>248</v>
      </c>
      <c r="F73" t="s">
        <v>288</v>
      </c>
      <c r="G73" t="s">
        <v>135</v>
      </c>
      <c r="H73">
        <v>79760</v>
      </c>
      <c r="I73">
        <v>0</v>
      </c>
      <c r="J73">
        <v>0</v>
      </c>
      <c r="K73">
        <v>5000.0000040000004</v>
      </c>
      <c r="L73">
        <v>15.9519999872384</v>
      </c>
      <c r="M73">
        <v>15.9519999872384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132</v>
      </c>
      <c r="B74">
        <v>73</v>
      </c>
      <c r="C74" t="s">
        <v>289</v>
      </c>
      <c r="D74" t="s">
        <v>290</v>
      </c>
      <c r="E74" t="s">
        <v>248</v>
      </c>
      <c r="F74" t="s">
        <v>245</v>
      </c>
      <c r="G74" t="s">
        <v>135</v>
      </c>
      <c r="H74">
        <v>79760</v>
      </c>
      <c r="I74">
        <v>422.315</v>
      </c>
      <c r="J74">
        <v>188.86376283106199</v>
      </c>
      <c r="K74">
        <v>218.84373402363499</v>
      </c>
      <c r="L74">
        <v>364.460971916088</v>
      </c>
      <c r="M74">
        <v>-57.854028083911899</v>
      </c>
      <c r="N74">
        <v>0.86300740422691102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132</v>
      </c>
      <c r="B75">
        <v>74</v>
      </c>
      <c r="C75" t="s">
        <v>291</v>
      </c>
      <c r="D75" t="s">
        <v>292</v>
      </c>
      <c r="E75" t="s">
        <v>293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132</v>
      </c>
      <c r="B76">
        <v>75</v>
      </c>
      <c r="C76" t="s">
        <v>294</v>
      </c>
      <c r="D76" t="s">
        <v>295</v>
      </c>
      <c r="E76" t="s">
        <v>293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132</v>
      </c>
      <c r="B77">
        <v>76</v>
      </c>
      <c r="C77" t="s">
        <v>296</v>
      </c>
      <c r="D77" t="s">
        <v>297</v>
      </c>
      <c r="E77" t="s">
        <v>293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132</v>
      </c>
      <c r="B78">
        <v>77</v>
      </c>
      <c r="C78" t="s">
        <v>298</v>
      </c>
      <c r="D78" t="s">
        <v>299</v>
      </c>
      <c r="E78" t="s">
        <v>293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132</v>
      </c>
      <c r="B79">
        <v>78</v>
      </c>
      <c r="C79" t="s">
        <v>300</v>
      </c>
      <c r="D79" t="s">
        <v>301</v>
      </c>
      <c r="E79" t="s">
        <v>293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132</v>
      </c>
      <c r="B80">
        <v>79</v>
      </c>
      <c r="C80" t="s">
        <v>302</v>
      </c>
      <c r="D80" t="s">
        <v>303</v>
      </c>
      <c r="E80" t="s">
        <v>293</v>
      </c>
      <c r="F80" t="s">
        <v>9</v>
      </c>
      <c r="G80" t="s">
        <v>135</v>
      </c>
      <c r="H80">
        <v>78728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132</v>
      </c>
      <c r="B81">
        <v>80</v>
      </c>
      <c r="C81" t="s">
        <v>304</v>
      </c>
      <c r="D81" t="s">
        <v>305</v>
      </c>
      <c r="E81" t="s">
        <v>293</v>
      </c>
      <c r="F81" t="s">
        <v>9</v>
      </c>
      <c r="G81" t="s">
        <v>135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132</v>
      </c>
      <c r="B82">
        <v>81</v>
      </c>
      <c r="C82" t="s">
        <v>306</v>
      </c>
      <c r="D82" t="s">
        <v>307</v>
      </c>
      <c r="E82" t="s">
        <v>293</v>
      </c>
      <c r="F82" t="s">
        <v>308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132</v>
      </c>
      <c r="B83">
        <v>82</v>
      </c>
      <c r="C83" t="s">
        <v>309</v>
      </c>
      <c r="D83" t="s">
        <v>310</v>
      </c>
      <c r="E83" t="s">
        <v>293</v>
      </c>
      <c r="F83" t="s">
        <v>308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132</v>
      </c>
      <c r="B84">
        <v>83</v>
      </c>
      <c r="C84" t="s">
        <v>311</v>
      </c>
      <c r="D84" t="s">
        <v>312</v>
      </c>
      <c r="E84" t="s">
        <v>293</v>
      </c>
      <c r="F84" t="s">
        <v>308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132</v>
      </c>
      <c r="B85">
        <v>84</v>
      </c>
      <c r="C85" t="s">
        <v>313</v>
      </c>
      <c r="D85" t="s">
        <v>314</v>
      </c>
      <c r="E85" t="s">
        <v>293</v>
      </c>
      <c r="F85" t="s">
        <v>308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132</v>
      </c>
      <c r="B86">
        <v>85</v>
      </c>
      <c r="C86" t="s">
        <v>315</v>
      </c>
      <c r="D86" t="s">
        <v>316</v>
      </c>
      <c r="E86" t="s">
        <v>293</v>
      </c>
      <c r="F86" t="s">
        <v>308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132</v>
      </c>
      <c r="B87">
        <v>86</v>
      </c>
      <c r="C87" t="s">
        <v>317</v>
      </c>
      <c r="D87" t="s">
        <v>318</v>
      </c>
      <c r="E87" t="s">
        <v>293</v>
      </c>
      <c r="F87" t="s">
        <v>308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132</v>
      </c>
      <c r="B88">
        <v>87</v>
      </c>
      <c r="C88" t="s">
        <v>319</v>
      </c>
      <c r="D88" t="s">
        <v>320</v>
      </c>
      <c r="E88" t="s">
        <v>293</v>
      </c>
      <c r="F88" t="s">
        <v>308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132</v>
      </c>
      <c r="B89">
        <v>88</v>
      </c>
      <c r="C89" t="s">
        <v>321</v>
      </c>
      <c r="D89" t="s">
        <v>322</v>
      </c>
      <c r="E89" t="s">
        <v>293</v>
      </c>
      <c r="F89" t="s">
        <v>308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132</v>
      </c>
      <c r="B90">
        <v>89</v>
      </c>
      <c r="C90" t="s">
        <v>323</v>
      </c>
      <c r="D90" t="s">
        <v>324</v>
      </c>
      <c r="E90" t="s">
        <v>293</v>
      </c>
      <c r="F90" t="s">
        <v>308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132</v>
      </c>
      <c r="B91">
        <v>90</v>
      </c>
      <c r="C91" t="s">
        <v>325</v>
      </c>
      <c r="D91" t="s">
        <v>326</v>
      </c>
      <c r="E91" t="s">
        <v>293</v>
      </c>
      <c r="F91" t="s">
        <v>308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132</v>
      </c>
      <c r="B92">
        <v>91</v>
      </c>
      <c r="C92" t="s">
        <v>327</v>
      </c>
      <c r="D92" t="s">
        <v>328</v>
      </c>
      <c r="E92" t="s">
        <v>293</v>
      </c>
      <c r="F92" t="s">
        <v>308</v>
      </c>
      <c r="G92" t="s">
        <v>135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132</v>
      </c>
      <c r="B93">
        <v>92</v>
      </c>
      <c r="C93" t="s">
        <v>329</v>
      </c>
      <c r="D93" t="s">
        <v>330</v>
      </c>
      <c r="E93" t="s">
        <v>293</v>
      </c>
      <c r="F93" t="s">
        <v>308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132</v>
      </c>
      <c r="B94">
        <v>93</v>
      </c>
      <c r="C94" t="s">
        <v>331</v>
      </c>
      <c r="D94" t="s">
        <v>332</v>
      </c>
      <c r="E94" t="s">
        <v>293</v>
      </c>
      <c r="F94" t="s">
        <v>333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132</v>
      </c>
      <c r="B95">
        <v>94</v>
      </c>
      <c r="C95" t="s">
        <v>334</v>
      </c>
      <c r="D95" t="s">
        <v>335</v>
      </c>
      <c r="E95" t="s">
        <v>293</v>
      </c>
      <c r="F95" t="s">
        <v>333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132</v>
      </c>
      <c r="B96">
        <v>95</v>
      </c>
      <c r="C96" t="s">
        <v>336</v>
      </c>
      <c r="D96" t="s">
        <v>337</v>
      </c>
      <c r="E96" t="s">
        <v>293</v>
      </c>
      <c r="F96" t="s">
        <v>333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132</v>
      </c>
      <c r="B97">
        <v>96</v>
      </c>
      <c r="C97" t="s">
        <v>338</v>
      </c>
      <c r="D97" t="s">
        <v>339</v>
      </c>
      <c r="E97" t="s">
        <v>293</v>
      </c>
      <c r="F97" t="s">
        <v>333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132</v>
      </c>
      <c r="B98">
        <v>97</v>
      </c>
      <c r="C98" t="s">
        <v>340</v>
      </c>
      <c r="D98" t="s">
        <v>341</v>
      </c>
      <c r="E98" t="s">
        <v>293</v>
      </c>
      <c r="F98" t="s">
        <v>333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132</v>
      </c>
      <c r="B99">
        <v>98</v>
      </c>
      <c r="C99" t="s">
        <v>342</v>
      </c>
      <c r="D99" t="s">
        <v>343</v>
      </c>
      <c r="E99" t="s">
        <v>293</v>
      </c>
      <c r="F99" t="s">
        <v>333</v>
      </c>
      <c r="G99" t="s">
        <v>344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132</v>
      </c>
      <c r="B100">
        <v>99</v>
      </c>
      <c r="C100" t="s">
        <v>345</v>
      </c>
      <c r="D100" t="s">
        <v>346</v>
      </c>
      <c r="E100" t="s">
        <v>293</v>
      </c>
      <c r="F100" t="s">
        <v>333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132</v>
      </c>
      <c r="B101">
        <v>100</v>
      </c>
      <c r="C101" t="s">
        <v>347</v>
      </c>
      <c r="D101" t="s">
        <v>348</v>
      </c>
      <c r="E101" t="s">
        <v>293</v>
      </c>
      <c r="F101" t="s">
        <v>333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132</v>
      </c>
      <c r="B102">
        <v>101</v>
      </c>
      <c r="C102" t="s">
        <v>349</v>
      </c>
      <c r="D102" t="s">
        <v>350</v>
      </c>
      <c r="E102" t="s">
        <v>293</v>
      </c>
      <c r="F102" t="s">
        <v>333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132</v>
      </c>
      <c r="B103">
        <v>102</v>
      </c>
      <c r="C103" t="s">
        <v>351</v>
      </c>
      <c r="D103" t="s">
        <v>352</v>
      </c>
      <c r="E103" t="s">
        <v>293</v>
      </c>
      <c r="F103" t="s">
        <v>333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132</v>
      </c>
      <c r="B104">
        <v>103</v>
      </c>
      <c r="C104" t="s">
        <v>353</v>
      </c>
      <c r="D104" t="s">
        <v>354</v>
      </c>
      <c r="E104" t="s">
        <v>293</v>
      </c>
      <c r="F104" t="s">
        <v>333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132</v>
      </c>
      <c r="B105">
        <v>104</v>
      </c>
      <c r="C105" t="s">
        <v>355</v>
      </c>
      <c r="D105" t="s">
        <v>356</v>
      </c>
      <c r="E105" t="s">
        <v>293</v>
      </c>
      <c r="F105" t="s">
        <v>333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132</v>
      </c>
      <c r="B106">
        <v>105</v>
      </c>
      <c r="C106" t="s">
        <v>357</v>
      </c>
      <c r="D106" t="s">
        <v>358</v>
      </c>
      <c r="E106" t="s">
        <v>293</v>
      </c>
      <c r="F106" t="s">
        <v>333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132</v>
      </c>
      <c r="B107">
        <v>106</v>
      </c>
      <c r="C107" t="s">
        <v>359</v>
      </c>
      <c r="D107" t="s">
        <v>360</v>
      </c>
      <c r="E107" t="s">
        <v>293</v>
      </c>
      <c r="F107" t="s">
        <v>333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132</v>
      </c>
      <c r="B108">
        <v>107</v>
      </c>
      <c r="C108" t="s">
        <v>361</v>
      </c>
      <c r="D108" t="s">
        <v>362</v>
      </c>
      <c r="E108" t="s">
        <v>293</v>
      </c>
      <c r="F108" t="s">
        <v>333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132</v>
      </c>
      <c r="B109">
        <v>108</v>
      </c>
      <c r="C109" t="s">
        <v>363</v>
      </c>
      <c r="D109" t="s">
        <v>364</v>
      </c>
      <c r="E109" t="s">
        <v>293</v>
      </c>
      <c r="F109" t="s">
        <v>333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132</v>
      </c>
      <c r="B110">
        <v>109</v>
      </c>
      <c r="C110" t="s">
        <v>365</v>
      </c>
      <c r="D110" t="s">
        <v>366</v>
      </c>
      <c r="E110" t="s">
        <v>293</v>
      </c>
      <c r="F110" t="s">
        <v>333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132</v>
      </c>
      <c r="B111">
        <v>110</v>
      </c>
      <c r="C111" t="s">
        <v>367</v>
      </c>
      <c r="D111" t="s">
        <v>368</v>
      </c>
      <c r="E111" t="s">
        <v>293</v>
      </c>
      <c r="F111" t="s">
        <v>333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132</v>
      </c>
      <c r="B112">
        <v>111</v>
      </c>
      <c r="C112" t="s">
        <v>369</v>
      </c>
      <c r="D112" t="s">
        <v>370</v>
      </c>
      <c r="E112" t="s">
        <v>293</v>
      </c>
      <c r="F112" t="s">
        <v>333</v>
      </c>
      <c r="G112" t="s">
        <v>135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132</v>
      </c>
      <c r="B113">
        <v>112</v>
      </c>
      <c r="C113" t="s">
        <v>371</v>
      </c>
      <c r="D113" t="s">
        <v>372</v>
      </c>
      <c r="E113" t="s">
        <v>293</v>
      </c>
      <c r="F113" t="s">
        <v>373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132</v>
      </c>
      <c r="B114">
        <v>113</v>
      </c>
      <c r="C114" t="s">
        <v>374</v>
      </c>
      <c r="D114" t="s">
        <v>375</v>
      </c>
      <c r="E114" t="s">
        <v>293</v>
      </c>
      <c r="F114" t="s">
        <v>373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132</v>
      </c>
      <c r="B115">
        <v>114</v>
      </c>
      <c r="C115" t="s">
        <v>376</v>
      </c>
      <c r="D115" t="s">
        <v>377</v>
      </c>
      <c r="E115" t="s">
        <v>293</v>
      </c>
      <c r="F115" t="s">
        <v>373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132</v>
      </c>
      <c r="B116">
        <v>115</v>
      </c>
      <c r="C116" t="s">
        <v>378</v>
      </c>
      <c r="D116" t="s">
        <v>379</v>
      </c>
      <c r="E116" t="s">
        <v>293</v>
      </c>
      <c r="F116" t="s">
        <v>373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132</v>
      </c>
      <c r="B117">
        <v>116</v>
      </c>
      <c r="C117" t="s">
        <v>380</v>
      </c>
      <c r="D117" t="s">
        <v>381</v>
      </c>
      <c r="E117" t="s">
        <v>293</v>
      </c>
      <c r="F117" t="s">
        <v>373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132</v>
      </c>
      <c r="B118">
        <v>117</v>
      </c>
      <c r="C118" t="s">
        <v>382</v>
      </c>
      <c r="D118" t="s">
        <v>383</v>
      </c>
      <c r="E118" t="s">
        <v>293</v>
      </c>
      <c r="F118" t="s">
        <v>383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132</v>
      </c>
      <c r="B119">
        <v>118</v>
      </c>
      <c r="C119" t="s">
        <v>384</v>
      </c>
      <c r="D119" t="s">
        <v>385</v>
      </c>
      <c r="E119" t="s">
        <v>293</v>
      </c>
      <c r="F119" t="s">
        <v>386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132</v>
      </c>
      <c r="B120">
        <v>119</v>
      </c>
      <c r="C120" t="s">
        <v>387</v>
      </c>
      <c r="D120" t="s">
        <v>388</v>
      </c>
      <c r="E120" t="s">
        <v>293</v>
      </c>
      <c r="F120" t="s">
        <v>389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132</v>
      </c>
      <c r="B121">
        <v>120</v>
      </c>
      <c r="C121" t="s">
        <v>390</v>
      </c>
      <c r="D121" t="s">
        <v>391</v>
      </c>
      <c r="E121" t="s">
        <v>293</v>
      </c>
      <c r="F121" t="s">
        <v>245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132</v>
      </c>
      <c r="B122">
        <v>121</v>
      </c>
      <c r="C122" t="s">
        <v>392</v>
      </c>
      <c r="D122" t="s">
        <v>393</v>
      </c>
      <c r="E122" t="s">
        <v>394</v>
      </c>
      <c r="F122" t="s">
        <v>395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132</v>
      </c>
      <c r="B123">
        <v>122</v>
      </c>
      <c r="C123" t="s">
        <v>396</v>
      </c>
      <c r="D123" t="s">
        <v>397</v>
      </c>
      <c r="E123" t="s">
        <v>394</v>
      </c>
      <c r="F123" t="s">
        <v>395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132</v>
      </c>
      <c r="B124">
        <v>123</v>
      </c>
      <c r="C124" t="s">
        <v>398</v>
      </c>
      <c r="D124" t="s">
        <v>399</v>
      </c>
      <c r="E124" t="s">
        <v>394</v>
      </c>
      <c r="F124" t="s">
        <v>395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132</v>
      </c>
      <c r="B125">
        <v>124</v>
      </c>
      <c r="C125" t="s">
        <v>400</v>
      </c>
      <c r="D125" t="s">
        <v>401</v>
      </c>
      <c r="E125" t="s">
        <v>394</v>
      </c>
      <c r="F125" t="s">
        <v>395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132</v>
      </c>
      <c r="B126">
        <v>125</v>
      </c>
      <c r="C126" t="s">
        <v>402</v>
      </c>
      <c r="D126" t="s">
        <v>403</v>
      </c>
      <c r="E126" t="s">
        <v>394</v>
      </c>
      <c r="F126" t="s">
        <v>395</v>
      </c>
      <c r="G126" t="s">
        <v>135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132</v>
      </c>
      <c r="B127">
        <v>126</v>
      </c>
      <c r="C127" t="s">
        <v>404</v>
      </c>
      <c r="D127" t="s">
        <v>405</v>
      </c>
      <c r="E127" t="s">
        <v>394</v>
      </c>
      <c r="F127" t="s">
        <v>395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132</v>
      </c>
      <c r="B128">
        <v>127</v>
      </c>
      <c r="C128" t="s">
        <v>406</v>
      </c>
      <c r="D128" t="s">
        <v>407</v>
      </c>
      <c r="E128" t="s">
        <v>394</v>
      </c>
      <c r="F128" t="s">
        <v>395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132</v>
      </c>
      <c r="B129">
        <v>128</v>
      </c>
      <c r="C129" t="s">
        <v>408</v>
      </c>
      <c r="D129" t="s">
        <v>409</v>
      </c>
      <c r="E129" t="s">
        <v>394</v>
      </c>
      <c r="F129" t="s">
        <v>395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132</v>
      </c>
      <c r="B130">
        <v>129</v>
      </c>
      <c r="C130" t="s">
        <v>410</v>
      </c>
      <c r="D130" t="s">
        <v>411</v>
      </c>
      <c r="E130" t="s">
        <v>394</v>
      </c>
      <c r="F130" t="s">
        <v>395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132</v>
      </c>
      <c r="B131">
        <v>130</v>
      </c>
      <c r="C131" t="s">
        <v>412</v>
      </c>
      <c r="D131" t="s">
        <v>413</v>
      </c>
      <c r="E131" t="s">
        <v>394</v>
      </c>
      <c r="F131" t="s">
        <v>395</v>
      </c>
      <c r="G131" t="s">
        <v>135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132</v>
      </c>
      <c r="B132">
        <v>131</v>
      </c>
      <c r="C132" t="s">
        <v>414</v>
      </c>
      <c r="D132" t="s">
        <v>415</v>
      </c>
      <c r="E132" t="s">
        <v>394</v>
      </c>
      <c r="F132" t="s">
        <v>395</v>
      </c>
      <c r="G132" t="s">
        <v>135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132</v>
      </c>
      <c r="B133">
        <v>132</v>
      </c>
      <c r="C133" t="s">
        <v>416</v>
      </c>
      <c r="D133" t="s">
        <v>417</v>
      </c>
      <c r="E133" t="s">
        <v>394</v>
      </c>
      <c r="F133" t="s">
        <v>395</v>
      </c>
      <c r="G133" t="s">
        <v>135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132</v>
      </c>
      <c r="B134">
        <v>133</v>
      </c>
      <c r="C134" t="s">
        <v>418</v>
      </c>
      <c r="D134" t="s">
        <v>419</v>
      </c>
      <c r="E134" t="s">
        <v>394</v>
      </c>
      <c r="F134" t="s">
        <v>420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132</v>
      </c>
      <c r="B135">
        <v>134</v>
      </c>
      <c r="C135" t="s">
        <v>421</v>
      </c>
      <c r="D135" t="s">
        <v>422</v>
      </c>
      <c r="E135" t="s">
        <v>394</v>
      </c>
      <c r="F135" t="s">
        <v>420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132</v>
      </c>
      <c r="B136">
        <v>135</v>
      </c>
      <c r="C136" t="s">
        <v>423</v>
      </c>
      <c r="D136" t="s">
        <v>424</v>
      </c>
      <c r="E136" t="s">
        <v>394</v>
      </c>
      <c r="F136" t="s">
        <v>420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132</v>
      </c>
      <c r="B137">
        <v>136</v>
      </c>
      <c r="C137" t="s">
        <v>425</v>
      </c>
      <c r="D137" t="s">
        <v>426</v>
      </c>
      <c r="E137" t="s">
        <v>394</v>
      </c>
      <c r="F137" t="s">
        <v>420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132</v>
      </c>
      <c r="B138">
        <v>137</v>
      </c>
      <c r="C138" t="s">
        <v>427</v>
      </c>
      <c r="D138" t="s">
        <v>428</v>
      </c>
      <c r="E138" t="s">
        <v>394</v>
      </c>
      <c r="F138" t="s">
        <v>420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132</v>
      </c>
      <c r="B139">
        <v>138</v>
      </c>
      <c r="C139" t="s">
        <v>429</v>
      </c>
      <c r="D139" t="s">
        <v>430</v>
      </c>
      <c r="E139" t="s">
        <v>394</v>
      </c>
      <c r="F139" t="s">
        <v>420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132</v>
      </c>
      <c r="B140">
        <v>139</v>
      </c>
      <c r="C140" t="s">
        <v>431</v>
      </c>
      <c r="D140" t="s">
        <v>432</v>
      </c>
      <c r="E140" t="s">
        <v>394</v>
      </c>
      <c r="F140" t="s">
        <v>420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132</v>
      </c>
      <c r="B141">
        <v>140</v>
      </c>
      <c r="C141" t="s">
        <v>433</v>
      </c>
      <c r="D141" t="s">
        <v>434</v>
      </c>
      <c r="E141" t="s">
        <v>394</v>
      </c>
      <c r="F141" t="s">
        <v>420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132</v>
      </c>
      <c r="B142">
        <v>141</v>
      </c>
      <c r="C142" t="s">
        <v>435</v>
      </c>
      <c r="D142" t="s">
        <v>436</v>
      </c>
      <c r="E142" t="s">
        <v>394</v>
      </c>
      <c r="F142" t="s">
        <v>420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132</v>
      </c>
      <c r="B143">
        <v>142</v>
      </c>
      <c r="C143" t="s">
        <v>437</v>
      </c>
      <c r="D143" t="s">
        <v>438</v>
      </c>
      <c r="E143" t="s">
        <v>394</v>
      </c>
      <c r="F143" t="s">
        <v>420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132</v>
      </c>
      <c r="B144">
        <v>143</v>
      </c>
      <c r="C144" t="s">
        <v>439</v>
      </c>
      <c r="D144" t="s">
        <v>440</v>
      </c>
      <c r="E144" t="s">
        <v>394</v>
      </c>
      <c r="F144" t="s">
        <v>420</v>
      </c>
      <c r="G144" t="s">
        <v>135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132</v>
      </c>
      <c r="B145">
        <v>144</v>
      </c>
      <c r="C145" t="s">
        <v>441</v>
      </c>
      <c r="D145" t="s">
        <v>442</v>
      </c>
      <c r="E145" t="s">
        <v>394</v>
      </c>
      <c r="F145" t="s">
        <v>420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132</v>
      </c>
      <c r="B146">
        <v>145</v>
      </c>
      <c r="C146" t="s">
        <v>443</v>
      </c>
      <c r="D146" t="s">
        <v>444</v>
      </c>
      <c r="E146" t="s">
        <v>394</v>
      </c>
      <c r="F146" t="s">
        <v>445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132</v>
      </c>
      <c r="B147">
        <v>146</v>
      </c>
      <c r="C147" t="s">
        <v>446</v>
      </c>
      <c r="D147" t="s">
        <v>447</v>
      </c>
      <c r="E147" t="s">
        <v>394</v>
      </c>
      <c r="F147" t="s">
        <v>445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132</v>
      </c>
      <c r="B148">
        <v>147</v>
      </c>
      <c r="C148" t="s">
        <v>448</v>
      </c>
      <c r="D148" t="s">
        <v>449</v>
      </c>
      <c r="E148" t="s">
        <v>394</v>
      </c>
      <c r="F148" t="s">
        <v>445</v>
      </c>
      <c r="G148" t="s">
        <v>135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132</v>
      </c>
      <c r="B149">
        <v>148</v>
      </c>
      <c r="C149" t="s">
        <v>450</v>
      </c>
      <c r="D149" t="s">
        <v>451</v>
      </c>
      <c r="E149" t="s">
        <v>394</v>
      </c>
      <c r="F149" t="s">
        <v>445</v>
      </c>
      <c r="G149" t="s">
        <v>135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132</v>
      </c>
      <c r="B150">
        <v>149</v>
      </c>
      <c r="C150" t="s">
        <v>452</v>
      </c>
      <c r="D150" t="s">
        <v>453</v>
      </c>
      <c r="E150" t="s">
        <v>394</v>
      </c>
      <c r="F150" t="s">
        <v>454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132</v>
      </c>
      <c r="B151">
        <v>150</v>
      </c>
      <c r="C151" t="s">
        <v>455</v>
      </c>
      <c r="D151" t="s">
        <v>456</v>
      </c>
      <c r="E151" t="s">
        <v>394</v>
      </c>
      <c r="F151" t="s">
        <v>454</v>
      </c>
      <c r="G151" t="s">
        <v>135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132</v>
      </c>
      <c r="B152">
        <v>151</v>
      </c>
      <c r="C152" t="s">
        <v>457</v>
      </c>
      <c r="D152" t="s">
        <v>458</v>
      </c>
      <c r="E152" t="s">
        <v>394</v>
      </c>
      <c r="F152" t="s">
        <v>454</v>
      </c>
      <c r="G152" t="s">
        <v>135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132</v>
      </c>
      <c r="B153">
        <v>152</v>
      </c>
      <c r="C153" t="s">
        <v>459</v>
      </c>
      <c r="D153" t="s">
        <v>460</v>
      </c>
      <c r="E153" t="s">
        <v>394</v>
      </c>
      <c r="F153" t="s">
        <v>461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132</v>
      </c>
      <c r="B154">
        <v>153</v>
      </c>
      <c r="C154" t="s">
        <v>462</v>
      </c>
      <c r="D154" t="s">
        <v>463</v>
      </c>
      <c r="E154" t="s">
        <v>394</v>
      </c>
      <c r="F154" t="s">
        <v>461</v>
      </c>
      <c r="G154" t="s">
        <v>135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132</v>
      </c>
      <c r="B155">
        <v>154</v>
      </c>
      <c r="C155" t="s">
        <v>464</v>
      </c>
      <c r="D155" t="s">
        <v>465</v>
      </c>
      <c r="E155" t="s">
        <v>394</v>
      </c>
      <c r="F155" t="s">
        <v>461</v>
      </c>
      <c r="G155" t="s">
        <v>135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132</v>
      </c>
      <c r="B156">
        <v>155</v>
      </c>
      <c r="C156" t="s">
        <v>466</v>
      </c>
      <c r="D156" t="s">
        <v>467</v>
      </c>
      <c r="E156" t="s">
        <v>394</v>
      </c>
      <c r="F156" t="s">
        <v>467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132</v>
      </c>
      <c r="B157">
        <v>156</v>
      </c>
      <c r="C157" t="s">
        <v>468</v>
      </c>
      <c r="D157" t="s">
        <v>469</v>
      </c>
      <c r="E157" t="s">
        <v>394</v>
      </c>
      <c r="F157" t="s">
        <v>245</v>
      </c>
      <c r="G157" t="s">
        <v>135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132</v>
      </c>
      <c r="B158">
        <v>157</v>
      </c>
      <c r="C158" t="s">
        <v>470</v>
      </c>
      <c r="D158" t="s">
        <v>471</v>
      </c>
      <c r="E158" t="s">
        <v>472</v>
      </c>
      <c r="F158" t="s">
        <v>473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132</v>
      </c>
      <c r="B159">
        <v>158</v>
      </c>
      <c r="C159" t="s">
        <v>474</v>
      </c>
      <c r="D159" t="s">
        <v>475</v>
      </c>
      <c r="E159" t="s">
        <v>472</v>
      </c>
      <c r="F159" t="s">
        <v>473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132</v>
      </c>
      <c r="B160">
        <v>159</v>
      </c>
      <c r="C160" t="s">
        <v>476</v>
      </c>
      <c r="D160" t="s">
        <v>477</v>
      </c>
      <c r="E160" t="s">
        <v>472</v>
      </c>
      <c r="F160" t="s">
        <v>473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132</v>
      </c>
      <c r="B161">
        <v>160</v>
      </c>
      <c r="C161" t="s">
        <v>478</v>
      </c>
      <c r="D161" t="s">
        <v>479</v>
      </c>
      <c r="E161" t="s">
        <v>480</v>
      </c>
      <c r="F161" t="s">
        <v>480</v>
      </c>
      <c r="G161" t="s">
        <v>135</v>
      </c>
      <c r="H161">
        <v>79760</v>
      </c>
      <c r="I161">
        <v>47.099444444444401</v>
      </c>
      <c r="J161">
        <v>1693.4382335248099</v>
      </c>
      <c r="K161">
        <v>1004.53400503778</v>
      </c>
      <c r="L161">
        <v>79.400000000000006</v>
      </c>
      <c r="M161">
        <v>32.300555555555498</v>
      </c>
      <c r="N161">
        <v>1.68579483126717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132</v>
      </c>
      <c r="B162">
        <v>161</v>
      </c>
      <c r="C162" t="s">
        <v>481</v>
      </c>
      <c r="D162" t="s">
        <v>482</v>
      </c>
      <c r="E162" t="s">
        <v>480</v>
      </c>
      <c r="F162" t="s">
        <v>480</v>
      </c>
      <c r="G162" t="s">
        <v>135</v>
      </c>
      <c r="H162">
        <v>79760</v>
      </c>
      <c r="I162">
        <v>0</v>
      </c>
      <c r="J162">
        <v>0</v>
      </c>
      <c r="K162">
        <v>7524.5283018867904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132</v>
      </c>
      <c r="B163">
        <v>162</v>
      </c>
      <c r="C163" t="s">
        <v>483</v>
      </c>
      <c r="D163" t="s">
        <v>484</v>
      </c>
      <c r="E163" t="s">
        <v>480</v>
      </c>
      <c r="F163" t="s">
        <v>480</v>
      </c>
      <c r="G163" t="s">
        <v>135</v>
      </c>
      <c r="H163">
        <v>79760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132</v>
      </c>
      <c r="B164">
        <v>163</v>
      </c>
      <c r="C164" t="s">
        <v>485</v>
      </c>
      <c r="D164" t="s">
        <v>486</v>
      </c>
      <c r="E164" t="s">
        <v>480</v>
      </c>
      <c r="F164" t="s">
        <v>480</v>
      </c>
      <c r="G164" t="s">
        <v>135</v>
      </c>
      <c r="H164">
        <v>79760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132</v>
      </c>
      <c r="B165">
        <v>164</v>
      </c>
      <c r="C165" t="s">
        <v>487</v>
      </c>
      <c r="D165" t="s">
        <v>488</v>
      </c>
      <c r="E165" t="s">
        <v>480</v>
      </c>
      <c r="F165" t="s">
        <v>480</v>
      </c>
      <c r="G165" t="s">
        <v>135</v>
      </c>
      <c r="H165">
        <v>167873</v>
      </c>
      <c r="I165">
        <v>72.228888888888804</v>
      </c>
      <c r="J165">
        <v>2324.1808448450902</v>
      </c>
      <c r="K165">
        <v>2499.999984</v>
      </c>
      <c r="L165">
        <v>67.149200429754799</v>
      </c>
      <c r="M165">
        <v>-5.0796884591340001</v>
      </c>
      <c r="N165">
        <v>0.92967234388793896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132</v>
      </c>
      <c r="B166">
        <v>165</v>
      </c>
      <c r="C166" t="s">
        <v>489</v>
      </c>
      <c r="D166" t="s">
        <v>490</v>
      </c>
      <c r="E166" t="s">
        <v>480</v>
      </c>
      <c r="F166" t="s">
        <v>480</v>
      </c>
      <c r="G166" t="s">
        <v>135</v>
      </c>
      <c r="H166">
        <v>79760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132</v>
      </c>
      <c r="B167">
        <v>166</v>
      </c>
      <c r="C167" t="s">
        <v>491</v>
      </c>
      <c r="D167" t="s">
        <v>492</v>
      </c>
      <c r="E167" t="s">
        <v>493</v>
      </c>
      <c r="F167" t="s">
        <v>494</v>
      </c>
      <c r="G167" t="s">
        <v>344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132</v>
      </c>
      <c r="B168">
        <v>167</v>
      </c>
      <c r="C168" t="s">
        <v>495</v>
      </c>
      <c r="D168" t="s">
        <v>496</v>
      </c>
      <c r="E168" t="s">
        <v>493</v>
      </c>
      <c r="F168" t="s">
        <v>494</v>
      </c>
      <c r="G168" t="s">
        <v>344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132</v>
      </c>
      <c r="B169">
        <v>168</v>
      </c>
      <c r="C169" t="s">
        <v>497</v>
      </c>
      <c r="D169" t="s">
        <v>498</v>
      </c>
      <c r="E169" t="s">
        <v>493</v>
      </c>
      <c r="F169" t="s">
        <v>494</v>
      </c>
      <c r="G169" t="s">
        <v>344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499</v>
      </c>
      <c r="B170">
        <v>1</v>
      </c>
      <c r="C170" t="s">
        <v>500</v>
      </c>
      <c r="D170" t="s">
        <v>501</v>
      </c>
      <c r="E170" t="s">
        <v>502</v>
      </c>
      <c r="F170" t="s">
        <v>502</v>
      </c>
      <c r="G170" t="s">
        <v>62</v>
      </c>
      <c r="H170">
        <v>88113</v>
      </c>
      <c r="I170">
        <v>295.229166666666</v>
      </c>
      <c r="J170">
        <v>298.45628396019998</v>
      </c>
      <c r="K170">
        <v>190.965923849869</v>
      </c>
      <c r="L170">
        <v>461.40692655340501</v>
      </c>
      <c r="M170">
        <v>166.17775988673901</v>
      </c>
      <c r="N170">
        <v>1.56287717695035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499</v>
      </c>
      <c r="B171">
        <v>2</v>
      </c>
      <c r="C171" t="s">
        <v>503</v>
      </c>
      <c r="D171" t="s">
        <v>504</v>
      </c>
      <c r="E171" t="s">
        <v>502</v>
      </c>
      <c r="F171" t="s">
        <v>502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499</v>
      </c>
      <c r="B172">
        <v>3</v>
      </c>
      <c r="C172" t="s">
        <v>505</v>
      </c>
      <c r="D172" t="s">
        <v>506</v>
      </c>
      <c r="E172" t="s">
        <v>502</v>
      </c>
      <c r="F172" t="s">
        <v>502</v>
      </c>
      <c r="G172" t="s">
        <v>62</v>
      </c>
      <c r="H172">
        <v>88113</v>
      </c>
      <c r="I172">
        <v>295.229166666666</v>
      </c>
      <c r="J172">
        <v>298.45628396019998</v>
      </c>
      <c r="K172">
        <v>190.965923849869</v>
      </c>
      <c r="L172">
        <v>461.40692655340501</v>
      </c>
      <c r="M172">
        <v>166.17775988673901</v>
      </c>
      <c r="N172">
        <v>1.56287717695035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499</v>
      </c>
      <c r="B173">
        <v>4</v>
      </c>
      <c r="C173" t="s">
        <v>507</v>
      </c>
      <c r="D173" t="s">
        <v>293</v>
      </c>
      <c r="E173" t="s">
        <v>502</v>
      </c>
      <c r="F173" t="s">
        <v>502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499</v>
      </c>
      <c r="B174">
        <v>5</v>
      </c>
      <c r="C174" t="s">
        <v>508</v>
      </c>
      <c r="D174" t="s">
        <v>509</v>
      </c>
      <c r="E174" t="s">
        <v>502</v>
      </c>
      <c r="F174" t="s">
        <v>502</v>
      </c>
      <c r="G174" t="s">
        <v>62</v>
      </c>
      <c r="H174">
        <v>79760</v>
      </c>
      <c r="I174">
        <v>422.315</v>
      </c>
      <c r="J174">
        <v>188.86376283106199</v>
      </c>
      <c r="K174">
        <v>218.84373402363499</v>
      </c>
      <c r="L174">
        <v>364.460971916088</v>
      </c>
      <c r="M174">
        <v>-57.854028083911899</v>
      </c>
      <c r="N174">
        <v>0.86300740422691102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499</v>
      </c>
      <c r="B175">
        <v>6</v>
      </c>
      <c r="C175" t="s">
        <v>510</v>
      </c>
      <c r="D175" t="s">
        <v>394</v>
      </c>
      <c r="E175" t="s">
        <v>502</v>
      </c>
      <c r="F175" t="s">
        <v>502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499</v>
      </c>
      <c r="B176">
        <v>7</v>
      </c>
      <c r="C176" t="s">
        <v>511</v>
      </c>
      <c r="D176" t="s">
        <v>473</v>
      </c>
      <c r="E176" t="s">
        <v>502</v>
      </c>
      <c r="F176" t="s">
        <v>502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499</v>
      </c>
      <c r="B177">
        <v>8</v>
      </c>
      <c r="C177" t="s">
        <v>512</v>
      </c>
      <c r="D177" t="s">
        <v>480</v>
      </c>
      <c r="E177" t="s">
        <v>502</v>
      </c>
      <c r="F177" t="s">
        <v>502</v>
      </c>
      <c r="G177" t="s">
        <v>62</v>
      </c>
      <c r="H177">
        <v>79760</v>
      </c>
      <c r="I177">
        <v>119.32833333333301</v>
      </c>
      <c r="J177">
        <v>668.40789418551003</v>
      </c>
      <c r="K177">
        <v>507.54314868851202</v>
      </c>
      <c r="L177">
        <v>157.14920042975399</v>
      </c>
      <c r="M177">
        <v>37.820867096421502</v>
      </c>
      <c r="N177">
        <v>1.3169479204136001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499</v>
      </c>
      <c r="B178">
        <v>9</v>
      </c>
      <c r="C178" t="s">
        <v>513</v>
      </c>
      <c r="D178" t="s">
        <v>493</v>
      </c>
      <c r="E178" t="s">
        <v>502</v>
      </c>
      <c r="F178" t="s">
        <v>502</v>
      </c>
      <c r="G178" t="s">
        <v>344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499</v>
      </c>
      <c r="B179">
        <v>10</v>
      </c>
      <c r="C179" t="s">
        <v>514</v>
      </c>
      <c r="D179" t="s">
        <v>515</v>
      </c>
      <c r="E179" t="s">
        <v>502</v>
      </c>
      <c r="F179" t="s">
        <v>502</v>
      </c>
      <c r="G179" t="s">
        <v>62</v>
      </c>
      <c r="H179">
        <v>167873</v>
      </c>
      <c r="I179">
        <v>836.87249999999995</v>
      </c>
      <c r="J179">
        <v>200.595670188708</v>
      </c>
      <c r="K179">
        <v>170.773224787217</v>
      </c>
      <c r="L179">
        <v>983.01709889924905</v>
      </c>
      <c r="M179">
        <v>146.14459889924899</v>
      </c>
      <c r="N179">
        <v>1.1746318571816401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516</v>
      </c>
      <c r="B180">
        <v>1</v>
      </c>
      <c r="C180" t="s">
        <v>517</v>
      </c>
      <c r="D180" t="s">
        <v>13</v>
      </c>
      <c r="E180" t="s">
        <v>518</v>
      </c>
      <c r="F180" t="s">
        <v>518</v>
      </c>
      <c r="G180" t="s">
        <v>62</v>
      </c>
      <c r="H180">
        <v>88113</v>
      </c>
      <c r="I180">
        <v>295.229166666666</v>
      </c>
      <c r="J180">
        <v>298.45628396019998</v>
      </c>
      <c r="K180">
        <v>190.965923849869</v>
      </c>
      <c r="L180">
        <v>461.40692655340501</v>
      </c>
      <c r="M180">
        <v>166.17775988673901</v>
      </c>
      <c r="N180">
        <v>1.56287717695035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516</v>
      </c>
      <c r="B181">
        <v>2</v>
      </c>
      <c r="C181" t="s">
        <v>519</v>
      </c>
      <c r="D181" t="s">
        <v>520</v>
      </c>
      <c r="E181" t="s">
        <v>518</v>
      </c>
      <c r="F181" t="s">
        <v>518</v>
      </c>
      <c r="G181" t="s">
        <v>62</v>
      </c>
      <c r="H181">
        <v>79760</v>
      </c>
      <c r="I181">
        <v>422.315</v>
      </c>
      <c r="J181">
        <v>188.86376283106199</v>
      </c>
      <c r="K181">
        <v>218.84373402363499</v>
      </c>
      <c r="L181">
        <v>364.460971916088</v>
      </c>
      <c r="M181">
        <v>-57.854028083911899</v>
      </c>
      <c r="N181">
        <v>0.86300740422691102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516</v>
      </c>
      <c r="B182">
        <v>3</v>
      </c>
      <c r="C182" t="s">
        <v>521</v>
      </c>
      <c r="D182" t="s">
        <v>394</v>
      </c>
      <c r="E182" t="s">
        <v>518</v>
      </c>
      <c r="F182" t="s">
        <v>518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516</v>
      </c>
      <c r="B183">
        <v>4</v>
      </c>
      <c r="C183" t="s">
        <v>522</v>
      </c>
      <c r="D183" t="s">
        <v>480</v>
      </c>
      <c r="E183" t="s">
        <v>518</v>
      </c>
      <c r="F183" t="s">
        <v>518</v>
      </c>
      <c r="G183" t="s">
        <v>62</v>
      </c>
      <c r="H183">
        <v>79760</v>
      </c>
      <c r="I183">
        <v>119.32833333333301</v>
      </c>
      <c r="J183">
        <v>668.40789418551003</v>
      </c>
      <c r="K183">
        <v>507.54314868851202</v>
      </c>
      <c r="L183">
        <v>157.14920042975399</v>
      </c>
      <c r="M183">
        <v>37.820867096421502</v>
      </c>
      <c r="N183">
        <v>1.3169479204136001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516</v>
      </c>
      <c r="B184">
        <v>5</v>
      </c>
      <c r="C184" t="s">
        <v>523</v>
      </c>
      <c r="D184" t="s">
        <v>493</v>
      </c>
      <c r="E184" t="s">
        <v>518</v>
      </c>
      <c r="F184" t="s">
        <v>518</v>
      </c>
      <c r="G184" t="s">
        <v>344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516</v>
      </c>
      <c r="B185">
        <v>6</v>
      </c>
      <c r="C185" t="s">
        <v>524</v>
      </c>
      <c r="D185" t="s">
        <v>515</v>
      </c>
      <c r="E185" t="s">
        <v>518</v>
      </c>
      <c r="F185" t="s">
        <v>518</v>
      </c>
      <c r="G185" t="s">
        <v>62</v>
      </c>
      <c r="H185">
        <v>167873</v>
      </c>
      <c r="I185">
        <v>836.87249999999995</v>
      </c>
      <c r="J185">
        <v>200.595670188708</v>
      </c>
      <c r="K185">
        <v>170.773224787217</v>
      </c>
      <c r="L185">
        <v>983.01709889924905</v>
      </c>
      <c r="M185">
        <v>146.14459889924899</v>
      </c>
      <c r="N185">
        <v>1.1746318571816401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t="s">
        <v>119</v>
      </c>
      <c r="G1" t="s">
        <v>52</v>
      </c>
      <c r="H1" t="s">
        <v>120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</row>
    <row r="2" spans="1:19" x14ac:dyDescent="0.35">
      <c r="A2" t="s">
        <v>132</v>
      </c>
      <c r="B2">
        <v>1</v>
      </c>
      <c r="C2" t="s">
        <v>133</v>
      </c>
      <c r="D2" t="s">
        <v>6</v>
      </c>
      <c r="E2" t="s">
        <v>13</v>
      </c>
      <c r="F2" t="s">
        <v>134</v>
      </c>
      <c r="G2" t="s">
        <v>135</v>
      </c>
      <c r="H2">
        <v>64078</v>
      </c>
      <c r="I2">
        <v>27.071111111111101</v>
      </c>
      <c r="J2">
        <v>2367.0251190280701</v>
      </c>
      <c r="K2">
        <v>995.00000399999999</v>
      </c>
      <c r="L2">
        <v>64.399999741105503</v>
      </c>
      <c r="M2">
        <v>37.328888629994402</v>
      </c>
      <c r="N2">
        <v>2.3789197080526501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132</v>
      </c>
      <c r="B3">
        <v>2</v>
      </c>
      <c r="C3" t="s">
        <v>136</v>
      </c>
      <c r="D3" t="s">
        <v>137</v>
      </c>
      <c r="E3" t="s">
        <v>13</v>
      </c>
      <c r="F3" t="s">
        <v>134</v>
      </c>
      <c r="G3" t="s">
        <v>62</v>
      </c>
      <c r="H3">
        <v>2116</v>
      </c>
      <c r="I3">
        <v>2.0972222222222201</v>
      </c>
      <c r="J3">
        <v>1008.9536423841</v>
      </c>
      <c r="K3">
        <v>275.00000399999999</v>
      </c>
      <c r="L3">
        <v>7.6945453426247896</v>
      </c>
      <c r="M3">
        <v>5.59732312040257</v>
      </c>
      <c r="N3">
        <v>3.6689222825760601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132</v>
      </c>
      <c r="B4">
        <v>3</v>
      </c>
      <c r="C4" t="s">
        <v>138</v>
      </c>
      <c r="D4" t="s">
        <v>139</v>
      </c>
      <c r="E4" t="s">
        <v>13</v>
      </c>
      <c r="F4" t="s">
        <v>134</v>
      </c>
      <c r="G4" t="s">
        <v>62</v>
      </c>
      <c r="H4">
        <v>1993</v>
      </c>
      <c r="I4">
        <v>5.4247222222222202</v>
      </c>
      <c r="J4">
        <v>367.39208356802698</v>
      </c>
      <c r="K4">
        <v>101.999988</v>
      </c>
      <c r="L4">
        <v>19.539217985006001</v>
      </c>
      <c r="M4">
        <v>14.1144957627838</v>
      </c>
      <c r="N4">
        <v>3.6018835959865698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132</v>
      </c>
      <c r="B5">
        <v>4</v>
      </c>
      <c r="C5" t="s">
        <v>140</v>
      </c>
      <c r="D5" t="s">
        <v>141</v>
      </c>
      <c r="E5" t="s">
        <v>13</v>
      </c>
      <c r="F5" t="s">
        <v>134</v>
      </c>
      <c r="G5" t="s">
        <v>62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132</v>
      </c>
      <c r="B6">
        <v>5</v>
      </c>
      <c r="C6" t="s">
        <v>142</v>
      </c>
      <c r="D6" t="s">
        <v>143</v>
      </c>
      <c r="E6" t="s">
        <v>13</v>
      </c>
      <c r="F6" t="s">
        <v>134</v>
      </c>
      <c r="G6" t="s">
        <v>62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132</v>
      </c>
      <c r="B7">
        <v>6</v>
      </c>
      <c r="C7" t="s">
        <v>144</v>
      </c>
      <c r="D7" t="s">
        <v>145</v>
      </c>
      <c r="E7" t="s">
        <v>13</v>
      </c>
      <c r="F7" t="s">
        <v>134</v>
      </c>
      <c r="G7" t="s">
        <v>62</v>
      </c>
      <c r="H7">
        <v>4109</v>
      </c>
      <c r="I7">
        <v>7.5219444444444399</v>
      </c>
      <c r="J7">
        <v>546.26832600908403</v>
      </c>
      <c r="K7">
        <v>150.87889068313501</v>
      </c>
      <c r="L7">
        <v>27.2337633276308</v>
      </c>
      <c r="M7">
        <v>19.7118188831863</v>
      </c>
      <c r="N7">
        <v>3.6205749096890898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132</v>
      </c>
      <c r="B8">
        <v>7</v>
      </c>
      <c r="C8" t="s">
        <v>146</v>
      </c>
      <c r="D8" t="s">
        <v>147</v>
      </c>
      <c r="E8" t="s">
        <v>13</v>
      </c>
      <c r="F8" t="s">
        <v>134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132</v>
      </c>
      <c r="B9">
        <v>8</v>
      </c>
      <c r="C9" t="s">
        <v>148</v>
      </c>
      <c r="D9" t="s">
        <v>149</v>
      </c>
      <c r="E9" t="s">
        <v>13</v>
      </c>
      <c r="F9" t="s">
        <v>134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132</v>
      </c>
      <c r="B10">
        <v>9</v>
      </c>
      <c r="C10" t="s">
        <v>150</v>
      </c>
      <c r="D10" t="s">
        <v>151</v>
      </c>
      <c r="E10" t="s">
        <v>13</v>
      </c>
      <c r="F10" t="s">
        <v>134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132</v>
      </c>
      <c r="B11">
        <v>10</v>
      </c>
      <c r="C11" t="s">
        <v>152</v>
      </c>
      <c r="D11" t="s">
        <v>153</v>
      </c>
      <c r="E11" t="s">
        <v>13</v>
      </c>
      <c r="F11" t="s">
        <v>134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132</v>
      </c>
      <c r="B12">
        <v>11</v>
      </c>
      <c r="C12" t="s">
        <v>154</v>
      </c>
      <c r="D12" t="s">
        <v>155</v>
      </c>
      <c r="E12" t="s">
        <v>13</v>
      </c>
      <c r="F12" t="s">
        <v>134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132</v>
      </c>
      <c r="B13">
        <v>12</v>
      </c>
      <c r="C13" t="s">
        <v>156</v>
      </c>
      <c r="D13" t="s">
        <v>157</v>
      </c>
      <c r="E13" t="s">
        <v>13</v>
      </c>
      <c r="F13" t="s">
        <v>134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132</v>
      </c>
      <c r="B14">
        <v>13</v>
      </c>
      <c r="C14" t="s">
        <v>158</v>
      </c>
      <c r="D14" t="s">
        <v>7</v>
      </c>
      <c r="E14" t="s">
        <v>13</v>
      </c>
      <c r="F14" t="s">
        <v>134</v>
      </c>
      <c r="G14" t="s">
        <v>68</v>
      </c>
      <c r="H14">
        <v>4032</v>
      </c>
      <c r="I14">
        <v>3.6158333333333301</v>
      </c>
      <c r="J14">
        <v>1115.09564415764</v>
      </c>
      <c r="K14">
        <v>524.99998800000003</v>
      </c>
      <c r="L14">
        <v>7.68000017554286</v>
      </c>
      <c r="M14">
        <v>4.0641668422095201</v>
      </c>
      <c r="N14">
        <v>2.1239917517057898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132</v>
      </c>
      <c r="B15">
        <v>14</v>
      </c>
      <c r="C15" t="s">
        <v>159</v>
      </c>
      <c r="D15" t="s">
        <v>160</v>
      </c>
      <c r="E15" t="s">
        <v>13</v>
      </c>
      <c r="F15" t="s">
        <v>134</v>
      </c>
      <c r="G15" t="s">
        <v>69</v>
      </c>
      <c r="H15">
        <v>50</v>
      </c>
      <c r="I15">
        <v>3.6427777777777699</v>
      </c>
      <c r="J15">
        <v>13.7257892328808</v>
      </c>
      <c r="K15">
        <v>11.999988</v>
      </c>
      <c r="L15">
        <v>4.1666708333375002</v>
      </c>
      <c r="M15">
        <v>0.52389305555972199</v>
      </c>
      <c r="N15">
        <v>1.14381691322365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132</v>
      </c>
      <c r="B16">
        <v>15</v>
      </c>
      <c r="C16" t="s">
        <v>161</v>
      </c>
      <c r="D16" t="s">
        <v>162</v>
      </c>
      <c r="E16" t="s">
        <v>13</v>
      </c>
      <c r="F16" t="s">
        <v>134</v>
      </c>
      <c r="G16" t="s">
        <v>135</v>
      </c>
      <c r="H16">
        <v>64078</v>
      </c>
      <c r="I16">
        <v>37.674166666666601</v>
      </c>
      <c r="J16">
        <v>1700.8471764471601</v>
      </c>
      <c r="K16">
        <v>2000.00001599999</v>
      </c>
      <c r="L16">
        <v>32.038999743688002</v>
      </c>
      <c r="M16">
        <v>-5.6351669229786596</v>
      </c>
      <c r="N16">
        <v>0.85042358142019503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132</v>
      </c>
      <c r="B17">
        <v>16</v>
      </c>
      <c r="C17" t="s">
        <v>163</v>
      </c>
      <c r="D17" t="s">
        <v>164</v>
      </c>
      <c r="E17" t="s">
        <v>13</v>
      </c>
      <c r="F17" t="s">
        <v>134</v>
      </c>
      <c r="G17" t="s">
        <v>62</v>
      </c>
      <c r="H17">
        <v>64078</v>
      </c>
      <c r="I17">
        <v>79.525833333333296</v>
      </c>
      <c r="J17">
        <v>805.75075185212302</v>
      </c>
      <c r="K17">
        <v>472.83255392354198</v>
      </c>
      <c r="L17">
        <v>135.51943382130401</v>
      </c>
      <c r="M17">
        <v>55.993600487971399</v>
      </c>
      <c r="N17">
        <v>1.7040932253205501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132</v>
      </c>
      <c r="B18">
        <v>17</v>
      </c>
      <c r="C18" t="s">
        <v>165</v>
      </c>
      <c r="D18" t="s">
        <v>166</v>
      </c>
      <c r="E18" t="s">
        <v>13</v>
      </c>
      <c r="F18" t="s">
        <v>167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132</v>
      </c>
      <c r="B19">
        <v>18</v>
      </c>
      <c r="C19" t="s">
        <v>168</v>
      </c>
      <c r="D19" t="s">
        <v>169</v>
      </c>
      <c r="E19" t="s">
        <v>13</v>
      </c>
      <c r="F19" t="s">
        <v>167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132</v>
      </c>
      <c r="B20">
        <v>19</v>
      </c>
      <c r="C20" t="s">
        <v>170</v>
      </c>
      <c r="D20" t="s">
        <v>171</v>
      </c>
      <c r="E20" t="s">
        <v>13</v>
      </c>
      <c r="F20" t="s">
        <v>167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132</v>
      </c>
      <c r="B21">
        <v>20</v>
      </c>
      <c r="C21" t="s">
        <v>172</v>
      </c>
      <c r="D21" t="s">
        <v>173</v>
      </c>
      <c r="E21" t="s">
        <v>13</v>
      </c>
      <c r="F21" t="s">
        <v>167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132</v>
      </c>
      <c r="B22">
        <v>21</v>
      </c>
      <c r="C22" t="s">
        <v>174</v>
      </c>
      <c r="D22" t="s">
        <v>175</v>
      </c>
      <c r="E22" t="s">
        <v>13</v>
      </c>
      <c r="F22" t="s">
        <v>167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132</v>
      </c>
      <c r="B23">
        <v>22</v>
      </c>
      <c r="C23" t="s">
        <v>176</v>
      </c>
      <c r="D23" t="s">
        <v>177</v>
      </c>
      <c r="E23" t="s">
        <v>13</v>
      </c>
      <c r="F23" t="s">
        <v>167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132</v>
      </c>
      <c r="B24">
        <v>23</v>
      </c>
      <c r="C24" t="s">
        <v>178</v>
      </c>
      <c r="D24" t="s">
        <v>179</v>
      </c>
      <c r="E24" t="s">
        <v>13</v>
      </c>
      <c r="F24" t="s">
        <v>167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132</v>
      </c>
      <c r="B25">
        <v>24</v>
      </c>
      <c r="C25" t="s">
        <v>180</v>
      </c>
      <c r="D25" t="s">
        <v>181</v>
      </c>
      <c r="E25" t="s">
        <v>13</v>
      </c>
      <c r="F25" t="s">
        <v>167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132</v>
      </c>
      <c r="B26">
        <v>25</v>
      </c>
      <c r="C26" t="s">
        <v>182</v>
      </c>
      <c r="D26" t="s">
        <v>183</v>
      </c>
      <c r="E26" t="s">
        <v>13</v>
      </c>
      <c r="F26" t="s">
        <v>167</v>
      </c>
      <c r="G26" t="s">
        <v>135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132</v>
      </c>
      <c r="B27">
        <v>26</v>
      </c>
      <c r="C27" t="s">
        <v>184</v>
      </c>
      <c r="D27" t="s">
        <v>185</v>
      </c>
      <c r="E27" t="s">
        <v>13</v>
      </c>
      <c r="F27" t="s">
        <v>167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132</v>
      </c>
      <c r="B28">
        <v>27</v>
      </c>
      <c r="C28" t="s">
        <v>186</v>
      </c>
      <c r="D28" t="s">
        <v>187</v>
      </c>
      <c r="E28" t="s">
        <v>13</v>
      </c>
      <c r="F28" t="s">
        <v>188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132</v>
      </c>
      <c r="B29">
        <v>28</v>
      </c>
      <c r="C29" t="s">
        <v>189</v>
      </c>
      <c r="D29" t="s">
        <v>190</v>
      </c>
      <c r="E29" t="s">
        <v>13</v>
      </c>
      <c r="F29" t="s">
        <v>188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132</v>
      </c>
      <c r="B30">
        <v>29</v>
      </c>
      <c r="C30" t="s">
        <v>191</v>
      </c>
      <c r="D30" t="s">
        <v>192</v>
      </c>
      <c r="E30" t="s">
        <v>13</v>
      </c>
      <c r="F30" t="s">
        <v>188</v>
      </c>
      <c r="G30" t="s">
        <v>62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132</v>
      </c>
      <c r="B31">
        <v>30</v>
      </c>
      <c r="C31" t="s">
        <v>193</v>
      </c>
      <c r="D31" t="s">
        <v>194</v>
      </c>
      <c r="E31" t="s">
        <v>13</v>
      </c>
      <c r="F31" t="s">
        <v>188</v>
      </c>
      <c r="G31" t="s">
        <v>62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132</v>
      </c>
      <c r="B32">
        <v>31</v>
      </c>
      <c r="C32" t="s">
        <v>195</v>
      </c>
      <c r="D32" t="s">
        <v>196</v>
      </c>
      <c r="E32" t="s">
        <v>13</v>
      </c>
      <c r="F32" t="s">
        <v>188</v>
      </c>
      <c r="G32" t="s">
        <v>62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132</v>
      </c>
      <c r="B33">
        <v>32</v>
      </c>
      <c r="C33" t="s">
        <v>197</v>
      </c>
      <c r="D33" t="s">
        <v>198</v>
      </c>
      <c r="E33" t="s">
        <v>13</v>
      </c>
      <c r="F33" t="s">
        <v>188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132</v>
      </c>
      <c r="B34">
        <v>33</v>
      </c>
      <c r="C34" t="s">
        <v>199</v>
      </c>
      <c r="D34" t="s">
        <v>200</v>
      </c>
      <c r="E34" t="s">
        <v>13</v>
      </c>
      <c r="F34" t="s">
        <v>188</v>
      </c>
      <c r="G34" t="s">
        <v>62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132</v>
      </c>
      <c r="B35">
        <v>34</v>
      </c>
      <c r="C35" t="s">
        <v>201</v>
      </c>
      <c r="D35" t="s">
        <v>202</v>
      </c>
      <c r="E35" t="s">
        <v>13</v>
      </c>
      <c r="F35" t="s">
        <v>188</v>
      </c>
      <c r="G35" t="s">
        <v>135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132</v>
      </c>
      <c r="B36">
        <v>35</v>
      </c>
      <c r="C36" t="s">
        <v>203</v>
      </c>
      <c r="D36" t="s">
        <v>204</v>
      </c>
      <c r="E36" t="s">
        <v>13</v>
      </c>
      <c r="F36" t="s">
        <v>188</v>
      </c>
      <c r="G36" t="s">
        <v>135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132</v>
      </c>
      <c r="B37">
        <v>36</v>
      </c>
      <c r="C37" t="s">
        <v>205</v>
      </c>
      <c r="D37" t="s">
        <v>206</v>
      </c>
      <c r="E37" t="s">
        <v>13</v>
      </c>
      <c r="F37" t="s">
        <v>207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132</v>
      </c>
      <c r="B38">
        <v>37</v>
      </c>
      <c r="C38" t="s">
        <v>208</v>
      </c>
      <c r="D38" t="s">
        <v>209</v>
      </c>
      <c r="E38" t="s">
        <v>13</v>
      </c>
      <c r="F38" t="s">
        <v>207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132</v>
      </c>
      <c r="B39">
        <v>38</v>
      </c>
      <c r="C39" t="s">
        <v>210</v>
      </c>
      <c r="D39" t="s">
        <v>211</v>
      </c>
      <c r="E39" t="s">
        <v>13</v>
      </c>
      <c r="F39" t="s">
        <v>207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132</v>
      </c>
      <c r="B40">
        <v>39</v>
      </c>
      <c r="C40" t="s">
        <v>212</v>
      </c>
      <c r="D40" t="s">
        <v>213</v>
      </c>
      <c r="E40" t="s">
        <v>13</v>
      </c>
      <c r="F40" t="s">
        <v>207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132</v>
      </c>
      <c r="B41">
        <v>40</v>
      </c>
      <c r="C41" t="s">
        <v>214</v>
      </c>
      <c r="D41" t="s">
        <v>215</v>
      </c>
      <c r="E41" t="s">
        <v>13</v>
      </c>
      <c r="F41" t="s">
        <v>207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132</v>
      </c>
      <c r="B42">
        <v>41</v>
      </c>
      <c r="C42" t="s">
        <v>216</v>
      </c>
      <c r="D42" t="s">
        <v>217</v>
      </c>
      <c r="E42" t="s">
        <v>13</v>
      </c>
      <c r="F42" t="s">
        <v>207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132</v>
      </c>
      <c r="B43">
        <v>42</v>
      </c>
      <c r="C43" t="s">
        <v>218</v>
      </c>
      <c r="D43" t="s">
        <v>219</v>
      </c>
      <c r="E43" t="s">
        <v>13</v>
      </c>
      <c r="F43" t="s">
        <v>207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132</v>
      </c>
      <c r="B44">
        <v>43</v>
      </c>
      <c r="C44" t="s">
        <v>220</v>
      </c>
      <c r="D44" t="s">
        <v>221</v>
      </c>
      <c r="E44" t="s">
        <v>13</v>
      </c>
      <c r="F44" t="s">
        <v>207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132</v>
      </c>
      <c r="B45">
        <v>44</v>
      </c>
      <c r="C45" t="s">
        <v>222</v>
      </c>
      <c r="D45" t="s">
        <v>223</v>
      </c>
      <c r="E45" t="s">
        <v>13</v>
      </c>
      <c r="F45" t="s">
        <v>207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132</v>
      </c>
      <c r="B46">
        <v>45</v>
      </c>
      <c r="C46" t="s">
        <v>224</v>
      </c>
      <c r="D46" t="s">
        <v>225</v>
      </c>
      <c r="E46" t="s">
        <v>13</v>
      </c>
      <c r="F46" t="s">
        <v>226</v>
      </c>
      <c r="G46" t="s">
        <v>68</v>
      </c>
      <c r="H46">
        <v>4549</v>
      </c>
      <c r="I46">
        <v>76.407777777777696</v>
      </c>
      <c r="J46">
        <v>59.535823869006897</v>
      </c>
      <c r="K46">
        <v>86.000004000000004</v>
      </c>
      <c r="L46">
        <v>52.895346376960603</v>
      </c>
      <c r="M46">
        <v>-23.5124314008171</v>
      </c>
      <c r="N46">
        <v>0.69227698953370898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132</v>
      </c>
      <c r="B47">
        <v>46</v>
      </c>
      <c r="C47" t="s">
        <v>227</v>
      </c>
      <c r="D47" t="s">
        <v>228</v>
      </c>
      <c r="E47" t="s">
        <v>13</v>
      </c>
      <c r="F47" t="s">
        <v>226</v>
      </c>
      <c r="G47" t="s">
        <v>229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132</v>
      </c>
      <c r="B48">
        <v>47</v>
      </c>
      <c r="C48" t="s">
        <v>230</v>
      </c>
      <c r="D48" t="s">
        <v>231</v>
      </c>
      <c r="E48" t="s">
        <v>13</v>
      </c>
      <c r="F48" t="s">
        <v>226</v>
      </c>
      <c r="G48" t="s">
        <v>69</v>
      </c>
      <c r="H48">
        <v>31</v>
      </c>
      <c r="I48">
        <v>5.9225000000000003</v>
      </c>
      <c r="J48">
        <v>5.2342760658505698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132</v>
      </c>
      <c r="B49">
        <v>48</v>
      </c>
      <c r="C49" t="s">
        <v>232</v>
      </c>
      <c r="D49" t="s">
        <v>233</v>
      </c>
      <c r="E49" t="s">
        <v>13</v>
      </c>
      <c r="F49" t="s">
        <v>226</v>
      </c>
      <c r="G49" t="s">
        <v>234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132</v>
      </c>
      <c r="B50">
        <v>49</v>
      </c>
      <c r="C50" t="s">
        <v>235</v>
      </c>
      <c r="D50" t="s">
        <v>236</v>
      </c>
      <c r="E50" t="s">
        <v>13</v>
      </c>
      <c r="F50" t="s">
        <v>226</v>
      </c>
      <c r="G50" t="s">
        <v>135</v>
      </c>
      <c r="H50">
        <v>147443</v>
      </c>
      <c r="I50">
        <v>38.935277777777699</v>
      </c>
      <c r="J50">
        <v>3786.87422859874</v>
      </c>
      <c r="K50">
        <v>15000.0000119999</v>
      </c>
      <c r="L50">
        <v>9.8295333254697006</v>
      </c>
      <c r="M50">
        <v>-29.105744452307999</v>
      </c>
      <c r="N50">
        <v>0.25245828170461598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132</v>
      </c>
      <c r="B51">
        <v>50</v>
      </c>
      <c r="C51" t="s">
        <v>237</v>
      </c>
      <c r="D51" t="s">
        <v>238</v>
      </c>
      <c r="E51" t="s">
        <v>13</v>
      </c>
      <c r="F51" t="s">
        <v>226</v>
      </c>
      <c r="G51" t="s">
        <v>135</v>
      </c>
      <c r="H51">
        <v>147443</v>
      </c>
      <c r="I51">
        <v>121.265555555555</v>
      </c>
      <c r="J51">
        <v>1215.86875452404</v>
      </c>
      <c r="K51">
        <v>2350.6302554819699</v>
      </c>
      <c r="L51">
        <v>62.7248797024303</v>
      </c>
      <c r="M51">
        <v>-58.540675853125201</v>
      </c>
      <c r="N51">
        <v>0.51725223551789201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132</v>
      </c>
      <c r="B52">
        <v>51</v>
      </c>
      <c r="C52" t="s">
        <v>239</v>
      </c>
      <c r="D52" t="s">
        <v>240</v>
      </c>
      <c r="E52" t="s">
        <v>13</v>
      </c>
      <c r="F52" t="s">
        <v>240</v>
      </c>
      <c r="G52" t="s">
        <v>135</v>
      </c>
      <c r="H52">
        <v>64078</v>
      </c>
      <c r="I52">
        <v>20.6</v>
      </c>
      <c r="J52">
        <v>3110.5825242718402</v>
      </c>
      <c r="K52">
        <v>4500</v>
      </c>
      <c r="L52">
        <v>14.2395555555555</v>
      </c>
      <c r="M52">
        <v>-6.3604444444444397</v>
      </c>
      <c r="N52">
        <v>0.69124056094929798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132</v>
      </c>
      <c r="B53">
        <v>52</v>
      </c>
      <c r="C53" t="s">
        <v>241</v>
      </c>
      <c r="D53" t="s">
        <v>242</v>
      </c>
      <c r="E53" t="s">
        <v>13</v>
      </c>
      <c r="F53" t="s">
        <v>243</v>
      </c>
      <c r="G53" t="s">
        <v>135</v>
      </c>
      <c r="H53">
        <v>64078</v>
      </c>
      <c r="I53">
        <v>30.706666666666599</v>
      </c>
      <c r="J53">
        <v>2086.77811550152</v>
      </c>
      <c r="K53">
        <v>1850.000004</v>
      </c>
      <c r="L53">
        <v>34.636756681866402</v>
      </c>
      <c r="M53">
        <v>3.9300900151997999</v>
      </c>
      <c r="N53">
        <v>1.1279881681024599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132</v>
      </c>
      <c r="B54">
        <v>53</v>
      </c>
      <c r="C54" t="s">
        <v>244</v>
      </c>
      <c r="D54" t="s">
        <v>11</v>
      </c>
      <c r="E54" t="s">
        <v>13</v>
      </c>
      <c r="F54" t="s">
        <v>245</v>
      </c>
      <c r="G54" t="s">
        <v>62</v>
      </c>
      <c r="H54">
        <v>64078</v>
      </c>
      <c r="I54">
        <v>252.09805555555499</v>
      </c>
      <c r="J54">
        <v>254.178874401825</v>
      </c>
      <c r="K54">
        <v>259.29846933105199</v>
      </c>
      <c r="L54">
        <v>247.12062576115699</v>
      </c>
      <c r="M54">
        <v>-4.97742979439845</v>
      </c>
      <c r="N54">
        <v>0.980255977050558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132</v>
      </c>
      <c r="B55">
        <v>54</v>
      </c>
      <c r="C55" t="s">
        <v>246</v>
      </c>
      <c r="D55" t="s">
        <v>247</v>
      </c>
      <c r="E55" t="s">
        <v>248</v>
      </c>
      <c r="F55" t="s">
        <v>249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132</v>
      </c>
      <c r="B56">
        <v>55</v>
      </c>
      <c r="C56" t="s">
        <v>250</v>
      </c>
      <c r="D56" t="s">
        <v>251</v>
      </c>
      <c r="E56" t="s">
        <v>248</v>
      </c>
      <c r="F56" t="s">
        <v>249</v>
      </c>
      <c r="G56" t="s">
        <v>69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132</v>
      </c>
      <c r="B57">
        <v>56</v>
      </c>
      <c r="C57" t="s">
        <v>252</v>
      </c>
      <c r="D57" t="s">
        <v>253</v>
      </c>
      <c r="E57" t="s">
        <v>248</v>
      </c>
      <c r="F57" t="s">
        <v>254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132</v>
      </c>
      <c r="B58">
        <v>57</v>
      </c>
      <c r="C58" t="s">
        <v>255</v>
      </c>
      <c r="D58" t="s">
        <v>256</v>
      </c>
      <c r="E58" t="s">
        <v>248</v>
      </c>
      <c r="F58" t="s">
        <v>254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132</v>
      </c>
      <c r="B59">
        <v>58</v>
      </c>
      <c r="C59" t="s">
        <v>257</v>
      </c>
      <c r="D59" t="s">
        <v>258</v>
      </c>
      <c r="E59" t="s">
        <v>248</v>
      </c>
      <c r="F59" t="s">
        <v>259</v>
      </c>
      <c r="G59" t="s">
        <v>68</v>
      </c>
      <c r="H59">
        <v>94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132</v>
      </c>
      <c r="B60">
        <v>59</v>
      </c>
      <c r="C60" t="s">
        <v>260</v>
      </c>
      <c r="D60" t="s">
        <v>261</v>
      </c>
      <c r="E60" t="s">
        <v>248</v>
      </c>
      <c r="F60" t="s">
        <v>259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132</v>
      </c>
      <c r="B61">
        <v>60</v>
      </c>
      <c r="C61" t="s">
        <v>262</v>
      </c>
      <c r="D61" t="s">
        <v>263</v>
      </c>
      <c r="E61" t="s">
        <v>248</v>
      </c>
      <c r="F61" t="s">
        <v>259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132</v>
      </c>
      <c r="B62">
        <v>61</v>
      </c>
      <c r="C62" t="s">
        <v>264</v>
      </c>
      <c r="D62" t="s">
        <v>265</v>
      </c>
      <c r="E62" t="s">
        <v>248</v>
      </c>
      <c r="F62" t="s">
        <v>259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132</v>
      </c>
      <c r="B63">
        <v>62</v>
      </c>
      <c r="C63" t="s">
        <v>266</v>
      </c>
      <c r="D63" t="s">
        <v>267</v>
      </c>
      <c r="E63" t="s">
        <v>248</v>
      </c>
      <c r="F63" t="s">
        <v>259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132</v>
      </c>
      <c r="B64">
        <v>63</v>
      </c>
      <c r="C64" t="s">
        <v>268</v>
      </c>
      <c r="D64" t="s">
        <v>269</v>
      </c>
      <c r="E64" t="s">
        <v>248</v>
      </c>
      <c r="F64" t="s">
        <v>259</v>
      </c>
      <c r="G64" t="s">
        <v>135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132</v>
      </c>
      <c r="B65">
        <v>64</v>
      </c>
      <c r="C65" t="s">
        <v>270</v>
      </c>
      <c r="D65" t="s">
        <v>271</v>
      </c>
      <c r="E65" t="s">
        <v>248</v>
      </c>
      <c r="F65" t="s">
        <v>56</v>
      </c>
      <c r="G65" t="s">
        <v>62</v>
      </c>
      <c r="H65">
        <v>12594</v>
      </c>
      <c r="I65">
        <v>9.7802777777777692</v>
      </c>
      <c r="J65">
        <v>1287.6934874605899</v>
      </c>
      <c r="K65">
        <v>1244.000016</v>
      </c>
      <c r="L65">
        <v>10.123794082009001</v>
      </c>
      <c r="M65">
        <v>0.34351630423130203</v>
      </c>
      <c r="N65">
        <v>1.03512336888956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132</v>
      </c>
      <c r="B66">
        <v>65</v>
      </c>
      <c r="C66" t="s">
        <v>272</v>
      </c>
      <c r="D66" t="s">
        <v>273</v>
      </c>
      <c r="E66" t="s">
        <v>248</v>
      </c>
      <c r="F66" t="s">
        <v>56</v>
      </c>
      <c r="G66" t="s">
        <v>62</v>
      </c>
      <c r="H66">
        <v>65670</v>
      </c>
      <c r="I66">
        <v>347.91805555555499</v>
      </c>
      <c r="J66">
        <v>188.75134231000999</v>
      </c>
      <c r="K66">
        <v>288</v>
      </c>
      <c r="L66">
        <v>228.020833333333</v>
      </c>
      <c r="M66">
        <v>-119.897222222222</v>
      </c>
      <c r="N66">
        <v>0.655386605243092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132</v>
      </c>
      <c r="B67">
        <v>66</v>
      </c>
      <c r="C67" t="s">
        <v>274</v>
      </c>
      <c r="D67" t="s">
        <v>275</v>
      </c>
      <c r="E67" t="s">
        <v>248</v>
      </c>
      <c r="F67" t="s">
        <v>56</v>
      </c>
      <c r="G67" t="s">
        <v>62</v>
      </c>
      <c r="H67">
        <v>684</v>
      </c>
      <c r="I67">
        <v>2.8169444444444398</v>
      </c>
      <c r="J67">
        <v>242.816290306675</v>
      </c>
      <c r="K67">
        <v>117</v>
      </c>
      <c r="L67">
        <v>5.8461538461538396</v>
      </c>
      <c r="M67">
        <v>3.0292094017093998</v>
      </c>
      <c r="N67">
        <v>2.0753529086040601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132</v>
      </c>
      <c r="B68">
        <v>67</v>
      </c>
      <c r="C68" t="s">
        <v>276</v>
      </c>
      <c r="D68" t="s">
        <v>277</v>
      </c>
      <c r="E68" t="s">
        <v>248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132</v>
      </c>
      <c r="B69">
        <v>68</v>
      </c>
      <c r="C69" t="s">
        <v>278</v>
      </c>
      <c r="D69" t="s">
        <v>279</v>
      </c>
      <c r="E69" t="s">
        <v>248</v>
      </c>
      <c r="F69" t="s">
        <v>56</v>
      </c>
      <c r="G69" t="s">
        <v>62</v>
      </c>
      <c r="H69">
        <v>78948</v>
      </c>
      <c r="I69">
        <v>360.51527777777699</v>
      </c>
      <c r="J69">
        <v>218.98655859090499</v>
      </c>
      <c r="K69">
        <v>323.56960206372599</v>
      </c>
      <c r="L69">
        <v>243.99078126149601</v>
      </c>
      <c r="M69">
        <v>-116.524496516281</v>
      </c>
      <c r="N69">
        <v>0.67678347160613905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132</v>
      </c>
      <c r="B70">
        <v>69</v>
      </c>
      <c r="C70" t="s">
        <v>280</v>
      </c>
      <c r="D70" t="s">
        <v>281</v>
      </c>
      <c r="E70" t="s">
        <v>248</v>
      </c>
      <c r="F70" t="s">
        <v>281</v>
      </c>
      <c r="G70" t="s">
        <v>62</v>
      </c>
      <c r="H70">
        <v>83365</v>
      </c>
      <c r="I70">
        <v>22.849444444444401</v>
      </c>
      <c r="J70">
        <v>3648.4475674098499</v>
      </c>
      <c r="K70">
        <v>3465</v>
      </c>
      <c r="L70">
        <v>24.059163059163001</v>
      </c>
      <c r="M70">
        <v>1.2097186147186101</v>
      </c>
      <c r="N70">
        <v>1.0529430208974999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132</v>
      </c>
      <c r="B71">
        <v>70</v>
      </c>
      <c r="C71" t="s">
        <v>282</v>
      </c>
      <c r="D71" t="s">
        <v>283</v>
      </c>
      <c r="E71" t="s">
        <v>248</v>
      </c>
      <c r="F71" t="s">
        <v>283</v>
      </c>
      <c r="G71" t="s">
        <v>135</v>
      </c>
      <c r="H71">
        <v>83365</v>
      </c>
      <c r="I71">
        <v>53.892222222222202</v>
      </c>
      <c r="J71">
        <v>1546.8836979155899</v>
      </c>
      <c r="K71">
        <v>1524.999996</v>
      </c>
      <c r="L71">
        <v>54.665573913876898</v>
      </c>
      <c r="M71">
        <v>0.77335169165468698</v>
      </c>
      <c r="N71">
        <v>1.01434996850688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132</v>
      </c>
      <c r="B72">
        <v>71</v>
      </c>
      <c r="C72" t="s">
        <v>284</v>
      </c>
      <c r="D72" t="s">
        <v>285</v>
      </c>
      <c r="E72" t="s">
        <v>248</v>
      </c>
      <c r="F72" t="s">
        <v>285</v>
      </c>
      <c r="G72" t="s">
        <v>135</v>
      </c>
      <c r="H72">
        <v>83365</v>
      </c>
      <c r="I72">
        <v>26.6</v>
      </c>
      <c r="J72">
        <v>3134.0225563909698</v>
      </c>
      <c r="K72">
        <v>3499.999992</v>
      </c>
      <c r="L72">
        <v>23.818571483013798</v>
      </c>
      <c r="M72">
        <v>-2.7814285169861201</v>
      </c>
      <c r="N72">
        <v>0.89543501815841597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132</v>
      </c>
      <c r="B73">
        <v>72</v>
      </c>
      <c r="C73" t="s">
        <v>286</v>
      </c>
      <c r="D73" t="s">
        <v>287</v>
      </c>
      <c r="E73" t="s">
        <v>248</v>
      </c>
      <c r="F73" t="s">
        <v>288</v>
      </c>
      <c r="G73" t="s">
        <v>135</v>
      </c>
      <c r="H73">
        <v>83365</v>
      </c>
      <c r="I73">
        <v>19.195833333333301</v>
      </c>
      <c r="J73">
        <v>4342.8695463425202</v>
      </c>
      <c r="K73">
        <v>5000.0000040000004</v>
      </c>
      <c r="L73">
        <v>16.672999986661601</v>
      </c>
      <c r="M73">
        <v>-2.5228333466717299</v>
      </c>
      <c r="N73">
        <v>0.86857390857364503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132</v>
      </c>
      <c r="B74">
        <v>73</v>
      </c>
      <c r="C74" t="s">
        <v>289</v>
      </c>
      <c r="D74" t="s">
        <v>290</v>
      </c>
      <c r="E74" t="s">
        <v>248</v>
      </c>
      <c r="F74" t="s">
        <v>245</v>
      </c>
      <c r="G74" t="s">
        <v>135</v>
      </c>
      <c r="H74">
        <v>83365</v>
      </c>
      <c r="I74">
        <v>483.05277777777701</v>
      </c>
      <c r="J74">
        <v>172.57948579347701</v>
      </c>
      <c r="K74">
        <v>229.524704674379</v>
      </c>
      <c r="L74">
        <v>363.207089704211</v>
      </c>
      <c r="M74">
        <v>-119.845688073566</v>
      </c>
      <c r="N74">
        <v>0.75189939156358698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132</v>
      </c>
      <c r="B75">
        <v>74</v>
      </c>
      <c r="C75" t="s">
        <v>291</v>
      </c>
      <c r="D75" t="s">
        <v>292</v>
      </c>
      <c r="E75" t="s">
        <v>293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132</v>
      </c>
      <c r="B76">
        <v>75</v>
      </c>
      <c r="C76" t="s">
        <v>294</v>
      </c>
      <c r="D76" t="s">
        <v>295</v>
      </c>
      <c r="E76" t="s">
        <v>293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132</v>
      </c>
      <c r="B77">
        <v>76</v>
      </c>
      <c r="C77" t="s">
        <v>296</v>
      </c>
      <c r="D77" t="s">
        <v>297</v>
      </c>
      <c r="E77" t="s">
        <v>293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132</v>
      </c>
      <c r="B78">
        <v>77</v>
      </c>
      <c r="C78" t="s">
        <v>298</v>
      </c>
      <c r="D78" t="s">
        <v>299</v>
      </c>
      <c r="E78" t="s">
        <v>293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132</v>
      </c>
      <c r="B79">
        <v>78</v>
      </c>
      <c r="C79" t="s">
        <v>300</v>
      </c>
      <c r="D79" t="s">
        <v>301</v>
      </c>
      <c r="E79" t="s">
        <v>293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132</v>
      </c>
      <c r="B80">
        <v>79</v>
      </c>
      <c r="C80" t="s">
        <v>302</v>
      </c>
      <c r="D80" t="s">
        <v>303</v>
      </c>
      <c r="E80" t="s">
        <v>293</v>
      </c>
      <c r="F80" t="s">
        <v>9</v>
      </c>
      <c r="G80" t="s">
        <v>135</v>
      </c>
      <c r="H80">
        <v>78948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132</v>
      </c>
      <c r="B81">
        <v>80</v>
      </c>
      <c r="C81" t="s">
        <v>304</v>
      </c>
      <c r="D81" t="s">
        <v>305</v>
      </c>
      <c r="E81" t="s">
        <v>293</v>
      </c>
      <c r="F81" t="s">
        <v>9</v>
      </c>
      <c r="G81" t="s">
        <v>135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132</v>
      </c>
      <c r="B82">
        <v>81</v>
      </c>
      <c r="C82" t="s">
        <v>306</v>
      </c>
      <c r="D82" t="s">
        <v>307</v>
      </c>
      <c r="E82" t="s">
        <v>293</v>
      </c>
      <c r="F82" t="s">
        <v>308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132</v>
      </c>
      <c r="B83">
        <v>82</v>
      </c>
      <c r="C83" t="s">
        <v>309</v>
      </c>
      <c r="D83" t="s">
        <v>310</v>
      </c>
      <c r="E83" t="s">
        <v>293</v>
      </c>
      <c r="F83" t="s">
        <v>308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132</v>
      </c>
      <c r="B84">
        <v>83</v>
      </c>
      <c r="C84" t="s">
        <v>311</v>
      </c>
      <c r="D84" t="s">
        <v>312</v>
      </c>
      <c r="E84" t="s">
        <v>293</v>
      </c>
      <c r="F84" t="s">
        <v>308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132</v>
      </c>
      <c r="B85">
        <v>84</v>
      </c>
      <c r="C85" t="s">
        <v>313</v>
      </c>
      <c r="D85" t="s">
        <v>314</v>
      </c>
      <c r="E85" t="s">
        <v>293</v>
      </c>
      <c r="F85" t="s">
        <v>308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132</v>
      </c>
      <c r="B86">
        <v>85</v>
      </c>
      <c r="C86" t="s">
        <v>315</v>
      </c>
      <c r="D86" t="s">
        <v>316</v>
      </c>
      <c r="E86" t="s">
        <v>293</v>
      </c>
      <c r="F86" t="s">
        <v>308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132</v>
      </c>
      <c r="B87">
        <v>86</v>
      </c>
      <c r="C87" t="s">
        <v>317</v>
      </c>
      <c r="D87" t="s">
        <v>318</v>
      </c>
      <c r="E87" t="s">
        <v>293</v>
      </c>
      <c r="F87" t="s">
        <v>308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132</v>
      </c>
      <c r="B88">
        <v>87</v>
      </c>
      <c r="C88" t="s">
        <v>319</v>
      </c>
      <c r="D88" t="s">
        <v>320</v>
      </c>
      <c r="E88" t="s">
        <v>293</v>
      </c>
      <c r="F88" t="s">
        <v>308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132</v>
      </c>
      <c r="B89">
        <v>88</v>
      </c>
      <c r="C89" t="s">
        <v>321</v>
      </c>
      <c r="D89" t="s">
        <v>322</v>
      </c>
      <c r="E89" t="s">
        <v>293</v>
      </c>
      <c r="F89" t="s">
        <v>308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132</v>
      </c>
      <c r="B90">
        <v>89</v>
      </c>
      <c r="C90" t="s">
        <v>323</v>
      </c>
      <c r="D90" t="s">
        <v>324</v>
      </c>
      <c r="E90" t="s">
        <v>293</v>
      </c>
      <c r="F90" t="s">
        <v>308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132</v>
      </c>
      <c r="B91">
        <v>90</v>
      </c>
      <c r="C91" t="s">
        <v>325</v>
      </c>
      <c r="D91" t="s">
        <v>326</v>
      </c>
      <c r="E91" t="s">
        <v>293</v>
      </c>
      <c r="F91" t="s">
        <v>308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132</v>
      </c>
      <c r="B92">
        <v>91</v>
      </c>
      <c r="C92" t="s">
        <v>327</v>
      </c>
      <c r="D92" t="s">
        <v>328</v>
      </c>
      <c r="E92" t="s">
        <v>293</v>
      </c>
      <c r="F92" t="s">
        <v>308</v>
      </c>
      <c r="G92" t="s">
        <v>135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132</v>
      </c>
      <c r="B93">
        <v>92</v>
      </c>
      <c r="C93" t="s">
        <v>329</v>
      </c>
      <c r="D93" t="s">
        <v>330</v>
      </c>
      <c r="E93" t="s">
        <v>293</v>
      </c>
      <c r="F93" t="s">
        <v>308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132</v>
      </c>
      <c r="B94">
        <v>93</v>
      </c>
      <c r="C94" t="s">
        <v>331</v>
      </c>
      <c r="D94" t="s">
        <v>332</v>
      </c>
      <c r="E94" t="s">
        <v>293</v>
      </c>
      <c r="F94" t="s">
        <v>333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132</v>
      </c>
      <c r="B95">
        <v>94</v>
      </c>
      <c r="C95" t="s">
        <v>334</v>
      </c>
      <c r="D95" t="s">
        <v>335</v>
      </c>
      <c r="E95" t="s">
        <v>293</v>
      </c>
      <c r="F95" t="s">
        <v>333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132</v>
      </c>
      <c r="B96">
        <v>95</v>
      </c>
      <c r="C96" t="s">
        <v>336</v>
      </c>
      <c r="D96" t="s">
        <v>337</v>
      </c>
      <c r="E96" t="s">
        <v>293</v>
      </c>
      <c r="F96" t="s">
        <v>333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132</v>
      </c>
      <c r="B97">
        <v>96</v>
      </c>
      <c r="C97" t="s">
        <v>338</v>
      </c>
      <c r="D97" t="s">
        <v>339</v>
      </c>
      <c r="E97" t="s">
        <v>293</v>
      </c>
      <c r="F97" t="s">
        <v>333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132</v>
      </c>
      <c r="B98">
        <v>97</v>
      </c>
      <c r="C98" t="s">
        <v>340</v>
      </c>
      <c r="D98" t="s">
        <v>341</v>
      </c>
      <c r="E98" t="s">
        <v>293</v>
      </c>
      <c r="F98" t="s">
        <v>333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132</v>
      </c>
      <c r="B99">
        <v>98</v>
      </c>
      <c r="C99" t="s">
        <v>342</v>
      </c>
      <c r="D99" t="s">
        <v>343</v>
      </c>
      <c r="E99" t="s">
        <v>293</v>
      </c>
      <c r="F99" t="s">
        <v>333</v>
      </c>
      <c r="G99" t="s">
        <v>344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132</v>
      </c>
      <c r="B100">
        <v>99</v>
      </c>
      <c r="C100" t="s">
        <v>345</v>
      </c>
      <c r="D100" t="s">
        <v>346</v>
      </c>
      <c r="E100" t="s">
        <v>293</v>
      </c>
      <c r="F100" t="s">
        <v>333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132</v>
      </c>
      <c r="B101">
        <v>100</v>
      </c>
      <c r="C101" t="s">
        <v>347</v>
      </c>
      <c r="D101" t="s">
        <v>348</v>
      </c>
      <c r="E101" t="s">
        <v>293</v>
      </c>
      <c r="F101" t="s">
        <v>333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132</v>
      </c>
      <c r="B102">
        <v>101</v>
      </c>
      <c r="C102" t="s">
        <v>349</v>
      </c>
      <c r="D102" t="s">
        <v>350</v>
      </c>
      <c r="E102" t="s">
        <v>293</v>
      </c>
      <c r="F102" t="s">
        <v>333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132</v>
      </c>
      <c r="B103">
        <v>102</v>
      </c>
      <c r="C103" t="s">
        <v>351</v>
      </c>
      <c r="D103" t="s">
        <v>352</v>
      </c>
      <c r="E103" t="s">
        <v>293</v>
      </c>
      <c r="F103" t="s">
        <v>333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132</v>
      </c>
      <c r="B104">
        <v>103</v>
      </c>
      <c r="C104" t="s">
        <v>353</v>
      </c>
      <c r="D104" t="s">
        <v>354</v>
      </c>
      <c r="E104" t="s">
        <v>293</v>
      </c>
      <c r="F104" t="s">
        <v>333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132</v>
      </c>
      <c r="B105">
        <v>104</v>
      </c>
      <c r="C105" t="s">
        <v>355</v>
      </c>
      <c r="D105" t="s">
        <v>356</v>
      </c>
      <c r="E105" t="s">
        <v>293</v>
      </c>
      <c r="F105" t="s">
        <v>333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132</v>
      </c>
      <c r="B106">
        <v>105</v>
      </c>
      <c r="C106" t="s">
        <v>357</v>
      </c>
      <c r="D106" t="s">
        <v>358</v>
      </c>
      <c r="E106" t="s">
        <v>293</v>
      </c>
      <c r="F106" t="s">
        <v>333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132</v>
      </c>
      <c r="B107">
        <v>106</v>
      </c>
      <c r="C107" t="s">
        <v>359</v>
      </c>
      <c r="D107" t="s">
        <v>360</v>
      </c>
      <c r="E107" t="s">
        <v>293</v>
      </c>
      <c r="F107" t="s">
        <v>333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132</v>
      </c>
      <c r="B108">
        <v>107</v>
      </c>
      <c r="C108" t="s">
        <v>361</v>
      </c>
      <c r="D108" t="s">
        <v>362</v>
      </c>
      <c r="E108" t="s">
        <v>293</v>
      </c>
      <c r="F108" t="s">
        <v>333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132</v>
      </c>
      <c r="B109">
        <v>108</v>
      </c>
      <c r="C109" t="s">
        <v>363</v>
      </c>
      <c r="D109" t="s">
        <v>364</v>
      </c>
      <c r="E109" t="s">
        <v>293</v>
      </c>
      <c r="F109" t="s">
        <v>333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132</v>
      </c>
      <c r="B110">
        <v>109</v>
      </c>
      <c r="C110" t="s">
        <v>365</v>
      </c>
      <c r="D110" t="s">
        <v>366</v>
      </c>
      <c r="E110" t="s">
        <v>293</v>
      </c>
      <c r="F110" t="s">
        <v>333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132</v>
      </c>
      <c r="B111">
        <v>110</v>
      </c>
      <c r="C111" t="s">
        <v>367</v>
      </c>
      <c r="D111" t="s">
        <v>368</v>
      </c>
      <c r="E111" t="s">
        <v>293</v>
      </c>
      <c r="F111" t="s">
        <v>333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132</v>
      </c>
      <c r="B112">
        <v>111</v>
      </c>
      <c r="C112" t="s">
        <v>369</v>
      </c>
      <c r="D112" t="s">
        <v>370</v>
      </c>
      <c r="E112" t="s">
        <v>293</v>
      </c>
      <c r="F112" t="s">
        <v>333</v>
      </c>
      <c r="G112" t="s">
        <v>135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132</v>
      </c>
      <c r="B113">
        <v>112</v>
      </c>
      <c r="C113" t="s">
        <v>371</v>
      </c>
      <c r="D113" t="s">
        <v>372</v>
      </c>
      <c r="E113" t="s">
        <v>293</v>
      </c>
      <c r="F113" t="s">
        <v>373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132</v>
      </c>
      <c r="B114">
        <v>113</v>
      </c>
      <c r="C114" t="s">
        <v>374</v>
      </c>
      <c r="D114" t="s">
        <v>375</v>
      </c>
      <c r="E114" t="s">
        <v>293</v>
      </c>
      <c r="F114" t="s">
        <v>373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132</v>
      </c>
      <c r="B115">
        <v>114</v>
      </c>
      <c r="C115" t="s">
        <v>376</v>
      </c>
      <c r="D115" t="s">
        <v>377</v>
      </c>
      <c r="E115" t="s">
        <v>293</v>
      </c>
      <c r="F115" t="s">
        <v>373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132</v>
      </c>
      <c r="B116">
        <v>115</v>
      </c>
      <c r="C116" t="s">
        <v>378</v>
      </c>
      <c r="D116" t="s">
        <v>379</v>
      </c>
      <c r="E116" t="s">
        <v>293</v>
      </c>
      <c r="F116" t="s">
        <v>373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132</v>
      </c>
      <c r="B117">
        <v>116</v>
      </c>
      <c r="C117" t="s">
        <v>380</v>
      </c>
      <c r="D117" t="s">
        <v>381</v>
      </c>
      <c r="E117" t="s">
        <v>293</v>
      </c>
      <c r="F117" t="s">
        <v>373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132</v>
      </c>
      <c r="B118">
        <v>117</v>
      </c>
      <c r="C118" t="s">
        <v>382</v>
      </c>
      <c r="D118" t="s">
        <v>383</v>
      </c>
      <c r="E118" t="s">
        <v>293</v>
      </c>
      <c r="F118" t="s">
        <v>383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132</v>
      </c>
      <c r="B119">
        <v>118</v>
      </c>
      <c r="C119" t="s">
        <v>384</v>
      </c>
      <c r="D119" t="s">
        <v>385</v>
      </c>
      <c r="E119" t="s">
        <v>293</v>
      </c>
      <c r="F119" t="s">
        <v>386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132</v>
      </c>
      <c r="B120">
        <v>119</v>
      </c>
      <c r="C120" t="s">
        <v>387</v>
      </c>
      <c r="D120" t="s">
        <v>388</v>
      </c>
      <c r="E120" t="s">
        <v>293</v>
      </c>
      <c r="F120" t="s">
        <v>389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132</v>
      </c>
      <c r="B121">
        <v>120</v>
      </c>
      <c r="C121" t="s">
        <v>390</v>
      </c>
      <c r="D121" t="s">
        <v>391</v>
      </c>
      <c r="E121" t="s">
        <v>293</v>
      </c>
      <c r="F121" t="s">
        <v>245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132</v>
      </c>
      <c r="B122">
        <v>121</v>
      </c>
      <c r="C122" t="s">
        <v>392</v>
      </c>
      <c r="D122" t="s">
        <v>393</v>
      </c>
      <c r="E122" t="s">
        <v>394</v>
      </c>
      <c r="F122" t="s">
        <v>395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132</v>
      </c>
      <c r="B123">
        <v>122</v>
      </c>
      <c r="C123" t="s">
        <v>396</v>
      </c>
      <c r="D123" t="s">
        <v>397</v>
      </c>
      <c r="E123" t="s">
        <v>394</v>
      </c>
      <c r="F123" t="s">
        <v>395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132</v>
      </c>
      <c r="B124">
        <v>123</v>
      </c>
      <c r="C124" t="s">
        <v>398</v>
      </c>
      <c r="D124" t="s">
        <v>399</v>
      </c>
      <c r="E124" t="s">
        <v>394</v>
      </c>
      <c r="F124" t="s">
        <v>395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132</v>
      </c>
      <c r="B125">
        <v>124</v>
      </c>
      <c r="C125" t="s">
        <v>400</v>
      </c>
      <c r="D125" t="s">
        <v>401</v>
      </c>
      <c r="E125" t="s">
        <v>394</v>
      </c>
      <c r="F125" t="s">
        <v>395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132</v>
      </c>
      <c r="B126">
        <v>125</v>
      </c>
      <c r="C126" t="s">
        <v>402</v>
      </c>
      <c r="D126" t="s">
        <v>403</v>
      </c>
      <c r="E126" t="s">
        <v>394</v>
      </c>
      <c r="F126" t="s">
        <v>395</v>
      </c>
      <c r="G126" t="s">
        <v>135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132</v>
      </c>
      <c r="B127">
        <v>126</v>
      </c>
      <c r="C127" t="s">
        <v>404</v>
      </c>
      <c r="D127" t="s">
        <v>405</v>
      </c>
      <c r="E127" t="s">
        <v>394</v>
      </c>
      <c r="F127" t="s">
        <v>395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132</v>
      </c>
      <c r="B128">
        <v>127</v>
      </c>
      <c r="C128" t="s">
        <v>406</v>
      </c>
      <c r="D128" t="s">
        <v>407</v>
      </c>
      <c r="E128" t="s">
        <v>394</v>
      </c>
      <c r="F128" t="s">
        <v>395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132</v>
      </c>
      <c r="B129">
        <v>128</v>
      </c>
      <c r="C129" t="s">
        <v>408</v>
      </c>
      <c r="D129" t="s">
        <v>409</v>
      </c>
      <c r="E129" t="s">
        <v>394</v>
      </c>
      <c r="F129" t="s">
        <v>395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132</v>
      </c>
      <c r="B130">
        <v>129</v>
      </c>
      <c r="C130" t="s">
        <v>410</v>
      </c>
      <c r="D130" t="s">
        <v>411</v>
      </c>
      <c r="E130" t="s">
        <v>394</v>
      </c>
      <c r="F130" t="s">
        <v>395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132</v>
      </c>
      <c r="B131">
        <v>130</v>
      </c>
      <c r="C131" t="s">
        <v>412</v>
      </c>
      <c r="D131" t="s">
        <v>413</v>
      </c>
      <c r="E131" t="s">
        <v>394</v>
      </c>
      <c r="F131" t="s">
        <v>395</v>
      </c>
      <c r="G131" t="s">
        <v>135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132</v>
      </c>
      <c r="B132">
        <v>131</v>
      </c>
      <c r="C132" t="s">
        <v>414</v>
      </c>
      <c r="D132" t="s">
        <v>415</v>
      </c>
      <c r="E132" t="s">
        <v>394</v>
      </c>
      <c r="F132" t="s">
        <v>395</v>
      </c>
      <c r="G132" t="s">
        <v>135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132</v>
      </c>
      <c r="B133">
        <v>132</v>
      </c>
      <c r="C133" t="s">
        <v>416</v>
      </c>
      <c r="D133" t="s">
        <v>417</v>
      </c>
      <c r="E133" t="s">
        <v>394</v>
      </c>
      <c r="F133" t="s">
        <v>395</v>
      </c>
      <c r="G133" t="s">
        <v>135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132</v>
      </c>
      <c r="B134">
        <v>133</v>
      </c>
      <c r="C134" t="s">
        <v>418</v>
      </c>
      <c r="D134" t="s">
        <v>419</v>
      </c>
      <c r="E134" t="s">
        <v>394</v>
      </c>
      <c r="F134" t="s">
        <v>420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132</v>
      </c>
      <c r="B135">
        <v>134</v>
      </c>
      <c r="C135" t="s">
        <v>421</v>
      </c>
      <c r="D135" t="s">
        <v>422</v>
      </c>
      <c r="E135" t="s">
        <v>394</v>
      </c>
      <c r="F135" t="s">
        <v>420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132</v>
      </c>
      <c r="B136">
        <v>135</v>
      </c>
      <c r="C136" t="s">
        <v>423</v>
      </c>
      <c r="D136" t="s">
        <v>424</v>
      </c>
      <c r="E136" t="s">
        <v>394</v>
      </c>
      <c r="F136" t="s">
        <v>420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132</v>
      </c>
      <c r="B137">
        <v>136</v>
      </c>
      <c r="C137" t="s">
        <v>425</v>
      </c>
      <c r="D137" t="s">
        <v>426</v>
      </c>
      <c r="E137" t="s">
        <v>394</v>
      </c>
      <c r="F137" t="s">
        <v>420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132</v>
      </c>
      <c r="B138">
        <v>137</v>
      </c>
      <c r="C138" t="s">
        <v>427</v>
      </c>
      <c r="D138" t="s">
        <v>428</v>
      </c>
      <c r="E138" t="s">
        <v>394</v>
      </c>
      <c r="F138" t="s">
        <v>420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132</v>
      </c>
      <c r="B139">
        <v>138</v>
      </c>
      <c r="C139" t="s">
        <v>429</v>
      </c>
      <c r="D139" t="s">
        <v>430</v>
      </c>
      <c r="E139" t="s">
        <v>394</v>
      </c>
      <c r="F139" t="s">
        <v>420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132</v>
      </c>
      <c r="B140">
        <v>139</v>
      </c>
      <c r="C140" t="s">
        <v>431</v>
      </c>
      <c r="D140" t="s">
        <v>432</v>
      </c>
      <c r="E140" t="s">
        <v>394</v>
      </c>
      <c r="F140" t="s">
        <v>420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132</v>
      </c>
      <c r="B141">
        <v>140</v>
      </c>
      <c r="C141" t="s">
        <v>433</v>
      </c>
      <c r="D141" t="s">
        <v>434</v>
      </c>
      <c r="E141" t="s">
        <v>394</v>
      </c>
      <c r="F141" t="s">
        <v>420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132</v>
      </c>
      <c r="B142">
        <v>141</v>
      </c>
      <c r="C142" t="s">
        <v>435</v>
      </c>
      <c r="D142" t="s">
        <v>436</v>
      </c>
      <c r="E142" t="s">
        <v>394</v>
      </c>
      <c r="F142" t="s">
        <v>420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132</v>
      </c>
      <c r="B143">
        <v>142</v>
      </c>
      <c r="C143" t="s">
        <v>437</v>
      </c>
      <c r="D143" t="s">
        <v>438</v>
      </c>
      <c r="E143" t="s">
        <v>394</v>
      </c>
      <c r="F143" t="s">
        <v>420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132</v>
      </c>
      <c r="B144">
        <v>143</v>
      </c>
      <c r="C144" t="s">
        <v>439</v>
      </c>
      <c r="D144" t="s">
        <v>440</v>
      </c>
      <c r="E144" t="s">
        <v>394</v>
      </c>
      <c r="F144" t="s">
        <v>420</v>
      </c>
      <c r="G144" t="s">
        <v>135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132</v>
      </c>
      <c r="B145">
        <v>144</v>
      </c>
      <c r="C145" t="s">
        <v>441</v>
      </c>
      <c r="D145" t="s">
        <v>442</v>
      </c>
      <c r="E145" t="s">
        <v>394</v>
      </c>
      <c r="F145" t="s">
        <v>420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132</v>
      </c>
      <c r="B146">
        <v>145</v>
      </c>
      <c r="C146" t="s">
        <v>443</v>
      </c>
      <c r="D146" t="s">
        <v>444</v>
      </c>
      <c r="E146" t="s">
        <v>394</v>
      </c>
      <c r="F146" t="s">
        <v>445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132</v>
      </c>
      <c r="B147">
        <v>146</v>
      </c>
      <c r="C147" t="s">
        <v>446</v>
      </c>
      <c r="D147" t="s">
        <v>447</v>
      </c>
      <c r="E147" t="s">
        <v>394</v>
      </c>
      <c r="F147" t="s">
        <v>445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132</v>
      </c>
      <c r="B148">
        <v>147</v>
      </c>
      <c r="C148" t="s">
        <v>448</v>
      </c>
      <c r="D148" t="s">
        <v>449</v>
      </c>
      <c r="E148" t="s">
        <v>394</v>
      </c>
      <c r="F148" t="s">
        <v>445</v>
      </c>
      <c r="G148" t="s">
        <v>135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132</v>
      </c>
      <c r="B149">
        <v>148</v>
      </c>
      <c r="C149" t="s">
        <v>450</v>
      </c>
      <c r="D149" t="s">
        <v>451</v>
      </c>
      <c r="E149" t="s">
        <v>394</v>
      </c>
      <c r="F149" t="s">
        <v>445</v>
      </c>
      <c r="G149" t="s">
        <v>135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132</v>
      </c>
      <c r="B150">
        <v>149</v>
      </c>
      <c r="C150" t="s">
        <v>452</v>
      </c>
      <c r="D150" t="s">
        <v>453</v>
      </c>
      <c r="E150" t="s">
        <v>394</v>
      </c>
      <c r="F150" t="s">
        <v>454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132</v>
      </c>
      <c r="B151">
        <v>150</v>
      </c>
      <c r="C151" t="s">
        <v>455</v>
      </c>
      <c r="D151" t="s">
        <v>456</v>
      </c>
      <c r="E151" t="s">
        <v>394</v>
      </c>
      <c r="F151" t="s">
        <v>454</v>
      </c>
      <c r="G151" t="s">
        <v>135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132</v>
      </c>
      <c r="B152">
        <v>151</v>
      </c>
      <c r="C152" t="s">
        <v>457</v>
      </c>
      <c r="D152" t="s">
        <v>458</v>
      </c>
      <c r="E152" t="s">
        <v>394</v>
      </c>
      <c r="F152" t="s">
        <v>454</v>
      </c>
      <c r="G152" t="s">
        <v>135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132</v>
      </c>
      <c r="B153">
        <v>152</v>
      </c>
      <c r="C153" t="s">
        <v>459</v>
      </c>
      <c r="D153" t="s">
        <v>460</v>
      </c>
      <c r="E153" t="s">
        <v>394</v>
      </c>
      <c r="F153" t="s">
        <v>461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132</v>
      </c>
      <c r="B154">
        <v>153</v>
      </c>
      <c r="C154" t="s">
        <v>462</v>
      </c>
      <c r="D154" t="s">
        <v>463</v>
      </c>
      <c r="E154" t="s">
        <v>394</v>
      </c>
      <c r="F154" t="s">
        <v>461</v>
      </c>
      <c r="G154" t="s">
        <v>135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132</v>
      </c>
      <c r="B155">
        <v>154</v>
      </c>
      <c r="C155" t="s">
        <v>464</v>
      </c>
      <c r="D155" t="s">
        <v>465</v>
      </c>
      <c r="E155" t="s">
        <v>394</v>
      </c>
      <c r="F155" t="s">
        <v>461</v>
      </c>
      <c r="G155" t="s">
        <v>135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132</v>
      </c>
      <c r="B156">
        <v>155</v>
      </c>
      <c r="C156" t="s">
        <v>466</v>
      </c>
      <c r="D156" t="s">
        <v>467</v>
      </c>
      <c r="E156" t="s">
        <v>394</v>
      </c>
      <c r="F156" t="s">
        <v>467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132</v>
      </c>
      <c r="B157">
        <v>156</v>
      </c>
      <c r="C157" t="s">
        <v>468</v>
      </c>
      <c r="D157" t="s">
        <v>469</v>
      </c>
      <c r="E157" t="s">
        <v>394</v>
      </c>
      <c r="F157" t="s">
        <v>245</v>
      </c>
      <c r="G157" t="s">
        <v>135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132</v>
      </c>
      <c r="B158">
        <v>157</v>
      </c>
      <c r="C158" t="s">
        <v>470</v>
      </c>
      <c r="D158" t="s">
        <v>471</v>
      </c>
      <c r="E158" t="s">
        <v>472</v>
      </c>
      <c r="F158" t="s">
        <v>473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132</v>
      </c>
      <c r="B159">
        <v>158</v>
      </c>
      <c r="C159" t="s">
        <v>474</v>
      </c>
      <c r="D159" t="s">
        <v>475</v>
      </c>
      <c r="E159" t="s">
        <v>472</v>
      </c>
      <c r="F159" t="s">
        <v>473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132</v>
      </c>
      <c r="B160">
        <v>159</v>
      </c>
      <c r="C160" t="s">
        <v>476</v>
      </c>
      <c r="D160" t="s">
        <v>477</v>
      </c>
      <c r="E160" t="s">
        <v>472</v>
      </c>
      <c r="F160" t="s">
        <v>473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132</v>
      </c>
      <c r="B161">
        <v>160</v>
      </c>
      <c r="C161" t="s">
        <v>478</v>
      </c>
      <c r="D161" t="s">
        <v>479</v>
      </c>
      <c r="E161" t="s">
        <v>480</v>
      </c>
      <c r="F161" t="s">
        <v>480</v>
      </c>
      <c r="G161" t="s">
        <v>135</v>
      </c>
      <c r="H161">
        <v>83365</v>
      </c>
      <c r="I161">
        <v>83.417222222222193</v>
      </c>
      <c r="J161">
        <v>999.37396354336602</v>
      </c>
      <c r="K161">
        <v>1049.9370277078001</v>
      </c>
      <c r="L161">
        <v>79.400000000000006</v>
      </c>
      <c r="M161">
        <v>-4.0172222222222196</v>
      </c>
      <c r="N161">
        <v>0.95184181257533995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132</v>
      </c>
      <c r="B162">
        <v>161</v>
      </c>
      <c r="C162" t="s">
        <v>481</v>
      </c>
      <c r="D162" t="s">
        <v>482</v>
      </c>
      <c r="E162" t="s">
        <v>480</v>
      </c>
      <c r="F162" t="s">
        <v>480</v>
      </c>
      <c r="G162" t="s">
        <v>135</v>
      </c>
      <c r="H162">
        <v>83365</v>
      </c>
      <c r="I162">
        <v>0</v>
      </c>
      <c r="J162">
        <v>0</v>
      </c>
      <c r="K162">
        <v>7864.6226415094297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132</v>
      </c>
      <c r="B163">
        <v>162</v>
      </c>
      <c r="C163" t="s">
        <v>483</v>
      </c>
      <c r="D163" t="s">
        <v>484</v>
      </c>
      <c r="E163" t="s">
        <v>480</v>
      </c>
      <c r="F163" t="s">
        <v>480</v>
      </c>
      <c r="G163" t="s">
        <v>135</v>
      </c>
      <c r="H163">
        <v>83365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132</v>
      </c>
      <c r="B164">
        <v>163</v>
      </c>
      <c r="C164" t="s">
        <v>485</v>
      </c>
      <c r="D164" t="s">
        <v>486</v>
      </c>
      <c r="E164" t="s">
        <v>480</v>
      </c>
      <c r="F164" t="s">
        <v>480</v>
      </c>
      <c r="G164" t="s">
        <v>135</v>
      </c>
      <c r="H164">
        <v>83365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132</v>
      </c>
      <c r="B165">
        <v>164</v>
      </c>
      <c r="C165" t="s">
        <v>487</v>
      </c>
      <c r="D165" t="s">
        <v>488</v>
      </c>
      <c r="E165" t="s">
        <v>480</v>
      </c>
      <c r="F165" t="s">
        <v>480</v>
      </c>
      <c r="G165" t="s">
        <v>135</v>
      </c>
      <c r="H165">
        <v>147443</v>
      </c>
      <c r="I165">
        <v>46.528888888888801</v>
      </c>
      <c r="J165">
        <v>3168.8485051103198</v>
      </c>
      <c r="K165">
        <v>2499.999984</v>
      </c>
      <c r="L165">
        <v>58.977200377453997</v>
      </c>
      <c r="M165">
        <v>12.4483114885651</v>
      </c>
      <c r="N165">
        <v>1.2675394101563799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132</v>
      </c>
      <c r="B166">
        <v>165</v>
      </c>
      <c r="C166" t="s">
        <v>489</v>
      </c>
      <c r="D166" t="s">
        <v>490</v>
      </c>
      <c r="E166" t="s">
        <v>480</v>
      </c>
      <c r="F166" t="s">
        <v>480</v>
      </c>
      <c r="G166" t="s">
        <v>135</v>
      </c>
      <c r="H166">
        <v>83365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132</v>
      </c>
      <c r="B167">
        <v>166</v>
      </c>
      <c r="C167" t="s">
        <v>491</v>
      </c>
      <c r="D167" t="s">
        <v>492</v>
      </c>
      <c r="E167" t="s">
        <v>493</v>
      </c>
      <c r="F167" t="s">
        <v>494</v>
      </c>
      <c r="G167" t="s">
        <v>344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132</v>
      </c>
      <c r="B168">
        <v>167</v>
      </c>
      <c r="C168" t="s">
        <v>495</v>
      </c>
      <c r="D168" t="s">
        <v>496</v>
      </c>
      <c r="E168" t="s">
        <v>493</v>
      </c>
      <c r="F168" t="s">
        <v>494</v>
      </c>
      <c r="G168" t="s">
        <v>344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132</v>
      </c>
      <c r="B169">
        <v>168</v>
      </c>
      <c r="C169" t="s">
        <v>497</v>
      </c>
      <c r="D169" t="s">
        <v>498</v>
      </c>
      <c r="E169" t="s">
        <v>493</v>
      </c>
      <c r="F169" t="s">
        <v>494</v>
      </c>
      <c r="G169" t="s">
        <v>344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499</v>
      </c>
      <c r="B170">
        <v>1</v>
      </c>
      <c r="C170" t="s">
        <v>500</v>
      </c>
      <c r="D170" t="s">
        <v>501</v>
      </c>
      <c r="E170" t="s">
        <v>502</v>
      </c>
      <c r="F170" t="s">
        <v>502</v>
      </c>
      <c r="G170" t="s">
        <v>62</v>
      </c>
      <c r="H170">
        <v>64078</v>
      </c>
      <c r="I170">
        <v>252.09805555555499</v>
      </c>
      <c r="J170">
        <v>254.178874401825</v>
      </c>
      <c r="K170">
        <v>259.29846933105199</v>
      </c>
      <c r="L170">
        <v>247.12062576115699</v>
      </c>
      <c r="M170">
        <v>-4.97742979439845</v>
      </c>
      <c r="N170">
        <v>0.980255977050558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499</v>
      </c>
      <c r="B171">
        <v>2</v>
      </c>
      <c r="C171" t="s">
        <v>503</v>
      </c>
      <c r="D171" t="s">
        <v>504</v>
      </c>
      <c r="E171" t="s">
        <v>502</v>
      </c>
      <c r="F171" t="s">
        <v>502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499</v>
      </c>
      <c r="B172">
        <v>3</v>
      </c>
      <c r="C172" t="s">
        <v>505</v>
      </c>
      <c r="D172" t="s">
        <v>506</v>
      </c>
      <c r="E172" t="s">
        <v>502</v>
      </c>
      <c r="F172" t="s">
        <v>502</v>
      </c>
      <c r="G172" t="s">
        <v>62</v>
      </c>
      <c r="H172">
        <v>64078</v>
      </c>
      <c r="I172">
        <v>252.09805555555499</v>
      </c>
      <c r="J172">
        <v>254.178874401825</v>
      </c>
      <c r="K172">
        <v>259.29846933105199</v>
      </c>
      <c r="L172">
        <v>247.12062576115699</v>
      </c>
      <c r="M172">
        <v>-4.97742979439845</v>
      </c>
      <c r="N172">
        <v>0.980255977050558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499</v>
      </c>
      <c r="B173">
        <v>4</v>
      </c>
      <c r="C173" t="s">
        <v>507</v>
      </c>
      <c r="D173" t="s">
        <v>293</v>
      </c>
      <c r="E173" t="s">
        <v>502</v>
      </c>
      <c r="F173" t="s">
        <v>502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499</v>
      </c>
      <c r="B174">
        <v>5</v>
      </c>
      <c r="C174" t="s">
        <v>508</v>
      </c>
      <c r="D174" t="s">
        <v>509</v>
      </c>
      <c r="E174" t="s">
        <v>502</v>
      </c>
      <c r="F174" t="s">
        <v>502</v>
      </c>
      <c r="G174" t="s">
        <v>62</v>
      </c>
      <c r="H174">
        <v>83365</v>
      </c>
      <c r="I174">
        <v>483.05277777777701</v>
      </c>
      <c r="J174">
        <v>172.57948579347701</v>
      </c>
      <c r="K174">
        <v>229.524704674379</v>
      </c>
      <c r="L174">
        <v>363.207089704211</v>
      </c>
      <c r="M174">
        <v>-119.845688073566</v>
      </c>
      <c r="N174">
        <v>0.75189939156358698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499</v>
      </c>
      <c r="B175">
        <v>6</v>
      </c>
      <c r="C175" t="s">
        <v>510</v>
      </c>
      <c r="D175" t="s">
        <v>394</v>
      </c>
      <c r="E175" t="s">
        <v>502</v>
      </c>
      <c r="F175" t="s">
        <v>502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499</v>
      </c>
      <c r="B176">
        <v>7</v>
      </c>
      <c r="C176" t="s">
        <v>511</v>
      </c>
      <c r="D176" t="s">
        <v>473</v>
      </c>
      <c r="E176" t="s">
        <v>502</v>
      </c>
      <c r="F176" t="s">
        <v>502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499</v>
      </c>
      <c r="B177">
        <v>8</v>
      </c>
      <c r="C177" t="s">
        <v>512</v>
      </c>
      <c r="D177" t="s">
        <v>480</v>
      </c>
      <c r="E177" t="s">
        <v>502</v>
      </c>
      <c r="F177" t="s">
        <v>502</v>
      </c>
      <c r="G177" t="s">
        <v>62</v>
      </c>
      <c r="H177">
        <v>83365</v>
      </c>
      <c r="I177">
        <v>129.94611111111101</v>
      </c>
      <c r="J177">
        <v>641.53516628687896</v>
      </c>
      <c r="K177">
        <v>559.58227023184304</v>
      </c>
      <c r="L177">
        <v>148.97720037745401</v>
      </c>
      <c r="M177">
        <v>19.031089266342899</v>
      </c>
      <c r="N177">
        <v>1.1464537037978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499</v>
      </c>
      <c r="B178">
        <v>9</v>
      </c>
      <c r="C178" t="s">
        <v>513</v>
      </c>
      <c r="D178" t="s">
        <v>493</v>
      </c>
      <c r="E178" t="s">
        <v>502</v>
      </c>
      <c r="F178" t="s">
        <v>502</v>
      </c>
      <c r="G178" t="s">
        <v>344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499</v>
      </c>
      <c r="B179">
        <v>10</v>
      </c>
      <c r="C179" t="s">
        <v>514</v>
      </c>
      <c r="D179" t="s">
        <v>515</v>
      </c>
      <c r="E179" t="s">
        <v>502</v>
      </c>
      <c r="F179" t="s">
        <v>502</v>
      </c>
      <c r="G179" t="s">
        <v>62</v>
      </c>
      <c r="H179">
        <v>147443</v>
      </c>
      <c r="I179">
        <v>865.09694444444403</v>
      </c>
      <c r="J179">
        <v>170.43523381611999</v>
      </c>
      <c r="K179">
        <v>194.181542781583</v>
      </c>
      <c r="L179">
        <v>759.30491584282197</v>
      </c>
      <c r="M179">
        <v>-105.792028601621</v>
      </c>
      <c r="N179">
        <v>0.87771078226433896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516</v>
      </c>
      <c r="B180">
        <v>1</v>
      </c>
      <c r="C180" t="s">
        <v>517</v>
      </c>
      <c r="D180" t="s">
        <v>13</v>
      </c>
      <c r="E180" t="s">
        <v>518</v>
      </c>
      <c r="F180" t="s">
        <v>518</v>
      </c>
      <c r="G180" t="s">
        <v>62</v>
      </c>
      <c r="H180">
        <v>64078</v>
      </c>
      <c r="I180">
        <v>252.09805555555499</v>
      </c>
      <c r="J180">
        <v>254.178874401825</v>
      </c>
      <c r="K180">
        <v>259.29846933105199</v>
      </c>
      <c r="L180">
        <v>247.12062576115699</v>
      </c>
      <c r="M180">
        <v>-4.97742979439845</v>
      </c>
      <c r="N180">
        <v>0.980255977050558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516</v>
      </c>
      <c r="B181">
        <v>2</v>
      </c>
      <c r="C181" t="s">
        <v>519</v>
      </c>
      <c r="D181" t="s">
        <v>520</v>
      </c>
      <c r="E181" t="s">
        <v>518</v>
      </c>
      <c r="F181" t="s">
        <v>518</v>
      </c>
      <c r="G181" t="s">
        <v>62</v>
      </c>
      <c r="H181">
        <v>83365</v>
      </c>
      <c r="I181">
        <v>483.05277777777701</v>
      </c>
      <c r="J181">
        <v>172.57948579347701</v>
      </c>
      <c r="K181">
        <v>229.524704674379</v>
      </c>
      <c r="L181">
        <v>363.207089704211</v>
      </c>
      <c r="M181">
        <v>-119.845688073566</v>
      </c>
      <c r="N181">
        <v>0.75189939156358698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516</v>
      </c>
      <c r="B182">
        <v>3</v>
      </c>
      <c r="C182" t="s">
        <v>521</v>
      </c>
      <c r="D182" t="s">
        <v>394</v>
      </c>
      <c r="E182" t="s">
        <v>518</v>
      </c>
      <c r="F182" t="s">
        <v>518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516</v>
      </c>
      <c r="B183">
        <v>4</v>
      </c>
      <c r="C183" t="s">
        <v>522</v>
      </c>
      <c r="D183" t="s">
        <v>480</v>
      </c>
      <c r="E183" t="s">
        <v>518</v>
      </c>
      <c r="F183" t="s">
        <v>518</v>
      </c>
      <c r="G183" t="s">
        <v>62</v>
      </c>
      <c r="H183">
        <v>83365</v>
      </c>
      <c r="I183">
        <v>129.94611111111101</v>
      </c>
      <c r="J183">
        <v>641.53516628687896</v>
      </c>
      <c r="K183">
        <v>559.58227023184304</v>
      </c>
      <c r="L183">
        <v>148.97720037745401</v>
      </c>
      <c r="M183">
        <v>19.031089266342899</v>
      </c>
      <c r="N183">
        <v>1.1464537037978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516</v>
      </c>
      <c r="B184">
        <v>5</v>
      </c>
      <c r="C184" t="s">
        <v>523</v>
      </c>
      <c r="D184" t="s">
        <v>493</v>
      </c>
      <c r="E184" t="s">
        <v>518</v>
      </c>
      <c r="F184" t="s">
        <v>518</v>
      </c>
      <c r="G184" t="s">
        <v>344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516</v>
      </c>
      <c r="B185">
        <v>6</v>
      </c>
      <c r="C185" t="s">
        <v>524</v>
      </c>
      <c r="D185" t="s">
        <v>515</v>
      </c>
      <c r="E185" t="s">
        <v>518</v>
      </c>
      <c r="F185" t="s">
        <v>518</v>
      </c>
      <c r="G185" t="s">
        <v>62</v>
      </c>
      <c r="H185">
        <v>147443</v>
      </c>
      <c r="I185">
        <v>865.09694444444403</v>
      </c>
      <c r="J185">
        <v>170.43523381611999</v>
      </c>
      <c r="K185">
        <v>194.181542781583</v>
      </c>
      <c r="L185">
        <v>759.30491584282197</v>
      </c>
      <c r="M185">
        <v>-105.792028601621</v>
      </c>
      <c r="N185">
        <v>0.87771078226433896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525</v>
      </c>
      <c r="B1" t="s">
        <v>526</v>
      </c>
    </row>
    <row r="2" spans="1:2" x14ac:dyDescent="0.35">
      <c r="A2" t="s">
        <v>527</v>
      </c>
      <c r="B2" t="s">
        <v>569</v>
      </c>
    </row>
    <row r="3" spans="1:2" x14ac:dyDescent="0.35">
      <c r="A3" t="s">
        <v>529</v>
      </c>
      <c r="B3" t="s">
        <v>530</v>
      </c>
    </row>
    <row r="4" spans="1:2" x14ac:dyDescent="0.35">
      <c r="A4" t="s">
        <v>531</v>
      </c>
      <c r="B4">
        <v>206</v>
      </c>
    </row>
    <row r="5" spans="1:2" x14ac:dyDescent="0.35">
      <c r="A5" t="s">
        <v>532</v>
      </c>
      <c r="B5">
        <v>394</v>
      </c>
    </row>
    <row r="6" spans="1:2" x14ac:dyDescent="0.35">
      <c r="A6" t="s">
        <v>533</v>
      </c>
      <c r="B6">
        <v>620</v>
      </c>
    </row>
    <row r="7" spans="1:2" x14ac:dyDescent="0.35">
      <c r="A7" t="s">
        <v>570</v>
      </c>
      <c r="B7">
        <v>566</v>
      </c>
    </row>
    <row r="8" spans="1:2" x14ac:dyDescent="0.35">
      <c r="A8" t="s">
        <v>571</v>
      </c>
      <c r="B8">
        <v>620</v>
      </c>
    </row>
    <row r="9" spans="1:2" x14ac:dyDescent="0.35">
      <c r="A9" t="s">
        <v>572</v>
      </c>
      <c r="B9">
        <v>407</v>
      </c>
    </row>
    <row r="10" spans="1:2" x14ac:dyDescent="0.35">
      <c r="A10" t="s">
        <v>573</v>
      </c>
      <c r="B10">
        <v>449</v>
      </c>
    </row>
    <row r="11" spans="1:2" x14ac:dyDescent="0.35">
      <c r="A11" t="s">
        <v>574</v>
      </c>
      <c r="B11">
        <v>298</v>
      </c>
    </row>
    <row r="12" spans="1:2" x14ac:dyDescent="0.35">
      <c r="A12" t="s">
        <v>575</v>
      </c>
      <c r="B12">
        <v>206</v>
      </c>
    </row>
    <row r="13" spans="1:2" x14ac:dyDescent="0.35">
      <c r="A13" t="s">
        <v>576</v>
      </c>
      <c r="B13">
        <v>408</v>
      </c>
    </row>
    <row r="14" spans="1:2" x14ac:dyDescent="0.35">
      <c r="A14" t="s">
        <v>577</v>
      </c>
      <c r="B14">
        <v>255</v>
      </c>
    </row>
    <row r="15" spans="1:2" x14ac:dyDescent="0.35">
      <c r="A15" t="s">
        <v>578</v>
      </c>
      <c r="B15">
        <v>386</v>
      </c>
    </row>
    <row r="16" spans="1:2" x14ac:dyDescent="0.35">
      <c r="A16" t="s">
        <v>579</v>
      </c>
      <c r="B16">
        <v>449</v>
      </c>
    </row>
    <row r="17" spans="1:2" x14ac:dyDescent="0.35">
      <c r="A17" t="s">
        <v>580</v>
      </c>
      <c r="B17">
        <v>290</v>
      </c>
    </row>
    <row r="18" spans="1:2" x14ac:dyDescent="0.35">
      <c r="A18" t="s">
        <v>37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R282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70</v>
      </c>
      <c r="D2">
        <v>100753604</v>
      </c>
      <c r="E2" t="s">
        <v>71</v>
      </c>
      <c r="F2" t="s">
        <v>72</v>
      </c>
      <c r="G2">
        <v>0.14000000000000001</v>
      </c>
      <c r="H2">
        <v>9.3800000000000008</v>
      </c>
      <c r="I2">
        <v>0.08</v>
      </c>
      <c r="J2">
        <v>0</v>
      </c>
      <c r="K2">
        <v>9.6</v>
      </c>
      <c r="L2" t="s">
        <v>61</v>
      </c>
      <c r="M2">
        <v>508</v>
      </c>
      <c r="N2">
        <v>52.94</v>
      </c>
      <c r="O2" t="s">
        <v>62</v>
      </c>
      <c r="P2" t="s">
        <v>63</v>
      </c>
      <c r="Q2">
        <v>327</v>
      </c>
      <c r="R2">
        <v>2312.77</v>
      </c>
    </row>
    <row r="3" spans="1:18" x14ac:dyDescent="0.35">
      <c r="A3" t="s">
        <v>56</v>
      </c>
      <c r="B3" t="s">
        <v>57</v>
      </c>
      <c r="C3" t="s">
        <v>70</v>
      </c>
      <c r="D3">
        <v>100753604</v>
      </c>
      <c r="E3" t="s">
        <v>71</v>
      </c>
      <c r="F3" t="s">
        <v>72</v>
      </c>
      <c r="G3">
        <v>0.14000000000000001</v>
      </c>
      <c r="H3">
        <v>9.3800000000000008</v>
      </c>
      <c r="I3">
        <v>0.08</v>
      </c>
      <c r="J3">
        <v>0</v>
      </c>
      <c r="K3">
        <v>9.6</v>
      </c>
      <c r="L3" t="s">
        <v>61</v>
      </c>
      <c r="M3">
        <v>508</v>
      </c>
      <c r="N3">
        <v>52.94</v>
      </c>
      <c r="O3" t="s">
        <v>62</v>
      </c>
      <c r="P3" t="s">
        <v>64</v>
      </c>
      <c r="Q3">
        <v>3344</v>
      </c>
      <c r="R3">
        <v>356.57</v>
      </c>
    </row>
    <row r="4" spans="1:18" x14ac:dyDescent="0.35">
      <c r="A4" t="s">
        <v>56</v>
      </c>
      <c r="B4" t="s">
        <v>57</v>
      </c>
      <c r="C4" t="s">
        <v>70</v>
      </c>
      <c r="D4">
        <v>100753604</v>
      </c>
      <c r="E4" t="s">
        <v>71</v>
      </c>
      <c r="F4" t="s">
        <v>72</v>
      </c>
      <c r="G4">
        <v>0.14000000000000001</v>
      </c>
      <c r="H4">
        <v>9.3800000000000008</v>
      </c>
      <c r="I4">
        <v>0.08</v>
      </c>
      <c r="J4">
        <v>0</v>
      </c>
      <c r="K4">
        <v>9.6</v>
      </c>
      <c r="L4" t="s">
        <v>61</v>
      </c>
      <c r="M4">
        <v>508</v>
      </c>
      <c r="N4">
        <v>52.94</v>
      </c>
      <c r="O4" t="s">
        <v>62</v>
      </c>
      <c r="P4" t="s">
        <v>65</v>
      </c>
      <c r="Q4">
        <v>21</v>
      </c>
      <c r="R4">
        <v>273.91000000000003</v>
      </c>
    </row>
    <row r="5" spans="1:18" x14ac:dyDescent="0.35">
      <c r="A5" t="s">
        <v>56</v>
      </c>
      <c r="B5" t="s">
        <v>57</v>
      </c>
      <c r="C5" t="s">
        <v>70</v>
      </c>
      <c r="D5">
        <v>100753604</v>
      </c>
      <c r="E5" t="s">
        <v>71</v>
      </c>
      <c r="F5" t="s">
        <v>72</v>
      </c>
      <c r="G5">
        <v>0.14000000000000001</v>
      </c>
      <c r="H5">
        <v>9.3800000000000008</v>
      </c>
      <c r="I5">
        <v>0.08</v>
      </c>
      <c r="J5">
        <v>0</v>
      </c>
      <c r="K5">
        <v>9.6</v>
      </c>
      <c r="L5" t="s">
        <v>61</v>
      </c>
      <c r="M5">
        <v>508</v>
      </c>
      <c r="N5">
        <v>52.94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70</v>
      </c>
      <c r="D6">
        <v>100753604</v>
      </c>
      <c r="E6" t="s">
        <v>71</v>
      </c>
      <c r="F6" t="s">
        <v>72</v>
      </c>
      <c r="G6">
        <v>0.14000000000000001</v>
      </c>
      <c r="H6">
        <v>9.3800000000000008</v>
      </c>
      <c r="I6">
        <v>0.08</v>
      </c>
      <c r="J6">
        <v>0</v>
      </c>
      <c r="K6">
        <v>9.6</v>
      </c>
      <c r="L6" t="s">
        <v>61</v>
      </c>
      <c r="M6">
        <v>508</v>
      </c>
      <c r="N6">
        <v>52.94</v>
      </c>
      <c r="O6" t="s">
        <v>62</v>
      </c>
      <c r="P6" t="s">
        <v>67</v>
      </c>
      <c r="Q6">
        <v>3692</v>
      </c>
      <c r="R6">
        <v>384.72</v>
      </c>
    </row>
    <row r="7" spans="1:18" x14ac:dyDescent="0.35">
      <c r="A7" t="s">
        <v>56</v>
      </c>
      <c r="B7" t="s">
        <v>57</v>
      </c>
      <c r="C7" t="s">
        <v>70</v>
      </c>
      <c r="D7">
        <v>100753604</v>
      </c>
      <c r="E7" t="s">
        <v>71</v>
      </c>
      <c r="F7" t="s">
        <v>72</v>
      </c>
      <c r="G7">
        <v>0.14000000000000001</v>
      </c>
      <c r="H7">
        <v>9.3800000000000008</v>
      </c>
      <c r="I7">
        <v>0.08</v>
      </c>
      <c r="J7">
        <v>0</v>
      </c>
      <c r="K7">
        <v>9.6</v>
      </c>
      <c r="L7" t="s">
        <v>61</v>
      </c>
      <c r="M7">
        <v>508</v>
      </c>
      <c r="N7">
        <v>52.94</v>
      </c>
      <c r="O7" t="s">
        <v>68</v>
      </c>
      <c r="P7" t="s">
        <v>67</v>
      </c>
      <c r="Q7">
        <v>508</v>
      </c>
      <c r="R7">
        <v>52.94</v>
      </c>
    </row>
    <row r="8" spans="1:18" x14ac:dyDescent="0.35">
      <c r="A8" t="s">
        <v>56</v>
      </c>
      <c r="B8" t="s">
        <v>57</v>
      </c>
      <c r="C8" t="s">
        <v>70</v>
      </c>
      <c r="D8">
        <v>100753604</v>
      </c>
      <c r="E8" t="s">
        <v>71</v>
      </c>
      <c r="F8" t="s">
        <v>72</v>
      </c>
      <c r="G8">
        <v>0.14000000000000001</v>
      </c>
      <c r="H8">
        <v>9.3800000000000008</v>
      </c>
      <c r="I8">
        <v>0.08</v>
      </c>
      <c r="J8">
        <v>0</v>
      </c>
      <c r="K8">
        <v>9.6</v>
      </c>
      <c r="L8" t="s">
        <v>61</v>
      </c>
      <c r="M8">
        <v>508</v>
      </c>
      <c r="N8">
        <v>52.94</v>
      </c>
      <c r="O8" t="s">
        <v>69</v>
      </c>
      <c r="P8" t="s">
        <v>67</v>
      </c>
      <c r="Q8">
        <v>0</v>
      </c>
      <c r="R8">
        <v>0</v>
      </c>
    </row>
    <row r="9" spans="1:18" x14ac:dyDescent="0.35">
      <c r="A9" t="s">
        <v>56</v>
      </c>
      <c r="B9" t="s">
        <v>57</v>
      </c>
      <c r="C9" t="s">
        <v>70</v>
      </c>
      <c r="D9">
        <v>100865064</v>
      </c>
      <c r="E9" t="s">
        <v>581</v>
      </c>
      <c r="F9" t="s">
        <v>72</v>
      </c>
      <c r="G9">
        <v>0.06</v>
      </c>
      <c r="H9">
        <v>5.93</v>
      </c>
      <c r="I9">
        <v>0</v>
      </c>
      <c r="J9">
        <v>0</v>
      </c>
      <c r="K9">
        <v>5.99</v>
      </c>
      <c r="L9" t="s">
        <v>61</v>
      </c>
      <c r="M9">
        <v>156</v>
      </c>
      <c r="N9">
        <v>26.05</v>
      </c>
      <c r="O9" t="s">
        <v>62</v>
      </c>
      <c r="P9" t="s">
        <v>63</v>
      </c>
      <c r="Q9">
        <v>45</v>
      </c>
      <c r="R9">
        <v>818.18</v>
      </c>
    </row>
    <row r="10" spans="1:18" x14ac:dyDescent="0.35">
      <c r="A10" t="s">
        <v>56</v>
      </c>
      <c r="B10" t="s">
        <v>57</v>
      </c>
      <c r="C10" t="s">
        <v>70</v>
      </c>
      <c r="D10">
        <v>100865064</v>
      </c>
      <c r="E10" t="s">
        <v>581</v>
      </c>
      <c r="F10" t="s">
        <v>72</v>
      </c>
      <c r="G10">
        <v>0.06</v>
      </c>
      <c r="H10">
        <v>5.93</v>
      </c>
      <c r="I10">
        <v>0</v>
      </c>
      <c r="J10">
        <v>0</v>
      </c>
      <c r="K10">
        <v>5.99</v>
      </c>
      <c r="L10" t="s">
        <v>61</v>
      </c>
      <c r="M10">
        <v>156</v>
      </c>
      <c r="N10">
        <v>26.05</v>
      </c>
      <c r="O10" t="s">
        <v>62</v>
      </c>
      <c r="P10" t="s">
        <v>64</v>
      </c>
      <c r="Q10">
        <v>747</v>
      </c>
      <c r="R10">
        <v>125.92</v>
      </c>
    </row>
    <row r="11" spans="1:18" x14ac:dyDescent="0.35">
      <c r="A11" t="s">
        <v>56</v>
      </c>
      <c r="B11" t="s">
        <v>57</v>
      </c>
      <c r="C11" t="s">
        <v>70</v>
      </c>
      <c r="D11">
        <v>100865064</v>
      </c>
      <c r="E11" t="s">
        <v>581</v>
      </c>
      <c r="F11" t="s">
        <v>72</v>
      </c>
      <c r="G11">
        <v>0.06</v>
      </c>
      <c r="H11">
        <v>5.93</v>
      </c>
      <c r="I11">
        <v>0</v>
      </c>
      <c r="J11">
        <v>0</v>
      </c>
      <c r="K11">
        <v>5.99</v>
      </c>
      <c r="L11" t="s">
        <v>61</v>
      </c>
      <c r="M11">
        <v>156</v>
      </c>
      <c r="N11">
        <v>26.05</v>
      </c>
      <c r="O11" t="s">
        <v>62</v>
      </c>
      <c r="P11" t="s">
        <v>65</v>
      </c>
      <c r="Q11">
        <v>0</v>
      </c>
      <c r="R11">
        <v>0</v>
      </c>
    </row>
    <row r="12" spans="1:18" x14ac:dyDescent="0.35">
      <c r="A12" t="s">
        <v>56</v>
      </c>
      <c r="B12" t="s">
        <v>57</v>
      </c>
      <c r="C12" t="s">
        <v>70</v>
      </c>
      <c r="D12">
        <v>100865064</v>
      </c>
      <c r="E12" t="s">
        <v>581</v>
      </c>
      <c r="F12" t="s">
        <v>72</v>
      </c>
      <c r="G12">
        <v>0.06</v>
      </c>
      <c r="H12">
        <v>5.93</v>
      </c>
      <c r="I12">
        <v>0</v>
      </c>
      <c r="J12">
        <v>0</v>
      </c>
      <c r="K12">
        <v>5.99</v>
      </c>
      <c r="L12" t="s">
        <v>61</v>
      </c>
      <c r="M12">
        <v>156</v>
      </c>
      <c r="N12">
        <v>26.05</v>
      </c>
      <c r="O12" t="s">
        <v>62</v>
      </c>
      <c r="P12" t="s">
        <v>66</v>
      </c>
      <c r="Q12">
        <v>0</v>
      </c>
      <c r="R12">
        <v>0</v>
      </c>
    </row>
    <row r="13" spans="1:18" x14ac:dyDescent="0.35">
      <c r="A13" t="s">
        <v>56</v>
      </c>
      <c r="B13" t="s">
        <v>57</v>
      </c>
      <c r="C13" t="s">
        <v>70</v>
      </c>
      <c r="D13">
        <v>100865064</v>
      </c>
      <c r="E13" t="s">
        <v>581</v>
      </c>
      <c r="F13" t="s">
        <v>72</v>
      </c>
      <c r="G13">
        <v>0.06</v>
      </c>
      <c r="H13">
        <v>5.93</v>
      </c>
      <c r="I13">
        <v>0</v>
      </c>
      <c r="J13">
        <v>0</v>
      </c>
      <c r="K13">
        <v>5.99</v>
      </c>
      <c r="L13" t="s">
        <v>61</v>
      </c>
      <c r="M13">
        <v>156</v>
      </c>
      <c r="N13">
        <v>26.05</v>
      </c>
      <c r="O13" t="s">
        <v>62</v>
      </c>
      <c r="P13" t="s">
        <v>67</v>
      </c>
      <c r="Q13">
        <v>792</v>
      </c>
      <c r="R13">
        <v>132.27000000000001</v>
      </c>
    </row>
    <row r="14" spans="1:18" x14ac:dyDescent="0.35">
      <c r="A14" t="s">
        <v>56</v>
      </c>
      <c r="B14" t="s">
        <v>57</v>
      </c>
      <c r="C14" t="s">
        <v>70</v>
      </c>
      <c r="D14">
        <v>100865064</v>
      </c>
      <c r="E14" t="s">
        <v>581</v>
      </c>
      <c r="F14" t="s">
        <v>72</v>
      </c>
      <c r="G14">
        <v>0.06</v>
      </c>
      <c r="H14">
        <v>5.93</v>
      </c>
      <c r="I14">
        <v>0</v>
      </c>
      <c r="J14">
        <v>0</v>
      </c>
      <c r="K14">
        <v>5.99</v>
      </c>
      <c r="L14" t="s">
        <v>61</v>
      </c>
      <c r="M14">
        <v>156</v>
      </c>
      <c r="N14">
        <v>26.05</v>
      </c>
      <c r="O14" t="s">
        <v>68</v>
      </c>
      <c r="P14" t="s">
        <v>67</v>
      </c>
      <c r="Q14">
        <v>156</v>
      </c>
      <c r="R14">
        <v>26.05</v>
      </c>
    </row>
    <row r="15" spans="1:18" x14ac:dyDescent="0.35">
      <c r="A15" t="s">
        <v>56</v>
      </c>
      <c r="B15" t="s">
        <v>57</v>
      </c>
      <c r="C15" t="s">
        <v>70</v>
      </c>
      <c r="D15">
        <v>100865064</v>
      </c>
      <c r="E15" t="s">
        <v>581</v>
      </c>
      <c r="F15" t="s">
        <v>72</v>
      </c>
      <c r="G15">
        <v>0.06</v>
      </c>
      <c r="H15">
        <v>5.93</v>
      </c>
      <c r="I15">
        <v>0</v>
      </c>
      <c r="J15">
        <v>0</v>
      </c>
      <c r="K15">
        <v>5.99</v>
      </c>
      <c r="L15" t="s">
        <v>61</v>
      </c>
      <c r="M15">
        <v>156</v>
      </c>
      <c r="N15">
        <v>26.05</v>
      </c>
      <c r="O15" t="s">
        <v>69</v>
      </c>
      <c r="P15" t="s">
        <v>67</v>
      </c>
      <c r="Q15">
        <v>0</v>
      </c>
      <c r="R15">
        <v>0</v>
      </c>
    </row>
    <row r="16" spans="1:18" x14ac:dyDescent="0.35">
      <c r="A16" t="s">
        <v>56</v>
      </c>
      <c r="B16" t="s">
        <v>57</v>
      </c>
      <c r="C16" t="s">
        <v>58</v>
      </c>
      <c r="D16">
        <v>102476407</v>
      </c>
      <c r="E16" t="s">
        <v>74</v>
      </c>
      <c r="F16" t="s">
        <v>75</v>
      </c>
      <c r="G16">
        <v>0.11</v>
      </c>
      <c r="H16">
        <v>8.2100000000000009</v>
      </c>
      <c r="I16">
        <v>0.15</v>
      </c>
      <c r="J16">
        <v>0</v>
      </c>
      <c r="K16">
        <v>8.4700000000000006</v>
      </c>
      <c r="L16" t="s">
        <v>61</v>
      </c>
      <c r="M16">
        <v>425</v>
      </c>
      <c r="N16">
        <v>50.17</v>
      </c>
      <c r="O16" t="s">
        <v>62</v>
      </c>
      <c r="P16" t="s">
        <v>63</v>
      </c>
      <c r="Q16">
        <v>121</v>
      </c>
      <c r="R16">
        <v>1128.5</v>
      </c>
    </row>
    <row r="17" spans="1:18" x14ac:dyDescent="0.35">
      <c r="A17" t="s">
        <v>56</v>
      </c>
      <c r="B17" t="s">
        <v>57</v>
      </c>
      <c r="C17" t="s">
        <v>58</v>
      </c>
      <c r="D17">
        <v>102476407</v>
      </c>
      <c r="E17" t="s">
        <v>74</v>
      </c>
      <c r="F17" t="s">
        <v>75</v>
      </c>
      <c r="G17">
        <v>0.11</v>
      </c>
      <c r="H17">
        <v>8.2100000000000009</v>
      </c>
      <c r="I17">
        <v>0.15</v>
      </c>
      <c r="J17">
        <v>0</v>
      </c>
      <c r="K17">
        <v>8.4700000000000006</v>
      </c>
      <c r="L17" t="s">
        <v>61</v>
      </c>
      <c r="M17">
        <v>425</v>
      </c>
      <c r="N17">
        <v>50.17</v>
      </c>
      <c r="O17" t="s">
        <v>62</v>
      </c>
      <c r="P17" t="s">
        <v>64</v>
      </c>
      <c r="Q17">
        <v>1426</v>
      </c>
      <c r="R17">
        <v>173.61</v>
      </c>
    </row>
    <row r="18" spans="1:18" x14ac:dyDescent="0.35">
      <c r="A18" t="s">
        <v>56</v>
      </c>
      <c r="B18" t="s">
        <v>57</v>
      </c>
      <c r="C18" t="s">
        <v>58</v>
      </c>
      <c r="D18">
        <v>102476407</v>
      </c>
      <c r="E18" t="s">
        <v>74</v>
      </c>
      <c r="F18" t="s">
        <v>75</v>
      </c>
      <c r="G18">
        <v>0.11</v>
      </c>
      <c r="H18">
        <v>8.2100000000000009</v>
      </c>
      <c r="I18">
        <v>0.15</v>
      </c>
      <c r="J18">
        <v>0</v>
      </c>
      <c r="K18">
        <v>8.4700000000000006</v>
      </c>
      <c r="L18" t="s">
        <v>61</v>
      </c>
      <c r="M18">
        <v>425</v>
      </c>
      <c r="N18">
        <v>50.17</v>
      </c>
      <c r="O18" t="s">
        <v>62</v>
      </c>
      <c r="P18" t="s">
        <v>65</v>
      </c>
      <c r="Q18">
        <v>20</v>
      </c>
      <c r="R18">
        <v>133.09</v>
      </c>
    </row>
    <row r="19" spans="1:18" x14ac:dyDescent="0.35">
      <c r="A19" t="s">
        <v>56</v>
      </c>
      <c r="B19" t="s">
        <v>57</v>
      </c>
      <c r="C19" t="s">
        <v>58</v>
      </c>
      <c r="D19">
        <v>102476407</v>
      </c>
      <c r="E19" t="s">
        <v>74</v>
      </c>
      <c r="F19" t="s">
        <v>75</v>
      </c>
      <c r="G19">
        <v>0.11</v>
      </c>
      <c r="H19">
        <v>8.2100000000000009</v>
      </c>
      <c r="I19">
        <v>0.15</v>
      </c>
      <c r="J19">
        <v>0</v>
      </c>
      <c r="K19">
        <v>8.4700000000000006</v>
      </c>
      <c r="L19" t="s">
        <v>61</v>
      </c>
      <c r="M19">
        <v>425</v>
      </c>
      <c r="N19">
        <v>50.17</v>
      </c>
      <c r="O19" t="s">
        <v>62</v>
      </c>
      <c r="P19" t="s">
        <v>66</v>
      </c>
      <c r="Q19">
        <v>0</v>
      </c>
      <c r="R19">
        <v>0</v>
      </c>
    </row>
    <row r="20" spans="1:18" x14ac:dyDescent="0.35">
      <c r="A20" t="s">
        <v>56</v>
      </c>
      <c r="B20" t="s">
        <v>57</v>
      </c>
      <c r="C20" t="s">
        <v>58</v>
      </c>
      <c r="D20">
        <v>102476407</v>
      </c>
      <c r="E20" t="s">
        <v>74</v>
      </c>
      <c r="F20" t="s">
        <v>75</v>
      </c>
      <c r="G20">
        <v>0.11</v>
      </c>
      <c r="H20">
        <v>8.2100000000000009</v>
      </c>
      <c r="I20">
        <v>0.15</v>
      </c>
      <c r="J20">
        <v>0</v>
      </c>
      <c r="K20">
        <v>8.4700000000000006</v>
      </c>
      <c r="L20" t="s">
        <v>61</v>
      </c>
      <c r="M20">
        <v>425</v>
      </c>
      <c r="N20">
        <v>50.17</v>
      </c>
      <c r="O20" t="s">
        <v>62</v>
      </c>
      <c r="P20" t="s">
        <v>67</v>
      </c>
      <c r="Q20">
        <v>1567</v>
      </c>
      <c r="R20">
        <v>184.97</v>
      </c>
    </row>
    <row r="21" spans="1:18" x14ac:dyDescent="0.35">
      <c r="A21" t="s">
        <v>56</v>
      </c>
      <c r="B21" t="s">
        <v>57</v>
      </c>
      <c r="C21" t="s">
        <v>58</v>
      </c>
      <c r="D21">
        <v>102476407</v>
      </c>
      <c r="E21" t="s">
        <v>74</v>
      </c>
      <c r="F21" t="s">
        <v>75</v>
      </c>
      <c r="G21">
        <v>0.11</v>
      </c>
      <c r="H21">
        <v>8.2100000000000009</v>
      </c>
      <c r="I21">
        <v>0.15</v>
      </c>
      <c r="J21">
        <v>0</v>
      </c>
      <c r="K21">
        <v>8.4700000000000006</v>
      </c>
      <c r="L21" t="s">
        <v>61</v>
      </c>
      <c r="M21">
        <v>425</v>
      </c>
      <c r="N21">
        <v>50.17</v>
      </c>
      <c r="O21" t="s">
        <v>68</v>
      </c>
      <c r="P21" t="s">
        <v>67</v>
      </c>
      <c r="Q21">
        <v>425</v>
      </c>
      <c r="R21">
        <v>50.17</v>
      </c>
    </row>
    <row r="22" spans="1:18" x14ac:dyDescent="0.35">
      <c r="A22" t="s">
        <v>56</v>
      </c>
      <c r="B22" t="s">
        <v>57</v>
      </c>
      <c r="C22" t="s">
        <v>58</v>
      </c>
      <c r="D22">
        <v>102476407</v>
      </c>
      <c r="E22" t="s">
        <v>74</v>
      </c>
      <c r="F22" t="s">
        <v>75</v>
      </c>
      <c r="G22">
        <v>0.11</v>
      </c>
      <c r="H22">
        <v>8.2100000000000009</v>
      </c>
      <c r="I22">
        <v>0.15</v>
      </c>
      <c r="J22">
        <v>0</v>
      </c>
      <c r="K22">
        <v>8.4700000000000006</v>
      </c>
      <c r="L22" t="s">
        <v>61</v>
      </c>
      <c r="M22">
        <v>425</v>
      </c>
      <c r="N22">
        <v>50.17</v>
      </c>
      <c r="O22" t="s">
        <v>69</v>
      </c>
      <c r="P22" t="s">
        <v>67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70</v>
      </c>
      <c r="D23">
        <v>103162419</v>
      </c>
      <c r="E23" t="s">
        <v>76</v>
      </c>
      <c r="F23" t="s">
        <v>72</v>
      </c>
      <c r="G23">
        <v>0.12</v>
      </c>
      <c r="H23">
        <v>7.89</v>
      </c>
      <c r="I23">
        <v>0</v>
      </c>
      <c r="J23">
        <v>0</v>
      </c>
      <c r="K23">
        <v>8.01</v>
      </c>
      <c r="L23" t="s">
        <v>61</v>
      </c>
      <c r="M23">
        <v>282</v>
      </c>
      <c r="N23">
        <v>35.19</v>
      </c>
      <c r="O23" t="s">
        <v>62</v>
      </c>
      <c r="P23" t="s">
        <v>63</v>
      </c>
      <c r="Q23">
        <v>183</v>
      </c>
      <c r="R23">
        <v>1487.13</v>
      </c>
    </row>
    <row r="24" spans="1:18" x14ac:dyDescent="0.35">
      <c r="A24" t="s">
        <v>56</v>
      </c>
      <c r="B24" t="s">
        <v>57</v>
      </c>
      <c r="C24" t="s">
        <v>70</v>
      </c>
      <c r="D24">
        <v>103162419</v>
      </c>
      <c r="E24" t="s">
        <v>76</v>
      </c>
      <c r="F24" t="s">
        <v>72</v>
      </c>
      <c r="G24">
        <v>0.12</v>
      </c>
      <c r="H24">
        <v>7.89</v>
      </c>
      <c r="I24">
        <v>0</v>
      </c>
      <c r="J24">
        <v>0</v>
      </c>
      <c r="K24">
        <v>8.01</v>
      </c>
      <c r="L24" t="s">
        <v>61</v>
      </c>
      <c r="M24">
        <v>282</v>
      </c>
      <c r="N24">
        <v>35.19</v>
      </c>
      <c r="O24" t="s">
        <v>62</v>
      </c>
      <c r="P24" t="s">
        <v>64</v>
      </c>
      <c r="Q24">
        <v>1806</v>
      </c>
      <c r="R24">
        <v>228.9</v>
      </c>
    </row>
    <row r="25" spans="1:18" x14ac:dyDescent="0.35">
      <c r="A25" t="s">
        <v>56</v>
      </c>
      <c r="B25" t="s">
        <v>57</v>
      </c>
      <c r="C25" t="s">
        <v>70</v>
      </c>
      <c r="D25">
        <v>103162419</v>
      </c>
      <c r="E25" t="s">
        <v>76</v>
      </c>
      <c r="F25" t="s">
        <v>72</v>
      </c>
      <c r="G25">
        <v>0.12</v>
      </c>
      <c r="H25">
        <v>7.89</v>
      </c>
      <c r="I25">
        <v>0</v>
      </c>
      <c r="J25">
        <v>0</v>
      </c>
      <c r="K25">
        <v>8.01</v>
      </c>
      <c r="L25" t="s">
        <v>61</v>
      </c>
      <c r="M25">
        <v>282</v>
      </c>
      <c r="N25">
        <v>35.19</v>
      </c>
      <c r="O25" t="s">
        <v>62</v>
      </c>
      <c r="P25" t="s">
        <v>65</v>
      </c>
      <c r="Q25">
        <v>0</v>
      </c>
      <c r="R25">
        <v>0</v>
      </c>
    </row>
    <row r="26" spans="1:18" x14ac:dyDescent="0.35">
      <c r="A26" t="s">
        <v>56</v>
      </c>
      <c r="B26" t="s">
        <v>57</v>
      </c>
      <c r="C26" t="s">
        <v>70</v>
      </c>
      <c r="D26">
        <v>103162419</v>
      </c>
      <c r="E26" t="s">
        <v>76</v>
      </c>
      <c r="F26" t="s">
        <v>72</v>
      </c>
      <c r="G26">
        <v>0.12</v>
      </c>
      <c r="H26">
        <v>7.89</v>
      </c>
      <c r="I26">
        <v>0</v>
      </c>
      <c r="J26">
        <v>0</v>
      </c>
      <c r="K26">
        <v>8.01</v>
      </c>
      <c r="L26" t="s">
        <v>61</v>
      </c>
      <c r="M26">
        <v>282</v>
      </c>
      <c r="N26">
        <v>35.19</v>
      </c>
      <c r="O26" t="s">
        <v>62</v>
      </c>
      <c r="P26" t="s">
        <v>66</v>
      </c>
      <c r="Q26">
        <v>0</v>
      </c>
      <c r="R26">
        <v>0</v>
      </c>
    </row>
    <row r="27" spans="1:18" x14ac:dyDescent="0.35">
      <c r="A27" t="s">
        <v>56</v>
      </c>
      <c r="B27" t="s">
        <v>57</v>
      </c>
      <c r="C27" t="s">
        <v>70</v>
      </c>
      <c r="D27">
        <v>103162419</v>
      </c>
      <c r="E27" t="s">
        <v>76</v>
      </c>
      <c r="F27" t="s">
        <v>72</v>
      </c>
      <c r="G27">
        <v>0.12</v>
      </c>
      <c r="H27">
        <v>7.89</v>
      </c>
      <c r="I27">
        <v>0</v>
      </c>
      <c r="J27">
        <v>0</v>
      </c>
      <c r="K27">
        <v>8.01</v>
      </c>
      <c r="L27" t="s">
        <v>61</v>
      </c>
      <c r="M27">
        <v>282</v>
      </c>
      <c r="N27">
        <v>35.19</v>
      </c>
      <c r="O27" t="s">
        <v>62</v>
      </c>
      <c r="P27" t="s">
        <v>67</v>
      </c>
      <c r="Q27">
        <v>1989</v>
      </c>
      <c r="R27">
        <v>248.21</v>
      </c>
    </row>
    <row r="28" spans="1:18" x14ac:dyDescent="0.35">
      <c r="A28" t="s">
        <v>56</v>
      </c>
      <c r="B28" t="s">
        <v>57</v>
      </c>
      <c r="C28" t="s">
        <v>70</v>
      </c>
      <c r="D28">
        <v>103162419</v>
      </c>
      <c r="E28" t="s">
        <v>76</v>
      </c>
      <c r="F28" t="s">
        <v>72</v>
      </c>
      <c r="G28">
        <v>0.12</v>
      </c>
      <c r="H28">
        <v>7.89</v>
      </c>
      <c r="I28">
        <v>0</v>
      </c>
      <c r="J28">
        <v>0</v>
      </c>
      <c r="K28">
        <v>8.01</v>
      </c>
      <c r="L28" t="s">
        <v>61</v>
      </c>
      <c r="M28">
        <v>282</v>
      </c>
      <c r="N28">
        <v>35.19</v>
      </c>
      <c r="O28" t="s">
        <v>68</v>
      </c>
      <c r="P28" t="s">
        <v>67</v>
      </c>
      <c r="Q28">
        <v>282</v>
      </c>
      <c r="R28">
        <v>35.19</v>
      </c>
    </row>
    <row r="29" spans="1:18" x14ac:dyDescent="0.35">
      <c r="A29" t="s">
        <v>56</v>
      </c>
      <c r="B29" t="s">
        <v>57</v>
      </c>
      <c r="C29" t="s">
        <v>70</v>
      </c>
      <c r="D29">
        <v>103162419</v>
      </c>
      <c r="E29" t="s">
        <v>76</v>
      </c>
      <c r="F29" t="s">
        <v>72</v>
      </c>
      <c r="G29">
        <v>0.12</v>
      </c>
      <c r="H29">
        <v>7.89</v>
      </c>
      <c r="I29">
        <v>0</v>
      </c>
      <c r="J29">
        <v>0</v>
      </c>
      <c r="K29">
        <v>8.01</v>
      </c>
      <c r="L29" t="s">
        <v>61</v>
      </c>
      <c r="M29">
        <v>282</v>
      </c>
      <c r="N29">
        <v>35.19</v>
      </c>
      <c r="O29" t="s">
        <v>69</v>
      </c>
      <c r="P29" t="s">
        <v>67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70</v>
      </c>
      <c r="D30">
        <v>103783504</v>
      </c>
      <c r="E30" t="s">
        <v>77</v>
      </c>
      <c r="F30" t="s">
        <v>72</v>
      </c>
      <c r="G30">
        <v>0.11</v>
      </c>
      <c r="H30">
        <v>5.18</v>
      </c>
      <c r="I30">
        <v>0</v>
      </c>
      <c r="J30">
        <v>0</v>
      </c>
      <c r="K30">
        <v>5.29</v>
      </c>
      <c r="L30" t="s">
        <v>61</v>
      </c>
      <c r="M30">
        <v>195</v>
      </c>
      <c r="N30">
        <v>36.86</v>
      </c>
      <c r="O30" t="s">
        <v>62</v>
      </c>
      <c r="P30" t="s">
        <v>63</v>
      </c>
      <c r="Q30">
        <v>161</v>
      </c>
      <c r="R30">
        <v>1501.55</v>
      </c>
    </row>
    <row r="31" spans="1:18" x14ac:dyDescent="0.35">
      <c r="A31" t="s">
        <v>56</v>
      </c>
      <c r="B31" t="s">
        <v>57</v>
      </c>
      <c r="C31" t="s">
        <v>70</v>
      </c>
      <c r="D31">
        <v>103783504</v>
      </c>
      <c r="E31" t="s">
        <v>77</v>
      </c>
      <c r="F31" t="s">
        <v>72</v>
      </c>
      <c r="G31">
        <v>0.11</v>
      </c>
      <c r="H31">
        <v>5.18</v>
      </c>
      <c r="I31">
        <v>0</v>
      </c>
      <c r="J31">
        <v>0</v>
      </c>
      <c r="K31">
        <v>5.29</v>
      </c>
      <c r="L31" t="s">
        <v>61</v>
      </c>
      <c r="M31">
        <v>195</v>
      </c>
      <c r="N31">
        <v>36.86</v>
      </c>
      <c r="O31" t="s">
        <v>62</v>
      </c>
      <c r="P31" t="s">
        <v>64</v>
      </c>
      <c r="Q31">
        <v>1199</v>
      </c>
      <c r="R31">
        <v>231.34</v>
      </c>
    </row>
    <row r="32" spans="1:18" x14ac:dyDescent="0.35">
      <c r="A32" t="s">
        <v>56</v>
      </c>
      <c r="B32" t="s">
        <v>57</v>
      </c>
      <c r="C32" t="s">
        <v>70</v>
      </c>
      <c r="D32">
        <v>103783504</v>
      </c>
      <c r="E32" t="s">
        <v>77</v>
      </c>
      <c r="F32" t="s">
        <v>72</v>
      </c>
      <c r="G32">
        <v>0.11</v>
      </c>
      <c r="H32">
        <v>5.18</v>
      </c>
      <c r="I32">
        <v>0</v>
      </c>
      <c r="J32">
        <v>0</v>
      </c>
      <c r="K32">
        <v>5.29</v>
      </c>
      <c r="L32" t="s">
        <v>61</v>
      </c>
      <c r="M32">
        <v>195</v>
      </c>
      <c r="N32">
        <v>36.86</v>
      </c>
      <c r="O32" t="s">
        <v>62</v>
      </c>
      <c r="P32" t="s">
        <v>65</v>
      </c>
      <c r="Q32">
        <v>0</v>
      </c>
      <c r="R32">
        <v>0</v>
      </c>
    </row>
    <row r="33" spans="1:18" x14ac:dyDescent="0.35">
      <c r="A33" t="s">
        <v>56</v>
      </c>
      <c r="B33" t="s">
        <v>57</v>
      </c>
      <c r="C33" t="s">
        <v>70</v>
      </c>
      <c r="D33">
        <v>103783504</v>
      </c>
      <c r="E33" t="s">
        <v>77</v>
      </c>
      <c r="F33" t="s">
        <v>72</v>
      </c>
      <c r="G33">
        <v>0.11</v>
      </c>
      <c r="H33">
        <v>5.18</v>
      </c>
      <c r="I33">
        <v>0</v>
      </c>
      <c r="J33">
        <v>0</v>
      </c>
      <c r="K33">
        <v>5.29</v>
      </c>
      <c r="L33" t="s">
        <v>61</v>
      </c>
      <c r="M33">
        <v>195</v>
      </c>
      <c r="N33">
        <v>36.86</v>
      </c>
      <c r="O33" t="s">
        <v>62</v>
      </c>
      <c r="P33" t="s">
        <v>66</v>
      </c>
      <c r="Q33">
        <v>0</v>
      </c>
      <c r="R33">
        <v>0</v>
      </c>
    </row>
    <row r="34" spans="1:18" x14ac:dyDescent="0.35">
      <c r="A34" t="s">
        <v>56</v>
      </c>
      <c r="B34" t="s">
        <v>57</v>
      </c>
      <c r="C34" t="s">
        <v>70</v>
      </c>
      <c r="D34">
        <v>103783504</v>
      </c>
      <c r="E34" t="s">
        <v>77</v>
      </c>
      <c r="F34" t="s">
        <v>72</v>
      </c>
      <c r="G34">
        <v>0.11</v>
      </c>
      <c r="H34">
        <v>5.18</v>
      </c>
      <c r="I34">
        <v>0</v>
      </c>
      <c r="J34">
        <v>0</v>
      </c>
      <c r="K34">
        <v>5.29</v>
      </c>
      <c r="L34" t="s">
        <v>61</v>
      </c>
      <c r="M34">
        <v>195</v>
      </c>
      <c r="N34">
        <v>36.86</v>
      </c>
      <c r="O34" t="s">
        <v>62</v>
      </c>
      <c r="P34" t="s">
        <v>67</v>
      </c>
      <c r="Q34">
        <v>1360</v>
      </c>
      <c r="R34">
        <v>257.08</v>
      </c>
    </row>
    <row r="35" spans="1:18" x14ac:dyDescent="0.35">
      <c r="A35" t="s">
        <v>56</v>
      </c>
      <c r="B35" t="s">
        <v>57</v>
      </c>
      <c r="C35" t="s">
        <v>70</v>
      </c>
      <c r="D35">
        <v>103783504</v>
      </c>
      <c r="E35" t="s">
        <v>77</v>
      </c>
      <c r="F35" t="s">
        <v>72</v>
      </c>
      <c r="G35">
        <v>0.11</v>
      </c>
      <c r="H35">
        <v>5.18</v>
      </c>
      <c r="I35">
        <v>0</v>
      </c>
      <c r="J35">
        <v>0</v>
      </c>
      <c r="K35">
        <v>5.29</v>
      </c>
      <c r="L35" t="s">
        <v>61</v>
      </c>
      <c r="M35">
        <v>195</v>
      </c>
      <c r="N35">
        <v>36.86</v>
      </c>
      <c r="O35" t="s">
        <v>68</v>
      </c>
      <c r="P35" t="s">
        <v>67</v>
      </c>
      <c r="Q35">
        <v>195</v>
      </c>
      <c r="R35">
        <v>36.86</v>
      </c>
    </row>
    <row r="36" spans="1:18" x14ac:dyDescent="0.35">
      <c r="A36" t="s">
        <v>56</v>
      </c>
      <c r="B36" t="s">
        <v>57</v>
      </c>
      <c r="C36" t="s">
        <v>70</v>
      </c>
      <c r="D36">
        <v>103783504</v>
      </c>
      <c r="E36" t="s">
        <v>77</v>
      </c>
      <c r="F36" t="s">
        <v>72</v>
      </c>
      <c r="G36">
        <v>0.11</v>
      </c>
      <c r="H36">
        <v>5.18</v>
      </c>
      <c r="I36">
        <v>0</v>
      </c>
      <c r="J36">
        <v>0</v>
      </c>
      <c r="K36">
        <v>5.29</v>
      </c>
      <c r="L36" t="s">
        <v>61</v>
      </c>
      <c r="M36">
        <v>195</v>
      </c>
      <c r="N36">
        <v>36.86</v>
      </c>
      <c r="O36" t="s">
        <v>69</v>
      </c>
      <c r="P36" t="s">
        <v>67</v>
      </c>
      <c r="Q36">
        <v>0</v>
      </c>
      <c r="R36">
        <v>0</v>
      </c>
    </row>
    <row r="37" spans="1:18" x14ac:dyDescent="0.35">
      <c r="A37" t="s">
        <v>56</v>
      </c>
      <c r="B37" t="s">
        <v>57</v>
      </c>
      <c r="C37" t="s">
        <v>70</v>
      </c>
      <c r="D37">
        <v>104378003</v>
      </c>
      <c r="E37" t="s">
        <v>582</v>
      </c>
      <c r="F37" t="s">
        <v>72</v>
      </c>
      <c r="G37">
        <v>0.08</v>
      </c>
      <c r="H37">
        <v>4.6900000000000004</v>
      </c>
      <c r="I37">
        <v>0</v>
      </c>
      <c r="J37">
        <v>0</v>
      </c>
      <c r="K37">
        <v>4.7699999999999996</v>
      </c>
      <c r="L37" t="s">
        <v>61</v>
      </c>
      <c r="M37">
        <v>157</v>
      </c>
      <c r="N37">
        <v>32.89</v>
      </c>
      <c r="O37" t="s">
        <v>62</v>
      </c>
      <c r="P37" t="s">
        <v>63</v>
      </c>
      <c r="Q37">
        <v>106</v>
      </c>
      <c r="R37">
        <v>1293.56</v>
      </c>
    </row>
    <row r="38" spans="1:18" x14ac:dyDescent="0.35">
      <c r="A38" t="s">
        <v>56</v>
      </c>
      <c r="B38" t="s">
        <v>57</v>
      </c>
      <c r="C38" t="s">
        <v>70</v>
      </c>
      <c r="D38">
        <v>104378003</v>
      </c>
      <c r="E38" t="s">
        <v>582</v>
      </c>
      <c r="F38" t="s">
        <v>72</v>
      </c>
      <c r="G38">
        <v>0.08</v>
      </c>
      <c r="H38">
        <v>4.6900000000000004</v>
      </c>
      <c r="I38">
        <v>0</v>
      </c>
      <c r="J38">
        <v>0</v>
      </c>
      <c r="K38">
        <v>4.7699999999999996</v>
      </c>
      <c r="L38" t="s">
        <v>61</v>
      </c>
      <c r="M38">
        <v>157</v>
      </c>
      <c r="N38">
        <v>32.89</v>
      </c>
      <c r="O38" t="s">
        <v>62</v>
      </c>
      <c r="P38" t="s">
        <v>64</v>
      </c>
      <c r="Q38">
        <v>933</v>
      </c>
      <c r="R38">
        <v>198.86</v>
      </c>
    </row>
    <row r="39" spans="1:18" x14ac:dyDescent="0.35">
      <c r="A39" t="s">
        <v>56</v>
      </c>
      <c r="B39" t="s">
        <v>57</v>
      </c>
      <c r="C39" t="s">
        <v>70</v>
      </c>
      <c r="D39">
        <v>104378003</v>
      </c>
      <c r="E39" t="s">
        <v>582</v>
      </c>
      <c r="F39" t="s">
        <v>72</v>
      </c>
      <c r="G39">
        <v>0.08</v>
      </c>
      <c r="H39">
        <v>4.6900000000000004</v>
      </c>
      <c r="I39">
        <v>0</v>
      </c>
      <c r="J39">
        <v>0</v>
      </c>
      <c r="K39">
        <v>4.7699999999999996</v>
      </c>
      <c r="L39" t="s">
        <v>61</v>
      </c>
      <c r="M39">
        <v>157</v>
      </c>
      <c r="N39">
        <v>32.89</v>
      </c>
      <c r="O39" t="s">
        <v>62</v>
      </c>
      <c r="P39" t="s">
        <v>65</v>
      </c>
      <c r="Q39">
        <v>0</v>
      </c>
      <c r="R39">
        <v>0</v>
      </c>
    </row>
    <row r="40" spans="1:18" x14ac:dyDescent="0.35">
      <c r="A40" t="s">
        <v>56</v>
      </c>
      <c r="B40" t="s">
        <v>57</v>
      </c>
      <c r="C40" t="s">
        <v>70</v>
      </c>
      <c r="D40">
        <v>104378003</v>
      </c>
      <c r="E40" t="s">
        <v>582</v>
      </c>
      <c r="F40" t="s">
        <v>72</v>
      </c>
      <c r="G40">
        <v>0.08</v>
      </c>
      <c r="H40">
        <v>4.6900000000000004</v>
      </c>
      <c r="I40">
        <v>0</v>
      </c>
      <c r="J40">
        <v>0</v>
      </c>
      <c r="K40">
        <v>4.7699999999999996</v>
      </c>
      <c r="L40" t="s">
        <v>61</v>
      </c>
      <c r="M40">
        <v>157</v>
      </c>
      <c r="N40">
        <v>32.89</v>
      </c>
      <c r="O40" t="s">
        <v>62</v>
      </c>
      <c r="P40" t="s">
        <v>66</v>
      </c>
      <c r="Q40">
        <v>0</v>
      </c>
      <c r="R40">
        <v>0</v>
      </c>
    </row>
    <row r="41" spans="1:18" x14ac:dyDescent="0.35">
      <c r="A41" t="s">
        <v>56</v>
      </c>
      <c r="B41" t="s">
        <v>57</v>
      </c>
      <c r="C41" t="s">
        <v>70</v>
      </c>
      <c r="D41">
        <v>104378003</v>
      </c>
      <c r="E41" t="s">
        <v>582</v>
      </c>
      <c r="F41" t="s">
        <v>72</v>
      </c>
      <c r="G41">
        <v>0.08</v>
      </c>
      <c r="H41">
        <v>4.6900000000000004</v>
      </c>
      <c r="I41">
        <v>0</v>
      </c>
      <c r="J41">
        <v>0</v>
      </c>
      <c r="K41">
        <v>4.7699999999999996</v>
      </c>
      <c r="L41" t="s">
        <v>61</v>
      </c>
      <c r="M41">
        <v>157</v>
      </c>
      <c r="N41">
        <v>32.89</v>
      </c>
      <c r="O41" t="s">
        <v>62</v>
      </c>
      <c r="P41" t="s">
        <v>67</v>
      </c>
      <c r="Q41">
        <v>1039</v>
      </c>
      <c r="R41">
        <v>217.64</v>
      </c>
    </row>
    <row r="42" spans="1:18" x14ac:dyDescent="0.35">
      <c r="A42" t="s">
        <v>56</v>
      </c>
      <c r="B42" t="s">
        <v>57</v>
      </c>
      <c r="C42" t="s">
        <v>70</v>
      </c>
      <c r="D42">
        <v>104378003</v>
      </c>
      <c r="E42" t="s">
        <v>582</v>
      </c>
      <c r="F42" t="s">
        <v>72</v>
      </c>
      <c r="G42">
        <v>0.08</v>
      </c>
      <c r="H42">
        <v>4.6900000000000004</v>
      </c>
      <c r="I42">
        <v>0</v>
      </c>
      <c r="J42">
        <v>0</v>
      </c>
      <c r="K42">
        <v>4.7699999999999996</v>
      </c>
      <c r="L42" t="s">
        <v>61</v>
      </c>
      <c r="M42">
        <v>157</v>
      </c>
      <c r="N42">
        <v>32.89</v>
      </c>
      <c r="O42" t="s">
        <v>68</v>
      </c>
      <c r="P42" t="s">
        <v>67</v>
      </c>
      <c r="Q42">
        <v>157</v>
      </c>
      <c r="R42">
        <v>32.89</v>
      </c>
    </row>
    <row r="43" spans="1:18" x14ac:dyDescent="0.35">
      <c r="A43" t="s">
        <v>56</v>
      </c>
      <c r="B43" t="s">
        <v>57</v>
      </c>
      <c r="C43" t="s">
        <v>70</v>
      </c>
      <c r="D43">
        <v>104378003</v>
      </c>
      <c r="E43" t="s">
        <v>582</v>
      </c>
      <c r="F43" t="s">
        <v>72</v>
      </c>
      <c r="G43">
        <v>0.08</v>
      </c>
      <c r="H43">
        <v>4.6900000000000004</v>
      </c>
      <c r="I43">
        <v>0</v>
      </c>
      <c r="J43">
        <v>0</v>
      </c>
      <c r="K43">
        <v>4.7699999999999996</v>
      </c>
      <c r="L43" t="s">
        <v>61</v>
      </c>
      <c r="M43">
        <v>157</v>
      </c>
      <c r="N43">
        <v>32.89</v>
      </c>
      <c r="O43" t="s">
        <v>69</v>
      </c>
      <c r="P43" t="s">
        <v>67</v>
      </c>
      <c r="Q43">
        <v>0</v>
      </c>
      <c r="R43">
        <v>0</v>
      </c>
    </row>
    <row r="44" spans="1:18" x14ac:dyDescent="0.35">
      <c r="A44" t="s">
        <v>56</v>
      </c>
      <c r="B44" t="s">
        <v>57</v>
      </c>
      <c r="C44" t="s">
        <v>58</v>
      </c>
      <c r="D44">
        <v>106550554</v>
      </c>
      <c r="E44" t="s">
        <v>583</v>
      </c>
      <c r="F44" t="s">
        <v>60</v>
      </c>
      <c r="G44">
        <v>0.4</v>
      </c>
      <c r="H44">
        <v>9.58</v>
      </c>
      <c r="I44">
        <v>0.01</v>
      </c>
      <c r="J44">
        <v>0</v>
      </c>
      <c r="K44">
        <v>10</v>
      </c>
      <c r="L44" t="s">
        <v>61</v>
      </c>
      <c r="M44">
        <v>563</v>
      </c>
      <c r="N44">
        <v>56.3</v>
      </c>
      <c r="O44" t="s">
        <v>62</v>
      </c>
      <c r="P44" t="s">
        <v>63</v>
      </c>
      <c r="Q44">
        <v>872</v>
      </c>
      <c r="R44">
        <v>2154.56</v>
      </c>
    </row>
    <row r="45" spans="1:18" x14ac:dyDescent="0.35">
      <c r="A45" t="s">
        <v>56</v>
      </c>
      <c r="B45" t="s">
        <v>57</v>
      </c>
      <c r="C45" t="s">
        <v>58</v>
      </c>
      <c r="D45">
        <v>106550554</v>
      </c>
      <c r="E45" t="s">
        <v>583</v>
      </c>
      <c r="F45" t="s">
        <v>60</v>
      </c>
      <c r="G45">
        <v>0.4</v>
      </c>
      <c r="H45">
        <v>9.58</v>
      </c>
      <c r="I45">
        <v>0.01</v>
      </c>
      <c r="J45">
        <v>0</v>
      </c>
      <c r="K45">
        <v>10</v>
      </c>
      <c r="L45" t="s">
        <v>61</v>
      </c>
      <c r="M45">
        <v>563</v>
      </c>
      <c r="N45">
        <v>56.3</v>
      </c>
      <c r="O45" t="s">
        <v>62</v>
      </c>
      <c r="P45" t="s">
        <v>64</v>
      </c>
      <c r="Q45">
        <v>3184</v>
      </c>
      <c r="R45">
        <v>332.24</v>
      </c>
    </row>
    <row r="46" spans="1:18" x14ac:dyDescent="0.35">
      <c r="A46" t="s">
        <v>56</v>
      </c>
      <c r="B46" t="s">
        <v>57</v>
      </c>
      <c r="C46" t="s">
        <v>58</v>
      </c>
      <c r="D46">
        <v>106550554</v>
      </c>
      <c r="E46" t="s">
        <v>583</v>
      </c>
      <c r="F46" t="s">
        <v>60</v>
      </c>
      <c r="G46">
        <v>0.4</v>
      </c>
      <c r="H46">
        <v>9.58</v>
      </c>
      <c r="I46">
        <v>0.01</v>
      </c>
      <c r="J46">
        <v>0</v>
      </c>
      <c r="K46">
        <v>10</v>
      </c>
      <c r="L46" t="s">
        <v>61</v>
      </c>
      <c r="M46">
        <v>563</v>
      </c>
      <c r="N46">
        <v>56.3</v>
      </c>
      <c r="O46" t="s">
        <v>62</v>
      </c>
      <c r="P46" t="s">
        <v>65</v>
      </c>
      <c r="Q46">
        <v>3</v>
      </c>
      <c r="R46">
        <v>257.14</v>
      </c>
    </row>
    <row r="47" spans="1:18" x14ac:dyDescent="0.35">
      <c r="A47" t="s">
        <v>56</v>
      </c>
      <c r="B47" t="s">
        <v>57</v>
      </c>
      <c r="C47" t="s">
        <v>58</v>
      </c>
      <c r="D47">
        <v>106550554</v>
      </c>
      <c r="E47" t="s">
        <v>583</v>
      </c>
      <c r="F47" t="s">
        <v>60</v>
      </c>
      <c r="G47">
        <v>0.4</v>
      </c>
      <c r="H47">
        <v>9.58</v>
      </c>
      <c r="I47">
        <v>0.01</v>
      </c>
      <c r="J47">
        <v>0</v>
      </c>
      <c r="K47">
        <v>10</v>
      </c>
      <c r="L47" t="s">
        <v>61</v>
      </c>
      <c r="M47">
        <v>563</v>
      </c>
      <c r="N47">
        <v>56.3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58</v>
      </c>
      <c r="D48">
        <v>106550554</v>
      </c>
      <c r="E48" t="s">
        <v>583</v>
      </c>
      <c r="F48" t="s">
        <v>60</v>
      </c>
      <c r="G48">
        <v>0.4</v>
      </c>
      <c r="H48">
        <v>9.58</v>
      </c>
      <c r="I48">
        <v>0.01</v>
      </c>
      <c r="J48">
        <v>0</v>
      </c>
      <c r="K48">
        <v>10</v>
      </c>
      <c r="L48" t="s">
        <v>61</v>
      </c>
      <c r="M48">
        <v>563</v>
      </c>
      <c r="N48">
        <v>56.3</v>
      </c>
      <c r="O48" t="s">
        <v>62</v>
      </c>
      <c r="P48" t="s">
        <v>67</v>
      </c>
      <c r="Q48">
        <v>4059</v>
      </c>
      <c r="R48">
        <v>405.9</v>
      </c>
    </row>
    <row r="49" spans="1:18" x14ac:dyDescent="0.35">
      <c r="A49" t="s">
        <v>56</v>
      </c>
      <c r="B49" t="s">
        <v>57</v>
      </c>
      <c r="C49" t="s">
        <v>58</v>
      </c>
      <c r="D49">
        <v>106550554</v>
      </c>
      <c r="E49" t="s">
        <v>583</v>
      </c>
      <c r="F49" t="s">
        <v>60</v>
      </c>
      <c r="G49">
        <v>0.4</v>
      </c>
      <c r="H49">
        <v>9.58</v>
      </c>
      <c r="I49">
        <v>0.01</v>
      </c>
      <c r="J49">
        <v>0</v>
      </c>
      <c r="K49">
        <v>10</v>
      </c>
      <c r="L49" t="s">
        <v>61</v>
      </c>
      <c r="M49">
        <v>563</v>
      </c>
      <c r="N49">
        <v>56.3</v>
      </c>
      <c r="O49" t="s">
        <v>68</v>
      </c>
      <c r="P49" t="s">
        <v>67</v>
      </c>
      <c r="Q49">
        <v>558</v>
      </c>
      <c r="R49">
        <v>55.8</v>
      </c>
    </row>
    <row r="50" spans="1:18" x14ac:dyDescent="0.35">
      <c r="A50" t="s">
        <v>56</v>
      </c>
      <c r="B50" t="s">
        <v>57</v>
      </c>
      <c r="C50" t="s">
        <v>58</v>
      </c>
      <c r="D50">
        <v>106550554</v>
      </c>
      <c r="E50" t="s">
        <v>583</v>
      </c>
      <c r="F50" t="s">
        <v>60</v>
      </c>
      <c r="G50">
        <v>0.4</v>
      </c>
      <c r="H50">
        <v>9.58</v>
      </c>
      <c r="I50">
        <v>0.01</v>
      </c>
      <c r="J50">
        <v>0</v>
      </c>
      <c r="K50">
        <v>10</v>
      </c>
      <c r="L50" t="s">
        <v>61</v>
      </c>
      <c r="M50">
        <v>563</v>
      </c>
      <c r="N50">
        <v>56.3</v>
      </c>
      <c r="O50" t="s">
        <v>69</v>
      </c>
      <c r="P50" t="s">
        <v>67</v>
      </c>
      <c r="Q50">
        <v>5</v>
      </c>
      <c r="R50">
        <v>0.5</v>
      </c>
    </row>
    <row r="51" spans="1:18" x14ac:dyDescent="0.35">
      <c r="A51" t="s">
        <v>56</v>
      </c>
      <c r="B51" t="s">
        <v>57</v>
      </c>
      <c r="C51" t="s">
        <v>58</v>
      </c>
      <c r="D51">
        <v>106636925</v>
      </c>
      <c r="E51" t="s">
        <v>88</v>
      </c>
      <c r="F51" t="s">
        <v>72</v>
      </c>
      <c r="G51">
        <v>0.36</v>
      </c>
      <c r="H51">
        <v>9.2200000000000006</v>
      </c>
      <c r="I51">
        <v>0</v>
      </c>
      <c r="J51">
        <v>0</v>
      </c>
      <c r="K51">
        <v>9.58</v>
      </c>
      <c r="L51" t="s">
        <v>61</v>
      </c>
      <c r="M51">
        <v>461</v>
      </c>
      <c r="N51">
        <v>48.13</v>
      </c>
      <c r="O51" t="s">
        <v>62</v>
      </c>
      <c r="P51" t="s">
        <v>63</v>
      </c>
      <c r="Q51">
        <v>586</v>
      </c>
      <c r="R51">
        <v>1649.41</v>
      </c>
    </row>
    <row r="52" spans="1:18" x14ac:dyDescent="0.35">
      <c r="A52" t="s">
        <v>56</v>
      </c>
      <c r="B52" t="s">
        <v>57</v>
      </c>
      <c r="C52" t="s">
        <v>58</v>
      </c>
      <c r="D52">
        <v>106636925</v>
      </c>
      <c r="E52" t="s">
        <v>88</v>
      </c>
      <c r="F52" t="s">
        <v>72</v>
      </c>
      <c r="G52">
        <v>0.36</v>
      </c>
      <c r="H52">
        <v>9.2200000000000006</v>
      </c>
      <c r="I52">
        <v>0</v>
      </c>
      <c r="J52">
        <v>0</v>
      </c>
      <c r="K52">
        <v>9.58</v>
      </c>
      <c r="L52" t="s">
        <v>61</v>
      </c>
      <c r="M52">
        <v>461</v>
      </c>
      <c r="N52">
        <v>48.13</v>
      </c>
      <c r="O52" t="s">
        <v>62</v>
      </c>
      <c r="P52" t="s">
        <v>64</v>
      </c>
      <c r="Q52">
        <v>2345</v>
      </c>
      <c r="R52">
        <v>254.25</v>
      </c>
    </row>
    <row r="53" spans="1:18" x14ac:dyDescent="0.35">
      <c r="A53" t="s">
        <v>56</v>
      </c>
      <c r="B53" t="s">
        <v>57</v>
      </c>
      <c r="C53" t="s">
        <v>58</v>
      </c>
      <c r="D53">
        <v>106636925</v>
      </c>
      <c r="E53" t="s">
        <v>88</v>
      </c>
      <c r="F53" t="s">
        <v>72</v>
      </c>
      <c r="G53">
        <v>0.36</v>
      </c>
      <c r="H53">
        <v>9.2200000000000006</v>
      </c>
      <c r="I53">
        <v>0</v>
      </c>
      <c r="J53">
        <v>0</v>
      </c>
      <c r="K53">
        <v>9.58</v>
      </c>
      <c r="L53" t="s">
        <v>61</v>
      </c>
      <c r="M53">
        <v>461</v>
      </c>
      <c r="N53">
        <v>48.13</v>
      </c>
      <c r="O53" t="s">
        <v>62</v>
      </c>
      <c r="P53" t="s">
        <v>65</v>
      </c>
      <c r="Q53">
        <v>0</v>
      </c>
      <c r="R53">
        <v>0</v>
      </c>
    </row>
    <row r="54" spans="1:18" x14ac:dyDescent="0.35">
      <c r="A54" t="s">
        <v>56</v>
      </c>
      <c r="B54" t="s">
        <v>57</v>
      </c>
      <c r="C54" t="s">
        <v>58</v>
      </c>
      <c r="D54">
        <v>106636925</v>
      </c>
      <c r="E54" t="s">
        <v>88</v>
      </c>
      <c r="F54" t="s">
        <v>72</v>
      </c>
      <c r="G54">
        <v>0.36</v>
      </c>
      <c r="H54">
        <v>9.2200000000000006</v>
      </c>
      <c r="I54">
        <v>0</v>
      </c>
      <c r="J54">
        <v>0</v>
      </c>
      <c r="K54">
        <v>9.58</v>
      </c>
      <c r="L54" t="s">
        <v>61</v>
      </c>
      <c r="M54">
        <v>461</v>
      </c>
      <c r="N54">
        <v>48.13</v>
      </c>
      <c r="O54" t="s">
        <v>62</v>
      </c>
      <c r="P54" t="s">
        <v>66</v>
      </c>
      <c r="Q54">
        <v>0</v>
      </c>
      <c r="R54">
        <v>0</v>
      </c>
    </row>
    <row r="55" spans="1:18" x14ac:dyDescent="0.35">
      <c r="A55" t="s">
        <v>56</v>
      </c>
      <c r="B55" t="s">
        <v>57</v>
      </c>
      <c r="C55" t="s">
        <v>58</v>
      </c>
      <c r="D55">
        <v>106636925</v>
      </c>
      <c r="E55" t="s">
        <v>88</v>
      </c>
      <c r="F55" t="s">
        <v>72</v>
      </c>
      <c r="G55">
        <v>0.36</v>
      </c>
      <c r="H55">
        <v>9.2200000000000006</v>
      </c>
      <c r="I55">
        <v>0</v>
      </c>
      <c r="J55">
        <v>0</v>
      </c>
      <c r="K55">
        <v>9.58</v>
      </c>
      <c r="L55" t="s">
        <v>61</v>
      </c>
      <c r="M55">
        <v>461</v>
      </c>
      <c r="N55">
        <v>48.13</v>
      </c>
      <c r="O55" t="s">
        <v>62</v>
      </c>
      <c r="P55" t="s">
        <v>67</v>
      </c>
      <c r="Q55">
        <v>2931</v>
      </c>
      <c r="R55">
        <v>305.99</v>
      </c>
    </row>
    <row r="56" spans="1:18" x14ac:dyDescent="0.35">
      <c r="A56" t="s">
        <v>56</v>
      </c>
      <c r="B56" t="s">
        <v>57</v>
      </c>
      <c r="C56" t="s">
        <v>58</v>
      </c>
      <c r="D56">
        <v>106636925</v>
      </c>
      <c r="E56" t="s">
        <v>88</v>
      </c>
      <c r="F56" t="s">
        <v>72</v>
      </c>
      <c r="G56">
        <v>0.36</v>
      </c>
      <c r="H56">
        <v>9.2200000000000006</v>
      </c>
      <c r="I56">
        <v>0</v>
      </c>
      <c r="J56">
        <v>0</v>
      </c>
      <c r="K56">
        <v>9.58</v>
      </c>
      <c r="L56" t="s">
        <v>61</v>
      </c>
      <c r="M56">
        <v>461</v>
      </c>
      <c r="N56">
        <v>48.13</v>
      </c>
      <c r="O56" t="s">
        <v>68</v>
      </c>
      <c r="P56" t="s">
        <v>67</v>
      </c>
      <c r="Q56">
        <v>461</v>
      </c>
      <c r="R56">
        <v>48.13</v>
      </c>
    </row>
    <row r="57" spans="1:18" x14ac:dyDescent="0.35">
      <c r="A57" t="s">
        <v>56</v>
      </c>
      <c r="B57" t="s">
        <v>57</v>
      </c>
      <c r="C57" t="s">
        <v>58</v>
      </c>
      <c r="D57">
        <v>106636925</v>
      </c>
      <c r="E57" t="s">
        <v>88</v>
      </c>
      <c r="F57" t="s">
        <v>72</v>
      </c>
      <c r="G57">
        <v>0.36</v>
      </c>
      <c r="H57">
        <v>9.2200000000000006</v>
      </c>
      <c r="I57">
        <v>0</v>
      </c>
      <c r="J57">
        <v>0</v>
      </c>
      <c r="K57">
        <v>9.58</v>
      </c>
      <c r="L57" t="s">
        <v>61</v>
      </c>
      <c r="M57">
        <v>461</v>
      </c>
      <c r="N57">
        <v>48.13</v>
      </c>
      <c r="O57" t="s">
        <v>69</v>
      </c>
      <c r="P57" t="s">
        <v>67</v>
      </c>
      <c r="Q57">
        <v>0</v>
      </c>
      <c r="R57">
        <v>0</v>
      </c>
    </row>
    <row r="58" spans="1:18" x14ac:dyDescent="0.35">
      <c r="A58" t="s">
        <v>56</v>
      </c>
      <c r="B58" t="s">
        <v>57</v>
      </c>
      <c r="C58" t="s">
        <v>70</v>
      </c>
      <c r="D58">
        <v>106640096</v>
      </c>
      <c r="E58" t="s">
        <v>89</v>
      </c>
      <c r="F58" t="s">
        <v>72</v>
      </c>
      <c r="G58">
        <v>0.63</v>
      </c>
      <c r="H58">
        <v>7.81</v>
      </c>
      <c r="I58">
        <v>0</v>
      </c>
      <c r="J58">
        <v>0</v>
      </c>
      <c r="K58">
        <v>8.44</v>
      </c>
      <c r="L58" t="s">
        <v>61</v>
      </c>
      <c r="M58">
        <v>371</v>
      </c>
      <c r="N58">
        <v>43.94</v>
      </c>
      <c r="O58" t="s">
        <v>62</v>
      </c>
      <c r="P58" t="s">
        <v>63</v>
      </c>
      <c r="Q58">
        <v>917</v>
      </c>
      <c r="R58">
        <v>1452.35</v>
      </c>
    </row>
    <row r="59" spans="1:18" x14ac:dyDescent="0.35">
      <c r="A59" t="s">
        <v>56</v>
      </c>
      <c r="B59" t="s">
        <v>57</v>
      </c>
      <c r="C59" t="s">
        <v>70</v>
      </c>
      <c r="D59">
        <v>106640096</v>
      </c>
      <c r="E59" t="s">
        <v>89</v>
      </c>
      <c r="F59" t="s">
        <v>72</v>
      </c>
      <c r="G59">
        <v>0.63</v>
      </c>
      <c r="H59">
        <v>7.81</v>
      </c>
      <c r="I59">
        <v>0</v>
      </c>
      <c r="J59">
        <v>0</v>
      </c>
      <c r="K59">
        <v>8.44</v>
      </c>
      <c r="L59" t="s">
        <v>61</v>
      </c>
      <c r="M59">
        <v>371</v>
      </c>
      <c r="N59">
        <v>43.94</v>
      </c>
      <c r="O59" t="s">
        <v>62</v>
      </c>
      <c r="P59" t="s">
        <v>64</v>
      </c>
      <c r="Q59">
        <v>1749</v>
      </c>
      <c r="R59">
        <v>223.88</v>
      </c>
    </row>
    <row r="60" spans="1:18" x14ac:dyDescent="0.35">
      <c r="A60" t="s">
        <v>56</v>
      </c>
      <c r="B60" t="s">
        <v>57</v>
      </c>
      <c r="C60" t="s">
        <v>70</v>
      </c>
      <c r="D60">
        <v>106640096</v>
      </c>
      <c r="E60" t="s">
        <v>89</v>
      </c>
      <c r="F60" t="s">
        <v>72</v>
      </c>
      <c r="G60">
        <v>0.63</v>
      </c>
      <c r="H60">
        <v>7.81</v>
      </c>
      <c r="I60">
        <v>0</v>
      </c>
      <c r="J60">
        <v>0</v>
      </c>
      <c r="K60">
        <v>8.44</v>
      </c>
      <c r="L60" t="s">
        <v>61</v>
      </c>
      <c r="M60">
        <v>371</v>
      </c>
      <c r="N60">
        <v>43.94</v>
      </c>
      <c r="O60" t="s">
        <v>62</v>
      </c>
      <c r="P60" t="s">
        <v>65</v>
      </c>
      <c r="Q60">
        <v>0</v>
      </c>
      <c r="R60">
        <v>0</v>
      </c>
    </row>
    <row r="61" spans="1:18" x14ac:dyDescent="0.35">
      <c r="A61" t="s">
        <v>56</v>
      </c>
      <c r="B61" t="s">
        <v>57</v>
      </c>
      <c r="C61" t="s">
        <v>70</v>
      </c>
      <c r="D61">
        <v>106640096</v>
      </c>
      <c r="E61" t="s">
        <v>89</v>
      </c>
      <c r="F61" t="s">
        <v>72</v>
      </c>
      <c r="G61">
        <v>0.63</v>
      </c>
      <c r="H61">
        <v>7.81</v>
      </c>
      <c r="I61">
        <v>0</v>
      </c>
      <c r="J61">
        <v>0</v>
      </c>
      <c r="K61">
        <v>8.44</v>
      </c>
      <c r="L61" t="s">
        <v>61</v>
      </c>
      <c r="M61">
        <v>371</v>
      </c>
      <c r="N61">
        <v>43.94</v>
      </c>
      <c r="O61" t="s">
        <v>62</v>
      </c>
      <c r="P61" t="s">
        <v>66</v>
      </c>
      <c r="Q61">
        <v>0</v>
      </c>
      <c r="R61">
        <v>0</v>
      </c>
    </row>
    <row r="62" spans="1:18" x14ac:dyDescent="0.35">
      <c r="A62" t="s">
        <v>56</v>
      </c>
      <c r="B62" t="s">
        <v>57</v>
      </c>
      <c r="C62" t="s">
        <v>70</v>
      </c>
      <c r="D62">
        <v>106640096</v>
      </c>
      <c r="E62" t="s">
        <v>89</v>
      </c>
      <c r="F62" t="s">
        <v>72</v>
      </c>
      <c r="G62">
        <v>0.63</v>
      </c>
      <c r="H62">
        <v>7.81</v>
      </c>
      <c r="I62">
        <v>0</v>
      </c>
      <c r="J62">
        <v>0</v>
      </c>
      <c r="K62">
        <v>8.44</v>
      </c>
      <c r="L62" t="s">
        <v>61</v>
      </c>
      <c r="M62">
        <v>371</v>
      </c>
      <c r="N62">
        <v>43.94</v>
      </c>
      <c r="O62" t="s">
        <v>62</v>
      </c>
      <c r="P62" t="s">
        <v>67</v>
      </c>
      <c r="Q62">
        <v>2666</v>
      </c>
      <c r="R62">
        <v>315.73</v>
      </c>
    </row>
    <row r="63" spans="1:18" x14ac:dyDescent="0.35">
      <c r="A63" t="s">
        <v>56</v>
      </c>
      <c r="B63" t="s">
        <v>57</v>
      </c>
      <c r="C63" t="s">
        <v>70</v>
      </c>
      <c r="D63">
        <v>106640096</v>
      </c>
      <c r="E63" t="s">
        <v>89</v>
      </c>
      <c r="F63" t="s">
        <v>72</v>
      </c>
      <c r="G63">
        <v>0.63</v>
      </c>
      <c r="H63">
        <v>7.81</v>
      </c>
      <c r="I63">
        <v>0</v>
      </c>
      <c r="J63">
        <v>0</v>
      </c>
      <c r="K63">
        <v>8.44</v>
      </c>
      <c r="L63" t="s">
        <v>61</v>
      </c>
      <c r="M63">
        <v>371</v>
      </c>
      <c r="N63">
        <v>43.94</v>
      </c>
      <c r="O63" t="s">
        <v>68</v>
      </c>
      <c r="P63" t="s">
        <v>67</v>
      </c>
      <c r="Q63">
        <v>371</v>
      </c>
      <c r="R63">
        <v>43.94</v>
      </c>
    </row>
    <row r="64" spans="1:18" x14ac:dyDescent="0.35">
      <c r="A64" t="s">
        <v>56</v>
      </c>
      <c r="B64" t="s">
        <v>57</v>
      </c>
      <c r="C64" t="s">
        <v>70</v>
      </c>
      <c r="D64">
        <v>106640096</v>
      </c>
      <c r="E64" t="s">
        <v>89</v>
      </c>
      <c r="F64" t="s">
        <v>72</v>
      </c>
      <c r="G64">
        <v>0.63</v>
      </c>
      <c r="H64">
        <v>7.81</v>
      </c>
      <c r="I64">
        <v>0</v>
      </c>
      <c r="J64">
        <v>0</v>
      </c>
      <c r="K64">
        <v>8.44</v>
      </c>
      <c r="L64" t="s">
        <v>61</v>
      </c>
      <c r="M64">
        <v>371</v>
      </c>
      <c r="N64">
        <v>43.94</v>
      </c>
      <c r="O64" t="s">
        <v>69</v>
      </c>
      <c r="P64" t="s">
        <v>67</v>
      </c>
      <c r="Q64">
        <v>0</v>
      </c>
      <c r="R64">
        <v>0</v>
      </c>
    </row>
    <row r="65" spans="1:18" x14ac:dyDescent="0.35">
      <c r="A65" t="s">
        <v>56</v>
      </c>
      <c r="B65" t="s">
        <v>57</v>
      </c>
      <c r="C65" t="s">
        <v>70</v>
      </c>
      <c r="D65">
        <v>106660730</v>
      </c>
      <c r="E65" t="s">
        <v>584</v>
      </c>
      <c r="F65" t="s">
        <v>72</v>
      </c>
      <c r="G65">
        <v>0.52</v>
      </c>
      <c r="H65">
        <v>6.15</v>
      </c>
      <c r="I65">
        <v>0.28000000000000003</v>
      </c>
      <c r="J65">
        <v>0</v>
      </c>
      <c r="K65">
        <v>6.95</v>
      </c>
      <c r="L65" t="s">
        <v>61</v>
      </c>
      <c r="M65">
        <v>236</v>
      </c>
      <c r="N65">
        <v>33.94</v>
      </c>
      <c r="O65" t="s">
        <v>62</v>
      </c>
      <c r="P65" t="s">
        <v>63</v>
      </c>
      <c r="Q65">
        <v>652</v>
      </c>
      <c r="R65">
        <v>1256.53</v>
      </c>
    </row>
    <row r="66" spans="1:18" x14ac:dyDescent="0.35">
      <c r="A66" t="s">
        <v>56</v>
      </c>
      <c r="B66" t="s">
        <v>57</v>
      </c>
      <c r="C66" t="s">
        <v>70</v>
      </c>
      <c r="D66">
        <v>106660730</v>
      </c>
      <c r="E66" t="s">
        <v>584</v>
      </c>
      <c r="F66" t="s">
        <v>72</v>
      </c>
      <c r="G66">
        <v>0.52</v>
      </c>
      <c r="H66">
        <v>6.15</v>
      </c>
      <c r="I66">
        <v>0.28000000000000003</v>
      </c>
      <c r="J66">
        <v>0</v>
      </c>
      <c r="K66">
        <v>6.95</v>
      </c>
      <c r="L66" t="s">
        <v>61</v>
      </c>
      <c r="M66">
        <v>236</v>
      </c>
      <c r="N66">
        <v>33.94</v>
      </c>
      <c r="O66" t="s">
        <v>62</v>
      </c>
      <c r="P66" t="s">
        <v>64</v>
      </c>
      <c r="Q66">
        <v>1192</v>
      </c>
      <c r="R66">
        <v>193.77</v>
      </c>
    </row>
    <row r="67" spans="1:18" x14ac:dyDescent="0.35">
      <c r="A67" t="s">
        <v>56</v>
      </c>
      <c r="B67" t="s">
        <v>57</v>
      </c>
      <c r="C67" t="s">
        <v>70</v>
      </c>
      <c r="D67">
        <v>106660730</v>
      </c>
      <c r="E67" t="s">
        <v>584</v>
      </c>
      <c r="F67" t="s">
        <v>72</v>
      </c>
      <c r="G67">
        <v>0.52</v>
      </c>
      <c r="H67">
        <v>6.15</v>
      </c>
      <c r="I67">
        <v>0.28000000000000003</v>
      </c>
      <c r="J67">
        <v>0</v>
      </c>
      <c r="K67">
        <v>6.95</v>
      </c>
      <c r="L67" t="s">
        <v>61</v>
      </c>
      <c r="M67">
        <v>236</v>
      </c>
      <c r="N67">
        <v>33.94</v>
      </c>
      <c r="O67" t="s">
        <v>62</v>
      </c>
      <c r="P67" t="s">
        <v>65</v>
      </c>
      <c r="Q67">
        <v>42</v>
      </c>
      <c r="R67">
        <v>148.53</v>
      </c>
    </row>
    <row r="68" spans="1:18" x14ac:dyDescent="0.35">
      <c r="A68" t="s">
        <v>56</v>
      </c>
      <c r="B68" t="s">
        <v>57</v>
      </c>
      <c r="C68" t="s">
        <v>70</v>
      </c>
      <c r="D68">
        <v>106660730</v>
      </c>
      <c r="E68" t="s">
        <v>584</v>
      </c>
      <c r="F68" t="s">
        <v>72</v>
      </c>
      <c r="G68">
        <v>0.52</v>
      </c>
      <c r="H68">
        <v>6.15</v>
      </c>
      <c r="I68">
        <v>0.28000000000000003</v>
      </c>
      <c r="J68">
        <v>0</v>
      </c>
      <c r="K68">
        <v>6.95</v>
      </c>
      <c r="L68" t="s">
        <v>61</v>
      </c>
      <c r="M68">
        <v>236</v>
      </c>
      <c r="N68">
        <v>33.94</v>
      </c>
      <c r="O68" t="s">
        <v>62</v>
      </c>
      <c r="P68" t="s">
        <v>66</v>
      </c>
      <c r="Q68">
        <v>0</v>
      </c>
      <c r="R68">
        <v>0</v>
      </c>
    </row>
    <row r="69" spans="1:18" x14ac:dyDescent="0.35">
      <c r="A69" t="s">
        <v>56</v>
      </c>
      <c r="B69" t="s">
        <v>57</v>
      </c>
      <c r="C69" t="s">
        <v>70</v>
      </c>
      <c r="D69">
        <v>106660730</v>
      </c>
      <c r="E69" t="s">
        <v>584</v>
      </c>
      <c r="F69" t="s">
        <v>72</v>
      </c>
      <c r="G69">
        <v>0.52</v>
      </c>
      <c r="H69">
        <v>6.15</v>
      </c>
      <c r="I69">
        <v>0.28000000000000003</v>
      </c>
      <c r="J69">
        <v>0</v>
      </c>
      <c r="K69">
        <v>6.95</v>
      </c>
      <c r="L69" t="s">
        <v>61</v>
      </c>
      <c r="M69">
        <v>236</v>
      </c>
      <c r="N69">
        <v>33.94</v>
      </c>
      <c r="O69" t="s">
        <v>62</v>
      </c>
      <c r="P69" t="s">
        <v>67</v>
      </c>
      <c r="Q69">
        <v>1886</v>
      </c>
      <c r="R69">
        <v>271.22000000000003</v>
      </c>
    </row>
    <row r="70" spans="1:18" x14ac:dyDescent="0.35">
      <c r="A70" t="s">
        <v>56</v>
      </c>
      <c r="B70" t="s">
        <v>57</v>
      </c>
      <c r="C70" t="s">
        <v>70</v>
      </c>
      <c r="D70">
        <v>106660730</v>
      </c>
      <c r="E70" t="s">
        <v>584</v>
      </c>
      <c r="F70" t="s">
        <v>72</v>
      </c>
      <c r="G70">
        <v>0.52</v>
      </c>
      <c r="H70">
        <v>6.15</v>
      </c>
      <c r="I70">
        <v>0.28000000000000003</v>
      </c>
      <c r="J70">
        <v>0</v>
      </c>
      <c r="K70">
        <v>6.95</v>
      </c>
      <c r="L70" t="s">
        <v>61</v>
      </c>
      <c r="M70">
        <v>236</v>
      </c>
      <c r="N70">
        <v>33.94</v>
      </c>
      <c r="O70" t="s">
        <v>68</v>
      </c>
      <c r="P70" t="s">
        <v>67</v>
      </c>
      <c r="Q70">
        <v>236</v>
      </c>
      <c r="R70">
        <v>33.94</v>
      </c>
    </row>
    <row r="71" spans="1:18" x14ac:dyDescent="0.35">
      <c r="A71" t="s">
        <v>56</v>
      </c>
      <c r="B71" t="s">
        <v>57</v>
      </c>
      <c r="C71" t="s">
        <v>70</v>
      </c>
      <c r="D71">
        <v>106660730</v>
      </c>
      <c r="E71" t="s">
        <v>584</v>
      </c>
      <c r="F71" t="s">
        <v>72</v>
      </c>
      <c r="G71">
        <v>0.52</v>
      </c>
      <c r="H71">
        <v>6.15</v>
      </c>
      <c r="I71">
        <v>0.28000000000000003</v>
      </c>
      <c r="J71">
        <v>0</v>
      </c>
      <c r="K71">
        <v>6.95</v>
      </c>
      <c r="L71" t="s">
        <v>61</v>
      </c>
      <c r="M71">
        <v>236</v>
      </c>
      <c r="N71">
        <v>33.94</v>
      </c>
      <c r="O71" t="s">
        <v>69</v>
      </c>
      <c r="P71" t="s">
        <v>67</v>
      </c>
      <c r="Q71">
        <v>0</v>
      </c>
      <c r="R71">
        <v>0</v>
      </c>
    </row>
    <row r="72" spans="1:18" x14ac:dyDescent="0.35">
      <c r="A72" t="s">
        <v>56</v>
      </c>
      <c r="B72" t="s">
        <v>57</v>
      </c>
      <c r="C72" t="s">
        <v>58</v>
      </c>
      <c r="D72">
        <v>107065561</v>
      </c>
      <c r="E72" t="s">
        <v>585</v>
      </c>
      <c r="F72" t="s">
        <v>80</v>
      </c>
      <c r="G72">
        <v>0.12</v>
      </c>
      <c r="H72">
        <v>9.44</v>
      </c>
      <c r="I72">
        <v>0</v>
      </c>
      <c r="J72">
        <v>0</v>
      </c>
      <c r="K72">
        <v>9.57</v>
      </c>
      <c r="L72" t="s">
        <v>61</v>
      </c>
      <c r="M72">
        <v>199</v>
      </c>
      <c r="N72">
        <v>20.8</v>
      </c>
      <c r="O72" t="s">
        <v>62</v>
      </c>
      <c r="P72" t="s">
        <v>63</v>
      </c>
      <c r="Q72">
        <v>107</v>
      </c>
      <c r="R72">
        <v>863.68</v>
      </c>
    </row>
    <row r="73" spans="1:18" x14ac:dyDescent="0.35">
      <c r="A73" t="s">
        <v>56</v>
      </c>
      <c r="B73" t="s">
        <v>57</v>
      </c>
      <c r="C73" t="s">
        <v>58</v>
      </c>
      <c r="D73">
        <v>107065561</v>
      </c>
      <c r="E73" t="s">
        <v>585</v>
      </c>
      <c r="F73" t="s">
        <v>80</v>
      </c>
      <c r="G73">
        <v>0.12</v>
      </c>
      <c r="H73">
        <v>9.44</v>
      </c>
      <c r="I73">
        <v>0</v>
      </c>
      <c r="J73">
        <v>0</v>
      </c>
      <c r="K73">
        <v>9.57</v>
      </c>
      <c r="L73" t="s">
        <v>61</v>
      </c>
      <c r="M73">
        <v>199</v>
      </c>
      <c r="N73">
        <v>20.8</v>
      </c>
      <c r="O73" t="s">
        <v>62</v>
      </c>
      <c r="P73" t="s">
        <v>64</v>
      </c>
      <c r="Q73">
        <v>1257</v>
      </c>
      <c r="R73">
        <v>133.12</v>
      </c>
    </row>
    <row r="74" spans="1:18" x14ac:dyDescent="0.35">
      <c r="A74" t="s">
        <v>56</v>
      </c>
      <c r="B74" t="s">
        <v>57</v>
      </c>
      <c r="C74" t="s">
        <v>58</v>
      </c>
      <c r="D74">
        <v>107065561</v>
      </c>
      <c r="E74" t="s">
        <v>585</v>
      </c>
      <c r="F74" t="s">
        <v>80</v>
      </c>
      <c r="G74">
        <v>0.12</v>
      </c>
      <c r="H74">
        <v>9.44</v>
      </c>
      <c r="I74">
        <v>0</v>
      </c>
      <c r="J74">
        <v>0</v>
      </c>
      <c r="K74">
        <v>9.57</v>
      </c>
      <c r="L74" t="s">
        <v>61</v>
      </c>
      <c r="M74">
        <v>199</v>
      </c>
      <c r="N74">
        <v>20.8</v>
      </c>
      <c r="O74" t="s">
        <v>62</v>
      </c>
      <c r="P74" t="s">
        <v>65</v>
      </c>
      <c r="Q74">
        <v>0</v>
      </c>
      <c r="R74">
        <v>0</v>
      </c>
    </row>
    <row r="75" spans="1:18" x14ac:dyDescent="0.35">
      <c r="A75" t="s">
        <v>56</v>
      </c>
      <c r="B75" t="s">
        <v>57</v>
      </c>
      <c r="C75" t="s">
        <v>58</v>
      </c>
      <c r="D75">
        <v>107065561</v>
      </c>
      <c r="E75" t="s">
        <v>585</v>
      </c>
      <c r="F75" t="s">
        <v>80</v>
      </c>
      <c r="G75">
        <v>0.12</v>
      </c>
      <c r="H75">
        <v>9.44</v>
      </c>
      <c r="I75">
        <v>0</v>
      </c>
      <c r="J75">
        <v>0</v>
      </c>
      <c r="K75">
        <v>9.57</v>
      </c>
      <c r="L75" t="s">
        <v>61</v>
      </c>
      <c r="M75">
        <v>199</v>
      </c>
      <c r="N75">
        <v>20.8</v>
      </c>
      <c r="O75" t="s">
        <v>62</v>
      </c>
      <c r="P75" t="s">
        <v>66</v>
      </c>
      <c r="Q75">
        <v>0</v>
      </c>
      <c r="R75">
        <v>0</v>
      </c>
    </row>
    <row r="76" spans="1:18" x14ac:dyDescent="0.35">
      <c r="A76" t="s">
        <v>56</v>
      </c>
      <c r="B76" t="s">
        <v>57</v>
      </c>
      <c r="C76" t="s">
        <v>58</v>
      </c>
      <c r="D76">
        <v>107065561</v>
      </c>
      <c r="E76" t="s">
        <v>585</v>
      </c>
      <c r="F76" t="s">
        <v>80</v>
      </c>
      <c r="G76">
        <v>0.12</v>
      </c>
      <c r="H76">
        <v>9.44</v>
      </c>
      <c r="I76">
        <v>0</v>
      </c>
      <c r="J76">
        <v>0</v>
      </c>
      <c r="K76">
        <v>9.57</v>
      </c>
      <c r="L76" t="s">
        <v>61</v>
      </c>
      <c r="M76">
        <v>199</v>
      </c>
      <c r="N76">
        <v>20.8</v>
      </c>
      <c r="O76" t="s">
        <v>62</v>
      </c>
      <c r="P76" t="s">
        <v>67</v>
      </c>
      <c r="Q76">
        <v>1364</v>
      </c>
      <c r="R76">
        <v>142.58000000000001</v>
      </c>
    </row>
    <row r="77" spans="1:18" x14ac:dyDescent="0.35">
      <c r="A77" t="s">
        <v>56</v>
      </c>
      <c r="B77" t="s">
        <v>57</v>
      </c>
      <c r="C77" t="s">
        <v>58</v>
      </c>
      <c r="D77">
        <v>107065561</v>
      </c>
      <c r="E77" t="s">
        <v>585</v>
      </c>
      <c r="F77" t="s">
        <v>80</v>
      </c>
      <c r="G77">
        <v>0.12</v>
      </c>
      <c r="H77">
        <v>9.44</v>
      </c>
      <c r="I77">
        <v>0</v>
      </c>
      <c r="J77">
        <v>0</v>
      </c>
      <c r="K77">
        <v>9.57</v>
      </c>
      <c r="L77" t="s">
        <v>61</v>
      </c>
      <c r="M77">
        <v>199</v>
      </c>
      <c r="N77">
        <v>20.8</v>
      </c>
      <c r="O77" t="s">
        <v>68</v>
      </c>
      <c r="P77" t="s">
        <v>67</v>
      </c>
      <c r="Q77">
        <v>199</v>
      </c>
      <c r="R77">
        <v>20.8</v>
      </c>
    </row>
    <row r="78" spans="1:18" x14ac:dyDescent="0.35">
      <c r="A78" t="s">
        <v>56</v>
      </c>
      <c r="B78" t="s">
        <v>57</v>
      </c>
      <c r="C78" t="s">
        <v>58</v>
      </c>
      <c r="D78">
        <v>107065561</v>
      </c>
      <c r="E78" t="s">
        <v>585</v>
      </c>
      <c r="F78" t="s">
        <v>80</v>
      </c>
      <c r="G78">
        <v>0.12</v>
      </c>
      <c r="H78">
        <v>9.44</v>
      </c>
      <c r="I78">
        <v>0</v>
      </c>
      <c r="J78">
        <v>0</v>
      </c>
      <c r="K78">
        <v>9.57</v>
      </c>
      <c r="L78" t="s">
        <v>61</v>
      </c>
      <c r="M78">
        <v>199</v>
      </c>
      <c r="N78">
        <v>20.8</v>
      </c>
      <c r="O78" t="s">
        <v>69</v>
      </c>
      <c r="P78" t="s">
        <v>67</v>
      </c>
      <c r="Q78">
        <v>0</v>
      </c>
      <c r="R78">
        <v>0</v>
      </c>
    </row>
    <row r="79" spans="1:18" x14ac:dyDescent="0.35">
      <c r="A79" t="s">
        <v>56</v>
      </c>
      <c r="B79" t="s">
        <v>57</v>
      </c>
      <c r="C79" t="s">
        <v>70</v>
      </c>
      <c r="D79">
        <v>107102430</v>
      </c>
      <c r="E79" t="s">
        <v>90</v>
      </c>
      <c r="F79" t="s">
        <v>72</v>
      </c>
      <c r="G79">
        <v>0.24</v>
      </c>
      <c r="H79">
        <v>9.35</v>
      </c>
      <c r="I79">
        <v>0.02</v>
      </c>
      <c r="J79">
        <v>0</v>
      </c>
      <c r="K79">
        <v>9.6199999999999992</v>
      </c>
      <c r="L79" t="s">
        <v>61</v>
      </c>
      <c r="M79">
        <v>455</v>
      </c>
      <c r="N79">
        <v>47.32</v>
      </c>
      <c r="O79" t="s">
        <v>62</v>
      </c>
      <c r="P79" t="s">
        <v>63</v>
      </c>
      <c r="Q79">
        <v>443</v>
      </c>
      <c r="R79">
        <v>1814.33</v>
      </c>
    </row>
    <row r="80" spans="1:18" x14ac:dyDescent="0.35">
      <c r="A80" t="s">
        <v>56</v>
      </c>
      <c r="B80" t="s">
        <v>57</v>
      </c>
      <c r="C80" t="s">
        <v>70</v>
      </c>
      <c r="D80">
        <v>107102430</v>
      </c>
      <c r="E80" t="s">
        <v>90</v>
      </c>
      <c r="F80" t="s">
        <v>72</v>
      </c>
      <c r="G80">
        <v>0.24</v>
      </c>
      <c r="H80">
        <v>9.35</v>
      </c>
      <c r="I80">
        <v>0.02</v>
      </c>
      <c r="J80">
        <v>0</v>
      </c>
      <c r="K80">
        <v>9.6199999999999992</v>
      </c>
      <c r="L80" t="s">
        <v>61</v>
      </c>
      <c r="M80">
        <v>455</v>
      </c>
      <c r="N80">
        <v>47.32</v>
      </c>
      <c r="O80" t="s">
        <v>62</v>
      </c>
      <c r="P80" t="s">
        <v>64</v>
      </c>
      <c r="Q80">
        <v>2614</v>
      </c>
      <c r="R80">
        <v>279.61</v>
      </c>
    </row>
    <row r="81" spans="1:18" x14ac:dyDescent="0.35">
      <c r="A81" t="s">
        <v>56</v>
      </c>
      <c r="B81" t="s">
        <v>57</v>
      </c>
      <c r="C81" t="s">
        <v>70</v>
      </c>
      <c r="D81">
        <v>107102430</v>
      </c>
      <c r="E81" t="s">
        <v>90</v>
      </c>
      <c r="F81" t="s">
        <v>72</v>
      </c>
      <c r="G81">
        <v>0.24</v>
      </c>
      <c r="H81">
        <v>9.35</v>
      </c>
      <c r="I81">
        <v>0.02</v>
      </c>
      <c r="J81">
        <v>0</v>
      </c>
      <c r="K81">
        <v>9.6199999999999992</v>
      </c>
      <c r="L81" t="s">
        <v>61</v>
      </c>
      <c r="M81">
        <v>455</v>
      </c>
      <c r="N81">
        <v>47.32</v>
      </c>
      <c r="O81" t="s">
        <v>62</v>
      </c>
      <c r="P81" t="s">
        <v>65</v>
      </c>
      <c r="Q81">
        <v>5</v>
      </c>
      <c r="R81">
        <v>214.29</v>
      </c>
    </row>
    <row r="82" spans="1:18" x14ac:dyDescent="0.35">
      <c r="A82" t="s">
        <v>56</v>
      </c>
      <c r="B82" t="s">
        <v>57</v>
      </c>
      <c r="C82" t="s">
        <v>70</v>
      </c>
      <c r="D82">
        <v>107102430</v>
      </c>
      <c r="E82" t="s">
        <v>90</v>
      </c>
      <c r="F82" t="s">
        <v>72</v>
      </c>
      <c r="G82">
        <v>0.24</v>
      </c>
      <c r="H82">
        <v>9.35</v>
      </c>
      <c r="I82">
        <v>0.02</v>
      </c>
      <c r="J82">
        <v>0</v>
      </c>
      <c r="K82">
        <v>9.6199999999999992</v>
      </c>
      <c r="L82" t="s">
        <v>61</v>
      </c>
      <c r="M82">
        <v>455</v>
      </c>
      <c r="N82">
        <v>47.32</v>
      </c>
      <c r="O82" t="s">
        <v>62</v>
      </c>
      <c r="P82" t="s">
        <v>66</v>
      </c>
      <c r="Q82">
        <v>0</v>
      </c>
      <c r="R82">
        <v>0</v>
      </c>
    </row>
    <row r="83" spans="1:18" x14ac:dyDescent="0.35">
      <c r="A83" t="s">
        <v>56</v>
      </c>
      <c r="B83" t="s">
        <v>57</v>
      </c>
      <c r="C83" t="s">
        <v>70</v>
      </c>
      <c r="D83">
        <v>107102430</v>
      </c>
      <c r="E83" t="s">
        <v>90</v>
      </c>
      <c r="F83" t="s">
        <v>72</v>
      </c>
      <c r="G83">
        <v>0.24</v>
      </c>
      <c r="H83">
        <v>9.35</v>
      </c>
      <c r="I83">
        <v>0.02</v>
      </c>
      <c r="J83">
        <v>0</v>
      </c>
      <c r="K83">
        <v>9.6199999999999992</v>
      </c>
      <c r="L83" t="s">
        <v>61</v>
      </c>
      <c r="M83">
        <v>455</v>
      </c>
      <c r="N83">
        <v>47.32</v>
      </c>
      <c r="O83" t="s">
        <v>62</v>
      </c>
      <c r="P83" t="s">
        <v>67</v>
      </c>
      <c r="Q83">
        <v>3062</v>
      </c>
      <c r="R83">
        <v>318.41000000000003</v>
      </c>
    </row>
    <row r="84" spans="1:18" x14ac:dyDescent="0.35">
      <c r="A84" t="s">
        <v>56</v>
      </c>
      <c r="B84" t="s">
        <v>57</v>
      </c>
      <c r="C84" t="s">
        <v>70</v>
      </c>
      <c r="D84">
        <v>107102430</v>
      </c>
      <c r="E84" t="s">
        <v>90</v>
      </c>
      <c r="F84" t="s">
        <v>72</v>
      </c>
      <c r="G84">
        <v>0.24</v>
      </c>
      <c r="H84">
        <v>9.35</v>
      </c>
      <c r="I84">
        <v>0.02</v>
      </c>
      <c r="J84">
        <v>0</v>
      </c>
      <c r="K84">
        <v>9.6199999999999992</v>
      </c>
      <c r="L84" t="s">
        <v>61</v>
      </c>
      <c r="M84">
        <v>455</v>
      </c>
      <c r="N84">
        <v>47.32</v>
      </c>
      <c r="O84" t="s">
        <v>68</v>
      </c>
      <c r="P84" t="s">
        <v>67</v>
      </c>
      <c r="Q84">
        <v>455</v>
      </c>
      <c r="R84">
        <v>47.32</v>
      </c>
    </row>
    <row r="85" spans="1:18" x14ac:dyDescent="0.35">
      <c r="A85" t="s">
        <v>56</v>
      </c>
      <c r="B85" t="s">
        <v>57</v>
      </c>
      <c r="C85" t="s">
        <v>70</v>
      </c>
      <c r="D85">
        <v>107102430</v>
      </c>
      <c r="E85" t="s">
        <v>90</v>
      </c>
      <c r="F85" t="s">
        <v>72</v>
      </c>
      <c r="G85">
        <v>0.24</v>
      </c>
      <c r="H85">
        <v>9.35</v>
      </c>
      <c r="I85">
        <v>0.02</v>
      </c>
      <c r="J85">
        <v>0</v>
      </c>
      <c r="K85">
        <v>9.6199999999999992</v>
      </c>
      <c r="L85" t="s">
        <v>61</v>
      </c>
      <c r="M85">
        <v>455</v>
      </c>
      <c r="N85">
        <v>47.32</v>
      </c>
      <c r="O85" t="s">
        <v>69</v>
      </c>
      <c r="P85" t="s">
        <v>67</v>
      </c>
      <c r="Q85">
        <v>0</v>
      </c>
      <c r="R85">
        <v>0</v>
      </c>
    </row>
    <row r="86" spans="1:18" x14ac:dyDescent="0.35">
      <c r="A86" t="s">
        <v>56</v>
      </c>
      <c r="B86" t="s">
        <v>57</v>
      </c>
      <c r="C86" t="s">
        <v>58</v>
      </c>
      <c r="D86">
        <v>107221179</v>
      </c>
      <c r="E86" t="s">
        <v>91</v>
      </c>
      <c r="F86" t="s">
        <v>72</v>
      </c>
      <c r="G86">
        <v>0.33</v>
      </c>
      <c r="H86">
        <v>9.52</v>
      </c>
      <c r="I86">
        <v>0</v>
      </c>
      <c r="J86">
        <v>0</v>
      </c>
      <c r="K86">
        <v>9.85</v>
      </c>
      <c r="L86" t="s">
        <v>61</v>
      </c>
      <c r="M86">
        <v>401</v>
      </c>
      <c r="N86">
        <v>40.71</v>
      </c>
      <c r="O86" t="s">
        <v>62</v>
      </c>
      <c r="P86" t="s">
        <v>63</v>
      </c>
      <c r="Q86">
        <v>422</v>
      </c>
      <c r="R86">
        <v>1288.55</v>
      </c>
    </row>
    <row r="87" spans="1:18" x14ac:dyDescent="0.35">
      <c r="A87" t="s">
        <v>56</v>
      </c>
      <c r="B87" t="s">
        <v>57</v>
      </c>
      <c r="C87" t="s">
        <v>58</v>
      </c>
      <c r="D87">
        <v>107221179</v>
      </c>
      <c r="E87" t="s">
        <v>91</v>
      </c>
      <c r="F87" t="s">
        <v>72</v>
      </c>
      <c r="G87">
        <v>0.33</v>
      </c>
      <c r="H87">
        <v>9.52</v>
      </c>
      <c r="I87">
        <v>0</v>
      </c>
      <c r="J87">
        <v>0</v>
      </c>
      <c r="K87">
        <v>9.85</v>
      </c>
      <c r="L87" t="s">
        <v>61</v>
      </c>
      <c r="M87">
        <v>401</v>
      </c>
      <c r="N87">
        <v>40.71</v>
      </c>
      <c r="O87" t="s">
        <v>62</v>
      </c>
      <c r="P87" t="s">
        <v>64</v>
      </c>
      <c r="Q87">
        <v>1892</v>
      </c>
      <c r="R87">
        <v>198.69</v>
      </c>
    </row>
    <row r="88" spans="1:18" x14ac:dyDescent="0.35">
      <c r="A88" t="s">
        <v>56</v>
      </c>
      <c r="B88" t="s">
        <v>57</v>
      </c>
      <c r="C88" t="s">
        <v>58</v>
      </c>
      <c r="D88">
        <v>107221179</v>
      </c>
      <c r="E88" t="s">
        <v>91</v>
      </c>
      <c r="F88" t="s">
        <v>72</v>
      </c>
      <c r="G88">
        <v>0.33</v>
      </c>
      <c r="H88">
        <v>9.52</v>
      </c>
      <c r="I88">
        <v>0</v>
      </c>
      <c r="J88">
        <v>0</v>
      </c>
      <c r="K88">
        <v>9.85</v>
      </c>
      <c r="L88" t="s">
        <v>61</v>
      </c>
      <c r="M88">
        <v>401</v>
      </c>
      <c r="N88">
        <v>40.71</v>
      </c>
      <c r="O88" t="s">
        <v>62</v>
      </c>
      <c r="P88" t="s">
        <v>65</v>
      </c>
      <c r="Q88">
        <v>0</v>
      </c>
      <c r="R88">
        <v>0</v>
      </c>
    </row>
    <row r="89" spans="1:18" x14ac:dyDescent="0.35">
      <c r="A89" t="s">
        <v>56</v>
      </c>
      <c r="B89" t="s">
        <v>57</v>
      </c>
      <c r="C89" t="s">
        <v>58</v>
      </c>
      <c r="D89">
        <v>107221179</v>
      </c>
      <c r="E89" t="s">
        <v>91</v>
      </c>
      <c r="F89" t="s">
        <v>72</v>
      </c>
      <c r="G89">
        <v>0.33</v>
      </c>
      <c r="H89">
        <v>9.52</v>
      </c>
      <c r="I89">
        <v>0</v>
      </c>
      <c r="J89">
        <v>0</v>
      </c>
      <c r="K89">
        <v>9.85</v>
      </c>
      <c r="L89" t="s">
        <v>61</v>
      </c>
      <c r="M89">
        <v>401</v>
      </c>
      <c r="N89">
        <v>40.71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58</v>
      </c>
      <c r="D90">
        <v>107221179</v>
      </c>
      <c r="E90" t="s">
        <v>91</v>
      </c>
      <c r="F90" t="s">
        <v>72</v>
      </c>
      <c r="G90">
        <v>0.33</v>
      </c>
      <c r="H90">
        <v>9.52</v>
      </c>
      <c r="I90">
        <v>0</v>
      </c>
      <c r="J90">
        <v>0</v>
      </c>
      <c r="K90">
        <v>9.85</v>
      </c>
      <c r="L90" t="s">
        <v>61</v>
      </c>
      <c r="M90">
        <v>401</v>
      </c>
      <c r="N90">
        <v>40.71</v>
      </c>
      <c r="O90" t="s">
        <v>62</v>
      </c>
      <c r="P90" t="s">
        <v>67</v>
      </c>
      <c r="Q90">
        <v>2314</v>
      </c>
      <c r="R90">
        <v>234.92</v>
      </c>
    </row>
    <row r="91" spans="1:18" x14ac:dyDescent="0.35">
      <c r="A91" t="s">
        <v>56</v>
      </c>
      <c r="B91" t="s">
        <v>57</v>
      </c>
      <c r="C91" t="s">
        <v>58</v>
      </c>
      <c r="D91">
        <v>107221179</v>
      </c>
      <c r="E91" t="s">
        <v>91</v>
      </c>
      <c r="F91" t="s">
        <v>72</v>
      </c>
      <c r="G91">
        <v>0.33</v>
      </c>
      <c r="H91">
        <v>9.52</v>
      </c>
      <c r="I91">
        <v>0</v>
      </c>
      <c r="J91">
        <v>0</v>
      </c>
      <c r="K91">
        <v>9.85</v>
      </c>
      <c r="L91" t="s">
        <v>61</v>
      </c>
      <c r="M91">
        <v>401</v>
      </c>
      <c r="N91">
        <v>40.71</v>
      </c>
      <c r="O91" t="s">
        <v>68</v>
      </c>
      <c r="P91" t="s">
        <v>67</v>
      </c>
      <c r="Q91">
        <v>401</v>
      </c>
      <c r="R91">
        <v>40.71</v>
      </c>
    </row>
    <row r="92" spans="1:18" x14ac:dyDescent="0.35">
      <c r="A92" t="s">
        <v>56</v>
      </c>
      <c r="B92" t="s">
        <v>57</v>
      </c>
      <c r="C92" t="s">
        <v>58</v>
      </c>
      <c r="D92">
        <v>107221179</v>
      </c>
      <c r="E92" t="s">
        <v>91</v>
      </c>
      <c r="F92" t="s">
        <v>72</v>
      </c>
      <c r="G92">
        <v>0.33</v>
      </c>
      <c r="H92">
        <v>9.52</v>
      </c>
      <c r="I92">
        <v>0</v>
      </c>
      <c r="J92">
        <v>0</v>
      </c>
      <c r="K92">
        <v>9.85</v>
      </c>
      <c r="L92" t="s">
        <v>61</v>
      </c>
      <c r="M92">
        <v>401</v>
      </c>
      <c r="N92">
        <v>40.71</v>
      </c>
      <c r="O92" t="s">
        <v>69</v>
      </c>
      <c r="P92" t="s">
        <v>67</v>
      </c>
      <c r="Q92">
        <v>0</v>
      </c>
      <c r="R92">
        <v>0</v>
      </c>
    </row>
    <row r="93" spans="1:18" x14ac:dyDescent="0.35">
      <c r="A93" t="s">
        <v>56</v>
      </c>
      <c r="B93" t="s">
        <v>57</v>
      </c>
      <c r="C93" t="s">
        <v>70</v>
      </c>
      <c r="D93">
        <v>107221222</v>
      </c>
      <c r="E93" t="s">
        <v>94</v>
      </c>
      <c r="F93" t="s">
        <v>72</v>
      </c>
      <c r="G93">
        <v>0.23</v>
      </c>
      <c r="H93">
        <v>9.85</v>
      </c>
      <c r="I93">
        <v>0</v>
      </c>
      <c r="J93">
        <v>0</v>
      </c>
      <c r="K93">
        <v>10.08</v>
      </c>
      <c r="L93" t="s">
        <v>61</v>
      </c>
      <c r="M93">
        <v>417</v>
      </c>
      <c r="N93">
        <v>41.36</v>
      </c>
      <c r="O93" t="s">
        <v>62</v>
      </c>
      <c r="P93" t="s">
        <v>63</v>
      </c>
      <c r="Q93">
        <v>365</v>
      </c>
      <c r="R93">
        <v>1555.03</v>
      </c>
    </row>
    <row r="94" spans="1:18" x14ac:dyDescent="0.35">
      <c r="A94" t="s">
        <v>56</v>
      </c>
      <c r="B94" t="s">
        <v>57</v>
      </c>
      <c r="C94" t="s">
        <v>70</v>
      </c>
      <c r="D94">
        <v>107221222</v>
      </c>
      <c r="E94" t="s">
        <v>94</v>
      </c>
      <c r="F94" t="s">
        <v>72</v>
      </c>
      <c r="G94">
        <v>0.23</v>
      </c>
      <c r="H94">
        <v>9.85</v>
      </c>
      <c r="I94">
        <v>0</v>
      </c>
      <c r="J94">
        <v>0</v>
      </c>
      <c r="K94">
        <v>10.08</v>
      </c>
      <c r="L94" t="s">
        <v>61</v>
      </c>
      <c r="M94">
        <v>417</v>
      </c>
      <c r="N94">
        <v>41.36</v>
      </c>
      <c r="O94" t="s">
        <v>62</v>
      </c>
      <c r="P94" t="s">
        <v>64</v>
      </c>
      <c r="Q94">
        <v>2361</v>
      </c>
      <c r="R94">
        <v>239.74</v>
      </c>
    </row>
    <row r="95" spans="1:18" x14ac:dyDescent="0.35">
      <c r="A95" t="s">
        <v>56</v>
      </c>
      <c r="B95" t="s">
        <v>57</v>
      </c>
      <c r="C95" t="s">
        <v>70</v>
      </c>
      <c r="D95">
        <v>107221222</v>
      </c>
      <c r="E95" t="s">
        <v>94</v>
      </c>
      <c r="F95" t="s">
        <v>72</v>
      </c>
      <c r="G95">
        <v>0.23</v>
      </c>
      <c r="H95">
        <v>9.85</v>
      </c>
      <c r="I95">
        <v>0</v>
      </c>
      <c r="J95">
        <v>0</v>
      </c>
      <c r="K95">
        <v>10.08</v>
      </c>
      <c r="L95" t="s">
        <v>61</v>
      </c>
      <c r="M95">
        <v>417</v>
      </c>
      <c r="N95">
        <v>41.36</v>
      </c>
      <c r="O95" t="s">
        <v>62</v>
      </c>
      <c r="P95" t="s">
        <v>65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70</v>
      </c>
      <c r="D96">
        <v>107221222</v>
      </c>
      <c r="E96" t="s">
        <v>94</v>
      </c>
      <c r="F96" t="s">
        <v>72</v>
      </c>
      <c r="G96">
        <v>0.23</v>
      </c>
      <c r="H96">
        <v>9.85</v>
      </c>
      <c r="I96">
        <v>0</v>
      </c>
      <c r="J96">
        <v>0</v>
      </c>
      <c r="K96">
        <v>10.08</v>
      </c>
      <c r="L96" t="s">
        <v>61</v>
      </c>
      <c r="M96">
        <v>417</v>
      </c>
      <c r="N96">
        <v>41.36</v>
      </c>
      <c r="O96" t="s">
        <v>62</v>
      </c>
      <c r="P96" t="s">
        <v>66</v>
      </c>
      <c r="Q96">
        <v>0</v>
      </c>
      <c r="R96">
        <v>0</v>
      </c>
    </row>
    <row r="97" spans="1:18" x14ac:dyDescent="0.35">
      <c r="A97" t="s">
        <v>56</v>
      </c>
      <c r="B97" t="s">
        <v>57</v>
      </c>
      <c r="C97" t="s">
        <v>70</v>
      </c>
      <c r="D97">
        <v>107221222</v>
      </c>
      <c r="E97" t="s">
        <v>94</v>
      </c>
      <c r="F97" t="s">
        <v>72</v>
      </c>
      <c r="G97">
        <v>0.23</v>
      </c>
      <c r="H97">
        <v>9.85</v>
      </c>
      <c r="I97">
        <v>0</v>
      </c>
      <c r="J97">
        <v>0</v>
      </c>
      <c r="K97">
        <v>10.08</v>
      </c>
      <c r="L97" t="s">
        <v>61</v>
      </c>
      <c r="M97">
        <v>417</v>
      </c>
      <c r="N97">
        <v>41.36</v>
      </c>
      <c r="O97" t="s">
        <v>62</v>
      </c>
      <c r="P97" t="s">
        <v>67</v>
      </c>
      <c r="Q97">
        <v>2726</v>
      </c>
      <c r="R97">
        <v>270.35000000000002</v>
      </c>
    </row>
    <row r="98" spans="1:18" x14ac:dyDescent="0.35">
      <c r="A98" t="s">
        <v>56</v>
      </c>
      <c r="B98" t="s">
        <v>57</v>
      </c>
      <c r="C98" t="s">
        <v>70</v>
      </c>
      <c r="D98">
        <v>107221222</v>
      </c>
      <c r="E98" t="s">
        <v>94</v>
      </c>
      <c r="F98" t="s">
        <v>72</v>
      </c>
      <c r="G98">
        <v>0.23</v>
      </c>
      <c r="H98">
        <v>9.85</v>
      </c>
      <c r="I98">
        <v>0</v>
      </c>
      <c r="J98">
        <v>0</v>
      </c>
      <c r="K98">
        <v>10.08</v>
      </c>
      <c r="L98" t="s">
        <v>61</v>
      </c>
      <c r="M98">
        <v>417</v>
      </c>
      <c r="N98">
        <v>41.36</v>
      </c>
      <c r="O98" t="s">
        <v>68</v>
      </c>
      <c r="P98" t="s">
        <v>67</v>
      </c>
      <c r="Q98">
        <v>417</v>
      </c>
      <c r="R98">
        <v>41.36</v>
      </c>
    </row>
    <row r="99" spans="1:18" x14ac:dyDescent="0.35">
      <c r="A99" t="s">
        <v>56</v>
      </c>
      <c r="B99" t="s">
        <v>57</v>
      </c>
      <c r="C99" t="s">
        <v>70</v>
      </c>
      <c r="D99">
        <v>107221222</v>
      </c>
      <c r="E99" t="s">
        <v>94</v>
      </c>
      <c r="F99" t="s">
        <v>72</v>
      </c>
      <c r="G99">
        <v>0.23</v>
      </c>
      <c r="H99">
        <v>9.85</v>
      </c>
      <c r="I99">
        <v>0</v>
      </c>
      <c r="J99">
        <v>0</v>
      </c>
      <c r="K99">
        <v>10.08</v>
      </c>
      <c r="L99" t="s">
        <v>61</v>
      </c>
      <c r="M99">
        <v>417</v>
      </c>
      <c r="N99">
        <v>41.36</v>
      </c>
      <c r="O99" t="s">
        <v>69</v>
      </c>
      <c r="P99" t="s">
        <v>67</v>
      </c>
      <c r="Q99">
        <v>0</v>
      </c>
      <c r="R99">
        <v>0</v>
      </c>
    </row>
    <row r="100" spans="1:18" x14ac:dyDescent="0.35">
      <c r="A100" t="s">
        <v>56</v>
      </c>
      <c r="B100" t="s">
        <v>57</v>
      </c>
      <c r="C100" t="s">
        <v>70</v>
      </c>
      <c r="D100">
        <v>107228984</v>
      </c>
      <c r="E100" t="s">
        <v>586</v>
      </c>
      <c r="F100" t="s">
        <v>60</v>
      </c>
      <c r="G100">
        <v>0.46</v>
      </c>
      <c r="H100">
        <v>9.49</v>
      </c>
      <c r="I100">
        <v>0.03</v>
      </c>
      <c r="J100">
        <v>0</v>
      </c>
      <c r="K100">
        <v>9.98</v>
      </c>
      <c r="L100" t="s">
        <v>61</v>
      </c>
      <c r="M100">
        <v>419</v>
      </c>
      <c r="N100">
        <v>41.97</v>
      </c>
      <c r="O100" t="s">
        <v>62</v>
      </c>
      <c r="P100" t="s">
        <v>63</v>
      </c>
      <c r="Q100">
        <v>755</v>
      </c>
      <c r="R100">
        <v>1634.4</v>
      </c>
    </row>
    <row r="101" spans="1:18" x14ac:dyDescent="0.35">
      <c r="A101" t="s">
        <v>56</v>
      </c>
      <c r="B101" t="s">
        <v>57</v>
      </c>
      <c r="C101" t="s">
        <v>70</v>
      </c>
      <c r="D101">
        <v>107228984</v>
      </c>
      <c r="E101" t="s">
        <v>586</v>
      </c>
      <c r="F101" t="s">
        <v>60</v>
      </c>
      <c r="G101">
        <v>0.46</v>
      </c>
      <c r="H101">
        <v>9.49</v>
      </c>
      <c r="I101">
        <v>0.03</v>
      </c>
      <c r="J101">
        <v>0</v>
      </c>
      <c r="K101">
        <v>9.98</v>
      </c>
      <c r="L101" t="s">
        <v>61</v>
      </c>
      <c r="M101">
        <v>419</v>
      </c>
      <c r="N101">
        <v>41.97</v>
      </c>
      <c r="O101" t="s">
        <v>62</v>
      </c>
      <c r="P101" t="s">
        <v>64</v>
      </c>
      <c r="Q101">
        <v>2391</v>
      </c>
      <c r="R101">
        <v>251.95</v>
      </c>
    </row>
    <row r="102" spans="1:18" x14ac:dyDescent="0.35">
      <c r="A102" t="s">
        <v>56</v>
      </c>
      <c r="B102" t="s">
        <v>57</v>
      </c>
      <c r="C102" t="s">
        <v>70</v>
      </c>
      <c r="D102">
        <v>107228984</v>
      </c>
      <c r="E102" t="s">
        <v>586</v>
      </c>
      <c r="F102" t="s">
        <v>60</v>
      </c>
      <c r="G102">
        <v>0.46</v>
      </c>
      <c r="H102">
        <v>9.49</v>
      </c>
      <c r="I102">
        <v>0.03</v>
      </c>
      <c r="J102">
        <v>0</v>
      </c>
      <c r="K102">
        <v>9.98</v>
      </c>
      <c r="L102" t="s">
        <v>61</v>
      </c>
      <c r="M102">
        <v>419</v>
      </c>
      <c r="N102">
        <v>41.97</v>
      </c>
      <c r="O102" t="s">
        <v>62</v>
      </c>
      <c r="P102" t="s">
        <v>65</v>
      </c>
      <c r="Q102">
        <v>6</v>
      </c>
      <c r="R102">
        <v>194.59</v>
      </c>
    </row>
    <row r="103" spans="1:18" x14ac:dyDescent="0.35">
      <c r="A103" t="s">
        <v>56</v>
      </c>
      <c r="B103" t="s">
        <v>57</v>
      </c>
      <c r="C103" t="s">
        <v>70</v>
      </c>
      <c r="D103">
        <v>107228984</v>
      </c>
      <c r="E103" t="s">
        <v>586</v>
      </c>
      <c r="F103" t="s">
        <v>60</v>
      </c>
      <c r="G103">
        <v>0.46</v>
      </c>
      <c r="H103">
        <v>9.49</v>
      </c>
      <c r="I103">
        <v>0.03</v>
      </c>
      <c r="J103">
        <v>0</v>
      </c>
      <c r="K103">
        <v>9.98</v>
      </c>
      <c r="L103" t="s">
        <v>61</v>
      </c>
      <c r="M103">
        <v>419</v>
      </c>
      <c r="N103">
        <v>41.97</v>
      </c>
      <c r="O103" t="s">
        <v>62</v>
      </c>
      <c r="P103" t="s">
        <v>66</v>
      </c>
      <c r="Q103">
        <v>0</v>
      </c>
      <c r="R103">
        <v>0</v>
      </c>
    </row>
    <row r="104" spans="1:18" x14ac:dyDescent="0.35">
      <c r="A104" t="s">
        <v>56</v>
      </c>
      <c r="B104" t="s">
        <v>57</v>
      </c>
      <c r="C104" t="s">
        <v>70</v>
      </c>
      <c r="D104">
        <v>107228984</v>
      </c>
      <c r="E104" t="s">
        <v>586</v>
      </c>
      <c r="F104" t="s">
        <v>60</v>
      </c>
      <c r="G104">
        <v>0.46</v>
      </c>
      <c r="H104">
        <v>9.49</v>
      </c>
      <c r="I104">
        <v>0.03</v>
      </c>
      <c r="J104">
        <v>0</v>
      </c>
      <c r="K104">
        <v>9.98</v>
      </c>
      <c r="L104" t="s">
        <v>61</v>
      </c>
      <c r="M104">
        <v>419</v>
      </c>
      <c r="N104">
        <v>41.97</v>
      </c>
      <c r="O104" t="s">
        <v>62</v>
      </c>
      <c r="P104" t="s">
        <v>67</v>
      </c>
      <c r="Q104">
        <v>3152</v>
      </c>
      <c r="R104">
        <v>315.73</v>
      </c>
    </row>
    <row r="105" spans="1:18" x14ac:dyDescent="0.35">
      <c r="A105" t="s">
        <v>56</v>
      </c>
      <c r="B105" t="s">
        <v>57</v>
      </c>
      <c r="C105" t="s">
        <v>70</v>
      </c>
      <c r="D105">
        <v>107228984</v>
      </c>
      <c r="E105" t="s">
        <v>586</v>
      </c>
      <c r="F105" t="s">
        <v>60</v>
      </c>
      <c r="G105">
        <v>0.46</v>
      </c>
      <c r="H105">
        <v>9.49</v>
      </c>
      <c r="I105">
        <v>0.03</v>
      </c>
      <c r="J105">
        <v>0</v>
      </c>
      <c r="K105">
        <v>9.98</v>
      </c>
      <c r="L105" t="s">
        <v>61</v>
      </c>
      <c r="M105">
        <v>419</v>
      </c>
      <c r="N105">
        <v>41.97</v>
      </c>
      <c r="O105" t="s">
        <v>68</v>
      </c>
      <c r="P105" t="s">
        <v>67</v>
      </c>
      <c r="Q105">
        <v>419</v>
      </c>
      <c r="R105">
        <v>41.97</v>
      </c>
    </row>
    <row r="106" spans="1:18" x14ac:dyDescent="0.35">
      <c r="A106" t="s">
        <v>56</v>
      </c>
      <c r="B106" t="s">
        <v>57</v>
      </c>
      <c r="C106" t="s">
        <v>70</v>
      </c>
      <c r="D106">
        <v>107228984</v>
      </c>
      <c r="E106" t="s">
        <v>586</v>
      </c>
      <c r="F106" t="s">
        <v>60</v>
      </c>
      <c r="G106">
        <v>0.46</v>
      </c>
      <c r="H106">
        <v>9.49</v>
      </c>
      <c r="I106">
        <v>0.03</v>
      </c>
      <c r="J106">
        <v>0</v>
      </c>
      <c r="K106">
        <v>9.98</v>
      </c>
      <c r="L106" t="s">
        <v>61</v>
      </c>
      <c r="M106">
        <v>419</v>
      </c>
      <c r="N106">
        <v>41.97</v>
      </c>
      <c r="O106" t="s">
        <v>69</v>
      </c>
      <c r="P106" t="s">
        <v>67</v>
      </c>
      <c r="Q106">
        <v>0</v>
      </c>
      <c r="R106">
        <v>0</v>
      </c>
    </row>
    <row r="107" spans="1:18" x14ac:dyDescent="0.35">
      <c r="A107" t="s">
        <v>56</v>
      </c>
      <c r="B107" t="s">
        <v>57</v>
      </c>
      <c r="C107" t="s">
        <v>58</v>
      </c>
      <c r="D107">
        <v>107232886</v>
      </c>
      <c r="E107" t="s">
        <v>587</v>
      </c>
      <c r="F107" t="s">
        <v>72</v>
      </c>
      <c r="G107">
        <v>0.03</v>
      </c>
      <c r="H107">
        <v>4.9000000000000004</v>
      </c>
      <c r="I107">
        <v>0</v>
      </c>
      <c r="J107">
        <v>0</v>
      </c>
      <c r="K107">
        <v>4.93</v>
      </c>
      <c r="L107" t="s">
        <v>61</v>
      </c>
      <c r="M107">
        <v>123</v>
      </c>
      <c r="N107">
        <v>24.97</v>
      </c>
      <c r="O107" t="s">
        <v>62</v>
      </c>
      <c r="P107" t="s">
        <v>63</v>
      </c>
      <c r="Q107">
        <v>40</v>
      </c>
      <c r="R107">
        <v>1309.0899999999999</v>
      </c>
    </row>
    <row r="108" spans="1:18" x14ac:dyDescent="0.35">
      <c r="A108" t="s">
        <v>56</v>
      </c>
      <c r="B108" t="s">
        <v>57</v>
      </c>
      <c r="C108" t="s">
        <v>58</v>
      </c>
      <c r="D108">
        <v>107232886</v>
      </c>
      <c r="E108" t="s">
        <v>587</v>
      </c>
      <c r="F108" t="s">
        <v>72</v>
      </c>
      <c r="G108">
        <v>0.03</v>
      </c>
      <c r="H108">
        <v>4.9000000000000004</v>
      </c>
      <c r="I108">
        <v>0</v>
      </c>
      <c r="J108">
        <v>0</v>
      </c>
      <c r="K108">
        <v>4.93</v>
      </c>
      <c r="L108" t="s">
        <v>61</v>
      </c>
      <c r="M108">
        <v>123</v>
      </c>
      <c r="N108">
        <v>24.97</v>
      </c>
      <c r="O108" t="s">
        <v>62</v>
      </c>
      <c r="P108" t="s">
        <v>64</v>
      </c>
      <c r="Q108">
        <v>985</v>
      </c>
      <c r="R108">
        <v>201.21</v>
      </c>
    </row>
    <row r="109" spans="1:18" x14ac:dyDescent="0.35">
      <c r="A109" t="s">
        <v>56</v>
      </c>
      <c r="B109" t="s">
        <v>57</v>
      </c>
      <c r="C109" t="s">
        <v>58</v>
      </c>
      <c r="D109">
        <v>107232886</v>
      </c>
      <c r="E109" t="s">
        <v>587</v>
      </c>
      <c r="F109" t="s">
        <v>72</v>
      </c>
      <c r="G109">
        <v>0.03</v>
      </c>
      <c r="H109">
        <v>4.9000000000000004</v>
      </c>
      <c r="I109">
        <v>0</v>
      </c>
      <c r="J109">
        <v>0</v>
      </c>
      <c r="K109">
        <v>4.93</v>
      </c>
      <c r="L109" t="s">
        <v>61</v>
      </c>
      <c r="M109">
        <v>123</v>
      </c>
      <c r="N109">
        <v>24.97</v>
      </c>
      <c r="O109" t="s">
        <v>62</v>
      </c>
      <c r="P109" t="s">
        <v>65</v>
      </c>
      <c r="Q109">
        <v>0</v>
      </c>
      <c r="R109">
        <v>0</v>
      </c>
    </row>
    <row r="110" spans="1:18" x14ac:dyDescent="0.35">
      <c r="A110" t="s">
        <v>56</v>
      </c>
      <c r="B110" t="s">
        <v>57</v>
      </c>
      <c r="C110" t="s">
        <v>58</v>
      </c>
      <c r="D110">
        <v>107232886</v>
      </c>
      <c r="E110" t="s">
        <v>587</v>
      </c>
      <c r="F110" t="s">
        <v>72</v>
      </c>
      <c r="G110">
        <v>0.03</v>
      </c>
      <c r="H110">
        <v>4.9000000000000004</v>
      </c>
      <c r="I110">
        <v>0</v>
      </c>
      <c r="J110">
        <v>0</v>
      </c>
      <c r="K110">
        <v>4.93</v>
      </c>
      <c r="L110" t="s">
        <v>61</v>
      </c>
      <c r="M110">
        <v>123</v>
      </c>
      <c r="N110">
        <v>24.97</v>
      </c>
      <c r="O110" t="s">
        <v>62</v>
      </c>
      <c r="P110" t="s">
        <v>66</v>
      </c>
      <c r="Q110">
        <v>0</v>
      </c>
      <c r="R110">
        <v>0</v>
      </c>
    </row>
    <row r="111" spans="1:18" x14ac:dyDescent="0.35">
      <c r="A111" t="s">
        <v>56</v>
      </c>
      <c r="B111" t="s">
        <v>57</v>
      </c>
      <c r="C111" t="s">
        <v>58</v>
      </c>
      <c r="D111">
        <v>107232886</v>
      </c>
      <c r="E111" t="s">
        <v>587</v>
      </c>
      <c r="F111" t="s">
        <v>72</v>
      </c>
      <c r="G111">
        <v>0.03</v>
      </c>
      <c r="H111">
        <v>4.9000000000000004</v>
      </c>
      <c r="I111">
        <v>0</v>
      </c>
      <c r="J111">
        <v>0</v>
      </c>
      <c r="K111">
        <v>4.93</v>
      </c>
      <c r="L111" t="s">
        <v>61</v>
      </c>
      <c r="M111">
        <v>123</v>
      </c>
      <c r="N111">
        <v>24.97</v>
      </c>
      <c r="O111" t="s">
        <v>62</v>
      </c>
      <c r="P111" t="s">
        <v>67</v>
      </c>
      <c r="Q111">
        <v>1025</v>
      </c>
      <c r="R111">
        <v>208.07</v>
      </c>
    </row>
    <row r="112" spans="1:18" x14ac:dyDescent="0.35">
      <c r="A112" t="s">
        <v>56</v>
      </c>
      <c r="B112" t="s">
        <v>57</v>
      </c>
      <c r="C112" t="s">
        <v>58</v>
      </c>
      <c r="D112">
        <v>107232886</v>
      </c>
      <c r="E112" t="s">
        <v>587</v>
      </c>
      <c r="F112" t="s">
        <v>72</v>
      </c>
      <c r="G112">
        <v>0.03</v>
      </c>
      <c r="H112">
        <v>4.9000000000000004</v>
      </c>
      <c r="I112">
        <v>0</v>
      </c>
      <c r="J112">
        <v>0</v>
      </c>
      <c r="K112">
        <v>4.93</v>
      </c>
      <c r="L112" t="s">
        <v>61</v>
      </c>
      <c r="M112">
        <v>123</v>
      </c>
      <c r="N112">
        <v>24.97</v>
      </c>
      <c r="O112" t="s">
        <v>68</v>
      </c>
      <c r="P112" t="s">
        <v>67</v>
      </c>
      <c r="Q112">
        <v>123</v>
      </c>
      <c r="R112">
        <v>24.97</v>
      </c>
    </row>
    <row r="113" spans="1:18" x14ac:dyDescent="0.35">
      <c r="A113" t="s">
        <v>56</v>
      </c>
      <c r="B113" t="s">
        <v>57</v>
      </c>
      <c r="C113" t="s">
        <v>58</v>
      </c>
      <c r="D113">
        <v>107232886</v>
      </c>
      <c r="E113" t="s">
        <v>587</v>
      </c>
      <c r="F113" t="s">
        <v>72</v>
      </c>
      <c r="G113">
        <v>0.03</v>
      </c>
      <c r="H113">
        <v>4.9000000000000004</v>
      </c>
      <c r="I113">
        <v>0</v>
      </c>
      <c r="J113">
        <v>0</v>
      </c>
      <c r="K113">
        <v>4.93</v>
      </c>
      <c r="L113" t="s">
        <v>61</v>
      </c>
      <c r="M113">
        <v>123</v>
      </c>
      <c r="N113">
        <v>24.97</v>
      </c>
      <c r="O113" t="s">
        <v>69</v>
      </c>
      <c r="P113" t="s">
        <v>67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70</v>
      </c>
      <c r="D114">
        <v>107232917</v>
      </c>
      <c r="E114" t="s">
        <v>588</v>
      </c>
      <c r="F114" t="s">
        <v>72</v>
      </c>
      <c r="G114">
        <v>0.2</v>
      </c>
      <c r="H114">
        <v>9.56</v>
      </c>
      <c r="I114">
        <v>0</v>
      </c>
      <c r="J114">
        <v>0</v>
      </c>
      <c r="K114">
        <v>9.75</v>
      </c>
      <c r="L114" t="s">
        <v>61</v>
      </c>
      <c r="M114">
        <v>412</v>
      </c>
      <c r="N114">
        <v>42.24</v>
      </c>
      <c r="O114" t="s">
        <v>62</v>
      </c>
      <c r="P114" t="s">
        <v>63</v>
      </c>
      <c r="Q114">
        <v>322</v>
      </c>
      <c r="R114">
        <v>1630.38</v>
      </c>
    </row>
    <row r="115" spans="1:18" x14ac:dyDescent="0.35">
      <c r="A115" t="s">
        <v>56</v>
      </c>
      <c r="B115" t="s">
        <v>57</v>
      </c>
      <c r="C115" t="s">
        <v>70</v>
      </c>
      <c r="D115">
        <v>107232917</v>
      </c>
      <c r="E115" t="s">
        <v>588</v>
      </c>
      <c r="F115" t="s">
        <v>72</v>
      </c>
      <c r="G115">
        <v>0.2</v>
      </c>
      <c r="H115">
        <v>9.56</v>
      </c>
      <c r="I115">
        <v>0</v>
      </c>
      <c r="J115">
        <v>0</v>
      </c>
      <c r="K115">
        <v>9.75</v>
      </c>
      <c r="L115" t="s">
        <v>61</v>
      </c>
      <c r="M115">
        <v>412</v>
      </c>
      <c r="N115">
        <v>42.24</v>
      </c>
      <c r="O115" t="s">
        <v>62</v>
      </c>
      <c r="P115" t="s">
        <v>64</v>
      </c>
      <c r="Q115">
        <v>2401</v>
      </c>
      <c r="R115">
        <v>251.27</v>
      </c>
    </row>
    <row r="116" spans="1:18" x14ac:dyDescent="0.35">
      <c r="A116" t="s">
        <v>56</v>
      </c>
      <c r="B116" t="s">
        <v>57</v>
      </c>
      <c r="C116" t="s">
        <v>70</v>
      </c>
      <c r="D116">
        <v>107232917</v>
      </c>
      <c r="E116" t="s">
        <v>588</v>
      </c>
      <c r="F116" t="s">
        <v>72</v>
      </c>
      <c r="G116">
        <v>0.2</v>
      </c>
      <c r="H116">
        <v>9.56</v>
      </c>
      <c r="I116">
        <v>0</v>
      </c>
      <c r="J116">
        <v>0</v>
      </c>
      <c r="K116">
        <v>9.75</v>
      </c>
      <c r="L116" t="s">
        <v>61</v>
      </c>
      <c r="M116">
        <v>412</v>
      </c>
      <c r="N116">
        <v>42.24</v>
      </c>
      <c r="O116" t="s">
        <v>62</v>
      </c>
      <c r="P116" t="s">
        <v>65</v>
      </c>
      <c r="Q116">
        <v>0</v>
      </c>
      <c r="R116">
        <v>0</v>
      </c>
    </row>
    <row r="117" spans="1:18" x14ac:dyDescent="0.35">
      <c r="A117" t="s">
        <v>56</v>
      </c>
      <c r="B117" t="s">
        <v>57</v>
      </c>
      <c r="C117" t="s">
        <v>70</v>
      </c>
      <c r="D117">
        <v>107232917</v>
      </c>
      <c r="E117" t="s">
        <v>588</v>
      </c>
      <c r="F117" t="s">
        <v>72</v>
      </c>
      <c r="G117">
        <v>0.2</v>
      </c>
      <c r="H117">
        <v>9.56</v>
      </c>
      <c r="I117">
        <v>0</v>
      </c>
      <c r="J117">
        <v>0</v>
      </c>
      <c r="K117">
        <v>9.75</v>
      </c>
      <c r="L117" t="s">
        <v>61</v>
      </c>
      <c r="M117">
        <v>412</v>
      </c>
      <c r="N117">
        <v>42.24</v>
      </c>
      <c r="O117" t="s">
        <v>62</v>
      </c>
      <c r="P117" t="s">
        <v>66</v>
      </c>
      <c r="Q117">
        <v>0</v>
      </c>
      <c r="R117">
        <v>0</v>
      </c>
    </row>
    <row r="118" spans="1:18" x14ac:dyDescent="0.35">
      <c r="A118" t="s">
        <v>56</v>
      </c>
      <c r="B118" t="s">
        <v>57</v>
      </c>
      <c r="C118" t="s">
        <v>70</v>
      </c>
      <c r="D118">
        <v>107232917</v>
      </c>
      <c r="E118" t="s">
        <v>588</v>
      </c>
      <c r="F118" t="s">
        <v>72</v>
      </c>
      <c r="G118">
        <v>0.2</v>
      </c>
      <c r="H118">
        <v>9.56</v>
      </c>
      <c r="I118">
        <v>0</v>
      </c>
      <c r="J118">
        <v>0</v>
      </c>
      <c r="K118">
        <v>9.75</v>
      </c>
      <c r="L118" t="s">
        <v>61</v>
      </c>
      <c r="M118">
        <v>412</v>
      </c>
      <c r="N118">
        <v>42.24</v>
      </c>
      <c r="O118" t="s">
        <v>62</v>
      </c>
      <c r="P118" t="s">
        <v>67</v>
      </c>
      <c r="Q118">
        <v>2723</v>
      </c>
      <c r="R118">
        <v>279.19</v>
      </c>
    </row>
    <row r="119" spans="1:18" x14ac:dyDescent="0.35">
      <c r="A119" t="s">
        <v>56</v>
      </c>
      <c r="B119" t="s">
        <v>57</v>
      </c>
      <c r="C119" t="s">
        <v>70</v>
      </c>
      <c r="D119">
        <v>107232917</v>
      </c>
      <c r="E119" t="s">
        <v>588</v>
      </c>
      <c r="F119" t="s">
        <v>72</v>
      </c>
      <c r="G119">
        <v>0.2</v>
      </c>
      <c r="H119">
        <v>9.56</v>
      </c>
      <c r="I119">
        <v>0</v>
      </c>
      <c r="J119">
        <v>0</v>
      </c>
      <c r="K119">
        <v>9.75</v>
      </c>
      <c r="L119" t="s">
        <v>61</v>
      </c>
      <c r="M119">
        <v>412</v>
      </c>
      <c r="N119">
        <v>42.24</v>
      </c>
      <c r="O119" t="s">
        <v>68</v>
      </c>
      <c r="P119" t="s">
        <v>67</v>
      </c>
      <c r="Q119">
        <v>412</v>
      </c>
      <c r="R119">
        <v>42.24</v>
      </c>
    </row>
    <row r="120" spans="1:18" x14ac:dyDescent="0.35">
      <c r="A120" t="s">
        <v>56</v>
      </c>
      <c r="B120" t="s">
        <v>57</v>
      </c>
      <c r="C120" t="s">
        <v>70</v>
      </c>
      <c r="D120">
        <v>107232917</v>
      </c>
      <c r="E120" t="s">
        <v>588</v>
      </c>
      <c r="F120" t="s">
        <v>72</v>
      </c>
      <c r="G120">
        <v>0.2</v>
      </c>
      <c r="H120">
        <v>9.56</v>
      </c>
      <c r="I120">
        <v>0</v>
      </c>
      <c r="J120">
        <v>0</v>
      </c>
      <c r="K120">
        <v>9.75</v>
      </c>
      <c r="L120" t="s">
        <v>61</v>
      </c>
      <c r="M120">
        <v>412</v>
      </c>
      <c r="N120">
        <v>42.24</v>
      </c>
      <c r="O120" t="s">
        <v>69</v>
      </c>
      <c r="P120" t="s">
        <v>67</v>
      </c>
      <c r="Q120">
        <v>0</v>
      </c>
      <c r="R120">
        <v>0</v>
      </c>
    </row>
    <row r="121" spans="1:18" x14ac:dyDescent="0.35">
      <c r="A121" t="s">
        <v>56</v>
      </c>
      <c r="B121" t="s">
        <v>57</v>
      </c>
      <c r="C121" t="s">
        <v>70</v>
      </c>
      <c r="D121">
        <v>107232971</v>
      </c>
      <c r="E121" t="s">
        <v>589</v>
      </c>
      <c r="F121" t="s">
        <v>72</v>
      </c>
      <c r="G121">
        <v>0.08</v>
      </c>
      <c r="H121">
        <v>7.36</v>
      </c>
      <c r="I121">
        <v>0</v>
      </c>
      <c r="J121">
        <v>0</v>
      </c>
      <c r="K121">
        <v>7.44</v>
      </c>
      <c r="L121" t="s">
        <v>61</v>
      </c>
      <c r="M121">
        <v>331</v>
      </c>
      <c r="N121">
        <v>44.48</v>
      </c>
      <c r="O121" t="s">
        <v>62</v>
      </c>
      <c r="P121" t="s">
        <v>63</v>
      </c>
      <c r="Q121">
        <v>158</v>
      </c>
      <c r="R121">
        <v>1915.15</v>
      </c>
    </row>
    <row r="122" spans="1:18" x14ac:dyDescent="0.35">
      <c r="A122" t="s">
        <v>56</v>
      </c>
      <c r="B122" t="s">
        <v>57</v>
      </c>
      <c r="C122" t="s">
        <v>70</v>
      </c>
      <c r="D122">
        <v>107232971</v>
      </c>
      <c r="E122" t="s">
        <v>589</v>
      </c>
      <c r="F122" t="s">
        <v>72</v>
      </c>
      <c r="G122">
        <v>0.08</v>
      </c>
      <c r="H122">
        <v>7.36</v>
      </c>
      <c r="I122">
        <v>0</v>
      </c>
      <c r="J122">
        <v>0</v>
      </c>
      <c r="K122">
        <v>7.44</v>
      </c>
      <c r="L122" t="s">
        <v>61</v>
      </c>
      <c r="M122">
        <v>331</v>
      </c>
      <c r="N122">
        <v>44.48</v>
      </c>
      <c r="O122" t="s">
        <v>62</v>
      </c>
      <c r="P122" t="s">
        <v>64</v>
      </c>
      <c r="Q122">
        <v>2173</v>
      </c>
      <c r="R122">
        <v>295.27</v>
      </c>
    </row>
    <row r="123" spans="1:18" x14ac:dyDescent="0.35">
      <c r="A123" t="s">
        <v>56</v>
      </c>
      <c r="B123" t="s">
        <v>57</v>
      </c>
      <c r="C123" t="s">
        <v>70</v>
      </c>
      <c r="D123">
        <v>107232971</v>
      </c>
      <c r="E123" t="s">
        <v>589</v>
      </c>
      <c r="F123" t="s">
        <v>72</v>
      </c>
      <c r="G123">
        <v>0.08</v>
      </c>
      <c r="H123">
        <v>7.36</v>
      </c>
      <c r="I123">
        <v>0</v>
      </c>
      <c r="J123">
        <v>0</v>
      </c>
      <c r="K123">
        <v>7.44</v>
      </c>
      <c r="L123" t="s">
        <v>61</v>
      </c>
      <c r="M123">
        <v>331</v>
      </c>
      <c r="N123">
        <v>44.48</v>
      </c>
      <c r="O123" t="s">
        <v>62</v>
      </c>
      <c r="P123" t="s">
        <v>65</v>
      </c>
      <c r="Q123">
        <v>0</v>
      </c>
      <c r="R123">
        <v>0</v>
      </c>
    </row>
    <row r="124" spans="1:18" x14ac:dyDescent="0.35">
      <c r="A124" t="s">
        <v>56</v>
      </c>
      <c r="B124" t="s">
        <v>57</v>
      </c>
      <c r="C124" t="s">
        <v>70</v>
      </c>
      <c r="D124">
        <v>107232971</v>
      </c>
      <c r="E124" t="s">
        <v>589</v>
      </c>
      <c r="F124" t="s">
        <v>72</v>
      </c>
      <c r="G124">
        <v>0.08</v>
      </c>
      <c r="H124">
        <v>7.36</v>
      </c>
      <c r="I124">
        <v>0</v>
      </c>
      <c r="J124">
        <v>0</v>
      </c>
      <c r="K124">
        <v>7.44</v>
      </c>
      <c r="L124" t="s">
        <v>61</v>
      </c>
      <c r="M124">
        <v>331</v>
      </c>
      <c r="N124">
        <v>44.48</v>
      </c>
      <c r="O124" t="s">
        <v>62</v>
      </c>
      <c r="P124" t="s">
        <v>66</v>
      </c>
      <c r="Q124">
        <v>0</v>
      </c>
      <c r="R124">
        <v>0</v>
      </c>
    </row>
    <row r="125" spans="1:18" x14ac:dyDescent="0.35">
      <c r="A125" t="s">
        <v>56</v>
      </c>
      <c r="B125" t="s">
        <v>57</v>
      </c>
      <c r="C125" t="s">
        <v>70</v>
      </c>
      <c r="D125">
        <v>107232971</v>
      </c>
      <c r="E125" t="s">
        <v>589</v>
      </c>
      <c r="F125" t="s">
        <v>72</v>
      </c>
      <c r="G125">
        <v>0.08</v>
      </c>
      <c r="H125">
        <v>7.36</v>
      </c>
      <c r="I125">
        <v>0</v>
      </c>
      <c r="J125">
        <v>0</v>
      </c>
      <c r="K125">
        <v>7.44</v>
      </c>
      <c r="L125" t="s">
        <v>61</v>
      </c>
      <c r="M125">
        <v>331</v>
      </c>
      <c r="N125">
        <v>44.48</v>
      </c>
      <c r="O125" t="s">
        <v>62</v>
      </c>
      <c r="P125" t="s">
        <v>67</v>
      </c>
      <c r="Q125">
        <v>2331</v>
      </c>
      <c r="R125">
        <v>313.20999999999998</v>
      </c>
    </row>
    <row r="126" spans="1:18" x14ac:dyDescent="0.35">
      <c r="A126" t="s">
        <v>56</v>
      </c>
      <c r="B126" t="s">
        <v>57</v>
      </c>
      <c r="C126" t="s">
        <v>70</v>
      </c>
      <c r="D126">
        <v>107232971</v>
      </c>
      <c r="E126" t="s">
        <v>589</v>
      </c>
      <c r="F126" t="s">
        <v>72</v>
      </c>
      <c r="G126">
        <v>0.08</v>
      </c>
      <c r="H126">
        <v>7.36</v>
      </c>
      <c r="I126">
        <v>0</v>
      </c>
      <c r="J126">
        <v>0</v>
      </c>
      <c r="K126">
        <v>7.44</v>
      </c>
      <c r="L126" t="s">
        <v>61</v>
      </c>
      <c r="M126">
        <v>331</v>
      </c>
      <c r="N126">
        <v>44.48</v>
      </c>
      <c r="O126" t="s">
        <v>68</v>
      </c>
      <c r="P126" t="s">
        <v>67</v>
      </c>
      <c r="Q126">
        <v>331</v>
      </c>
      <c r="R126">
        <v>44.48</v>
      </c>
    </row>
    <row r="127" spans="1:18" x14ac:dyDescent="0.35">
      <c r="A127" t="s">
        <v>56</v>
      </c>
      <c r="B127" t="s">
        <v>57</v>
      </c>
      <c r="C127" t="s">
        <v>70</v>
      </c>
      <c r="D127">
        <v>107232971</v>
      </c>
      <c r="E127" t="s">
        <v>589</v>
      </c>
      <c r="F127" t="s">
        <v>72</v>
      </c>
      <c r="G127">
        <v>0.08</v>
      </c>
      <c r="H127">
        <v>7.36</v>
      </c>
      <c r="I127">
        <v>0</v>
      </c>
      <c r="J127">
        <v>0</v>
      </c>
      <c r="K127">
        <v>7.44</v>
      </c>
      <c r="L127" t="s">
        <v>61</v>
      </c>
      <c r="M127">
        <v>331</v>
      </c>
      <c r="N127">
        <v>44.48</v>
      </c>
      <c r="O127" t="s">
        <v>69</v>
      </c>
      <c r="P127" t="s">
        <v>67</v>
      </c>
      <c r="Q127">
        <v>0</v>
      </c>
      <c r="R127">
        <v>0</v>
      </c>
    </row>
    <row r="128" spans="1:18" x14ac:dyDescent="0.35">
      <c r="A128" t="s">
        <v>56</v>
      </c>
      <c r="B128" t="s">
        <v>57</v>
      </c>
      <c r="C128" t="s">
        <v>70</v>
      </c>
      <c r="D128">
        <v>107233183</v>
      </c>
      <c r="E128" t="s">
        <v>590</v>
      </c>
      <c r="F128" t="s">
        <v>72</v>
      </c>
      <c r="G128">
        <v>0.03</v>
      </c>
      <c r="H128">
        <v>9.0500000000000007</v>
      </c>
      <c r="I128">
        <v>0</v>
      </c>
      <c r="J128">
        <v>0</v>
      </c>
      <c r="K128">
        <v>9.08</v>
      </c>
      <c r="L128" t="s">
        <v>61</v>
      </c>
      <c r="M128">
        <v>350</v>
      </c>
      <c r="N128">
        <v>38.54</v>
      </c>
      <c r="O128" t="s">
        <v>62</v>
      </c>
      <c r="P128" t="s">
        <v>63</v>
      </c>
      <c r="Q128">
        <v>45</v>
      </c>
      <c r="R128">
        <v>1372.88</v>
      </c>
    </row>
    <row r="129" spans="1:18" x14ac:dyDescent="0.35">
      <c r="A129" t="s">
        <v>56</v>
      </c>
      <c r="B129" t="s">
        <v>57</v>
      </c>
      <c r="C129" t="s">
        <v>70</v>
      </c>
      <c r="D129">
        <v>107233183</v>
      </c>
      <c r="E129" t="s">
        <v>590</v>
      </c>
      <c r="F129" t="s">
        <v>72</v>
      </c>
      <c r="G129">
        <v>0.03</v>
      </c>
      <c r="H129">
        <v>9.0500000000000007</v>
      </c>
      <c r="I129">
        <v>0</v>
      </c>
      <c r="J129">
        <v>0</v>
      </c>
      <c r="K129">
        <v>9.08</v>
      </c>
      <c r="L129" t="s">
        <v>61</v>
      </c>
      <c r="M129">
        <v>350</v>
      </c>
      <c r="N129">
        <v>38.54</v>
      </c>
      <c r="O129" t="s">
        <v>62</v>
      </c>
      <c r="P129" t="s">
        <v>64</v>
      </c>
      <c r="Q129">
        <v>1902</v>
      </c>
      <c r="R129">
        <v>210.22</v>
      </c>
    </row>
    <row r="130" spans="1:18" x14ac:dyDescent="0.35">
      <c r="A130" t="s">
        <v>56</v>
      </c>
      <c r="B130" t="s">
        <v>57</v>
      </c>
      <c r="C130" t="s">
        <v>70</v>
      </c>
      <c r="D130">
        <v>107233183</v>
      </c>
      <c r="E130" t="s">
        <v>590</v>
      </c>
      <c r="F130" t="s">
        <v>72</v>
      </c>
      <c r="G130">
        <v>0.03</v>
      </c>
      <c r="H130">
        <v>9.0500000000000007</v>
      </c>
      <c r="I130">
        <v>0</v>
      </c>
      <c r="J130">
        <v>0</v>
      </c>
      <c r="K130">
        <v>9.08</v>
      </c>
      <c r="L130" t="s">
        <v>61</v>
      </c>
      <c r="M130">
        <v>350</v>
      </c>
      <c r="N130">
        <v>38.54</v>
      </c>
      <c r="O130" t="s">
        <v>62</v>
      </c>
      <c r="P130" t="s">
        <v>65</v>
      </c>
      <c r="Q130">
        <v>0</v>
      </c>
      <c r="R130">
        <v>0</v>
      </c>
    </row>
    <row r="131" spans="1:18" x14ac:dyDescent="0.35">
      <c r="A131" t="s">
        <v>56</v>
      </c>
      <c r="B131" t="s">
        <v>57</v>
      </c>
      <c r="C131" t="s">
        <v>70</v>
      </c>
      <c r="D131">
        <v>107233183</v>
      </c>
      <c r="E131" t="s">
        <v>590</v>
      </c>
      <c r="F131" t="s">
        <v>72</v>
      </c>
      <c r="G131">
        <v>0.03</v>
      </c>
      <c r="H131">
        <v>9.0500000000000007</v>
      </c>
      <c r="I131">
        <v>0</v>
      </c>
      <c r="J131">
        <v>0</v>
      </c>
      <c r="K131">
        <v>9.08</v>
      </c>
      <c r="L131" t="s">
        <v>61</v>
      </c>
      <c r="M131">
        <v>350</v>
      </c>
      <c r="N131">
        <v>38.54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70</v>
      </c>
      <c r="D132">
        <v>107233183</v>
      </c>
      <c r="E132" t="s">
        <v>590</v>
      </c>
      <c r="F132" t="s">
        <v>72</v>
      </c>
      <c r="G132">
        <v>0.03</v>
      </c>
      <c r="H132">
        <v>9.0500000000000007</v>
      </c>
      <c r="I132">
        <v>0</v>
      </c>
      <c r="J132">
        <v>0</v>
      </c>
      <c r="K132">
        <v>9.08</v>
      </c>
      <c r="L132" t="s">
        <v>61</v>
      </c>
      <c r="M132">
        <v>350</v>
      </c>
      <c r="N132">
        <v>38.54</v>
      </c>
      <c r="O132" t="s">
        <v>62</v>
      </c>
      <c r="P132" t="s">
        <v>67</v>
      </c>
      <c r="Q132">
        <v>1947</v>
      </c>
      <c r="R132">
        <v>214.41</v>
      </c>
    </row>
    <row r="133" spans="1:18" x14ac:dyDescent="0.35">
      <c r="A133" t="s">
        <v>56</v>
      </c>
      <c r="B133" t="s">
        <v>57</v>
      </c>
      <c r="C133" t="s">
        <v>70</v>
      </c>
      <c r="D133">
        <v>107233183</v>
      </c>
      <c r="E133" t="s">
        <v>590</v>
      </c>
      <c r="F133" t="s">
        <v>72</v>
      </c>
      <c r="G133">
        <v>0.03</v>
      </c>
      <c r="H133">
        <v>9.0500000000000007</v>
      </c>
      <c r="I133">
        <v>0</v>
      </c>
      <c r="J133">
        <v>0</v>
      </c>
      <c r="K133">
        <v>9.08</v>
      </c>
      <c r="L133" t="s">
        <v>61</v>
      </c>
      <c r="M133">
        <v>350</v>
      </c>
      <c r="N133">
        <v>38.54</v>
      </c>
      <c r="O133" t="s">
        <v>68</v>
      </c>
      <c r="P133" t="s">
        <v>67</v>
      </c>
      <c r="Q133">
        <v>350</v>
      </c>
      <c r="R133">
        <v>38.54</v>
      </c>
    </row>
    <row r="134" spans="1:18" x14ac:dyDescent="0.35">
      <c r="A134" t="s">
        <v>56</v>
      </c>
      <c r="B134" t="s">
        <v>57</v>
      </c>
      <c r="C134" t="s">
        <v>70</v>
      </c>
      <c r="D134">
        <v>107233183</v>
      </c>
      <c r="E134" t="s">
        <v>590</v>
      </c>
      <c r="F134" t="s">
        <v>72</v>
      </c>
      <c r="G134">
        <v>0.03</v>
      </c>
      <c r="H134">
        <v>9.0500000000000007</v>
      </c>
      <c r="I134">
        <v>0</v>
      </c>
      <c r="J134">
        <v>0</v>
      </c>
      <c r="K134">
        <v>9.08</v>
      </c>
      <c r="L134" t="s">
        <v>61</v>
      </c>
      <c r="M134">
        <v>350</v>
      </c>
      <c r="N134">
        <v>38.54</v>
      </c>
      <c r="O134" t="s">
        <v>69</v>
      </c>
      <c r="P134" t="s">
        <v>67</v>
      </c>
      <c r="Q134">
        <v>0</v>
      </c>
      <c r="R134">
        <v>0</v>
      </c>
    </row>
    <row r="135" spans="1:18" x14ac:dyDescent="0.35">
      <c r="A135" t="s">
        <v>56</v>
      </c>
      <c r="B135" t="s">
        <v>57</v>
      </c>
      <c r="C135" t="s">
        <v>70</v>
      </c>
      <c r="D135">
        <v>107233200</v>
      </c>
      <c r="E135" t="s">
        <v>591</v>
      </c>
      <c r="F135" t="s">
        <v>72</v>
      </c>
      <c r="G135">
        <v>0.14000000000000001</v>
      </c>
      <c r="H135">
        <v>9.8699999999999992</v>
      </c>
      <c r="I135">
        <v>0</v>
      </c>
      <c r="J135">
        <v>0</v>
      </c>
      <c r="K135">
        <v>10.02</v>
      </c>
      <c r="L135" t="s">
        <v>61</v>
      </c>
      <c r="M135">
        <v>439</v>
      </c>
      <c r="N135">
        <v>43.83</v>
      </c>
      <c r="O135" t="s">
        <v>62</v>
      </c>
      <c r="P135" t="s">
        <v>63</v>
      </c>
      <c r="Q135">
        <v>276</v>
      </c>
      <c r="R135">
        <v>1910.77</v>
      </c>
    </row>
    <row r="136" spans="1:18" x14ac:dyDescent="0.35">
      <c r="A136" t="s">
        <v>56</v>
      </c>
      <c r="B136" t="s">
        <v>57</v>
      </c>
      <c r="C136" t="s">
        <v>70</v>
      </c>
      <c r="D136">
        <v>107233200</v>
      </c>
      <c r="E136" t="s">
        <v>591</v>
      </c>
      <c r="F136" t="s">
        <v>72</v>
      </c>
      <c r="G136">
        <v>0.14000000000000001</v>
      </c>
      <c r="H136">
        <v>9.8699999999999992</v>
      </c>
      <c r="I136">
        <v>0</v>
      </c>
      <c r="J136">
        <v>0</v>
      </c>
      <c r="K136">
        <v>10.02</v>
      </c>
      <c r="L136" t="s">
        <v>61</v>
      </c>
      <c r="M136">
        <v>439</v>
      </c>
      <c r="N136">
        <v>43.83</v>
      </c>
      <c r="O136" t="s">
        <v>62</v>
      </c>
      <c r="P136" t="s">
        <v>64</v>
      </c>
      <c r="Q136">
        <v>2907</v>
      </c>
      <c r="R136">
        <v>294.47000000000003</v>
      </c>
    </row>
    <row r="137" spans="1:18" x14ac:dyDescent="0.35">
      <c r="A137" t="s">
        <v>56</v>
      </c>
      <c r="B137" t="s">
        <v>57</v>
      </c>
      <c r="C137" t="s">
        <v>70</v>
      </c>
      <c r="D137">
        <v>107233200</v>
      </c>
      <c r="E137" t="s">
        <v>591</v>
      </c>
      <c r="F137" t="s">
        <v>72</v>
      </c>
      <c r="G137">
        <v>0.14000000000000001</v>
      </c>
      <c r="H137">
        <v>9.8699999999999992</v>
      </c>
      <c r="I137">
        <v>0</v>
      </c>
      <c r="J137">
        <v>0</v>
      </c>
      <c r="K137">
        <v>10.02</v>
      </c>
      <c r="L137" t="s">
        <v>61</v>
      </c>
      <c r="M137">
        <v>439</v>
      </c>
      <c r="N137">
        <v>43.83</v>
      </c>
      <c r="O137" t="s">
        <v>62</v>
      </c>
      <c r="P137" t="s">
        <v>65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70</v>
      </c>
      <c r="D138">
        <v>107233200</v>
      </c>
      <c r="E138" t="s">
        <v>591</v>
      </c>
      <c r="F138" t="s">
        <v>72</v>
      </c>
      <c r="G138">
        <v>0.14000000000000001</v>
      </c>
      <c r="H138">
        <v>9.8699999999999992</v>
      </c>
      <c r="I138">
        <v>0</v>
      </c>
      <c r="J138">
        <v>0</v>
      </c>
      <c r="K138">
        <v>10.02</v>
      </c>
      <c r="L138" t="s">
        <v>61</v>
      </c>
      <c r="M138">
        <v>439</v>
      </c>
      <c r="N138">
        <v>43.83</v>
      </c>
      <c r="O138" t="s">
        <v>62</v>
      </c>
      <c r="P138" t="s">
        <v>66</v>
      </c>
      <c r="Q138">
        <v>0</v>
      </c>
      <c r="R138">
        <v>0</v>
      </c>
    </row>
    <row r="139" spans="1:18" x14ac:dyDescent="0.35">
      <c r="A139" t="s">
        <v>56</v>
      </c>
      <c r="B139" t="s">
        <v>57</v>
      </c>
      <c r="C139" t="s">
        <v>70</v>
      </c>
      <c r="D139">
        <v>107233200</v>
      </c>
      <c r="E139" t="s">
        <v>591</v>
      </c>
      <c r="F139" t="s">
        <v>72</v>
      </c>
      <c r="G139">
        <v>0.14000000000000001</v>
      </c>
      <c r="H139">
        <v>9.8699999999999992</v>
      </c>
      <c r="I139">
        <v>0</v>
      </c>
      <c r="J139">
        <v>0</v>
      </c>
      <c r="K139">
        <v>10.02</v>
      </c>
      <c r="L139" t="s">
        <v>61</v>
      </c>
      <c r="M139">
        <v>439</v>
      </c>
      <c r="N139">
        <v>43.83</v>
      </c>
      <c r="O139" t="s">
        <v>62</v>
      </c>
      <c r="P139" t="s">
        <v>67</v>
      </c>
      <c r="Q139">
        <v>3183</v>
      </c>
      <c r="R139">
        <v>317.77</v>
      </c>
    </row>
    <row r="140" spans="1:18" x14ac:dyDescent="0.35">
      <c r="A140" t="s">
        <v>56</v>
      </c>
      <c r="B140" t="s">
        <v>57</v>
      </c>
      <c r="C140" t="s">
        <v>70</v>
      </c>
      <c r="D140">
        <v>107233200</v>
      </c>
      <c r="E140" t="s">
        <v>591</v>
      </c>
      <c r="F140" t="s">
        <v>72</v>
      </c>
      <c r="G140">
        <v>0.14000000000000001</v>
      </c>
      <c r="H140">
        <v>9.8699999999999992</v>
      </c>
      <c r="I140">
        <v>0</v>
      </c>
      <c r="J140">
        <v>0</v>
      </c>
      <c r="K140">
        <v>10.02</v>
      </c>
      <c r="L140" t="s">
        <v>61</v>
      </c>
      <c r="M140">
        <v>439</v>
      </c>
      <c r="N140">
        <v>43.83</v>
      </c>
      <c r="O140" t="s">
        <v>68</v>
      </c>
      <c r="P140" t="s">
        <v>67</v>
      </c>
      <c r="Q140">
        <v>439</v>
      </c>
      <c r="R140">
        <v>43.83</v>
      </c>
    </row>
    <row r="141" spans="1:18" x14ac:dyDescent="0.35">
      <c r="A141" t="s">
        <v>56</v>
      </c>
      <c r="B141" t="s">
        <v>57</v>
      </c>
      <c r="C141" t="s">
        <v>70</v>
      </c>
      <c r="D141">
        <v>107233200</v>
      </c>
      <c r="E141" t="s">
        <v>591</v>
      </c>
      <c r="F141" t="s">
        <v>72</v>
      </c>
      <c r="G141">
        <v>0.14000000000000001</v>
      </c>
      <c r="H141">
        <v>9.8699999999999992</v>
      </c>
      <c r="I141">
        <v>0</v>
      </c>
      <c r="J141">
        <v>0</v>
      </c>
      <c r="K141">
        <v>10.02</v>
      </c>
      <c r="L141" t="s">
        <v>61</v>
      </c>
      <c r="M141">
        <v>439</v>
      </c>
      <c r="N141">
        <v>43.83</v>
      </c>
      <c r="O141" t="s">
        <v>69</v>
      </c>
      <c r="P141" t="s">
        <v>67</v>
      </c>
      <c r="Q141">
        <v>0</v>
      </c>
      <c r="R141">
        <v>0</v>
      </c>
    </row>
    <row r="142" spans="1:18" x14ac:dyDescent="0.35">
      <c r="A142" t="s">
        <v>56</v>
      </c>
      <c r="B142" t="s">
        <v>57</v>
      </c>
      <c r="C142" t="s">
        <v>70</v>
      </c>
      <c r="D142">
        <v>107264616</v>
      </c>
      <c r="E142" t="s">
        <v>592</v>
      </c>
      <c r="F142" t="s">
        <v>72</v>
      </c>
      <c r="G142">
        <v>0.43</v>
      </c>
      <c r="H142">
        <v>9.2100000000000009</v>
      </c>
      <c r="I142">
        <v>0</v>
      </c>
      <c r="J142">
        <v>0</v>
      </c>
      <c r="K142">
        <v>9.6300000000000008</v>
      </c>
      <c r="L142" t="s">
        <v>61</v>
      </c>
      <c r="M142">
        <v>312</v>
      </c>
      <c r="N142">
        <v>32.39</v>
      </c>
      <c r="O142" t="s">
        <v>62</v>
      </c>
      <c r="P142" t="s">
        <v>63</v>
      </c>
      <c r="Q142">
        <v>500</v>
      </c>
      <c r="R142">
        <v>1173.4000000000001</v>
      </c>
    </row>
    <row r="143" spans="1:18" x14ac:dyDescent="0.35">
      <c r="A143" t="s">
        <v>56</v>
      </c>
      <c r="B143" t="s">
        <v>57</v>
      </c>
      <c r="C143" t="s">
        <v>70</v>
      </c>
      <c r="D143">
        <v>107264616</v>
      </c>
      <c r="E143" t="s">
        <v>592</v>
      </c>
      <c r="F143" t="s">
        <v>72</v>
      </c>
      <c r="G143">
        <v>0.43</v>
      </c>
      <c r="H143">
        <v>9.2100000000000009</v>
      </c>
      <c r="I143">
        <v>0</v>
      </c>
      <c r="J143">
        <v>0</v>
      </c>
      <c r="K143">
        <v>9.6300000000000008</v>
      </c>
      <c r="L143" t="s">
        <v>61</v>
      </c>
      <c r="M143">
        <v>312</v>
      </c>
      <c r="N143">
        <v>32.39</v>
      </c>
      <c r="O143" t="s">
        <v>62</v>
      </c>
      <c r="P143" t="s">
        <v>64</v>
      </c>
      <c r="Q143">
        <v>1666</v>
      </c>
      <c r="R143">
        <v>180.94</v>
      </c>
    </row>
    <row r="144" spans="1:18" x14ac:dyDescent="0.35">
      <c r="A144" t="s">
        <v>56</v>
      </c>
      <c r="B144" t="s">
        <v>57</v>
      </c>
      <c r="C144" t="s">
        <v>70</v>
      </c>
      <c r="D144">
        <v>107264616</v>
      </c>
      <c r="E144" t="s">
        <v>592</v>
      </c>
      <c r="F144" t="s">
        <v>72</v>
      </c>
      <c r="G144">
        <v>0.43</v>
      </c>
      <c r="H144">
        <v>9.2100000000000009</v>
      </c>
      <c r="I144">
        <v>0</v>
      </c>
      <c r="J144">
        <v>0</v>
      </c>
      <c r="K144">
        <v>9.6300000000000008</v>
      </c>
      <c r="L144" t="s">
        <v>61</v>
      </c>
      <c r="M144">
        <v>312</v>
      </c>
      <c r="N144">
        <v>32.39</v>
      </c>
      <c r="O144" t="s">
        <v>62</v>
      </c>
      <c r="P144" t="s">
        <v>65</v>
      </c>
      <c r="Q144">
        <v>0</v>
      </c>
      <c r="R144">
        <v>0</v>
      </c>
    </row>
    <row r="145" spans="1:18" x14ac:dyDescent="0.35">
      <c r="A145" t="s">
        <v>56</v>
      </c>
      <c r="B145" t="s">
        <v>57</v>
      </c>
      <c r="C145" t="s">
        <v>70</v>
      </c>
      <c r="D145">
        <v>107264616</v>
      </c>
      <c r="E145" t="s">
        <v>592</v>
      </c>
      <c r="F145" t="s">
        <v>72</v>
      </c>
      <c r="G145">
        <v>0.43</v>
      </c>
      <c r="H145">
        <v>9.2100000000000009</v>
      </c>
      <c r="I145">
        <v>0</v>
      </c>
      <c r="J145">
        <v>0</v>
      </c>
      <c r="K145">
        <v>9.6300000000000008</v>
      </c>
      <c r="L145" t="s">
        <v>61</v>
      </c>
      <c r="M145">
        <v>312</v>
      </c>
      <c r="N145">
        <v>32.39</v>
      </c>
      <c r="O145" t="s">
        <v>62</v>
      </c>
      <c r="P145" t="s">
        <v>66</v>
      </c>
      <c r="Q145">
        <v>0</v>
      </c>
      <c r="R145">
        <v>0</v>
      </c>
    </row>
    <row r="146" spans="1:18" x14ac:dyDescent="0.35">
      <c r="A146" t="s">
        <v>56</v>
      </c>
      <c r="B146" t="s">
        <v>57</v>
      </c>
      <c r="C146" t="s">
        <v>70</v>
      </c>
      <c r="D146">
        <v>107264616</v>
      </c>
      <c r="E146" t="s">
        <v>592</v>
      </c>
      <c r="F146" t="s">
        <v>72</v>
      </c>
      <c r="G146">
        <v>0.43</v>
      </c>
      <c r="H146">
        <v>9.2100000000000009</v>
      </c>
      <c r="I146">
        <v>0</v>
      </c>
      <c r="J146">
        <v>0</v>
      </c>
      <c r="K146">
        <v>9.6300000000000008</v>
      </c>
      <c r="L146" t="s">
        <v>61</v>
      </c>
      <c r="M146">
        <v>312</v>
      </c>
      <c r="N146">
        <v>32.39</v>
      </c>
      <c r="O146" t="s">
        <v>62</v>
      </c>
      <c r="P146" t="s">
        <v>67</v>
      </c>
      <c r="Q146">
        <v>2166</v>
      </c>
      <c r="R146">
        <v>224.84</v>
      </c>
    </row>
    <row r="147" spans="1:18" x14ac:dyDescent="0.35">
      <c r="A147" t="s">
        <v>56</v>
      </c>
      <c r="B147" t="s">
        <v>57</v>
      </c>
      <c r="C147" t="s">
        <v>70</v>
      </c>
      <c r="D147">
        <v>107264616</v>
      </c>
      <c r="E147" t="s">
        <v>592</v>
      </c>
      <c r="F147" t="s">
        <v>72</v>
      </c>
      <c r="G147">
        <v>0.43</v>
      </c>
      <c r="H147">
        <v>9.2100000000000009</v>
      </c>
      <c r="I147">
        <v>0</v>
      </c>
      <c r="J147">
        <v>0</v>
      </c>
      <c r="K147">
        <v>9.6300000000000008</v>
      </c>
      <c r="L147" t="s">
        <v>61</v>
      </c>
      <c r="M147">
        <v>312</v>
      </c>
      <c r="N147">
        <v>32.39</v>
      </c>
      <c r="O147" t="s">
        <v>68</v>
      </c>
      <c r="P147" t="s">
        <v>67</v>
      </c>
      <c r="Q147">
        <v>312</v>
      </c>
      <c r="R147">
        <v>32.39</v>
      </c>
    </row>
    <row r="148" spans="1:18" x14ac:dyDescent="0.35">
      <c r="A148" t="s">
        <v>56</v>
      </c>
      <c r="B148" t="s">
        <v>57</v>
      </c>
      <c r="C148" t="s">
        <v>70</v>
      </c>
      <c r="D148">
        <v>107264616</v>
      </c>
      <c r="E148" t="s">
        <v>592</v>
      </c>
      <c r="F148" t="s">
        <v>72</v>
      </c>
      <c r="G148">
        <v>0.43</v>
      </c>
      <c r="H148">
        <v>9.2100000000000009</v>
      </c>
      <c r="I148">
        <v>0</v>
      </c>
      <c r="J148">
        <v>0</v>
      </c>
      <c r="K148">
        <v>9.6300000000000008</v>
      </c>
      <c r="L148" t="s">
        <v>61</v>
      </c>
      <c r="M148">
        <v>312</v>
      </c>
      <c r="N148">
        <v>32.39</v>
      </c>
      <c r="O148" t="s">
        <v>69</v>
      </c>
      <c r="P148" t="s">
        <v>67</v>
      </c>
      <c r="Q148">
        <v>0</v>
      </c>
      <c r="R148">
        <v>0</v>
      </c>
    </row>
    <row r="149" spans="1:18" x14ac:dyDescent="0.35">
      <c r="A149" t="s">
        <v>56</v>
      </c>
      <c r="B149" t="s">
        <v>57</v>
      </c>
      <c r="C149" t="s">
        <v>70</v>
      </c>
      <c r="D149">
        <v>107284888</v>
      </c>
      <c r="E149" t="s">
        <v>593</v>
      </c>
      <c r="F149" t="s">
        <v>80</v>
      </c>
      <c r="G149">
        <v>0.47</v>
      </c>
      <c r="H149">
        <v>9.56</v>
      </c>
      <c r="I149">
        <v>0</v>
      </c>
      <c r="J149">
        <v>0</v>
      </c>
      <c r="K149">
        <v>10.029999999999999</v>
      </c>
      <c r="L149" t="s">
        <v>61</v>
      </c>
      <c r="M149">
        <v>312</v>
      </c>
      <c r="N149">
        <v>31.1</v>
      </c>
      <c r="O149" t="s">
        <v>62</v>
      </c>
      <c r="P149" t="s">
        <v>63</v>
      </c>
      <c r="Q149">
        <v>500</v>
      </c>
      <c r="R149">
        <v>1057.58</v>
      </c>
    </row>
    <row r="150" spans="1:18" x14ac:dyDescent="0.35">
      <c r="A150" t="s">
        <v>56</v>
      </c>
      <c r="B150" t="s">
        <v>57</v>
      </c>
      <c r="C150" t="s">
        <v>70</v>
      </c>
      <c r="D150">
        <v>107284888</v>
      </c>
      <c r="E150" t="s">
        <v>593</v>
      </c>
      <c r="F150" t="s">
        <v>80</v>
      </c>
      <c r="G150">
        <v>0.47</v>
      </c>
      <c r="H150">
        <v>9.56</v>
      </c>
      <c r="I150">
        <v>0</v>
      </c>
      <c r="J150">
        <v>0</v>
      </c>
      <c r="K150">
        <v>10.029999999999999</v>
      </c>
      <c r="L150" t="s">
        <v>61</v>
      </c>
      <c r="M150">
        <v>312</v>
      </c>
      <c r="N150">
        <v>31.1</v>
      </c>
      <c r="O150" t="s">
        <v>62</v>
      </c>
      <c r="P150" t="s">
        <v>64</v>
      </c>
      <c r="Q150">
        <v>1559</v>
      </c>
      <c r="R150">
        <v>163.07</v>
      </c>
    </row>
    <row r="151" spans="1:18" x14ac:dyDescent="0.35">
      <c r="A151" t="s">
        <v>56</v>
      </c>
      <c r="B151" t="s">
        <v>57</v>
      </c>
      <c r="C151" t="s">
        <v>70</v>
      </c>
      <c r="D151">
        <v>107284888</v>
      </c>
      <c r="E151" t="s">
        <v>593</v>
      </c>
      <c r="F151" t="s">
        <v>80</v>
      </c>
      <c r="G151">
        <v>0.47</v>
      </c>
      <c r="H151">
        <v>9.56</v>
      </c>
      <c r="I151">
        <v>0</v>
      </c>
      <c r="J151">
        <v>0</v>
      </c>
      <c r="K151">
        <v>10.029999999999999</v>
      </c>
      <c r="L151" t="s">
        <v>61</v>
      </c>
      <c r="M151">
        <v>312</v>
      </c>
      <c r="N151">
        <v>31.1</v>
      </c>
      <c r="O151" t="s">
        <v>62</v>
      </c>
      <c r="P151" t="s">
        <v>65</v>
      </c>
      <c r="Q151">
        <v>0</v>
      </c>
      <c r="R151">
        <v>0</v>
      </c>
    </row>
    <row r="152" spans="1:18" x14ac:dyDescent="0.35">
      <c r="A152" t="s">
        <v>56</v>
      </c>
      <c r="B152" t="s">
        <v>57</v>
      </c>
      <c r="C152" t="s">
        <v>70</v>
      </c>
      <c r="D152">
        <v>107284888</v>
      </c>
      <c r="E152" t="s">
        <v>593</v>
      </c>
      <c r="F152" t="s">
        <v>80</v>
      </c>
      <c r="G152">
        <v>0.47</v>
      </c>
      <c r="H152">
        <v>9.56</v>
      </c>
      <c r="I152">
        <v>0</v>
      </c>
      <c r="J152">
        <v>0</v>
      </c>
      <c r="K152">
        <v>10.029999999999999</v>
      </c>
      <c r="L152" t="s">
        <v>61</v>
      </c>
      <c r="M152">
        <v>312</v>
      </c>
      <c r="N152">
        <v>31.1</v>
      </c>
      <c r="O152" t="s">
        <v>62</v>
      </c>
      <c r="P152" t="s">
        <v>66</v>
      </c>
      <c r="Q152">
        <v>0</v>
      </c>
      <c r="R152">
        <v>0</v>
      </c>
    </row>
    <row r="153" spans="1:18" x14ac:dyDescent="0.35">
      <c r="A153" t="s">
        <v>56</v>
      </c>
      <c r="B153" t="s">
        <v>57</v>
      </c>
      <c r="C153" t="s">
        <v>70</v>
      </c>
      <c r="D153">
        <v>107284888</v>
      </c>
      <c r="E153" t="s">
        <v>593</v>
      </c>
      <c r="F153" t="s">
        <v>80</v>
      </c>
      <c r="G153">
        <v>0.47</v>
      </c>
      <c r="H153">
        <v>9.56</v>
      </c>
      <c r="I153">
        <v>0</v>
      </c>
      <c r="J153">
        <v>0</v>
      </c>
      <c r="K153">
        <v>10.029999999999999</v>
      </c>
      <c r="L153" t="s">
        <v>61</v>
      </c>
      <c r="M153">
        <v>312</v>
      </c>
      <c r="N153">
        <v>31.1</v>
      </c>
      <c r="O153" t="s">
        <v>62</v>
      </c>
      <c r="P153" t="s">
        <v>67</v>
      </c>
      <c r="Q153">
        <v>2059</v>
      </c>
      <c r="R153">
        <v>205.22</v>
      </c>
    </row>
    <row r="154" spans="1:18" x14ac:dyDescent="0.35">
      <c r="A154" t="s">
        <v>56</v>
      </c>
      <c r="B154" t="s">
        <v>57</v>
      </c>
      <c r="C154" t="s">
        <v>70</v>
      </c>
      <c r="D154">
        <v>107284888</v>
      </c>
      <c r="E154" t="s">
        <v>593</v>
      </c>
      <c r="F154" t="s">
        <v>80</v>
      </c>
      <c r="G154">
        <v>0.47</v>
      </c>
      <c r="H154">
        <v>9.56</v>
      </c>
      <c r="I154">
        <v>0</v>
      </c>
      <c r="J154">
        <v>0</v>
      </c>
      <c r="K154">
        <v>10.029999999999999</v>
      </c>
      <c r="L154" t="s">
        <v>61</v>
      </c>
      <c r="M154">
        <v>312</v>
      </c>
      <c r="N154">
        <v>31.1</v>
      </c>
      <c r="O154" t="s">
        <v>68</v>
      </c>
      <c r="P154" t="s">
        <v>67</v>
      </c>
      <c r="Q154">
        <v>312</v>
      </c>
      <c r="R154">
        <v>31.1</v>
      </c>
    </row>
    <row r="155" spans="1:18" x14ac:dyDescent="0.35">
      <c r="A155" t="s">
        <v>56</v>
      </c>
      <c r="B155" t="s">
        <v>57</v>
      </c>
      <c r="C155" t="s">
        <v>70</v>
      </c>
      <c r="D155">
        <v>107284888</v>
      </c>
      <c r="E155" t="s">
        <v>593</v>
      </c>
      <c r="F155" t="s">
        <v>80</v>
      </c>
      <c r="G155">
        <v>0.47</v>
      </c>
      <c r="H155">
        <v>9.56</v>
      </c>
      <c r="I155">
        <v>0</v>
      </c>
      <c r="J155">
        <v>0</v>
      </c>
      <c r="K155">
        <v>10.029999999999999</v>
      </c>
      <c r="L155" t="s">
        <v>61</v>
      </c>
      <c r="M155">
        <v>312</v>
      </c>
      <c r="N155">
        <v>31.1</v>
      </c>
      <c r="O155" t="s">
        <v>69</v>
      </c>
      <c r="P155" t="s">
        <v>67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58</v>
      </c>
      <c r="D156">
        <v>107348340</v>
      </c>
      <c r="E156" t="s">
        <v>594</v>
      </c>
      <c r="F156" t="s">
        <v>80</v>
      </c>
      <c r="G156">
        <v>0.59</v>
      </c>
      <c r="H156">
        <v>7.1</v>
      </c>
      <c r="I156">
        <v>0</v>
      </c>
      <c r="J156">
        <v>0</v>
      </c>
      <c r="K156">
        <v>7.68</v>
      </c>
      <c r="L156" t="s">
        <v>61</v>
      </c>
      <c r="M156">
        <v>121</v>
      </c>
      <c r="N156">
        <v>15.75</v>
      </c>
      <c r="O156" t="s">
        <v>62</v>
      </c>
      <c r="P156" t="s">
        <v>63</v>
      </c>
      <c r="Q156">
        <v>433</v>
      </c>
      <c r="R156">
        <v>737.72</v>
      </c>
    </row>
    <row r="157" spans="1:18" x14ac:dyDescent="0.35">
      <c r="A157" t="s">
        <v>56</v>
      </c>
      <c r="B157" t="s">
        <v>57</v>
      </c>
      <c r="C157" t="s">
        <v>58</v>
      </c>
      <c r="D157">
        <v>107348340</v>
      </c>
      <c r="E157" t="s">
        <v>594</v>
      </c>
      <c r="F157" t="s">
        <v>80</v>
      </c>
      <c r="G157">
        <v>0.59</v>
      </c>
      <c r="H157">
        <v>7.1</v>
      </c>
      <c r="I157">
        <v>0</v>
      </c>
      <c r="J157">
        <v>0</v>
      </c>
      <c r="K157">
        <v>7.68</v>
      </c>
      <c r="L157" t="s">
        <v>61</v>
      </c>
      <c r="M157">
        <v>121</v>
      </c>
      <c r="N157">
        <v>15.75</v>
      </c>
      <c r="O157" t="s">
        <v>62</v>
      </c>
      <c r="P157" t="s">
        <v>64</v>
      </c>
      <c r="Q157">
        <v>807</v>
      </c>
      <c r="R157">
        <v>113.73</v>
      </c>
    </row>
    <row r="158" spans="1:18" x14ac:dyDescent="0.35">
      <c r="A158" t="s">
        <v>56</v>
      </c>
      <c r="B158" t="s">
        <v>57</v>
      </c>
      <c r="C158" t="s">
        <v>58</v>
      </c>
      <c r="D158">
        <v>107348340</v>
      </c>
      <c r="E158" t="s">
        <v>594</v>
      </c>
      <c r="F158" t="s">
        <v>80</v>
      </c>
      <c r="G158">
        <v>0.59</v>
      </c>
      <c r="H158">
        <v>7.1</v>
      </c>
      <c r="I158">
        <v>0</v>
      </c>
      <c r="J158">
        <v>0</v>
      </c>
      <c r="K158">
        <v>7.68</v>
      </c>
      <c r="L158" t="s">
        <v>61</v>
      </c>
      <c r="M158">
        <v>121</v>
      </c>
      <c r="N158">
        <v>15.75</v>
      </c>
      <c r="O158" t="s">
        <v>62</v>
      </c>
      <c r="P158" t="s">
        <v>65</v>
      </c>
      <c r="Q158">
        <v>0</v>
      </c>
      <c r="R158">
        <v>0</v>
      </c>
    </row>
    <row r="159" spans="1:18" x14ac:dyDescent="0.35">
      <c r="A159" t="s">
        <v>56</v>
      </c>
      <c r="B159" t="s">
        <v>57</v>
      </c>
      <c r="C159" t="s">
        <v>58</v>
      </c>
      <c r="D159">
        <v>107348340</v>
      </c>
      <c r="E159" t="s">
        <v>594</v>
      </c>
      <c r="F159" t="s">
        <v>80</v>
      </c>
      <c r="G159">
        <v>0.59</v>
      </c>
      <c r="H159">
        <v>7.1</v>
      </c>
      <c r="I159">
        <v>0</v>
      </c>
      <c r="J159">
        <v>0</v>
      </c>
      <c r="K159">
        <v>7.68</v>
      </c>
      <c r="L159" t="s">
        <v>61</v>
      </c>
      <c r="M159">
        <v>121</v>
      </c>
      <c r="N159">
        <v>15.75</v>
      </c>
      <c r="O159" t="s">
        <v>62</v>
      </c>
      <c r="P159" t="s">
        <v>66</v>
      </c>
      <c r="Q159">
        <v>0</v>
      </c>
      <c r="R159">
        <v>0</v>
      </c>
    </row>
    <row r="160" spans="1:18" x14ac:dyDescent="0.35">
      <c r="A160" t="s">
        <v>56</v>
      </c>
      <c r="B160" t="s">
        <v>57</v>
      </c>
      <c r="C160" t="s">
        <v>58</v>
      </c>
      <c r="D160">
        <v>107348340</v>
      </c>
      <c r="E160" t="s">
        <v>594</v>
      </c>
      <c r="F160" t="s">
        <v>80</v>
      </c>
      <c r="G160">
        <v>0.59</v>
      </c>
      <c r="H160">
        <v>7.1</v>
      </c>
      <c r="I160">
        <v>0</v>
      </c>
      <c r="J160">
        <v>0</v>
      </c>
      <c r="K160">
        <v>7.68</v>
      </c>
      <c r="L160" t="s">
        <v>61</v>
      </c>
      <c r="M160">
        <v>121</v>
      </c>
      <c r="N160">
        <v>15.75</v>
      </c>
      <c r="O160" t="s">
        <v>62</v>
      </c>
      <c r="P160" t="s">
        <v>67</v>
      </c>
      <c r="Q160">
        <v>1240</v>
      </c>
      <c r="R160">
        <v>161.38999999999999</v>
      </c>
    </row>
    <row r="161" spans="1:18" x14ac:dyDescent="0.35">
      <c r="A161" t="s">
        <v>56</v>
      </c>
      <c r="B161" t="s">
        <v>57</v>
      </c>
      <c r="C161" t="s">
        <v>58</v>
      </c>
      <c r="D161">
        <v>107348340</v>
      </c>
      <c r="E161" t="s">
        <v>594</v>
      </c>
      <c r="F161" t="s">
        <v>80</v>
      </c>
      <c r="G161">
        <v>0.59</v>
      </c>
      <c r="H161">
        <v>7.1</v>
      </c>
      <c r="I161">
        <v>0</v>
      </c>
      <c r="J161">
        <v>0</v>
      </c>
      <c r="K161">
        <v>7.68</v>
      </c>
      <c r="L161" t="s">
        <v>61</v>
      </c>
      <c r="M161">
        <v>121</v>
      </c>
      <c r="N161">
        <v>15.75</v>
      </c>
      <c r="O161" t="s">
        <v>68</v>
      </c>
      <c r="P161" t="s">
        <v>67</v>
      </c>
      <c r="Q161">
        <v>122</v>
      </c>
      <c r="R161">
        <v>15.88</v>
      </c>
    </row>
    <row r="162" spans="1:18" x14ac:dyDescent="0.35">
      <c r="A162" t="s">
        <v>56</v>
      </c>
      <c r="B162" t="s">
        <v>57</v>
      </c>
      <c r="C162" t="s">
        <v>58</v>
      </c>
      <c r="D162">
        <v>107348340</v>
      </c>
      <c r="E162" t="s">
        <v>594</v>
      </c>
      <c r="F162" t="s">
        <v>80</v>
      </c>
      <c r="G162">
        <v>0.59</v>
      </c>
      <c r="H162">
        <v>7.1</v>
      </c>
      <c r="I162">
        <v>0</v>
      </c>
      <c r="J162">
        <v>0</v>
      </c>
      <c r="K162">
        <v>7.68</v>
      </c>
      <c r="L162" t="s">
        <v>61</v>
      </c>
      <c r="M162">
        <v>121</v>
      </c>
      <c r="N162">
        <v>15.75</v>
      </c>
      <c r="O162" t="s">
        <v>69</v>
      </c>
      <c r="P162" t="s">
        <v>67</v>
      </c>
      <c r="Q162">
        <v>0</v>
      </c>
      <c r="R162">
        <v>0</v>
      </c>
    </row>
    <row r="163" spans="1:18" x14ac:dyDescent="0.35">
      <c r="A163" t="s">
        <v>56</v>
      </c>
      <c r="B163" t="s">
        <v>57</v>
      </c>
      <c r="C163" t="s">
        <v>58</v>
      </c>
      <c r="D163">
        <v>107627860</v>
      </c>
      <c r="E163" t="s">
        <v>595</v>
      </c>
      <c r="F163" t="s">
        <v>72</v>
      </c>
      <c r="G163">
        <v>0.28000000000000003</v>
      </c>
      <c r="H163">
        <v>3.92</v>
      </c>
      <c r="I163">
        <v>0</v>
      </c>
      <c r="J163">
        <v>0</v>
      </c>
      <c r="K163">
        <v>4.2</v>
      </c>
      <c r="L163" t="s">
        <v>61</v>
      </c>
      <c r="M163">
        <v>90</v>
      </c>
      <c r="N163">
        <v>21.43</v>
      </c>
      <c r="O163" t="s">
        <v>62</v>
      </c>
      <c r="P163" t="s">
        <v>63</v>
      </c>
      <c r="Q163">
        <v>373</v>
      </c>
      <c r="R163">
        <v>1332.14</v>
      </c>
    </row>
    <row r="164" spans="1:18" x14ac:dyDescent="0.35">
      <c r="A164" t="s">
        <v>56</v>
      </c>
      <c r="B164" t="s">
        <v>57</v>
      </c>
      <c r="C164" t="s">
        <v>58</v>
      </c>
      <c r="D164">
        <v>107627860</v>
      </c>
      <c r="E164" t="s">
        <v>595</v>
      </c>
      <c r="F164" t="s">
        <v>72</v>
      </c>
      <c r="G164">
        <v>0.28000000000000003</v>
      </c>
      <c r="H164">
        <v>3.92</v>
      </c>
      <c r="I164">
        <v>0</v>
      </c>
      <c r="J164">
        <v>0</v>
      </c>
      <c r="K164">
        <v>4.2</v>
      </c>
      <c r="L164" t="s">
        <v>61</v>
      </c>
      <c r="M164">
        <v>90</v>
      </c>
      <c r="N164">
        <v>21.43</v>
      </c>
      <c r="O164" t="s">
        <v>62</v>
      </c>
      <c r="P164" t="s">
        <v>64</v>
      </c>
      <c r="Q164">
        <v>805</v>
      </c>
      <c r="R164">
        <v>205.37</v>
      </c>
    </row>
    <row r="165" spans="1:18" x14ac:dyDescent="0.35">
      <c r="A165" t="s">
        <v>56</v>
      </c>
      <c r="B165" t="s">
        <v>57</v>
      </c>
      <c r="C165" t="s">
        <v>58</v>
      </c>
      <c r="D165">
        <v>107627860</v>
      </c>
      <c r="E165" t="s">
        <v>595</v>
      </c>
      <c r="F165" t="s">
        <v>72</v>
      </c>
      <c r="G165">
        <v>0.28000000000000003</v>
      </c>
      <c r="H165">
        <v>3.92</v>
      </c>
      <c r="I165">
        <v>0</v>
      </c>
      <c r="J165">
        <v>0</v>
      </c>
      <c r="K165">
        <v>4.2</v>
      </c>
      <c r="L165" t="s">
        <v>61</v>
      </c>
      <c r="M165">
        <v>90</v>
      </c>
      <c r="N165">
        <v>21.43</v>
      </c>
      <c r="O165" t="s">
        <v>62</v>
      </c>
      <c r="P165" t="s">
        <v>65</v>
      </c>
      <c r="Q165">
        <v>0</v>
      </c>
      <c r="R165">
        <v>0</v>
      </c>
    </row>
    <row r="166" spans="1:18" x14ac:dyDescent="0.35">
      <c r="A166" t="s">
        <v>56</v>
      </c>
      <c r="B166" t="s">
        <v>57</v>
      </c>
      <c r="C166" t="s">
        <v>58</v>
      </c>
      <c r="D166">
        <v>107627860</v>
      </c>
      <c r="E166" t="s">
        <v>595</v>
      </c>
      <c r="F166" t="s">
        <v>72</v>
      </c>
      <c r="G166">
        <v>0.28000000000000003</v>
      </c>
      <c r="H166">
        <v>3.92</v>
      </c>
      <c r="I166">
        <v>0</v>
      </c>
      <c r="J166">
        <v>0</v>
      </c>
      <c r="K166">
        <v>4.2</v>
      </c>
      <c r="L166" t="s">
        <v>61</v>
      </c>
      <c r="M166">
        <v>90</v>
      </c>
      <c r="N166">
        <v>21.43</v>
      </c>
      <c r="O166" t="s">
        <v>62</v>
      </c>
      <c r="P166" t="s">
        <v>66</v>
      </c>
      <c r="Q166">
        <v>0</v>
      </c>
      <c r="R166">
        <v>0</v>
      </c>
    </row>
    <row r="167" spans="1:18" x14ac:dyDescent="0.35">
      <c r="A167" t="s">
        <v>56</v>
      </c>
      <c r="B167" t="s">
        <v>57</v>
      </c>
      <c r="C167" t="s">
        <v>58</v>
      </c>
      <c r="D167">
        <v>107627860</v>
      </c>
      <c r="E167" t="s">
        <v>595</v>
      </c>
      <c r="F167" t="s">
        <v>72</v>
      </c>
      <c r="G167">
        <v>0.28000000000000003</v>
      </c>
      <c r="H167">
        <v>3.92</v>
      </c>
      <c r="I167">
        <v>0</v>
      </c>
      <c r="J167">
        <v>0</v>
      </c>
      <c r="K167">
        <v>4.2</v>
      </c>
      <c r="L167" t="s">
        <v>61</v>
      </c>
      <c r="M167">
        <v>90</v>
      </c>
      <c r="N167">
        <v>21.43</v>
      </c>
      <c r="O167" t="s">
        <v>62</v>
      </c>
      <c r="P167" t="s">
        <v>67</v>
      </c>
      <c r="Q167">
        <v>1178</v>
      </c>
      <c r="R167">
        <v>280.48</v>
      </c>
    </row>
    <row r="168" spans="1:18" x14ac:dyDescent="0.35">
      <c r="A168" t="s">
        <v>56</v>
      </c>
      <c r="B168" t="s">
        <v>57</v>
      </c>
      <c r="C168" t="s">
        <v>58</v>
      </c>
      <c r="D168">
        <v>107627860</v>
      </c>
      <c r="E168" t="s">
        <v>595</v>
      </c>
      <c r="F168" t="s">
        <v>72</v>
      </c>
      <c r="G168">
        <v>0.28000000000000003</v>
      </c>
      <c r="H168">
        <v>3.92</v>
      </c>
      <c r="I168">
        <v>0</v>
      </c>
      <c r="J168">
        <v>0</v>
      </c>
      <c r="K168">
        <v>4.2</v>
      </c>
      <c r="L168" t="s">
        <v>61</v>
      </c>
      <c r="M168">
        <v>90</v>
      </c>
      <c r="N168">
        <v>21.43</v>
      </c>
      <c r="O168" t="s">
        <v>68</v>
      </c>
      <c r="P168" t="s">
        <v>67</v>
      </c>
      <c r="Q168">
        <v>90</v>
      </c>
      <c r="R168">
        <v>21.43</v>
      </c>
    </row>
    <row r="169" spans="1:18" x14ac:dyDescent="0.35">
      <c r="A169" t="s">
        <v>56</v>
      </c>
      <c r="B169" t="s">
        <v>57</v>
      </c>
      <c r="C169" t="s">
        <v>58</v>
      </c>
      <c r="D169">
        <v>107627860</v>
      </c>
      <c r="E169" t="s">
        <v>595</v>
      </c>
      <c r="F169" t="s">
        <v>72</v>
      </c>
      <c r="G169">
        <v>0.28000000000000003</v>
      </c>
      <c r="H169">
        <v>3.92</v>
      </c>
      <c r="I169">
        <v>0</v>
      </c>
      <c r="J169">
        <v>0</v>
      </c>
      <c r="K169">
        <v>4.2</v>
      </c>
      <c r="L169" t="s">
        <v>61</v>
      </c>
      <c r="M169">
        <v>90</v>
      </c>
      <c r="N169">
        <v>21.43</v>
      </c>
      <c r="O169" t="s">
        <v>69</v>
      </c>
      <c r="P169" t="s">
        <v>67</v>
      </c>
      <c r="Q169">
        <v>0</v>
      </c>
      <c r="R169">
        <v>0</v>
      </c>
    </row>
    <row r="170" spans="1:18" x14ac:dyDescent="0.35">
      <c r="A170" t="s">
        <v>56</v>
      </c>
      <c r="B170" t="s">
        <v>57</v>
      </c>
      <c r="C170" t="s">
        <v>70</v>
      </c>
      <c r="D170">
        <v>107674648</v>
      </c>
      <c r="E170" t="s">
        <v>100</v>
      </c>
      <c r="F170" t="s">
        <v>72</v>
      </c>
      <c r="G170">
        <v>0.1</v>
      </c>
      <c r="H170">
        <v>9.85</v>
      </c>
      <c r="I170">
        <v>0</v>
      </c>
      <c r="J170">
        <v>0</v>
      </c>
      <c r="K170">
        <v>9.9499999999999993</v>
      </c>
      <c r="L170" t="s">
        <v>61</v>
      </c>
      <c r="M170">
        <v>318</v>
      </c>
      <c r="N170">
        <v>31.96</v>
      </c>
      <c r="O170" t="s">
        <v>62</v>
      </c>
      <c r="P170" t="s">
        <v>63</v>
      </c>
      <c r="Q170">
        <v>88</v>
      </c>
      <c r="R170">
        <v>900</v>
      </c>
    </row>
    <row r="171" spans="1:18" x14ac:dyDescent="0.35">
      <c r="A171" t="s">
        <v>56</v>
      </c>
      <c r="B171" t="s">
        <v>57</v>
      </c>
      <c r="C171" t="s">
        <v>70</v>
      </c>
      <c r="D171">
        <v>107674648</v>
      </c>
      <c r="E171" t="s">
        <v>100</v>
      </c>
      <c r="F171" t="s">
        <v>72</v>
      </c>
      <c r="G171">
        <v>0.1</v>
      </c>
      <c r="H171">
        <v>9.85</v>
      </c>
      <c r="I171">
        <v>0</v>
      </c>
      <c r="J171">
        <v>0</v>
      </c>
      <c r="K171">
        <v>9.9499999999999993</v>
      </c>
      <c r="L171" t="s">
        <v>61</v>
      </c>
      <c r="M171">
        <v>318</v>
      </c>
      <c r="N171">
        <v>31.96</v>
      </c>
      <c r="O171" t="s">
        <v>62</v>
      </c>
      <c r="P171" t="s">
        <v>64</v>
      </c>
      <c r="Q171">
        <v>1365</v>
      </c>
      <c r="R171">
        <v>138.55000000000001</v>
      </c>
    </row>
    <row r="172" spans="1:18" x14ac:dyDescent="0.35">
      <c r="A172" t="s">
        <v>56</v>
      </c>
      <c r="B172" t="s">
        <v>57</v>
      </c>
      <c r="C172" t="s">
        <v>70</v>
      </c>
      <c r="D172">
        <v>107674648</v>
      </c>
      <c r="E172" t="s">
        <v>100</v>
      </c>
      <c r="F172" t="s">
        <v>72</v>
      </c>
      <c r="G172">
        <v>0.1</v>
      </c>
      <c r="H172">
        <v>9.85</v>
      </c>
      <c r="I172">
        <v>0</v>
      </c>
      <c r="J172">
        <v>0</v>
      </c>
      <c r="K172">
        <v>9.9499999999999993</v>
      </c>
      <c r="L172" t="s">
        <v>61</v>
      </c>
      <c r="M172">
        <v>318</v>
      </c>
      <c r="N172">
        <v>31.96</v>
      </c>
      <c r="O172" t="s">
        <v>62</v>
      </c>
      <c r="P172" t="s">
        <v>65</v>
      </c>
      <c r="Q172">
        <v>0</v>
      </c>
      <c r="R172">
        <v>0</v>
      </c>
    </row>
    <row r="173" spans="1:18" x14ac:dyDescent="0.35">
      <c r="A173" t="s">
        <v>56</v>
      </c>
      <c r="B173" t="s">
        <v>57</v>
      </c>
      <c r="C173" t="s">
        <v>70</v>
      </c>
      <c r="D173">
        <v>107674648</v>
      </c>
      <c r="E173" t="s">
        <v>100</v>
      </c>
      <c r="F173" t="s">
        <v>72</v>
      </c>
      <c r="G173">
        <v>0.1</v>
      </c>
      <c r="H173">
        <v>9.85</v>
      </c>
      <c r="I173">
        <v>0</v>
      </c>
      <c r="J173">
        <v>0</v>
      </c>
      <c r="K173">
        <v>9.9499999999999993</v>
      </c>
      <c r="L173" t="s">
        <v>61</v>
      </c>
      <c r="M173">
        <v>318</v>
      </c>
      <c r="N173">
        <v>31.96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70</v>
      </c>
      <c r="D174">
        <v>107674648</v>
      </c>
      <c r="E174" t="s">
        <v>100</v>
      </c>
      <c r="F174" t="s">
        <v>72</v>
      </c>
      <c r="G174">
        <v>0.1</v>
      </c>
      <c r="H174">
        <v>9.85</v>
      </c>
      <c r="I174">
        <v>0</v>
      </c>
      <c r="J174">
        <v>0</v>
      </c>
      <c r="K174">
        <v>9.9499999999999993</v>
      </c>
      <c r="L174" t="s">
        <v>61</v>
      </c>
      <c r="M174">
        <v>318</v>
      </c>
      <c r="N174">
        <v>31.96</v>
      </c>
      <c r="O174" t="s">
        <v>62</v>
      </c>
      <c r="P174" t="s">
        <v>67</v>
      </c>
      <c r="Q174">
        <v>1453</v>
      </c>
      <c r="R174">
        <v>146.03</v>
      </c>
    </row>
    <row r="175" spans="1:18" x14ac:dyDescent="0.35">
      <c r="A175" t="s">
        <v>56</v>
      </c>
      <c r="B175" t="s">
        <v>57</v>
      </c>
      <c r="C175" t="s">
        <v>70</v>
      </c>
      <c r="D175">
        <v>107674648</v>
      </c>
      <c r="E175" t="s">
        <v>100</v>
      </c>
      <c r="F175" t="s">
        <v>72</v>
      </c>
      <c r="G175">
        <v>0.1</v>
      </c>
      <c r="H175">
        <v>9.85</v>
      </c>
      <c r="I175">
        <v>0</v>
      </c>
      <c r="J175">
        <v>0</v>
      </c>
      <c r="K175">
        <v>9.9499999999999993</v>
      </c>
      <c r="L175" t="s">
        <v>61</v>
      </c>
      <c r="M175">
        <v>318</v>
      </c>
      <c r="N175">
        <v>31.96</v>
      </c>
      <c r="O175" t="s">
        <v>68</v>
      </c>
      <c r="P175" t="s">
        <v>67</v>
      </c>
      <c r="Q175">
        <v>318</v>
      </c>
      <c r="R175">
        <v>31.96</v>
      </c>
    </row>
    <row r="176" spans="1:18" x14ac:dyDescent="0.35">
      <c r="A176" t="s">
        <v>56</v>
      </c>
      <c r="B176" t="s">
        <v>57</v>
      </c>
      <c r="C176" t="s">
        <v>70</v>
      </c>
      <c r="D176">
        <v>107674648</v>
      </c>
      <c r="E176" t="s">
        <v>100</v>
      </c>
      <c r="F176" t="s">
        <v>72</v>
      </c>
      <c r="G176">
        <v>0.1</v>
      </c>
      <c r="H176">
        <v>9.85</v>
      </c>
      <c r="I176">
        <v>0</v>
      </c>
      <c r="J176">
        <v>0</v>
      </c>
      <c r="K176">
        <v>9.9499999999999993</v>
      </c>
      <c r="L176" t="s">
        <v>61</v>
      </c>
      <c r="M176">
        <v>318</v>
      </c>
      <c r="N176">
        <v>31.96</v>
      </c>
      <c r="O176" t="s">
        <v>69</v>
      </c>
      <c r="P176" t="s">
        <v>67</v>
      </c>
      <c r="Q176">
        <v>0</v>
      </c>
      <c r="R176">
        <v>0</v>
      </c>
    </row>
    <row r="177" spans="1:18" x14ac:dyDescent="0.35">
      <c r="A177" t="s">
        <v>56</v>
      </c>
      <c r="B177" t="s">
        <v>57</v>
      </c>
      <c r="C177" t="s">
        <v>58</v>
      </c>
      <c r="D177">
        <v>107704604</v>
      </c>
      <c r="E177" t="s">
        <v>101</v>
      </c>
      <c r="F177" t="s">
        <v>72</v>
      </c>
      <c r="G177">
        <v>0.56999999999999995</v>
      </c>
      <c r="H177">
        <v>9.4499999999999993</v>
      </c>
      <c r="I177">
        <v>0</v>
      </c>
      <c r="J177">
        <v>0</v>
      </c>
      <c r="K177">
        <v>10.02</v>
      </c>
      <c r="L177" t="s">
        <v>61</v>
      </c>
      <c r="M177">
        <v>453</v>
      </c>
      <c r="N177">
        <v>45.22</v>
      </c>
      <c r="O177" t="s">
        <v>62</v>
      </c>
      <c r="P177" t="s">
        <v>63</v>
      </c>
      <c r="Q177">
        <v>852</v>
      </c>
      <c r="R177">
        <v>1494.74</v>
      </c>
    </row>
    <row r="178" spans="1:18" x14ac:dyDescent="0.35">
      <c r="A178" t="s">
        <v>56</v>
      </c>
      <c r="B178" t="s">
        <v>57</v>
      </c>
      <c r="C178" t="s">
        <v>58</v>
      </c>
      <c r="D178">
        <v>107704604</v>
      </c>
      <c r="E178" t="s">
        <v>101</v>
      </c>
      <c r="F178" t="s">
        <v>72</v>
      </c>
      <c r="G178">
        <v>0.56999999999999995</v>
      </c>
      <c r="H178">
        <v>9.4499999999999993</v>
      </c>
      <c r="I178">
        <v>0</v>
      </c>
      <c r="J178">
        <v>0</v>
      </c>
      <c r="K178">
        <v>10.02</v>
      </c>
      <c r="L178" t="s">
        <v>61</v>
      </c>
      <c r="M178">
        <v>453</v>
      </c>
      <c r="N178">
        <v>45.22</v>
      </c>
      <c r="O178" t="s">
        <v>62</v>
      </c>
      <c r="P178" t="s">
        <v>64</v>
      </c>
      <c r="Q178">
        <v>2177</v>
      </c>
      <c r="R178">
        <v>230.46</v>
      </c>
    </row>
    <row r="179" spans="1:18" x14ac:dyDescent="0.35">
      <c r="A179" t="s">
        <v>56</v>
      </c>
      <c r="B179" t="s">
        <v>57</v>
      </c>
      <c r="C179" t="s">
        <v>58</v>
      </c>
      <c r="D179">
        <v>107704604</v>
      </c>
      <c r="E179" t="s">
        <v>101</v>
      </c>
      <c r="F179" t="s">
        <v>72</v>
      </c>
      <c r="G179">
        <v>0.56999999999999995</v>
      </c>
      <c r="H179">
        <v>9.4499999999999993</v>
      </c>
      <c r="I179">
        <v>0</v>
      </c>
      <c r="J179">
        <v>0</v>
      </c>
      <c r="K179">
        <v>10.02</v>
      </c>
      <c r="L179" t="s">
        <v>61</v>
      </c>
      <c r="M179">
        <v>453</v>
      </c>
      <c r="N179">
        <v>45.22</v>
      </c>
      <c r="O179" t="s">
        <v>62</v>
      </c>
      <c r="P179" t="s">
        <v>65</v>
      </c>
      <c r="Q179">
        <v>0</v>
      </c>
      <c r="R179">
        <v>0</v>
      </c>
    </row>
    <row r="180" spans="1:18" x14ac:dyDescent="0.35">
      <c r="A180" t="s">
        <v>56</v>
      </c>
      <c r="B180" t="s">
        <v>57</v>
      </c>
      <c r="C180" t="s">
        <v>58</v>
      </c>
      <c r="D180">
        <v>107704604</v>
      </c>
      <c r="E180" t="s">
        <v>101</v>
      </c>
      <c r="F180" t="s">
        <v>72</v>
      </c>
      <c r="G180">
        <v>0.56999999999999995</v>
      </c>
      <c r="H180">
        <v>9.4499999999999993</v>
      </c>
      <c r="I180">
        <v>0</v>
      </c>
      <c r="J180">
        <v>0</v>
      </c>
      <c r="K180">
        <v>10.02</v>
      </c>
      <c r="L180" t="s">
        <v>61</v>
      </c>
      <c r="M180">
        <v>453</v>
      </c>
      <c r="N180">
        <v>45.22</v>
      </c>
      <c r="O180" t="s">
        <v>62</v>
      </c>
      <c r="P180" t="s">
        <v>66</v>
      </c>
      <c r="Q180">
        <v>0</v>
      </c>
      <c r="R180">
        <v>0</v>
      </c>
    </row>
    <row r="181" spans="1:18" x14ac:dyDescent="0.35">
      <c r="A181" t="s">
        <v>56</v>
      </c>
      <c r="B181" t="s">
        <v>57</v>
      </c>
      <c r="C181" t="s">
        <v>58</v>
      </c>
      <c r="D181">
        <v>107704604</v>
      </c>
      <c r="E181" t="s">
        <v>101</v>
      </c>
      <c r="F181" t="s">
        <v>72</v>
      </c>
      <c r="G181">
        <v>0.56999999999999995</v>
      </c>
      <c r="H181">
        <v>9.4499999999999993</v>
      </c>
      <c r="I181">
        <v>0</v>
      </c>
      <c r="J181">
        <v>0</v>
      </c>
      <c r="K181">
        <v>10.02</v>
      </c>
      <c r="L181" t="s">
        <v>61</v>
      </c>
      <c r="M181">
        <v>453</v>
      </c>
      <c r="N181">
        <v>45.22</v>
      </c>
      <c r="O181" t="s">
        <v>62</v>
      </c>
      <c r="P181" t="s">
        <v>67</v>
      </c>
      <c r="Q181">
        <v>3029</v>
      </c>
      <c r="R181">
        <v>302.39999999999998</v>
      </c>
    </row>
    <row r="182" spans="1:18" x14ac:dyDescent="0.35">
      <c r="A182" t="s">
        <v>56</v>
      </c>
      <c r="B182" t="s">
        <v>57</v>
      </c>
      <c r="C182" t="s">
        <v>58</v>
      </c>
      <c r="D182">
        <v>107704604</v>
      </c>
      <c r="E182" t="s">
        <v>101</v>
      </c>
      <c r="F182" t="s">
        <v>72</v>
      </c>
      <c r="G182">
        <v>0.56999999999999995</v>
      </c>
      <c r="H182">
        <v>9.4499999999999993</v>
      </c>
      <c r="I182">
        <v>0</v>
      </c>
      <c r="J182">
        <v>0</v>
      </c>
      <c r="K182">
        <v>10.02</v>
      </c>
      <c r="L182" t="s">
        <v>61</v>
      </c>
      <c r="M182">
        <v>453</v>
      </c>
      <c r="N182">
        <v>45.22</v>
      </c>
      <c r="O182" t="s">
        <v>68</v>
      </c>
      <c r="P182" t="s">
        <v>67</v>
      </c>
      <c r="Q182">
        <v>453</v>
      </c>
      <c r="R182">
        <v>45.22</v>
      </c>
    </row>
    <row r="183" spans="1:18" x14ac:dyDescent="0.35">
      <c r="A183" t="s">
        <v>56</v>
      </c>
      <c r="B183" t="s">
        <v>57</v>
      </c>
      <c r="C183" t="s">
        <v>58</v>
      </c>
      <c r="D183">
        <v>107704604</v>
      </c>
      <c r="E183" t="s">
        <v>101</v>
      </c>
      <c r="F183" t="s">
        <v>72</v>
      </c>
      <c r="G183">
        <v>0.56999999999999995</v>
      </c>
      <c r="H183">
        <v>9.4499999999999993</v>
      </c>
      <c r="I183">
        <v>0</v>
      </c>
      <c r="J183">
        <v>0</v>
      </c>
      <c r="K183">
        <v>10.02</v>
      </c>
      <c r="L183" t="s">
        <v>61</v>
      </c>
      <c r="M183">
        <v>453</v>
      </c>
      <c r="N183">
        <v>45.22</v>
      </c>
      <c r="O183" t="s">
        <v>69</v>
      </c>
      <c r="P183" t="s">
        <v>67</v>
      </c>
      <c r="Q183">
        <v>0</v>
      </c>
      <c r="R183">
        <v>0</v>
      </c>
    </row>
    <row r="184" spans="1:18" x14ac:dyDescent="0.35">
      <c r="A184" t="s">
        <v>56</v>
      </c>
      <c r="B184" t="s">
        <v>57</v>
      </c>
      <c r="C184" t="s">
        <v>70</v>
      </c>
      <c r="D184">
        <v>107748062</v>
      </c>
      <c r="E184" t="s">
        <v>596</v>
      </c>
      <c r="F184" t="s">
        <v>80</v>
      </c>
      <c r="G184">
        <v>0.27</v>
      </c>
      <c r="H184">
        <v>9.5299999999999994</v>
      </c>
      <c r="I184">
        <v>0.26</v>
      </c>
      <c r="J184">
        <v>0</v>
      </c>
      <c r="K184">
        <v>10.050000000000001</v>
      </c>
      <c r="L184" t="s">
        <v>61</v>
      </c>
      <c r="M184">
        <v>238</v>
      </c>
      <c r="N184">
        <v>23.68</v>
      </c>
      <c r="O184" t="s">
        <v>62</v>
      </c>
      <c r="P184" t="s">
        <v>63</v>
      </c>
      <c r="Q184">
        <v>193</v>
      </c>
      <c r="R184">
        <v>726.02</v>
      </c>
    </row>
    <row r="185" spans="1:18" x14ac:dyDescent="0.35">
      <c r="A185" t="s">
        <v>56</v>
      </c>
      <c r="B185" t="s">
        <v>57</v>
      </c>
      <c r="C185" t="s">
        <v>70</v>
      </c>
      <c r="D185">
        <v>107748062</v>
      </c>
      <c r="E185" t="s">
        <v>596</v>
      </c>
      <c r="F185" t="s">
        <v>80</v>
      </c>
      <c r="G185">
        <v>0.27</v>
      </c>
      <c r="H185">
        <v>9.5299999999999994</v>
      </c>
      <c r="I185">
        <v>0.26</v>
      </c>
      <c r="J185">
        <v>0</v>
      </c>
      <c r="K185">
        <v>10.050000000000001</v>
      </c>
      <c r="L185" t="s">
        <v>61</v>
      </c>
      <c r="M185">
        <v>238</v>
      </c>
      <c r="N185">
        <v>23.68</v>
      </c>
      <c r="O185" t="s">
        <v>62</v>
      </c>
      <c r="P185" t="s">
        <v>64</v>
      </c>
      <c r="Q185">
        <v>1066</v>
      </c>
      <c r="R185">
        <v>111.89</v>
      </c>
    </row>
    <row r="186" spans="1:18" x14ac:dyDescent="0.35">
      <c r="A186" t="s">
        <v>56</v>
      </c>
      <c r="B186" t="s">
        <v>57</v>
      </c>
      <c r="C186" t="s">
        <v>70</v>
      </c>
      <c r="D186">
        <v>107748062</v>
      </c>
      <c r="E186" t="s">
        <v>596</v>
      </c>
      <c r="F186" t="s">
        <v>80</v>
      </c>
      <c r="G186">
        <v>0.27</v>
      </c>
      <c r="H186">
        <v>9.5299999999999994</v>
      </c>
      <c r="I186">
        <v>0.26</v>
      </c>
      <c r="J186">
        <v>0</v>
      </c>
      <c r="K186">
        <v>10.050000000000001</v>
      </c>
      <c r="L186" t="s">
        <v>61</v>
      </c>
      <c r="M186">
        <v>238</v>
      </c>
      <c r="N186">
        <v>23.68</v>
      </c>
      <c r="O186" t="s">
        <v>62</v>
      </c>
      <c r="P186" t="s">
        <v>65</v>
      </c>
      <c r="Q186">
        <v>22</v>
      </c>
      <c r="R186">
        <v>85.71</v>
      </c>
    </row>
    <row r="187" spans="1:18" x14ac:dyDescent="0.35">
      <c r="A187" t="s">
        <v>56</v>
      </c>
      <c r="B187" t="s">
        <v>57</v>
      </c>
      <c r="C187" t="s">
        <v>70</v>
      </c>
      <c r="D187">
        <v>107748062</v>
      </c>
      <c r="E187" t="s">
        <v>596</v>
      </c>
      <c r="F187" t="s">
        <v>80</v>
      </c>
      <c r="G187">
        <v>0.27</v>
      </c>
      <c r="H187">
        <v>9.5299999999999994</v>
      </c>
      <c r="I187">
        <v>0.26</v>
      </c>
      <c r="J187">
        <v>0</v>
      </c>
      <c r="K187">
        <v>10.050000000000001</v>
      </c>
      <c r="L187" t="s">
        <v>61</v>
      </c>
      <c r="M187">
        <v>238</v>
      </c>
      <c r="N187">
        <v>23.68</v>
      </c>
      <c r="O187" t="s">
        <v>62</v>
      </c>
      <c r="P187" t="s">
        <v>66</v>
      </c>
      <c r="Q187">
        <v>0</v>
      </c>
      <c r="R187">
        <v>0</v>
      </c>
    </row>
    <row r="188" spans="1:18" x14ac:dyDescent="0.35">
      <c r="A188" t="s">
        <v>56</v>
      </c>
      <c r="B188" t="s">
        <v>57</v>
      </c>
      <c r="C188" t="s">
        <v>70</v>
      </c>
      <c r="D188">
        <v>107748062</v>
      </c>
      <c r="E188" t="s">
        <v>596</v>
      </c>
      <c r="F188" t="s">
        <v>80</v>
      </c>
      <c r="G188">
        <v>0.27</v>
      </c>
      <c r="H188">
        <v>9.5299999999999994</v>
      </c>
      <c r="I188">
        <v>0.26</v>
      </c>
      <c r="J188">
        <v>0</v>
      </c>
      <c r="K188">
        <v>10.050000000000001</v>
      </c>
      <c r="L188" t="s">
        <v>61</v>
      </c>
      <c r="M188">
        <v>238</v>
      </c>
      <c r="N188">
        <v>23.68</v>
      </c>
      <c r="O188" t="s">
        <v>62</v>
      </c>
      <c r="P188" t="s">
        <v>67</v>
      </c>
      <c r="Q188">
        <v>1281</v>
      </c>
      <c r="R188">
        <v>127.46</v>
      </c>
    </row>
    <row r="189" spans="1:18" x14ac:dyDescent="0.35">
      <c r="A189" t="s">
        <v>56</v>
      </c>
      <c r="B189" t="s">
        <v>57</v>
      </c>
      <c r="C189" t="s">
        <v>70</v>
      </c>
      <c r="D189">
        <v>107748062</v>
      </c>
      <c r="E189" t="s">
        <v>596</v>
      </c>
      <c r="F189" t="s">
        <v>80</v>
      </c>
      <c r="G189">
        <v>0.27</v>
      </c>
      <c r="H189">
        <v>9.5299999999999994</v>
      </c>
      <c r="I189">
        <v>0.26</v>
      </c>
      <c r="J189">
        <v>0</v>
      </c>
      <c r="K189">
        <v>10.050000000000001</v>
      </c>
      <c r="L189" t="s">
        <v>61</v>
      </c>
      <c r="M189">
        <v>238</v>
      </c>
      <c r="N189">
        <v>23.68</v>
      </c>
      <c r="O189" t="s">
        <v>68</v>
      </c>
      <c r="P189" t="s">
        <v>67</v>
      </c>
      <c r="Q189">
        <v>238</v>
      </c>
      <c r="R189">
        <v>23.68</v>
      </c>
    </row>
    <row r="190" spans="1:18" x14ac:dyDescent="0.35">
      <c r="A190" t="s">
        <v>56</v>
      </c>
      <c r="B190" t="s">
        <v>57</v>
      </c>
      <c r="C190" t="s">
        <v>70</v>
      </c>
      <c r="D190">
        <v>107748062</v>
      </c>
      <c r="E190" t="s">
        <v>596</v>
      </c>
      <c r="F190" t="s">
        <v>80</v>
      </c>
      <c r="G190">
        <v>0.27</v>
      </c>
      <c r="H190">
        <v>9.5299999999999994</v>
      </c>
      <c r="I190">
        <v>0.26</v>
      </c>
      <c r="J190">
        <v>0</v>
      </c>
      <c r="K190">
        <v>10.050000000000001</v>
      </c>
      <c r="L190" t="s">
        <v>61</v>
      </c>
      <c r="M190">
        <v>238</v>
      </c>
      <c r="N190">
        <v>23.68</v>
      </c>
      <c r="O190" t="s">
        <v>69</v>
      </c>
      <c r="P190" t="s">
        <v>67</v>
      </c>
      <c r="Q190">
        <v>0</v>
      </c>
      <c r="R190">
        <v>0</v>
      </c>
    </row>
    <row r="191" spans="1:18" x14ac:dyDescent="0.35">
      <c r="A191" t="s">
        <v>56</v>
      </c>
      <c r="B191" t="s">
        <v>57</v>
      </c>
      <c r="C191" t="s">
        <v>58</v>
      </c>
      <c r="D191">
        <v>107775413</v>
      </c>
      <c r="E191" t="s">
        <v>106</v>
      </c>
      <c r="F191" t="s">
        <v>72</v>
      </c>
      <c r="G191">
        <v>1.03</v>
      </c>
      <c r="H191">
        <v>7.99</v>
      </c>
      <c r="I191">
        <v>0</v>
      </c>
      <c r="J191">
        <v>0</v>
      </c>
      <c r="K191">
        <v>9.02</v>
      </c>
      <c r="L191" t="s">
        <v>61</v>
      </c>
      <c r="M191">
        <v>210</v>
      </c>
      <c r="N191">
        <v>23.29</v>
      </c>
      <c r="O191" t="s">
        <v>62</v>
      </c>
      <c r="P191" t="s">
        <v>63</v>
      </c>
      <c r="Q191">
        <v>868</v>
      </c>
      <c r="R191">
        <v>845</v>
      </c>
    </row>
    <row r="192" spans="1:18" x14ac:dyDescent="0.35">
      <c r="A192" t="s">
        <v>56</v>
      </c>
      <c r="B192" t="s">
        <v>57</v>
      </c>
      <c r="C192" t="s">
        <v>58</v>
      </c>
      <c r="D192">
        <v>107775413</v>
      </c>
      <c r="E192" t="s">
        <v>106</v>
      </c>
      <c r="F192" t="s">
        <v>72</v>
      </c>
      <c r="G192">
        <v>1.03</v>
      </c>
      <c r="H192">
        <v>7.99</v>
      </c>
      <c r="I192">
        <v>0</v>
      </c>
      <c r="J192">
        <v>0</v>
      </c>
      <c r="K192">
        <v>9.02</v>
      </c>
      <c r="L192" t="s">
        <v>61</v>
      </c>
      <c r="M192">
        <v>210</v>
      </c>
      <c r="N192">
        <v>23.29</v>
      </c>
      <c r="O192" t="s">
        <v>62</v>
      </c>
      <c r="P192" t="s">
        <v>64</v>
      </c>
      <c r="Q192">
        <v>1041</v>
      </c>
      <c r="R192">
        <v>130.30000000000001</v>
      </c>
    </row>
    <row r="193" spans="1:18" x14ac:dyDescent="0.35">
      <c r="A193" t="s">
        <v>56</v>
      </c>
      <c r="B193" t="s">
        <v>57</v>
      </c>
      <c r="C193" t="s">
        <v>58</v>
      </c>
      <c r="D193">
        <v>107775413</v>
      </c>
      <c r="E193" t="s">
        <v>106</v>
      </c>
      <c r="F193" t="s">
        <v>72</v>
      </c>
      <c r="G193">
        <v>1.03</v>
      </c>
      <c r="H193">
        <v>7.99</v>
      </c>
      <c r="I193">
        <v>0</v>
      </c>
      <c r="J193">
        <v>0</v>
      </c>
      <c r="K193">
        <v>9.02</v>
      </c>
      <c r="L193" t="s">
        <v>61</v>
      </c>
      <c r="M193">
        <v>210</v>
      </c>
      <c r="N193">
        <v>23.29</v>
      </c>
      <c r="O193" t="s">
        <v>62</v>
      </c>
      <c r="P193" t="s">
        <v>65</v>
      </c>
      <c r="Q193">
        <v>0</v>
      </c>
      <c r="R193">
        <v>0</v>
      </c>
    </row>
    <row r="194" spans="1:18" x14ac:dyDescent="0.35">
      <c r="A194" t="s">
        <v>56</v>
      </c>
      <c r="B194" t="s">
        <v>57</v>
      </c>
      <c r="C194" t="s">
        <v>58</v>
      </c>
      <c r="D194">
        <v>107775413</v>
      </c>
      <c r="E194" t="s">
        <v>106</v>
      </c>
      <c r="F194" t="s">
        <v>72</v>
      </c>
      <c r="G194">
        <v>1.03</v>
      </c>
      <c r="H194">
        <v>7.99</v>
      </c>
      <c r="I194">
        <v>0</v>
      </c>
      <c r="J194">
        <v>0</v>
      </c>
      <c r="K194">
        <v>9.02</v>
      </c>
      <c r="L194" t="s">
        <v>61</v>
      </c>
      <c r="M194">
        <v>210</v>
      </c>
      <c r="N194">
        <v>23.29</v>
      </c>
      <c r="O194" t="s">
        <v>62</v>
      </c>
      <c r="P194" t="s">
        <v>66</v>
      </c>
      <c r="Q194">
        <v>0</v>
      </c>
      <c r="R194">
        <v>0</v>
      </c>
    </row>
    <row r="195" spans="1:18" x14ac:dyDescent="0.35">
      <c r="A195" t="s">
        <v>56</v>
      </c>
      <c r="B195" t="s">
        <v>57</v>
      </c>
      <c r="C195" t="s">
        <v>58</v>
      </c>
      <c r="D195">
        <v>107775413</v>
      </c>
      <c r="E195" t="s">
        <v>106</v>
      </c>
      <c r="F195" t="s">
        <v>72</v>
      </c>
      <c r="G195">
        <v>1.03</v>
      </c>
      <c r="H195">
        <v>7.99</v>
      </c>
      <c r="I195">
        <v>0</v>
      </c>
      <c r="J195">
        <v>0</v>
      </c>
      <c r="K195">
        <v>9.02</v>
      </c>
      <c r="L195" t="s">
        <v>61</v>
      </c>
      <c r="M195">
        <v>210</v>
      </c>
      <c r="N195">
        <v>23.29</v>
      </c>
      <c r="O195" t="s">
        <v>62</v>
      </c>
      <c r="P195" t="s">
        <v>67</v>
      </c>
      <c r="Q195">
        <v>1909</v>
      </c>
      <c r="R195">
        <v>211.72</v>
      </c>
    </row>
    <row r="196" spans="1:18" x14ac:dyDescent="0.35">
      <c r="A196" t="s">
        <v>56</v>
      </c>
      <c r="B196" t="s">
        <v>57</v>
      </c>
      <c r="C196" t="s">
        <v>58</v>
      </c>
      <c r="D196">
        <v>107775413</v>
      </c>
      <c r="E196" t="s">
        <v>106</v>
      </c>
      <c r="F196" t="s">
        <v>72</v>
      </c>
      <c r="G196">
        <v>1.03</v>
      </c>
      <c r="H196">
        <v>7.99</v>
      </c>
      <c r="I196">
        <v>0</v>
      </c>
      <c r="J196">
        <v>0</v>
      </c>
      <c r="K196">
        <v>9.02</v>
      </c>
      <c r="L196" t="s">
        <v>61</v>
      </c>
      <c r="M196">
        <v>210</v>
      </c>
      <c r="N196">
        <v>23.29</v>
      </c>
      <c r="O196" t="s">
        <v>68</v>
      </c>
      <c r="P196" t="s">
        <v>67</v>
      </c>
      <c r="Q196">
        <v>210</v>
      </c>
      <c r="R196">
        <v>23.29</v>
      </c>
    </row>
    <row r="197" spans="1:18" x14ac:dyDescent="0.35">
      <c r="A197" t="s">
        <v>56</v>
      </c>
      <c r="B197" t="s">
        <v>57</v>
      </c>
      <c r="C197" t="s">
        <v>58</v>
      </c>
      <c r="D197">
        <v>107775413</v>
      </c>
      <c r="E197" t="s">
        <v>106</v>
      </c>
      <c r="F197" t="s">
        <v>72</v>
      </c>
      <c r="G197">
        <v>1.03</v>
      </c>
      <c r="H197">
        <v>7.99</v>
      </c>
      <c r="I197">
        <v>0</v>
      </c>
      <c r="J197">
        <v>0</v>
      </c>
      <c r="K197">
        <v>9.02</v>
      </c>
      <c r="L197" t="s">
        <v>61</v>
      </c>
      <c r="M197">
        <v>210</v>
      </c>
      <c r="N197">
        <v>23.29</v>
      </c>
      <c r="O197" t="s">
        <v>69</v>
      </c>
      <c r="P197" t="s">
        <v>67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70</v>
      </c>
      <c r="D198">
        <v>107775521</v>
      </c>
      <c r="E198" t="s">
        <v>107</v>
      </c>
      <c r="F198" t="s">
        <v>72</v>
      </c>
      <c r="G198">
        <v>0.15</v>
      </c>
      <c r="H198">
        <v>9.8699999999999992</v>
      </c>
      <c r="I198">
        <v>0</v>
      </c>
      <c r="J198">
        <v>0</v>
      </c>
      <c r="K198">
        <v>10.02</v>
      </c>
      <c r="L198" t="s">
        <v>61</v>
      </c>
      <c r="M198">
        <v>499</v>
      </c>
      <c r="N198">
        <v>49.82</v>
      </c>
      <c r="O198" t="s">
        <v>62</v>
      </c>
      <c r="P198" t="s">
        <v>63</v>
      </c>
      <c r="Q198">
        <v>230</v>
      </c>
      <c r="R198">
        <v>1527.68</v>
      </c>
    </row>
    <row r="199" spans="1:18" x14ac:dyDescent="0.35">
      <c r="A199" t="s">
        <v>56</v>
      </c>
      <c r="B199" t="s">
        <v>57</v>
      </c>
      <c r="C199" t="s">
        <v>70</v>
      </c>
      <c r="D199">
        <v>107775521</v>
      </c>
      <c r="E199" t="s">
        <v>107</v>
      </c>
      <c r="F199" t="s">
        <v>72</v>
      </c>
      <c r="G199">
        <v>0.15</v>
      </c>
      <c r="H199">
        <v>9.8699999999999992</v>
      </c>
      <c r="I199">
        <v>0</v>
      </c>
      <c r="J199">
        <v>0</v>
      </c>
      <c r="K199">
        <v>10.02</v>
      </c>
      <c r="L199" t="s">
        <v>61</v>
      </c>
      <c r="M199">
        <v>499</v>
      </c>
      <c r="N199">
        <v>49.82</v>
      </c>
      <c r="O199" t="s">
        <v>62</v>
      </c>
      <c r="P199" t="s">
        <v>64</v>
      </c>
      <c r="Q199">
        <v>2323</v>
      </c>
      <c r="R199">
        <v>235.46</v>
      </c>
    </row>
    <row r="200" spans="1:18" x14ac:dyDescent="0.35">
      <c r="A200" t="s">
        <v>56</v>
      </c>
      <c r="B200" t="s">
        <v>57</v>
      </c>
      <c r="C200" t="s">
        <v>70</v>
      </c>
      <c r="D200">
        <v>107775521</v>
      </c>
      <c r="E200" t="s">
        <v>107</v>
      </c>
      <c r="F200" t="s">
        <v>72</v>
      </c>
      <c r="G200">
        <v>0.15</v>
      </c>
      <c r="H200">
        <v>9.8699999999999992</v>
      </c>
      <c r="I200">
        <v>0</v>
      </c>
      <c r="J200">
        <v>0</v>
      </c>
      <c r="K200">
        <v>10.02</v>
      </c>
      <c r="L200" t="s">
        <v>61</v>
      </c>
      <c r="M200">
        <v>499</v>
      </c>
      <c r="N200">
        <v>49.82</v>
      </c>
      <c r="O200" t="s">
        <v>62</v>
      </c>
      <c r="P200" t="s">
        <v>65</v>
      </c>
      <c r="Q200">
        <v>0</v>
      </c>
      <c r="R200">
        <v>0</v>
      </c>
    </row>
    <row r="201" spans="1:18" x14ac:dyDescent="0.35">
      <c r="A201" t="s">
        <v>56</v>
      </c>
      <c r="B201" t="s">
        <v>57</v>
      </c>
      <c r="C201" t="s">
        <v>70</v>
      </c>
      <c r="D201">
        <v>107775521</v>
      </c>
      <c r="E201" t="s">
        <v>107</v>
      </c>
      <c r="F201" t="s">
        <v>72</v>
      </c>
      <c r="G201">
        <v>0.15</v>
      </c>
      <c r="H201">
        <v>9.8699999999999992</v>
      </c>
      <c r="I201">
        <v>0</v>
      </c>
      <c r="J201">
        <v>0</v>
      </c>
      <c r="K201">
        <v>10.02</v>
      </c>
      <c r="L201" t="s">
        <v>61</v>
      </c>
      <c r="M201">
        <v>499</v>
      </c>
      <c r="N201">
        <v>49.82</v>
      </c>
      <c r="O201" t="s">
        <v>62</v>
      </c>
      <c r="P201" t="s">
        <v>66</v>
      </c>
      <c r="Q201">
        <v>0</v>
      </c>
      <c r="R201">
        <v>0</v>
      </c>
    </row>
    <row r="202" spans="1:18" x14ac:dyDescent="0.35">
      <c r="A202" t="s">
        <v>56</v>
      </c>
      <c r="B202" t="s">
        <v>57</v>
      </c>
      <c r="C202" t="s">
        <v>70</v>
      </c>
      <c r="D202">
        <v>107775521</v>
      </c>
      <c r="E202" t="s">
        <v>107</v>
      </c>
      <c r="F202" t="s">
        <v>72</v>
      </c>
      <c r="G202">
        <v>0.15</v>
      </c>
      <c r="H202">
        <v>9.8699999999999992</v>
      </c>
      <c r="I202">
        <v>0</v>
      </c>
      <c r="J202">
        <v>0</v>
      </c>
      <c r="K202">
        <v>10.02</v>
      </c>
      <c r="L202" t="s">
        <v>61</v>
      </c>
      <c r="M202">
        <v>499</v>
      </c>
      <c r="N202">
        <v>49.82</v>
      </c>
      <c r="O202" t="s">
        <v>62</v>
      </c>
      <c r="P202" t="s">
        <v>67</v>
      </c>
      <c r="Q202">
        <v>2553</v>
      </c>
      <c r="R202">
        <v>254.88</v>
      </c>
    </row>
    <row r="203" spans="1:18" x14ac:dyDescent="0.35">
      <c r="A203" t="s">
        <v>56</v>
      </c>
      <c r="B203" t="s">
        <v>57</v>
      </c>
      <c r="C203" t="s">
        <v>70</v>
      </c>
      <c r="D203">
        <v>107775521</v>
      </c>
      <c r="E203" t="s">
        <v>107</v>
      </c>
      <c r="F203" t="s">
        <v>72</v>
      </c>
      <c r="G203">
        <v>0.15</v>
      </c>
      <c r="H203">
        <v>9.8699999999999992</v>
      </c>
      <c r="I203">
        <v>0</v>
      </c>
      <c r="J203">
        <v>0</v>
      </c>
      <c r="K203">
        <v>10.02</v>
      </c>
      <c r="L203" t="s">
        <v>61</v>
      </c>
      <c r="M203">
        <v>499</v>
      </c>
      <c r="N203">
        <v>49.82</v>
      </c>
      <c r="O203" t="s">
        <v>68</v>
      </c>
      <c r="P203" t="s">
        <v>67</v>
      </c>
      <c r="Q203">
        <v>499</v>
      </c>
      <c r="R203">
        <v>49.82</v>
      </c>
    </row>
    <row r="204" spans="1:18" x14ac:dyDescent="0.35">
      <c r="A204" t="s">
        <v>56</v>
      </c>
      <c r="B204" t="s">
        <v>57</v>
      </c>
      <c r="C204" t="s">
        <v>70</v>
      </c>
      <c r="D204">
        <v>107775521</v>
      </c>
      <c r="E204" t="s">
        <v>107</v>
      </c>
      <c r="F204" t="s">
        <v>72</v>
      </c>
      <c r="G204">
        <v>0.15</v>
      </c>
      <c r="H204">
        <v>9.8699999999999992</v>
      </c>
      <c r="I204">
        <v>0</v>
      </c>
      <c r="J204">
        <v>0</v>
      </c>
      <c r="K204">
        <v>10.02</v>
      </c>
      <c r="L204" t="s">
        <v>61</v>
      </c>
      <c r="M204">
        <v>499</v>
      </c>
      <c r="N204">
        <v>49.82</v>
      </c>
      <c r="O204" t="s">
        <v>69</v>
      </c>
      <c r="P204" t="s">
        <v>67</v>
      </c>
      <c r="Q204">
        <v>0</v>
      </c>
      <c r="R204">
        <v>0</v>
      </c>
    </row>
    <row r="205" spans="1:18" x14ac:dyDescent="0.35">
      <c r="A205" t="s">
        <v>56</v>
      </c>
      <c r="B205" t="s">
        <v>57</v>
      </c>
      <c r="C205" t="s">
        <v>70</v>
      </c>
      <c r="D205">
        <v>107775986</v>
      </c>
      <c r="E205" t="s">
        <v>108</v>
      </c>
      <c r="F205" t="s">
        <v>72</v>
      </c>
      <c r="G205">
        <v>0.51</v>
      </c>
      <c r="H205">
        <v>9.39</v>
      </c>
      <c r="I205">
        <v>0.12</v>
      </c>
      <c r="J205">
        <v>0</v>
      </c>
      <c r="K205">
        <v>10.02</v>
      </c>
      <c r="L205" t="s">
        <v>61</v>
      </c>
      <c r="M205">
        <v>409</v>
      </c>
      <c r="N205">
        <v>40.83</v>
      </c>
      <c r="O205" t="s">
        <v>62</v>
      </c>
      <c r="P205" t="s">
        <v>63</v>
      </c>
      <c r="Q205">
        <v>876</v>
      </c>
      <c r="R205">
        <v>1720.46</v>
      </c>
    </row>
    <row r="206" spans="1:18" x14ac:dyDescent="0.35">
      <c r="A206" t="s">
        <v>56</v>
      </c>
      <c r="B206" t="s">
        <v>57</v>
      </c>
      <c r="C206" t="s">
        <v>70</v>
      </c>
      <c r="D206">
        <v>107775986</v>
      </c>
      <c r="E206" t="s">
        <v>108</v>
      </c>
      <c r="F206" t="s">
        <v>72</v>
      </c>
      <c r="G206">
        <v>0.51</v>
      </c>
      <c r="H206">
        <v>9.39</v>
      </c>
      <c r="I206">
        <v>0.12</v>
      </c>
      <c r="J206">
        <v>0</v>
      </c>
      <c r="K206">
        <v>10.02</v>
      </c>
      <c r="L206" t="s">
        <v>61</v>
      </c>
      <c r="M206">
        <v>409</v>
      </c>
      <c r="N206">
        <v>40.83</v>
      </c>
      <c r="O206" t="s">
        <v>62</v>
      </c>
      <c r="P206" t="s">
        <v>64</v>
      </c>
      <c r="Q206">
        <v>2491</v>
      </c>
      <c r="R206">
        <v>265.31</v>
      </c>
    </row>
    <row r="207" spans="1:18" x14ac:dyDescent="0.35">
      <c r="A207" t="s">
        <v>56</v>
      </c>
      <c r="B207" t="s">
        <v>57</v>
      </c>
      <c r="C207" t="s">
        <v>70</v>
      </c>
      <c r="D207">
        <v>107775986</v>
      </c>
      <c r="E207" t="s">
        <v>108</v>
      </c>
      <c r="F207" t="s">
        <v>72</v>
      </c>
      <c r="G207">
        <v>0.51</v>
      </c>
      <c r="H207">
        <v>9.39</v>
      </c>
      <c r="I207">
        <v>0.12</v>
      </c>
      <c r="J207">
        <v>0</v>
      </c>
      <c r="K207">
        <v>10.02</v>
      </c>
      <c r="L207" t="s">
        <v>61</v>
      </c>
      <c r="M207">
        <v>409</v>
      </c>
      <c r="N207">
        <v>40.83</v>
      </c>
      <c r="O207" t="s">
        <v>62</v>
      </c>
      <c r="P207" t="s">
        <v>65</v>
      </c>
      <c r="Q207">
        <v>24</v>
      </c>
      <c r="R207">
        <v>203.29</v>
      </c>
    </row>
    <row r="208" spans="1:18" x14ac:dyDescent="0.35">
      <c r="A208" t="s">
        <v>56</v>
      </c>
      <c r="B208" t="s">
        <v>57</v>
      </c>
      <c r="C208" t="s">
        <v>70</v>
      </c>
      <c r="D208">
        <v>107775986</v>
      </c>
      <c r="E208" t="s">
        <v>108</v>
      </c>
      <c r="F208" t="s">
        <v>72</v>
      </c>
      <c r="G208">
        <v>0.51</v>
      </c>
      <c r="H208">
        <v>9.39</v>
      </c>
      <c r="I208">
        <v>0.12</v>
      </c>
      <c r="J208">
        <v>0</v>
      </c>
      <c r="K208">
        <v>10.02</v>
      </c>
      <c r="L208" t="s">
        <v>61</v>
      </c>
      <c r="M208">
        <v>409</v>
      </c>
      <c r="N208">
        <v>40.83</v>
      </c>
      <c r="O208" t="s">
        <v>62</v>
      </c>
      <c r="P208" t="s">
        <v>66</v>
      </c>
      <c r="Q208">
        <v>0</v>
      </c>
      <c r="R208">
        <v>0</v>
      </c>
    </row>
    <row r="209" spans="1:18" x14ac:dyDescent="0.35">
      <c r="A209" t="s">
        <v>56</v>
      </c>
      <c r="B209" t="s">
        <v>57</v>
      </c>
      <c r="C209" t="s">
        <v>70</v>
      </c>
      <c r="D209">
        <v>107775986</v>
      </c>
      <c r="E209" t="s">
        <v>108</v>
      </c>
      <c r="F209" t="s">
        <v>72</v>
      </c>
      <c r="G209">
        <v>0.51</v>
      </c>
      <c r="H209">
        <v>9.39</v>
      </c>
      <c r="I209">
        <v>0.12</v>
      </c>
      <c r="J209">
        <v>0</v>
      </c>
      <c r="K209">
        <v>10.02</v>
      </c>
      <c r="L209" t="s">
        <v>61</v>
      </c>
      <c r="M209">
        <v>409</v>
      </c>
      <c r="N209">
        <v>40.83</v>
      </c>
      <c r="O209" t="s">
        <v>62</v>
      </c>
      <c r="P209" t="s">
        <v>67</v>
      </c>
      <c r="Q209">
        <v>3391</v>
      </c>
      <c r="R209">
        <v>338.54</v>
      </c>
    </row>
    <row r="210" spans="1:18" x14ac:dyDescent="0.35">
      <c r="A210" t="s">
        <v>56</v>
      </c>
      <c r="B210" t="s">
        <v>57</v>
      </c>
      <c r="C210" t="s">
        <v>70</v>
      </c>
      <c r="D210">
        <v>107775986</v>
      </c>
      <c r="E210" t="s">
        <v>108</v>
      </c>
      <c r="F210" t="s">
        <v>72</v>
      </c>
      <c r="G210">
        <v>0.51</v>
      </c>
      <c r="H210">
        <v>9.39</v>
      </c>
      <c r="I210">
        <v>0.12</v>
      </c>
      <c r="J210">
        <v>0</v>
      </c>
      <c r="K210">
        <v>10.02</v>
      </c>
      <c r="L210" t="s">
        <v>61</v>
      </c>
      <c r="M210">
        <v>409</v>
      </c>
      <c r="N210">
        <v>40.83</v>
      </c>
      <c r="O210" t="s">
        <v>68</v>
      </c>
      <c r="P210" t="s">
        <v>67</v>
      </c>
      <c r="Q210">
        <v>409</v>
      </c>
      <c r="R210">
        <v>40.83</v>
      </c>
    </row>
    <row r="211" spans="1:18" x14ac:dyDescent="0.35">
      <c r="A211" t="s">
        <v>56</v>
      </c>
      <c r="B211" t="s">
        <v>57</v>
      </c>
      <c r="C211" t="s">
        <v>70</v>
      </c>
      <c r="D211">
        <v>107775986</v>
      </c>
      <c r="E211" t="s">
        <v>108</v>
      </c>
      <c r="F211" t="s">
        <v>72</v>
      </c>
      <c r="G211">
        <v>0.51</v>
      </c>
      <c r="H211">
        <v>9.39</v>
      </c>
      <c r="I211">
        <v>0.12</v>
      </c>
      <c r="J211">
        <v>0</v>
      </c>
      <c r="K211">
        <v>10.02</v>
      </c>
      <c r="L211" t="s">
        <v>61</v>
      </c>
      <c r="M211">
        <v>409</v>
      </c>
      <c r="N211">
        <v>40.83</v>
      </c>
      <c r="O211" t="s">
        <v>69</v>
      </c>
      <c r="P211" t="s">
        <v>67</v>
      </c>
      <c r="Q211">
        <v>0</v>
      </c>
      <c r="R211">
        <v>0</v>
      </c>
    </row>
    <row r="212" spans="1:18" x14ac:dyDescent="0.35">
      <c r="A212" t="s">
        <v>56</v>
      </c>
      <c r="B212" t="s">
        <v>57</v>
      </c>
      <c r="C212" t="s">
        <v>58</v>
      </c>
      <c r="D212">
        <v>107826193</v>
      </c>
      <c r="E212" t="s">
        <v>597</v>
      </c>
      <c r="F212" t="s">
        <v>60</v>
      </c>
      <c r="G212">
        <v>0.14000000000000001</v>
      </c>
      <c r="H212">
        <v>4.43</v>
      </c>
      <c r="I212">
        <v>0</v>
      </c>
      <c r="J212">
        <v>0</v>
      </c>
      <c r="K212">
        <v>4.57</v>
      </c>
      <c r="L212" t="s">
        <v>61</v>
      </c>
      <c r="M212">
        <v>188</v>
      </c>
      <c r="N212">
        <v>41.17</v>
      </c>
      <c r="O212" t="s">
        <v>62</v>
      </c>
      <c r="P212" t="s">
        <v>63</v>
      </c>
      <c r="Q212">
        <v>244</v>
      </c>
      <c r="R212">
        <v>1763.86</v>
      </c>
    </row>
    <row r="213" spans="1:18" x14ac:dyDescent="0.35">
      <c r="A213" t="s">
        <v>56</v>
      </c>
      <c r="B213" t="s">
        <v>57</v>
      </c>
      <c r="C213" t="s">
        <v>58</v>
      </c>
      <c r="D213">
        <v>107826193</v>
      </c>
      <c r="E213" t="s">
        <v>597</v>
      </c>
      <c r="F213" t="s">
        <v>60</v>
      </c>
      <c r="G213">
        <v>0.14000000000000001</v>
      </c>
      <c r="H213">
        <v>4.43</v>
      </c>
      <c r="I213">
        <v>0</v>
      </c>
      <c r="J213">
        <v>0</v>
      </c>
      <c r="K213">
        <v>4.57</v>
      </c>
      <c r="L213" t="s">
        <v>61</v>
      </c>
      <c r="M213">
        <v>188</v>
      </c>
      <c r="N213">
        <v>41.17</v>
      </c>
      <c r="O213" t="s">
        <v>62</v>
      </c>
      <c r="P213" t="s">
        <v>64</v>
      </c>
      <c r="Q213">
        <v>1203</v>
      </c>
      <c r="R213">
        <v>271.68</v>
      </c>
    </row>
    <row r="214" spans="1:18" x14ac:dyDescent="0.35">
      <c r="A214" t="s">
        <v>56</v>
      </c>
      <c r="B214" t="s">
        <v>57</v>
      </c>
      <c r="C214" t="s">
        <v>58</v>
      </c>
      <c r="D214">
        <v>107826193</v>
      </c>
      <c r="E214" t="s">
        <v>597</v>
      </c>
      <c r="F214" t="s">
        <v>60</v>
      </c>
      <c r="G214">
        <v>0.14000000000000001</v>
      </c>
      <c r="H214">
        <v>4.43</v>
      </c>
      <c r="I214">
        <v>0</v>
      </c>
      <c r="J214">
        <v>0</v>
      </c>
      <c r="K214">
        <v>4.57</v>
      </c>
      <c r="L214" t="s">
        <v>61</v>
      </c>
      <c r="M214">
        <v>188</v>
      </c>
      <c r="N214">
        <v>41.17</v>
      </c>
      <c r="O214" t="s">
        <v>62</v>
      </c>
      <c r="P214" t="s">
        <v>65</v>
      </c>
      <c r="Q214">
        <v>0</v>
      </c>
      <c r="R214">
        <v>0</v>
      </c>
    </row>
    <row r="215" spans="1:18" x14ac:dyDescent="0.35">
      <c r="A215" t="s">
        <v>56</v>
      </c>
      <c r="B215" t="s">
        <v>57</v>
      </c>
      <c r="C215" t="s">
        <v>58</v>
      </c>
      <c r="D215">
        <v>107826193</v>
      </c>
      <c r="E215" t="s">
        <v>597</v>
      </c>
      <c r="F215" t="s">
        <v>60</v>
      </c>
      <c r="G215">
        <v>0.14000000000000001</v>
      </c>
      <c r="H215">
        <v>4.43</v>
      </c>
      <c r="I215">
        <v>0</v>
      </c>
      <c r="J215">
        <v>0</v>
      </c>
      <c r="K215">
        <v>4.57</v>
      </c>
      <c r="L215" t="s">
        <v>61</v>
      </c>
      <c r="M215">
        <v>188</v>
      </c>
      <c r="N215">
        <v>41.17</v>
      </c>
      <c r="O215" t="s">
        <v>62</v>
      </c>
      <c r="P215" t="s">
        <v>66</v>
      </c>
      <c r="Q215">
        <v>0</v>
      </c>
      <c r="R215">
        <v>0</v>
      </c>
    </row>
    <row r="216" spans="1:18" x14ac:dyDescent="0.35">
      <c r="A216" t="s">
        <v>56</v>
      </c>
      <c r="B216" t="s">
        <v>57</v>
      </c>
      <c r="C216" t="s">
        <v>58</v>
      </c>
      <c r="D216">
        <v>107826193</v>
      </c>
      <c r="E216" t="s">
        <v>597</v>
      </c>
      <c r="F216" t="s">
        <v>60</v>
      </c>
      <c r="G216">
        <v>0.14000000000000001</v>
      </c>
      <c r="H216">
        <v>4.43</v>
      </c>
      <c r="I216">
        <v>0</v>
      </c>
      <c r="J216">
        <v>0</v>
      </c>
      <c r="K216">
        <v>4.57</v>
      </c>
      <c r="L216" t="s">
        <v>61</v>
      </c>
      <c r="M216">
        <v>188</v>
      </c>
      <c r="N216">
        <v>41.17</v>
      </c>
      <c r="O216" t="s">
        <v>62</v>
      </c>
      <c r="P216" t="s">
        <v>67</v>
      </c>
      <c r="Q216">
        <v>1447</v>
      </c>
      <c r="R216">
        <v>316.86</v>
      </c>
    </row>
    <row r="217" spans="1:18" x14ac:dyDescent="0.35">
      <c r="A217" t="s">
        <v>56</v>
      </c>
      <c r="B217" t="s">
        <v>57</v>
      </c>
      <c r="C217" t="s">
        <v>58</v>
      </c>
      <c r="D217">
        <v>107826193</v>
      </c>
      <c r="E217" t="s">
        <v>597</v>
      </c>
      <c r="F217" t="s">
        <v>60</v>
      </c>
      <c r="G217">
        <v>0.14000000000000001</v>
      </c>
      <c r="H217">
        <v>4.43</v>
      </c>
      <c r="I217">
        <v>0</v>
      </c>
      <c r="J217">
        <v>0</v>
      </c>
      <c r="K217">
        <v>4.57</v>
      </c>
      <c r="L217" t="s">
        <v>61</v>
      </c>
      <c r="M217">
        <v>188</v>
      </c>
      <c r="N217">
        <v>41.17</v>
      </c>
      <c r="O217" t="s">
        <v>68</v>
      </c>
      <c r="P217" t="s">
        <v>67</v>
      </c>
      <c r="Q217">
        <v>188</v>
      </c>
      <c r="R217">
        <v>41.17</v>
      </c>
    </row>
    <row r="218" spans="1:18" x14ac:dyDescent="0.35">
      <c r="A218" t="s">
        <v>56</v>
      </c>
      <c r="B218" t="s">
        <v>57</v>
      </c>
      <c r="C218" t="s">
        <v>58</v>
      </c>
      <c r="D218">
        <v>107826193</v>
      </c>
      <c r="E218" t="s">
        <v>597</v>
      </c>
      <c r="F218" t="s">
        <v>60</v>
      </c>
      <c r="G218">
        <v>0.14000000000000001</v>
      </c>
      <c r="H218">
        <v>4.43</v>
      </c>
      <c r="I218">
        <v>0</v>
      </c>
      <c r="J218">
        <v>0</v>
      </c>
      <c r="K218">
        <v>4.57</v>
      </c>
      <c r="L218" t="s">
        <v>61</v>
      </c>
      <c r="M218">
        <v>188</v>
      </c>
      <c r="N218">
        <v>41.17</v>
      </c>
      <c r="O218" t="s">
        <v>69</v>
      </c>
      <c r="P218" t="s">
        <v>67</v>
      </c>
      <c r="Q218">
        <v>0</v>
      </c>
      <c r="R218">
        <v>0</v>
      </c>
    </row>
    <row r="219" spans="1:18" x14ac:dyDescent="0.35">
      <c r="A219" t="s">
        <v>56</v>
      </c>
      <c r="B219" t="s">
        <v>57</v>
      </c>
      <c r="C219" t="s">
        <v>58</v>
      </c>
      <c r="D219">
        <v>107826201</v>
      </c>
      <c r="E219" t="s">
        <v>598</v>
      </c>
      <c r="F219" t="s">
        <v>60</v>
      </c>
      <c r="G219">
        <v>0.18</v>
      </c>
      <c r="H219">
        <v>8.56</v>
      </c>
      <c r="I219">
        <v>0</v>
      </c>
      <c r="J219">
        <v>0</v>
      </c>
      <c r="K219">
        <v>8.74</v>
      </c>
      <c r="L219" t="s">
        <v>61</v>
      </c>
      <c r="M219">
        <v>396</v>
      </c>
      <c r="N219">
        <v>45.32</v>
      </c>
      <c r="O219" t="s">
        <v>62</v>
      </c>
      <c r="P219" t="s">
        <v>63</v>
      </c>
      <c r="Q219">
        <v>293</v>
      </c>
      <c r="R219">
        <v>1645.55</v>
      </c>
    </row>
    <row r="220" spans="1:18" x14ac:dyDescent="0.35">
      <c r="A220" t="s">
        <v>56</v>
      </c>
      <c r="B220" t="s">
        <v>57</v>
      </c>
      <c r="C220" t="s">
        <v>58</v>
      </c>
      <c r="D220">
        <v>107826201</v>
      </c>
      <c r="E220" t="s">
        <v>598</v>
      </c>
      <c r="F220" t="s">
        <v>60</v>
      </c>
      <c r="G220">
        <v>0.18</v>
      </c>
      <c r="H220">
        <v>8.56</v>
      </c>
      <c r="I220">
        <v>0</v>
      </c>
      <c r="J220">
        <v>0</v>
      </c>
      <c r="K220">
        <v>8.74</v>
      </c>
      <c r="L220" t="s">
        <v>61</v>
      </c>
      <c r="M220">
        <v>396</v>
      </c>
      <c r="N220">
        <v>45.32</v>
      </c>
      <c r="O220" t="s">
        <v>62</v>
      </c>
      <c r="P220" t="s">
        <v>64</v>
      </c>
      <c r="Q220">
        <v>2170</v>
      </c>
      <c r="R220">
        <v>253.54</v>
      </c>
    </row>
    <row r="221" spans="1:18" x14ac:dyDescent="0.35">
      <c r="A221" t="s">
        <v>56</v>
      </c>
      <c r="B221" t="s">
        <v>57</v>
      </c>
      <c r="C221" t="s">
        <v>58</v>
      </c>
      <c r="D221">
        <v>107826201</v>
      </c>
      <c r="E221" t="s">
        <v>598</v>
      </c>
      <c r="F221" t="s">
        <v>60</v>
      </c>
      <c r="G221">
        <v>0.18</v>
      </c>
      <c r="H221">
        <v>8.56</v>
      </c>
      <c r="I221">
        <v>0</v>
      </c>
      <c r="J221">
        <v>0</v>
      </c>
      <c r="K221">
        <v>8.74</v>
      </c>
      <c r="L221" t="s">
        <v>61</v>
      </c>
      <c r="M221">
        <v>396</v>
      </c>
      <c r="N221">
        <v>45.32</v>
      </c>
      <c r="O221" t="s">
        <v>62</v>
      </c>
      <c r="P221" t="s">
        <v>65</v>
      </c>
      <c r="Q221">
        <v>0</v>
      </c>
      <c r="R221">
        <v>0</v>
      </c>
    </row>
    <row r="222" spans="1:18" x14ac:dyDescent="0.35">
      <c r="A222" t="s">
        <v>56</v>
      </c>
      <c r="B222" t="s">
        <v>57</v>
      </c>
      <c r="C222" t="s">
        <v>58</v>
      </c>
      <c r="D222">
        <v>107826201</v>
      </c>
      <c r="E222" t="s">
        <v>598</v>
      </c>
      <c r="F222" t="s">
        <v>60</v>
      </c>
      <c r="G222">
        <v>0.18</v>
      </c>
      <c r="H222">
        <v>8.56</v>
      </c>
      <c r="I222">
        <v>0</v>
      </c>
      <c r="J222">
        <v>0</v>
      </c>
      <c r="K222">
        <v>8.74</v>
      </c>
      <c r="L222" t="s">
        <v>61</v>
      </c>
      <c r="M222">
        <v>396</v>
      </c>
      <c r="N222">
        <v>45.32</v>
      </c>
      <c r="O222" t="s">
        <v>62</v>
      </c>
      <c r="P222" t="s">
        <v>66</v>
      </c>
      <c r="Q222">
        <v>0</v>
      </c>
      <c r="R222">
        <v>0</v>
      </c>
    </row>
    <row r="223" spans="1:18" x14ac:dyDescent="0.35">
      <c r="A223" t="s">
        <v>56</v>
      </c>
      <c r="B223" t="s">
        <v>57</v>
      </c>
      <c r="C223" t="s">
        <v>58</v>
      </c>
      <c r="D223">
        <v>107826201</v>
      </c>
      <c r="E223" t="s">
        <v>598</v>
      </c>
      <c r="F223" t="s">
        <v>60</v>
      </c>
      <c r="G223">
        <v>0.18</v>
      </c>
      <c r="H223">
        <v>8.56</v>
      </c>
      <c r="I223">
        <v>0</v>
      </c>
      <c r="J223">
        <v>0</v>
      </c>
      <c r="K223">
        <v>8.74</v>
      </c>
      <c r="L223" t="s">
        <v>61</v>
      </c>
      <c r="M223">
        <v>396</v>
      </c>
      <c r="N223">
        <v>45.32</v>
      </c>
      <c r="O223" t="s">
        <v>62</v>
      </c>
      <c r="P223" t="s">
        <v>67</v>
      </c>
      <c r="Q223">
        <v>2463</v>
      </c>
      <c r="R223">
        <v>281.89999999999998</v>
      </c>
    </row>
    <row r="224" spans="1:18" x14ac:dyDescent="0.35">
      <c r="A224" t="s">
        <v>56</v>
      </c>
      <c r="B224" t="s">
        <v>57</v>
      </c>
      <c r="C224" t="s">
        <v>58</v>
      </c>
      <c r="D224">
        <v>107826201</v>
      </c>
      <c r="E224" t="s">
        <v>598</v>
      </c>
      <c r="F224" t="s">
        <v>60</v>
      </c>
      <c r="G224">
        <v>0.18</v>
      </c>
      <c r="H224">
        <v>8.56</v>
      </c>
      <c r="I224">
        <v>0</v>
      </c>
      <c r="J224">
        <v>0</v>
      </c>
      <c r="K224">
        <v>8.74</v>
      </c>
      <c r="L224" t="s">
        <v>61</v>
      </c>
      <c r="M224">
        <v>396</v>
      </c>
      <c r="N224">
        <v>45.32</v>
      </c>
      <c r="O224" t="s">
        <v>68</v>
      </c>
      <c r="P224" t="s">
        <v>67</v>
      </c>
      <c r="Q224">
        <v>396</v>
      </c>
      <c r="R224">
        <v>45.32</v>
      </c>
    </row>
    <row r="225" spans="1:18" x14ac:dyDescent="0.35">
      <c r="A225" t="s">
        <v>56</v>
      </c>
      <c r="B225" t="s">
        <v>57</v>
      </c>
      <c r="C225" t="s">
        <v>58</v>
      </c>
      <c r="D225">
        <v>107826201</v>
      </c>
      <c r="E225" t="s">
        <v>598</v>
      </c>
      <c r="F225" t="s">
        <v>60</v>
      </c>
      <c r="G225">
        <v>0.18</v>
      </c>
      <c r="H225">
        <v>8.56</v>
      </c>
      <c r="I225">
        <v>0</v>
      </c>
      <c r="J225">
        <v>0</v>
      </c>
      <c r="K225">
        <v>8.74</v>
      </c>
      <c r="L225" t="s">
        <v>61</v>
      </c>
      <c r="M225">
        <v>396</v>
      </c>
      <c r="N225">
        <v>45.32</v>
      </c>
      <c r="O225" t="s">
        <v>69</v>
      </c>
      <c r="P225" t="s">
        <v>67</v>
      </c>
      <c r="Q225">
        <v>0</v>
      </c>
      <c r="R225">
        <v>0</v>
      </c>
    </row>
    <row r="226" spans="1:18" x14ac:dyDescent="0.35">
      <c r="A226" t="s">
        <v>56</v>
      </c>
      <c r="B226" t="s">
        <v>57</v>
      </c>
      <c r="C226" t="s">
        <v>70</v>
      </c>
      <c r="D226">
        <v>107826232</v>
      </c>
      <c r="E226" t="s">
        <v>599</v>
      </c>
      <c r="F226" t="s">
        <v>60</v>
      </c>
      <c r="G226">
        <v>0.39</v>
      </c>
      <c r="H226">
        <v>8.0299999999999994</v>
      </c>
      <c r="I226">
        <v>0.02</v>
      </c>
      <c r="J226">
        <v>0</v>
      </c>
      <c r="K226">
        <v>8.44</v>
      </c>
      <c r="L226" t="s">
        <v>61</v>
      </c>
      <c r="M226">
        <v>287</v>
      </c>
      <c r="N226">
        <v>33.99</v>
      </c>
      <c r="O226" t="s">
        <v>62</v>
      </c>
      <c r="P226" t="s">
        <v>63</v>
      </c>
      <c r="Q226">
        <v>540</v>
      </c>
      <c r="R226">
        <v>1386.59</v>
      </c>
    </row>
    <row r="227" spans="1:18" x14ac:dyDescent="0.35">
      <c r="A227" t="s">
        <v>56</v>
      </c>
      <c r="B227" t="s">
        <v>57</v>
      </c>
      <c r="C227" t="s">
        <v>70</v>
      </c>
      <c r="D227">
        <v>107826232</v>
      </c>
      <c r="E227" t="s">
        <v>599</v>
      </c>
      <c r="F227" t="s">
        <v>60</v>
      </c>
      <c r="G227">
        <v>0.39</v>
      </c>
      <c r="H227">
        <v>8.0299999999999994</v>
      </c>
      <c r="I227">
        <v>0.02</v>
      </c>
      <c r="J227">
        <v>0</v>
      </c>
      <c r="K227">
        <v>8.44</v>
      </c>
      <c r="L227" t="s">
        <v>61</v>
      </c>
      <c r="M227">
        <v>287</v>
      </c>
      <c r="N227">
        <v>33.99</v>
      </c>
      <c r="O227" t="s">
        <v>62</v>
      </c>
      <c r="P227" t="s">
        <v>64</v>
      </c>
      <c r="Q227">
        <v>1717</v>
      </c>
      <c r="R227">
        <v>213.82</v>
      </c>
    </row>
    <row r="228" spans="1:18" x14ac:dyDescent="0.35">
      <c r="A228" t="s">
        <v>56</v>
      </c>
      <c r="B228" t="s">
        <v>57</v>
      </c>
      <c r="C228" t="s">
        <v>70</v>
      </c>
      <c r="D228">
        <v>107826232</v>
      </c>
      <c r="E228" t="s">
        <v>599</v>
      </c>
      <c r="F228" t="s">
        <v>60</v>
      </c>
      <c r="G228">
        <v>0.39</v>
      </c>
      <c r="H228">
        <v>8.0299999999999994</v>
      </c>
      <c r="I228">
        <v>0.02</v>
      </c>
      <c r="J228">
        <v>0</v>
      </c>
      <c r="K228">
        <v>8.44</v>
      </c>
      <c r="L228" t="s">
        <v>61</v>
      </c>
      <c r="M228">
        <v>287</v>
      </c>
      <c r="N228">
        <v>33.99</v>
      </c>
      <c r="O228" t="s">
        <v>62</v>
      </c>
      <c r="P228" t="s">
        <v>65</v>
      </c>
      <c r="Q228">
        <v>4</v>
      </c>
      <c r="R228">
        <v>165.52</v>
      </c>
    </row>
    <row r="229" spans="1:18" x14ac:dyDescent="0.35">
      <c r="A229" t="s">
        <v>56</v>
      </c>
      <c r="B229" t="s">
        <v>57</v>
      </c>
      <c r="C229" t="s">
        <v>70</v>
      </c>
      <c r="D229">
        <v>107826232</v>
      </c>
      <c r="E229" t="s">
        <v>599</v>
      </c>
      <c r="F229" t="s">
        <v>60</v>
      </c>
      <c r="G229">
        <v>0.39</v>
      </c>
      <c r="H229">
        <v>8.0299999999999994</v>
      </c>
      <c r="I229">
        <v>0.02</v>
      </c>
      <c r="J229">
        <v>0</v>
      </c>
      <c r="K229">
        <v>8.44</v>
      </c>
      <c r="L229" t="s">
        <v>61</v>
      </c>
      <c r="M229">
        <v>287</v>
      </c>
      <c r="N229">
        <v>33.99</v>
      </c>
      <c r="O229" t="s">
        <v>62</v>
      </c>
      <c r="P229" t="s">
        <v>66</v>
      </c>
      <c r="Q229">
        <v>0</v>
      </c>
      <c r="R229">
        <v>0</v>
      </c>
    </row>
    <row r="230" spans="1:18" x14ac:dyDescent="0.35">
      <c r="A230" t="s">
        <v>56</v>
      </c>
      <c r="B230" t="s">
        <v>57</v>
      </c>
      <c r="C230" t="s">
        <v>70</v>
      </c>
      <c r="D230">
        <v>107826232</v>
      </c>
      <c r="E230" t="s">
        <v>599</v>
      </c>
      <c r="F230" t="s">
        <v>60</v>
      </c>
      <c r="G230">
        <v>0.39</v>
      </c>
      <c r="H230">
        <v>8.0299999999999994</v>
      </c>
      <c r="I230">
        <v>0.02</v>
      </c>
      <c r="J230">
        <v>0</v>
      </c>
      <c r="K230">
        <v>8.44</v>
      </c>
      <c r="L230" t="s">
        <v>61</v>
      </c>
      <c r="M230">
        <v>287</v>
      </c>
      <c r="N230">
        <v>33.99</v>
      </c>
      <c r="O230" t="s">
        <v>62</v>
      </c>
      <c r="P230" t="s">
        <v>67</v>
      </c>
      <c r="Q230">
        <v>2261</v>
      </c>
      <c r="R230">
        <v>267.77</v>
      </c>
    </row>
    <row r="231" spans="1:18" x14ac:dyDescent="0.35">
      <c r="A231" t="s">
        <v>56</v>
      </c>
      <c r="B231" t="s">
        <v>57</v>
      </c>
      <c r="C231" t="s">
        <v>70</v>
      </c>
      <c r="D231">
        <v>107826232</v>
      </c>
      <c r="E231" t="s">
        <v>599</v>
      </c>
      <c r="F231" t="s">
        <v>60</v>
      </c>
      <c r="G231">
        <v>0.39</v>
      </c>
      <c r="H231">
        <v>8.0299999999999994</v>
      </c>
      <c r="I231">
        <v>0.02</v>
      </c>
      <c r="J231">
        <v>0</v>
      </c>
      <c r="K231">
        <v>8.44</v>
      </c>
      <c r="L231" t="s">
        <v>61</v>
      </c>
      <c r="M231">
        <v>287</v>
      </c>
      <c r="N231">
        <v>33.99</v>
      </c>
      <c r="O231" t="s">
        <v>68</v>
      </c>
      <c r="P231" t="s">
        <v>67</v>
      </c>
      <c r="Q231">
        <v>287</v>
      </c>
      <c r="R231">
        <v>33.99</v>
      </c>
    </row>
    <row r="232" spans="1:18" x14ac:dyDescent="0.35">
      <c r="A232" t="s">
        <v>56</v>
      </c>
      <c r="B232" t="s">
        <v>57</v>
      </c>
      <c r="C232" t="s">
        <v>70</v>
      </c>
      <c r="D232">
        <v>107826232</v>
      </c>
      <c r="E232" t="s">
        <v>599</v>
      </c>
      <c r="F232" t="s">
        <v>60</v>
      </c>
      <c r="G232">
        <v>0.39</v>
      </c>
      <c r="H232">
        <v>8.0299999999999994</v>
      </c>
      <c r="I232">
        <v>0.02</v>
      </c>
      <c r="J232">
        <v>0</v>
      </c>
      <c r="K232">
        <v>8.44</v>
      </c>
      <c r="L232" t="s">
        <v>61</v>
      </c>
      <c r="M232">
        <v>287</v>
      </c>
      <c r="N232">
        <v>33.99</v>
      </c>
      <c r="O232" t="s">
        <v>69</v>
      </c>
      <c r="P232" t="s">
        <v>67</v>
      </c>
      <c r="Q232">
        <v>0</v>
      </c>
      <c r="R232">
        <v>0</v>
      </c>
    </row>
    <row r="233" spans="1:18" x14ac:dyDescent="0.35">
      <c r="A233" t="s">
        <v>56</v>
      </c>
      <c r="B233" t="s">
        <v>57</v>
      </c>
      <c r="C233" t="s">
        <v>70</v>
      </c>
      <c r="D233">
        <v>107826262</v>
      </c>
      <c r="E233" t="s">
        <v>600</v>
      </c>
      <c r="F233" t="s">
        <v>60</v>
      </c>
      <c r="G233">
        <v>0</v>
      </c>
      <c r="H233">
        <v>2.3199999999999998</v>
      </c>
      <c r="I233">
        <v>0</v>
      </c>
      <c r="J233">
        <v>0</v>
      </c>
      <c r="K233">
        <v>2.3199999999999998</v>
      </c>
      <c r="L233" t="s">
        <v>61</v>
      </c>
      <c r="M233">
        <v>62</v>
      </c>
      <c r="N233">
        <v>26.73</v>
      </c>
      <c r="O233" t="s">
        <v>62</v>
      </c>
      <c r="P233" t="s">
        <v>63</v>
      </c>
      <c r="Q233">
        <v>0</v>
      </c>
      <c r="R233">
        <v>0</v>
      </c>
    </row>
    <row r="234" spans="1:18" x14ac:dyDescent="0.35">
      <c r="A234" t="s">
        <v>56</v>
      </c>
      <c r="B234" t="s">
        <v>57</v>
      </c>
      <c r="C234" t="s">
        <v>70</v>
      </c>
      <c r="D234">
        <v>107826262</v>
      </c>
      <c r="E234" t="s">
        <v>600</v>
      </c>
      <c r="F234" t="s">
        <v>60</v>
      </c>
      <c r="G234">
        <v>0</v>
      </c>
      <c r="H234">
        <v>2.3199999999999998</v>
      </c>
      <c r="I234">
        <v>0</v>
      </c>
      <c r="J234">
        <v>0</v>
      </c>
      <c r="K234">
        <v>2.3199999999999998</v>
      </c>
      <c r="L234" t="s">
        <v>61</v>
      </c>
      <c r="M234">
        <v>62</v>
      </c>
      <c r="N234">
        <v>26.73</v>
      </c>
      <c r="O234" t="s">
        <v>62</v>
      </c>
      <c r="P234" t="s">
        <v>64</v>
      </c>
      <c r="Q234">
        <v>542</v>
      </c>
      <c r="R234">
        <v>233.65</v>
      </c>
    </row>
    <row r="235" spans="1:18" x14ac:dyDescent="0.35">
      <c r="A235" t="s">
        <v>56</v>
      </c>
      <c r="B235" t="s">
        <v>57</v>
      </c>
      <c r="C235" t="s">
        <v>70</v>
      </c>
      <c r="D235">
        <v>107826262</v>
      </c>
      <c r="E235" t="s">
        <v>600</v>
      </c>
      <c r="F235" t="s">
        <v>60</v>
      </c>
      <c r="G235">
        <v>0</v>
      </c>
      <c r="H235">
        <v>2.3199999999999998</v>
      </c>
      <c r="I235">
        <v>0</v>
      </c>
      <c r="J235">
        <v>0</v>
      </c>
      <c r="K235">
        <v>2.3199999999999998</v>
      </c>
      <c r="L235" t="s">
        <v>61</v>
      </c>
      <c r="M235">
        <v>62</v>
      </c>
      <c r="N235">
        <v>26.73</v>
      </c>
      <c r="O235" t="s">
        <v>62</v>
      </c>
      <c r="P235" t="s">
        <v>65</v>
      </c>
      <c r="Q235">
        <v>0</v>
      </c>
      <c r="R235">
        <v>0</v>
      </c>
    </row>
    <row r="236" spans="1:18" x14ac:dyDescent="0.35">
      <c r="A236" t="s">
        <v>56</v>
      </c>
      <c r="B236" t="s">
        <v>57</v>
      </c>
      <c r="C236" t="s">
        <v>70</v>
      </c>
      <c r="D236">
        <v>107826262</v>
      </c>
      <c r="E236" t="s">
        <v>600</v>
      </c>
      <c r="F236" t="s">
        <v>60</v>
      </c>
      <c r="G236">
        <v>0</v>
      </c>
      <c r="H236">
        <v>2.3199999999999998</v>
      </c>
      <c r="I236">
        <v>0</v>
      </c>
      <c r="J236">
        <v>0</v>
      </c>
      <c r="K236">
        <v>2.3199999999999998</v>
      </c>
      <c r="L236" t="s">
        <v>61</v>
      </c>
      <c r="M236">
        <v>62</v>
      </c>
      <c r="N236">
        <v>26.73</v>
      </c>
      <c r="O236" t="s">
        <v>62</v>
      </c>
      <c r="P236" t="s">
        <v>66</v>
      </c>
      <c r="Q236">
        <v>0</v>
      </c>
      <c r="R236">
        <v>0</v>
      </c>
    </row>
    <row r="237" spans="1:18" x14ac:dyDescent="0.35">
      <c r="A237" t="s">
        <v>56</v>
      </c>
      <c r="B237" t="s">
        <v>57</v>
      </c>
      <c r="C237" t="s">
        <v>70</v>
      </c>
      <c r="D237">
        <v>107826262</v>
      </c>
      <c r="E237" t="s">
        <v>600</v>
      </c>
      <c r="F237" t="s">
        <v>60</v>
      </c>
      <c r="G237">
        <v>0</v>
      </c>
      <c r="H237">
        <v>2.3199999999999998</v>
      </c>
      <c r="I237">
        <v>0</v>
      </c>
      <c r="J237">
        <v>0</v>
      </c>
      <c r="K237">
        <v>2.3199999999999998</v>
      </c>
      <c r="L237" t="s">
        <v>61</v>
      </c>
      <c r="M237">
        <v>62</v>
      </c>
      <c r="N237">
        <v>26.73</v>
      </c>
      <c r="O237" t="s">
        <v>62</v>
      </c>
      <c r="P237" t="s">
        <v>67</v>
      </c>
      <c r="Q237">
        <v>542</v>
      </c>
      <c r="R237">
        <v>233.65</v>
      </c>
    </row>
    <row r="238" spans="1:18" x14ac:dyDescent="0.35">
      <c r="A238" t="s">
        <v>56</v>
      </c>
      <c r="B238" t="s">
        <v>57</v>
      </c>
      <c r="C238" t="s">
        <v>70</v>
      </c>
      <c r="D238">
        <v>107826262</v>
      </c>
      <c r="E238" t="s">
        <v>600</v>
      </c>
      <c r="F238" t="s">
        <v>60</v>
      </c>
      <c r="G238">
        <v>0</v>
      </c>
      <c r="H238">
        <v>2.3199999999999998</v>
      </c>
      <c r="I238">
        <v>0</v>
      </c>
      <c r="J238">
        <v>0</v>
      </c>
      <c r="K238">
        <v>2.3199999999999998</v>
      </c>
      <c r="L238" t="s">
        <v>61</v>
      </c>
      <c r="M238">
        <v>62</v>
      </c>
      <c r="N238">
        <v>26.73</v>
      </c>
      <c r="O238" t="s">
        <v>68</v>
      </c>
      <c r="P238" t="s">
        <v>67</v>
      </c>
      <c r="Q238">
        <v>62</v>
      </c>
      <c r="R238">
        <v>26.73</v>
      </c>
    </row>
    <row r="239" spans="1:18" x14ac:dyDescent="0.35">
      <c r="A239" t="s">
        <v>56</v>
      </c>
      <c r="B239" t="s">
        <v>57</v>
      </c>
      <c r="C239" t="s">
        <v>70</v>
      </c>
      <c r="D239">
        <v>107826262</v>
      </c>
      <c r="E239" t="s">
        <v>600</v>
      </c>
      <c r="F239" t="s">
        <v>60</v>
      </c>
      <c r="G239">
        <v>0</v>
      </c>
      <c r="H239">
        <v>2.3199999999999998</v>
      </c>
      <c r="I239">
        <v>0</v>
      </c>
      <c r="J239">
        <v>0</v>
      </c>
      <c r="K239">
        <v>2.3199999999999998</v>
      </c>
      <c r="L239" t="s">
        <v>61</v>
      </c>
      <c r="M239">
        <v>62</v>
      </c>
      <c r="N239">
        <v>26.73</v>
      </c>
      <c r="O239" t="s">
        <v>69</v>
      </c>
      <c r="P239" t="s">
        <v>67</v>
      </c>
      <c r="Q239">
        <v>0</v>
      </c>
      <c r="R239">
        <v>0</v>
      </c>
    </row>
    <row r="240" spans="1:18" x14ac:dyDescent="0.35">
      <c r="A240" t="s">
        <v>56</v>
      </c>
      <c r="B240" t="s">
        <v>57</v>
      </c>
      <c r="C240" t="s">
        <v>70</v>
      </c>
      <c r="D240">
        <v>107843844</v>
      </c>
      <c r="E240" t="s">
        <v>601</v>
      </c>
      <c r="F240" t="s">
        <v>72</v>
      </c>
      <c r="G240">
        <v>0.12</v>
      </c>
      <c r="H240">
        <v>9.92</v>
      </c>
      <c r="I240">
        <v>0</v>
      </c>
      <c r="J240">
        <v>0</v>
      </c>
      <c r="K240">
        <v>10.029999999999999</v>
      </c>
      <c r="L240" t="s">
        <v>61</v>
      </c>
      <c r="M240">
        <v>456</v>
      </c>
      <c r="N240">
        <v>45.45</v>
      </c>
      <c r="O240" t="s">
        <v>62</v>
      </c>
      <c r="P240" t="s">
        <v>63</v>
      </c>
      <c r="Q240">
        <v>154</v>
      </c>
      <c r="R240">
        <v>1320</v>
      </c>
    </row>
    <row r="241" spans="1:18" x14ac:dyDescent="0.35">
      <c r="A241" t="s">
        <v>56</v>
      </c>
      <c r="B241" t="s">
        <v>57</v>
      </c>
      <c r="C241" t="s">
        <v>70</v>
      </c>
      <c r="D241">
        <v>107843844</v>
      </c>
      <c r="E241" t="s">
        <v>601</v>
      </c>
      <c r="F241" t="s">
        <v>72</v>
      </c>
      <c r="G241">
        <v>0.12</v>
      </c>
      <c r="H241">
        <v>9.92</v>
      </c>
      <c r="I241">
        <v>0</v>
      </c>
      <c r="J241">
        <v>0</v>
      </c>
      <c r="K241">
        <v>10.029999999999999</v>
      </c>
      <c r="L241" t="s">
        <v>61</v>
      </c>
      <c r="M241">
        <v>456</v>
      </c>
      <c r="N241">
        <v>45.45</v>
      </c>
      <c r="O241" t="s">
        <v>62</v>
      </c>
      <c r="P241" t="s">
        <v>64</v>
      </c>
      <c r="Q241">
        <v>2017</v>
      </c>
      <c r="R241">
        <v>203.4</v>
      </c>
    </row>
    <row r="242" spans="1:18" x14ac:dyDescent="0.35">
      <c r="A242" t="s">
        <v>56</v>
      </c>
      <c r="B242" t="s">
        <v>57</v>
      </c>
      <c r="C242" t="s">
        <v>70</v>
      </c>
      <c r="D242">
        <v>107843844</v>
      </c>
      <c r="E242" t="s">
        <v>601</v>
      </c>
      <c r="F242" t="s">
        <v>72</v>
      </c>
      <c r="G242">
        <v>0.12</v>
      </c>
      <c r="H242">
        <v>9.92</v>
      </c>
      <c r="I242">
        <v>0</v>
      </c>
      <c r="J242">
        <v>0</v>
      </c>
      <c r="K242">
        <v>10.029999999999999</v>
      </c>
      <c r="L242" t="s">
        <v>61</v>
      </c>
      <c r="M242">
        <v>456</v>
      </c>
      <c r="N242">
        <v>45.45</v>
      </c>
      <c r="O242" t="s">
        <v>62</v>
      </c>
      <c r="P242" t="s">
        <v>65</v>
      </c>
      <c r="Q242">
        <v>0</v>
      </c>
      <c r="R242">
        <v>0</v>
      </c>
    </row>
    <row r="243" spans="1:18" x14ac:dyDescent="0.35">
      <c r="A243" t="s">
        <v>56</v>
      </c>
      <c r="B243" t="s">
        <v>57</v>
      </c>
      <c r="C243" t="s">
        <v>70</v>
      </c>
      <c r="D243">
        <v>107843844</v>
      </c>
      <c r="E243" t="s">
        <v>601</v>
      </c>
      <c r="F243" t="s">
        <v>72</v>
      </c>
      <c r="G243">
        <v>0.12</v>
      </c>
      <c r="H243">
        <v>9.92</v>
      </c>
      <c r="I243">
        <v>0</v>
      </c>
      <c r="J243">
        <v>0</v>
      </c>
      <c r="K243">
        <v>10.029999999999999</v>
      </c>
      <c r="L243" t="s">
        <v>61</v>
      </c>
      <c r="M243">
        <v>456</v>
      </c>
      <c r="N243">
        <v>45.45</v>
      </c>
      <c r="O243" t="s">
        <v>62</v>
      </c>
      <c r="P243" t="s">
        <v>66</v>
      </c>
      <c r="Q243">
        <v>0</v>
      </c>
      <c r="R243">
        <v>0</v>
      </c>
    </row>
    <row r="244" spans="1:18" x14ac:dyDescent="0.35">
      <c r="A244" t="s">
        <v>56</v>
      </c>
      <c r="B244" t="s">
        <v>57</v>
      </c>
      <c r="C244" t="s">
        <v>70</v>
      </c>
      <c r="D244">
        <v>107843844</v>
      </c>
      <c r="E244" t="s">
        <v>601</v>
      </c>
      <c r="F244" t="s">
        <v>72</v>
      </c>
      <c r="G244">
        <v>0.12</v>
      </c>
      <c r="H244">
        <v>9.92</v>
      </c>
      <c r="I244">
        <v>0</v>
      </c>
      <c r="J244">
        <v>0</v>
      </c>
      <c r="K244">
        <v>10.029999999999999</v>
      </c>
      <c r="L244" t="s">
        <v>61</v>
      </c>
      <c r="M244">
        <v>456</v>
      </c>
      <c r="N244">
        <v>45.45</v>
      </c>
      <c r="O244" t="s">
        <v>62</v>
      </c>
      <c r="P244" t="s">
        <v>67</v>
      </c>
      <c r="Q244">
        <v>2171</v>
      </c>
      <c r="R244">
        <v>216.38</v>
      </c>
    </row>
    <row r="245" spans="1:18" x14ac:dyDescent="0.35">
      <c r="A245" t="s">
        <v>56</v>
      </c>
      <c r="B245" t="s">
        <v>57</v>
      </c>
      <c r="C245" t="s">
        <v>70</v>
      </c>
      <c r="D245">
        <v>107843844</v>
      </c>
      <c r="E245" t="s">
        <v>601</v>
      </c>
      <c r="F245" t="s">
        <v>72</v>
      </c>
      <c r="G245">
        <v>0.12</v>
      </c>
      <c r="H245">
        <v>9.92</v>
      </c>
      <c r="I245">
        <v>0</v>
      </c>
      <c r="J245">
        <v>0</v>
      </c>
      <c r="K245">
        <v>10.029999999999999</v>
      </c>
      <c r="L245" t="s">
        <v>61</v>
      </c>
      <c r="M245">
        <v>456</v>
      </c>
      <c r="N245">
        <v>45.45</v>
      </c>
      <c r="O245" t="s">
        <v>68</v>
      </c>
      <c r="P245" t="s">
        <v>67</v>
      </c>
      <c r="Q245">
        <v>456</v>
      </c>
      <c r="R245">
        <v>45.45</v>
      </c>
    </row>
    <row r="246" spans="1:18" x14ac:dyDescent="0.35">
      <c r="A246" t="s">
        <v>56</v>
      </c>
      <c r="B246" t="s">
        <v>57</v>
      </c>
      <c r="C246" t="s">
        <v>70</v>
      </c>
      <c r="D246">
        <v>107843844</v>
      </c>
      <c r="E246" t="s">
        <v>601</v>
      </c>
      <c r="F246" t="s">
        <v>72</v>
      </c>
      <c r="G246">
        <v>0.12</v>
      </c>
      <c r="H246">
        <v>9.92</v>
      </c>
      <c r="I246">
        <v>0</v>
      </c>
      <c r="J246">
        <v>0</v>
      </c>
      <c r="K246">
        <v>10.029999999999999</v>
      </c>
      <c r="L246" t="s">
        <v>61</v>
      </c>
      <c r="M246">
        <v>456</v>
      </c>
      <c r="N246">
        <v>45.45</v>
      </c>
      <c r="O246" t="s">
        <v>69</v>
      </c>
      <c r="P246" t="s">
        <v>67</v>
      </c>
      <c r="Q246">
        <v>0</v>
      </c>
      <c r="R246">
        <v>0</v>
      </c>
    </row>
    <row r="247" spans="1:18" x14ac:dyDescent="0.35">
      <c r="A247" t="s">
        <v>56</v>
      </c>
      <c r="B247" t="s">
        <v>57</v>
      </c>
      <c r="C247" t="s">
        <v>70</v>
      </c>
      <c r="D247">
        <v>107843876</v>
      </c>
      <c r="E247" t="s">
        <v>602</v>
      </c>
      <c r="F247" t="s">
        <v>72</v>
      </c>
      <c r="G247">
        <v>0.18</v>
      </c>
      <c r="H247">
        <v>9.4</v>
      </c>
      <c r="I247">
        <v>0</v>
      </c>
      <c r="J247">
        <v>0</v>
      </c>
      <c r="K247">
        <v>9.59</v>
      </c>
      <c r="L247" t="s">
        <v>61</v>
      </c>
      <c r="M247">
        <v>405</v>
      </c>
      <c r="N247">
        <v>42.24</v>
      </c>
      <c r="O247" t="s">
        <v>62</v>
      </c>
      <c r="P247" t="s">
        <v>63</v>
      </c>
      <c r="Q247">
        <v>350</v>
      </c>
      <c r="R247">
        <v>1894.74</v>
      </c>
    </row>
    <row r="248" spans="1:18" x14ac:dyDescent="0.35">
      <c r="A248" t="s">
        <v>56</v>
      </c>
      <c r="B248" t="s">
        <v>57</v>
      </c>
      <c r="C248" t="s">
        <v>70</v>
      </c>
      <c r="D248">
        <v>107843876</v>
      </c>
      <c r="E248" t="s">
        <v>602</v>
      </c>
      <c r="F248" t="s">
        <v>72</v>
      </c>
      <c r="G248">
        <v>0.18</v>
      </c>
      <c r="H248">
        <v>9.4</v>
      </c>
      <c r="I248">
        <v>0</v>
      </c>
      <c r="J248">
        <v>0</v>
      </c>
      <c r="K248">
        <v>9.59</v>
      </c>
      <c r="L248" t="s">
        <v>61</v>
      </c>
      <c r="M248">
        <v>405</v>
      </c>
      <c r="N248">
        <v>42.24</v>
      </c>
      <c r="O248" t="s">
        <v>62</v>
      </c>
      <c r="P248" t="s">
        <v>64</v>
      </c>
      <c r="Q248">
        <v>2747</v>
      </c>
      <c r="R248">
        <v>292.12</v>
      </c>
    </row>
    <row r="249" spans="1:18" x14ac:dyDescent="0.35">
      <c r="A249" t="s">
        <v>56</v>
      </c>
      <c r="B249" t="s">
        <v>57</v>
      </c>
      <c r="C249" t="s">
        <v>70</v>
      </c>
      <c r="D249">
        <v>107843876</v>
      </c>
      <c r="E249" t="s">
        <v>602</v>
      </c>
      <c r="F249" t="s">
        <v>72</v>
      </c>
      <c r="G249">
        <v>0.18</v>
      </c>
      <c r="H249">
        <v>9.4</v>
      </c>
      <c r="I249">
        <v>0</v>
      </c>
      <c r="J249">
        <v>0</v>
      </c>
      <c r="K249">
        <v>9.59</v>
      </c>
      <c r="L249" t="s">
        <v>61</v>
      </c>
      <c r="M249">
        <v>405</v>
      </c>
      <c r="N249">
        <v>42.24</v>
      </c>
      <c r="O249" t="s">
        <v>62</v>
      </c>
      <c r="P249" t="s">
        <v>65</v>
      </c>
      <c r="Q249">
        <v>0</v>
      </c>
      <c r="R249">
        <v>0</v>
      </c>
    </row>
    <row r="250" spans="1:18" x14ac:dyDescent="0.35">
      <c r="A250" t="s">
        <v>56</v>
      </c>
      <c r="B250" t="s">
        <v>57</v>
      </c>
      <c r="C250" t="s">
        <v>70</v>
      </c>
      <c r="D250">
        <v>107843876</v>
      </c>
      <c r="E250" t="s">
        <v>602</v>
      </c>
      <c r="F250" t="s">
        <v>72</v>
      </c>
      <c r="G250">
        <v>0.18</v>
      </c>
      <c r="H250">
        <v>9.4</v>
      </c>
      <c r="I250">
        <v>0</v>
      </c>
      <c r="J250">
        <v>0</v>
      </c>
      <c r="K250">
        <v>9.59</v>
      </c>
      <c r="L250" t="s">
        <v>61</v>
      </c>
      <c r="M250">
        <v>405</v>
      </c>
      <c r="N250">
        <v>42.24</v>
      </c>
      <c r="O250" t="s">
        <v>62</v>
      </c>
      <c r="P250" t="s">
        <v>66</v>
      </c>
      <c r="Q250">
        <v>0</v>
      </c>
      <c r="R250">
        <v>0</v>
      </c>
    </row>
    <row r="251" spans="1:18" x14ac:dyDescent="0.35">
      <c r="A251" t="s">
        <v>56</v>
      </c>
      <c r="B251" t="s">
        <v>57</v>
      </c>
      <c r="C251" t="s">
        <v>70</v>
      </c>
      <c r="D251">
        <v>107843876</v>
      </c>
      <c r="E251" t="s">
        <v>602</v>
      </c>
      <c r="F251" t="s">
        <v>72</v>
      </c>
      <c r="G251">
        <v>0.18</v>
      </c>
      <c r="H251">
        <v>9.4</v>
      </c>
      <c r="I251">
        <v>0</v>
      </c>
      <c r="J251">
        <v>0</v>
      </c>
      <c r="K251">
        <v>9.59</v>
      </c>
      <c r="L251" t="s">
        <v>61</v>
      </c>
      <c r="M251">
        <v>405</v>
      </c>
      <c r="N251">
        <v>42.24</v>
      </c>
      <c r="O251" t="s">
        <v>62</v>
      </c>
      <c r="P251" t="s">
        <v>67</v>
      </c>
      <c r="Q251">
        <v>3097</v>
      </c>
      <c r="R251">
        <v>322.99</v>
      </c>
    </row>
    <row r="252" spans="1:18" x14ac:dyDescent="0.35">
      <c r="A252" t="s">
        <v>56</v>
      </c>
      <c r="B252" t="s">
        <v>57</v>
      </c>
      <c r="C252" t="s">
        <v>70</v>
      </c>
      <c r="D252">
        <v>107843876</v>
      </c>
      <c r="E252" t="s">
        <v>602</v>
      </c>
      <c r="F252" t="s">
        <v>72</v>
      </c>
      <c r="G252">
        <v>0.18</v>
      </c>
      <c r="H252">
        <v>9.4</v>
      </c>
      <c r="I252">
        <v>0</v>
      </c>
      <c r="J252">
        <v>0</v>
      </c>
      <c r="K252">
        <v>9.59</v>
      </c>
      <c r="L252" t="s">
        <v>61</v>
      </c>
      <c r="M252">
        <v>405</v>
      </c>
      <c r="N252">
        <v>42.24</v>
      </c>
      <c r="O252" t="s">
        <v>68</v>
      </c>
      <c r="P252" t="s">
        <v>67</v>
      </c>
      <c r="Q252">
        <v>405</v>
      </c>
      <c r="R252">
        <v>42.24</v>
      </c>
    </row>
    <row r="253" spans="1:18" x14ac:dyDescent="0.35">
      <c r="A253" t="s">
        <v>56</v>
      </c>
      <c r="B253" t="s">
        <v>57</v>
      </c>
      <c r="C253" t="s">
        <v>70</v>
      </c>
      <c r="D253">
        <v>107843876</v>
      </c>
      <c r="E253" t="s">
        <v>602</v>
      </c>
      <c r="F253" t="s">
        <v>72</v>
      </c>
      <c r="G253">
        <v>0.18</v>
      </c>
      <c r="H253">
        <v>9.4</v>
      </c>
      <c r="I253">
        <v>0</v>
      </c>
      <c r="J253">
        <v>0</v>
      </c>
      <c r="K253">
        <v>9.59</v>
      </c>
      <c r="L253" t="s">
        <v>61</v>
      </c>
      <c r="M253">
        <v>405</v>
      </c>
      <c r="N253">
        <v>42.24</v>
      </c>
      <c r="O253" t="s">
        <v>69</v>
      </c>
      <c r="P253" t="s">
        <v>67</v>
      </c>
      <c r="Q253">
        <v>0</v>
      </c>
      <c r="R253">
        <v>0</v>
      </c>
    </row>
    <row r="254" spans="1:18" x14ac:dyDescent="0.35">
      <c r="A254" t="s">
        <v>56</v>
      </c>
      <c r="B254" t="s">
        <v>57</v>
      </c>
      <c r="C254" t="s">
        <v>70</v>
      </c>
      <c r="D254">
        <v>107843891</v>
      </c>
      <c r="E254" t="s">
        <v>603</v>
      </c>
      <c r="F254" t="s">
        <v>72</v>
      </c>
      <c r="G254">
        <v>0.24</v>
      </c>
      <c r="H254">
        <v>9.89</v>
      </c>
      <c r="I254">
        <v>0</v>
      </c>
      <c r="J254">
        <v>0</v>
      </c>
      <c r="K254">
        <v>10.130000000000001</v>
      </c>
      <c r="L254" t="s">
        <v>61</v>
      </c>
      <c r="M254">
        <v>328</v>
      </c>
      <c r="N254">
        <v>32.369999999999997</v>
      </c>
      <c r="O254" t="s">
        <v>62</v>
      </c>
      <c r="P254" t="s">
        <v>63</v>
      </c>
      <c r="Q254">
        <v>329</v>
      </c>
      <c r="R254">
        <v>1356.7</v>
      </c>
    </row>
    <row r="255" spans="1:18" x14ac:dyDescent="0.35">
      <c r="A255" t="s">
        <v>56</v>
      </c>
      <c r="B255" t="s">
        <v>57</v>
      </c>
      <c r="C255" t="s">
        <v>70</v>
      </c>
      <c r="D255">
        <v>107843891</v>
      </c>
      <c r="E255" t="s">
        <v>603</v>
      </c>
      <c r="F255" t="s">
        <v>72</v>
      </c>
      <c r="G255">
        <v>0.24</v>
      </c>
      <c r="H255">
        <v>9.89</v>
      </c>
      <c r="I255">
        <v>0</v>
      </c>
      <c r="J255">
        <v>0</v>
      </c>
      <c r="K255">
        <v>10.130000000000001</v>
      </c>
      <c r="L255" t="s">
        <v>61</v>
      </c>
      <c r="M255">
        <v>328</v>
      </c>
      <c r="N255">
        <v>32.369999999999997</v>
      </c>
      <c r="O255" t="s">
        <v>62</v>
      </c>
      <c r="P255" t="s">
        <v>64</v>
      </c>
      <c r="Q255">
        <v>2067</v>
      </c>
      <c r="R255">
        <v>208.99</v>
      </c>
    </row>
    <row r="256" spans="1:18" x14ac:dyDescent="0.35">
      <c r="A256" t="s">
        <v>56</v>
      </c>
      <c r="B256" t="s">
        <v>57</v>
      </c>
      <c r="C256" t="s">
        <v>70</v>
      </c>
      <c r="D256">
        <v>107843891</v>
      </c>
      <c r="E256" t="s">
        <v>603</v>
      </c>
      <c r="F256" t="s">
        <v>72</v>
      </c>
      <c r="G256">
        <v>0.24</v>
      </c>
      <c r="H256">
        <v>9.89</v>
      </c>
      <c r="I256">
        <v>0</v>
      </c>
      <c r="J256">
        <v>0</v>
      </c>
      <c r="K256">
        <v>10.130000000000001</v>
      </c>
      <c r="L256" t="s">
        <v>61</v>
      </c>
      <c r="M256">
        <v>328</v>
      </c>
      <c r="N256">
        <v>32.369999999999997</v>
      </c>
      <c r="O256" t="s">
        <v>62</v>
      </c>
      <c r="P256" t="s">
        <v>65</v>
      </c>
      <c r="Q256">
        <v>0</v>
      </c>
      <c r="R256">
        <v>0</v>
      </c>
    </row>
    <row r="257" spans="1:18" x14ac:dyDescent="0.35">
      <c r="A257" t="s">
        <v>56</v>
      </c>
      <c r="B257" t="s">
        <v>57</v>
      </c>
      <c r="C257" t="s">
        <v>70</v>
      </c>
      <c r="D257">
        <v>107843891</v>
      </c>
      <c r="E257" t="s">
        <v>603</v>
      </c>
      <c r="F257" t="s">
        <v>72</v>
      </c>
      <c r="G257">
        <v>0.24</v>
      </c>
      <c r="H257">
        <v>9.89</v>
      </c>
      <c r="I257">
        <v>0</v>
      </c>
      <c r="J257">
        <v>0</v>
      </c>
      <c r="K257">
        <v>10.130000000000001</v>
      </c>
      <c r="L257" t="s">
        <v>61</v>
      </c>
      <c r="M257">
        <v>328</v>
      </c>
      <c r="N257">
        <v>32.369999999999997</v>
      </c>
      <c r="O257" t="s">
        <v>62</v>
      </c>
      <c r="P257" t="s">
        <v>66</v>
      </c>
      <c r="Q257">
        <v>0</v>
      </c>
      <c r="R257">
        <v>0</v>
      </c>
    </row>
    <row r="258" spans="1:18" x14ac:dyDescent="0.35">
      <c r="A258" t="s">
        <v>56</v>
      </c>
      <c r="B258" t="s">
        <v>57</v>
      </c>
      <c r="C258" t="s">
        <v>70</v>
      </c>
      <c r="D258">
        <v>107843891</v>
      </c>
      <c r="E258" t="s">
        <v>603</v>
      </c>
      <c r="F258" t="s">
        <v>72</v>
      </c>
      <c r="G258">
        <v>0.24</v>
      </c>
      <c r="H258">
        <v>9.89</v>
      </c>
      <c r="I258">
        <v>0</v>
      </c>
      <c r="J258">
        <v>0</v>
      </c>
      <c r="K258">
        <v>10.130000000000001</v>
      </c>
      <c r="L258" t="s">
        <v>61</v>
      </c>
      <c r="M258">
        <v>328</v>
      </c>
      <c r="N258">
        <v>32.369999999999997</v>
      </c>
      <c r="O258" t="s">
        <v>62</v>
      </c>
      <c r="P258" t="s">
        <v>67</v>
      </c>
      <c r="Q258">
        <v>2396</v>
      </c>
      <c r="R258">
        <v>236.45</v>
      </c>
    </row>
    <row r="259" spans="1:18" x14ac:dyDescent="0.35">
      <c r="A259" t="s">
        <v>56</v>
      </c>
      <c r="B259" t="s">
        <v>57</v>
      </c>
      <c r="C259" t="s">
        <v>70</v>
      </c>
      <c r="D259">
        <v>107843891</v>
      </c>
      <c r="E259" t="s">
        <v>603</v>
      </c>
      <c r="F259" t="s">
        <v>72</v>
      </c>
      <c r="G259">
        <v>0.24</v>
      </c>
      <c r="H259">
        <v>9.89</v>
      </c>
      <c r="I259">
        <v>0</v>
      </c>
      <c r="J259">
        <v>0</v>
      </c>
      <c r="K259">
        <v>10.130000000000001</v>
      </c>
      <c r="L259" t="s">
        <v>61</v>
      </c>
      <c r="M259">
        <v>328</v>
      </c>
      <c r="N259">
        <v>32.369999999999997</v>
      </c>
      <c r="O259" t="s">
        <v>68</v>
      </c>
      <c r="P259" t="s">
        <v>67</v>
      </c>
      <c r="Q259">
        <v>328</v>
      </c>
      <c r="R259">
        <v>32.369999999999997</v>
      </c>
    </row>
    <row r="260" spans="1:18" x14ac:dyDescent="0.35">
      <c r="A260" t="s">
        <v>56</v>
      </c>
      <c r="B260" t="s">
        <v>57</v>
      </c>
      <c r="C260" t="s">
        <v>70</v>
      </c>
      <c r="D260">
        <v>107843891</v>
      </c>
      <c r="E260" t="s">
        <v>603</v>
      </c>
      <c r="F260" t="s">
        <v>72</v>
      </c>
      <c r="G260">
        <v>0.24</v>
      </c>
      <c r="H260">
        <v>9.89</v>
      </c>
      <c r="I260">
        <v>0</v>
      </c>
      <c r="J260">
        <v>0</v>
      </c>
      <c r="K260">
        <v>10.130000000000001</v>
      </c>
      <c r="L260" t="s">
        <v>61</v>
      </c>
      <c r="M260">
        <v>328</v>
      </c>
      <c r="N260">
        <v>32.369999999999997</v>
      </c>
      <c r="O260" t="s">
        <v>69</v>
      </c>
      <c r="P260" t="s">
        <v>67</v>
      </c>
      <c r="Q260">
        <v>0</v>
      </c>
      <c r="R260">
        <v>0</v>
      </c>
    </row>
    <row r="261" spans="1:18" x14ac:dyDescent="0.35">
      <c r="A261" t="s">
        <v>56</v>
      </c>
      <c r="B261" t="s">
        <v>57</v>
      </c>
      <c r="C261" t="s">
        <v>70</v>
      </c>
      <c r="D261">
        <v>107844157</v>
      </c>
      <c r="E261" t="s">
        <v>604</v>
      </c>
      <c r="F261" t="s">
        <v>72</v>
      </c>
      <c r="G261">
        <v>0.37</v>
      </c>
      <c r="H261">
        <v>9.5500000000000007</v>
      </c>
      <c r="I261">
        <v>0</v>
      </c>
      <c r="J261">
        <v>0</v>
      </c>
      <c r="K261">
        <v>9.92</v>
      </c>
      <c r="L261" t="s">
        <v>61</v>
      </c>
      <c r="M261">
        <v>279</v>
      </c>
      <c r="N261">
        <v>28.13</v>
      </c>
      <c r="O261" t="s">
        <v>62</v>
      </c>
      <c r="P261" t="s">
        <v>63</v>
      </c>
      <c r="Q261">
        <v>332</v>
      </c>
      <c r="R261">
        <v>896.62</v>
      </c>
    </row>
    <row r="262" spans="1:18" x14ac:dyDescent="0.35">
      <c r="A262" t="s">
        <v>56</v>
      </c>
      <c r="B262" t="s">
        <v>57</v>
      </c>
      <c r="C262" t="s">
        <v>70</v>
      </c>
      <c r="D262">
        <v>107844157</v>
      </c>
      <c r="E262" t="s">
        <v>604</v>
      </c>
      <c r="F262" t="s">
        <v>72</v>
      </c>
      <c r="G262">
        <v>0.37</v>
      </c>
      <c r="H262">
        <v>9.5500000000000007</v>
      </c>
      <c r="I262">
        <v>0</v>
      </c>
      <c r="J262">
        <v>0</v>
      </c>
      <c r="K262">
        <v>9.92</v>
      </c>
      <c r="L262" t="s">
        <v>61</v>
      </c>
      <c r="M262">
        <v>279</v>
      </c>
      <c r="N262">
        <v>28.13</v>
      </c>
      <c r="O262" t="s">
        <v>62</v>
      </c>
      <c r="P262" t="s">
        <v>64</v>
      </c>
      <c r="Q262">
        <v>1319</v>
      </c>
      <c r="R262">
        <v>138.16999999999999</v>
      </c>
    </row>
    <row r="263" spans="1:18" x14ac:dyDescent="0.35">
      <c r="A263" t="s">
        <v>56</v>
      </c>
      <c r="B263" t="s">
        <v>57</v>
      </c>
      <c r="C263" t="s">
        <v>70</v>
      </c>
      <c r="D263">
        <v>107844157</v>
      </c>
      <c r="E263" t="s">
        <v>604</v>
      </c>
      <c r="F263" t="s">
        <v>72</v>
      </c>
      <c r="G263">
        <v>0.37</v>
      </c>
      <c r="H263">
        <v>9.5500000000000007</v>
      </c>
      <c r="I263">
        <v>0</v>
      </c>
      <c r="J263">
        <v>0</v>
      </c>
      <c r="K263">
        <v>9.92</v>
      </c>
      <c r="L263" t="s">
        <v>61</v>
      </c>
      <c r="M263">
        <v>279</v>
      </c>
      <c r="N263">
        <v>28.13</v>
      </c>
      <c r="O263" t="s">
        <v>62</v>
      </c>
      <c r="P263" t="s">
        <v>65</v>
      </c>
      <c r="Q263">
        <v>0</v>
      </c>
      <c r="R263">
        <v>0</v>
      </c>
    </row>
    <row r="264" spans="1:18" x14ac:dyDescent="0.35">
      <c r="A264" t="s">
        <v>56</v>
      </c>
      <c r="B264" t="s">
        <v>57</v>
      </c>
      <c r="C264" t="s">
        <v>70</v>
      </c>
      <c r="D264">
        <v>107844157</v>
      </c>
      <c r="E264" t="s">
        <v>604</v>
      </c>
      <c r="F264" t="s">
        <v>72</v>
      </c>
      <c r="G264">
        <v>0.37</v>
      </c>
      <c r="H264">
        <v>9.5500000000000007</v>
      </c>
      <c r="I264">
        <v>0</v>
      </c>
      <c r="J264">
        <v>0</v>
      </c>
      <c r="K264">
        <v>9.92</v>
      </c>
      <c r="L264" t="s">
        <v>61</v>
      </c>
      <c r="M264">
        <v>279</v>
      </c>
      <c r="N264">
        <v>28.13</v>
      </c>
      <c r="O264" t="s">
        <v>62</v>
      </c>
      <c r="P264" t="s">
        <v>66</v>
      </c>
      <c r="Q264">
        <v>0</v>
      </c>
      <c r="R264">
        <v>0</v>
      </c>
    </row>
    <row r="265" spans="1:18" x14ac:dyDescent="0.35">
      <c r="A265" t="s">
        <v>56</v>
      </c>
      <c r="B265" t="s">
        <v>57</v>
      </c>
      <c r="C265" t="s">
        <v>70</v>
      </c>
      <c r="D265">
        <v>107844157</v>
      </c>
      <c r="E265" t="s">
        <v>604</v>
      </c>
      <c r="F265" t="s">
        <v>72</v>
      </c>
      <c r="G265">
        <v>0.37</v>
      </c>
      <c r="H265">
        <v>9.5500000000000007</v>
      </c>
      <c r="I265">
        <v>0</v>
      </c>
      <c r="J265">
        <v>0</v>
      </c>
      <c r="K265">
        <v>9.92</v>
      </c>
      <c r="L265" t="s">
        <v>61</v>
      </c>
      <c r="M265">
        <v>279</v>
      </c>
      <c r="N265">
        <v>28.13</v>
      </c>
      <c r="O265" t="s">
        <v>62</v>
      </c>
      <c r="P265" t="s">
        <v>67</v>
      </c>
      <c r="Q265">
        <v>1651</v>
      </c>
      <c r="R265">
        <v>166.49</v>
      </c>
    </row>
    <row r="266" spans="1:18" x14ac:dyDescent="0.35">
      <c r="A266" t="s">
        <v>56</v>
      </c>
      <c r="B266" t="s">
        <v>57</v>
      </c>
      <c r="C266" t="s">
        <v>70</v>
      </c>
      <c r="D266">
        <v>107844157</v>
      </c>
      <c r="E266" t="s">
        <v>604</v>
      </c>
      <c r="F266" t="s">
        <v>72</v>
      </c>
      <c r="G266">
        <v>0.37</v>
      </c>
      <c r="H266">
        <v>9.5500000000000007</v>
      </c>
      <c r="I266">
        <v>0</v>
      </c>
      <c r="J266">
        <v>0</v>
      </c>
      <c r="K266">
        <v>9.92</v>
      </c>
      <c r="L266" t="s">
        <v>61</v>
      </c>
      <c r="M266">
        <v>279</v>
      </c>
      <c r="N266">
        <v>28.13</v>
      </c>
      <c r="O266" t="s">
        <v>68</v>
      </c>
      <c r="P266" t="s">
        <v>67</v>
      </c>
      <c r="Q266">
        <v>279</v>
      </c>
      <c r="R266">
        <v>28.13</v>
      </c>
    </row>
    <row r="267" spans="1:18" x14ac:dyDescent="0.35">
      <c r="A267" t="s">
        <v>56</v>
      </c>
      <c r="B267" t="s">
        <v>57</v>
      </c>
      <c r="C267" t="s">
        <v>70</v>
      </c>
      <c r="D267">
        <v>107844157</v>
      </c>
      <c r="E267" t="s">
        <v>604</v>
      </c>
      <c r="F267" t="s">
        <v>72</v>
      </c>
      <c r="G267">
        <v>0.37</v>
      </c>
      <c r="H267">
        <v>9.5500000000000007</v>
      </c>
      <c r="I267">
        <v>0</v>
      </c>
      <c r="J267">
        <v>0</v>
      </c>
      <c r="K267">
        <v>9.92</v>
      </c>
      <c r="L267" t="s">
        <v>61</v>
      </c>
      <c r="M267">
        <v>279</v>
      </c>
      <c r="N267">
        <v>28.13</v>
      </c>
      <c r="O267" t="s">
        <v>69</v>
      </c>
      <c r="P267" t="s">
        <v>67</v>
      </c>
      <c r="Q267">
        <v>0</v>
      </c>
      <c r="R267">
        <v>0</v>
      </c>
    </row>
    <row r="268" spans="1:18" x14ac:dyDescent="0.35">
      <c r="A268" t="s">
        <v>56</v>
      </c>
      <c r="B268" t="s">
        <v>57</v>
      </c>
      <c r="C268" t="s">
        <v>70</v>
      </c>
      <c r="D268">
        <v>107844158</v>
      </c>
      <c r="E268" t="s">
        <v>605</v>
      </c>
      <c r="F268" t="s">
        <v>72</v>
      </c>
      <c r="G268">
        <v>0.15</v>
      </c>
      <c r="H268">
        <v>9.8800000000000008</v>
      </c>
      <c r="I268">
        <v>0</v>
      </c>
      <c r="J268">
        <v>0</v>
      </c>
      <c r="K268">
        <v>10.029999999999999</v>
      </c>
      <c r="L268" t="s">
        <v>61</v>
      </c>
      <c r="M268">
        <v>382</v>
      </c>
      <c r="N268">
        <v>38.07</v>
      </c>
      <c r="O268" t="s">
        <v>62</v>
      </c>
      <c r="P268" t="s">
        <v>63</v>
      </c>
      <c r="Q268">
        <v>191</v>
      </c>
      <c r="R268">
        <v>1282.8399999999999</v>
      </c>
    </row>
    <row r="269" spans="1:18" x14ac:dyDescent="0.35">
      <c r="A269" t="s">
        <v>56</v>
      </c>
      <c r="B269" t="s">
        <v>57</v>
      </c>
      <c r="C269" t="s">
        <v>70</v>
      </c>
      <c r="D269">
        <v>107844158</v>
      </c>
      <c r="E269" t="s">
        <v>605</v>
      </c>
      <c r="F269" t="s">
        <v>72</v>
      </c>
      <c r="G269">
        <v>0.15</v>
      </c>
      <c r="H269">
        <v>9.8800000000000008</v>
      </c>
      <c r="I269">
        <v>0</v>
      </c>
      <c r="J269">
        <v>0</v>
      </c>
      <c r="K269">
        <v>10.029999999999999</v>
      </c>
      <c r="L269" t="s">
        <v>61</v>
      </c>
      <c r="M269">
        <v>382</v>
      </c>
      <c r="N269">
        <v>38.07</v>
      </c>
      <c r="O269" t="s">
        <v>62</v>
      </c>
      <c r="P269" t="s">
        <v>64</v>
      </c>
      <c r="Q269">
        <v>1955</v>
      </c>
      <c r="R269">
        <v>197.79</v>
      </c>
    </row>
    <row r="270" spans="1:18" x14ac:dyDescent="0.35">
      <c r="A270" t="s">
        <v>56</v>
      </c>
      <c r="B270" t="s">
        <v>57</v>
      </c>
      <c r="C270" t="s">
        <v>70</v>
      </c>
      <c r="D270">
        <v>107844158</v>
      </c>
      <c r="E270" t="s">
        <v>605</v>
      </c>
      <c r="F270" t="s">
        <v>72</v>
      </c>
      <c r="G270">
        <v>0.15</v>
      </c>
      <c r="H270">
        <v>9.8800000000000008</v>
      </c>
      <c r="I270">
        <v>0</v>
      </c>
      <c r="J270">
        <v>0</v>
      </c>
      <c r="K270">
        <v>10.029999999999999</v>
      </c>
      <c r="L270" t="s">
        <v>61</v>
      </c>
      <c r="M270">
        <v>382</v>
      </c>
      <c r="N270">
        <v>38.07</v>
      </c>
      <c r="O270" t="s">
        <v>62</v>
      </c>
      <c r="P270" t="s">
        <v>65</v>
      </c>
      <c r="Q270">
        <v>0</v>
      </c>
      <c r="R270">
        <v>0</v>
      </c>
    </row>
    <row r="271" spans="1:18" x14ac:dyDescent="0.35">
      <c r="A271" t="s">
        <v>56</v>
      </c>
      <c r="B271" t="s">
        <v>57</v>
      </c>
      <c r="C271" t="s">
        <v>70</v>
      </c>
      <c r="D271">
        <v>107844158</v>
      </c>
      <c r="E271" t="s">
        <v>605</v>
      </c>
      <c r="F271" t="s">
        <v>72</v>
      </c>
      <c r="G271">
        <v>0.15</v>
      </c>
      <c r="H271">
        <v>9.8800000000000008</v>
      </c>
      <c r="I271">
        <v>0</v>
      </c>
      <c r="J271">
        <v>0</v>
      </c>
      <c r="K271">
        <v>10.029999999999999</v>
      </c>
      <c r="L271" t="s">
        <v>61</v>
      </c>
      <c r="M271">
        <v>382</v>
      </c>
      <c r="N271">
        <v>38.07</v>
      </c>
      <c r="O271" t="s">
        <v>62</v>
      </c>
      <c r="P271" t="s">
        <v>66</v>
      </c>
      <c r="Q271">
        <v>0</v>
      </c>
      <c r="R271">
        <v>0</v>
      </c>
    </row>
    <row r="272" spans="1:18" x14ac:dyDescent="0.35">
      <c r="A272" t="s">
        <v>56</v>
      </c>
      <c r="B272" t="s">
        <v>57</v>
      </c>
      <c r="C272" t="s">
        <v>70</v>
      </c>
      <c r="D272">
        <v>107844158</v>
      </c>
      <c r="E272" t="s">
        <v>605</v>
      </c>
      <c r="F272" t="s">
        <v>72</v>
      </c>
      <c r="G272">
        <v>0.15</v>
      </c>
      <c r="H272">
        <v>9.8800000000000008</v>
      </c>
      <c r="I272">
        <v>0</v>
      </c>
      <c r="J272">
        <v>0</v>
      </c>
      <c r="K272">
        <v>10.029999999999999</v>
      </c>
      <c r="L272" t="s">
        <v>61</v>
      </c>
      <c r="M272">
        <v>382</v>
      </c>
      <c r="N272">
        <v>38.07</v>
      </c>
      <c r="O272" t="s">
        <v>62</v>
      </c>
      <c r="P272" t="s">
        <v>67</v>
      </c>
      <c r="Q272">
        <v>2146</v>
      </c>
      <c r="R272">
        <v>213.89</v>
      </c>
    </row>
    <row r="273" spans="1:18" x14ac:dyDescent="0.35">
      <c r="A273" t="s">
        <v>56</v>
      </c>
      <c r="B273" t="s">
        <v>57</v>
      </c>
      <c r="C273" t="s">
        <v>70</v>
      </c>
      <c r="D273">
        <v>107844158</v>
      </c>
      <c r="E273" t="s">
        <v>605</v>
      </c>
      <c r="F273" t="s">
        <v>72</v>
      </c>
      <c r="G273">
        <v>0.15</v>
      </c>
      <c r="H273">
        <v>9.8800000000000008</v>
      </c>
      <c r="I273">
        <v>0</v>
      </c>
      <c r="J273">
        <v>0</v>
      </c>
      <c r="K273">
        <v>10.029999999999999</v>
      </c>
      <c r="L273" t="s">
        <v>61</v>
      </c>
      <c r="M273">
        <v>382</v>
      </c>
      <c r="N273">
        <v>38.07</v>
      </c>
      <c r="O273" t="s">
        <v>68</v>
      </c>
      <c r="P273" t="s">
        <v>67</v>
      </c>
      <c r="Q273">
        <v>382</v>
      </c>
      <c r="R273">
        <v>38.07</v>
      </c>
    </row>
    <row r="274" spans="1:18" x14ac:dyDescent="0.35">
      <c r="A274" t="s">
        <v>56</v>
      </c>
      <c r="B274" t="s">
        <v>57</v>
      </c>
      <c r="C274" t="s">
        <v>70</v>
      </c>
      <c r="D274">
        <v>107844158</v>
      </c>
      <c r="E274" t="s">
        <v>605</v>
      </c>
      <c r="F274" t="s">
        <v>72</v>
      </c>
      <c r="G274">
        <v>0.15</v>
      </c>
      <c r="H274">
        <v>9.8800000000000008</v>
      </c>
      <c r="I274">
        <v>0</v>
      </c>
      <c r="J274">
        <v>0</v>
      </c>
      <c r="K274">
        <v>10.029999999999999</v>
      </c>
      <c r="L274" t="s">
        <v>61</v>
      </c>
      <c r="M274">
        <v>382</v>
      </c>
      <c r="N274">
        <v>38.07</v>
      </c>
      <c r="O274" t="s">
        <v>69</v>
      </c>
      <c r="P274" t="s">
        <v>67</v>
      </c>
      <c r="Q274">
        <v>0</v>
      </c>
      <c r="R274">
        <v>0</v>
      </c>
    </row>
    <row r="275" spans="1:18" x14ac:dyDescent="0.35">
      <c r="A275" t="s">
        <v>56</v>
      </c>
      <c r="B275" t="s">
        <v>57</v>
      </c>
      <c r="C275" t="s">
        <v>58</v>
      </c>
      <c r="D275">
        <v>107868365</v>
      </c>
      <c r="E275" t="s">
        <v>112</v>
      </c>
      <c r="F275" t="s">
        <v>72</v>
      </c>
      <c r="G275">
        <v>0.19</v>
      </c>
      <c r="H275">
        <v>4.2</v>
      </c>
      <c r="I275">
        <v>0</v>
      </c>
      <c r="J275">
        <v>0</v>
      </c>
      <c r="K275">
        <v>4.3899999999999997</v>
      </c>
      <c r="L275" t="s">
        <v>61</v>
      </c>
      <c r="M275">
        <v>209</v>
      </c>
      <c r="N275">
        <v>47.59</v>
      </c>
      <c r="O275" t="s">
        <v>62</v>
      </c>
      <c r="P275" t="s">
        <v>63</v>
      </c>
      <c r="Q275">
        <v>262</v>
      </c>
      <c r="R275">
        <v>1393.21</v>
      </c>
    </row>
    <row r="276" spans="1:18" x14ac:dyDescent="0.35">
      <c r="A276" t="s">
        <v>56</v>
      </c>
      <c r="B276" t="s">
        <v>57</v>
      </c>
      <c r="C276" t="s">
        <v>58</v>
      </c>
      <c r="D276">
        <v>107868365</v>
      </c>
      <c r="E276" t="s">
        <v>112</v>
      </c>
      <c r="F276" t="s">
        <v>72</v>
      </c>
      <c r="G276">
        <v>0.19</v>
      </c>
      <c r="H276">
        <v>4.2</v>
      </c>
      <c r="I276">
        <v>0</v>
      </c>
      <c r="J276">
        <v>0</v>
      </c>
      <c r="K276">
        <v>4.3899999999999997</v>
      </c>
      <c r="L276" t="s">
        <v>61</v>
      </c>
      <c r="M276">
        <v>209</v>
      </c>
      <c r="N276">
        <v>47.59</v>
      </c>
      <c r="O276" t="s">
        <v>62</v>
      </c>
      <c r="P276" t="s">
        <v>64</v>
      </c>
      <c r="Q276">
        <v>902</v>
      </c>
      <c r="R276">
        <v>214.61</v>
      </c>
    </row>
    <row r="277" spans="1:18" x14ac:dyDescent="0.35">
      <c r="A277" t="s">
        <v>56</v>
      </c>
      <c r="B277" t="s">
        <v>57</v>
      </c>
      <c r="C277" t="s">
        <v>58</v>
      </c>
      <c r="D277">
        <v>107868365</v>
      </c>
      <c r="E277" t="s">
        <v>112</v>
      </c>
      <c r="F277" t="s">
        <v>72</v>
      </c>
      <c r="G277">
        <v>0.19</v>
      </c>
      <c r="H277">
        <v>4.2</v>
      </c>
      <c r="I277">
        <v>0</v>
      </c>
      <c r="J277">
        <v>0</v>
      </c>
      <c r="K277">
        <v>4.3899999999999997</v>
      </c>
      <c r="L277" t="s">
        <v>61</v>
      </c>
      <c r="M277">
        <v>209</v>
      </c>
      <c r="N277">
        <v>47.59</v>
      </c>
      <c r="O277" t="s">
        <v>62</v>
      </c>
      <c r="P277" t="s">
        <v>65</v>
      </c>
      <c r="Q277">
        <v>0</v>
      </c>
      <c r="R277">
        <v>0</v>
      </c>
    </row>
    <row r="278" spans="1:18" x14ac:dyDescent="0.35">
      <c r="A278" t="s">
        <v>56</v>
      </c>
      <c r="B278" t="s">
        <v>57</v>
      </c>
      <c r="C278" t="s">
        <v>58</v>
      </c>
      <c r="D278">
        <v>107868365</v>
      </c>
      <c r="E278" t="s">
        <v>112</v>
      </c>
      <c r="F278" t="s">
        <v>72</v>
      </c>
      <c r="G278">
        <v>0.19</v>
      </c>
      <c r="H278">
        <v>4.2</v>
      </c>
      <c r="I278">
        <v>0</v>
      </c>
      <c r="J278">
        <v>0</v>
      </c>
      <c r="K278">
        <v>4.3899999999999997</v>
      </c>
      <c r="L278" t="s">
        <v>61</v>
      </c>
      <c r="M278">
        <v>209</v>
      </c>
      <c r="N278">
        <v>47.59</v>
      </c>
      <c r="O278" t="s">
        <v>62</v>
      </c>
      <c r="P278" t="s">
        <v>66</v>
      </c>
      <c r="Q278">
        <v>0</v>
      </c>
      <c r="R278">
        <v>0</v>
      </c>
    </row>
    <row r="279" spans="1:18" x14ac:dyDescent="0.35">
      <c r="A279" t="s">
        <v>56</v>
      </c>
      <c r="B279" t="s">
        <v>57</v>
      </c>
      <c r="C279" t="s">
        <v>58</v>
      </c>
      <c r="D279">
        <v>107868365</v>
      </c>
      <c r="E279" t="s">
        <v>112</v>
      </c>
      <c r="F279" t="s">
        <v>72</v>
      </c>
      <c r="G279">
        <v>0.19</v>
      </c>
      <c r="H279">
        <v>4.2</v>
      </c>
      <c r="I279">
        <v>0</v>
      </c>
      <c r="J279">
        <v>0</v>
      </c>
      <c r="K279">
        <v>4.3899999999999997</v>
      </c>
      <c r="L279" t="s">
        <v>61</v>
      </c>
      <c r="M279">
        <v>209</v>
      </c>
      <c r="N279">
        <v>47.59</v>
      </c>
      <c r="O279" t="s">
        <v>62</v>
      </c>
      <c r="P279" t="s">
        <v>67</v>
      </c>
      <c r="Q279">
        <v>1164</v>
      </c>
      <c r="R279">
        <v>265.06</v>
      </c>
    </row>
    <row r="280" spans="1:18" x14ac:dyDescent="0.35">
      <c r="A280" t="s">
        <v>56</v>
      </c>
      <c r="B280" t="s">
        <v>57</v>
      </c>
      <c r="C280" t="s">
        <v>58</v>
      </c>
      <c r="D280">
        <v>107868365</v>
      </c>
      <c r="E280" t="s">
        <v>112</v>
      </c>
      <c r="F280" t="s">
        <v>72</v>
      </c>
      <c r="G280">
        <v>0.19</v>
      </c>
      <c r="H280">
        <v>4.2</v>
      </c>
      <c r="I280">
        <v>0</v>
      </c>
      <c r="J280">
        <v>0</v>
      </c>
      <c r="K280">
        <v>4.3899999999999997</v>
      </c>
      <c r="L280" t="s">
        <v>61</v>
      </c>
      <c r="M280">
        <v>209</v>
      </c>
      <c r="N280">
        <v>47.59</v>
      </c>
      <c r="O280" t="s">
        <v>68</v>
      </c>
      <c r="P280" t="s">
        <v>67</v>
      </c>
      <c r="Q280">
        <v>209</v>
      </c>
      <c r="R280">
        <v>47.59</v>
      </c>
    </row>
    <row r="281" spans="1:18" x14ac:dyDescent="0.35">
      <c r="A281" t="s">
        <v>56</v>
      </c>
      <c r="B281" t="s">
        <v>57</v>
      </c>
      <c r="C281" t="s">
        <v>58</v>
      </c>
      <c r="D281">
        <v>107868365</v>
      </c>
      <c r="E281" t="s">
        <v>112</v>
      </c>
      <c r="F281" t="s">
        <v>72</v>
      </c>
      <c r="G281">
        <v>0.19</v>
      </c>
      <c r="H281">
        <v>4.2</v>
      </c>
      <c r="I281">
        <v>0</v>
      </c>
      <c r="J281">
        <v>0</v>
      </c>
      <c r="K281">
        <v>4.3899999999999997</v>
      </c>
      <c r="L281" t="s">
        <v>61</v>
      </c>
      <c r="M281">
        <v>209</v>
      </c>
      <c r="N281">
        <v>47.59</v>
      </c>
      <c r="O281" t="s">
        <v>69</v>
      </c>
      <c r="P281" t="s">
        <v>67</v>
      </c>
      <c r="Q281">
        <v>0</v>
      </c>
      <c r="R281">
        <v>0</v>
      </c>
    </row>
    <row r="282" spans="1:18" x14ac:dyDescent="0.35">
      <c r="A282" t="s">
        <v>37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R254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70</v>
      </c>
      <c r="D2">
        <v>100753604</v>
      </c>
      <c r="E2" t="s">
        <v>71</v>
      </c>
      <c r="F2" t="s">
        <v>72</v>
      </c>
      <c r="G2">
        <v>0.57999999999999996</v>
      </c>
      <c r="H2">
        <v>9.36</v>
      </c>
      <c r="I2">
        <v>0.01</v>
      </c>
      <c r="J2">
        <v>0</v>
      </c>
      <c r="K2">
        <v>9.9499999999999993</v>
      </c>
      <c r="L2" t="s">
        <v>61</v>
      </c>
      <c r="M2">
        <v>441</v>
      </c>
      <c r="N2">
        <v>44.32</v>
      </c>
      <c r="O2" t="s">
        <v>62</v>
      </c>
      <c r="P2" t="s">
        <v>63</v>
      </c>
      <c r="Q2">
        <v>787</v>
      </c>
      <c r="R2">
        <v>1347.86</v>
      </c>
    </row>
    <row r="3" spans="1:18" x14ac:dyDescent="0.35">
      <c r="A3" t="s">
        <v>56</v>
      </c>
      <c r="B3" t="s">
        <v>57</v>
      </c>
      <c r="C3" t="s">
        <v>70</v>
      </c>
      <c r="D3">
        <v>100753604</v>
      </c>
      <c r="E3" t="s">
        <v>71</v>
      </c>
      <c r="F3" t="s">
        <v>72</v>
      </c>
      <c r="G3">
        <v>0.57999999999999996</v>
      </c>
      <c r="H3">
        <v>9.36</v>
      </c>
      <c r="I3">
        <v>0.01</v>
      </c>
      <c r="J3">
        <v>0</v>
      </c>
      <c r="K3">
        <v>9.9499999999999993</v>
      </c>
      <c r="L3" t="s">
        <v>61</v>
      </c>
      <c r="M3">
        <v>441</v>
      </c>
      <c r="N3">
        <v>44.32</v>
      </c>
      <c r="O3" t="s">
        <v>62</v>
      </c>
      <c r="P3" t="s">
        <v>64</v>
      </c>
      <c r="Q3">
        <v>1801</v>
      </c>
      <c r="R3">
        <v>192.44</v>
      </c>
    </row>
    <row r="4" spans="1:18" x14ac:dyDescent="0.35">
      <c r="A4" t="s">
        <v>56</v>
      </c>
      <c r="B4" t="s">
        <v>57</v>
      </c>
      <c r="C4" t="s">
        <v>70</v>
      </c>
      <c r="D4">
        <v>100753604</v>
      </c>
      <c r="E4" t="s">
        <v>71</v>
      </c>
      <c r="F4" t="s">
        <v>72</v>
      </c>
      <c r="G4">
        <v>0.57999999999999996</v>
      </c>
      <c r="H4">
        <v>9.36</v>
      </c>
      <c r="I4">
        <v>0.01</v>
      </c>
      <c r="J4">
        <v>0</v>
      </c>
      <c r="K4">
        <v>9.9499999999999993</v>
      </c>
      <c r="L4" t="s">
        <v>61</v>
      </c>
      <c r="M4">
        <v>441</v>
      </c>
      <c r="N4">
        <v>44.32</v>
      </c>
      <c r="O4" t="s">
        <v>62</v>
      </c>
      <c r="P4" t="s">
        <v>65</v>
      </c>
      <c r="Q4">
        <v>1</v>
      </c>
      <c r="R4">
        <v>138.46</v>
      </c>
    </row>
    <row r="5" spans="1:18" x14ac:dyDescent="0.35">
      <c r="A5" t="s">
        <v>56</v>
      </c>
      <c r="B5" t="s">
        <v>57</v>
      </c>
      <c r="C5" t="s">
        <v>70</v>
      </c>
      <c r="D5">
        <v>100753604</v>
      </c>
      <c r="E5" t="s">
        <v>71</v>
      </c>
      <c r="F5" t="s">
        <v>72</v>
      </c>
      <c r="G5">
        <v>0.57999999999999996</v>
      </c>
      <c r="H5">
        <v>9.36</v>
      </c>
      <c r="I5">
        <v>0.01</v>
      </c>
      <c r="J5">
        <v>0</v>
      </c>
      <c r="K5">
        <v>9.9499999999999993</v>
      </c>
      <c r="L5" t="s">
        <v>61</v>
      </c>
      <c r="M5">
        <v>441</v>
      </c>
      <c r="N5">
        <v>44.32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70</v>
      </c>
      <c r="D6">
        <v>100753604</v>
      </c>
      <c r="E6" t="s">
        <v>71</v>
      </c>
      <c r="F6" t="s">
        <v>72</v>
      </c>
      <c r="G6">
        <v>0.57999999999999996</v>
      </c>
      <c r="H6">
        <v>9.36</v>
      </c>
      <c r="I6">
        <v>0.01</v>
      </c>
      <c r="J6">
        <v>0</v>
      </c>
      <c r="K6">
        <v>9.9499999999999993</v>
      </c>
      <c r="L6" t="s">
        <v>61</v>
      </c>
      <c r="M6">
        <v>441</v>
      </c>
      <c r="N6">
        <v>44.32</v>
      </c>
      <c r="O6" t="s">
        <v>62</v>
      </c>
      <c r="P6" t="s">
        <v>67</v>
      </c>
      <c r="Q6">
        <v>2589</v>
      </c>
      <c r="R6">
        <v>260.2</v>
      </c>
    </row>
    <row r="7" spans="1:18" x14ac:dyDescent="0.35">
      <c r="A7" t="s">
        <v>56</v>
      </c>
      <c r="B7" t="s">
        <v>57</v>
      </c>
      <c r="C7" t="s">
        <v>70</v>
      </c>
      <c r="D7">
        <v>100753604</v>
      </c>
      <c r="E7" t="s">
        <v>71</v>
      </c>
      <c r="F7" t="s">
        <v>72</v>
      </c>
      <c r="G7">
        <v>0.57999999999999996</v>
      </c>
      <c r="H7">
        <v>9.36</v>
      </c>
      <c r="I7">
        <v>0.01</v>
      </c>
      <c r="J7">
        <v>0</v>
      </c>
      <c r="K7">
        <v>9.9499999999999993</v>
      </c>
      <c r="L7" t="s">
        <v>61</v>
      </c>
      <c r="M7">
        <v>441</v>
      </c>
      <c r="N7">
        <v>44.32</v>
      </c>
      <c r="O7" t="s">
        <v>68</v>
      </c>
      <c r="P7" t="s">
        <v>67</v>
      </c>
      <c r="Q7">
        <v>441</v>
      </c>
      <c r="R7">
        <v>44.32</v>
      </c>
    </row>
    <row r="8" spans="1:18" x14ac:dyDescent="0.35">
      <c r="A8" t="s">
        <v>56</v>
      </c>
      <c r="B8" t="s">
        <v>57</v>
      </c>
      <c r="C8" t="s">
        <v>70</v>
      </c>
      <c r="D8">
        <v>100865064</v>
      </c>
      <c r="E8" t="s">
        <v>581</v>
      </c>
      <c r="F8" t="s">
        <v>72</v>
      </c>
      <c r="G8">
        <v>0.31</v>
      </c>
      <c r="H8">
        <v>9.61</v>
      </c>
      <c r="I8">
        <v>0</v>
      </c>
      <c r="J8">
        <v>0</v>
      </c>
      <c r="K8">
        <v>9.92</v>
      </c>
      <c r="L8" t="s">
        <v>61</v>
      </c>
      <c r="M8">
        <v>223</v>
      </c>
      <c r="N8">
        <v>22.49</v>
      </c>
      <c r="O8" t="s">
        <v>62</v>
      </c>
      <c r="P8" t="s">
        <v>63</v>
      </c>
      <c r="Q8">
        <v>202</v>
      </c>
      <c r="R8">
        <v>649.87</v>
      </c>
    </row>
    <row r="9" spans="1:18" x14ac:dyDescent="0.35">
      <c r="A9" t="s">
        <v>56</v>
      </c>
      <c r="B9" t="s">
        <v>57</v>
      </c>
      <c r="C9" t="s">
        <v>70</v>
      </c>
      <c r="D9">
        <v>100865064</v>
      </c>
      <c r="E9" t="s">
        <v>581</v>
      </c>
      <c r="F9" t="s">
        <v>72</v>
      </c>
      <c r="G9">
        <v>0.31</v>
      </c>
      <c r="H9">
        <v>9.61</v>
      </c>
      <c r="I9">
        <v>0</v>
      </c>
      <c r="J9">
        <v>0</v>
      </c>
      <c r="K9">
        <v>9.92</v>
      </c>
      <c r="L9" t="s">
        <v>61</v>
      </c>
      <c r="M9">
        <v>223</v>
      </c>
      <c r="N9">
        <v>22.49</v>
      </c>
      <c r="O9" t="s">
        <v>62</v>
      </c>
      <c r="P9" t="s">
        <v>64</v>
      </c>
      <c r="Q9">
        <v>891</v>
      </c>
      <c r="R9">
        <v>92.76</v>
      </c>
    </row>
    <row r="10" spans="1:18" x14ac:dyDescent="0.35">
      <c r="A10" t="s">
        <v>56</v>
      </c>
      <c r="B10" t="s">
        <v>57</v>
      </c>
      <c r="C10" t="s">
        <v>70</v>
      </c>
      <c r="D10">
        <v>100865064</v>
      </c>
      <c r="E10" t="s">
        <v>581</v>
      </c>
      <c r="F10" t="s">
        <v>72</v>
      </c>
      <c r="G10">
        <v>0.31</v>
      </c>
      <c r="H10">
        <v>9.61</v>
      </c>
      <c r="I10">
        <v>0</v>
      </c>
      <c r="J10">
        <v>0</v>
      </c>
      <c r="K10">
        <v>9.92</v>
      </c>
      <c r="L10" t="s">
        <v>61</v>
      </c>
      <c r="M10">
        <v>223</v>
      </c>
      <c r="N10">
        <v>22.49</v>
      </c>
      <c r="O10" t="s">
        <v>62</v>
      </c>
      <c r="P10" t="s">
        <v>65</v>
      </c>
      <c r="Q10">
        <v>0</v>
      </c>
      <c r="R10">
        <v>0</v>
      </c>
    </row>
    <row r="11" spans="1:18" x14ac:dyDescent="0.35">
      <c r="A11" t="s">
        <v>56</v>
      </c>
      <c r="B11" t="s">
        <v>57</v>
      </c>
      <c r="C11" t="s">
        <v>70</v>
      </c>
      <c r="D11">
        <v>100865064</v>
      </c>
      <c r="E11" t="s">
        <v>581</v>
      </c>
      <c r="F11" t="s">
        <v>72</v>
      </c>
      <c r="G11">
        <v>0.31</v>
      </c>
      <c r="H11">
        <v>9.61</v>
      </c>
      <c r="I11">
        <v>0</v>
      </c>
      <c r="J11">
        <v>0</v>
      </c>
      <c r="K11">
        <v>9.92</v>
      </c>
      <c r="L11" t="s">
        <v>61</v>
      </c>
      <c r="M11">
        <v>223</v>
      </c>
      <c r="N11">
        <v>22.49</v>
      </c>
      <c r="O11" t="s">
        <v>62</v>
      </c>
      <c r="P11" t="s">
        <v>66</v>
      </c>
      <c r="Q11">
        <v>0</v>
      </c>
      <c r="R11">
        <v>0</v>
      </c>
    </row>
    <row r="12" spans="1:18" x14ac:dyDescent="0.35">
      <c r="A12" t="s">
        <v>56</v>
      </c>
      <c r="B12" t="s">
        <v>57</v>
      </c>
      <c r="C12" t="s">
        <v>70</v>
      </c>
      <c r="D12">
        <v>100865064</v>
      </c>
      <c r="E12" t="s">
        <v>581</v>
      </c>
      <c r="F12" t="s">
        <v>72</v>
      </c>
      <c r="G12">
        <v>0.31</v>
      </c>
      <c r="H12">
        <v>9.61</v>
      </c>
      <c r="I12">
        <v>0</v>
      </c>
      <c r="J12">
        <v>0</v>
      </c>
      <c r="K12">
        <v>9.92</v>
      </c>
      <c r="L12" t="s">
        <v>61</v>
      </c>
      <c r="M12">
        <v>223</v>
      </c>
      <c r="N12">
        <v>22.49</v>
      </c>
      <c r="O12" t="s">
        <v>62</v>
      </c>
      <c r="P12" t="s">
        <v>67</v>
      </c>
      <c r="Q12">
        <v>1093</v>
      </c>
      <c r="R12">
        <v>110.22</v>
      </c>
    </row>
    <row r="13" spans="1:18" x14ac:dyDescent="0.35">
      <c r="A13" t="s">
        <v>56</v>
      </c>
      <c r="B13" t="s">
        <v>57</v>
      </c>
      <c r="C13" t="s">
        <v>70</v>
      </c>
      <c r="D13">
        <v>100865064</v>
      </c>
      <c r="E13" t="s">
        <v>581</v>
      </c>
      <c r="F13" t="s">
        <v>72</v>
      </c>
      <c r="G13">
        <v>0.31</v>
      </c>
      <c r="H13">
        <v>9.61</v>
      </c>
      <c r="I13">
        <v>0</v>
      </c>
      <c r="J13">
        <v>0</v>
      </c>
      <c r="K13">
        <v>9.92</v>
      </c>
      <c r="L13" t="s">
        <v>61</v>
      </c>
      <c r="M13">
        <v>223</v>
      </c>
      <c r="N13">
        <v>22.49</v>
      </c>
      <c r="O13" t="s">
        <v>68</v>
      </c>
      <c r="P13" t="s">
        <v>67</v>
      </c>
      <c r="Q13">
        <v>223</v>
      </c>
      <c r="R13">
        <v>22.49</v>
      </c>
    </row>
    <row r="14" spans="1:18" x14ac:dyDescent="0.35">
      <c r="A14" t="s">
        <v>56</v>
      </c>
      <c r="B14" t="s">
        <v>57</v>
      </c>
      <c r="C14" t="s">
        <v>70</v>
      </c>
      <c r="D14">
        <v>102263726</v>
      </c>
      <c r="E14" t="s">
        <v>606</v>
      </c>
      <c r="F14" t="s">
        <v>72</v>
      </c>
      <c r="G14">
        <v>0.08</v>
      </c>
      <c r="H14">
        <v>1.21</v>
      </c>
      <c r="I14">
        <v>0</v>
      </c>
      <c r="J14">
        <v>0</v>
      </c>
      <c r="K14">
        <v>1.29</v>
      </c>
      <c r="L14" t="s">
        <v>61</v>
      </c>
      <c r="M14">
        <v>67</v>
      </c>
      <c r="N14">
        <v>51.99</v>
      </c>
      <c r="O14" t="s">
        <v>62</v>
      </c>
      <c r="P14" t="s">
        <v>63</v>
      </c>
      <c r="Q14">
        <v>143</v>
      </c>
      <c r="R14">
        <v>1769.07</v>
      </c>
    </row>
    <row r="15" spans="1:18" x14ac:dyDescent="0.35">
      <c r="A15" t="s">
        <v>56</v>
      </c>
      <c r="B15" t="s">
        <v>57</v>
      </c>
      <c r="C15" t="s">
        <v>70</v>
      </c>
      <c r="D15">
        <v>102263726</v>
      </c>
      <c r="E15" t="s">
        <v>606</v>
      </c>
      <c r="F15" t="s">
        <v>72</v>
      </c>
      <c r="G15">
        <v>0.08</v>
      </c>
      <c r="H15">
        <v>1.21</v>
      </c>
      <c r="I15">
        <v>0</v>
      </c>
      <c r="J15">
        <v>0</v>
      </c>
      <c r="K15">
        <v>1.29</v>
      </c>
      <c r="L15" t="s">
        <v>61</v>
      </c>
      <c r="M15">
        <v>67</v>
      </c>
      <c r="N15">
        <v>51.99</v>
      </c>
      <c r="O15" t="s">
        <v>62</v>
      </c>
      <c r="P15" t="s">
        <v>64</v>
      </c>
      <c r="Q15">
        <v>305</v>
      </c>
      <c r="R15">
        <v>252.59</v>
      </c>
    </row>
    <row r="16" spans="1:18" x14ac:dyDescent="0.35">
      <c r="A16" t="s">
        <v>56</v>
      </c>
      <c r="B16" t="s">
        <v>57</v>
      </c>
      <c r="C16" t="s">
        <v>70</v>
      </c>
      <c r="D16">
        <v>102263726</v>
      </c>
      <c r="E16" t="s">
        <v>606</v>
      </c>
      <c r="F16" t="s">
        <v>72</v>
      </c>
      <c r="G16">
        <v>0.08</v>
      </c>
      <c r="H16">
        <v>1.21</v>
      </c>
      <c r="I16">
        <v>0</v>
      </c>
      <c r="J16">
        <v>0</v>
      </c>
      <c r="K16">
        <v>1.29</v>
      </c>
      <c r="L16" t="s">
        <v>61</v>
      </c>
      <c r="M16">
        <v>67</v>
      </c>
      <c r="N16">
        <v>51.99</v>
      </c>
      <c r="O16" t="s">
        <v>62</v>
      </c>
      <c r="P16" t="s">
        <v>65</v>
      </c>
      <c r="Q16">
        <v>0</v>
      </c>
      <c r="R16">
        <v>0</v>
      </c>
    </row>
    <row r="17" spans="1:18" x14ac:dyDescent="0.35">
      <c r="A17" t="s">
        <v>56</v>
      </c>
      <c r="B17" t="s">
        <v>57</v>
      </c>
      <c r="C17" t="s">
        <v>70</v>
      </c>
      <c r="D17">
        <v>102263726</v>
      </c>
      <c r="E17" t="s">
        <v>606</v>
      </c>
      <c r="F17" t="s">
        <v>72</v>
      </c>
      <c r="G17">
        <v>0.08</v>
      </c>
      <c r="H17">
        <v>1.21</v>
      </c>
      <c r="I17">
        <v>0</v>
      </c>
      <c r="J17">
        <v>0</v>
      </c>
      <c r="K17">
        <v>1.29</v>
      </c>
      <c r="L17" t="s">
        <v>61</v>
      </c>
      <c r="M17">
        <v>67</v>
      </c>
      <c r="N17">
        <v>51.99</v>
      </c>
      <c r="O17" t="s">
        <v>62</v>
      </c>
      <c r="P17" t="s">
        <v>66</v>
      </c>
      <c r="Q17">
        <v>0</v>
      </c>
      <c r="R17">
        <v>0</v>
      </c>
    </row>
    <row r="18" spans="1:18" x14ac:dyDescent="0.35">
      <c r="A18" t="s">
        <v>56</v>
      </c>
      <c r="B18" t="s">
        <v>57</v>
      </c>
      <c r="C18" t="s">
        <v>70</v>
      </c>
      <c r="D18">
        <v>102263726</v>
      </c>
      <c r="E18" t="s">
        <v>606</v>
      </c>
      <c r="F18" t="s">
        <v>72</v>
      </c>
      <c r="G18">
        <v>0.08</v>
      </c>
      <c r="H18">
        <v>1.21</v>
      </c>
      <c r="I18">
        <v>0</v>
      </c>
      <c r="J18">
        <v>0</v>
      </c>
      <c r="K18">
        <v>1.29</v>
      </c>
      <c r="L18" t="s">
        <v>61</v>
      </c>
      <c r="M18">
        <v>67</v>
      </c>
      <c r="N18">
        <v>51.99</v>
      </c>
      <c r="O18" t="s">
        <v>62</v>
      </c>
      <c r="P18" t="s">
        <v>67</v>
      </c>
      <c r="Q18">
        <v>448</v>
      </c>
      <c r="R18">
        <v>347.66</v>
      </c>
    </row>
    <row r="19" spans="1:18" x14ac:dyDescent="0.35">
      <c r="A19" t="s">
        <v>56</v>
      </c>
      <c r="B19" t="s">
        <v>57</v>
      </c>
      <c r="C19" t="s">
        <v>70</v>
      </c>
      <c r="D19">
        <v>102263726</v>
      </c>
      <c r="E19" t="s">
        <v>606</v>
      </c>
      <c r="F19" t="s">
        <v>72</v>
      </c>
      <c r="G19">
        <v>0.08</v>
      </c>
      <c r="H19">
        <v>1.21</v>
      </c>
      <c r="I19">
        <v>0</v>
      </c>
      <c r="J19">
        <v>0</v>
      </c>
      <c r="K19">
        <v>1.29</v>
      </c>
      <c r="L19" t="s">
        <v>61</v>
      </c>
      <c r="M19">
        <v>67</v>
      </c>
      <c r="N19">
        <v>51.99</v>
      </c>
      <c r="O19" t="s">
        <v>68</v>
      </c>
      <c r="P19" t="s">
        <v>67</v>
      </c>
      <c r="Q19">
        <v>67</v>
      </c>
      <c r="R19">
        <v>51.99</v>
      </c>
    </row>
    <row r="20" spans="1:18" x14ac:dyDescent="0.35">
      <c r="A20" t="s">
        <v>56</v>
      </c>
      <c r="B20" t="s">
        <v>57</v>
      </c>
      <c r="C20" t="s">
        <v>70</v>
      </c>
      <c r="D20">
        <v>103162419</v>
      </c>
      <c r="E20" t="s">
        <v>76</v>
      </c>
      <c r="F20" t="s">
        <v>72</v>
      </c>
      <c r="G20">
        <v>0.04</v>
      </c>
      <c r="H20">
        <v>4.51</v>
      </c>
      <c r="I20">
        <v>0</v>
      </c>
      <c r="J20">
        <v>0</v>
      </c>
      <c r="K20">
        <v>4.55</v>
      </c>
      <c r="L20" t="s">
        <v>61</v>
      </c>
      <c r="M20">
        <v>142</v>
      </c>
      <c r="N20">
        <v>31.21</v>
      </c>
      <c r="O20" t="s">
        <v>62</v>
      </c>
      <c r="P20" t="s">
        <v>63</v>
      </c>
      <c r="Q20">
        <v>46</v>
      </c>
      <c r="R20">
        <v>1118.92</v>
      </c>
    </row>
    <row r="21" spans="1:18" x14ac:dyDescent="0.35">
      <c r="A21" t="s">
        <v>56</v>
      </c>
      <c r="B21" t="s">
        <v>57</v>
      </c>
      <c r="C21" t="s">
        <v>70</v>
      </c>
      <c r="D21">
        <v>103162419</v>
      </c>
      <c r="E21" t="s">
        <v>76</v>
      </c>
      <c r="F21" t="s">
        <v>72</v>
      </c>
      <c r="G21">
        <v>0.04</v>
      </c>
      <c r="H21">
        <v>4.51</v>
      </c>
      <c r="I21">
        <v>0</v>
      </c>
      <c r="J21">
        <v>0</v>
      </c>
      <c r="K21">
        <v>4.55</v>
      </c>
      <c r="L21" t="s">
        <v>61</v>
      </c>
      <c r="M21">
        <v>142</v>
      </c>
      <c r="N21">
        <v>31.21</v>
      </c>
      <c r="O21" t="s">
        <v>62</v>
      </c>
      <c r="P21" t="s">
        <v>64</v>
      </c>
      <c r="Q21">
        <v>719</v>
      </c>
      <c r="R21">
        <v>159.47</v>
      </c>
    </row>
    <row r="22" spans="1:18" x14ac:dyDescent="0.35">
      <c r="A22" t="s">
        <v>56</v>
      </c>
      <c r="B22" t="s">
        <v>57</v>
      </c>
      <c r="C22" t="s">
        <v>70</v>
      </c>
      <c r="D22">
        <v>103162419</v>
      </c>
      <c r="E22" t="s">
        <v>76</v>
      </c>
      <c r="F22" t="s">
        <v>72</v>
      </c>
      <c r="G22">
        <v>0.04</v>
      </c>
      <c r="H22">
        <v>4.51</v>
      </c>
      <c r="I22">
        <v>0</v>
      </c>
      <c r="J22">
        <v>0</v>
      </c>
      <c r="K22">
        <v>4.55</v>
      </c>
      <c r="L22" t="s">
        <v>61</v>
      </c>
      <c r="M22">
        <v>142</v>
      </c>
      <c r="N22">
        <v>31.21</v>
      </c>
      <c r="O22" t="s">
        <v>62</v>
      </c>
      <c r="P22" t="s">
        <v>65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70</v>
      </c>
      <c r="D23">
        <v>103162419</v>
      </c>
      <c r="E23" t="s">
        <v>76</v>
      </c>
      <c r="F23" t="s">
        <v>72</v>
      </c>
      <c r="G23">
        <v>0.04</v>
      </c>
      <c r="H23">
        <v>4.51</v>
      </c>
      <c r="I23">
        <v>0</v>
      </c>
      <c r="J23">
        <v>0</v>
      </c>
      <c r="K23">
        <v>4.55</v>
      </c>
      <c r="L23" t="s">
        <v>61</v>
      </c>
      <c r="M23">
        <v>142</v>
      </c>
      <c r="N23">
        <v>31.21</v>
      </c>
      <c r="O23" t="s">
        <v>62</v>
      </c>
      <c r="P23" t="s">
        <v>66</v>
      </c>
      <c r="Q23">
        <v>0</v>
      </c>
      <c r="R23">
        <v>0</v>
      </c>
    </row>
    <row r="24" spans="1:18" x14ac:dyDescent="0.35">
      <c r="A24" t="s">
        <v>56</v>
      </c>
      <c r="B24" t="s">
        <v>57</v>
      </c>
      <c r="C24" t="s">
        <v>70</v>
      </c>
      <c r="D24">
        <v>103162419</v>
      </c>
      <c r="E24" t="s">
        <v>76</v>
      </c>
      <c r="F24" t="s">
        <v>72</v>
      </c>
      <c r="G24">
        <v>0.04</v>
      </c>
      <c r="H24">
        <v>4.51</v>
      </c>
      <c r="I24">
        <v>0</v>
      </c>
      <c r="J24">
        <v>0</v>
      </c>
      <c r="K24">
        <v>4.55</v>
      </c>
      <c r="L24" t="s">
        <v>61</v>
      </c>
      <c r="M24">
        <v>142</v>
      </c>
      <c r="N24">
        <v>31.21</v>
      </c>
      <c r="O24" t="s">
        <v>62</v>
      </c>
      <c r="P24" t="s">
        <v>67</v>
      </c>
      <c r="Q24">
        <v>765</v>
      </c>
      <c r="R24">
        <v>168.13</v>
      </c>
    </row>
    <row r="25" spans="1:18" x14ac:dyDescent="0.35">
      <c r="A25" t="s">
        <v>56</v>
      </c>
      <c r="B25" t="s">
        <v>57</v>
      </c>
      <c r="C25" t="s">
        <v>70</v>
      </c>
      <c r="D25">
        <v>103162419</v>
      </c>
      <c r="E25" t="s">
        <v>76</v>
      </c>
      <c r="F25" t="s">
        <v>72</v>
      </c>
      <c r="G25">
        <v>0.04</v>
      </c>
      <c r="H25">
        <v>4.51</v>
      </c>
      <c r="I25">
        <v>0</v>
      </c>
      <c r="J25">
        <v>0</v>
      </c>
      <c r="K25">
        <v>4.55</v>
      </c>
      <c r="L25" t="s">
        <v>61</v>
      </c>
      <c r="M25">
        <v>142</v>
      </c>
      <c r="N25">
        <v>31.21</v>
      </c>
      <c r="O25" t="s">
        <v>68</v>
      </c>
      <c r="P25" t="s">
        <v>67</v>
      </c>
      <c r="Q25">
        <v>142</v>
      </c>
      <c r="R25">
        <v>31.21</v>
      </c>
    </row>
    <row r="26" spans="1:18" x14ac:dyDescent="0.35">
      <c r="A26" t="s">
        <v>56</v>
      </c>
      <c r="B26" t="s">
        <v>57</v>
      </c>
      <c r="C26" t="s">
        <v>70</v>
      </c>
      <c r="D26">
        <v>103783504</v>
      </c>
      <c r="E26" t="s">
        <v>77</v>
      </c>
      <c r="F26" t="s">
        <v>72</v>
      </c>
      <c r="G26">
        <v>0.22</v>
      </c>
      <c r="H26">
        <v>6.93</v>
      </c>
      <c r="I26">
        <v>0</v>
      </c>
      <c r="J26">
        <v>0</v>
      </c>
      <c r="K26">
        <v>7.15</v>
      </c>
      <c r="L26" t="s">
        <v>61</v>
      </c>
      <c r="M26">
        <v>249</v>
      </c>
      <c r="N26">
        <v>34.82</v>
      </c>
      <c r="O26" t="s">
        <v>62</v>
      </c>
      <c r="P26" t="s">
        <v>63</v>
      </c>
      <c r="Q26">
        <v>202</v>
      </c>
      <c r="R26">
        <v>925.19</v>
      </c>
    </row>
    <row r="27" spans="1:18" x14ac:dyDescent="0.35">
      <c r="A27" t="s">
        <v>56</v>
      </c>
      <c r="B27" t="s">
        <v>57</v>
      </c>
      <c r="C27" t="s">
        <v>70</v>
      </c>
      <c r="D27">
        <v>103783504</v>
      </c>
      <c r="E27" t="s">
        <v>77</v>
      </c>
      <c r="F27" t="s">
        <v>72</v>
      </c>
      <c r="G27">
        <v>0.22</v>
      </c>
      <c r="H27">
        <v>6.93</v>
      </c>
      <c r="I27">
        <v>0</v>
      </c>
      <c r="J27">
        <v>0</v>
      </c>
      <c r="K27">
        <v>7.15</v>
      </c>
      <c r="L27" t="s">
        <v>61</v>
      </c>
      <c r="M27">
        <v>249</v>
      </c>
      <c r="N27">
        <v>34.82</v>
      </c>
      <c r="O27" t="s">
        <v>62</v>
      </c>
      <c r="P27" t="s">
        <v>64</v>
      </c>
      <c r="Q27">
        <v>915</v>
      </c>
      <c r="R27">
        <v>132</v>
      </c>
    </row>
    <row r="28" spans="1:18" x14ac:dyDescent="0.35">
      <c r="A28" t="s">
        <v>56</v>
      </c>
      <c r="B28" t="s">
        <v>57</v>
      </c>
      <c r="C28" t="s">
        <v>70</v>
      </c>
      <c r="D28">
        <v>103783504</v>
      </c>
      <c r="E28" t="s">
        <v>77</v>
      </c>
      <c r="F28" t="s">
        <v>72</v>
      </c>
      <c r="G28">
        <v>0.22</v>
      </c>
      <c r="H28">
        <v>6.93</v>
      </c>
      <c r="I28">
        <v>0</v>
      </c>
      <c r="J28">
        <v>0</v>
      </c>
      <c r="K28">
        <v>7.15</v>
      </c>
      <c r="L28" t="s">
        <v>61</v>
      </c>
      <c r="M28">
        <v>249</v>
      </c>
      <c r="N28">
        <v>34.82</v>
      </c>
      <c r="O28" t="s">
        <v>62</v>
      </c>
      <c r="P28" t="s">
        <v>65</v>
      </c>
      <c r="Q28">
        <v>0</v>
      </c>
      <c r="R28">
        <v>0</v>
      </c>
    </row>
    <row r="29" spans="1:18" x14ac:dyDescent="0.35">
      <c r="A29" t="s">
        <v>56</v>
      </c>
      <c r="B29" t="s">
        <v>57</v>
      </c>
      <c r="C29" t="s">
        <v>70</v>
      </c>
      <c r="D29">
        <v>103783504</v>
      </c>
      <c r="E29" t="s">
        <v>77</v>
      </c>
      <c r="F29" t="s">
        <v>72</v>
      </c>
      <c r="G29">
        <v>0.22</v>
      </c>
      <c r="H29">
        <v>6.93</v>
      </c>
      <c r="I29">
        <v>0</v>
      </c>
      <c r="J29">
        <v>0</v>
      </c>
      <c r="K29">
        <v>7.15</v>
      </c>
      <c r="L29" t="s">
        <v>61</v>
      </c>
      <c r="M29">
        <v>249</v>
      </c>
      <c r="N29">
        <v>34.82</v>
      </c>
      <c r="O29" t="s">
        <v>62</v>
      </c>
      <c r="P29" t="s">
        <v>66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70</v>
      </c>
      <c r="D30">
        <v>103783504</v>
      </c>
      <c r="E30" t="s">
        <v>77</v>
      </c>
      <c r="F30" t="s">
        <v>72</v>
      </c>
      <c r="G30">
        <v>0.22</v>
      </c>
      <c r="H30">
        <v>6.93</v>
      </c>
      <c r="I30">
        <v>0</v>
      </c>
      <c r="J30">
        <v>0</v>
      </c>
      <c r="K30">
        <v>7.15</v>
      </c>
      <c r="L30" t="s">
        <v>61</v>
      </c>
      <c r="M30">
        <v>249</v>
      </c>
      <c r="N30">
        <v>34.82</v>
      </c>
      <c r="O30" t="s">
        <v>62</v>
      </c>
      <c r="P30" t="s">
        <v>67</v>
      </c>
      <c r="Q30">
        <v>1117</v>
      </c>
      <c r="R30">
        <v>156.21</v>
      </c>
    </row>
    <row r="31" spans="1:18" x14ac:dyDescent="0.35">
      <c r="A31" t="s">
        <v>56</v>
      </c>
      <c r="B31" t="s">
        <v>57</v>
      </c>
      <c r="C31" t="s">
        <v>70</v>
      </c>
      <c r="D31">
        <v>103783504</v>
      </c>
      <c r="E31" t="s">
        <v>77</v>
      </c>
      <c r="F31" t="s">
        <v>72</v>
      </c>
      <c r="G31">
        <v>0.22</v>
      </c>
      <c r="H31">
        <v>6.93</v>
      </c>
      <c r="I31">
        <v>0</v>
      </c>
      <c r="J31">
        <v>0</v>
      </c>
      <c r="K31">
        <v>7.15</v>
      </c>
      <c r="L31" t="s">
        <v>61</v>
      </c>
      <c r="M31">
        <v>249</v>
      </c>
      <c r="N31">
        <v>34.82</v>
      </c>
      <c r="O31" t="s">
        <v>68</v>
      </c>
      <c r="P31" t="s">
        <v>67</v>
      </c>
      <c r="Q31">
        <v>249</v>
      </c>
      <c r="R31">
        <v>34.82</v>
      </c>
    </row>
    <row r="32" spans="1:18" x14ac:dyDescent="0.35">
      <c r="A32" t="s">
        <v>56</v>
      </c>
      <c r="B32" t="s">
        <v>57</v>
      </c>
      <c r="C32" t="s">
        <v>70</v>
      </c>
      <c r="D32">
        <v>104378003</v>
      </c>
      <c r="E32" t="s">
        <v>582</v>
      </c>
      <c r="F32" t="s">
        <v>72</v>
      </c>
      <c r="G32">
        <v>0.45</v>
      </c>
      <c r="H32">
        <v>9.5500000000000007</v>
      </c>
      <c r="I32">
        <v>0</v>
      </c>
      <c r="J32">
        <v>0</v>
      </c>
      <c r="K32">
        <v>10</v>
      </c>
      <c r="L32" t="s">
        <v>61</v>
      </c>
      <c r="M32">
        <v>314</v>
      </c>
      <c r="N32">
        <v>31.4</v>
      </c>
      <c r="O32" t="s">
        <v>62</v>
      </c>
      <c r="P32" t="s">
        <v>63</v>
      </c>
      <c r="Q32">
        <v>522</v>
      </c>
      <c r="R32">
        <v>1155.72</v>
      </c>
    </row>
    <row r="33" spans="1:18" x14ac:dyDescent="0.35">
      <c r="A33" t="s">
        <v>56</v>
      </c>
      <c r="B33" t="s">
        <v>57</v>
      </c>
      <c r="C33" t="s">
        <v>70</v>
      </c>
      <c r="D33">
        <v>104378003</v>
      </c>
      <c r="E33" t="s">
        <v>582</v>
      </c>
      <c r="F33" t="s">
        <v>72</v>
      </c>
      <c r="G33">
        <v>0.45</v>
      </c>
      <c r="H33">
        <v>9.5500000000000007</v>
      </c>
      <c r="I33">
        <v>0</v>
      </c>
      <c r="J33">
        <v>0</v>
      </c>
      <c r="K33">
        <v>10</v>
      </c>
      <c r="L33" t="s">
        <v>61</v>
      </c>
      <c r="M33">
        <v>314</v>
      </c>
      <c r="N33">
        <v>31.4</v>
      </c>
      <c r="O33" t="s">
        <v>62</v>
      </c>
      <c r="P33" t="s">
        <v>64</v>
      </c>
      <c r="Q33">
        <v>1575</v>
      </c>
      <c r="R33">
        <v>164.96</v>
      </c>
    </row>
    <row r="34" spans="1:18" x14ac:dyDescent="0.35">
      <c r="A34" t="s">
        <v>56</v>
      </c>
      <c r="B34" t="s">
        <v>57</v>
      </c>
      <c r="C34" t="s">
        <v>70</v>
      </c>
      <c r="D34">
        <v>104378003</v>
      </c>
      <c r="E34" t="s">
        <v>582</v>
      </c>
      <c r="F34" t="s">
        <v>72</v>
      </c>
      <c r="G34">
        <v>0.45</v>
      </c>
      <c r="H34">
        <v>9.5500000000000007</v>
      </c>
      <c r="I34">
        <v>0</v>
      </c>
      <c r="J34">
        <v>0</v>
      </c>
      <c r="K34">
        <v>10</v>
      </c>
      <c r="L34" t="s">
        <v>61</v>
      </c>
      <c r="M34">
        <v>314</v>
      </c>
      <c r="N34">
        <v>31.4</v>
      </c>
      <c r="O34" t="s">
        <v>62</v>
      </c>
      <c r="P34" t="s">
        <v>65</v>
      </c>
      <c r="Q34">
        <v>0</v>
      </c>
      <c r="R34">
        <v>0</v>
      </c>
    </row>
    <row r="35" spans="1:18" x14ac:dyDescent="0.35">
      <c r="A35" t="s">
        <v>56</v>
      </c>
      <c r="B35" t="s">
        <v>57</v>
      </c>
      <c r="C35" t="s">
        <v>70</v>
      </c>
      <c r="D35">
        <v>104378003</v>
      </c>
      <c r="E35" t="s">
        <v>582</v>
      </c>
      <c r="F35" t="s">
        <v>72</v>
      </c>
      <c r="G35">
        <v>0.45</v>
      </c>
      <c r="H35">
        <v>9.5500000000000007</v>
      </c>
      <c r="I35">
        <v>0</v>
      </c>
      <c r="J35">
        <v>0</v>
      </c>
      <c r="K35">
        <v>10</v>
      </c>
      <c r="L35" t="s">
        <v>61</v>
      </c>
      <c r="M35">
        <v>314</v>
      </c>
      <c r="N35">
        <v>31.4</v>
      </c>
      <c r="O35" t="s">
        <v>62</v>
      </c>
      <c r="P35" t="s">
        <v>66</v>
      </c>
      <c r="Q35">
        <v>0</v>
      </c>
      <c r="R35">
        <v>0</v>
      </c>
    </row>
    <row r="36" spans="1:18" x14ac:dyDescent="0.35">
      <c r="A36" t="s">
        <v>56</v>
      </c>
      <c r="B36" t="s">
        <v>57</v>
      </c>
      <c r="C36" t="s">
        <v>70</v>
      </c>
      <c r="D36">
        <v>104378003</v>
      </c>
      <c r="E36" t="s">
        <v>582</v>
      </c>
      <c r="F36" t="s">
        <v>72</v>
      </c>
      <c r="G36">
        <v>0.45</v>
      </c>
      <c r="H36">
        <v>9.5500000000000007</v>
      </c>
      <c r="I36">
        <v>0</v>
      </c>
      <c r="J36">
        <v>0</v>
      </c>
      <c r="K36">
        <v>10</v>
      </c>
      <c r="L36" t="s">
        <v>61</v>
      </c>
      <c r="M36">
        <v>314</v>
      </c>
      <c r="N36">
        <v>31.4</v>
      </c>
      <c r="O36" t="s">
        <v>62</v>
      </c>
      <c r="P36" t="s">
        <v>67</v>
      </c>
      <c r="Q36">
        <v>2097</v>
      </c>
      <c r="R36">
        <v>209.7</v>
      </c>
    </row>
    <row r="37" spans="1:18" x14ac:dyDescent="0.35">
      <c r="A37" t="s">
        <v>56</v>
      </c>
      <c r="B37" t="s">
        <v>57</v>
      </c>
      <c r="C37" t="s">
        <v>70</v>
      </c>
      <c r="D37">
        <v>104378003</v>
      </c>
      <c r="E37" t="s">
        <v>582</v>
      </c>
      <c r="F37" t="s">
        <v>72</v>
      </c>
      <c r="G37">
        <v>0.45</v>
      </c>
      <c r="H37">
        <v>9.5500000000000007</v>
      </c>
      <c r="I37">
        <v>0</v>
      </c>
      <c r="J37">
        <v>0</v>
      </c>
      <c r="K37">
        <v>10</v>
      </c>
      <c r="L37" t="s">
        <v>61</v>
      </c>
      <c r="M37">
        <v>314</v>
      </c>
      <c r="N37">
        <v>31.4</v>
      </c>
      <c r="O37" t="s">
        <v>68</v>
      </c>
      <c r="P37" t="s">
        <v>67</v>
      </c>
      <c r="Q37">
        <v>314</v>
      </c>
      <c r="R37">
        <v>31.4</v>
      </c>
    </row>
    <row r="38" spans="1:18" x14ac:dyDescent="0.35">
      <c r="A38" t="s">
        <v>56</v>
      </c>
      <c r="B38" t="s">
        <v>57</v>
      </c>
      <c r="C38" t="s">
        <v>70</v>
      </c>
      <c r="D38">
        <v>105833593</v>
      </c>
      <c r="E38" t="s">
        <v>607</v>
      </c>
      <c r="F38" t="s">
        <v>60</v>
      </c>
      <c r="G38">
        <v>0.55000000000000004</v>
      </c>
      <c r="H38">
        <v>4.07</v>
      </c>
      <c r="I38">
        <v>0</v>
      </c>
      <c r="J38">
        <v>0</v>
      </c>
      <c r="K38">
        <v>4.62</v>
      </c>
      <c r="L38" t="s">
        <v>61</v>
      </c>
      <c r="M38">
        <v>108</v>
      </c>
      <c r="N38">
        <v>23.39</v>
      </c>
      <c r="O38" t="s">
        <v>62</v>
      </c>
      <c r="P38" t="s">
        <v>63</v>
      </c>
      <c r="Q38">
        <v>524</v>
      </c>
      <c r="R38">
        <v>958.54</v>
      </c>
    </row>
    <row r="39" spans="1:18" x14ac:dyDescent="0.35">
      <c r="A39" t="s">
        <v>56</v>
      </c>
      <c r="B39" t="s">
        <v>57</v>
      </c>
      <c r="C39" t="s">
        <v>70</v>
      </c>
      <c r="D39">
        <v>105833593</v>
      </c>
      <c r="E39" t="s">
        <v>607</v>
      </c>
      <c r="F39" t="s">
        <v>60</v>
      </c>
      <c r="G39">
        <v>0.55000000000000004</v>
      </c>
      <c r="H39">
        <v>4.07</v>
      </c>
      <c r="I39">
        <v>0</v>
      </c>
      <c r="J39">
        <v>0</v>
      </c>
      <c r="K39">
        <v>4.62</v>
      </c>
      <c r="L39" t="s">
        <v>61</v>
      </c>
      <c r="M39">
        <v>108</v>
      </c>
      <c r="N39">
        <v>23.39</v>
      </c>
      <c r="O39" t="s">
        <v>62</v>
      </c>
      <c r="P39" t="s">
        <v>64</v>
      </c>
      <c r="Q39">
        <v>557</v>
      </c>
      <c r="R39">
        <v>136.86000000000001</v>
      </c>
    </row>
    <row r="40" spans="1:18" x14ac:dyDescent="0.35">
      <c r="A40" t="s">
        <v>56</v>
      </c>
      <c r="B40" t="s">
        <v>57</v>
      </c>
      <c r="C40" t="s">
        <v>70</v>
      </c>
      <c r="D40">
        <v>105833593</v>
      </c>
      <c r="E40" t="s">
        <v>607</v>
      </c>
      <c r="F40" t="s">
        <v>60</v>
      </c>
      <c r="G40">
        <v>0.55000000000000004</v>
      </c>
      <c r="H40">
        <v>4.07</v>
      </c>
      <c r="I40">
        <v>0</v>
      </c>
      <c r="J40">
        <v>0</v>
      </c>
      <c r="K40">
        <v>4.62</v>
      </c>
      <c r="L40" t="s">
        <v>61</v>
      </c>
      <c r="M40">
        <v>108</v>
      </c>
      <c r="N40">
        <v>23.39</v>
      </c>
      <c r="O40" t="s">
        <v>62</v>
      </c>
      <c r="P40" t="s">
        <v>65</v>
      </c>
      <c r="Q40">
        <v>0</v>
      </c>
      <c r="R40">
        <v>0</v>
      </c>
    </row>
    <row r="41" spans="1:18" x14ac:dyDescent="0.35">
      <c r="A41" t="s">
        <v>56</v>
      </c>
      <c r="B41" t="s">
        <v>57</v>
      </c>
      <c r="C41" t="s">
        <v>70</v>
      </c>
      <c r="D41">
        <v>105833593</v>
      </c>
      <c r="E41" t="s">
        <v>607</v>
      </c>
      <c r="F41" t="s">
        <v>60</v>
      </c>
      <c r="G41">
        <v>0.55000000000000004</v>
      </c>
      <c r="H41">
        <v>4.07</v>
      </c>
      <c r="I41">
        <v>0</v>
      </c>
      <c r="J41">
        <v>0</v>
      </c>
      <c r="K41">
        <v>4.62</v>
      </c>
      <c r="L41" t="s">
        <v>61</v>
      </c>
      <c r="M41">
        <v>108</v>
      </c>
      <c r="N41">
        <v>23.39</v>
      </c>
      <c r="O41" t="s">
        <v>62</v>
      </c>
      <c r="P41" t="s">
        <v>66</v>
      </c>
      <c r="Q41">
        <v>0</v>
      </c>
      <c r="R41">
        <v>0</v>
      </c>
    </row>
    <row r="42" spans="1:18" x14ac:dyDescent="0.35">
      <c r="A42" t="s">
        <v>56</v>
      </c>
      <c r="B42" t="s">
        <v>57</v>
      </c>
      <c r="C42" t="s">
        <v>70</v>
      </c>
      <c r="D42">
        <v>105833593</v>
      </c>
      <c r="E42" t="s">
        <v>607</v>
      </c>
      <c r="F42" t="s">
        <v>60</v>
      </c>
      <c r="G42">
        <v>0.55000000000000004</v>
      </c>
      <c r="H42">
        <v>4.07</v>
      </c>
      <c r="I42">
        <v>0</v>
      </c>
      <c r="J42">
        <v>0</v>
      </c>
      <c r="K42">
        <v>4.62</v>
      </c>
      <c r="L42" t="s">
        <v>61</v>
      </c>
      <c r="M42">
        <v>108</v>
      </c>
      <c r="N42">
        <v>23.39</v>
      </c>
      <c r="O42" t="s">
        <v>62</v>
      </c>
      <c r="P42" t="s">
        <v>67</v>
      </c>
      <c r="Q42">
        <v>1081</v>
      </c>
      <c r="R42">
        <v>234.15</v>
      </c>
    </row>
    <row r="43" spans="1:18" x14ac:dyDescent="0.35">
      <c r="A43" t="s">
        <v>56</v>
      </c>
      <c r="B43" t="s">
        <v>57</v>
      </c>
      <c r="C43" t="s">
        <v>70</v>
      </c>
      <c r="D43">
        <v>105833593</v>
      </c>
      <c r="E43" t="s">
        <v>607</v>
      </c>
      <c r="F43" t="s">
        <v>60</v>
      </c>
      <c r="G43">
        <v>0.55000000000000004</v>
      </c>
      <c r="H43">
        <v>4.07</v>
      </c>
      <c r="I43">
        <v>0</v>
      </c>
      <c r="J43">
        <v>0</v>
      </c>
      <c r="K43">
        <v>4.62</v>
      </c>
      <c r="L43" t="s">
        <v>61</v>
      </c>
      <c r="M43">
        <v>108</v>
      </c>
      <c r="N43">
        <v>23.39</v>
      </c>
      <c r="O43" t="s">
        <v>68</v>
      </c>
      <c r="P43" t="s">
        <v>67</v>
      </c>
      <c r="Q43">
        <v>108</v>
      </c>
      <c r="R43">
        <v>23.39</v>
      </c>
    </row>
    <row r="44" spans="1:18" x14ac:dyDescent="0.35">
      <c r="A44" t="s">
        <v>56</v>
      </c>
      <c r="B44" t="s">
        <v>57</v>
      </c>
      <c r="C44" t="s">
        <v>70</v>
      </c>
      <c r="D44">
        <v>106036051</v>
      </c>
      <c r="E44" t="s">
        <v>608</v>
      </c>
      <c r="F44" t="s">
        <v>72</v>
      </c>
      <c r="G44">
        <v>0.04</v>
      </c>
      <c r="H44">
        <v>5.24</v>
      </c>
      <c r="I44">
        <v>0</v>
      </c>
      <c r="J44">
        <v>0</v>
      </c>
      <c r="K44">
        <v>5.28</v>
      </c>
      <c r="L44" t="s">
        <v>61</v>
      </c>
      <c r="M44">
        <v>202</v>
      </c>
      <c r="N44">
        <v>38.26</v>
      </c>
      <c r="O44" t="s">
        <v>62</v>
      </c>
      <c r="P44" t="s">
        <v>63</v>
      </c>
      <c r="Q44">
        <v>43</v>
      </c>
      <c r="R44">
        <v>1113.67</v>
      </c>
    </row>
    <row r="45" spans="1:18" x14ac:dyDescent="0.35">
      <c r="A45" t="s">
        <v>56</v>
      </c>
      <c r="B45" t="s">
        <v>57</v>
      </c>
      <c r="C45" t="s">
        <v>70</v>
      </c>
      <c r="D45">
        <v>106036051</v>
      </c>
      <c r="E45" t="s">
        <v>608</v>
      </c>
      <c r="F45" t="s">
        <v>72</v>
      </c>
      <c r="G45">
        <v>0.04</v>
      </c>
      <c r="H45">
        <v>5.24</v>
      </c>
      <c r="I45">
        <v>0</v>
      </c>
      <c r="J45">
        <v>0</v>
      </c>
      <c r="K45">
        <v>5.28</v>
      </c>
      <c r="L45" t="s">
        <v>61</v>
      </c>
      <c r="M45">
        <v>202</v>
      </c>
      <c r="N45">
        <v>38.26</v>
      </c>
      <c r="O45" t="s">
        <v>62</v>
      </c>
      <c r="P45" t="s">
        <v>64</v>
      </c>
      <c r="Q45">
        <v>831</v>
      </c>
      <c r="R45">
        <v>158.55000000000001</v>
      </c>
    </row>
    <row r="46" spans="1:18" x14ac:dyDescent="0.35">
      <c r="A46" t="s">
        <v>56</v>
      </c>
      <c r="B46" t="s">
        <v>57</v>
      </c>
      <c r="C46" t="s">
        <v>70</v>
      </c>
      <c r="D46">
        <v>106036051</v>
      </c>
      <c r="E46" t="s">
        <v>608</v>
      </c>
      <c r="F46" t="s">
        <v>72</v>
      </c>
      <c r="G46">
        <v>0.04</v>
      </c>
      <c r="H46">
        <v>5.24</v>
      </c>
      <c r="I46">
        <v>0</v>
      </c>
      <c r="J46">
        <v>0</v>
      </c>
      <c r="K46">
        <v>5.28</v>
      </c>
      <c r="L46" t="s">
        <v>61</v>
      </c>
      <c r="M46">
        <v>202</v>
      </c>
      <c r="N46">
        <v>38.26</v>
      </c>
      <c r="O46" t="s">
        <v>62</v>
      </c>
      <c r="P46" t="s">
        <v>65</v>
      </c>
      <c r="Q46">
        <v>0</v>
      </c>
      <c r="R46">
        <v>0</v>
      </c>
    </row>
    <row r="47" spans="1:18" x14ac:dyDescent="0.35">
      <c r="A47" t="s">
        <v>56</v>
      </c>
      <c r="B47" t="s">
        <v>57</v>
      </c>
      <c r="C47" t="s">
        <v>70</v>
      </c>
      <c r="D47">
        <v>106036051</v>
      </c>
      <c r="E47" t="s">
        <v>608</v>
      </c>
      <c r="F47" t="s">
        <v>72</v>
      </c>
      <c r="G47">
        <v>0.04</v>
      </c>
      <c r="H47">
        <v>5.24</v>
      </c>
      <c r="I47">
        <v>0</v>
      </c>
      <c r="J47">
        <v>0</v>
      </c>
      <c r="K47">
        <v>5.28</v>
      </c>
      <c r="L47" t="s">
        <v>61</v>
      </c>
      <c r="M47">
        <v>202</v>
      </c>
      <c r="N47">
        <v>38.26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70</v>
      </c>
      <c r="D48">
        <v>106036051</v>
      </c>
      <c r="E48" t="s">
        <v>608</v>
      </c>
      <c r="F48" t="s">
        <v>72</v>
      </c>
      <c r="G48">
        <v>0.04</v>
      </c>
      <c r="H48">
        <v>5.24</v>
      </c>
      <c r="I48">
        <v>0</v>
      </c>
      <c r="J48">
        <v>0</v>
      </c>
      <c r="K48">
        <v>5.28</v>
      </c>
      <c r="L48" t="s">
        <v>61</v>
      </c>
      <c r="M48">
        <v>202</v>
      </c>
      <c r="N48">
        <v>38.26</v>
      </c>
      <c r="O48" t="s">
        <v>62</v>
      </c>
      <c r="P48" t="s">
        <v>67</v>
      </c>
      <c r="Q48">
        <v>874</v>
      </c>
      <c r="R48">
        <v>165.52</v>
      </c>
    </row>
    <row r="49" spans="1:18" x14ac:dyDescent="0.35">
      <c r="A49" t="s">
        <v>56</v>
      </c>
      <c r="B49" t="s">
        <v>57</v>
      </c>
      <c r="C49" t="s">
        <v>70</v>
      </c>
      <c r="D49">
        <v>106036051</v>
      </c>
      <c r="E49" t="s">
        <v>608</v>
      </c>
      <c r="F49" t="s">
        <v>72</v>
      </c>
      <c r="G49">
        <v>0.04</v>
      </c>
      <c r="H49">
        <v>5.24</v>
      </c>
      <c r="I49">
        <v>0</v>
      </c>
      <c r="J49">
        <v>0</v>
      </c>
      <c r="K49">
        <v>5.28</v>
      </c>
      <c r="L49" t="s">
        <v>61</v>
      </c>
      <c r="M49">
        <v>202</v>
      </c>
      <c r="N49">
        <v>38.26</v>
      </c>
      <c r="O49" t="s">
        <v>68</v>
      </c>
      <c r="P49" t="s">
        <v>67</v>
      </c>
      <c r="Q49">
        <v>202</v>
      </c>
      <c r="R49">
        <v>38.26</v>
      </c>
    </row>
    <row r="50" spans="1:18" x14ac:dyDescent="0.35">
      <c r="A50" t="s">
        <v>56</v>
      </c>
      <c r="B50" t="s">
        <v>57</v>
      </c>
      <c r="C50" t="s">
        <v>70</v>
      </c>
      <c r="D50">
        <v>106276317</v>
      </c>
      <c r="E50" t="s">
        <v>609</v>
      </c>
      <c r="F50" t="s">
        <v>72</v>
      </c>
      <c r="G50">
        <v>0.28999999999999998</v>
      </c>
      <c r="H50">
        <v>9.81</v>
      </c>
      <c r="I50">
        <v>0</v>
      </c>
      <c r="J50">
        <v>0</v>
      </c>
      <c r="K50">
        <v>10.1</v>
      </c>
      <c r="L50" t="s">
        <v>61</v>
      </c>
      <c r="M50">
        <v>416</v>
      </c>
      <c r="N50">
        <v>41.19</v>
      </c>
      <c r="O50" t="s">
        <v>62</v>
      </c>
      <c r="P50" t="s">
        <v>63</v>
      </c>
      <c r="Q50">
        <v>397</v>
      </c>
      <c r="R50">
        <v>1359.85</v>
      </c>
    </row>
    <row r="51" spans="1:18" x14ac:dyDescent="0.35">
      <c r="A51" t="s">
        <v>56</v>
      </c>
      <c r="B51" t="s">
        <v>57</v>
      </c>
      <c r="C51" t="s">
        <v>70</v>
      </c>
      <c r="D51">
        <v>106276317</v>
      </c>
      <c r="E51" t="s">
        <v>609</v>
      </c>
      <c r="F51" t="s">
        <v>72</v>
      </c>
      <c r="G51">
        <v>0.28999999999999998</v>
      </c>
      <c r="H51">
        <v>9.81</v>
      </c>
      <c r="I51">
        <v>0</v>
      </c>
      <c r="J51">
        <v>0</v>
      </c>
      <c r="K51">
        <v>10.1</v>
      </c>
      <c r="L51" t="s">
        <v>61</v>
      </c>
      <c r="M51">
        <v>416</v>
      </c>
      <c r="N51">
        <v>41.19</v>
      </c>
      <c r="O51" t="s">
        <v>62</v>
      </c>
      <c r="P51" t="s">
        <v>64</v>
      </c>
      <c r="Q51">
        <v>1904</v>
      </c>
      <c r="R51">
        <v>194.13</v>
      </c>
    </row>
    <row r="52" spans="1:18" x14ac:dyDescent="0.35">
      <c r="A52" t="s">
        <v>56</v>
      </c>
      <c r="B52" t="s">
        <v>57</v>
      </c>
      <c r="C52" t="s">
        <v>70</v>
      </c>
      <c r="D52">
        <v>106276317</v>
      </c>
      <c r="E52" t="s">
        <v>609</v>
      </c>
      <c r="F52" t="s">
        <v>72</v>
      </c>
      <c r="G52">
        <v>0.28999999999999998</v>
      </c>
      <c r="H52">
        <v>9.81</v>
      </c>
      <c r="I52">
        <v>0</v>
      </c>
      <c r="J52">
        <v>0</v>
      </c>
      <c r="K52">
        <v>10.1</v>
      </c>
      <c r="L52" t="s">
        <v>61</v>
      </c>
      <c r="M52">
        <v>416</v>
      </c>
      <c r="N52">
        <v>41.19</v>
      </c>
      <c r="O52" t="s">
        <v>62</v>
      </c>
      <c r="P52" t="s">
        <v>65</v>
      </c>
      <c r="Q52">
        <v>0</v>
      </c>
      <c r="R52">
        <v>0</v>
      </c>
    </row>
    <row r="53" spans="1:18" x14ac:dyDescent="0.35">
      <c r="A53" t="s">
        <v>56</v>
      </c>
      <c r="B53" t="s">
        <v>57</v>
      </c>
      <c r="C53" t="s">
        <v>70</v>
      </c>
      <c r="D53">
        <v>106276317</v>
      </c>
      <c r="E53" t="s">
        <v>609</v>
      </c>
      <c r="F53" t="s">
        <v>72</v>
      </c>
      <c r="G53">
        <v>0.28999999999999998</v>
      </c>
      <c r="H53">
        <v>9.81</v>
      </c>
      <c r="I53">
        <v>0</v>
      </c>
      <c r="J53">
        <v>0</v>
      </c>
      <c r="K53">
        <v>10.1</v>
      </c>
      <c r="L53" t="s">
        <v>61</v>
      </c>
      <c r="M53">
        <v>416</v>
      </c>
      <c r="N53">
        <v>41.19</v>
      </c>
      <c r="O53" t="s">
        <v>62</v>
      </c>
      <c r="P53" t="s">
        <v>66</v>
      </c>
      <c r="Q53">
        <v>0</v>
      </c>
      <c r="R53">
        <v>0</v>
      </c>
    </row>
    <row r="54" spans="1:18" x14ac:dyDescent="0.35">
      <c r="A54" t="s">
        <v>56</v>
      </c>
      <c r="B54" t="s">
        <v>57</v>
      </c>
      <c r="C54" t="s">
        <v>70</v>
      </c>
      <c r="D54">
        <v>106276317</v>
      </c>
      <c r="E54" t="s">
        <v>609</v>
      </c>
      <c r="F54" t="s">
        <v>72</v>
      </c>
      <c r="G54">
        <v>0.28999999999999998</v>
      </c>
      <c r="H54">
        <v>9.81</v>
      </c>
      <c r="I54">
        <v>0</v>
      </c>
      <c r="J54">
        <v>0</v>
      </c>
      <c r="K54">
        <v>10.1</v>
      </c>
      <c r="L54" t="s">
        <v>61</v>
      </c>
      <c r="M54">
        <v>416</v>
      </c>
      <c r="N54">
        <v>41.19</v>
      </c>
      <c r="O54" t="s">
        <v>62</v>
      </c>
      <c r="P54" t="s">
        <v>67</v>
      </c>
      <c r="Q54">
        <v>2301</v>
      </c>
      <c r="R54">
        <v>227.82</v>
      </c>
    </row>
    <row r="55" spans="1:18" x14ac:dyDescent="0.35">
      <c r="A55" t="s">
        <v>56</v>
      </c>
      <c r="B55" t="s">
        <v>57</v>
      </c>
      <c r="C55" t="s">
        <v>70</v>
      </c>
      <c r="D55">
        <v>106276317</v>
      </c>
      <c r="E55" t="s">
        <v>609</v>
      </c>
      <c r="F55" t="s">
        <v>72</v>
      </c>
      <c r="G55">
        <v>0.28999999999999998</v>
      </c>
      <c r="H55">
        <v>9.81</v>
      </c>
      <c r="I55">
        <v>0</v>
      </c>
      <c r="J55">
        <v>0</v>
      </c>
      <c r="K55">
        <v>10.1</v>
      </c>
      <c r="L55" t="s">
        <v>61</v>
      </c>
      <c r="M55">
        <v>416</v>
      </c>
      <c r="N55">
        <v>41.19</v>
      </c>
      <c r="O55" t="s">
        <v>68</v>
      </c>
      <c r="P55" t="s">
        <v>67</v>
      </c>
      <c r="Q55">
        <v>416</v>
      </c>
      <c r="R55">
        <v>41.19</v>
      </c>
    </row>
    <row r="56" spans="1:18" x14ac:dyDescent="0.35">
      <c r="A56" t="s">
        <v>56</v>
      </c>
      <c r="B56" t="s">
        <v>57</v>
      </c>
      <c r="C56" t="s">
        <v>70</v>
      </c>
      <c r="D56">
        <v>106488400</v>
      </c>
      <c r="E56" t="s">
        <v>610</v>
      </c>
      <c r="F56" t="s">
        <v>60</v>
      </c>
      <c r="G56">
        <v>0.42</v>
      </c>
      <c r="H56">
        <v>9.39</v>
      </c>
      <c r="I56">
        <v>0.04</v>
      </c>
      <c r="J56">
        <v>0</v>
      </c>
      <c r="K56">
        <v>9.85</v>
      </c>
      <c r="L56" t="s">
        <v>61</v>
      </c>
      <c r="M56">
        <v>370</v>
      </c>
      <c r="N56">
        <v>37.56</v>
      </c>
      <c r="O56" t="s">
        <v>62</v>
      </c>
      <c r="P56" t="s">
        <v>63</v>
      </c>
      <c r="Q56">
        <v>569</v>
      </c>
      <c r="R56">
        <v>1361.97</v>
      </c>
    </row>
    <row r="57" spans="1:18" x14ac:dyDescent="0.35">
      <c r="A57" t="s">
        <v>56</v>
      </c>
      <c r="B57" t="s">
        <v>57</v>
      </c>
      <c r="C57" t="s">
        <v>70</v>
      </c>
      <c r="D57">
        <v>106488400</v>
      </c>
      <c r="E57" t="s">
        <v>610</v>
      </c>
      <c r="F57" t="s">
        <v>60</v>
      </c>
      <c r="G57">
        <v>0.42</v>
      </c>
      <c r="H57">
        <v>9.39</v>
      </c>
      <c r="I57">
        <v>0.04</v>
      </c>
      <c r="J57">
        <v>0</v>
      </c>
      <c r="K57">
        <v>9.85</v>
      </c>
      <c r="L57" t="s">
        <v>61</v>
      </c>
      <c r="M57">
        <v>370</v>
      </c>
      <c r="N57">
        <v>37.56</v>
      </c>
      <c r="O57" t="s">
        <v>62</v>
      </c>
      <c r="P57" t="s">
        <v>64</v>
      </c>
      <c r="Q57">
        <v>1825</v>
      </c>
      <c r="R57">
        <v>194.4</v>
      </c>
    </row>
    <row r="58" spans="1:18" x14ac:dyDescent="0.35">
      <c r="A58" t="s">
        <v>56</v>
      </c>
      <c r="B58" t="s">
        <v>57</v>
      </c>
      <c r="C58" t="s">
        <v>70</v>
      </c>
      <c r="D58">
        <v>106488400</v>
      </c>
      <c r="E58" t="s">
        <v>610</v>
      </c>
      <c r="F58" t="s">
        <v>60</v>
      </c>
      <c r="G58">
        <v>0.42</v>
      </c>
      <c r="H58">
        <v>9.39</v>
      </c>
      <c r="I58">
        <v>0.04</v>
      </c>
      <c r="J58">
        <v>0</v>
      </c>
      <c r="K58">
        <v>9.85</v>
      </c>
      <c r="L58" t="s">
        <v>61</v>
      </c>
      <c r="M58">
        <v>370</v>
      </c>
      <c r="N58">
        <v>37.56</v>
      </c>
      <c r="O58" t="s">
        <v>62</v>
      </c>
      <c r="P58" t="s">
        <v>65</v>
      </c>
      <c r="Q58">
        <v>6</v>
      </c>
      <c r="R58">
        <v>137.58000000000001</v>
      </c>
    </row>
    <row r="59" spans="1:18" x14ac:dyDescent="0.35">
      <c r="A59" t="s">
        <v>56</v>
      </c>
      <c r="B59" t="s">
        <v>57</v>
      </c>
      <c r="C59" t="s">
        <v>70</v>
      </c>
      <c r="D59">
        <v>106488400</v>
      </c>
      <c r="E59" t="s">
        <v>610</v>
      </c>
      <c r="F59" t="s">
        <v>60</v>
      </c>
      <c r="G59">
        <v>0.42</v>
      </c>
      <c r="H59">
        <v>9.39</v>
      </c>
      <c r="I59">
        <v>0.04</v>
      </c>
      <c r="J59">
        <v>0</v>
      </c>
      <c r="K59">
        <v>9.85</v>
      </c>
      <c r="L59" t="s">
        <v>61</v>
      </c>
      <c r="M59">
        <v>370</v>
      </c>
      <c r="N59">
        <v>37.56</v>
      </c>
      <c r="O59" t="s">
        <v>62</v>
      </c>
      <c r="P59" t="s">
        <v>66</v>
      </c>
      <c r="Q59">
        <v>0</v>
      </c>
      <c r="R59">
        <v>0</v>
      </c>
    </row>
    <row r="60" spans="1:18" x14ac:dyDescent="0.35">
      <c r="A60" t="s">
        <v>56</v>
      </c>
      <c r="B60" t="s">
        <v>57</v>
      </c>
      <c r="C60" t="s">
        <v>70</v>
      </c>
      <c r="D60">
        <v>106488400</v>
      </c>
      <c r="E60" t="s">
        <v>610</v>
      </c>
      <c r="F60" t="s">
        <v>60</v>
      </c>
      <c r="G60">
        <v>0.42</v>
      </c>
      <c r="H60">
        <v>9.39</v>
      </c>
      <c r="I60">
        <v>0.04</v>
      </c>
      <c r="J60">
        <v>0</v>
      </c>
      <c r="K60">
        <v>9.85</v>
      </c>
      <c r="L60" t="s">
        <v>61</v>
      </c>
      <c r="M60">
        <v>370</v>
      </c>
      <c r="N60">
        <v>37.56</v>
      </c>
      <c r="O60" t="s">
        <v>62</v>
      </c>
      <c r="P60" t="s">
        <v>67</v>
      </c>
      <c r="Q60">
        <v>2400</v>
      </c>
      <c r="R60">
        <v>243.65</v>
      </c>
    </row>
    <row r="61" spans="1:18" x14ac:dyDescent="0.35">
      <c r="A61" t="s">
        <v>56</v>
      </c>
      <c r="B61" t="s">
        <v>57</v>
      </c>
      <c r="C61" t="s">
        <v>70</v>
      </c>
      <c r="D61">
        <v>106488400</v>
      </c>
      <c r="E61" t="s">
        <v>610</v>
      </c>
      <c r="F61" t="s">
        <v>60</v>
      </c>
      <c r="G61">
        <v>0.42</v>
      </c>
      <c r="H61">
        <v>9.39</v>
      </c>
      <c r="I61">
        <v>0.04</v>
      </c>
      <c r="J61">
        <v>0</v>
      </c>
      <c r="K61">
        <v>9.85</v>
      </c>
      <c r="L61" t="s">
        <v>61</v>
      </c>
      <c r="M61">
        <v>370</v>
      </c>
      <c r="N61">
        <v>37.56</v>
      </c>
      <c r="O61" t="s">
        <v>68</v>
      </c>
      <c r="P61" t="s">
        <v>67</v>
      </c>
      <c r="Q61">
        <v>370</v>
      </c>
      <c r="R61">
        <v>37.56</v>
      </c>
    </row>
    <row r="62" spans="1:18" x14ac:dyDescent="0.35">
      <c r="A62" t="s">
        <v>56</v>
      </c>
      <c r="B62" t="s">
        <v>57</v>
      </c>
      <c r="C62" t="s">
        <v>58</v>
      </c>
      <c r="D62">
        <v>106513473</v>
      </c>
      <c r="E62" t="s">
        <v>83</v>
      </c>
      <c r="F62" t="s">
        <v>72</v>
      </c>
      <c r="G62">
        <v>0.28000000000000003</v>
      </c>
      <c r="H62">
        <v>7.36</v>
      </c>
      <c r="I62">
        <v>0</v>
      </c>
      <c r="J62">
        <v>0</v>
      </c>
      <c r="K62">
        <v>7.63</v>
      </c>
      <c r="L62" t="s">
        <v>61</v>
      </c>
      <c r="M62">
        <v>408</v>
      </c>
      <c r="N62">
        <v>53.45</v>
      </c>
      <c r="O62" t="s">
        <v>62</v>
      </c>
      <c r="P62" t="s">
        <v>63</v>
      </c>
      <c r="Q62">
        <v>564</v>
      </c>
      <c r="R62">
        <v>2038.55</v>
      </c>
    </row>
    <row r="63" spans="1:18" x14ac:dyDescent="0.35">
      <c r="A63" t="s">
        <v>56</v>
      </c>
      <c r="B63" t="s">
        <v>57</v>
      </c>
      <c r="C63" t="s">
        <v>58</v>
      </c>
      <c r="D63">
        <v>106513473</v>
      </c>
      <c r="E63" t="s">
        <v>83</v>
      </c>
      <c r="F63" t="s">
        <v>72</v>
      </c>
      <c r="G63">
        <v>0.28000000000000003</v>
      </c>
      <c r="H63">
        <v>7.36</v>
      </c>
      <c r="I63">
        <v>0</v>
      </c>
      <c r="J63">
        <v>0</v>
      </c>
      <c r="K63">
        <v>7.63</v>
      </c>
      <c r="L63" t="s">
        <v>61</v>
      </c>
      <c r="M63">
        <v>408</v>
      </c>
      <c r="N63">
        <v>53.45</v>
      </c>
      <c r="O63" t="s">
        <v>62</v>
      </c>
      <c r="P63" t="s">
        <v>64</v>
      </c>
      <c r="Q63">
        <v>2141</v>
      </c>
      <c r="R63">
        <v>291.04000000000002</v>
      </c>
    </row>
    <row r="64" spans="1:18" x14ac:dyDescent="0.35">
      <c r="A64" t="s">
        <v>56</v>
      </c>
      <c r="B64" t="s">
        <v>57</v>
      </c>
      <c r="C64" t="s">
        <v>58</v>
      </c>
      <c r="D64">
        <v>106513473</v>
      </c>
      <c r="E64" t="s">
        <v>83</v>
      </c>
      <c r="F64" t="s">
        <v>72</v>
      </c>
      <c r="G64">
        <v>0.28000000000000003</v>
      </c>
      <c r="H64">
        <v>7.36</v>
      </c>
      <c r="I64">
        <v>0</v>
      </c>
      <c r="J64">
        <v>0</v>
      </c>
      <c r="K64">
        <v>7.63</v>
      </c>
      <c r="L64" t="s">
        <v>61</v>
      </c>
      <c r="M64">
        <v>408</v>
      </c>
      <c r="N64">
        <v>53.45</v>
      </c>
      <c r="O64" t="s">
        <v>62</v>
      </c>
      <c r="P64" t="s">
        <v>65</v>
      </c>
      <c r="Q64">
        <v>0</v>
      </c>
      <c r="R64">
        <v>0</v>
      </c>
    </row>
    <row r="65" spans="1:18" x14ac:dyDescent="0.35">
      <c r="A65" t="s">
        <v>56</v>
      </c>
      <c r="B65" t="s">
        <v>57</v>
      </c>
      <c r="C65" t="s">
        <v>58</v>
      </c>
      <c r="D65">
        <v>106513473</v>
      </c>
      <c r="E65" t="s">
        <v>83</v>
      </c>
      <c r="F65" t="s">
        <v>72</v>
      </c>
      <c r="G65">
        <v>0.28000000000000003</v>
      </c>
      <c r="H65">
        <v>7.36</v>
      </c>
      <c r="I65">
        <v>0</v>
      </c>
      <c r="J65">
        <v>0</v>
      </c>
      <c r="K65">
        <v>7.63</v>
      </c>
      <c r="L65" t="s">
        <v>61</v>
      </c>
      <c r="M65">
        <v>408</v>
      </c>
      <c r="N65">
        <v>53.45</v>
      </c>
      <c r="O65" t="s">
        <v>62</v>
      </c>
      <c r="P65" t="s">
        <v>66</v>
      </c>
      <c r="Q65">
        <v>0</v>
      </c>
      <c r="R65">
        <v>0</v>
      </c>
    </row>
    <row r="66" spans="1:18" x14ac:dyDescent="0.35">
      <c r="A66" t="s">
        <v>56</v>
      </c>
      <c r="B66" t="s">
        <v>57</v>
      </c>
      <c r="C66" t="s">
        <v>58</v>
      </c>
      <c r="D66">
        <v>106513473</v>
      </c>
      <c r="E66" t="s">
        <v>83</v>
      </c>
      <c r="F66" t="s">
        <v>72</v>
      </c>
      <c r="G66">
        <v>0.28000000000000003</v>
      </c>
      <c r="H66">
        <v>7.36</v>
      </c>
      <c r="I66">
        <v>0</v>
      </c>
      <c r="J66">
        <v>0</v>
      </c>
      <c r="K66">
        <v>7.63</v>
      </c>
      <c r="L66" t="s">
        <v>61</v>
      </c>
      <c r="M66">
        <v>408</v>
      </c>
      <c r="N66">
        <v>53.45</v>
      </c>
      <c r="O66" t="s">
        <v>62</v>
      </c>
      <c r="P66" t="s">
        <v>67</v>
      </c>
      <c r="Q66">
        <v>2705</v>
      </c>
      <c r="R66">
        <v>354.37</v>
      </c>
    </row>
    <row r="67" spans="1:18" x14ac:dyDescent="0.35">
      <c r="A67" t="s">
        <v>56</v>
      </c>
      <c r="B67" t="s">
        <v>57</v>
      </c>
      <c r="C67" t="s">
        <v>58</v>
      </c>
      <c r="D67">
        <v>106513473</v>
      </c>
      <c r="E67" t="s">
        <v>83</v>
      </c>
      <c r="F67" t="s">
        <v>72</v>
      </c>
      <c r="G67">
        <v>0.28000000000000003</v>
      </c>
      <c r="H67">
        <v>7.36</v>
      </c>
      <c r="I67">
        <v>0</v>
      </c>
      <c r="J67">
        <v>0</v>
      </c>
      <c r="K67">
        <v>7.63</v>
      </c>
      <c r="L67" t="s">
        <v>61</v>
      </c>
      <c r="M67">
        <v>408</v>
      </c>
      <c r="N67">
        <v>53.45</v>
      </c>
      <c r="O67" t="s">
        <v>68</v>
      </c>
      <c r="P67" t="s">
        <v>67</v>
      </c>
      <c r="Q67">
        <v>408</v>
      </c>
      <c r="R67">
        <v>53.45</v>
      </c>
    </row>
    <row r="68" spans="1:18" x14ac:dyDescent="0.35">
      <c r="A68" t="s">
        <v>56</v>
      </c>
      <c r="B68" t="s">
        <v>57</v>
      </c>
      <c r="C68" t="s">
        <v>70</v>
      </c>
      <c r="D68">
        <v>106533929</v>
      </c>
      <c r="E68" t="s">
        <v>611</v>
      </c>
      <c r="F68" t="s">
        <v>72</v>
      </c>
      <c r="G68">
        <v>0.55000000000000004</v>
      </c>
      <c r="H68">
        <v>1.04</v>
      </c>
      <c r="I68">
        <v>0</v>
      </c>
      <c r="J68">
        <v>0</v>
      </c>
      <c r="K68">
        <v>1.59</v>
      </c>
      <c r="L68" t="s">
        <v>61</v>
      </c>
      <c r="M68">
        <v>24</v>
      </c>
      <c r="N68">
        <v>15.08</v>
      </c>
      <c r="O68" t="s">
        <v>62</v>
      </c>
      <c r="P68" t="s">
        <v>63</v>
      </c>
      <c r="Q68">
        <v>847</v>
      </c>
      <c r="R68">
        <v>1531.49</v>
      </c>
    </row>
    <row r="69" spans="1:18" x14ac:dyDescent="0.35">
      <c r="A69" t="s">
        <v>56</v>
      </c>
      <c r="B69" t="s">
        <v>57</v>
      </c>
      <c r="C69" t="s">
        <v>70</v>
      </c>
      <c r="D69">
        <v>106533929</v>
      </c>
      <c r="E69" t="s">
        <v>611</v>
      </c>
      <c r="F69" t="s">
        <v>72</v>
      </c>
      <c r="G69">
        <v>0.55000000000000004</v>
      </c>
      <c r="H69">
        <v>1.04</v>
      </c>
      <c r="I69">
        <v>0</v>
      </c>
      <c r="J69">
        <v>0</v>
      </c>
      <c r="K69">
        <v>1.59</v>
      </c>
      <c r="L69" t="s">
        <v>61</v>
      </c>
      <c r="M69">
        <v>24</v>
      </c>
      <c r="N69">
        <v>15.08</v>
      </c>
      <c r="O69" t="s">
        <v>62</v>
      </c>
      <c r="P69" t="s">
        <v>64</v>
      </c>
      <c r="Q69">
        <v>227</v>
      </c>
      <c r="R69">
        <v>218.62</v>
      </c>
    </row>
    <row r="70" spans="1:18" x14ac:dyDescent="0.35">
      <c r="A70" t="s">
        <v>56</v>
      </c>
      <c r="B70" t="s">
        <v>57</v>
      </c>
      <c r="C70" t="s">
        <v>70</v>
      </c>
      <c r="D70">
        <v>106533929</v>
      </c>
      <c r="E70" t="s">
        <v>611</v>
      </c>
      <c r="F70" t="s">
        <v>72</v>
      </c>
      <c r="G70">
        <v>0.55000000000000004</v>
      </c>
      <c r="H70">
        <v>1.04</v>
      </c>
      <c r="I70">
        <v>0</v>
      </c>
      <c r="J70">
        <v>0</v>
      </c>
      <c r="K70">
        <v>1.59</v>
      </c>
      <c r="L70" t="s">
        <v>61</v>
      </c>
      <c r="M70">
        <v>24</v>
      </c>
      <c r="N70">
        <v>15.08</v>
      </c>
      <c r="O70" t="s">
        <v>62</v>
      </c>
      <c r="P70" t="s">
        <v>65</v>
      </c>
      <c r="Q70">
        <v>0</v>
      </c>
      <c r="R70">
        <v>0</v>
      </c>
    </row>
    <row r="71" spans="1:18" x14ac:dyDescent="0.35">
      <c r="A71" t="s">
        <v>56</v>
      </c>
      <c r="B71" t="s">
        <v>57</v>
      </c>
      <c r="C71" t="s">
        <v>70</v>
      </c>
      <c r="D71">
        <v>106533929</v>
      </c>
      <c r="E71" t="s">
        <v>611</v>
      </c>
      <c r="F71" t="s">
        <v>72</v>
      </c>
      <c r="G71">
        <v>0.55000000000000004</v>
      </c>
      <c r="H71">
        <v>1.04</v>
      </c>
      <c r="I71">
        <v>0</v>
      </c>
      <c r="J71">
        <v>0</v>
      </c>
      <c r="K71">
        <v>1.59</v>
      </c>
      <c r="L71" t="s">
        <v>61</v>
      </c>
      <c r="M71">
        <v>24</v>
      </c>
      <c r="N71">
        <v>15.08</v>
      </c>
      <c r="O71" t="s">
        <v>62</v>
      </c>
      <c r="P71" t="s">
        <v>66</v>
      </c>
      <c r="Q71">
        <v>0</v>
      </c>
      <c r="R71">
        <v>0</v>
      </c>
    </row>
    <row r="72" spans="1:18" x14ac:dyDescent="0.35">
      <c r="A72" t="s">
        <v>56</v>
      </c>
      <c r="B72" t="s">
        <v>57</v>
      </c>
      <c r="C72" t="s">
        <v>70</v>
      </c>
      <c r="D72">
        <v>106533929</v>
      </c>
      <c r="E72" t="s">
        <v>611</v>
      </c>
      <c r="F72" t="s">
        <v>72</v>
      </c>
      <c r="G72">
        <v>0.55000000000000004</v>
      </c>
      <c r="H72">
        <v>1.04</v>
      </c>
      <c r="I72">
        <v>0</v>
      </c>
      <c r="J72">
        <v>0</v>
      </c>
      <c r="K72">
        <v>1.59</v>
      </c>
      <c r="L72" t="s">
        <v>61</v>
      </c>
      <c r="M72">
        <v>24</v>
      </c>
      <c r="N72">
        <v>15.08</v>
      </c>
      <c r="O72" t="s">
        <v>62</v>
      </c>
      <c r="P72" t="s">
        <v>67</v>
      </c>
      <c r="Q72">
        <v>1074</v>
      </c>
      <c r="R72">
        <v>674.76</v>
      </c>
    </row>
    <row r="73" spans="1:18" x14ac:dyDescent="0.35">
      <c r="A73" t="s">
        <v>56</v>
      </c>
      <c r="B73" t="s">
        <v>57</v>
      </c>
      <c r="C73" t="s">
        <v>70</v>
      </c>
      <c r="D73">
        <v>106533929</v>
      </c>
      <c r="E73" t="s">
        <v>611</v>
      </c>
      <c r="F73" t="s">
        <v>72</v>
      </c>
      <c r="G73">
        <v>0.55000000000000004</v>
      </c>
      <c r="H73">
        <v>1.04</v>
      </c>
      <c r="I73">
        <v>0</v>
      </c>
      <c r="J73">
        <v>0</v>
      </c>
      <c r="K73">
        <v>1.59</v>
      </c>
      <c r="L73" t="s">
        <v>61</v>
      </c>
      <c r="M73">
        <v>24</v>
      </c>
      <c r="N73">
        <v>15.08</v>
      </c>
      <c r="O73" t="s">
        <v>68</v>
      </c>
      <c r="P73" t="s">
        <v>67</v>
      </c>
      <c r="Q73">
        <v>24</v>
      </c>
      <c r="R73">
        <v>15.08</v>
      </c>
    </row>
    <row r="74" spans="1:18" x14ac:dyDescent="0.35">
      <c r="A74" t="s">
        <v>56</v>
      </c>
      <c r="B74" t="s">
        <v>57</v>
      </c>
      <c r="C74" t="s">
        <v>70</v>
      </c>
      <c r="D74">
        <v>106550610</v>
      </c>
      <c r="E74" t="s">
        <v>612</v>
      </c>
      <c r="F74" t="s">
        <v>72</v>
      </c>
      <c r="G74">
        <v>0.03</v>
      </c>
      <c r="H74">
        <v>7.62</v>
      </c>
      <c r="I74">
        <v>0</v>
      </c>
      <c r="J74">
        <v>0</v>
      </c>
      <c r="K74">
        <v>7.65</v>
      </c>
      <c r="L74" t="s">
        <v>61</v>
      </c>
      <c r="M74">
        <v>313</v>
      </c>
      <c r="N74">
        <v>40.92</v>
      </c>
      <c r="O74" t="s">
        <v>62</v>
      </c>
      <c r="P74" t="s">
        <v>63</v>
      </c>
      <c r="Q74">
        <v>36</v>
      </c>
      <c r="R74">
        <v>1309.0899999999999</v>
      </c>
    </row>
    <row r="75" spans="1:18" x14ac:dyDescent="0.35">
      <c r="A75" t="s">
        <v>56</v>
      </c>
      <c r="B75" t="s">
        <v>57</v>
      </c>
      <c r="C75" t="s">
        <v>70</v>
      </c>
      <c r="D75">
        <v>106550610</v>
      </c>
      <c r="E75" t="s">
        <v>612</v>
      </c>
      <c r="F75" t="s">
        <v>72</v>
      </c>
      <c r="G75">
        <v>0.03</v>
      </c>
      <c r="H75">
        <v>7.62</v>
      </c>
      <c r="I75">
        <v>0</v>
      </c>
      <c r="J75">
        <v>0</v>
      </c>
      <c r="K75">
        <v>7.65</v>
      </c>
      <c r="L75" t="s">
        <v>61</v>
      </c>
      <c r="M75">
        <v>313</v>
      </c>
      <c r="N75">
        <v>40.92</v>
      </c>
      <c r="O75" t="s">
        <v>62</v>
      </c>
      <c r="P75" t="s">
        <v>64</v>
      </c>
      <c r="Q75">
        <v>1422</v>
      </c>
      <c r="R75">
        <v>186.56</v>
      </c>
    </row>
    <row r="76" spans="1:18" x14ac:dyDescent="0.35">
      <c r="A76" t="s">
        <v>56</v>
      </c>
      <c r="B76" t="s">
        <v>57</v>
      </c>
      <c r="C76" t="s">
        <v>70</v>
      </c>
      <c r="D76">
        <v>106550610</v>
      </c>
      <c r="E76" t="s">
        <v>612</v>
      </c>
      <c r="F76" t="s">
        <v>72</v>
      </c>
      <c r="G76">
        <v>0.03</v>
      </c>
      <c r="H76">
        <v>7.62</v>
      </c>
      <c r="I76">
        <v>0</v>
      </c>
      <c r="J76">
        <v>0</v>
      </c>
      <c r="K76">
        <v>7.65</v>
      </c>
      <c r="L76" t="s">
        <v>61</v>
      </c>
      <c r="M76">
        <v>313</v>
      </c>
      <c r="N76">
        <v>40.92</v>
      </c>
      <c r="O76" t="s">
        <v>62</v>
      </c>
      <c r="P76" t="s">
        <v>65</v>
      </c>
      <c r="Q76">
        <v>0</v>
      </c>
      <c r="R76">
        <v>0</v>
      </c>
    </row>
    <row r="77" spans="1:18" x14ac:dyDescent="0.35">
      <c r="A77" t="s">
        <v>56</v>
      </c>
      <c r="B77" t="s">
        <v>57</v>
      </c>
      <c r="C77" t="s">
        <v>70</v>
      </c>
      <c r="D77">
        <v>106550610</v>
      </c>
      <c r="E77" t="s">
        <v>612</v>
      </c>
      <c r="F77" t="s">
        <v>72</v>
      </c>
      <c r="G77">
        <v>0.03</v>
      </c>
      <c r="H77">
        <v>7.62</v>
      </c>
      <c r="I77">
        <v>0</v>
      </c>
      <c r="J77">
        <v>0</v>
      </c>
      <c r="K77">
        <v>7.65</v>
      </c>
      <c r="L77" t="s">
        <v>61</v>
      </c>
      <c r="M77">
        <v>313</v>
      </c>
      <c r="N77">
        <v>40.92</v>
      </c>
      <c r="O77" t="s">
        <v>62</v>
      </c>
      <c r="P77" t="s">
        <v>66</v>
      </c>
      <c r="Q77">
        <v>0</v>
      </c>
      <c r="R77">
        <v>0</v>
      </c>
    </row>
    <row r="78" spans="1:18" x14ac:dyDescent="0.35">
      <c r="A78" t="s">
        <v>56</v>
      </c>
      <c r="B78" t="s">
        <v>57</v>
      </c>
      <c r="C78" t="s">
        <v>70</v>
      </c>
      <c r="D78">
        <v>106550610</v>
      </c>
      <c r="E78" t="s">
        <v>612</v>
      </c>
      <c r="F78" t="s">
        <v>72</v>
      </c>
      <c r="G78">
        <v>0.03</v>
      </c>
      <c r="H78">
        <v>7.62</v>
      </c>
      <c r="I78">
        <v>0</v>
      </c>
      <c r="J78">
        <v>0</v>
      </c>
      <c r="K78">
        <v>7.65</v>
      </c>
      <c r="L78" t="s">
        <v>61</v>
      </c>
      <c r="M78">
        <v>313</v>
      </c>
      <c r="N78">
        <v>40.92</v>
      </c>
      <c r="O78" t="s">
        <v>62</v>
      </c>
      <c r="P78" t="s">
        <v>67</v>
      </c>
      <c r="Q78">
        <v>1458</v>
      </c>
      <c r="R78">
        <v>190.59</v>
      </c>
    </row>
    <row r="79" spans="1:18" x14ac:dyDescent="0.35">
      <c r="A79" t="s">
        <v>56</v>
      </c>
      <c r="B79" t="s">
        <v>57</v>
      </c>
      <c r="C79" t="s">
        <v>70</v>
      </c>
      <c r="D79">
        <v>106550610</v>
      </c>
      <c r="E79" t="s">
        <v>612</v>
      </c>
      <c r="F79" t="s">
        <v>72</v>
      </c>
      <c r="G79">
        <v>0.03</v>
      </c>
      <c r="H79">
        <v>7.62</v>
      </c>
      <c r="I79">
        <v>0</v>
      </c>
      <c r="J79">
        <v>0</v>
      </c>
      <c r="K79">
        <v>7.65</v>
      </c>
      <c r="L79" t="s">
        <v>61</v>
      </c>
      <c r="M79">
        <v>313</v>
      </c>
      <c r="N79">
        <v>40.92</v>
      </c>
      <c r="O79" t="s">
        <v>68</v>
      </c>
      <c r="P79" t="s">
        <v>67</v>
      </c>
      <c r="Q79">
        <v>313</v>
      </c>
      <c r="R79">
        <v>40.92</v>
      </c>
    </row>
    <row r="80" spans="1:18" x14ac:dyDescent="0.35">
      <c r="A80" t="s">
        <v>56</v>
      </c>
      <c r="B80" t="s">
        <v>57</v>
      </c>
      <c r="C80" t="s">
        <v>58</v>
      </c>
      <c r="D80">
        <v>106556401</v>
      </c>
      <c r="E80" t="s">
        <v>613</v>
      </c>
      <c r="F80" t="s">
        <v>72</v>
      </c>
      <c r="G80">
        <v>0</v>
      </c>
      <c r="H80">
        <v>1.53</v>
      </c>
      <c r="I80">
        <v>0</v>
      </c>
      <c r="J80">
        <v>0</v>
      </c>
      <c r="K80">
        <v>1.53</v>
      </c>
      <c r="L80" t="s">
        <v>61</v>
      </c>
      <c r="M80">
        <v>92</v>
      </c>
      <c r="N80">
        <v>60.29</v>
      </c>
      <c r="O80" t="s">
        <v>62</v>
      </c>
      <c r="P80" t="s">
        <v>63</v>
      </c>
      <c r="Q80">
        <v>0</v>
      </c>
      <c r="R80">
        <v>0</v>
      </c>
    </row>
    <row r="81" spans="1:18" x14ac:dyDescent="0.35">
      <c r="A81" t="s">
        <v>56</v>
      </c>
      <c r="B81" t="s">
        <v>57</v>
      </c>
      <c r="C81" t="s">
        <v>58</v>
      </c>
      <c r="D81">
        <v>106556401</v>
      </c>
      <c r="E81" t="s">
        <v>613</v>
      </c>
      <c r="F81" t="s">
        <v>72</v>
      </c>
      <c r="G81">
        <v>0</v>
      </c>
      <c r="H81">
        <v>1.53</v>
      </c>
      <c r="I81">
        <v>0</v>
      </c>
      <c r="J81">
        <v>0</v>
      </c>
      <c r="K81">
        <v>1.53</v>
      </c>
      <c r="L81" t="s">
        <v>61</v>
      </c>
      <c r="M81">
        <v>92</v>
      </c>
      <c r="N81">
        <v>60.29</v>
      </c>
      <c r="O81" t="s">
        <v>62</v>
      </c>
      <c r="P81" t="s">
        <v>64</v>
      </c>
      <c r="Q81">
        <v>635</v>
      </c>
      <c r="R81">
        <v>416.17</v>
      </c>
    </row>
    <row r="82" spans="1:18" x14ac:dyDescent="0.35">
      <c r="A82" t="s">
        <v>56</v>
      </c>
      <c r="B82" t="s">
        <v>57</v>
      </c>
      <c r="C82" t="s">
        <v>58</v>
      </c>
      <c r="D82">
        <v>106556401</v>
      </c>
      <c r="E82" t="s">
        <v>613</v>
      </c>
      <c r="F82" t="s">
        <v>72</v>
      </c>
      <c r="G82">
        <v>0</v>
      </c>
      <c r="H82">
        <v>1.53</v>
      </c>
      <c r="I82">
        <v>0</v>
      </c>
      <c r="J82">
        <v>0</v>
      </c>
      <c r="K82">
        <v>1.53</v>
      </c>
      <c r="L82" t="s">
        <v>61</v>
      </c>
      <c r="M82">
        <v>92</v>
      </c>
      <c r="N82">
        <v>60.29</v>
      </c>
      <c r="O82" t="s">
        <v>62</v>
      </c>
      <c r="P82" t="s">
        <v>65</v>
      </c>
      <c r="Q82">
        <v>0</v>
      </c>
      <c r="R82">
        <v>0</v>
      </c>
    </row>
    <row r="83" spans="1:18" x14ac:dyDescent="0.35">
      <c r="A83" t="s">
        <v>56</v>
      </c>
      <c r="B83" t="s">
        <v>57</v>
      </c>
      <c r="C83" t="s">
        <v>58</v>
      </c>
      <c r="D83">
        <v>106556401</v>
      </c>
      <c r="E83" t="s">
        <v>613</v>
      </c>
      <c r="F83" t="s">
        <v>72</v>
      </c>
      <c r="G83">
        <v>0</v>
      </c>
      <c r="H83">
        <v>1.53</v>
      </c>
      <c r="I83">
        <v>0</v>
      </c>
      <c r="J83">
        <v>0</v>
      </c>
      <c r="K83">
        <v>1.53</v>
      </c>
      <c r="L83" t="s">
        <v>61</v>
      </c>
      <c r="M83">
        <v>92</v>
      </c>
      <c r="N83">
        <v>60.29</v>
      </c>
      <c r="O83" t="s">
        <v>62</v>
      </c>
      <c r="P83" t="s">
        <v>66</v>
      </c>
      <c r="Q83">
        <v>0</v>
      </c>
      <c r="R83">
        <v>0</v>
      </c>
    </row>
    <row r="84" spans="1:18" x14ac:dyDescent="0.35">
      <c r="A84" t="s">
        <v>56</v>
      </c>
      <c r="B84" t="s">
        <v>57</v>
      </c>
      <c r="C84" t="s">
        <v>58</v>
      </c>
      <c r="D84">
        <v>106556401</v>
      </c>
      <c r="E84" t="s">
        <v>613</v>
      </c>
      <c r="F84" t="s">
        <v>72</v>
      </c>
      <c r="G84">
        <v>0</v>
      </c>
      <c r="H84">
        <v>1.53</v>
      </c>
      <c r="I84">
        <v>0</v>
      </c>
      <c r="J84">
        <v>0</v>
      </c>
      <c r="K84">
        <v>1.53</v>
      </c>
      <c r="L84" t="s">
        <v>61</v>
      </c>
      <c r="M84">
        <v>92</v>
      </c>
      <c r="N84">
        <v>60.29</v>
      </c>
      <c r="O84" t="s">
        <v>62</v>
      </c>
      <c r="P84" t="s">
        <v>67</v>
      </c>
      <c r="Q84">
        <v>635</v>
      </c>
      <c r="R84">
        <v>416.17</v>
      </c>
    </row>
    <row r="85" spans="1:18" x14ac:dyDescent="0.35">
      <c r="A85" t="s">
        <v>56</v>
      </c>
      <c r="B85" t="s">
        <v>57</v>
      </c>
      <c r="C85" t="s">
        <v>58</v>
      </c>
      <c r="D85">
        <v>106556401</v>
      </c>
      <c r="E85" t="s">
        <v>613</v>
      </c>
      <c r="F85" t="s">
        <v>72</v>
      </c>
      <c r="G85">
        <v>0</v>
      </c>
      <c r="H85">
        <v>1.53</v>
      </c>
      <c r="I85">
        <v>0</v>
      </c>
      <c r="J85">
        <v>0</v>
      </c>
      <c r="K85">
        <v>1.53</v>
      </c>
      <c r="L85" t="s">
        <v>61</v>
      </c>
      <c r="M85">
        <v>92</v>
      </c>
      <c r="N85">
        <v>60.29</v>
      </c>
      <c r="O85" t="s">
        <v>68</v>
      </c>
      <c r="P85" t="s">
        <v>67</v>
      </c>
      <c r="Q85">
        <v>92</v>
      </c>
      <c r="R85">
        <v>60.29</v>
      </c>
    </row>
    <row r="86" spans="1:18" x14ac:dyDescent="0.35">
      <c r="A86" t="s">
        <v>56</v>
      </c>
      <c r="B86" t="s">
        <v>57</v>
      </c>
      <c r="C86" t="s">
        <v>70</v>
      </c>
      <c r="D86">
        <v>106616226</v>
      </c>
      <c r="E86" t="s">
        <v>614</v>
      </c>
      <c r="F86" t="s">
        <v>72</v>
      </c>
      <c r="G86">
        <v>0.62</v>
      </c>
      <c r="H86">
        <v>9.31</v>
      </c>
      <c r="I86">
        <v>0</v>
      </c>
      <c r="J86">
        <v>0</v>
      </c>
      <c r="K86">
        <v>9.93</v>
      </c>
      <c r="L86" t="s">
        <v>61</v>
      </c>
      <c r="M86">
        <v>479</v>
      </c>
      <c r="N86">
        <v>48.22</v>
      </c>
      <c r="O86" t="s">
        <v>62</v>
      </c>
      <c r="P86" t="s">
        <v>63</v>
      </c>
      <c r="Q86">
        <v>885</v>
      </c>
      <c r="R86">
        <v>1431.27</v>
      </c>
    </row>
    <row r="87" spans="1:18" x14ac:dyDescent="0.35">
      <c r="A87" t="s">
        <v>56</v>
      </c>
      <c r="B87" t="s">
        <v>57</v>
      </c>
      <c r="C87" t="s">
        <v>70</v>
      </c>
      <c r="D87">
        <v>106616226</v>
      </c>
      <c r="E87" t="s">
        <v>614</v>
      </c>
      <c r="F87" t="s">
        <v>72</v>
      </c>
      <c r="G87">
        <v>0.62</v>
      </c>
      <c r="H87">
        <v>9.31</v>
      </c>
      <c r="I87">
        <v>0</v>
      </c>
      <c r="J87">
        <v>0</v>
      </c>
      <c r="K87">
        <v>9.93</v>
      </c>
      <c r="L87" t="s">
        <v>61</v>
      </c>
      <c r="M87">
        <v>479</v>
      </c>
      <c r="N87">
        <v>48.22</v>
      </c>
      <c r="O87" t="s">
        <v>62</v>
      </c>
      <c r="P87" t="s">
        <v>64</v>
      </c>
      <c r="Q87">
        <v>1903</v>
      </c>
      <c r="R87">
        <v>204.3</v>
      </c>
    </row>
    <row r="88" spans="1:18" x14ac:dyDescent="0.35">
      <c r="A88" t="s">
        <v>56</v>
      </c>
      <c r="B88" t="s">
        <v>57</v>
      </c>
      <c r="C88" t="s">
        <v>70</v>
      </c>
      <c r="D88">
        <v>106616226</v>
      </c>
      <c r="E88" t="s">
        <v>614</v>
      </c>
      <c r="F88" t="s">
        <v>72</v>
      </c>
      <c r="G88">
        <v>0.62</v>
      </c>
      <c r="H88">
        <v>9.31</v>
      </c>
      <c r="I88">
        <v>0</v>
      </c>
      <c r="J88">
        <v>0</v>
      </c>
      <c r="K88">
        <v>9.93</v>
      </c>
      <c r="L88" t="s">
        <v>61</v>
      </c>
      <c r="M88">
        <v>479</v>
      </c>
      <c r="N88">
        <v>48.22</v>
      </c>
      <c r="O88" t="s">
        <v>62</v>
      </c>
      <c r="P88" t="s">
        <v>65</v>
      </c>
      <c r="Q88">
        <v>0</v>
      </c>
      <c r="R88">
        <v>0</v>
      </c>
    </row>
    <row r="89" spans="1:18" x14ac:dyDescent="0.35">
      <c r="A89" t="s">
        <v>56</v>
      </c>
      <c r="B89" t="s">
        <v>57</v>
      </c>
      <c r="C89" t="s">
        <v>70</v>
      </c>
      <c r="D89">
        <v>106616226</v>
      </c>
      <c r="E89" t="s">
        <v>614</v>
      </c>
      <c r="F89" t="s">
        <v>72</v>
      </c>
      <c r="G89">
        <v>0.62</v>
      </c>
      <c r="H89">
        <v>9.31</v>
      </c>
      <c r="I89">
        <v>0</v>
      </c>
      <c r="J89">
        <v>0</v>
      </c>
      <c r="K89">
        <v>9.93</v>
      </c>
      <c r="L89" t="s">
        <v>61</v>
      </c>
      <c r="M89">
        <v>479</v>
      </c>
      <c r="N89">
        <v>48.22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70</v>
      </c>
      <c r="D90">
        <v>106616226</v>
      </c>
      <c r="E90" t="s">
        <v>614</v>
      </c>
      <c r="F90" t="s">
        <v>72</v>
      </c>
      <c r="G90">
        <v>0.62</v>
      </c>
      <c r="H90">
        <v>9.31</v>
      </c>
      <c r="I90">
        <v>0</v>
      </c>
      <c r="J90">
        <v>0</v>
      </c>
      <c r="K90">
        <v>9.93</v>
      </c>
      <c r="L90" t="s">
        <v>61</v>
      </c>
      <c r="M90">
        <v>479</v>
      </c>
      <c r="N90">
        <v>48.22</v>
      </c>
      <c r="O90" t="s">
        <v>62</v>
      </c>
      <c r="P90" t="s">
        <v>67</v>
      </c>
      <c r="Q90">
        <v>2788</v>
      </c>
      <c r="R90">
        <v>280.67</v>
      </c>
    </row>
    <row r="91" spans="1:18" x14ac:dyDescent="0.35">
      <c r="A91" t="s">
        <v>56</v>
      </c>
      <c r="B91" t="s">
        <v>57</v>
      </c>
      <c r="C91" t="s">
        <v>70</v>
      </c>
      <c r="D91">
        <v>106616226</v>
      </c>
      <c r="E91" t="s">
        <v>614</v>
      </c>
      <c r="F91" t="s">
        <v>72</v>
      </c>
      <c r="G91">
        <v>0.62</v>
      </c>
      <c r="H91">
        <v>9.31</v>
      </c>
      <c r="I91">
        <v>0</v>
      </c>
      <c r="J91">
        <v>0</v>
      </c>
      <c r="K91">
        <v>9.93</v>
      </c>
      <c r="L91" t="s">
        <v>61</v>
      </c>
      <c r="M91">
        <v>479</v>
      </c>
      <c r="N91">
        <v>48.22</v>
      </c>
      <c r="O91" t="s">
        <v>68</v>
      </c>
      <c r="P91" t="s">
        <v>67</v>
      </c>
      <c r="Q91">
        <v>479</v>
      </c>
      <c r="R91">
        <v>48.22</v>
      </c>
    </row>
    <row r="92" spans="1:18" x14ac:dyDescent="0.35">
      <c r="A92" t="s">
        <v>56</v>
      </c>
      <c r="B92" t="s">
        <v>57</v>
      </c>
      <c r="C92" t="s">
        <v>58</v>
      </c>
      <c r="D92">
        <v>106636925</v>
      </c>
      <c r="E92" t="s">
        <v>88</v>
      </c>
      <c r="F92" t="s">
        <v>72</v>
      </c>
      <c r="G92">
        <v>0.38</v>
      </c>
      <c r="H92">
        <v>9.6199999999999992</v>
      </c>
      <c r="I92">
        <v>0</v>
      </c>
      <c r="J92">
        <v>0</v>
      </c>
      <c r="K92">
        <v>10</v>
      </c>
      <c r="L92" t="s">
        <v>61</v>
      </c>
      <c r="M92">
        <v>421</v>
      </c>
      <c r="N92">
        <v>42.1</v>
      </c>
      <c r="O92" t="s">
        <v>62</v>
      </c>
      <c r="P92" t="s">
        <v>63</v>
      </c>
      <c r="Q92">
        <v>416</v>
      </c>
      <c r="R92">
        <v>1096.3399999999999</v>
      </c>
    </row>
    <row r="93" spans="1:18" x14ac:dyDescent="0.35">
      <c r="A93" t="s">
        <v>56</v>
      </c>
      <c r="B93" t="s">
        <v>57</v>
      </c>
      <c r="C93" t="s">
        <v>58</v>
      </c>
      <c r="D93">
        <v>106636925</v>
      </c>
      <c r="E93" t="s">
        <v>88</v>
      </c>
      <c r="F93" t="s">
        <v>72</v>
      </c>
      <c r="G93">
        <v>0.38</v>
      </c>
      <c r="H93">
        <v>9.6199999999999992</v>
      </c>
      <c r="I93">
        <v>0</v>
      </c>
      <c r="J93">
        <v>0</v>
      </c>
      <c r="K93">
        <v>10</v>
      </c>
      <c r="L93" t="s">
        <v>61</v>
      </c>
      <c r="M93">
        <v>421</v>
      </c>
      <c r="N93">
        <v>42.1</v>
      </c>
      <c r="O93" t="s">
        <v>62</v>
      </c>
      <c r="P93" t="s">
        <v>64</v>
      </c>
      <c r="Q93">
        <v>1505</v>
      </c>
      <c r="R93">
        <v>156.44</v>
      </c>
    </row>
    <row r="94" spans="1:18" x14ac:dyDescent="0.35">
      <c r="A94" t="s">
        <v>56</v>
      </c>
      <c r="B94" t="s">
        <v>57</v>
      </c>
      <c r="C94" t="s">
        <v>58</v>
      </c>
      <c r="D94">
        <v>106636925</v>
      </c>
      <c r="E94" t="s">
        <v>88</v>
      </c>
      <c r="F94" t="s">
        <v>72</v>
      </c>
      <c r="G94">
        <v>0.38</v>
      </c>
      <c r="H94">
        <v>9.6199999999999992</v>
      </c>
      <c r="I94">
        <v>0</v>
      </c>
      <c r="J94">
        <v>0</v>
      </c>
      <c r="K94">
        <v>10</v>
      </c>
      <c r="L94" t="s">
        <v>61</v>
      </c>
      <c r="M94">
        <v>421</v>
      </c>
      <c r="N94">
        <v>42.1</v>
      </c>
      <c r="O94" t="s">
        <v>62</v>
      </c>
      <c r="P94" t="s">
        <v>65</v>
      </c>
      <c r="Q94">
        <v>0</v>
      </c>
      <c r="R94">
        <v>0</v>
      </c>
    </row>
    <row r="95" spans="1:18" x14ac:dyDescent="0.35">
      <c r="A95" t="s">
        <v>56</v>
      </c>
      <c r="B95" t="s">
        <v>57</v>
      </c>
      <c r="C95" t="s">
        <v>58</v>
      </c>
      <c r="D95">
        <v>106636925</v>
      </c>
      <c r="E95" t="s">
        <v>88</v>
      </c>
      <c r="F95" t="s">
        <v>72</v>
      </c>
      <c r="G95">
        <v>0.38</v>
      </c>
      <c r="H95">
        <v>9.6199999999999992</v>
      </c>
      <c r="I95">
        <v>0</v>
      </c>
      <c r="J95">
        <v>0</v>
      </c>
      <c r="K95">
        <v>10</v>
      </c>
      <c r="L95" t="s">
        <v>61</v>
      </c>
      <c r="M95">
        <v>421</v>
      </c>
      <c r="N95">
        <v>42.1</v>
      </c>
      <c r="O95" t="s">
        <v>62</v>
      </c>
      <c r="P95" t="s">
        <v>66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58</v>
      </c>
      <c r="D96">
        <v>106636925</v>
      </c>
      <c r="E96" t="s">
        <v>88</v>
      </c>
      <c r="F96" t="s">
        <v>72</v>
      </c>
      <c r="G96">
        <v>0.38</v>
      </c>
      <c r="H96">
        <v>9.6199999999999992</v>
      </c>
      <c r="I96">
        <v>0</v>
      </c>
      <c r="J96">
        <v>0</v>
      </c>
      <c r="K96">
        <v>10</v>
      </c>
      <c r="L96" t="s">
        <v>61</v>
      </c>
      <c r="M96">
        <v>421</v>
      </c>
      <c r="N96">
        <v>42.1</v>
      </c>
      <c r="O96" t="s">
        <v>62</v>
      </c>
      <c r="P96" t="s">
        <v>67</v>
      </c>
      <c r="Q96">
        <v>1921</v>
      </c>
      <c r="R96">
        <v>192.1</v>
      </c>
    </row>
    <row r="97" spans="1:18" x14ac:dyDescent="0.35">
      <c r="A97" t="s">
        <v>56</v>
      </c>
      <c r="B97" t="s">
        <v>57</v>
      </c>
      <c r="C97" t="s">
        <v>58</v>
      </c>
      <c r="D97">
        <v>106636925</v>
      </c>
      <c r="E97" t="s">
        <v>88</v>
      </c>
      <c r="F97" t="s">
        <v>72</v>
      </c>
      <c r="G97">
        <v>0.38</v>
      </c>
      <c r="H97">
        <v>9.6199999999999992</v>
      </c>
      <c r="I97">
        <v>0</v>
      </c>
      <c r="J97">
        <v>0</v>
      </c>
      <c r="K97">
        <v>10</v>
      </c>
      <c r="L97" t="s">
        <v>61</v>
      </c>
      <c r="M97">
        <v>421</v>
      </c>
      <c r="N97">
        <v>42.1</v>
      </c>
      <c r="O97" t="s">
        <v>68</v>
      </c>
      <c r="P97" t="s">
        <v>67</v>
      </c>
      <c r="Q97">
        <v>421</v>
      </c>
      <c r="R97">
        <v>42.1</v>
      </c>
    </row>
    <row r="98" spans="1:18" x14ac:dyDescent="0.35">
      <c r="A98" t="s">
        <v>56</v>
      </c>
      <c r="B98" t="s">
        <v>57</v>
      </c>
      <c r="C98" t="s">
        <v>70</v>
      </c>
      <c r="D98">
        <v>106640096</v>
      </c>
      <c r="E98" t="s">
        <v>89</v>
      </c>
      <c r="F98" t="s">
        <v>72</v>
      </c>
      <c r="G98">
        <v>0.64</v>
      </c>
      <c r="H98">
        <v>8.4600000000000009</v>
      </c>
      <c r="I98">
        <v>0</v>
      </c>
      <c r="J98">
        <v>0</v>
      </c>
      <c r="K98">
        <v>9.1</v>
      </c>
      <c r="L98" t="s">
        <v>61</v>
      </c>
      <c r="M98">
        <v>317</v>
      </c>
      <c r="N98">
        <v>34.840000000000003</v>
      </c>
      <c r="O98" t="s">
        <v>62</v>
      </c>
      <c r="P98" t="s">
        <v>63</v>
      </c>
      <c r="Q98">
        <v>860</v>
      </c>
      <c r="R98">
        <v>1344.92</v>
      </c>
    </row>
    <row r="99" spans="1:18" x14ac:dyDescent="0.35">
      <c r="A99" t="s">
        <v>56</v>
      </c>
      <c r="B99" t="s">
        <v>57</v>
      </c>
      <c r="C99" t="s">
        <v>70</v>
      </c>
      <c r="D99">
        <v>106640096</v>
      </c>
      <c r="E99" t="s">
        <v>89</v>
      </c>
      <c r="F99" t="s">
        <v>72</v>
      </c>
      <c r="G99">
        <v>0.64</v>
      </c>
      <c r="H99">
        <v>8.4600000000000009</v>
      </c>
      <c r="I99">
        <v>0</v>
      </c>
      <c r="J99">
        <v>0</v>
      </c>
      <c r="K99">
        <v>9.1</v>
      </c>
      <c r="L99" t="s">
        <v>61</v>
      </c>
      <c r="M99">
        <v>317</v>
      </c>
      <c r="N99">
        <v>34.840000000000003</v>
      </c>
      <c r="O99" t="s">
        <v>62</v>
      </c>
      <c r="P99" t="s">
        <v>64</v>
      </c>
      <c r="Q99">
        <v>1624</v>
      </c>
      <c r="R99">
        <v>191.96</v>
      </c>
    </row>
    <row r="100" spans="1:18" x14ac:dyDescent="0.35">
      <c r="A100" t="s">
        <v>56</v>
      </c>
      <c r="B100" t="s">
        <v>57</v>
      </c>
      <c r="C100" t="s">
        <v>70</v>
      </c>
      <c r="D100">
        <v>106640096</v>
      </c>
      <c r="E100" t="s">
        <v>89</v>
      </c>
      <c r="F100" t="s">
        <v>72</v>
      </c>
      <c r="G100">
        <v>0.64</v>
      </c>
      <c r="H100">
        <v>8.4600000000000009</v>
      </c>
      <c r="I100">
        <v>0</v>
      </c>
      <c r="J100">
        <v>0</v>
      </c>
      <c r="K100">
        <v>9.1</v>
      </c>
      <c r="L100" t="s">
        <v>61</v>
      </c>
      <c r="M100">
        <v>317</v>
      </c>
      <c r="N100">
        <v>34.840000000000003</v>
      </c>
      <c r="O100" t="s">
        <v>62</v>
      </c>
      <c r="P100" t="s">
        <v>65</v>
      </c>
      <c r="Q100">
        <v>0</v>
      </c>
      <c r="R100">
        <v>0</v>
      </c>
    </row>
    <row r="101" spans="1:18" x14ac:dyDescent="0.35">
      <c r="A101" t="s">
        <v>56</v>
      </c>
      <c r="B101" t="s">
        <v>57</v>
      </c>
      <c r="C101" t="s">
        <v>70</v>
      </c>
      <c r="D101">
        <v>106640096</v>
      </c>
      <c r="E101" t="s">
        <v>89</v>
      </c>
      <c r="F101" t="s">
        <v>72</v>
      </c>
      <c r="G101">
        <v>0.64</v>
      </c>
      <c r="H101">
        <v>8.4600000000000009</v>
      </c>
      <c r="I101">
        <v>0</v>
      </c>
      <c r="J101">
        <v>0</v>
      </c>
      <c r="K101">
        <v>9.1</v>
      </c>
      <c r="L101" t="s">
        <v>61</v>
      </c>
      <c r="M101">
        <v>317</v>
      </c>
      <c r="N101">
        <v>34.840000000000003</v>
      </c>
      <c r="O101" t="s">
        <v>62</v>
      </c>
      <c r="P101" t="s">
        <v>66</v>
      </c>
      <c r="Q101">
        <v>0</v>
      </c>
      <c r="R101">
        <v>0</v>
      </c>
    </row>
    <row r="102" spans="1:18" x14ac:dyDescent="0.35">
      <c r="A102" t="s">
        <v>56</v>
      </c>
      <c r="B102" t="s">
        <v>57</v>
      </c>
      <c r="C102" t="s">
        <v>70</v>
      </c>
      <c r="D102">
        <v>106640096</v>
      </c>
      <c r="E102" t="s">
        <v>89</v>
      </c>
      <c r="F102" t="s">
        <v>72</v>
      </c>
      <c r="G102">
        <v>0.64</v>
      </c>
      <c r="H102">
        <v>8.4600000000000009</v>
      </c>
      <c r="I102">
        <v>0</v>
      </c>
      <c r="J102">
        <v>0</v>
      </c>
      <c r="K102">
        <v>9.1</v>
      </c>
      <c r="L102" t="s">
        <v>61</v>
      </c>
      <c r="M102">
        <v>317</v>
      </c>
      <c r="N102">
        <v>34.840000000000003</v>
      </c>
      <c r="O102" t="s">
        <v>62</v>
      </c>
      <c r="P102" t="s">
        <v>67</v>
      </c>
      <c r="Q102">
        <v>2484</v>
      </c>
      <c r="R102">
        <v>272.97000000000003</v>
      </c>
    </row>
    <row r="103" spans="1:18" x14ac:dyDescent="0.35">
      <c r="A103" t="s">
        <v>56</v>
      </c>
      <c r="B103" t="s">
        <v>57</v>
      </c>
      <c r="C103" t="s">
        <v>70</v>
      </c>
      <c r="D103">
        <v>106640096</v>
      </c>
      <c r="E103" t="s">
        <v>89</v>
      </c>
      <c r="F103" t="s">
        <v>72</v>
      </c>
      <c r="G103">
        <v>0.64</v>
      </c>
      <c r="H103">
        <v>8.4600000000000009</v>
      </c>
      <c r="I103">
        <v>0</v>
      </c>
      <c r="J103">
        <v>0</v>
      </c>
      <c r="K103">
        <v>9.1</v>
      </c>
      <c r="L103" t="s">
        <v>61</v>
      </c>
      <c r="M103">
        <v>317</v>
      </c>
      <c r="N103">
        <v>34.840000000000003</v>
      </c>
      <c r="O103" t="s">
        <v>68</v>
      </c>
      <c r="P103" t="s">
        <v>67</v>
      </c>
      <c r="Q103">
        <v>317</v>
      </c>
      <c r="R103">
        <v>34.840000000000003</v>
      </c>
    </row>
    <row r="104" spans="1:18" x14ac:dyDescent="0.35">
      <c r="A104" t="s">
        <v>56</v>
      </c>
      <c r="B104" t="s">
        <v>57</v>
      </c>
      <c r="C104" t="s">
        <v>70</v>
      </c>
      <c r="D104">
        <v>106660730</v>
      </c>
      <c r="E104" t="s">
        <v>584</v>
      </c>
      <c r="F104" t="s">
        <v>72</v>
      </c>
      <c r="G104">
        <v>0.02</v>
      </c>
      <c r="H104">
        <v>9.06</v>
      </c>
      <c r="I104">
        <v>0</v>
      </c>
      <c r="J104">
        <v>0</v>
      </c>
      <c r="K104">
        <v>9.08</v>
      </c>
      <c r="L104" t="s">
        <v>61</v>
      </c>
      <c r="M104">
        <v>305</v>
      </c>
      <c r="N104">
        <v>33.6</v>
      </c>
      <c r="O104" t="s">
        <v>62</v>
      </c>
      <c r="P104" t="s">
        <v>63</v>
      </c>
      <c r="Q104">
        <v>18</v>
      </c>
      <c r="R104">
        <v>1098.31</v>
      </c>
    </row>
    <row r="105" spans="1:18" x14ac:dyDescent="0.35">
      <c r="A105" t="s">
        <v>56</v>
      </c>
      <c r="B105" t="s">
        <v>57</v>
      </c>
      <c r="C105" t="s">
        <v>70</v>
      </c>
      <c r="D105">
        <v>106660730</v>
      </c>
      <c r="E105" t="s">
        <v>584</v>
      </c>
      <c r="F105" t="s">
        <v>72</v>
      </c>
      <c r="G105">
        <v>0.02</v>
      </c>
      <c r="H105">
        <v>9.06</v>
      </c>
      <c r="I105">
        <v>0</v>
      </c>
      <c r="J105">
        <v>0</v>
      </c>
      <c r="K105">
        <v>9.08</v>
      </c>
      <c r="L105" t="s">
        <v>61</v>
      </c>
      <c r="M105">
        <v>305</v>
      </c>
      <c r="N105">
        <v>33.6</v>
      </c>
      <c r="O105" t="s">
        <v>62</v>
      </c>
      <c r="P105" t="s">
        <v>64</v>
      </c>
      <c r="Q105">
        <v>1407</v>
      </c>
      <c r="R105">
        <v>155.30000000000001</v>
      </c>
    </row>
    <row r="106" spans="1:18" x14ac:dyDescent="0.35">
      <c r="A106" t="s">
        <v>56</v>
      </c>
      <c r="B106" t="s">
        <v>57</v>
      </c>
      <c r="C106" t="s">
        <v>70</v>
      </c>
      <c r="D106">
        <v>106660730</v>
      </c>
      <c r="E106" t="s">
        <v>584</v>
      </c>
      <c r="F106" t="s">
        <v>72</v>
      </c>
      <c r="G106">
        <v>0.02</v>
      </c>
      <c r="H106">
        <v>9.06</v>
      </c>
      <c r="I106">
        <v>0</v>
      </c>
      <c r="J106">
        <v>0</v>
      </c>
      <c r="K106">
        <v>9.08</v>
      </c>
      <c r="L106" t="s">
        <v>61</v>
      </c>
      <c r="M106">
        <v>305</v>
      </c>
      <c r="N106">
        <v>33.6</v>
      </c>
      <c r="O106" t="s">
        <v>62</v>
      </c>
      <c r="P106" t="s">
        <v>65</v>
      </c>
      <c r="Q106">
        <v>0</v>
      </c>
      <c r="R106">
        <v>0</v>
      </c>
    </row>
    <row r="107" spans="1:18" x14ac:dyDescent="0.35">
      <c r="A107" t="s">
        <v>56</v>
      </c>
      <c r="B107" t="s">
        <v>57</v>
      </c>
      <c r="C107" t="s">
        <v>70</v>
      </c>
      <c r="D107">
        <v>106660730</v>
      </c>
      <c r="E107" t="s">
        <v>584</v>
      </c>
      <c r="F107" t="s">
        <v>72</v>
      </c>
      <c r="G107">
        <v>0.02</v>
      </c>
      <c r="H107">
        <v>9.06</v>
      </c>
      <c r="I107">
        <v>0</v>
      </c>
      <c r="J107">
        <v>0</v>
      </c>
      <c r="K107">
        <v>9.08</v>
      </c>
      <c r="L107" t="s">
        <v>61</v>
      </c>
      <c r="M107">
        <v>305</v>
      </c>
      <c r="N107">
        <v>33.6</v>
      </c>
      <c r="O107" t="s">
        <v>62</v>
      </c>
      <c r="P107" t="s">
        <v>66</v>
      </c>
      <c r="Q107">
        <v>0</v>
      </c>
      <c r="R107">
        <v>0</v>
      </c>
    </row>
    <row r="108" spans="1:18" x14ac:dyDescent="0.35">
      <c r="A108" t="s">
        <v>56</v>
      </c>
      <c r="B108" t="s">
        <v>57</v>
      </c>
      <c r="C108" t="s">
        <v>70</v>
      </c>
      <c r="D108">
        <v>106660730</v>
      </c>
      <c r="E108" t="s">
        <v>584</v>
      </c>
      <c r="F108" t="s">
        <v>72</v>
      </c>
      <c r="G108">
        <v>0.02</v>
      </c>
      <c r="H108">
        <v>9.06</v>
      </c>
      <c r="I108">
        <v>0</v>
      </c>
      <c r="J108">
        <v>0</v>
      </c>
      <c r="K108">
        <v>9.08</v>
      </c>
      <c r="L108" t="s">
        <v>61</v>
      </c>
      <c r="M108">
        <v>305</v>
      </c>
      <c r="N108">
        <v>33.6</v>
      </c>
      <c r="O108" t="s">
        <v>62</v>
      </c>
      <c r="P108" t="s">
        <v>67</v>
      </c>
      <c r="Q108">
        <v>1425</v>
      </c>
      <c r="R108">
        <v>157</v>
      </c>
    </row>
    <row r="109" spans="1:18" x14ac:dyDescent="0.35">
      <c r="A109" t="s">
        <v>56</v>
      </c>
      <c r="B109" t="s">
        <v>57</v>
      </c>
      <c r="C109" t="s">
        <v>70</v>
      </c>
      <c r="D109">
        <v>106660730</v>
      </c>
      <c r="E109" t="s">
        <v>584</v>
      </c>
      <c r="F109" t="s">
        <v>72</v>
      </c>
      <c r="G109">
        <v>0.02</v>
      </c>
      <c r="H109">
        <v>9.06</v>
      </c>
      <c r="I109">
        <v>0</v>
      </c>
      <c r="J109">
        <v>0</v>
      </c>
      <c r="K109">
        <v>9.08</v>
      </c>
      <c r="L109" t="s">
        <v>61</v>
      </c>
      <c r="M109">
        <v>305</v>
      </c>
      <c r="N109">
        <v>33.6</v>
      </c>
      <c r="O109" t="s">
        <v>68</v>
      </c>
      <c r="P109" t="s">
        <v>67</v>
      </c>
      <c r="Q109">
        <v>305</v>
      </c>
      <c r="R109">
        <v>33.6</v>
      </c>
    </row>
    <row r="110" spans="1:18" x14ac:dyDescent="0.35">
      <c r="A110" t="s">
        <v>56</v>
      </c>
      <c r="B110" t="s">
        <v>57</v>
      </c>
      <c r="C110" t="s">
        <v>70</v>
      </c>
      <c r="D110">
        <v>107102430</v>
      </c>
      <c r="E110" t="s">
        <v>90</v>
      </c>
      <c r="F110" t="s">
        <v>72</v>
      </c>
      <c r="G110">
        <v>0.42</v>
      </c>
      <c r="H110">
        <v>9.86</v>
      </c>
      <c r="I110">
        <v>0</v>
      </c>
      <c r="J110">
        <v>0</v>
      </c>
      <c r="K110">
        <v>10.28</v>
      </c>
      <c r="L110" t="s">
        <v>61</v>
      </c>
      <c r="M110">
        <v>443</v>
      </c>
      <c r="N110">
        <v>43.08</v>
      </c>
      <c r="O110" t="s">
        <v>62</v>
      </c>
      <c r="P110" t="s">
        <v>63</v>
      </c>
      <c r="Q110">
        <v>492</v>
      </c>
      <c r="R110">
        <v>1162.2</v>
      </c>
    </row>
    <row r="111" spans="1:18" x14ac:dyDescent="0.35">
      <c r="A111" t="s">
        <v>56</v>
      </c>
      <c r="B111" t="s">
        <v>57</v>
      </c>
      <c r="C111" t="s">
        <v>70</v>
      </c>
      <c r="D111">
        <v>107102430</v>
      </c>
      <c r="E111" t="s">
        <v>90</v>
      </c>
      <c r="F111" t="s">
        <v>72</v>
      </c>
      <c r="G111">
        <v>0.42</v>
      </c>
      <c r="H111">
        <v>9.86</v>
      </c>
      <c r="I111">
        <v>0</v>
      </c>
      <c r="J111">
        <v>0</v>
      </c>
      <c r="K111">
        <v>10.28</v>
      </c>
      <c r="L111" t="s">
        <v>61</v>
      </c>
      <c r="M111">
        <v>443</v>
      </c>
      <c r="N111">
        <v>43.08</v>
      </c>
      <c r="O111" t="s">
        <v>62</v>
      </c>
      <c r="P111" t="s">
        <v>64</v>
      </c>
      <c r="Q111">
        <v>1636</v>
      </c>
      <c r="R111">
        <v>165.93</v>
      </c>
    </row>
    <row r="112" spans="1:18" x14ac:dyDescent="0.35">
      <c r="A112" t="s">
        <v>56</v>
      </c>
      <c r="B112" t="s">
        <v>57</v>
      </c>
      <c r="C112" t="s">
        <v>70</v>
      </c>
      <c r="D112">
        <v>107102430</v>
      </c>
      <c r="E112" t="s">
        <v>90</v>
      </c>
      <c r="F112" t="s">
        <v>72</v>
      </c>
      <c r="G112">
        <v>0.42</v>
      </c>
      <c r="H112">
        <v>9.86</v>
      </c>
      <c r="I112">
        <v>0</v>
      </c>
      <c r="J112">
        <v>0</v>
      </c>
      <c r="K112">
        <v>10.28</v>
      </c>
      <c r="L112" t="s">
        <v>61</v>
      </c>
      <c r="M112">
        <v>443</v>
      </c>
      <c r="N112">
        <v>43.08</v>
      </c>
      <c r="O112" t="s">
        <v>62</v>
      </c>
      <c r="P112" t="s">
        <v>65</v>
      </c>
      <c r="Q112">
        <v>0</v>
      </c>
      <c r="R112">
        <v>0</v>
      </c>
    </row>
    <row r="113" spans="1:18" x14ac:dyDescent="0.35">
      <c r="A113" t="s">
        <v>56</v>
      </c>
      <c r="B113" t="s">
        <v>57</v>
      </c>
      <c r="C113" t="s">
        <v>70</v>
      </c>
      <c r="D113">
        <v>107102430</v>
      </c>
      <c r="E113" t="s">
        <v>90</v>
      </c>
      <c r="F113" t="s">
        <v>72</v>
      </c>
      <c r="G113">
        <v>0.42</v>
      </c>
      <c r="H113">
        <v>9.86</v>
      </c>
      <c r="I113">
        <v>0</v>
      </c>
      <c r="J113">
        <v>0</v>
      </c>
      <c r="K113">
        <v>10.28</v>
      </c>
      <c r="L113" t="s">
        <v>61</v>
      </c>
      <c r="M113">
        <v>443</v>
      </c>
      <c r="N113">
        <v>43.08</v>
      </c>
      <c r="O113" t="s">
        <v>62</v>
      </c>
      <c r="P113" t="s">
        <v>66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70</v>
      </c>
      <c r="D114">
        <v>107102430</v>
      </c>
      <c r="E114" t="s">
        <v>90</v>
      </c>
      <c r="F114" t="s">
        <v>72</v>
      </c>
      <c r="G114">
        <v>0.42</v>
      </c>
      <c r="H114">
        <v>9.86</v>
      </c>
      <c r="I114">
        <v>0</v>
      </c>
      <c r="J114">
        <v>0</v>
      </c>
      <c r="K114">
        <v>10.28</v>
      </c>
      <c r="L114" t="s">
        <v>61</v>
      </c>
      <c r="M114">
        <v>443</v>
      </c>
      <c r="N114">
        <v>43.08</v>
      </c>
      <c r="O114" t="s">
        <v>62</v>
      </c>
      <c r="P114" t="s">
        <v>67</v>
      </c>
      <c r="Q114">
        <v>2128</v>
      </c>
      <c r="R114">
        <v>206.94</v>
      </c>
    </row>
    <row r="115" spans="1:18" x14ac:dyDescent="0.35">
      <c r="A115" t="s">
        <v>56</v>
      </c>
      <c r="B115" t="s">
        <v>57</v>
      </c>
      <c r="C115" t="s">
        <v>70</v>
      </c>
      <c r="D115">
        <v>107102430</v>
      </c>
      <c r="E115" t="s">
        <v>90</v>
      </c>
      <c r="F115" t="s">
        <v>72</v>
      </c>
      <c r="G115">
        <v>0.42</v>
      </c>
      <c r="H115">
        <v>9.86</v>
      </c>
      <c r="I115">
        <v>0</v>
      </c>
      <c r="J115">
        <v>0</v>
      </c>
      <c r="K115">
        <v>10.28</v>
      </c>
      <c r="L115" t="s">
        <v>61</v>
      </c>
      <c r="M115">
        <v>443</v>
      </c>
      <c r="N115">
        <v>43.08</v>
      </c>
      <c r="O115" t="s">
        <v>68</v>
      </c>
      <c r="P115" t="s">
        <v>67</v>
      </c>
      <c r="Q115">
        <v>443</v>
      </c>
      <c r="R115">
        <v>43.08</v>
      </c>
    </row>
    <row r="116" spans="1:18" x14ac:dyDescent="0.35">
      <c r="A116" t="s">
        <v>56</v>
      </c>
      <c r="B116" t="s">
        <v>57</v>
      </c>
      <c r="C116" t="s">
        <v>58</v>
      </c>
      <c r="D116">
        <v>107221179</v>
      </c>
      <c r="E116" t="s">
        <v>91</v>
      </c>
      <c r="F116" t="s">
        <v>72</v>
      </c>
      <c r="G116">
        <v>0.14000000000000001</v>
      </c>
      <c r="H116">
        <v>9.6</v>
      </c>
      <c r="I116">
        <v>0</v>
      </c>
      <c r="J116">
        <v>0</v>
      </c>
      <c r="K116">
        <v>9.73</v>
      </c>
      <c r="L116" t="s">
        <v>61</v>
      </c>
      <c r="M116">
        <v>421</v>
      </c>
      <c r="N116">
        <v>43.25</v>
      </c>
      <c r="O116" t="s">
        <v>62</v>
      </c>
      <c r="P116" t="s">
        <v>63</v>
      </c>
      <c r="Q116">
        <v>172</v>
      </c>
      <c r="R116">
        <v>1253.44</v>
      </c>
    </row>
    <row r="117" spans="1:18" x14ac:dyDescent="0.35">
      <c r="A117" t="s">
        <v>56</v>
      </c>
      <c r="B117" t="s">
        <v>57</v>
      </c>
      <c r="C117" t="s">
        <v>58</v>
      </c>
      <c r="D117">
        <v>107221179</v>
      </c>
      <c r="E117" t="s">
        <v>91</v>
      </c>
      <c r="F117" t="s">
        <v>72</v>
      </c>
      <c r="G117">
        <v>0.14000000000000001</v>
      </c>
      <c r="H117">
        <v>9.6</v>
      </c>
      <c r="I117">
        <v>0</v>
      </c>
      <c r="J117">
        <v>0</v>
      </c>
      <c r="K117">
        <v>9.73</v>
      </c>
      <c r="L117" t="s">
        <v>61</v>
      </c>
      <c r="M117">
        <v>421</v>
      </c>
      <c r="N117">
        <v>43.25</v>
      </c>
      <c r="O117" t="s">
        <v>62</v>
      </c>
      <c r="P117" t="s">
        <v>64</v>
      </c>
      <c r="Q117">
        <v>1716</v>
      </c>
      <c r="R117">
        <v>178.83</v>
      </c>
    </row>
    <row r="118" spans="1:18" x14ac:dyDescent="0.35">
      <c r="A118" t="s">
        <v>56</v>
      </c>
      <c r="B118" t="s">
        <v>57</v>
      </c>
      <c r="C118" t="s">
        <v>58</v>
      </c>
      <c r="D118">
        <v>107221179</v>
      </c>
      <c r="E118" t="s">
        <v>91</v>
      </c>
      <c r="F118" t="s">
        <v>72</v>
      </c>
      <c r="G118">
        <v>0.14000000000000001</v>
      </c>
      <c r="H118">
        <v>9.6</v>
      </c>
      <c r="I118">
        <v>0</v>
      </c>
      <c r="J118">
        <v>0</v>
      </c>
      <c r="K118">
        <v>9.73</v>
      </c>
      <c r="L118" t="s">
        <v>61</v>
      </c>
      <c r="M118">
        <v>421</v>
      </c>
      <c r="N118">
        <v>43.25</v>
      </c>
      <c r="O118" t="s">
        <v>62</v>
      </c>
      <c r="P118" t="s">
        <v>65</v>
      </c>
      <c r="Q118">
        <v>0</v>
      </c>
      <c r="R118">
        <v>0</v>
      </c>
    </row>
    <row r="119" spans="1:18" x14ac:dyDescent="0.35">
      <c r="A119" t="s">
        <v>56</v>
      </c>
      <c r="B119" t="s">
        <v>57</v>
      </c>
      <c r="C119" t="s">
        <v>58</v>
      </c>
      <c r="D119">
        <v>107221179</v>
      </c>
      <c r="E119" t="s">
        <v>91</v>
      </c>
      <c r="F119" t="s">
        <v>72</v>
      </c>
      <c r="G119">
        <v>0.14000000000000001</v>
      </c>
      <c r="H119">
        <v>9.6</v>
      </c>
      <c r="I119">
        <v>0</v>
      </c>
      <c r="J119">
        <v>0</v>
      </c>
      <c r="K119">
        <v>9.73</v>
      </c>
      <c r="L119" t="s">
        <v>61</v>
      </c>
      <c r="M119">
        <v>421</v>
      </c>
      <c r="N119">
        <v>43.25</v>
      </c>
      <c r="O119" t="s">
        <v>62</v>
      </c>
      <c r="P119" t="s">
        <v>66</v>
      </c>
      <c r="Q119">
        <v>0</v>
      </c>
      <c r="R119">
        <v>0</v>
      </c>
    </row>
    <row r="120" spans="1:18" x14ac:dyDescent="0.35">
      <c r="A120" t="s">
        <v>56</v>
      </c>
      <c r="B120" t="s">
        <v>57</v>
      </c>
      <c r="C120" t="s">
        <v>58</v>
      </c>
      <c r="D120">
        <v>107221179</v>
      </c>
      <c r="E120" t="s">
        <v>91</v>
      </c>
      <c r="F120" t="s">
        <v>72</v>
      </c>
      <c r="G120">
        <v>0.14000000000000001</v>
      </c>
      <c r="H120">
        <v>9.6</v>
      </c>
      <c r="I120">
        <v>0</v>
      </c>
      <c r="J120">
        <v>0</v>
      </c>
      <c r="K120">
        <v>9.73</v>
      </c>
      <c r="L120" t="s">
        <v>61</v>
      </c>
      <c r="M120">
        <v>421</v>
      </c>
      <c r="N120">
        <v>43.25</v>
      </c>
      <c r="O120" t="s">
        <v>62</v>
      </c>
      <c r="P120" t="s">
        <v>67</v>
      </c>
      <c r="Q120">
        <v>1888</v>
      </c>
      <c r="R120">
        <v>193.97</v>
      </c>
    </row>
    <row r="121" spans="1:18" x14ac:dyDescent="0.35">
      <c r="A121" t="s">
        <v>56</v>
      </c>
      <c r="B121" t="s">
        <v>57</v>
      </c>
      <c r="C121" t="s">
        <v>58</v>
      </c>
      <c r="D121">
        <v>107221179</v>
      </c>
      <c r="E121" t="s">
        <v>91</v>
      </c>
      <c r="F121" t="s">
        <v>72</v>
      </c>
      <c r="G121">
        <v>0.14000000000000001</v>
      </c>
      <c r="H121">
        <v>9.6</v>
      </c>
      <c r="I121">
        <v>0</v>
      </c>
      <c r="J121">
        <v>0</v>
      </c>
      <c r="K121">
        <v>9.73</v>
      </c>
      <c r="L121" t="s">
        <v>61</v>
      </c>
      <c r="M121">
        <v>421</v>
      </c>
      <c r="N121">
        <v>43.25</v>
      </c>
      <c r="O121" t="s">
        <v>68</v>
      </c>
      <c r="P121" t="s">
        <v>67</v>
      </c>
      <c r="Q121">
        <v>421</v>
      </c>
      <c r="R121">
        <v>43.25</v>
      </c>
    </row>
    <row r="122" spans="1:18" x14ac:dyDescent="0.35">
      <c r="A122" t="s">
        <v>56</v>
      </c>
      <c r="B122" t="s">
        <v>57</v>
      </c>
      <c r="C122" t="s">
        <v>70</v>
      </c>
      <c r="D122">
        <v>107221222</v>
      </c>
      <c r="E122" t="s">
        <v>94</v>
      </c>
      <c r="F122" t="s">
        <v>72</v>
      </c>
      <c r="G122">
        <v>0.09</v>
      </c>
      <c r="H122">
        <v>9.9600000000000009</v>
      </c>
      <c r="I122">
        <v>0.02</v>
      </c>
      <c r="J122">
        <v>0</v>
      </c>
      <c r="K122">
        <v>10.08</v>
      </c>
      <c r="L122" t="s">
        <v>61</v>
      </c>
      <c r="M122">
        <v>449</v>
      </c>
      <c r="N122">
        <v>44.53</v>
      </c>
      <c r="O122" t="s">
        <v>62</v>
      </c>
      <c r="P122" t="s">
        <v>63</v>
      </c>
      <c r="Q122">
        <v>154</v>
      </c>
      <c r="R122">
        <v>1630.59</v>
      </c>
    </row>
    <row r="123" spans="1:18" x14ac:dyDescent="0.35">
      <c r="A123" t="s">
        <v>56</v>
      </c>
      <c r="B123" t="s">
        <v>57</v>
      </c>
      <c r="C123" t="s">
        <v>70</v>
      </c>
      <c r="D123">
        <v>107221222</v>
      </c>
      <c r="E123" t="s">
        <v>94</v>
      </c>
      <c r="F123" t="s">
        <v>72</v>
      </c>
      <c r="G123">
        <v>0.09</v>
      </c>
      <c r="H123">
        <v>9.9600000000000009</v>
      </c>
      <c r="I123">
        <v>0.02</v>
      </c>
      <c r="J123">
        <v>0</v>
      </c>
      <c r="K123">
        <v>10.08</v>
      </c>
      <c r="L123" t="s">
        <v>61</v>
      </c>
      <c r="M123">
        <v>449</v>
      </c>
      <c r="N123">
        <v>44.53</v>
      </c>
      <c r="O123" t="s">
        <v>62</v>
      </c>
      <c r="P123" t="s">
        <v>64</v>
      </c>
      <c r="Q123">
        <v>2314</v>
      </c>
      <c r="R123">
        <v>232.23</v>
      </c>
    </row>
    <row r="124" spans="1:18" x14ac:dyDescent="0.35">
      <c r="A124" t="s">
        <v>56</v>
      </c>
      <c r="B124" t="s">
        <v>57</v>
      </c>
      <c r="C124" t="s">
        <v>70</v>
      </c>
      <c r="D124">
        <v>107221222</v>
      </c>
      <c r="E124" t="s">
        <v>94</v>
      </c>
      <c r="F124" t="s">
        <v>72</v>
      </c>
      <c r="G124">
        <v>0.09</v>
      </c>
      <c r="H124">
        <v>9.9600000000000009</v>
      </c>
      <c r="I124">
        <v>0.02</v>
      </c>
      <c r="J124">
        <v>0</v>
      </c>
      <c r="K124">
        <v>10.08</v>
      </c>
      <c r="L124" t="s">
        <v>61</v>
      </c>
      <c r="M124">
        <v>449</v>
      </c>
      <c r="N124">
        <v>44.53</v>
      </c>
      <c r="O124" t="s">
        <v>62</v>
      </c>
      <c r="P124" t="s">
        <v>65</v>
      </c>
      <c r="Q124">
        <v>4</v>
      </c>
      <c r="R124">
        <v>165.52</v>
      </c>
    </row>
    <row r="125" spans="1:18" x14ac:dyDescent="0.35">
      <c r="A125" t="s">
        <v>56</v>
      </c>
      <c r="B125" t="s">
        <v>57</v>
      </c>
      <c r="C125" t="s">
        <v>70</v>
      </c>
      <c r="D125">
        <v>107221222</v>
      </c>
      <c r="E125" t="s">
        <v>94</v>
      </c>
      <c r="F125" t="s">
        <v>72</v>
      </c>
      <c r="G125">
        <v>0.09</v>
      </c>
      <c r="H125">
        <v>9.9600000000000009</v>
      </c>
      <c r="I125">
        <v>0.02</v>
      </c>
      <c r="J125">
        <v>0</v>
      </c>
      <c r="K125">
        <v>10.08</v>
      </c>
      <c r="L125" t="s">
        <v>61</v>
      </c>
      <c r="M125">
        <v>449</v>
      </c>
      <c r="N125">
        <v>44.53</v>
      </c>
      <c r="O125" t="s">
        <v>62</v>
      </c>
      <c r="P125" t="s">
        <v>66</v>
      </c>
      <c r="Q125">
        <v>0</v>
      </c>
      <c r="R125">
        <v>0</v>
      </c>
    </row>
    <row r="126" spans="1:18" x14ac:dyDescent="0.35">
      <c r="A126" t="s">
        <v>56</v>
      </c>
      <c r="B126" t="s">
        <v>57</v>
      </c>
      <c r="C126" t="s">
        <v>70</v>
      </c>
      <c r="D126">
        <v>107221222</v>
      </c>
      <c r="E126" t="s">
        <v>94</v>
      </c>
      <c r="F126" t="s">
        <v>72</v>
      </c>
      <c r="G126">
        <v>0.09</v>
      </c>
      <c r="H126">
        <v>9.9600000000000009</v>
      </c>
      <c r="I126">
        <v>0.02</v>
      </c>
      <c r="J126">
        <v>0</v>
      </c>
      <c r="K126">
        <v>10.08</v>
      </c>
      <c r="L126" t="s">
        <v>61</v>
      </c>
      <c r="M126">
        <v>449</v>
      </c>
      <c r="N126">
        <v>44.53</v>
      </c>
      <c r="O126" t="s">
        <v>62</v>
      </c>
      <c r="P126" t="s">
        <v>67</v>
      </c>
      <c r="Q126">
        <v>2472</v>
      </c>
      <c r="R126">
        <v>245.16</v>
      </c>
    </row>
    <row r="127" spans="1:18" x14ac:dyDescent="0.35">
      <c r="A127" t="s">
        <v>56</v>
      </c>
      <c r="B127" t="s">
        <v>57</v>
      </c>
      <c r="C127" t="s">
        <v>70</v>
      </c>
      <c r="D127">
        <v>107221222</v>
      </c>
      <c r="E127" t="s">
        <v>94</v>
      </c>
      <c r="F127" t="s">
        <v>72</v>
      </c>
      <c r="G127">
        <v>0.09</v>
      </c>
      <c r="H127">
        <v>9.9600000000000009</v>
      </c>
      <c r="I127">
        <v>0.02</v>
      </c>
      <c r="J127">
        <v>0</v>
      </c>
      <c r="K127">
        <v>10.08</v>
      </c>
      <c r="L127" t="s">
        <v>61</v>
      </c>
      <c r="M127">
        <v>449</v>
      </c>
      <c r="N127">
        <v>44.53</v>
      </c>
      <c r="O127" t="s">
        <v>68</v>
      </c>
      <c r="P127" t="s">
        <v>67</v>
      </c>
      <c r="Q127">
        <v>449</v>
      </c>
      <c r="R127">
        <v>44.53</v>
      </c>
    </row>
    <row r="128" spans="1:18" x14ac:dyDescent="0.35">
      <c r="A128" t="s">
        <v>56</v>
      </c>
      <c r="B128" t="s">
        <v>57</v>
      </c>
      <c r="C128" t="s">
        <v>58</v>
      </c>
      <c r="D128">
        <v>107221237</v>
      </c>
      <c r="E128" t="s">
        <v>97</v>
      </c>
      <c r="F128" t="s">
        <v>72</v>
      </c>
      <c r="G128">
        <v>0.4</v>
      </c>
      <c r="H128">
        <v>8.35</v>
      </c>
      <c r="I128">
        <v>0</v>
      </c>
      <c r="J128">
        <v>0</v>
      </c>
      <c r="K128">
        <v>8.75</v>
      </c>
      <c r="L128" t="s">
        <v>61</v>
      </c>
      <c r="M128">
        <v>296</v>
      </c>
      <c r="N128">
        <v>33.83</v>
      </c>
      <c r="O128" t="s">
        <v>62</v>
      </c>
      <c r="P128" t="s">
        <v>63</v>
      </c>
      <c r="Q128">
        <v>412</v>
      </c>
      <c r="R128">
        <v>1034.31</v>
      </c>
    </row>
    <row r="129" spans="1:18" x14ac:dyDescent="0.35">
      <c r="A129" t="s">
        <v>56</v>
      </c>
      <c r="B129" t="s">
        <v>57</v>
      </c>
      <c r="C129" t="s">
        <v>58</v>
      </c>
      <c r="D129">
        <v>107221237</v>
      </c>
      <c r="E129" t="s">
        <v>97</v>
      </c>
      <c r="F129" t="s">
        <v>72</v>
      </c>
      <c r="G129">
        <v>0.4</v>
      </c>
      <c r="H129">
        <v>8.35</v>
      </c>
      <c r="I129">
        <v>0</v>
      </c>
      <c r="J129">
        <v>0</v>
      </c>
      <c r="K129">
        <v>8.75</v>
      </c>
      <c r="L129" t="s">
        <v>61</v>
      </c>
      <c r="M129">
        <v>296</v>
      </c>
      <c r="N129">
        <v>33.83</v>
      </c>
      <c r="O129" t="s">
        <v>62</v>
      </c>
      <c r="P129" t="s">
        <v>64</v>
      </c>
      <c r="Q129">
        <v>1233</v>
      </c>
      <c r="R129">
        <v>147.63999999999999</v>
      </c>
    </row>
    <row r="130" spans="1:18" x14ac:dyDescent="0.35">
      <c r="A130" t="s">
        <v>56</v>
      </c>
      <c r="B130" t="s">
        <v>57</v>
      </c>
      <c r="C130" t="s">
        <v>58</v>
      </c>
      <c r="D130">
        <v>107221237</v>
      </c>
      <c r="E130" t="s">
        <v>97</v>
      </c>
      <c r="F130" t="s">
        <v>72</v>
      </c>
      <c r="G130">
        <v>0.4</v>
      </c>
      <c r="H130">
        <v>8.35</v>
      </c>
      <c r="I130">
        <v>0</v>
      </c>
      <c r="J130">
        <v>0</v>
      </c>
      <c r="K130">
        <v>8.75</v>
      </c>
      <c r="L130" t="s">
        <v>61</v>
      </c>
      <c r="M130">
        <v>296</v>
      </c>
      <c r="N130">
        <v>33.83</v>
      </c>
      <c r="O130" t="s">
        <v>62</v>
      </c>
      <c r="P130" t="s">
        <v>65</v>
      </c>
      <c r="Q130">
        <v>0</v>
      </c>
      <c r="R130">
        <v>0</v>
      </c>
    </row>
    <row r="131" spans="1:18" x14ac:dyDescent="0.35">
      <c r="A131" t="s">
        <v>56</v>
      </c>
      <c r="B131" t="s">
        <v>57</v>
      </c>
      <c r="C131" t="s">
        <v>58</v>
      </c>
      <c r="D131">
        <v>107221237</v>
      </c>
      <c r="E131" t="s">
        <v>97</v>
      </c>
      <c r="F131" t="s">
        <v>72</v>
      </c>
      <c r="G131">
        <v>0.4</v>
      </c>
      <c r="H131">
        <v>8.35</v>
      </c>
      <c r="I131">
        <v>0</v>
      </c>
      <c r="J131">
        <v>0</v>
      </c>
      <c r="K131">
        <v>8.75</v>
      </c>
      <c r="L131" t="s">
        <v>61</v>
      </c>
      <c r="M131">
        <v>296</v>
      </c>
      <c r="N131">
        <v>33.83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58</v>
      </c>
      <c r="D132">
        <v>107221237</v>
      </c>
      <c r="E132" t="s">
        <v>97</v>
      </c>
      <c r="F132" t="s">
        <v>72</v>
      </c>
      <c r="G132">
        <v>0.4</v>
      </c>
      <c r="H132">
        <v>8.35</v>
      </c>
      <c r="I132">
        <v>0</v>
      </c>
      <c r="J132">
        <v>0</v>
      </c>
      <c r="K132">
        <v>8.75</v>
      </c>
      <c r="L132" t="s">
        <v>61</v>
      </c>
      <c r="M132">
        <v>296</v>
      </c>
      <c r="N132">
        <v>33.83</v>
      </c>
      <c r="O132" t="s">
        <v>62</v>
      </c>
      <c r="P132" t="s">
        <v>67</v>
      </c>
      <c r="Q132">
        <v>1645</v>
      </c>
      <c r="R132">
        <v>188</v>
      </c>
    </row>
    <row r="133" spans="1:18" x14ac:dyDescent="0.35">
      <c r="A133" t="s">
        <v>56</v>
      </c>
      <c r="B133" t="s">
        <v>57</v>
      </c>
      <c r="C133" t="s">
        <v>58</v>
      </c>
      <c r="D133">
        <v>107221237</v>
      </c>
      <c r="E133" t="s">
        <v>97</v>
      </c>
      <c r="F133" t="s">
        <v>72</v>
      </c>
      <c r="G133">
        <v>0.4</v>
      </c>
      <c r="H133">
        <v>8.35</v>
      </c>
      <c r="I133">
        <v>0</v>
      </c>
      <c r="J133">
        <v>0</v>
      </c>
      <c r="K133">
        <v>8.75</v>
      </c>
      <c r="L133" t="s">
        <v>61</v>
      </c>
      <c r="M133">
        <v>296</v>
      </c>
      <c r="N133">
        <v>33.83</v>
      </c>
      <c r="O133" t="s">
        <v>68</v>
      </c>
      <c r="P133" t="s">
        <v>67</v>
      </c>
      <c r="Q133">
        <v>296</v>
      </c>
      <c r="R133">
        <v>33.83</v>
      </c>
    </row>
    <row r="134" spans="1:18" x14ac:dyDescent="0.35">
      <c r="A134" t="s">
        <v>56</v>
      </c>
      <c r="B134" t="s">
        <v>57</v>
      </c>
      <c r="C134" t="s">
        <v>58</v>
      </c>
      <c r="D134">
        <v>107232886</v>
      </c>
      <c r="E134" t="s">
        <v>587</v>
      </c>
      <c r="F134" t="s">
        <v>72</v>
      </c>
      <c r="G134">
        <v>0.56000000000000005</v>
      </c>
      <c r="H134">
        <v>6.82</v>
      </c>
      <c r="I134">
        <v>0</v>
      </c>
      <c r="J134">
        <v>0</v>
      </c>
      <c r="K134">
        <v>7.37</v>
      </c>
      <c r="L134" t="s">
        <v>61</v>
      </c>
      <c r="M134">
        <v>118</v>
      </c>
      <c r="N134">
        <v>16</v>
      </c>
      <c r="O134" t="s">
        <v>62</v>
      </c>
      <c r="P134" t="s">
        <v>63</v>
      </c>
      <c r="Q134">
        <v>311</v>
      </c>
      <c r="R134">
        <v>558.96</v>
      </c>
    </row>
    <row r="135" spans="1:18" x14ac:dyDescent="0.35">
      <c r="A135" t="s">
        <v>56</v>
      </c>
      <c r="B135" t="s">
        <v>57</v>
      </c>
      <c r="C135" t="s">
        <v>58</v>
      </c>
      <c r="D135">
        <v>107232886</v>
      </c>
      <c r="E135" t="s">
        <v>587</v>
      </c>
      <c r="F135" t="s">
        <v>72</v>
      </c>
      <c r="G135">
        <v>0.56000000000000005</v>
      </c>
      <c r="H135">
        <v>6.82</v>
      </c>
      <c r="I135">
        <v>0</v>
      </c>
      <c r="J135">
        <v>0</v>
      </c>
      <c r="K135">
        <v>7.37</v>
      </c>
      <c r="L135" t="s">
        <v>61</v>
      </c>
      <c r="M135">
        <v>118</v>
      </c>
      <c r="N135">
        <v>16</v>
      </c>
      <c r="O135" t="s">
        <v>62</v>
      </c>
      <c r="P135" t="s">
        <v>64</v>
      </c>
      <c r="Q135">
        <v>544</v>
      </c>
      <c r="R135">
        <v>79.8</v>
      </c>
    </row>
    <row r="136" spans="1:18" x14ac:dyDescent="0.35">
      <c r="A136" t="s">
        <v>56</v>
      </c>
      <c r="B136" t="s">
        <v>57</v>
      </c>
      <c r="C136" t="s">
        <v>58</v>
      </c>
      <c r="D136">
        <v>107232886</v>
      </c>
      <c r="E136" t="s">
        <v>587</v>
      </c>
      <c r="F136" t="s">
        <v>72</v>
      </c>
      <c r="G136">
        <v>0.56000000000000005</v>
      </c>
      <c r="H136">
        <v>6.82</v>
      </c>
      <c r="I136">
        <v>0</v>
      </c>
      <c r="J136">
        <v>0</v>
      </c>
      <c r="K136">
        <v>7.37</v>
      </c>
      <c r="L136" t="s">
        <v>61</v>
      </c>
      <c r="M136">
        <v>118</v>
      </c>
      <c r="N136">
        <v>16</v>
      </c>
      <c r="O136" t="s">
        <v>62</v>
      </c>
      <c r="P136" t="s">
        <v>65</v>
      </c>
      <c r="Q136">
        <v>0</v>
      </c>
      <c r="R136">
        <v>0</v>
      </c>
    </row>
    <row r="137" spans="1:18" x14ac:dyDescent="0.35">
      <c r="A137" t="s">
        <v>56</v>
      </c>
      <c r="B137" t="s">
        <v>57</v>
      </c>
      <c r="C137" t="s">
        <v>58</v>
      </c>
      <c r="D137">
        <v>107232886</v>
      </c>
      <c r="E137" t="s">
        <v>587</v>
      </c>
      <c r="F137" t="s">
        <v>72</v>
      </c>
      <c r="G137">
        <v>0.56000000000000005</v>
      </c>
      <c r="H137">
        <v>6.82</v>
      </c>
      <c r="I137">
        <v>0</v>
      </c>
      <c r="J137">
        <v>0</v>
      </c>
      <c r="K137">
        <v>7.37</v>
      </c>
      <c r="L137" t="s">
        <v>61</v>
      </c>
      <c r="M137">
        <v>118</v>
      </c>
      <c r="N137">
        <v>16</v>
      </c>
      <c r="O137" t="s">
        <v>62</v>
      </c>
      <c r="P137" t="s">
        <v>66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58</v>
      </c>
      <c r="D138">
        <v>107232886</v>
      </c>
      <c r="E138" t="s">
        <v>587</v>
      </c>
      <c r="F138" t="s">
        <v>72</v>
      </c>
      <c r="G138">
        <v>0.56000000000000005</v>
      </c>
      <c r="H138">
        <v>6.82</v>
      </c>
      <c r="I138">
        <v>0</v>
      </c>
      <c r="J138">
        <v>0</v>
      </c>
      <c r="K138">
        <v>7.37</v>
      </c>
      <c r="L138" t="s">
        <v>61</v>
      </c>
      <c r="M138">
        <v>118</v>
      </c>
      <c r="N138">
        <v>16</v>
      </c>
      <c r="O138" t="s">
        <v>62</v>
      </c>
      <c r="P138" t="s">
        <v>67</v>
      </c>
      <c r="Q138">
        <v>855</v>
      </c>
      <c r="R138">
        <v>115.95</v>
      </c>
    </row>
    <row r="139" spans="1:18" x14ac:dyDescent="0.35">
      <c r="A139" t="s">
        <v>56</v>
      </c>
      <c r="B139" t="s">
        <v>57</v>
      </c>
      <c r="C139" t="s">
        <v>58</v>
      </c>
      <c r="D139">
        <v>107232886</v>
      </c>
      <c r="E139" t="s">
        <v>587</v>
      </c>
      <c r="F139" t="s">
        <v>72</v>
      </c>
      <c r="G139">
        <v>0.56000000000000005</v>
      </c>
      <c r="H139">
        <v>6.82</v>
      </c>
      <c r="I139">
        <v>0</v>
      </c>
      <c r="J139">
        <v>0</v>
      </c>
      <c r="K139">
        <v>7.37</v>
      </c>
      <c r="L139" t="s">
        <v>61</v>
      </c>
      <c r="M139">
        <v>118</v>
      </c>
      <c r="N139">
        <v>16</v>
      </c>
      <c r="O139" t="s">
        <v>68</v>
      </c>
      <c r="P139" t="s">
        <v>67</v>
      </c>
      <c r="Q139">
        <v>118</v>
      </c>
      <c r="R139">
        <v>16</v>
      </c>
    </row>
    <row r="140" spans="1:18" x14ac:dyDescent="0.35">
      <c r="A140" t="s">
        <v>56</v>
      </c>
      <c r="B140" t="s">
        <v>57</v>
      </c>
      <c r="C140" t="s">
        <v>70</v>
      </c>
      <c r="D140">
        <v>107232917</v>
      </c>
      <c r="E140" t="s">
        <v>588</v>
      </c>
      <c r="F140" t="s">
        <v>72</v>
      </c>
      <c r="G140">
        <v>0.42</v>
      </c>
      <c r="H140">
        <v>9.56</v>
      </c>
      <c r="I140">
        <v>0</v>
      </c>
      <c r="J140">
        <v>0</v>
      </c>
      <c r="K140">
        <v>9.98</v>
      </c>
      <c r="L140" t="s">
        <v>61</v>
      </c>
      <c r="M140">
        <v>388</v>
      </c>
      <c r="N140">
        <v>38.86</v>
      </c>
      <c r="O140" t="s">
        <v>62</v>
      </c>
      <c r="P140" t="s">
        <v>63</v>
      </c>
      <c r="Q140">
        <v>527</v>
      </c>
      <c r="R140">
        <v>1257.26</v>
      </c>
    </row>
    <row r="141" spans="1:18" x14ac:dyDescent="0.35">
      <c r="A141" t="s">
        <v>56</v>
      </c>
      <c r="B141" t="s">
        <v>57</v>
      </c>
      <c r="C141" t="s">
        <v>70</v>
      </c>
      <c r="D141">
        <v>107232917</v>
      </c>
      <c r="E141" t="s">
        <v>588</v>
      </c>
      <c r="F141" t="s">
        <v>72</v>
      </c>
      <c r="G141">
        <v>0.42</v>
      </c>
      <c r="H141">
        <v>9.56</v>
      </c>
      <c r="I141">
        <v>0</v>
      </c>
      <c r="J141">
        <v>0</v>
      </c>
      <c r="K141">
        <v>9.98</v>
      </c>
      <c r="L141" t="s">
        <v>61</v>
      </c>
      <c r="M141">
        <v>388</v>
      </c>
      <c r="N141">
        <v>38.86</v>
      </c>
      <c r="O141" t="s">
        <v>62</v>
      </c>
      <c r="P141" t="s">
        <v>64</v>
      </c>
      <c r="Q141">
        <v>1716</v>
      </c>
      <c r="R141">
        <v>179.42</v>
      </c>
    </row>
    <row r="142" spans="1:18" x14ac:dyDescent="0.35">
      <c r="A142" t="s">
        <v>56</v>
      </c>
      <c r="B142" t="s">
        <v>57</v>
      </c>
      <c r="C142" t="s">
        <v>70</v>
      </c>
      <c r="D142">
        <v>107232917</v>
      </c>
      <c r="E142" t="s">
        <v>588</v>
      </c>
      <c r="F142" t="s">
        <v>72</v>
      </c>
      <c r="G142">
        <v>0.42</v>
      </c>
      <c r="H142">
        <v>9.56</v>
      </c>
      <c r="I142">
        <v>0</v>
      </c>
      <c r="J142">
        <v>0</v>
      </c>
      <c r="K142">
        <v>9.98</v>
      </c>
      <c r="L142" t="s">
        <v>61</v>
      </c>
      <c r="M142">
        <v>388</v>
      </c>
      <c r="N142">
        <v>38.86</v>
      </c>
      <c r="O142" t="s">
        <v>62</v>
      </c>
      <c r="P142" t="s">
        <v>65</v>
      </c>
      <c r="Q142">
        <v>0</v>
      </c>
      <c r="R142">
        <v>0</v>
      </c>
    </row>
    <row r="143" spans="1:18" x14ac:dyDescent="0.35">
      <c r="A143" t="s">
        <v>56</v>
      </c>
      <c r="B143" t="s">
        <v>57</v>
      </c>
      <c r="C143" t="s">
        <v>70</v>
      </c>
      <c r="D143">
        <v>107232917</v>
      </c>
      <c r="E143" t="s">
        <v>588</v>
      </c>
      <c r="F143" t="s">
        <v>72</v>
      </c>
      <c r="G143">
        <v>0.42</v>
      </c>
      <c r="H143">
        <v>9.56</v>
      </c>
      <c r="I143">
        <v>0</v>
      </c>
      <c r="J143">
        <v>0</v>
      </c>
      <c r="K143">
        <v>9.98</v>
      </c>
      <c r="L143" t="s">
        <v>61</v>
      </c>
      <c r="M143">
        <v>388</v>
      </c>
      <c r="N143">
        <v>38.86</v>
      </c>
      <c r="O143" t="s">
        <v>62</v>
      </c>
      <c r="P143" t="s">
        <v>66</v>
      </c>
      <c r="Q143">
        <v>0</v>
      </c>
      <c r="R143">
        <v>0</v>
      </c>
    </row>
    <row r="144" spans="1:18" x14ac:dyDescent="0.35">
      <c r="A144" t="s">
        <v>56</v>
      </c>
      <c r="B144" t="s">
        <v>57</v>
      </c>
      <c r="C144" t="s">
        <v>70</v>
      </c>
      <c r="D144">
        <v>107232917</v>
      </c>
      <c r="E144" t="s">
        <v>588</v>
      </c>
      <c r="F144" t="s">
        <v>72</v>
      </c>
      <c r="G144">
        <v>0.42</v>
      </c>
      <c r="H144">
        <v>9.56</v>
      </c>
      <c r="I144">
        <v>0</v>
      </c>
      <c r="J144">
        <v>0</v>
      </c>
      <c r="K144">
        <v>9.98</v>
      </c>
      <c r="L144" t="s">
        <v>61</v>
      </c>
      <c r="M144">
        <v>388</v>
      </c>
      <c r="N144">
        <v>38.86</v>
      </c>
      <c r="O144" t="s">
        <v>62</v>
      </c>
      <c r="P144" t="s">
        <v>67</v>
      </c>
      <c r="Q144">
        <v>2243</v>
      </c>
      <c r="R144">
        <v>224.67</v>
      </c>
    </row>
    <row r="145" spans="1:18" x14ac:dyDescent="0.35">
      <c r="A145" t="s">
        <v>56</v>
      </c>
      <c r="B145" t="s">
        <v>57</v>
      </c>
      <c r="C145" t="s">
        <v>70</v>
      </c>
      <c r="D145">
        <v>107232917</v>
      </c>
      <c r="E145" t="s">
        <v>588</v>
      </c>
      <c r="F145" t="s">
        <v>72</v>
      </c>
      <c r="G145">
        <v>0.42</v>
      </c>
      <c r="H145">
        <v>9.56</v>
      </c>
      <c r="I145">
        <v>0</v>
      </c>
      <c r="J145">
        <v>0</v>
      </c>
      <c r="K145">
        <v>9.98</v>
      </c>
      <c r="L145" t="s">
        <v>61</v>
      </c>
      <c r="M145">
        <v>388</v>
      </c>
      <c r="N145">
        <v>38.86</v>
      </c>
      <c r="O145" t="s">
        <v>68</v>
      </c>
      <c r="P145" t="s">
        <v>67</v>
      </c>
      <c r="Q145">
        <v>388</v>
      </c>
      <c r="R145">
        <v>38.86</v>
      </c>
    </row>
    <row r="146" spans="1:18" x14ac:dyDescent="0.35">
      <c r="A146" t="s">
        <v>56</v>
      </c>
      <c r="B146" t="s">
        <v>57</v>
      </c>
      <c r="C146" t="s">
        <v>70</v>
      </c>
      <c r="D146">
        <v>107232968</v>
      </c>
      <c r="E146" t="s">
        <v>615</v>
      </c>
      <c r="F146" t="s">
        <v>72</v>
      </c>
      <c r="G146">
        <v>0.89</v>
      </c>
      <c r="H146">
        <v>8.8699999999999992</v>
      </c>
      <c r="I146">
        <v>0</v>
      </c>
      <c r="J146">
        <v>0</v>
      </c>
      <c r="K146">
        <v>9.77</v>
      </c>
      <c r="L146" t="s">
        <v>61</v>
      </c>
      <c r="M146">
        <v>405</v>
      </c>
      <c r="N146">
        <v>41.47</v>
      </c>
      <c r="O146" t="s">
        <v>62</v>
      </c>
      <c r="P146" t="s">
        <v>63</v>
      </c>
      <c r="Q146">
        <v>1710</v>
      </c>
      <c r="R146">
        <v>1914.77</v>
      </c>
    </row>
    <row r="147" spans="1:18" x14ac:dyDescent="0.35">
      <c r="A147" t="s">
        <v>56</v>
      </c>
      <c r="B147" t="s">
        <v>57</v>
      </c>
      <c r="C147" t="s">
        <v>70</v>
      </c>
      <c r="D147">
        <v>107232968</v>
      </c>
      <c r="E147" t="s">
        <v>615</v>
      </c>
      <c r="F147" t="s">
        <v>72</v>
      </c>
      <c r="G147">
        <v>0.89</v>
      </c>
      <c r="H147">
        <v>8.8699999999999992</v>
      </c>
      <c r="I147">
        <v>0</v>
      </c>
      <c r="J147">
        <v>0</v>
      </c>
      <c r="K147">
        <v>9.77</v>
      </c>
      <c r="L147" t="s">
        <v>61</v>
      </c>
      <c r="M147">
        <v>405</v>
      </c>
      <c r="N147">
        <v>41.47</v>
      </c>
      <c r="O147" t="s">
        <v>62</v>
      </c>
      <c r="P147" t="s">
        <v>64</v>
      </c>
      <c r="Q147">
        <v>2426</v>
      </c>
      <c r="R147">
        <v>273.39999999999998</v>
      </c>
    </row>
    <row r="148" spans="1:18" x14ac:dyDescent="0.35">
      <c r="A148" t="s">
        <v>56</v>
      </c>
      <c r="B148" t="s">
        <v>57</v>
      </c>
      <c r="C148" t="s">
        <v>70</v>
      </c>
      <c r="D148">
        <v>107232968</v>
      </c>
      <c r="E148" t="s">
        <v>615</v>
      </c>
      <c r="F148" t="s">
        <v>72</v>
      </c>
      <c r="G148">
        <v>0.89</v>
      </c>
      <c r="H148">
        <v>8.8699999999999992</v>
      </c>
      <c r="I148">
        <v>0</v>
      </c>
      <c r="J148">
        <v>0</v>
      </c>
      <c r="K148">
        <v>9.77</v>
      </c>
      <c r="L148" t="s">
        <v>61</v>
      </c>
      <c r="M148">
        <v>405</v>
      </c>
      <c r="N148">
        <v>41.47</v>
      </c>
      <c r="O148" t="s">
        <v>62</v>
      </c>
      <c r="P148" t="s">
        <v>65</v>
      </c>
      <c r="Q148">
        <v>0</v>
      </c>
      <c r="R148">
        <v>0</v>
      </c>
    </row>
    <row r="149" spans="1:18" x14ac:dyDescent="0.35">
      <c r="A149" t="s">
        <v>56</v>
      </c>
      <c r="B149" t="s">
        <v>57</v>
      </c>
      <c r="C149" t="s">
        <v>70</v>
      </c>
      <c r="D149">
        <v>107232968</v>
      </c>
      <c r="E149" t="s">
        <v>615</v>
      </c>
      <c r="F149" t="s">
        <v>72</v>
      </c>
      <c r="G149">
        <v>0.89</v>
      </c>
      <c r="H149">
        <v>8.8699999999999992</v>
      </c>
      <c r="I149">
        <v>0</v>
      </c>
      <c r="J149">
        <v>0</v>
      </c>
      <c r="K149">
        <v>9.77</v>
      </c>
      <c r="L149" t="s">
        <v>61</v>
      </c>
      <c r="M149">
        <v>405</v>
      </c>
      <c r="N149">
        <v>41.47</v>
      </c>
      <c r="O149" t="s">
        <v>62</v>
      </c>
      <c r="P149" t="s">
        <v>66</v>
      </c>
      <c r="Q149">
        <v>0</v>
      </c>
      <c r="R149">
        <v>0</v>
      </c>
    </row>
    <row r="150" spans="1:18" x14ac:dyDescent="0.35">
      <c r="A150" t="s">
        <v>56</v>
      </c>
      <c r="B150" t="s">
        <v>57</v>
      </c>
      <c r="C150" t="s">
        <v>70</v>
      </c>
      <c r="D150">
        <v>107232968</v>
      </c>
      <c r="E150" t="s">
        <v>615</v>
      </c>
      <c r="F150" t="s">
        <v>72</v>
      </c>
      <c r="G150">
        <v>0.89</v>
      </c>
      <c r="H150">
        <v>8.8699999999999992</v>
      </c>
      <c r="I150">
        <v>0</v>
      </c>
      <c r="J150">
        <v>0</v>
      </c>
      <c r="K150">
        <v>9.77</v>
      </c>
      <c r="L150" t="s">
        <v>61</v>
      </c>
      <c r="M150">
        <v>405</v>
      </c>
      <c r="N150">
        <v>41.47</v>
      </c>
      <c r="O150" t="s">
        <v>62</v>
      </c>
      <c r="P150" t="s">
        <v>67</v>
      </c>
      <c r="Q150">
        <v>4136</v>
      </c>
      <c r="R150">
        <v>423.48</v>
      </c>
    </row>
    <row r="151" spans="1:18" x14ac:dyDescent="0.35">
      <c r="A151" t="s">
        <v>56</v>
      </c>
      <c r="B151" t="s">
        <v>57</v>
      </c>
      <c r="C151" t="s">
        <v>70</v>
      </c>
      <c r="D151">
        <v>107232968</v>
      </c>
      <c r="E151" t="s">
        <v>615</v>
      </c>
      <c r="F151" t="s">
        <v>72</v>
      </c>
      <c r="G151">
        <v>0.89</v>
      </c>
      <c r="H151">
        <v>8.8699999999999992</v>
      </c>
      <c r="I151">
        <v>0</v>
      </c>
      <c r="J151">
        <v>0</v>
      </c>
      <c r="K151">
        <v>9.77</v>
      </c>
      <c r="L151" t="s">
        <v>61</v>
      </c>
      <c r="M151">
        <v>405</v>
      </c>
      <c r="N151">
        <v>41.47</v>
      </c>
      <c r="O151" t="s">
        <v>68</v>
      </c>
      <c r="P151" t="s">
        <v>67</v>
      </c>
      <c r="Q151">
        <v>405</v>
      </c>
      <c r="R151">
        <v>41.47</v>
      </c>
    </row>
    <row r="152" spans="1:18" x14ac:dyDescent="0.35">
      <c r="A152" t="s">
        <v>56</v>
      </c>
      <c r="B152" t="s">
        <v>57</v>
      </c>
      <c r="C152" t="s">
        <v>70</v>
      </c>
      <c r="D152">
        <v>107232971</v>
      </c>
      <c r="E152" t="s">
        <v>589</v>
      </c>
      <c r="F152" t="s">
        <v>72</v>
      </c>
      <c r="G152">
        <v>0.52</v>
      </c>
      <c r="H152">
        <v>7.95</v>
      </c>
      <c r="I152">
        <v>0</v>
      </c>
      <c r="J152">
        <v>0</v>
      </c>
      <c r="K152">
        <v>8.4700000000000006</v>
      </c>
      <c r="L152" t="s">
        <v>61</v>
      </c>
      <c r="M152">
        <v>379</v>
      </c>
      <c r="N152">
        <v>44.76</v>
      </c>
      <c r="O152" t="s">
        <v>62</v>
      </c>
      <c r="P152" t="s">
        <v>63</v>
      </c>
      <c r="Q152">
        <v>611</v>
      </c>
      <c r="R152">
        <v>1175.6300000000001</v>
      </c>
    </row>
    <row r="153" spans="1:18" x14ac:dyDescent="0.35">
      <c r="A153" t="s">
        <v>56</v>
      </c>
      <c r="B153" t="s">
        <v>57</v>
      </c>
      <c r="C153" t="s">
        <v>70</v>
      </c>
      <c r="D153">
        <v>107232971</v>
      </c>
      <c r="E153" t="s">
        <v>589</v>
      </c>
      <c r="F153" t="s">
        <v>72</v>
      </c>
      <c r="G153">
        <v>0.52</v>
      </c>
      <c r="H153">
        <v>7.95</v>
      </c>
      <c r="I153">
        <v>0</v>
      </c>
      <c r="J153">
        <v>0</v>
      </c>
      <c r="K153">
        <v>8.4700000000000006</v>
      </c>
      <c r="L153" t="s">
        <v>61</v>
      </c>
      <c r="M153">
        <v>379</v>
      </c>
      <c r="N153">
        <v>44.76</v>
      </c>
      <c r="O153" t="s">
        <v>62</v>
      </c>
      <c r="P153" t="s">
        <v>64</v>
      </c>
      <c r="Q153">
        <v>1334</v>
      </c>
      <c r="R153">
        <v>167.87</v>
      </c>
    </row>
    <row r="154" spans="1:18" x14ac:dyDescent="0.35">
      <c r="A154" t="s">
        <v>56</v>
      </c>
      <c r="B154" t="s">
        <v>57</v>
      </c>
      <c r="C154" t="s">
        <v>70</v>
      </c>
      <c r="D154">
        <v>107232971</v>
      </c>
      <c r="E154" t="s">
        <v>589</v>
      </c>
      <c r="F154" t="s">
        <v>72</v>
      </c>
      <c r="G154">
        <v>0.52</v>
      </c>
      <c r="H154">
        <v>7.95</v>
      </c>
      <c r="I154">
        <v>0</v>
      </c>
      <c r="J154">
        <v>0</v>
      </c>
      <c r="K154">
        <v>8.4700000000000006</v>
      </c>
      <c r="L154" t="s">
        <v>61</v>
      </c>
      <c r="M154">
        <v>379</v>
      </c>
      <c r="N154">
        <v>44.76</v>
      </c>
      <c r="O154" t="s">
        <v>62</v>
      </c>
      <c r="P154" t="s">
        <v>65</v>
      </c>
      <c r="Q154">
        <v>0</v>
      </c>
      <c r="R154">
        <v>0</v>
      </c>
    </row>
    <row r="155" spans="1:18" x14ac:dyDescent="0.35">
      <c r="A155" t="s">
        <v>56</v>
      </c>
      <c r="B155" t="s">
        <v>57</v>
      </c>
      <c r="C155" t="s">
        <v>70</v>
      </c>
      <c r="D155">
        <v>107232971</v>
      </c>
      <c r="E155" t="s">
        <v>589</v>
      </c>
      <c r="F155" t="s">
        <v>72</v>
      </c>
      <c r="G155">
        <v>0.52</v>
      </c>
      <c r="H155">
        <v>7.95</v>
      </c>
      <c r="I155">
        <v>0</v>
      </c>
      <c r="J155">
        <v>0</v>
      </c>
      <c r="K155">
        <v>8.4700000000000006</v>
      </c>
      <c r="L155" t="s">
        <v>61</v>
      </c>
      <c r="M155">
        <v>379</v>
      </c>
      <c r="N155">
        <v>44.76</v>
      </c>
      <c r="O155" t="s">
        <v>62</v>
      </c>
      <c r="P155" t="s">
        <v>66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70</v>
      </c>
      <c r="D156">
        <v>107232971</v>
      </c>
      <c r="E156" t="s">
        <v>589</v>
      </c>
      <c r="F156" t="s">
        <v>72</v>
      </c>
      <c r="G156">
        <v>0.52</v>
      </c>
      <c r="H156">
        <v>7.95</v>
      </c>
      <c r="I156">
        <v>0</v>
      </c>
      <c r="J156">
        <v>0</v>
      </c>
      <c r="K156">
        <v>8.4700000000000006</v>
      </c>
      <c r="L156" t="s">
        <v>61</v>
      </c>
      <c r="M156">
        <v>379</v>
      </c>
      <c r="N156">
        <v>44.76</v>
      </c>
      <c r="O156" t="s">
        <v>62</v>
      </c>
      <c r="P156" t="s">
        <v>67</v>
      </c>
      <c r="Q156">
        <v>1945</v>
      </c>
      <c r="R156">
        <v>229.72</v>
      </c>
    </row>
    <row r="157" spans="1:18" x14ac:dyDescent="0.35">
      <c r="A157" t="s">
        <v>56</v>
      </c>
      <c r="B157" t="s">
        <v>57</v>
      </c>
      <c r="C157" t="s">
        <v>70</v>
      </c>
      <c r="D157">
        <v>107232971</v>
      </c>
      <c r="E157" t="s">
        <v>589</v>
      </c>
      <c r="F157" t="s">
        <v>72</v>
      </c>
      <c r="G157">
        <v>0.52</v>
      </c>
      <c r="H157">
        <v>7.95</v>
      </c>
      <c r="I157">
        <v>0</v>
      </c>
      <c r="J157">
        <v>0</v>
      </c>
      <c r="K157">
        <v>8.4700000000000006</v>
      </c>
      <c r="L157" t="s">
        <v>61</v>
      </c>
      <c r="M157">
        <v>379</v>
      </c>
      <c r="N157">
        <v>44.76</v>
      </c>
      <c r="O157" t="s">
        <v>68</v>
      </c>
      <c r="P157" t="s">
        <v>67</v>
      </c>
      <c r="Q157">
        <v>379</v>
      </c>
      <c r="R157">
        <v>44.76</v>
      </c>
    </row>
    <row r="158" spans="1:18" x14ac:dyDescent="0.35">
      <c r="A158" t="s">
        <v>56</v>
      </c>
      <c r="B158" t="s">
        <v>57</v>
      </c>
      <c r="C158" t="s">
        <v>70</v>
      </c>
      <c r="D158">
        <v>107233183</v>
      </c>
      <c r="E158" t="s">
        <v>590</v>
      </c>
      <c r="F158" t="s">
        <v>72</v>
      </c>
      <c r="G158">
        <v>0.4</v>
      </c>
      <c r="H158">
        <v>8.51</v>
      </c>
      <c r="I158">
        <v>0</v>
      </c>
      <c r="J158">
        <v>0</v>
      </c>
      <c r="K158">
        <v>8.92</v>
      </c>
      <c r="L158" t="s">
        <v>61</v>
      </c>
      <c r="M158">
        <v>359</v>
      </c>
      <c r="N158">
        <v>40.26</v>
      </c>
      <c r="O158" t="s">
        <v>62</v>
      </c>
      <c r="P158" t="s">
        <v>63</v>
      </c>
      <c r="Q158">
        <v>466</v>
      </c>
      <c r="R158">
        <v>1158.56</v>
      </c>
    </row>
    <row r="159" spans="1:18" x14ac:dyDescent="0.35">
      <c r="A159" t="s">
        <v>56</v>
      </c>
      <c r="B159" t="s">
        <v>57</v>
      </c>
      <c r="C159" t="s">
        <v>70</v>
      </c>
      <c r="D159">
        <v>107233183</v>
      </c>
      <c r="E159" t="s">
        <v>590</v>
      </c>
      <c r="F159" t="s">
        <v>72</v>
      </c>
      <c r="G159">
        <v>0.4</v>
      </c>
      <c r="H159">
        <v>8.51</v>
      </c>
      <c r="I159">
        <v>0</v>
      </c>
      <c r="J159">
        <v>0</v>
      </c>
      <c r="K159">
        <v>8.92</v>
      </c>
      <c r="L159" t="s">
        <v>61</v>
      </c>
      <c r="M159">
        <v>359</v>
      </c>
      <c r="N159">
        <v>40.26</v>
      </c>
      <c r="O159" t="s">
        <v>62</v>
      </c>
      <c r="P159" t="s">
        <v>64</v>
      </c>
      <c r="Q159">
        <v>1408</v>
      </c>
      <c r="R159">
        <v>165.37</v>
      </c>
    </row>
    <row r="160" spans="1:18" x14ac:dyDescent="0.35">
      <c r="A160" t="s">
        <v>56</v>
      </c>
      <c r="B160" t="s">
        <v>57</v>
      </c>
      <c r="C160" t="s">
        <v>70</v>
      </c>
      <c r="D160">
        <v>107233183</v>
      </c>
      <c r="E160" t="s">
        <v>590</v>
      </c>
      <c r="F160" t="s">
        <v>72</v>
      </c>
      <c r="G160">
        <v>0.4</v>
      </c>
      <c r="H160">
        <v>8.51</v>
      </c>
      <c r="I160">
        <v>0</v>
      </c>
      <c r="J160">
        <v>0</v>
      </c>
      <c r="K160">
        <v>8.92</v>
      </c>
      <c r="L160" t="s">
        <v>61</v>
      </c>
      <c r="M160">
        <v>359</v>
      </c>
      <c r="N160">
        <v>40.26</v>
      </c>
      <c r="O160" t="s">
        <v>62</v>
      </c>
      <c r="P160" t="s">
        <v>65</v>
      </c>
      <c r="Q160">
        <v>0</v>
      </c>
      <c r="R160">
        <v>0</v>
      </c>
    </row>
    <row r="161" spans="1:18" x14ac:dyDescent="0.35">
      <c r="A161" t="s">
        <v>56</v>
      </c>
      <c r="B161" t="s">
        <v>57</v>
      </c>
      <c r="C161" t="s">
        <v>70</v>
      </c>
      <c r="D161">
        <v>107233183</v>
      </c>
      <c r="E161" t="s">
        <v>590</v>
      </c>
      <c r="F161" t="s">
        <v>72</v>
      </c>
      <c r="G161">
        <v>0.4</v>
      </c>
      <c r="H161">
        <v>8.51</v>
      </c>
      <c r="I161">
        <v>0</v>
      </c>
      <c r="J161">
        <v>0</v>
      </c>
      <c r="K161">
        <v>8.92</v>
      </c>
      <c r="L161" t="s">
        <v>61</v>
      </c>
      <c r="M161">
        <v>359</v>
      </c>
      <c r="N161">
        <v>40.26</v>
      </c>
      <c r="O161" t="s">
        <v>62</v>
      </c>
      <c r="P161" t="s">
        <v>66</v>
      </c>
      <c r="Q161">
        <v>0</v>
      </c>
      <c r="R161">
        <v>0</v>
      </c>
    </row>
    <row r="162" spans="1:18" x14ac:dyDescent="0.35">
      <c r="A162" t="s">
        <v>56</v>
      </c>
      <c r="B162" t="s">
        <v>57</v>
      </c>
      <c r="C162" t="s">
        <v>70</v>
      </c>
      <c r="D162">
        <v>107233183</v>
      </c>
      <c r="E162" t="s">
        <v>590</v>
      </c>
      <c r="F162" t="s">
        <v>72</v>
      </c>
      <c r="G162">
        <v>0.4</v>
      </c>
      <c r="H162">
        <v>8.51</v>
      </c>
      <c r="I162">
        <v>0</v>
      </c>
      <c r="J162">
        <v>0</v>
      </c>
      <c r="K162">
        <v>8.92</v>
      </c>
      <c r="L162" t="s">
        <v>61</v>
      </c>
      <c r="M162">
        <v>359</v>
      </c>
      <c r="N162">
        <v>40.26</v>
      </c>
      <c r="O162" t="s">
        <v>62</v>
      </c>
      <c r="P162" t="s">
        <v>67</v>
      </c>
      <c r="Q162">
        <v>1874</v>
      </c>
      <c r="R162">
        <v>210.17</v>
      </c>
    </row>
    <row r="163" spans="1:18" x14ac:dyDescent="0.35">
      <c r="A163" t="s">
        <v>56</v>
      </c>
      <c r="B163" t="s">
        <v>57</v>
      </c>
      <c r="C163" t="s">
        <v>70</v>
      </c>
      <c r="D163">
        <v>107233183</v>
      </c>
      <c r="E163" t="s">
        <v>590</v>
      </c>
      <c r="F163" t="s">
        <v>72</v>
      </c>
      <c r="G163">
        <v>0.4</v>
      </c>
      <c r="H163">
        <v>8.51</v>
      </c>
      <c r="I163">
        <v>0</v>
      </c>
      <c r="J163">
        <v>0</v>
      </c>
      <c r="K163">
        <v>8.92</v>
      </c>
      <c r="L163" t="s">
        <v>61</v>
      </c>
      <c r="M163">
        <v>359</v>
      </c>
      <c r="N163">
        <v>40.26</v>
      </c>
      <c r="O163" t="s">
        <v>68</v>
      </c>
      <c r="P163" t="s">
        <v>67</v>
      </c>
      <c r="Q163">
        <v>359</v>
      </c>
      <c r="R163">
        <v>40.26</v>
      </c>
    </row>
    <row r="164" spans="1:18" x14ac:dyDescent="0.35">
      <c r="A164" t="s">
        <v>56</v>
      </c>
      <c r="B164" t="s">
        <v>57</v>
      </c>
      <c r="C164" t="s">
        <v>70</v>
      </c>
      <c r="D164">
        <v>107233197</v>
      </c>
      <c r="E164" t="s">
        <v>616</v>
      </c>
      <c r="F164" t="s">
        <v>72</v>
      </c>
      <c r="G164">
        <v>0.52</v>
      </c>
      <c r="H164">
        <v>8.2799999999999994</v>
      </c>
      <c r="I164">
        <v>0.23</v>
      </c>
      <c r="J164">
        <v>0</v>
      </c>
      <c r="K164">
        <v>9.0299999999999994</v>
      </c>
      <c r="L164" t="s">
        <v>61</v>
      </c>
      <c r="M164">
        <v>306</v>
      </c>
      <c r="N164">
        <v>33.880000000000003</v>
      </c>
      <c r="O164" t="s">
        <v>62</v>
      </c>
      <c r="P164" t="s">
        <v>63</v>
      </c>
      <c r="Q164">
        <v>728</v>
      </c>
      <c r="R164">
        <v>1396.27</v>
      </c>
    </row>
    <row r="165" spans="1:18" x14ac:dyDescent="0.35">
      <c r="A165" t="s">
        <v>56</v>
      </c>
      <c r="B165" t="s">
        <v>57</v>
      </c>
      <c r="C165" t="s">
        <v>70</v>
      </c>
      <c r="D165">
        <v>107233197</v>
      </c>
      <c r="E165" t="s">
        <v>616</v>
      </c>
      <c r="F165" t="s">
        <v>72</v>
      </c>
      <c r="G165">
        <v>0.52</v>
      </c>
      <c r="H165">
        <v>8.2799999999999994</v>
      </c>
      <c r="I165">
        <v>0.23</v>
      </c>
      <c r="J165">
        <v>0</v>
      </c>
      <c r="K165">
        <v>9.0299999999999994</v>
      </c>
      <c r="L165" t="s">
        <v>61</v>
      </c>
      <c r="M165">
        <v>306</v>
      </c>
      <c r="N165">
        <v>33.880000000000003</v>
      </c>
      <c r="O165" t="s">
        <v>62</v>
      </c>
      <c r="P165" t="s">
        <v>64</v>
      </c>
      <c r="Q165">
        <v>1651</v>
      </c>
      <c r="R165">
        <v>199.32</v>
      </c>
    </row>
    <row r="166" spans="1:18" x14ac:dyDescent="0.35">
      <c r="A166" t="s">
        <v>56</v>
      </c>
      <c r="B166" t="s">
        <v>57</v>
      </c>
      <c r="C166" t="s">
        <v>70</v>
      </c>
      <c r="D166">
        <v>107233197</v>
      </c>
      <c r="E166" t="s">
        <v>616</v>
      </c>
      <c r="F166" t="s">
        <v>72</v>
      </c>
      <c r="G166">
        <v>0.52</v>
      </c>
      <c r="H166">
        <v>8.2799999999999994</v>
      </c>
      <c r="I166">
        <v>0.23</v>
      </c>
      <c r="J166">
        <v>0</v>
      </c>
      <c r="K166">
        <v>9.0299999999999994</v>
      </c>
      <c r="L166" t="s">
        <v>61</v>
      </c>
      <c r="M166">
        <v>306</v>
      </c>
      <c r="N166">
        <v>33.880000000000003</v>
      </c>
      <c r="O166" t="s">
        <v>62</v>
      </c>
      <c r="P166" t="s">
        <v>65</v>
      </c>
      <c r="Q166">
        <v>32</v>
      </c>
      <c r="R166">
        <v>140.66</v>
      </c>
    </row>
    <row r="167" spans="1:18" x14ac:dyDescent="0.35">
      <c r="A167" t="s">
        <v>56</v>
      </c>
      <c r="B167" t="s">
        <v>57</v>
      </c>
      <c r="C167" t="s">
        <v>70</v>
      </c>
      <c r="D167">
        <v>107233197</v>
      </c>
      <c r="E167" t="s">
        <v>616</v>
      </c>
      <c r="F167" t="s">
        <v>72</v>
      </c>
      <c r="G167">
        <v>0.52</v>
      </c>
      <c r="H167">
        <v>8.2799999999999994</v>
      </c>
      <c r="I167">
        <v>0.23</v>
      </c>
      <c r="J167">
        <v>0</v>
      </c>
      <c r="K167">
        <v>9.0299999999999994</v>
      </c>
      <c r="L167" t="s">
        <v>61</v>
      </c>
      <c r="M167">
        <v>306</v>
      </c>
      <c r="N167">
        <v>33.880000000000003</v>
      </c>
      <c r="O167" t="s">
        <v>62</v>
      </c>
      <c r="P167" t="s">
        <v>66</v>
      </c>
      <c r="Q167">
        <v>0</v>
      </c>
      <c r="R167">
        <v>0</v>
      </c>
    </row>
    <row r="168" spans="1:18" x14ac:dyDescent="0.35">
      <c r="A168" t="s">
        <v>56</v>
      </c>
      <c r="B168" t="s">
        <v>57</v>
      </c>
      <c r="C168" t="s">
        <v>70</v>
      </c>
      <c r="D168">
        <v>107233197</v>
      </c>
      <c r="E168" t="s">
        <v>616</v>
      </c>
      <c r="F168" t="s">
        <v>72</v>
      </c>
      <c r="G168">
        <v>0.52</v>
      </c>
      <c r="H168">
        <v>8.2799999999999994</v>
      </c>
      <c r="I168">
        <v>0.23</v>
      </c>
      <c r="J168">
        <v>0</v>
      </c>
      <c r="K168">
        <v>9.0299999999999994</v>
      </c>
      <c r="L168" t="s">
        <v>61</v>
      </c>
      <c r="M168">
        <v>306</v>
      </c>
      <c r="N168">
        <v>33.880000000000003</v>
      </c>
      <c r="O168" t="s">
        <v>62</v>
      </c>
      <c r="P168" t="s">
        <v>67</v>
      </c>
      <c r="Q168">
        <v>2411</v>
      </c>
      <c r="R168">
        <v>266.92</v>
      </c>
    </row>
    <row r="169" spans="1:18" x14ac:dyDescent="0.35">
      <c r="A169" t="s">
        <v>56</v>
      </c>
      <c r="B169" t="s">
        <v>57</v>
      </c>
      <c r="C169" t="s">
        <v>70</v>
      </c>
      <c r="D169">
        <v>107233197</v>
      </c>
      <c r="E169" t="s">
        <v>616</v>
      </c>
      <c r="F169" t="s">
        <v>72</v>
      </c>
      <c r="G169">
        <v>0.52</v>
      </c>
      <c r="H169">
        <v>8.2799999999999994</v>
      </c>
      <c r="I169">
        <v>0.23</v>
      </c>
      <c r="J169">
        <v>0</v>
      </c>
      <c r="K169">
        <v>9.0299999999999994</v>
      </c>
      <c r="L169" t="s">
        <v>61</v>
      </c>
      <c r="M169">
        <v>306</v>
      </c>
      <c r="N169">
        <v>33.880000000000003</v>
      </c>
      <c r="O169" t="s">
        <v>68</v>
      </c>
      <c r="P169" t="s">
        <v>67</v>
      </c>
      <c r="Q169">
        <v>306</v>
      </c>
      <c r="R169">
        <v>33.880000000000003</v>
      </c>
    </row>
    <row r="170" spans="1:18" x14ac:dyDescent="0.35">
      <c r="A170" t="s">
        <v>56</v>
      </c>
      <c r="B170" t="s">
        <v>57</v>
      </c>
      <c r="C170" t="s">
        <v>70</v>
      </c>
      <c r="D170">
        <v>107233200</v>
      </c>
      <c r="E170" t="s">
        <v>591</v>
      </c>
      <c r="F170" t="s">
        <v>72</v>
      </c>
      <c r="G170">
        <v>0.25</v>
      </c>
      <c r="H170">
        <v>9.77</v>
      </c>
      <c r="I170">
        <v>0</v>
      </c>
      <c r="J170">
        <v>0</v>
      </c>
      <c r="K170">
        <v>10.02</v>
      </c>
      <c r="L170" t="s">
        <v>61</v>
      </c>
      <c r="M170">
        <v>392</v>
      </c>
      <c r="N170">
        <v>39.130000000000003</v>
      </c>
      <c r="O170" t="s">
        <v>62</v>
      </c>
      <c r="P170" t="s">
        <v>63</v>
      </c>
      <c r="Q170">
        <v>338</v>
      </c>
      <c r="R170">
        <v>1358.04</v>
      </c>
    </row>
    <row r="171" spans="1:18" x14ac:dyDescent="0.35">
      <c r="A171" t="s">
        <v>56</v>
      </c>
      <c r="B171" t="s">
        <v>57</v>
      </c>
      <c r="C171" t="s">
        <v>70</v>
      </c>
      <c r="D171">
        <v>107233200</v>
      </c>
      <c r="E171" t="s">
        <v>591</v>
      </c>
      <c r="F171" t="s">
        <v>72</v>
      </c>
      <c r="G171">
        <v>0.25</v>
      </c>
      <c r="H171">
        <v>9.77</v>
      </c>
      <c r="I171">
        <v>0</v>
      </c>
      <c r="J171">
        <v>0</v>
      </c>
      <c r="K171">
        <v>10.02</v>
      </c>
      <c r="L171" t="s">
        <v>61</v>
      </c>
      <c r="M171">
        <v>392</v>
      </c>
      <c r="N171">
        <v>39.130000000000003</v>
      </c>
      <c r="O171" t="s">
        <v>62</v>
      </c>
      <c r="P171" t="s">
        <v>64</v>
      </c>
      <c r="Q171">
        <v>1892</v>
      </c>
      <c r="R171">
        <v>193.7</v>
      </c>
    </row>
    <row r="172" spans="1:18" x14ac:dyDescent="0.35">
      <c r="A172" t="s">
        <v>56</v>
      </c>
      <c r="B172" t="s">
        <v>57</v>
      </c>
      <c r="C172" t="s">
        <v>70</v>
      </c>
      <c r="D172">
        <v>107233200</v>
      </c>
      <c r="E172" t="s">
        <v>591</v>
      </c>
      <c r="F172" t="s">
        <v>72</v>
      </c>
      <c r="G172">
        <v>0.25</v>
      </c>
      <c r="H172">
        <v>9.77</v>
      </c>
      <c r="I172">
        <v>0</v>
      </c>
      <c r="J172">
        <v>0</v>
      </c>
      <c r="K172">
        <v>10.02</v>
      </c>
      <c r="L172" t="s">
        <v>61</v>
      </c>
      <c r="M172">
        <v>392</v>
      </c>
      <c r="N172">
        <v>39.130000000000003</v>
      </c>
      <c r="O172" t="s">
        <v>62</v>
      </c>
      <c r="P172" t="s">
        <v>65</v>
      </c>
      <c r="Q172">
        <v>0</v>
      </c>
      <c r="R172">
        <v>0</v>
      </c>
    </row>
    <row r="173" spans="1:18" x14ac:dyDescent="0.35">
      <c r="A173" t="s">
        <v>56</v>
      </c>
      <c r="B173" t="s">
        <v>57</v>
      </c>
      <c r="C173" t="s">
        <v>70</v>
      </c>
      <c r="D173">
        <v>107233200</v>
      </c>
      <c r="E173" t="s">
        <v>591</v>
      </c>
      <c r="F173" t="s">
        <v>72</v>
      </c>
      <c r="G173">
        <v>0.25</v>
      </c>
      <c r="H173">
        <v>9.77</v>
      </c>
      <c r="I173">
        <v>0</v>
      </c>
      <c r="J173">
        <v>0</v>
      </c>
      <c r="K173">
        <v>10.02</v>
      </c>
      <c r="L173" t="s">
        <v>61</v>
      </c>
      <c r="M173">
        <v>392</v>
      </c>
      <c r="N173">
        <v>39.130000000000003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70</v>
      </c>
      <c r="D174">
        <v>107233200</v>
      </c>
      <c r="E174" t="s">
        <v>591</v>
      </c>
      <c r="F174" t="s">
        <v>72</v>
      </c>
      <c r="G174">
        <v>0.25</v>
      </c>
      <c r="H174">
        <v>9.77</v>
      </c>
      <c r="I174">
        <v>0</v>
      </c>
      <c r="J174">
        <v>0</v>
      </c>
      <c r="K174">
        <v>10.02</v>
      </c>
      <c r="L174" t="s">
        <v>61</v>
      </c>
      <c r="M174">
        <v>392</v>
      </c>
      <c r="N174">
        <v>39.130000000000003</v>
      </c>
      <c r="O174" t="s">
        <v>62</v>
      </c>
      <c r="P174" t="s">
        <v>67</v>
      </c>
      <c r="Q174">
        <v>2230</v>
      </c>
      <c r="R174">
        <v>222.63</v>
      </c>
    </row>
    <row r="175" spans="1:18" x14ac:dyDescent="0.35">
      <c r="A175" t="s">
        <v>56</v>
      </c>
      <c r="B175" t="s">
        <v>57</v>
      </c>
      <c r="C175" t="s">
        <v>70</v>
      </c>
      <c r="D175">
        <v>107233200</v>
      </c>
      <c r="E175" t="s">
        <v>591</v>
      </c>
      <c r="F175" t="s">
        <v>72</v>
      </c>
      <c r="G175">
        <v>0.25</v>
      </c>
      <c r="H175">
        <v>9.77</v>
      </c>
      <c r="I175">
        <v>0</v>
      </c>
      <c r="J175">
        <v>0</v>
      </c>
      <c r="K175">
        <v>10.02</v>
      </c>
      <c r="L175" t="s">
        <v>61</v>
      </c>
      <c r="M175">
        <v>392</v>
      </c>
      <c r="N175">
        <v>39.130000000000003</v>
      </c>
      <c r="O175" t="s">
        <v>68</v>
      </c>
      <c r="P175" t="s">
        <v>67</v>
      </c>
      <c r="Q175">
        <v>392</v>
      </c>
      <c r="R175">
        <v>39.130000000000003</v>
      </c>
    </row>
    <row r="176" spans="1:18" x14ac:dyDescent="0.35">
      <c r="A176" t="s">
        <v>56</v>
      </c>
      <c r="B176" t="s">
        <v>57</v>
      </c>
      <c r="C176" t="s">
        <v>70</v>
      </c>
      <c r="D176">
        <v>107264616</v>
      </c>
      <c r="E176" t="s">
        <v>592</v>
      </c>
      <c r="F176" t="s">
        <v>72</v>
      </c>
      <c r="G176">
        <v>0.21</v>
      </c>
      <c r="H176">
        <v>9.81</v>
      </c>
      <c r="I176">
        <v>0</v>
      </c>
      <c r="J176">
        <v>0</v>
      </c>
      <c r="K176">
        <v>10.02</v>
      </c>
      <c r="L176" t="s">
        <v>61</v>
      </c>
      <c r="M176">
        <v>365</v>
      </c>
      <c r="N176">
        <v>36.44</v>
      </c>
      <c r="O176" t="s">
        <v>62</v>
      </c>
      <c r="P176" t="s">
        <v>63</v>
      </c>
      <c r="Q176">
        <v>214</v>
      </c>
      <c r="R176">
        <v>1032.71</v>
      </c>
    </row>
    <row r="177" spans="1:18" x14ac:dyDescent="0.35">
      <c r="A177" t="s">
        <v>56</v>
      </c>
      <c r="B177" t="s">
        <v>57</v>
      </c>
      <c r="C177" t="s">
        <v>70</v>
      </c>
      <c r="D177">
        <v>107264616</v>
      </c>
      <c r="E177" t="s">
        <v>592</v>
      </c>
      <c r="F177" t="s">
        <v>72</v>
      </c>
      <c r="G177">
        <v>0.21</v>
      </c>
      <c r="H177">
        <v>9.81</v>
      </c>
      <c r="I177">
        <v>0</v>
      </c>
      <c r="J177">
        <v>0</v>
      </c>
      <c r="K177">
        <v>10.02</v>
      </c>
      <c r="L177" t="s">
        <v>61</v>
      </c>
      <c r="M177">
        <v>365</v>
      </c>
      <c r="N177">
        <v>36.44</v>
      </c>
      <c r="O177" t="s">
        <v>62</v>
      </c>
      <c r="P177" t="s">
        <v>64</v>
      </c>
      <c r="Q177">
        <v>1445</v>
      </c>
      <c r="R177">
        <v>147.31</v>
      </c>
    </row>
    <row r="178" spans="1:18" x14ac:dyDescent="0.35">
      <c r="A178" t="s">
        <v>56</v>
      </c>
      <c r="B178" t="s">
        <v>57</v>
      </c>
      <c r="C178" t="s">
        <v>70</v>
      </c>
      <c r="D178">
        <v>107264616</v>
      </c>
      <c r="E178" t="s">
        <v>592</v>
      </c>
      <c r="F178" t="s">
        <v>72</v>
      </c>
      <c r="G178">
        <v>0.21</v>
      </c>
      <c r="H178">
        <v>9.81</v>
      </c>
      <c r="I178">
        <v>0</v>
      </c>
      <c r="J178">
        <v>0</v>
      </c>
      <c r="K178">
        <v>10.02</v>
      </c>
      <c r="L178" t="s">
        <v>61</v>
      </c>
      <c r="M178">
        <v>365</v>
      </c>
      <c r="N178">
        <v>36.44</v>
      </c>
      <c r="O178" t="s">
        <v>62</v>
      </c>
      <c r="P178" t="s">
        <v>65</v>
      </c>
      <c r="Q178">
        <v>0</v>
      </c>
      <c r="R178">
        <v>0</v>
      </c>
    </row>
    <row r="179" spans="1:18" x14ac:dyDescent="0.35">
      <c r="A179" t="s">
        <v>56</v>
      </c>
      <c r="B179" t="s">
        <v>57</v>
      </c>
      <c r="C179" t="s">
        <v>70</v>
      </c>
      <c r="D179">
        <v>107264616</v>
      </c>
      <c r="E179" t="s">
        <v>592</v>
      </c>
      <c r="F179" t="s">
        <v>72</v>
      </c>
      <c r="G179">
        <v>0.21</v>
      </c>
      <c r="H179">
        <v>9.81</v>
      </c>
      <c r="I179">
        <v>0</v>
      </c>
      <c r="J179">
        <v>0</v>
      </c>
      <c r="K179">
        <v>10.02</v>
      </c>
      <c r="L179" t="s">
        <v>61</v>
      </c>
      <c r="M179">
        <v>365</v>
      </c>
      <c r="N179">
        <v>36.44</v>
      </c>
      <c r="O179" t="s">
        <v>62</v>
      </c>
      <c r="P179" t="s">
        <v>66</v>
      </c>
      <c r="Q179">
        <v>0</v>
      </c>
      <c r="R179">
        <v>0</v>
      </c>
    </row>
    <row r="180" spans="1:18" x14ac:dyDescent="0.35">
      <c r="A180" t="s">
        <v>56</v>
      </c>
      <c r="B180" t="s">
        <v>57</v>
      </c>
      <c r="C180" t="s">
        <v>70</v>
      </c>
      <c r="D180">
        <v>107264616</v>
      </c>
      <c r="E180" t="s">
        <v>592</v>
      </c>
      <c r="F180" t="s">
        <v>72</v>
      </c>
      <c r="G180">
        <v>0.21</v>
      </c>
      <c r="H180">
        <v>9.81</v>
      </c>
      <c r="I180">
        <v>0</v>
      </c>
      <c r="J180">
        <v>0</v>
      </c>
      <c r="K180">
        <v>10.02</v>
      </c>
      <c r="L180" t="s">
        <v>61</v>
      </c>
      <c r="M180">
        <v>365</v>
      </c>
      <c r="N180">
        <v>36.44</v>
      </c>
      <c r="O180" t="s">
        <v>62</v>
      </c>
      <c r="P180" t="s">
        <v>67</v>
      </c>
      <c r="Q180">
        <v>1659</v>
      </c>
      <c r="R180">
        <v>165.62</v>
      </c>
    </row>
    <row r="181" spans="1:18" x14ac:dyDescent="0.35">
      <c r="A181" t="s">
        <v>56</v>
      </c>
      <c r="B181" t="s">
        <v>57</v>
      </c>
      <c r="C181" t="s">
        <v>70</v>
      </c>
      <c r="D181">
        <v>107264616</v>
      </c>
      <c r="E181" t="s">
        <v>592</v>
      </c>
      <c r="F181" t="s">
        <v>72</v>
      </c>
      <c r="G181">
        <v>0.21</v>
      </c>
      <c r="H181">
        <v>9.81</v>
      </c>
      <c r="I181">
        <v>0</v>
      </c>
      <c r="J181">
        <v>0</v>
      </c>
      <c r="K181">
        <v>10.02</v>
      </c>
      <c r="L181" t="s">
        <v>61</v>
      </c>
      <c r="M181">
        <v>365</v>
      </c>
      <c r="N181">
        <v>36.44</v>
      </c>
      <c r="O181" t="s">
        <v>68</v>
      </c>
      <c r="P181" t="s">
        <v>67</v>
      </c>
      <c r="Q181">
        <v>365</v>
      </c>
      <c r="R181">
        <v>36.44</v>
      </c>
    </row>
    <row r="182" spans="1:18" x14ac:dyDescent="0.35">
      <c r="A182" t="s">
        <v>56</v>
      </c>
      <c r="B182" t="s">
        <v>57</v>
      </c>
      <c r="C182" t="s">
        <v>70</v>
      </c>
      <c r="D182">
        <v>107312682</v>
      </c>
      <c r="E182" t="s">
        <v>617</v>
      </c>
      <c r="F182" t="s">
        <v>72</v>
      </c>
      <c r="G182">
        <v>0.13</v>
      </c>
      <c r="H182">
        <v>3.36</v>
      </c>
      <c r="I182">
        <v>0</v>
      </c>
      <c r="J182">
        <v>0</v>
      </c>
      <c r="K182">
        <v>3.49</v>
      </c>
      <c r="L182" t="s">
        <v>61</v>
      </c>
      <c r="M182">
        <v>98</v>
      </c>
      <c r="N182">
        <v>28.1</v>
      </c>
      <c r="O182" t="s">
        <v>62</v>
      </c>
      <c r="P182" t="s">
        <v>63</v>
      </c>
      <c r="Q182">
        <v>102</v>
      </c>
      <c r="R182">
        <v>781.28</v>
      </c>
    </row>
    <row r="183" spans="1:18" x14ac:dyDescent="0.35">
      <c r="A183" t="s">
        <v>56</v>
      </c>
      <c r="B183" t="s">
        <v>57</v>
      </c>
      <c r="C183" t="s">
        <v>70</v>
      </c>
      <c r="D183">
        <v>107312682</v>
      </c>
      <c r="E183" t="s">
        <v>617</v>
      </c>
      <c r="F183" t="s">
        <v>72</v>
      </c>
      <c r="G183">
        <v>0.13</v>
      </c>
      <c r="H183">
        <v>3.36</v>
      </c>
      <c r="I183">
        <v>0</v>
      </c>
      <c r="J183">
        <v>0</v>
      </c>
      <c r="K183">
        <v>3.49</v>
      </c>
      <c r="L183" t="s">
        <v>61</v>
      </c>
      <c r="M183">
        <v>98</v>
      </c>
      <c r="N183">
        <v>28.1</v>
      </c>
      <c r="O183" t="s">
        <v>62</v>
      </c>
      <c r="P183" t="s">
        <v>64</v>
      </c>
      <c r="Q183">
        <v>374</v>
      </c>
      <c r="R183">
        <v>111.42</v>
      </c>
    </row>
    <row r="184" spans="1:18" x14ac:dyDescent="0.35">
      <c r="A184" t="s">
        <v>56</v>
      </c>
      <c r="B184" t="s">
        <v>57</v>
      </c>
      <c r="C184" t="s">
        <v>70</v>
      </c>
      <c r="D184">
        <v>107312682</v>
      </c>
      <c r="E184" t="s">
        <v>617</v>
      </c>
      <c r="F184" t="s">
        <v>72</v>
      </c>
      <c r="G184">
        <v>0.13</v>
      </c>
      <c r="H184">
        <v>3.36</v>
      </c>
      <c r="I184">
        <v>0</v>
      </c>
      <c r="J184">
        <v>0</v>
      </c>
      <c r="K184">
        <v>3.49</v>
      </c>
      <c r="L184" t="s">
        <v>61</v>
      </c>
      <c r="M184">
        <v>98</v>
      </c>
      <c r="N184">
        <v>28.1</v>
      </c>
      <c r="O184" t="s">
        <v>62</v>
      </c>
      <c r="P184" t="s">
        <v>65</v>
      </c>
      <c r="Q184">
        <v>0</v>
      </c>
      <c r="R184">
        <v>0</v>
      </c>
    </row>
    <row r="185" spans="1:18" x14ac:dyDescent="0.35">
      <c r="A185" t="s">
        <v>56</v>
      </c>
      <c r="B185" t="s">
        <v>57</v>
      </c>
      <c r="C185" t="s">
        <v>70</v>
      </c>
      <c r="D185">
        <v>107312682</v>
      </c>
      <c r="E185" t="s">
        <v>617</v>
      </c>
      <c r="F185" t="s">
        <v>72</v>
      </c>
      <c r="G185">
        <v>0.13</v>
      </c>
      <c r="H185">
        <v>3.36</v>
      </c>
      <c r="I185">
        <v>0</v>
      </c>
      <c r="J185">
        <v>0</v>
      </c>
      <c r="K185">
        <v>3.49</v>
      </c>
      <c r="L185" t="s">
        <v>61</v>
      </c>
      <c r="M185">
        <v>98</v>
      </c>
      <c r="N185">
        <v>28.1</v>
      </c>
      <c r="O185" t="s">
        <v>62</v>
      </c>
      <c r="P185" t="s">
        <v>66</v>
      </c>
      <c r="Q185">
        <v>0</v>
      </c>
      <c r="R185">
        <v>0</v>
      </c>
    </row>
    <row r="186" spans="1:18" x14ac:dyDescent="0.35">
      <c r="A186" t="s">
        <v>56</v>
      </c>
      <c r="B186" t="s">
        <v>57</v>
      </c>
      <c r="C186" t="s">
        <v>70</v>
      </c>
      <c r="D186">
        <v>107312682</v>
      </c>
      <c r="E186" t="s">
        <v>617</v>
      </c>
      <c r="F186" t="s">
        <v>72</v>
      </c>
      <c r="G186">
        <v>0.13</v>
      </c>
      <c r="H186">
        <v>3.36</v>
      </c>
      <c r="I186">
        <v>0</v>
      </c>
      <c r="J186">
        <v>0</v>
      </c>
      <c r="K186">
        <v>3.49</v>
      </c>
      <c r="L186" t="s">
        <v>61</v>
      </c>
      <c r="M186">
        <v>98</v>
      </c>
      <c r="N186">
        <v>28.1</v>
      </c>
      <c r="O186" t="s">
        <v>62</v>
      </c>
      <c r="P186" t="s">
        <v>67</v>
      </c>
      <c r="Q186">
        <v>476</v>
      </c>
      <c r="R186">
        <v>136.49</v>
      </c>
    </row>
    <row r="187" spans="1:18" x14ac:dyDescent="0.35">
      <c r="A187" t="s">
        <v>56</v>
      </c>
      <c r="B187" t="s">
        <v>57</v>
      </c>
      <c r="C187" t="s">
        <v>70</v>
      </c>
      <c r="D187">
        <v>107312682</v>
      </c>
      <c r="E187" t="s">
        <v>617</v>
      </c>
      <c r="F187" t="s">
        <v>72</v>
      </c>
      <c r="G187">
        <v>0.13</v>
      </c>
      <c r="H187">
        <v>3.36</v>
      </c>
      <c r="I187">
        <v>0</v>
      </c>
      <c r="J187">
        <v>0</v>
      </c>
      <c r="K187">
        <v>3.49</v>
      </c>
      <c r="L187" t="s">
        <v>61</v>
      </c>
      <c r="M187">
        <v>98</v>
      </c>
      <c r="N187">
        <v>28.1</v>
      </c>
      <c r="O187" t="s">
        <v>68</v>
      </c>
      <c r="P187" t="s">
        <v>67</v>
      </c>
      <c r="Q187">
        <v>98</v>
      </c>
      <c r="R187">
        <v>28.1</v>
      </c>
    </row>
    <row r="188" spans="1:18" x14ac:dyDescent="0.35">
      <c r="A188" t="s">
        <v>56</v>
      </c>
      <c r="B188" t="s">
        <v>57</v>
      </c>
      <c r="C188" t="s">
        <v>70</v>
      </c>
      <c r="D188">
        <v>107674648</v>
      </c>
      <c r="E188" t="s">
        <v>100</v>
      </c>
      <c r="F188" t="s">
        <v>72</v>
      </c>
      <c r="G188">
        <v>0.34</v>
      </c>
      <c r="H188">
        <v>9.61</v>
      </c>
      <c r="I188">
        <v>0</v>
      </c>
      <c r="J188">
        <v>0</v>
      </c>
      <c r="K188">
        <v>9.9499999999999993</v>
      </c>
      <c r="L188" t="s">
        <v>61</v>
      </c>
      <c r="M188">
        <v>440</v>
      </c>
      <c r="N188">
        <v>44.22</v>
      </c>
      <c r="O188" t="s">
        <v>62</v>
      </c>
      <c r="P188" t="s">
        <v>63</v>
      </c>
      <c r="Q188">
        <v>431</v>
      </c>
      <c r="R188">
        <v>1282.31</v>
      </c>
    </row>
    <row r="189" spans="1:18" x14ac:dyDescent="0.35">
      <c r="A189" t="s">
        <v>56</v>
      </c>
      <c r="B189" t="s">
        <v>57</v>
      </c>
      <c r="C189" t="s">
        <v>70</v>
      </c>
      <c r="D189">
        <v>107674648</v>
      </c>
      <c r="E189" t="s">
        <v>100</v>
      </c>
      <c r="F189" t="s">
        <v>72</v>
      </c>
      <c r="G189">
        <v>0.34</v>
      </c>
      <c r="H189">
        <v>9.61</v>
      </c>
      <c r="I189">
        <v>0</v>
      </c>
      <c r="J189">
        <v>0</v>
      </c>
      <c r="K189">
        <v>9.9499999999999993</v>
      </c>
      <c r="L189" t="s">
        <v>61</v>
      </c>
      <c r="M189">
        <v>440</v>
      </c>
      <c r="N189">
        <v>44.22</v>
      </c>
      <c r="O189" t="s">
        <v>62</v>
      </c>
      <c r="P189" t="s">
        <v>64</v>
      </c>
      <c r="Q189">
        <v>1759</v>
      </c>
      <c r="R189">
        <v>182.97</v>
      </c>
    </row>
    <row r="190" spans="1:18" x14ac:dyDescent="0.35">
      <c r="A190" t="s">
        <v>56</v>
      </c>
      <c r="B190" t="s">
        <v>57</v>
      </c>
      <c r="C190" t="s">
        <v>70</v>
      </c>
      <c r="D190">
        <v>107674648</v>
      </c>
      <c r="E190" t="s">
        <v>100</v>
      </c>
      <c r="F190" t="s">
        <v>72</v>
      </c>
      <c r="G190">
        <v>0.34</v>
      </c>
      <c r="H190">
        <v>9.61</v>
      </c>
      <c r="I190">
        <v>0</v>
      </c>
      <c r="J190">
        <v>0</v>
      </c>
      <c r="K190">
        <v>9.9499999999999993</v>
      </c>
      <c r="L190" t="s">
        <v>61</v>
      </c>
      <c r="M190">
        <v>440</v>
      </c>
      <c r="N190">
        <v>44.22</v>
      </c>
      <c r="O190" t="s">
        <v>62</v>
      </c>
      <c r="P190" t="s">
        <v>65</v>
      </c>
      <c r="Q190">
        <v>0</v>
      </c>
      <c r="R190">
        <v>0</v>
      </c>
    </row>
    <row r="191" spans="1:18" x14ac:dyDescent="0.35">
      <c r="A191" t="s">
        <v>56</v>
      </c>
      <c r="B191" t="s">
        <v>57</v>
      </c>
      <c r="C191" t="s">
        <v>70</v>
      </c>
      <c r="D191">
        <v>107674648</v>
      </c>
      <c r="E191" t="s">
        <v>100</v>
      </c>
      <c r="F191" t="s">
        <v>72</v>
      </c>
      <c r="G191">
        <v>0.34</v>
      </c>
      <c r="H191">
        <v>9.61</v>
      </c>
      <c r="I191">
        <v>0</v>
      </c>
      <c r="J191">
        <v>0</v>
      </c>
      <c r="K191">
        <v>9.9499999999999993</v>
      </c>
      <c r="L191" t="s">
        <v>61</v>
      </c>
      <c r="M191">
        <v>440</v>
      </c>
      <c r="N191">
        <v>44.22</v>
      </c>
      <c r="O191" t="s">
        <v>62</v>
      </c>
      <c r="P191" t="s">
        <v>66</v>
      </c>
      <c r="Q191">
        <v>0</v>
      </c>
      <c r="R191">
        <v>0</v>
      </c>
    </row>
    <row r="192" spans="1:18" x14ac:dyDescent="0.35">
      <c r="A192" t="s">
        <v>56</v>
      </c>
      <c r="B192" t="s">
        <v>57</v>
      </c>
      <c r="C192" t="s">
        <v>70</v>
      </c>
      <c r="D192">
        <v>107674648</v>
      </c>
      <c r="E192" t="s">
        <v>100</v>
      </c>
      <c r="F192" t="s">
        <v>72</v>
      </c>
      <c r="G192">
        <v>0.34</v>
      </c>
      <c r="H192">
        <v>9.61</v>
      </c>
      <c r="I192">
        <v>0</v>
      </c>
      <c r="J192">
        <v>0</v>
      </c>
      <c r="K192">
        <v>9.9499999999999993</v>
      </c>
      <c r="L192" t="s">
        <v>61</v>
      </c>
      <c r="M192">
        <v>440</v>
      </c>
      <c r="N192">
        <v>44.22</v>
      </c>
      <c r="O192" t="s">
        <v>62</v>
      </c>
      <c r="P192" t="s">
        <v>67</v>
      </c>
      <c r="Q192">
        <v>2190</v>
      </c>
      <c r="R192">
        <v>220.1</v>
      </c>
    </row>
    <row r="193" spans="1:18" x14ac:dyDescent="0.35">
      <c r="A193" t="s">
        <v>56</v>
      </c>
      <c r="B193" t="s">
        <v>57</v>
      </c>
      <c r="C193" t="s">
        <v>70</v>
      </c>
      <c r="D193">
        <v>107674648</v>
      </c>
      <c r="E193" t="s">
        <v>100</v>
      </c>
      <c r="F193" t="s">
        <v>72</v>
      </c>
      <c r="G193">
        <v>0.34</v>
      </c>
      <c r="H193">
        <v>9.61</v>
      </c>
      <c r="I193">
        <v>0</v>
      </c>
      <c r="J193">
        <v>0</v>
      </c>
      <c r="K193">
        <v>9.9499999999999993</v>
      </c>
      <c r="L193" t="s">
        <v>61</v>
      </c>
      <c r="M193">
        <v>440</v>
      </c>
      <c r="N193">
        <v>44.22</v>
      </c>
      <c r="O193" t="s">
        <v>68</v>
      </c>
      <c r="P193" t="s">
        <v>67</v>
      </c>
      <c r="Q193">
        <v>440</v>
      </c>
      <c r="R193">
        <v>44.22</v>
      </c>
    </row>
    <row r="194" spans="1:18" x14ac:dyDescent="0.35">
      <c r="A194" t="s">
        <v>56</v>
      </c>
      <c r="B194" t="s">
        <v>57</v>
      </c>
      <c r="C194" t="s">
        <v>58</v>
      </c>
      <c r="D194">
        <v>107704604</v>
      </c>
      <c r="E194" t="s">
        <v>101</v>
      </c>
      <c r="F194" t="s">
        <v>72</v>
      </c>
      <c r="G194">
        <v>1.58</v>
      </c>
      <c r="H194">
        <v>8.4600000000000009</v>
      </c>
      <c r="I194">
        <v>0.01</v>
      </c>
      <c r="J194">
        <v>0</v>
      </c>
      <c r="K194">
        <v>10.050000000000001</v>
      </c>
      <c r="L194" t="s">
        <v>61</v>
      </c>
      <c r="M194">
        <v>358</v>
      </c>
      <c r="N194">
        <v>35.619999999999997</v>
      </c>
      <c r="O194" t="s">
        <v>62</v>
      </c>
      <c r="P194" t="s">
        <v>63</v>
      </c>
      <c r="Q194">
        <v>2747</v>
      </c>
      <c r="R194">
        <v>1741.67</v>
      </c>
    </row>
    <row r="195" spans="1:18" x14ac:dyDescent="0.35">
      <c r="A195" t="s">
        <v>56</v>
      </c>
      <c r="B195" t="s">
        <v>57</v>
      </c>
      <c r="C195" t="s">
        <v>58</v>
      </c>
      <c r="D195">
        <v>107704604</v>
      </c>
      <c r="E195" t="s">
        <v>101</v>
      </c>
      <c r="F195" t="s">
        <v>72</v>
      </c>
      <c r="G195">
        <v>1.58</v>
      </c>
      <c r="H195">
        <v>8.4600000000000009</v>
      </c>
      <c r="I195">
        <v>0.01</v>
      </c>
      <c r="J195">
        <v>0</v>
      </c>
      <c r="K195">
        <v>10.050000000000001</v>
      </c>
      <c r="L195" t="s">
        <v>61</v>
      </c>
      <c r="M195">
        <v>358</v>
      </c>
      <c r="N195">
        <v>35.619999999999997</v>
      </c>
      <c r="O195" t="s">
        <v>62</v>
      </c>
      <c r="P195" t="s">
        <v>64</v>
      </c>
      <c r="Q195">
        <v>2104</v>
      </c>
      <c r="R195">
        <v>248.67</v>
      </c>
    </row>
    <row r="196" spans="1:18" x14ac:dyDescent="0.35">
      <c r="A196" t="s">
        <v>56</v>
      </c>
      <c r="B196" t="s">
        <v>57</v>
      </c>
      <c r="C196" t="s">
        <v>58</v>
      </c>
      <c r="D196">
        <v>107704604</v>
      </c>
      <c r="E196" t="s">
        <v>101</v>
      </c>
      <c r="F196" t="s">
        <v>72</v>
      </c>
      <c r="G196">
        <v>1.58</v>
      </c>
      <c r="H196">
        <v>8.4600000000000009</v>
      </c>
      <c r="I196">
        <v>0.01</v>
      </c>
      <c r="J196">
        <v>0</v>
      </c>
      <c r="K196">
        <v>10.050000000000001</v>
      </c>
      <c r="L196" t="s">
        <v>61</v>
      </c>
      <c r="M196">
        <v>358</v>
      </c>
      <c r="N196">
        <v>35.619999999999997</v>
      </c>
      <c r="O196" t="s">
        <v>62</v>
      </c>
      <c r="P196" t="s">
        <v>65</v>
      </c>
      <c r="Q196">
        <v>2</v>
      </c>
      <c r="R196">
        <v>175.61</v>
      </c>
    </row>
    <row r="197" spans="1:18" x14ac:dyDescent="0.35">
      <c r="A197" t="s">
        <v>56</v>
      </c>
      <c r="B197" t="s">
        <v>57</v>
      </c>
      <c r="C197" t="s">
        <v>58</v>
      </c>
      <c r="D197">
        <v>107704604</v>
      </c>
      <c r="E197" t="s">
        <v>101</v>
      </c>
      <c r="F197" t="s">
        <v>72</v>
      </c>
      <c r="G197">
        <v>1.58</v>
      </c>
      <c r="H197">
        <v>8.4600000000000009</v>
      </c>
      <c r="I197">
        <v>0.01</v>
      </c>
      <c r="J197">
        <v>0</v>
      </c>
      <c r="K197">
        <v>10.050000000000001</v>
      </c>
      <c r="L197" t="s">
        <v>61</v>
      </c>
      <c r="M197">
        <v>358</v>
      </c>
      <c r="N197">
        <v>35.619999999999997</v>
      </c>
      <c r="O197" t="s">
        <v>62</v>
      </c>
      <c r="P197" t="s">
        <v>66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58</v>
      </c>
      <c r="D198">
        <v>107704604</v>
      </c>
      <c r="E198" t="s">
        <v>101</v>
      </c>
      <c r="F198" t="s">
        <v>72</v>
      </c>
      <c r="G198">
        <v>1.58</v>
      </c>
      <c r="H198">
        <v>8.4600000000000009</v>
      </c>
      <c r="I198">
        <v>0.01</v>
      </c>
      <c r="J198">
        <v>0</v>
      </c>
      <c r="K198">
        <v>10.050000000000001</v>
      </c>
      <c r="L198" t="s">
        <v>61</v>
      </c>
      <c r="M198">
        <v>358</v>
      </c>
      <c r="N198">
        <v>35.619999999999997</v>
      </c>
      <c r="O198" t="s">
        <v>62</v>
      </c>
      <c r="P198" t="s">
        <v>67</v>
      </c>
      <c r="Q198">
        <v>4853</v>
      </c>
      <c r="R198">
        <v>482.89</v>
      </c>
    </row>
    <row r="199" spans="1:18" x14ac:dyDescent="0.35">
      <c r="A199" t="s">
        <v>56</v>
      </c>
      <c r="B199" t="s">
        <v>57</v>
      </c>
      <c r="C199" t="s">
        <v>58</v>
      </c>
      <c r="D199">
        <v>107704604</v>
      </c>
      <c r="E199" t="s">
        <v>101</v>
      </c>
      <c r="F199" t="s">
        <v>72</v>
      </c>
      <c r="G199">
        <v>1.58</v>
      </c>
      <c r="H199">
        <v>8.4600000000000009</v>
      </c>
      <c r="I199">
        <v>0.01</v>
      </c>
      <c r="J199">
        <v>0</v>
      </c>
      <c r="K199">
        <v>10.050000000000001</v>
      </c>
      <c r="L199" t="s">
        <v>61</v>
      </c>
      <c r="M199">
        <v>358</v>
      </c>
      <c r="N199">
        <v>35.619999999999997</v>
      </c>
      <c r="O199" t="s">
        <v>68</v>
      </c>
      <c r="P199" t="s">
        <v>67</v>
      </c>
      <c r="Q199">
        <v>358</v>
      </c>
      <c r="R199">
        <v>35.619999999999997</v>
      </c>
    </row>
    <row r="200" spans="1:18" x14ac:dyDescent="0.35">
      <c r="A200" t="s">
        <v>56</v>
      </c>
      <c r="B200" t="s">
        <v>57</v>
      </c>
      <c r="C200" t="s">
        <v>58</v>
      </c>
      <c r="D200">
        <v>107775413</v>
      </c>
      <c r="E200" t="s">
        <v>106</v>
      </c>
      <c r="F200" t="s">
        <v>72</v>
      </c>
      <c r="G200">
        <v>0.28000000000000003</v>
      </c>
      <c r="H200">
        <v>9.64</v>
      </c>
      <c r="I200">
        <v>0</v>
      </c>
      <c r="J200">
        <v>0</v>
      </c>
      <c r="K200">
        <v>9.92</v>
      </c>
      <c r="L200" t="s">
        <v>61</v>
      </c>
      <c r="M200">
        <v>185</v>
      </c>
      <c r="N200">
        <v>18.66</v>
      </c>
      <c r="O200" t="s">
        <v>62</v>
      </c>
      <c r="P200" t="s">
        <v>63</v>
      </c>
      <c r="Q200">
        <v>186</v>
      </c>
      <c r="R200">
        <v>666.93</v>
      </c>
    </row>
    <row r="201" spans="1:18" x14ac:dyDescent="0.35">
      <c r="A201" t="s">
        <v>56</v>
      </c>
      <c r="B201" t="s">
        <v>57</v>
      </c>
      <c r="C201" t="s">
        <v>58</v>
      </c>
      <c r="D201">
        <v>107775413</v>
      </c>
      <c r="E201" t="s">
        <v>106</v>
      </c>
      <c r="F201" t="s">
        <v>72</v>
      </c>
      <c r="G201">
        <v>0.28000000000000003</v>
      </c>
      <c r="H201">
        <v>9.64</v>
      </c>
      <c r="I201">
        <v>0</v>
      </c>
      <c r="J201">
        <v>0</v>
      </c>
      <c r="K201">
        <v>9.92</v>
      </c>
      <c r="L201" t="s">
        <v>61</v>
      </c>
      <c r="M201">
        <v>185</v>
      </c>
      <c r="N201">
        <v>18.66</v>
      </c>
      <c r="O201" t="s">
        <v>62</v>
      </c>
      <c r="P201" t="s">
        <v>64</v>
      </c>
      <c r="Q201">
        <v>917</v>
      </c>
      <c r="R201">
        <v>95.15</v>
      </c>
    </row>
    <row r="202" spans="1:18" x14ac:dyDescent="0.35">
      <c r="A202" t="s">
        <v>56</v>
      </c>
      <c r="B202" t="s">
        <v>57</v>
      </c>
      <c r="C202" t="s">
        <v>58</v>
      </c>
      <c r="D202">
        <v>107775413</v>
      </c>
      <c r="E202" t="s">
        <v>106</v>
      </c>
      <c r="F202" t="s">
        <v>72</v>
      </c>
      <c r="G202">
        <v>0.28000000000000003</v>
      </c>
      <c r="H202">
        <v>9.64</v>
      </c>
      <c r="I202">
        <v>0</v>
      </c>
      <c r="J202">
        <v>0</v>
      </c>
      <c r="K202">
        <v>9.92</v>
      </c>
      <c r="L202" t="s">
        <v>61</v>
      </c>
      <c r="M202">
        <v>185</v>
      </c>
      <c r="N202">
        <v>18.66</v>
      </c>
      <c r="O202" t="s">
        <v>62</v>
      </c>
      <c r="P202" t="s">
        <v>65</v>
      </c>
      <c r="Q202">
        <v>0</v>
      </c>
      <c r="R202">
        <v>0</v>
      </c>
    </row>
    <row r="203" spans="1:18" x14ac:dyDescent="0.35">
      <c r="A203" t="s">
        <v>56</v>
      </c>
      <c r="B203" t="s">
        <v>57</v>
      </c>
      <c r="C203" t="s">
        <v>58</v>
      </c>
      <c r="D203">
        <v>107775413</v>
      </c>
      <c r="E203" t="s">
        <v>106</v>
      </c>
      <c r="F203" t="s">
        <v>72</v>
      </c>
      <c r="G203">
        <v>0.28000000000000003</v>
      </c>
      <c r="H203">
        <v>9.64</v>
      </c>
      <c r="I203">
        <v>0</v>
      </c>
      <c r="J203">
        <v>0</v>
      </c>
      <c r="K203">
        <v>9.92</v>
      </c>
      <c r="L203" t="s">
        <v>61</v>
      </c>
      <c r="M203">
        <v>185</v>
      </c>
      <c r="N203">
        <v>18.66</v>
      </c>
      <c r="O203" t="s">
        <v>62</v>
      </c>
      <c r="P203" t="s">
        <v>66</v>
      </c>
      <c r="Q203">
        <v>0</v>
      </c>
      <c r="R203">
        <v>0</v>
      </c>
    </row>
    <row r="204" spans="1:18" x14ac:dyDescent="0.35">
      <c r="A204" t="s">
        <v>56</v>
      </c>
      <c r="B204" t="s">
        <v>57</v>
      </c>
      <c r="C204" t="s">
        <v>58</v>
      </c>
      <c r="D204">
        <v>107775413</v>
      </c>
      <c r="E204" t="s">
        <v>106</v>
      </c>
      <c r="F204" t="s">
        <v>72</v>
      </c>
      <c r="G204">
        <v>0.28000000000000003</v>
      </c>
      <c r="H204">
        <v>9.64</v>
      </c>
      <c r="I204">
        <v>0</v>
      </c>
      <c r="J204">
        <v>0</v>
      </c>
      <c r="K204">
        <v>9.92</v>
      </c>
      <c r="L204" t="s">
        <v>61</v>
      </c>
      <c r="M204">
        <v>185</v>
      </c>
      <c r="N204">
        <v>18.66</v>
      </c>
      <c r="O204" t="s">
        <v>62</v>
      </c>
      <c r="P204" t="s">
        <v>67</v>
      </c>
      <c r="Q204">
        <v>1103</v>
      </c>
      <c r="R204">
        <v>111.23</v>
      </c>
    </row>
    <row r="205" spans="1:18" x14ac:dyDescent="0.35">
      <c r="A205" t="s">
        <v>56</v>
      </c>
      <c r="B205" t="s">
        <v>57</v>
      </c>
      <c r="C205" t="s">
        <v>58</v>
      </c>
      <c r="D205">
        <v>107775413</v>
      </c>
      <c r="E205" t="s">
        <v>106</v>
      </c>
      <c r="F205" t="s">
        <v>72</v>
      </c>
      <c r="G205">
        <v>0.28000000000000003</v>
      </c>
      <c r="H205">
        <v>9.64</v>
      </c>
      <c r="I205">
        <v>0</v>
      </c>
      <c r="J205">
        <v>0</v>
      </c>
      <c r="K205">
        <v>9.92</v>
      </c>
      <c r="L205" t="s">
        <v>61</v>
      </c>
      <c r="M205">
        <v>185</v>
      </c>
      <c r="N205">
        <v>18.66</v>
      </c>
      <c r="O205" t="s">
        <v>68</v>
      </c>
      <c r="P205" t="s">
        <v>67</v>
      </c>
      <c r="Q205">
        <v>185</v>
      </c>
      <c r="R205">
        <v>18.66</v>
      </c>
    </row>
    <row r="206" spans="1:18" x14ac:dyDescent="0.35">
      <c r="A206" t="s">
        <v>56</v>
      </c>
      <c r="B206" t="s">
        <v>57</v>
      </c>
      <c r="C206" t="s">
        <v>70</v>
      </c>
      <c r="D206">
        <v>107775521</v>
      </c>
      <c r="E206" t="s">
        <v>107</v>
      </c>
      <c r="F206" t="s">
        <v>72</v>
      </c>
      <c r="G206">
        <v>0.23</v>
      </c>
      <c r="H206">
        <v>7.8</v>
      </c>
      <c r="I206">
        <v>0</v>
      </c>
      <c r="J206">
        <v>0</v>
      </c>
      <c r="K206">
        <v>8.0299999999999994</v>
      </c>
      <c r="L206" t="s">
        <v>61</v>
      </c>
      <c r="M206">
        <v>248</v>
      </c>
      <c r="N206">
        <v>30.87</v>
      </c>
      <c r="O206" t="s">
        <v>62</v>
      </c>
      <c r="P206" t="s">
        <v>63</v>
      </c>
      <c r="Q206">
        <v>219</v>
      </c>
      <c r="R206">
        <v>938.57</v>
      </c>
    </row>
    <row r="207" spans="1:18" x14ac:dyDescent="0.35">
      <c r="A207" t="s">
        <v>56</v>
      </c>
      <c r="B207" t="s">
        <v>57</v>
      </c>
      <c r="C207" t="s">
        <v>70</v>
      </c>
      <c r="D207">
        <v>107775521</v>
      </c>
      <c r="E207" t="s">
        <v>107</v>
      </c>
      <c r="F207" t="s">
        <v>72</v>
      </c>
      <c r="G207">
        <v>0.23</v>
      </c>
      <c r="H207">
        <v>7.8</v>
      </c>
      <c r="I207">
        <v>0</v>
      </c>
      <c r="J207">
        <v>0</v>
      </c>
      <c r="K207">
        <v>8.0299999999999994</v>
      </c>
      <c r="L207" t="s">
        <v>61</v>
      </c>
      <c r="M207">
        <v>248</v>
      </c>
      <c r="N207">
        <v>30.87</v>
      </c>
      <c r="O207" t="s">
        <v>62</v>
      </c>
      <c r="P207" t="s">
        <v>64</v>
      </c>
      <c r="Q207">
        <v>1045</v>
      </c>
      <c r="R207">
        <v>133.97999999999999</v>
      </c>
    </row>
    <row r="208" spans="1:18" x14ac:dyDescent="0.35">
      <c r="A208" t="s">
        <v>56</v>
      </c>
      <c r="B208" t="s">
        <v>57</v>
      </c>
      <c r="C208" t="s">
        <v>70</v>
      </c>
      <c r="D208">
        <v>107775521</v>
      </c>
      <c r="E208" t="s">
        <v>107</v>
      </c>
      <c r="F208" t="s">
        <v>72</v>
      </c>
      <c r="G208">
        <v>0.23</v>
      </c>
      <c r="H208">
        <v>7.8</v>
      </c>
      <c r="I208">
        <v>0</v>
      </c>
      <c r="J208">
        <v>0</v>
      </c>
      <c r="K208">
        <v>8.0299999999999994</v>
      </c>
      <c r="L208" t="s">
        <v>61</v>
      </c>
      <c r="M208">
        <v>248</v>
      </c>
      <c r="N208">
        <v>30.87</v>
      </c>
      <c r="O208" t="s">
        <v>62</v>
      </c>
      <c r="P208" t="s">
        <v>65</v>
      </c>
      <c r="Q208">
        <v>0</v>
      </c>
      <c r="R208">
        <v>0</v>
      </c>
    </row>
    <row r="209" spans="1:18" x14ac:dyDescent="0.35">
      <c r="A209" t="s">
        <v>56</v>
      </c>
      <c r="B209" t="s">
        <v>57</v>
      </c>
      <c r="C209" t="s">
        <v>70</v>
      </c>
      <c r="D209">
        <v>107775521</v>
      </c>
      <c r="E209" t="s">
        <v>107</v>
      </c>
      <c r="F209" t="s">
        <v>72</v>
      </c>
      <c r="G209">
        <v>0.23</v>
      </c>
      <c r="H209">
        <v>7.8</v>
      </c>
      <c r="I209">
        <v>0</v>
      </c>
      <c r="J209">
        <v>0</v>
      </c>
      <c r="K209">
        <v>8.0299999999999994</v>
      </c>
      <c r="L209" t="s">
        <v>61</v>
      </c>
      <c r="M209">
        <v>248</v>
      </c>
      <c r="N209">
        <v>30.87</v>
      </c>
      <c r="O209" t="s">
        <v>62</v>
      </c>
      <c r="P209" t="s">
        <v>66</v>
      </c>
      <c r="Q209">
        <v>0</v>
      </c>
      <c r="R209">
        <v>0</v>
      </c>
    </row>
    <row r="210" spans="1:18" x14ac:dyDescent="0.35">
      <c r="A210" t="s">
        <v>56</v>
      </c>
      <c r="B210" t="s">
        <v>57</v>
      </c>
      <c r="C210" t="s">
        <v>70</v>
      </c>
      <c r="D210">
        <v>107775521</v>
      </c>
      <c r="E210" t="s">
        <v>107</v>
      </c>
      <c r="F210" t="s">
        <v>72</v>
      </c>
      <c r="G210">
        <v>0.23</v>
      </c>
      <c r="H210">
        <v>7.8</v>
      </c>
      <c r="I210">
        <v>0</v>
      </c>
      <c r="J210">
        <v>0</v>
      </c>
      <c r="K210">
        <v>8.0299999999999994</v>
      </c>
      <c r="L210" t="s">
        <v>61</v>
      </c>
      <c r="M210">
        <v>248</v>
      </c>
      <c r="N210">
        <v>30.87</v>
      </c>
      <c r="O210" t="s">
        <v>62</v>
      </c>
      <c r="P210" t="s">
        <v>67</v>
      </c>
      <c r="Q210">
        <v>1264</v>
      </c>
      <c r="R210">
        <v>157.34</v>
      </c>
    </row>
    <row r="211" spans="1:18" x14ac:dyDescent="0.35">
      <c r="A211" t="s">
        <v>56</v>
      </c>
      <c r="B211" t="s">
        <v>57</v>
      </c>
      <c r="C211" t="s">
        <v>70</v>
      </c>
      <c r="D211">
        <v>107775521</v>
      </c>
      <c r="E211" t="s">
        <v>107</v>
      </c>
      <c r="F211" t="s">
        <v>72</v>
      </c>
      <c r="G211">
        <v>0.23</v>
      </c>
      <c r="H211">
        <v>7.8</v>
      </c>
      <c r="I211">
        <v>0</v>
      </c>
      <c r="J211">
        <v>0</v>
      </c>
      <c r="K211">
        <v>8.0299999999999994</v>
      </c>
      <c r="L211" t="s">
        <v>61</v>
      </c>
      <c r="M211">
        <v>248</v>
      </c>
      <c r="N211">
        <v>30.87</v>
      </c>
      <c r="O211" t="s">
        <v>68</v>
      </c>
      <c r="P211" t="s">
        <v>67</v>
      </c>
      <c r="Q211">
        <v>248</v>
      </c>
      <c r="R211">
        <v>30.87</v>
      </c>
    </row>
    <row r="212" spans="1:18" x14ac:dyDescent="0.35">
      <c r="A212" t="s">
        <v>56</v>
      </c>
      <c r="B212" t="s">
        <v>57</v>
      </c>
      <c r="C212" t="s">
        <v>70</v>
      </c>
      <c r="D212">
        <v>107775986</v>
      </c>
      <c r="E212" t="s">
        <v>108</v>
      </c>
      <c r="F212" t="s">
        <v>72</v>
      </c>
      <c r="G212">
        <v>0.32</v>
      </c>
      <c r="H212">
        <v>9.66</v>
      </c>
      <c r="I212">
        <v>0</v>
      </c>
      <c r="J212">
        <v>0</v>
      </c>
      <c r="K212">
        <v>9.98</v>
      </c>
      <c r="L212" t="s">
        <v>61</v>
      </c>
      <c r="M212">
        <v>435</v>
      </c>
      <c r="N212">
        <v>43.57</v>
      </c>
      <c r="O212" t="s">
        <v>62</v>
      </c>
      <c r="P212" t="s">
        <v>63</v>
      </c>
      <c r="Q212">
        <v>449</v>
      </c>
      <c r="R212">
        <v>1406.79</v>
      </c>
    </row>
    <row r="213" spans="1:18" x14ac:dyDescent="0.35">
      <c r="A213" t="s">
        <v>56</v>
      </c>
      <c r="B213" t="s">
        <v>57</v>
      </c>
      <c r="C213" t="s">
        <v>70</v>
      </c>
      <c r="D213">
        <v>107775986</v>
      </c>
      <c r="E213" t="s">
        <v>108</v>
      </c>
      <c r="F213" t="s">
        <v>72</v>
      </c>
      <c r="G213">
        <v>0.32</v>
      </c>
      <c r="H213">
        <v>9.66</v>
      </c>
      <c r="I213">
        <v>0</v>
      </c>
      <c r="J213">
        <v>0</v>
      </c>
      <c r="K213">
        <v>9.98</v>
      </c>
      <c r="L213" t="s">
        <v>61</v>
      </c>
      <c r="M213">
        <v>435</v>
      </c>
      <c r="N213">
        <v>43.57</v>
      </c>
      <c r="O213" t="s">
        <v>62</v>
      </c>
      <c r="P213" t="s">
        <v>64</v>
      </c>
      <c r="Q213">
        <v>1940</v>
      </c>
      <c r="R213">
        <v>200.75</v>
      </c>
    </row>
    <row r="214" spans="1:18" x14ac:dyDescent="0.35">
      <c r="A214" t="s">
        <v>56</v>
      </c>
      <c r="B214" t="s">
        <v>57</v>
      </c>
      <c r="C214" t="s">
        <v>70</v>
      </c>
      <c r="D214">
        <v>107775986</v>
      </c>
      <c r="E214" t="s">
        <v>108</v>
      </c>
      <c r="F214" t="s">
        <v>72</v>
      </c>
      <c r="G214">
        <v>0.32</v>
      </c>
      <c r="H214">
        <v>9.66</v>
      </c>
      <c r="I214">
        <v>0</v>
      </c>
      <c r="J214">
        <v>0</v>
      </c>
      <c r="K214">
        <v>9.98</v>
      </c>
      <c r="L214" t="s">
        <v>61</v>
      </c>
      <c r="M214">
        <v>435</v>
      </c>
      <c r="N214">
        <v>43.57</v>
      </c>
      <c r="O214" t="s">
        <v>62</v>
      </c>
      <c r="P214" t="s">
        <v>65</v>
      </c>
      <c r="Q214">
        <v>0</v>
      </c>
      <c r="R214">
        <v>0</v>
      </c>
    </row>
    <row r="215" spans="1:18" x14ac:dyDescent="0.35">
      <c r="A215" t="s">
        <v>56</v>
      </c>
      <c r="B215" t="s">
        <v>57</v>
      </c>
      <c r="C215" t="s">
        <v>70</v>
      </c>
      <c r="D215">
        <v>107775986</v>
      </c>
      <c r="E215" t="s">
        <v>108</v>
      </c>
      <c r="F215" t="s">
        <v>72</v>
      </c>
      <c r="G215">
        <v>0.32</v>
      </c>
      <c r="H215">
        <v>9.66</v>
      </c>
      <c r="I215">
        <v>0</v>
      </c>
      <c r="J215">
        <v>0</v>
      </c>
      <c r="K215">
        <v>9.98</v>
      </c>
      <c r="L215" t="s">
        <v>61</v>
      </c>
      <c r="M215">
        <v>435</v>
      </c>
      <c r="N215">
        <v>43.57</v>
      </c>
      <c r="O215" t="s">
        <v>62</v>
      </c>
      <c r="P215" t="s">
        <v>66</v>
      </c>
      <c r="Q215">
        <v>0</v>
      </c>
      <c r="R215">
        <v>0</v>
      </c>
    </row>
    <row r="216" spans="1:18" x14ac:dyDescent="0.35">
      <c r="A216" t="s">
        <v>56</v>
      </c>
      <c r="B216" t="s">
        <v>57</v>
      </c>
      <c r="C216" t="s">
        <v>70</v>
      </c>
      <c r="D216">
        <v>107775986</v>
      </c>
      <c r="E216" t="s">
        <v>108</v>
      </c>
      <c r="F216" t="s">
        <v>72</v>
      </c>
      <c r="G216">
        <v>0.32</v>
      </c>
      <c r="H216">
        <v>9.66</v>
      </c>
      <c r="I216">
        <v>0</v>
      </c>
      <c r="J216">
        <v>0</v>
      </c>
      <c r="K216">
        <v>9.98</v>
      </c>
      <c r="L216" t="s">
        <v>61</v>
      </c>
      <c r="M216">
        <v>435</v>
      </c>
      <c r="N216">
        <v>43.57</v>
      </c>
      <c r="O216" t="s">
        <v>62</v>
      </c>
      <c r="P216" t="s">
        <v>67</v>
      </c>
      <c r="Q216">
        <v>2389</v>
      </c>
      <c r="R216">
        <v>239.3</v>
      </c>
    </row>
    <row r="217" spans="1:18" x14ac:dyDescent="0.35">
      <c r="A217" t="s">
        <v>56</v>
      </c>
      <c r="B217" t="s">
        <v>57</v>
      </c>
      <c r="C217" t="s">
        <v>70</v>
      </c>
      <c r="D217">
        <v>107775986</v>
      </c>
      <c r="E217" t="s">
        <v>108</v>
      </c>
      <c r="F217" t="s">
        <v>72</v>
      </c>
      <c r="G217">
        <v>0.32</v>
      </c>
      <c r="H217">
        <v>9.66</v>
      </c>
      <c r="I217">
        <v>0</v>
      </c>
      <c r="J217">
        <v>0</v>
      </c>
      <c r="K217">
        <v>9.98</v>
      </c>
      <c r="L217" t="s">
        <v>61</v>
      </c>
      <c r="M217">
        <v>435</v>
      </c>
      <c r="N217">
        <v>43.57</v>
      </c>
      <c r="O217" t="s">
        <v>68</v>
      </c>
      <c r="P217" t="s">
        <v>67</v>
      </c>
      <c r="Q217">
        <v>435</v>
      </c>
      <c r="R217">
        <v>43.57</v>
      </c>
    </row>
    <row r="218" spans="1:18" x14ac:dyDescent="0.35">
      <c r="A218" t="s">
        <v>56</v>
      </c>
      <c r="B218" t="s">
        <v>57</v>
      </c>
      <c r="C218" t="s">
        <v>70</v>
      </c>
      <c r="D218">
        <v>107791373</v>
      </c>
      <c r="E218" t="s">
        <v>618</v>
      </c>
      <c r="F218" t="s">
        <v>72</v>
      </c>
      <c r="G218">
        <v>0.22</v>
      </c>
      <c r="H218">
        <v>9.82</v>
      </c>
      <c r="I218">
        <v>0</v>
      </c>
      <c r="J218">
        <v>0</v>
      </c>
      <c r="K218">
        <v>10.029999999999999</v>
      </c>
      <c r="L218" t="s">
        <v>61</v>
      </c>
      <c r="M218">
        <v>457</v>
      </c>
      <c r="N218">
        <v>45.55</v>
      </c>
      <c r="O218" t="s">
        <v>62</v>
      </c>
      <c r="P218" t="s">
        <v>63</v>
      </c>
      <c r="Q218">
        <v>265</v>
      </c>
      <c r="R218">
        <v>1230.97</v>
      </c>
    </row>
    <row r="219" spans="1:18" x14ac:dyDescent="0.35">
      <c r="A219" t="s">
        <v>56</v>
      </c>
      <c r="B219" t="s">
        <v>57</v>
      </c>
      <c r="C219" t="s">
        <v>70</v>
      </c>
      <c r="D219">
        <v>107791373</v>
      </c>
      <c r="E219" t="s">
        <v>618</v>
      </c>
      <c r="F219" t="s">
        <v>72</v>
      </c>
      <c r="G219">
        <v>0.22</v>
      </c>
      <c r="H219">
        <v>9.82</v>
      </c>
      <c r="I219">
        <v>0</v>
      </c>
      <c r="J219">
        <v>0</v>
      </c>
      <c r="K219">
        <v>10.029999999999999</v>
      </c>
      <c r="L219" t="s">
        <v>61</v>
      </c>
      <c r="M219">
        <v>457</v>
      </c>
      <c r="N219">
        <v>45.55</v>
      </c>
      <c r="O219" t="s">
        <v>62</v>
      </c>
      <c r="P219" t="s">
        <v>64</v>
      </c>
      <c r="Q219">
        <v>1724</v>
      </c>
      <c r="R219">
        <v>175.6</v>
      </c>
    </row>
    <row r="220" spans="1:18" x14ac:dyDescent="0.35">
      <c r="A220" t="s">
        <v>56</v>
      </c>
      <c r="B220" t="s">
        <v>57</v>
      </c>
      <c r="C220" t="s">
        <v>70</v>
      </c>
      <c r="D220">
        <v>107791373</v>
      </c>
      <c r="E220" t="s">
        <v>618</v>
      </c>
      <c r="F220" t="s">
        <v>72</v>
      </c>
      <c r="G220">
        <v>0.22</v>
      </c>
      <c r="H220">
        <v>9.82</v>
      </c>
      <c r="I220">
        <v>0</v>
      </c>
      <c r="J220">
        <v>0</v>
      </c>
      <c r="K220">
        <v>10.029999999999999</v>
      </c>
      <c r="L220" t="s">
        <v>61</v>
      </c>
      <c r="M220">
        <v>457</v>
      </c>
      <c r="N220">
        <v>45.55</v>
      </c>
      <c r="O220" t="s">
        <v>62</v>
      </c>
      <c r="P220" t="s">
        <v>65</v>
      </c>
      <c r="Q220">
        <v>0</v>
      </c>
      <c r="R220">
        <v>0</v>
      </c>
    </row>
    <row r="221" spans="1:18" x14ac:dyDescent="0.35">
      <c r="A221" t="s">
        <v>56</v>
      </c>
      <c r="B221" t="s">
        <v>57</v>
      </c>
      <c r="C221" t="s">
        <v>70</v>
      </c>
      <c r="D221">
        <v>107791373</v>
      </c>
      <c r="E221" t="s">
        <v>618</v>
      </c>
      <c r="F221" t="s">
        <v>72</v>
      </c>
      <c r="G221">
        <v>0.22</v>
      </c>
      <c r="H221">
        <v>9.82</v>
      </c>
      <c r="I221">
        <v>0</v>
      </c>
      <c r="J221">
        <v>0</v>
      </c>
      <c r="K221">
        <v>10.029999999999999</v>
      </c>
      <c r="L221" t="s">
        <v>61</v>
      </c>
      <c r="M221">
        <v>457</v>
      </c>
      <c r="N221">
        <v>45.55</v>
      </c>
      <c r="O221" t="s">
        <v>62</v>
      </c>
      <c r="P221" t="s">
        <v>66</v>
      </c>
      <c r="Q221">
        <v>0</v>
      </c>
      <c r="R221">
        <v>0</v>
      </c>
    </row>
    <row r="222" spans="1:18" x14ac:dyDescent="0.35">
      <c r="A222" t="s">
        <v>56</v>
      </c>
      <c r="B222" t="s">
        <v>57</v>
      </c>
      <c r="C222" t="s">
        <v>70</v>
      </c>
      <c r="D222">
        <v>107791373</v>
      </c>
      <c r="E222" t="s">
        <v>618</v>
      </c>
      <c r="F222" t="s">
        <v>72</v>
      </c>
      <c r="G222">
        <v>0.22</v>
      </c>
      <c r="H222">
        <v>9.82</v>
      </c>
      <c r="I222">
        <v>0</v>
      </c>
      <c r="J222">
        <v>0</v>
      </c>
      <c r="K222">
        <v>10.029999999999999</v>
      </c>
      <c r="L222" t="s">
        <v>61</v>
      </c>
      <c r="M222">
        <v>457</v>
      </c>
      <c r="N222">
        <v>45.55</v>
      </c>
      <c r="O222" t="s">
        <v>62</v>
      </c>
      <c r="P222" t="s">
        <v>67</v>
      </c>
      <c r="Q222">
        <v>1989</v>
      </c>
      <c r="R222">
        <v>198.24</v>
      </c>
    </row>
    <row r="223" spans="1:18" x14ac:dyDescent="0.35">
      <c r="A223" t="s">
        <v>56</v>
      </c>
      <c r="B223" t="s">
        <v>57</v>
      </c>
      <c r="C223" t="s">
        <v>70</v>
      </c>
      <c r="D223">
        <v>107791373</v>
      </c>
      <c r="E223" t="s">
        <v>618</v>
      </c>
      <c r="F223" t="s">
        <v>72</v>
      </c>
      <c r="G223">
        <v>0.22</v>
      </c>
      <c r="H223">
        <v>9.82</v>
      </c>
      <c r="I223">
        <v>0</v>
      </c>
      <c r="J223">
        <v>0</v>
      </c>
      <c r="K223">
        <v>10.029999999999999</v>
      </c>
      <c r="L223" t="s">
        <v>61</v>
      </c>
      <c r="M223">
        <v>457</v>
      </c>
      <c r="N223">
        <v>45.55</v>
      </c>
      <c r="O223" t="s">
        <v>68</v>
      </c>
      <c r="P223" t="s">
        <v>67</v>
      </c>
      <c r="Q223">
        <v>457</v>
      </c>
      <c r="R223">
        <v>45.55</v>
      </c>
    </row>
    <row r="224" spans="1:18" x14ac:dyDescent="0.35">
      <c r="A224" t="s">
        <v>56</v>
      </c>
      <c r="B224" t="s">
        <v>57</v>
      </c>
      <c r="C224" t="s">
        <v>70</v>
      </c>
      <c r="D224">
        <v>107843844</v>
      </c>
      <c r="E224" t="s">
        <v>601</v>
      </c>
      <c r="F224" t="s">
        <v>72</v>
      </c>
      <c r="G224">
        <v>0.21</v>
      </c>
      <c r="H224">
        <v>9.92</v>
      </c>
      <c r="I224">
        <v>0</v>
      </c>
      <c r="J224">
        <v>0</v>
      </c>
      <c r="K224">
        <v>10.130000000000001</v>
      </c>
      <c r="L224" t="s">
        <v>61</v>
      </c>
      <c r="M224">
        <v>408</v>
      </c>
      <c r="N224">
        <v>40.26</v>
      </c>
      <c r="O224" t="s">
        <v>62</v>
      </c>
      <c r="P224" t="s">
        <v>63</v>
      </c>
      <c r="Q224">
        <v>266</v>
      </c>
      <c r="R224">
        <v>1261.6600000000001</v>
      </c>
    </row>
    <row r="225" spans="1:18" x14ac:dyDescent="0.35">
      <c r="A225" t="s">
        <v>56</v>
      </c>
      <c r="B225" t="s">
        <v>57</v>
      </c>
      <c r="C225" t="s">
        <v>70</v>
      </c>
      <c r="D225">
        <v>107843844</v>
      </c>
      <c r="E225" t="s">
        <v>601</v>
      </c>
      <c r="F225" t="s">
        <v>72</v>
      </c>
      <c r="G225">
        <v>0.21</v>
      </c>
      <c r="H225">
        <v>9.92</v>
      </c>
      <c r="I225">
        <v>0</v>
      </c>
      <c r="J225">
        <v>0</v>
      </c>
      <c r="K225">
        <v>10.130000000000001</v>
      </c>
      <c r="L225" t="s">
        <v>61</v>
      </c>
      <c r="M225">
        <v>408</v>
      </c>
      <c r="N225">
        <v>40.26</v>
      </c>
      <c r="O225" t="s">
        <v>62</v>
      </c>
      <c r="P225" t="s">
        <v>64</v>
      </c>
      <c r="Q225">
        <v>1786</v>
      </c>
      <c r="R225">
        <v>180</v>
      </c>
    </row>
    <row r="226" spans="1:18" x14ac:dyDescent="0.35">
      <c r="A226" t="s">
        <v>56</v>
      </c>
      <c r="B226" t="s">
        <v>57</v>
      </c>
      <c r="C226" t="s">
        <v>70</v>
      </c>
      <c r="D226">
        <v>107843844</v>
      </c>
      <c r="E226" t="s">
        <v>601</v>
      </c>
      <c r="F226" t="s">
        <v>72</v>
      </c>
      <c r="G226">
        <v>0.21</v>
      </c>
      <c r="H226">
        <v>9.92</v>
      </c>
      <c r="I226">
        <v>0</v>
      </c>
      <c r="J226">
        <v>0</v>
      </c>
      <c r="K226">
        <v>10.130000000000001</v>
      </c>
      <c r="L226" t="s">
        <v>61</v>
      </c>
      <c r="M226">
        <v>408</v>
      </c>
      <c r="N226">
        <v>40.26</v>
      </c>
      <c r="O226" t="s">
        <v>62</v>
      </c>
      <c r="P226" t="s">
        <v>65</v>
      </c>
      <c r="Q226">
        <v>0</v>
      </c>
      <c r="R226">
        <v>0</v>
      </c>
    </row>
    <row r="227" spans="1:18" x14ac:dyDescent="0.35">
      <c r="A227" t="s">
        <v>56</v>
      </c>
      <c r="B227" t="s">
        <v>57</v>
      </c>
      <c r="C227" t="s">
        <v>70</v>
      </c>
      <c r="D227">
        <v>107843844</v>
      </c>
      <c r="E227" t="s">
        <v>601</v>
      </c>
      <c r="F227" t="s">
        <v>72</v>
      </c>
      <c r="G227">
        <v>0.21</v>
      </c>
      <c r="H227">
        <v>9.92</v>
      </c>
      <c r="I227">
        <v>0</v>
      </c>
      <c r="J227">
        <v>0</v>
      </c>
      <c r="K227">
        <v>10.130000000000001</v>
      </c>
      <c r="L227" t="s">
        <v>61</v>
      </c>
      <c r="M227">
        <v>408</v>
      </c>
      <c r="N227">
        <v>40.26</v>
      </c>
      <c r="O227" t="s">
        <v>62</v>
      </c>
      <c r="P227" t="s">
        <v>66</v>
      </c>
      <c r="Q227">
        <v>0</v>
      </c>
      <c r="R227">
        <v>0</v>
      </c>
    </row>
    <row r="228" spans="1:18" x14ac:dyDescent="0.35">
      <c r="A228" t="s">
        <v>56</v>
      </c>
      <c r="B228" t="s">
        <v>57</v>
      </c>
      <c r="C228" t="s">
        <v>70</v>
      </c>
      <c r="D228">
        <v>107843844</v>
      </c>
      <c r="E228" t="s">
        <v>601</v>
      </c>
      <c r="F228" t="s">
        <v>72</v>
      </c>
      <c r="G228">
        <v>0.21</v>
      </c>
      <c r="H228">
        <v>9.92</v>
      </c>
      <c r="I228">
        <v>0</v>
      </c>
      <c r="J228">
        <v>0</v>
      </c>
      <c r="K228">
        <v>10.130000000000001</v>
      </c>
      <c r="L228" t="s">
        <v>61</v>
      </c>
      <c r="M228">
        <v>408</v>
      </c>
      <c r="N228">
        <v>40.26</v>
      </c>
      <c r="O228" t="s">
        <v>62</v>
      </c>
      <c r="P228" t="s">
        <v>67</v>
      </c>
      <c r="Q228">
        <v>2052</v>
      </c>
      <c r="R228">
        <v>202.5</v>
      </c>
    </row>
    <row r="229" spans="1:18" x14ac:dyDescent="0.35">
      <c r="A229" t="s">
        <v>56</v>
      </c>
      <c r="B229" t="s">
        <v>57</v>
      </c>
      <c r="C229" t="s">
        <v>70</v>
      </c>
      <c r="D229">
        <v>107843844</v>
      </c>
      <c r="E229" t="s">
        <v>601</v>
      </c>
      <c r="F229" t="s">
        <v>72</v>
      </c>
      <c r="G229">
        <v>0.21</v>
      </c>
      <c r="H229">
        <v>9.92</v>
      </c>
      <c r="I229">
        <v>0</v>
      </c>
      <c r="J229">
        <v>0</v>
      </c>
      <c r="K229">
        <v>10.130000000000001</v>
      </c>
      <c r="L229" t="s">
        <v>61</v>
      </c>
      <c r="M229">
        <v>408</v>
      </c>
      <c r="N229">
        <v>40.26</v>
      </c>
      <c r="O229" t="s">
        <v>68</v>
      </c>
      <c r="P229" t="s">
        <v>67</v>
      </c>
      <c r="Q229">
        <v>408</v>
      </c>
      <c r="R229">
        <v>40.26</v>
      </c>
    </row>
    <row r="230" spans="1:18" x14ac:dyDescent="0.35">
      <c r="A230" t="s">
        <v>56</v>
      </c>
      <c r="B230" t="s">
        <v>57</v>
      </c>
      <c r="C230" t="s">
        <v>70</v>
      </c>
      <c r="D230">
        <v>107843876</v>
      </c>
      <c r="E230" t="s">
        <v>602</v>
      </c>
      <c r="F230" t="s">
        <v>72</v>
      </c>
      <c r="G230">
        <v>0.2</v>
      </c>
      <c r="H230">
        <v>9.83</v>
      </c>
      <c r="I230">
        <v>0.03</v>
      </c>
      <c r="J230">
        <v>0</v>
      </c>
      <c r="K230">
        <v>10.07</v>
      </c>
      <c r="L230" t="s">
        <v>61</v>
      </c>
      <c r="M230">
        <v>399</v>
      </c>
      <c r="N230">
        <v>39.64</v>
      </c>
      <c r="O230" t="s">
        <v>62</v>
      </c>
      <c r="P230" t="s">
        <v>63</v>
      </c>
      <c r="Q230">
        <v>364</v>
      </c>
      <c r="R230">
        <v>1782.86</v>
      </c>
    </row>
    <row r="231" spans="1:18" x14ac:dyDescent="0.35">
      <c r="A231" t="s">
        <v>56</v>
      </c>
      <c r="B231" t="s">
        <v>57</v>
      </c>
      <c r="C231" t="s">
        <v>70</v>
      </c>
      <c r="D231">
        <v>107843876</v>
      </c>
      <c r="E231" t="s">
        <v>602</v>
      </c>
      <c r="F231" t="s">
        <v>72</v>
      </c>
      <c r="G231">
        <v>0.2</v>
      </c>
      <c r="H231">
        <v>9.83</v>
      </c>
      <c r="I231">
        <v>0.03</v>
      </c>
      <c r="J231">
        <v>0</v>
      </c>
      <c r="K231">
        <v>10.07</v>
      </c>
      <c r="L231" t="s">
        <v>61</v>
      </c>
      <c r="M231">
        <v>399</v>
      </c>
      <c r="N231">
        <v>39.64</v>
      </c>
      <c r="O231" t="s">
        <v>62</v>
      </c>
      <c r="P231" t="s">
        <v>64</v>
      </c>
      <c r="Q231">
        <v>2502</v>
      </c>
      <c r="R231">
        <v>254.56</v>
      </c>
    </row>
    <row r="232" spans="1:18" x14ac:dyDescent="0.35">
      <c r="A232" t="s">
        <v>56</v>
      </c>
      <c r="B232" t="s">
        <v>57</v>
      </c>
      <c r="C232" t="s">
        <v>70</v>
      </c>
      <c r="D232">
        <v>107843876</v>
      </c>
      <c r="E232" t="s">
        <v>602</v>
      </c>
      <c r="F232" t="s">
        <v>72</v>
      </c>
      <c r="G232">
        <v>0.2</v>
      </c>
      <c r="H232">
        <v>9.83</v>
      </c>
      <c r="I232">
        <v>0.03</v>
      </c>
      <c r="J232">
        <v>0</v>
      </c>
      <c r="K232">
        <v>10.07</v>
      </c>
      <c r="L232" t="s">
        <v>61</v>
      </c>
      <c r="M232">
        <v>399</v>
      </c>
      <c r="N232">
        <v>39.64</v>
      </c>
      <c r="O232" t="s">
        <v>62</v>
      </c>
      <c r="P232" t="s">
        <v>65</v>
      </c>
      <c r="Q232">
        <v>6</v>
      </c>
      <c r="R232">
        <v>180</v>
      </c>
    </row>
    <row r="233" spans="1:18" x14ac:dyDescent="0.35">
      <c r="A233" t="s">
        <v>56</v>
      </c>
      <c r="B233" t="s">
        <v>57</v>
      </c>
      <c r="C233" t="s">
        <v>70</v>
      </c>
      <c r="D233">
        <v>107843876</v>
      </c>
      <c r="E233" t="s">
        <v>602</v>
      </c>
      <c r="F233" t="s">
        <v>72</v>
      </c>
      <c r="G233">
        <v>0.2</v>
      </c>
      <c r="H233">
        <v>9.83</v>
      </c>
      <c r="I233">
        <v>0.03</v>
      </c>
      <c r="J233">
        <v>0</v>
      </c>
      <c r="K233">
        <v>10.07</v>
      </c>
      <c r="L233" t="s">
        <v>61</v>
      </c>
      <c r="M233">
        <v>399</v>
      </c>
      <c r="N233">
        <v>39.64</v>
      </c>
      <c r="O233" t="s">
        <v>62</v>
      </c>
      <c r="P233" t="s">
        <v>66</v>
      </c>
      <c r="Q233">
        <v>0</v>
      </c>
      <c r="R233">
        <v>0</v>
      </c>
    </row>
    <row r="234" spans="1:18" x14ac:dyDescent="0.35">
      <c r="A234" t="s">
        <v>56</v>
      </c>
      <c r="B234" t="s">
        <v>57</v>
      </c>
      <c r="C234" t="s">
        <v>70</v>
      </c>
      <c r="D234">
        <v>107843876</v>
      </c>
      <c r="E234" t="s">
        <v>602</v>
      </c>
      <c r="F234" t="s">
        <v>72</v>
      </c>
      <c r="G234">
        <v>0.2</v>
      </c>
      <c r="H234">
        <v>9.83</v>
      </c>
      <c r="I234">
        <v>0.03</v>
      </c>
      <c r="J234">
        <v>0</v>
      </c>
      <c r="K234">
        <v>10.07</v>
      </c>
      <c r="L234" t="s">
        <v>61</v>
      </c>
      <c r="M234">
        <v>399</v>
      </c>
      <c r="N234">
        <v>39.64</v>
      </c>
      <c r="O234" t="s">
        <v>62</v>
      </c>
      <c r="P234" t="s">
        <v>67</v>
      </c>
      <c r="Q234">
        <v>2872</v>
      </c>
      <c r="R234">
        <v>285.3</v>
      </c>
    </row>
    <row r="235" spans="1:18" x14ac:dyDescent="0.35">
      <c r="A235" t="s">
        <v>56</v>
      </c>
      <c r="B235" t="s">
        <v>57</v>
      </c>
      <c r="C235" t="s">
        <v>70</v>
      </c>
      <c r="D235">
        <v>107843876</v>
      </c>
      <c r="E235" t="s">
        <v>602</v>
      </c>
      <c r="F235" t="s">
        <v>72</v>
      </c>
      <c r="G235">
        <v>0.2</v>
      </c>
      <c r="H235">
        <v>9.83</v>
      </c>
      <c r="I235">
        <v>0.03</v>
      </c>
      <c r="J235">
        <v>0</v>
      </c>
      <c r="K235">
        <v>10.07</v>
      </c>
      <c r="L235" t="s">
        <v>61</v>
      </c>
      <c r="M235">
        <v>399</v>
      </c>
      <c r="N235">
        <v>39.64</v>
      </c>
      <c r="O235" t="s">
        <v>68</v>
      </c>
      <c r="P235" t="s">
        <v>67</v>
      </c>
      <c r="Q235">
        <v>399</v>
      </c>
      <c r="R235">
        <v>39.64</v>
      </c>
    </row>
    <row r="236" spans="1:18" x14ac:dyDescent="0.35">
      <c r="A236" t="s">
        <v>56</v>
      </c>
      <c r="B236" t="s">
        <v>57</v>
      </c>
      <c r="C236" t="s">
        <v>70</v>
      </c>
      <c r="D236">
        <v>107843891</v>
      </c>
      <c r="E236" t="s">
        <v>603</v>
      </c>
      <c r="F236" t="s">
        <v>72</v>
      </c>
      <c r="G236">
        <v>0.19</v>
      </c>
      <c r="H236">
        <v>2.71</v>
      </c>
      <c r="I236">
        <v>0</v>
      </c>
      <c r="J236">
        <v>0</v>
      </c>
      <c r="K236">
        <v>2.9</v>
      </c>
      <c r="L236" t="s">
        <v>61</v>
      </c>
      <c r="M236">
        <v>83</v>
      </c>
      <c r="N236">
        <v>28.58</v>
      </c>
      <c r="O236" t="s">
        <v>62</v>
      </c>
      <c r="P236" t="s">
        <v>63</v>
      </c>
      <c r="Q236">
        <v>190</v>
      </c>
      <c r="R236">
        <v>1007.36</v>
      </c>
    </row>
    <row r="237" spans="1:18" x14ac:dyDescent="0.35">
      <c r="A237" t="s">
        <v>56</v>
      </c>
      <c r="B237" t="s">
        <v>57</v>
      </c>
      <c r="C237" t="s">
        <v>70</v>
      </c>
      <c r="D237">
        <v>107843891</v>
      </c>
      <c r="E237" t="s">
        <v>603</v>
      </c>
      <c r="F237" t="s">
        <v>72</v>
      </c>
      <c r="G237">
        <v>0.19</v>
      </c>
      <c r="H237">
        <v>2.71</v>
      </c>
      <c r="I237">
        <v>0</v>
      </c>
      <c r="J237">
        <v>0</v>
      </c>
      <c r="K237">
        <v>2.9</v>
      </c>
      <c r="L237" t="s">
        <v>61</v>
      </c>
      <c r="M237">
        <v>83</v>
      </c>
      <c r="N237">
        <v>28.58</v>
      </c>
      <c r="O237" t="s">
        <v>62</v>
      </c>
      <c r="P237" t="s">
        <v>64</v>
      </c>
      <c r="Q237">
        <v>390</v>
      </c>
      <c r="R237">
        <v>143.65</v>
      </c>
    </row>
    <row r="238" spans="1:18" x14ac:dyDescent="0.35">
      <c r="A238" t="s">
        <v>56</v>
      </c>
      <c r="B238" t="s">
        <v>57</v>
      </c>
      <c r="C238" t="s">
        <v>70</v>
      </c>
      <c r="D238">
        <v>107843891</v>
      </c>
      <c r="E238" t="s">
        <v>603</v>
      </c>
      <c r="F238" t="s">
        <v>72</v>
      </c>
      <c r="G238">
        <v>0.19</v>
      </c>
      <c r="H238">
        <v>2.71</v>
      </c>
      <c r="I238">
        <v>0</v>
      </c>
      <c r="J238">
        <v>0</v>
      </c>
      <c r="K238">
        <v>2.9</v>
      </c>
      <c r="L238" t="s">
        <v>61</v>
      </c>
      <c r="M238">
        <v>83</v>
      </c>
      <c r="N238">
        <v>28.58</v>
      </c>
      <c r="O238" t="s">
        <v>62</v>
      </c>
      <c r="P238" t="s">
        <v>65</v>
      </c>
      <c r="Q238">
        <v>0</v>
      </c>
      <c r="R238">
        <v>0</v>
      </c>
    </row>
    <row r="239" spans="1:18" x14ac:dyDescent="0.35">
      <c r="A239" t="s">
        <v>56</v>
      </c>
      <c r="B239" t="s">
        <v>57</v>
      </c>
      <c r="C239" t="s">
        <v>70</v>
      </c>
      <c r="D239">
        <v>107843891</v>
      </c>
      <c r="E239" t="s">
        <v>603</v>
      </c>
      <c r="F239" t="s">
        <v>72</v>
      </c>
      <c r="G239">
        <v>0.19</v>
      </c>
      <c r="H239">
        <v>2.71</v>
      </c>
      <c r="I239">
        <v>0</v>
      </c>
      <c r="J239">
        <v>0</v>
      </c>
      <c r="K239">
        <v>2.9</v>
      </c>
      <c r="L239" t="s">
        <v>61</v>
      </c>
      <c r="M239">
        <v>83</v>
      </c>
      <c r="N239">
        <v>28.58</v>
      </c>
      <c r="O239" t="s">
        <v>62</v>
      </c>
      <c r="P239" t="s">
        <v>66</v>
      </c>
      <c r="Q239">
        <v>0</v>
      </c>
      <c r="R239">
        <v>0</v>
      </c>
    </row>
    <row r="240" spans="1:18" x14ac:dyDescent="0.35">
      <c r="A240" t="s">
        <v>56</v>
      </c>
      <c r="B240" t="s">
        <v>57</v>
      </c>
      <c r="C240" t="s">
        <v>70</v>
      </c>
      <c r="D240">
        <v>107843891</v>
      </c>
      <c r="E240" t="s">
        <v>603</v>
      </c>
      <c r="F240" t="s">
        <v>72</v>
      </c>
      <c r="G240">
        <v>0.19</v>
      </c>
      <c r="H240">
        <v>2.71</v>
      </c>
      <c r="I240">
        <v>0</v>
      </c>
      <c r="J240">
        <v>0</v>
      </c>
      <c r="K240">
        <v>2.9</v>
      </c>
      <c r="L240" t="s">
        <v>61</v>
      </c>
      <c r="M240">
        <v>83</v>
      </c>
      <c r="N240">
        <v>28.58</v>
      </c>
      <c r="O240" t="s">
        <v>62</v>
      </c>
      <c r="P240" t="s">
        <v>67</v>
      </c>
      <c r="Q240">
        <v>580</v>
      </c>
      <c r="R240">
        <v>199.73</v>
      </c>
    </row>
    <row r="241" spans="1:18" x14ac:dyDescent="0.35">
      <c r="A241" t="s">
        <v>56</v>
      </c>
      <c r="B241" t="s">
        <v>57</v>
      </c>
      <c r="C241" t="s">
        <v>70</v>
      </c>
      <c r="D241">
        <v>107843891</v>
      </c>
      <c r="E241" t="s">
        <v>603</v>
      </c>
      <c r="F241" t="s">
        <v>72</v>
      </c>
      <c r="G241">
        <v>0.19</v>
      </c>
      <c r="H241">
        <v>2.71</v>
      </c>
      <c r="I241">
        <v>0</v>
      </c>
      <c r="J241">
        <v>0</v>
      </c>
      <c r="K241">
        <v>2.9</v>
      </c>
      <c r="L241" t="s">
        <v>61</v>
      </c>
      <c r="M241">
        <v>83</v>
      </c>
      <c r="N241">
        <v>28.58</v>
      </c>
      <c r="O241" t="s">
        <v>68</v>
      </c>
      <c r="P241" t="s">
        <v>67</v>
      </c>
      <c r="Q241">
        <v>83</v>
      </c>
      <c r="R241">
        <v>28.58</v>
      </c>
    </row>
    <row r="242" spans="1:18" x14ac:dyDescent="0.35">
      <c r="A242" t="s">
        <v>56</v>
      </c>
      <c r="B242" t="s">
        <v>57</v>
      </c>
      <c r="C242" t="s">
        <v>70</v>
      </c>
      <c r="D242">
        <v>107844157</v>
      </c>
      <c r="E242" t="s">
        <v>604</v>
      </c>
      <c r="F242" t="s">
        <v>72</v>
      </c>
      <c r="G242">
        <v>0.3</v>
      </c>
      <c r="H242">
        <v>9.59</v>
      </c>
      <c r="I242">
        <v>0</v>
      </c>
      <c r="J242">
        <v>0</v>
      </c>
      <c r="K242">
        <v>9.8800000000000008</v>
      </c>
      <c r="L242" t="s">
        <v>61</v>
      </c>
      <c r="M242">
        <v>305</v>
      </c>
      <c r="N242">
        <v>30.86</v>
      </c>
      <c r="O242" t="s">
        <v>62</v>
      </c>
      <c r="P242" t="s">
        <v>63</v>
      </c>
      <c r="Q242">
        <v>318</v>
      </c>
      <c r="R242">
        <v>1072.9100000000001</v>
      </c>
    </row>
    <row r="243" spans="1:18" x14ac:dyDescent="0.35">
      <c r="A243" t="s">
        <v>56</v>
      </c>
      <c r="B243" t="s">
        <v>57</v>
      </c>
      <c r="C243" t="s">
        <v>70</v>
      </c>
      <c r="D243">
        <v>107844157</v>
      </c>
      <c r="E243" t="s">
        <v>604</v>
      </c>
      <c r="F243" t="s">
        <v>72</v>
      </c>
      <c r="G243">
        <v>0.3</v>
      </c>
      <c r="H243">
        <v>9.59</v>
      </c>
      <c r="I243">
        <v>0</v>
      </c>
      <c r="J243">
        <v>0</v>
      </c>
      <c r="K243">
        <v>9.8800000000000008</v>
      </c>
      <c r="L243" t="s">
        <v>61</v>
      </c>
      <c r="M243">
        <v>305</v>
      </c>
      <c r="N243">
        <v>30.86</v>
      </c>
      <c r="O243" t="s">
        <v>62</v>
      </c>
      <c r="P243" t="s">
        <v>64</v>
      </c>
      <c r="Q243">
        <v>1468</v>
      </c>
      <c r="R243">
        <v>153.13</v>
      </c>
    </row>
    <row r="244" spans="1:18" x14ac:dyDescent="0.35">
      <c r="A244" t="s">
        <v>56</v>
      </c>
      <c r="B244" t="s">
        <v>57</v>
      </c>
      <c r="C244" t="s">
        <v>70</v>
      </c>
      <c r="D244">
        <v>107844157</v>
      </c>
      <c r="E244" t="s">
        <v>604</v>
      </c>
      <c r="F244" t="s">
        <v>72</v>
      </c>
      <c r="G244">
        <v>0.3</v>
      </c>
      <c r="H244">
        <v>9.59</v>
      </c>
      <c r="I244">
        <v>0</v>
      </c>
      <c r="J244">
        <v>0</v>
      </c>
      <c r="K244">
        <v>9.8800000000000008</v>
      </c>
      <c r="L244" t="s">
        <v>61</v>
      </c>
      <c r="M244">
        <v>305</v>
      </c>
      <c r="N244">
        <v>30.86</v>
      </c>
      <c r="O244" t="s">
        <v>62</v>
      </c>
      <c r="P244" t="s">
        <v>65</v>
      </c>
      <c r="Q244">
        <v>0</v>
      </c>
      <c r="R244">
        <v>0</v>
      </c>
    </row>
    <row r="245" spans="1:18" x14ac:dyDescent="0.35">
      <c r="A245" t="s">
        <v>56</v>
      </c>
      <c r="B245" t="s">
        <v>57</v>
      </c>
      <c r="C245" t="s">
        <v>70</v>
      </c>
      <c r="D245">
        <v>107844157</v>
      </c>
      <c r="E245" t="s">
        <v>604</v>
      </c>
      <c r="F245" t="s">
        <v>72</v>
      </c>
      <c r="G245">
        <v>0.3</v>
      </c>
      <c r="H245">
        <v>9.59</v>
      </c>
      <c r="I245">
        <v>0</v>
      </c>
      <c r="J245">
        <v>0</v>
      </c>
      <c r="K245">
        <v>9.8800000000000008</v>
      </c>
      <c r="L245" t="s">
        <v>61</v>
      </c>
      <c r="M245">
        <v>305</v>
      </c>
      <c r="N245">
        <v>30.86</v>
      </c>
      <c r="O245" t="s">
        <v>62</v>
      </c>
      <c r="P245" t="s">
        <v>66</v>
      </c>
      <c r="Q245">
        <v>0</v>
      </c>
      <c r="R245">
        <v>0</v>
      </c>
    </row>
    <row r="246" spans="1:18" x14ac:dyDescent="0.35">
      <c r="A246" t="s">
        <v>56</v>
      </c>
      <c r="B246" t="s">
        <v>57</v>
      </c>
      <c r="C246" t="s">
        <v>70</v>
      </c>
      <c r="D246">
        <v>107844157</v>
      </c>
      <c r="E246" t="s">
        <v>604</v>
      </c>
      <c r="F246" t="s">
        <v>72</v>
      </c>
      <c r="G246">
        <v>0.3</v>
      </c>
      <c r="H246">
        <v>9.59</v>
      </c>
      <c r="I246">
        <v>0</v>
      </c>
      <c r="J246">
        <v>0</v>
      </c>
      <c r="K246">
        <v>9.8800000000000008</v>
      </c>
      <c r="L246" t="s">
        <v>61</v>
      </c>
      <c r="M246">
        <v>305</v>
      </c>
      <c r="N246">
        <v>30.86</v>
      </c>
      <c r="O246" t="s">
        <v>62</v>
      </c>
      <c r="P246" t="s">
        <v>67</v>
      </c>
      <c r="Q246">
        <v>1786</v>
      </c>
      <c r="R246">
        <v>180.71</v>
      </c>
    </row>
    <row r="247" spans="1:18" x14ac:dyDescent="0.35">
      <c r="A247" t="s">
        <v>56</v>
      </c>
      <c r="B247" t="s">
        <v>57</v>
      </c>
      <c r="C247" t="s">
        <v>70</v>
      </c>
      <c r="D247">
        <v>107844157</v>
      </c>
      <c r="E247" t="s">
        <v>604</v>
      </c>
      <c r="F247" t="s">
        <v>72</v>
      </c>
      <c r="G247">
        <v>0.3</v>
      </c>
      <c r="H247">
        <v>9.59</v>
      </c>
      <c r="I247">
        <v>0</v>
      </c>
      <c r="J247">
        <v>0</v>
      </c>
      <c r="K247">
        <v>9.8800000000000008</v>
      </c>
      <c r="L247" t="s">
        <v>61</v>
      </c>
      <c r="M247">
        <v>305</v>
      </c>
      <c r="N247">
        <v>30.86</v>
      </c>
      <c r="O247" t="s">
        <v>68</v>
      </c>
      <c r="P247" t="s">
        <v>67</v>
      </c>
      <c r="Q247">
        <v>305</v>
      </c>
      <c r="R247">
        <v>30.86</v>
      </c>
    </row>
    <row r="248" spans="1:18" x14ac:dyDescent="0.35">
      <c r="A248" t="s">
        <v>56</v>
      </c>
      <c r="B248" t="s">
        <v>57</v>
      </c>
      <c r="C248" t="s">
        <v>70</v>
      </c>
      <c r="D248">
        <v>107844158</v>
      </c>
      <c r="E248" t="s">
        <v>605</v>
      </c>
      <c r="F248" t="s">
        <v>72</v>
      </c>
      <c r="G248">
        <v>0.15</v>
      </c>
      <c r="H248">
        <v>9.98</v>
      </c>
      <c r="I248">
        <v>0</v>
      </c>
      <c r="J248">
        <v>0</v>
      </c>
      <c r="K248">
        <v>10.130000000000001</v>
      </c>
      <c r="L248" t="s">
        <v>61</v>
      </c>
      <c r="M248">
        <v>424</v>
      </c>
      <c r="N248">
        <v>41.84</v>
      </c>
      <c r="O248" t="s">
        <v>62</v>
      </c>
      <c r="P248" t="s">
        <v>63</v>
      </c>
      <c r="Q248">
        <v>185</v>
      </c>
      <c r="R248">
        <v>1247.19</v>
      </c>
    </row>
    <row r="249" spans="1:18" x14ac:dyDescent="0.35">
      <c r="A249" t="s">
        <v>56</v>
      </c>
      <c r="B249" t="s">
        <v>57</v>
      </c>
      <c r="C249" t="s">
        <v>70</v>
      </c>
      <c r="D249">
        <v>107844158</v>
      </c>
      <c r="E249" t="s">
        <v>605</v>
      </c>
      <c r="F249" t="s">
        <v>72</v>
      </c>
      <c r="G249">
        <v>0.15</v>
      </c>
      <c r="H249">
        <v>9.98</v>
      </c>
      <c r="I249">
        <v>0</v>
      </c>
      <c r="J249">
        <v>0</v>
      </c>
      <c r="K249">
        <v>10.130000000000001</v>
      </c>
      <c r="L249" t="s">
        <v>61</v>
      </c>
      <c r="M249">
        <v>424</v>
      </c>
      <c r="N249">
        <v>41.84</v>
      </c>
      <c r="O249" t="s">
        <v>62</v>
      </c>
      <c r="P249" t="s">
        <v>64</v>
      </c>
      <c r="Q249">
        <v>1777</v>
      </c>
      <c r="R249">
        <v>177.97</v>
      </c>
    </row>
    <row r="250" spans="1:18" x14ac:dyDescent="0.35">
      <c r="A250" t="s">
        <v>56</v>
      </c>
      <c r="B250" t="s">
        <v>57</v>
      </c>
      <c r="C250" t="s">
        <v>70</v>
      </c>
      <c r="D250">
        <v>107844158</v>
      </c>
      <c r="E250" t="s">
        <v>605</v>
      </c>
      <c r="F250" t="s">
        <v>72</v>
      </c>
      <c r="G250">
        <v>0.15</v>
      </c>
      <c r="H250">
        <v>9.98</v>
      </c>
      <c r="I250">
        <v>0</v>
      </c>
      <c r="J250">
        <v>0</v>
      </c>
      <c r="K250">
        <v>10.130000000000001</v>
      </c>
      <c r="L250" t="s">
        <v>61</v>
      </c>
      <c r="M250">
        <v>424</v>
      </c>
      <c r="N250">
        <v>41.84</v>
      </c>
      <c r="O250" t="s">
        <v>62</v>
      </c>
      <c r="P250" t="s">
        <v>65</v>
      </c>
      <c r="Q250">
        <v>0</v>
      </c>
      <c r="R250">
        <v>0</v>
      </c>
    </row>
    <row r="251" spans="1:18" x14ac:dyDescent="0.35">
      <c r="A251" t="s">
        <v>56</v>
      </c>
      <c r="B251" t="s">
        <v>57</v>
      </c>
      <c r="C251" t="s">
        <v>70</v>
      </c>
      <c r="D251">
        <v>107844158</v>
      </c>
      <c r="E251" t="s">
        <v>605</v>
      </c>
      <c r="F251" t="s">
        <v>72</v>
      </c>
      <c r="G251">
        <v>0.15</v>
      </c>
      <c r="H251">
        <v>9.98</v>
      </c>
      <c r="I251">
        <v>0</v>
      </c>
      <c r="J251">
        <v>0</v>
      </c>
      <c r="K251">
        <v>10.130000000000001</v>
      </c>
      <c r="L251" t="s">
        <v>61</v>
      </c>
      <c r="M251">
        <v>424</v>
      </c>
      <c r="N251">
        <v>41.84</v>
      </c>
      <c r="O251" t="s">
        <v>62</v>
      </c>
      <c r="P251" t="s">
        <v>66</v>
      </c>
      <c r="Q251">
        <v>0</v>
      </c>
      <c r="R251">
        <v>0</v>
      </c>
    </row>
    <row r="252" spans="1:18" x14ac:dyDescent="0.35">
      <c r="A252" t="s">
        <v>56</v>
      </c>
      <c r="B252" t="s">
        <v>57</v>
      </c>
      <c r="C252" t="s">
        <v>70</v>
      </c>
      <c r="D252">
        <v>107844158</v>
      </c>
      <c r="E252" t="s">
        <v>605</v>
      </c>
      <c r="F252" t="s">
        <v>72</v>
      </c>
      <c r="G252">
        <v>0.15</v>
      </c>
      <c r="H252">
        <v>9.98</v>
      </c>
      <c r="I252">
        <v>0</v>
      </c>
      <c r="J252">
        <v>0</v>
      </c>
      <c r="K252">
        <v>10.130000000000001</v>
      </c>
      <c r="L252" t="s">
        <v>61</v>
      </c>
      <c r="M252">
        <v>424</v>
      </c>
      <c r="N252">
        <v>41.84</v>
      </c>
      <c r="O252" t="s">
        <v>62</v>
      </c>
      <c r="P252" t="s">
        <v>67</v>
      </c>
      <c r="Q252">
        <v>1962</v>
      </c>
      <c r="R252">
        <v>193.62</v>
      </c>
    </row>
    <row r="253" spans="1:18" x14ac:dyDescent="0.35">
      <c r="A253" t="s">
        <v>56</v>
      </c>
      <c r="B253" t="s">
        <v>57</v>
      </c>
      <c r="C253" t="s">
        <v>70</v>
      </c>
      <c r="D253">
        <v>107844158</v>
      </c>
      <c r="E253" t="s">
        <v>605</v>
      </c>
      <c r="F253" t="s">
        <v>72</v>
      </c>
      <c r="G253">
        <v>0.15</v>
      </c>
      <c r="H253">
        <v>9.98</v>
      </c>
      <c r="I253">
        <v>0</v>
      </c>
      <c r="J253">
        <v>0</v>
      </c>
      <c r="K253">
        <v>10.130000000000001</v>
      </c>
      <c r="L253" t="s">
        <v>61</v>
      </c>
      <c r="M253">
        <v>424</v>
      </c>
      <c r="N253">
        <v>41.84</v>
      </c>
      <c r="O253" t="s">
        <v>68</v>
      </c>
      <c r="P253" t="s">
        <v>67</v>
      </c>
      <c r="Q253">
        <v>424</v>
      </c>
      <c r="R253">
        <v>41.84</v>
      </c>
    </row>
    <row r="254" spans="1:18" x14ac:dyDescent="0.35">
      <c r="A254" t="s">
        <v>37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R212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70</v>
      </c>
      <c r="D2">
        <v>100753604</v>
      </c>
      <c r="E2" t="s">
        <v>71</v>
      </c>
      <c r="F2" t="s">
        <v>72</v>
      </c>
      <c r="G2">
        <v>0.2</v>
      </c>
      <c r="H2">
        <v>9.76</v>
      </c>
      <c r="I2">
        <v>0</v>
      </c>
      <c r="J2">
        <v>0</v>
      </c>
      <c r="K2">
        <v>9.9700000000000006</v>
      </c>
      <c r="L2" t="s">
        <v>61</v>
      </c>
      <c r="M2">
        <v>512</v>
      </c>
      <c r="N2">
        <v>51.37</v>
      </c>
      <c r="O2" t="s">
        <v>62</v>
      </c>
      <c r="P2" t="s">
        <v>63</v>
      </c>
      <c r="Q2">
        <v>282</v>
      </c>
      <c r="R2">
        <v>1388.78</v>
      </c>
    </row>
    <row r="3" spans="1:18" x14ac:dyDescent="0.35">
      <c r="A3" t="s">
        <v>56</v>
      </c>
      <c r="B3" t="s">
        <v>57</v>
      </c>
      <c r="C3" t="s">
        <v>70</v>
      </c>
      <c r="D3">
        <v>100753604</v>
      </c>
      <c r="E3" t="s">
        <v>71</v>
      </c>
      <c r="F3" t="s">
        <v>72</v>
      </c>
      <c r="G3">
        <v>0.2</v>
      </c>
      <c r="H3">
        <v>9.76</v>
      </c>
      <c r="I3">
        <v>0</v>
      </c>
      <c r="J3">
        <v>0</v>
      </c>
      <c r="K3">
        <v>9.9700000000000006</v>
      </c>
      <c r="L3" t="s">
        <v>61</v>
      </c>
      <c r="M3">
        <v>512</v>
      </c>
      <c r="N3">
        <v>51.37</v>
      </c>
      <c r="O3" t="s">
        <v>62</v>
      </c>
      <c r="P3" t="s">
        <v>64</v>
      </c>
      <c r="Q3">
        <v>2053</v>
      </c>
      <c r="R3">
        <v>210.36</v>
      </c>
    </row>
    <row r="4" spans="1:18" x14ac:dyDescent="0.35">
      <c r="A4" t="s">
        <v>56</v>
      </c>
      <c r="B4" t="s">
        <v>57</v>
      </c>
      <c r="C4" t="s">
        <v>70</v>
      </c>
      <c r="D4">
        <v>100753604</v>
      </c>
      <c r="E4" t="s">
        <v>71</v>
      </c>
      <c r="F4" t="s">
        <v>72</v>
      </c>
      <c r="G4">
        <v>0.2</v>
      </c>
      <c r="H4">
        <v>9.76</v>
      </c>
      <c r="I4">
        <v>0</v>
      </c>
      <c r="J4">
        <v>0</v>
      </c>
      <c r="K4">
        <v>9.9700000000000006</v>
      </c>
      <c r="L4" t="s">
        <v>61</v>
      </c>
      <c r="M4">
        <v>512</v>
      </c>
      <c r="N4">
        <v>51.37</v>
      </c>
      <c r="O4" t="s">
        <v>62</v>
      </c>
      <c r="P4" t="s">
        <v>65</v>
      </c>
      <c r="Q4">
        <v>1</v>
      </c>
      <c r="R4">
        <v>257.14</v>
      </c>
    </row>
    <row r="5" spans="1:18" x14ac:dyDescent="0.35">
      <c r="A5" t="s">
        <v>56</v>
      </c>
      <c r="B5" t="s">
        <v>57</v>
      </c>
      <c r="C5" t="s">
        <v>70</v>
      </c>
      <c r="D5">
        <v>100753604</v>
      </c>
      <c r="E5" t="s">
        <v>71</v>
      </c>
      <c r="F5" t="s">
        <v>72</v>
      </c>
      <c r="G5">
        <v>0.2</v>
      </c>
      <c r="H5">
        <v>9.76</v>
      </c>
      <c r="I5">
        <v>0</v>
      </c>
      <c r="J5">
        <v>0</v>
      </c>
      <c r="K5">
        <v>9.9700000000000006</v>
      </c>
      <c r="L5" t="s">
        <v>61</v>
      </c>
      <c r="M5">
        <v>512</v>
      </c>
      <c r="N5">
        <v>51.37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70</v>
      </c>
      <c r="D6">
        <v>100753604</v>
      </c>
      <c r="E6" t="s">
        <v>71</v>
      </c>
      <c r="F6" t="s">
        <v>72</v>
      </c>
      <c r="G6">
        <v>0.2</v>
      </c>
      <c r="H6">
        <v>9.76</v>
      </c>
      <c r="I6">
        <v>0</v>
      </c>
      <c r="J6">
        <v>0</v>
      </c>
      <c r="K6">
        <v>9.9700000000000006</v>
      </c>
      <c r="L6" t="s">
        <v>61</v>
      </c>
      <c r="M6">
        <v>512</v>
      </c>
      <c r="N6">
        <v>51.37</v>
      </c>
      <c r="O6" t="s">
        <v>62</v>
      </c>
      <c r="P6" t="s">
        <v>67</v>
      </c>
      <c r="Q6">
        <v>2336</v>
      </c>
      <c r="R6">
        <v>234.38</v>
      </c>
    </row>
    <row r="7" spans="1:18" x14ac:dyDescent="0.35">
      <c r="A7" t="s">
        <v>56</v>
      </c>
      <c r="B7" t="s">
        <v>57</v>
      </c>
      <c r="C7" t="s">
        <v>70</v>
      </c>
      <c r="D7">
        <v>100753604</v>
      </c>
      <c r="E7" t="s">
        <v>71</v>
      </c>
      <c r="F7" t="s">
        <v>72</v>
      </c>
      <c r="G7">
        <v>0.2</v>
      </c>
      <c r="H7">
        <v>9.76</v>
      </c>
      <c r="I7">
        <v>0</v>
      </c>
      <c r="J7">
        <v>0</v>
      </c>
      <c r="K7">
        <v>9.9700000000000006</v>
      </c>
      <c r="L7" t="s">
        <v>61</v>
      </c>
      <c r="M7">
        <v>512</v>
      </c>
      <c r="N7">
        <v>51.37</v>
      </c>
      <c r="O7" t="s">
        <v>68</v>
      </c>
      <c r="P7" t="s">
        <v>67</v>
      </c>
      <c r="Q7">
        <v>512</v>
      </c>
      <c r="R7">
        <v>51.37</v>
      </c>
    </row>
    <row r="8" spans="1:18" x14ac:dyDescent="0.35">
      <c r="A8" t="s">
        <v>56</v>
      </c>
      <c r="B8" t="s">
        <v>57</v>
      </c>
      <c r="C8" t="s">
        <v>70</v>
      </c>
      <c r="D8">
        <v>100865064</v>
      </c>
      <c r="E8" t="s">
        <v>581</v>
      </c>
      <c r="F8" t="s">
        <v>72</v>
      </c>
      <c r="G8">
        <v>0.25</v>
      </c>
      <c r="H8">
        <v>7.46</v>
      </c>
      <c r="I8">
        <v>0</v>
      </c>
      <c r="J8">
        <v>0</v>
      </c>
      <c r="K8">
        <v>7.71</v>
      </c>
      <c r="L8" t="s">
        <v>61</v>
      </c>
      <c r="M8">
        <v>268</v>
      </c>
      <c r="N8">
        <v>34.74</v>
      </c>
      <c r="O8" t="s">
        <v>62</v>
      </c>
      <c r="P8" t="s">
        <v>63</v>
      </c>
      <c r="Q8">
        <v>290</v>
      </c>
      <c r="R8">
        <v>1145.99</v>
      </c>
    </row>
    <row r="9" spans="1:18" x14ac:dyDescent="0.35">
      <c r="A9" t="s">
        <v>56</v>
      </c>
      <c r="B9" t="s">
        <v>57</v>
      </c>
      <c r="C9" t="s">
        <v>70</v>
      </c>
      <c r="D9">
        <v>100865064</v>
      </c>
      <c r="E9" t="s">
        <v>581</v>
      </c>
      <c r="F9" t="s">
        <v>72</v>
      </c>
      <c r="G9">
        <v>0.25</v>
      </c>
      <c r="H9">
        <v>7.46</v>
      </c>
      <c r="I9">
        <v>0</v>
      </c>
      <c r="J9">
        <v>0</v>
      </c>
      <c r="K9">
        <v>7.71</v>
      </c>
      <c r="L9" t="s">
        <v>61</v>
      </c>
      <c r="M9">
        <v>268</v>
      </c>
      <c r="N9">
        <v>34.74</v>
      </c>
      <c r="O9" t="s">
        <v>62</v>
      </c>
      <c r="P9" t="s">
        <v>64</v>
      </c>
      <c r="Q9">
        <v>1295</v>
      </c>
      <c r="R9">
        <v>173.59</v>
      </c>
    </row>
    <row r="10" spans="1:18" x14ac:dyDescent="0.35">
      <c r="A10" t="s">
        <v>56</v>
      </c>
      <c r="B10" t="s">
        <v>57</v>
      </c>
      <c r="C10" t="s">
        <v>70</v>
      </c>
      <c r="D10">
        <v>100865064</v>
      </c>
      <c r="E10" t="s">
        <v>581</v>
      </c>
      <c r="F10" t="s">
        <v>72</v>
      </c>
      <c r="G10">
        <v>0.25</v>
      </c>
      <c r="H10">
        <v>7.46</v>
      </c>
      <c r="I10">
        <v>0</v>
      </c>
      <c r="J10">
        <v>0</v>
      </c>
      <c r="K10">
        <v>7.71</v>
      </c>
      <c r="L10" t="s">
        <v>61</v>
      </c>
      <c r="M10">
        <v>268</v>
      </c>
      <c r="N10">
        <v>34.74</v>
      </c>
      <c r="O10" t="s">
        <v>62</v>
      </c>
      <c r="P10" t="s">
        <v>65</v>
      </c>
      <c r="Q10">
        <v>0</v>
      </c>
      <c r="R10">
        <v>0</v>
      </c>
    </row>
    <row r="11" spans="1:18" x14ac:dyDescent="0.35">
      <c r="A11" t="s">
        <v>56</v>
      </c>
      <c r="B11" t="s">
        <v>57</v>
      </c>
      <c r="C11" t="s">
        <v>70</v>
      </c>
      <c r="D11">
        <v>100865064</v>
      </c>
      <c r="E11" t="s">
        <v>581</v>
      </c>
      <c r="F11" t="s">
        <v>72</v>
      </c>
      <c r="G11">
        <v>0.25</v>
      </c>
      <c r="H11">
        <v>7.46</v>
      </c>
      <c r="I11">
        <v>0</v>
      </c>
      <c r="J11">
        <v>0</v>
      </c>
      <c r="K11">
        <v>7.71</v>
      </c>
      <c r="L11" t="s">
        <v>61</v>
      </c>
      <c r="M11">
        <v>268</v>
      </c>
      <c r="N11">
        <v>34.74</v>
      </c>
      <c r="O11" t="s">
        <v>62</v>
      </c>
      <c r="P11" t="s">
        <v>66</v>
      </c>
      <c r="Q11">
        <v>0</v>
      </c>
      <c r="R11">
        <v>0</v>
      </c>
    </row>
    <row r="12" spans="1:18" x14ac:dyDescent="0.35">
      <c r="A12" t="s">
        <v>56</v>
      </c>
      <c r="B12" t="s">
        <v>57</v>
      </c>
      <c r="C12" t="s">
        <v>70</v>
      </c>
      <c r="D12">
        <v>100865064</v>
      </c>
      <c r="E12" t="s">
        <v>581</v>
      </c>
      <c r="F12" t="s">
        <v>72</v>
      </c>
      <c r="G12">
        <v>0.25</v>
      </c>
      <c r="H12">
        <v>7.46</v>
      </c>
      <c r="I12">
        <v>0</v>
      </c>
      <c r="J12">
        <v>0</v>
      </c>
      <c r="K12">
        <v>7.71</v>
      </c>
      <c r="L12" t="s">
        <v>61</v>
      </c>
      <c r="M12">
        <v>268</v>
      </c>
      <c r="N12">
        <v>34.74</v>
      </c>
      <c r="O12" t="s">
        <v>62</v>
      </c>
      <c r="P12" t="s">
        <v>67</v>
      </c>
      <c r="Q12">
        <v>1585</v>
      </c>
      <c r="R12">
        <v>205.48</v>
      </c>
    </row>
    <row r="13" spans="1:18" x14ac:dyDescent="0.35">
      <c r="A13" t="s">
        <v>56</v>
      </c>
      <c r="B13" t="s">
        <v>57</v>
      </c>
      <c r="C13" t="s">
        <v>70</v>
      </c>
      <c r="D13">
        <v>100865064</v>
      </c>
      <c r="E13" t="s">
        <v>581</v>
      </c>
      <c r="F13" t="s">
        <v>72</v>
      </c>
      <c r="G13">
        <v>0.25</v>
      </c>
      <c r="H13">
        <v>7.46</v>
      </c>
      <c r="I13">
        <v>0</v>
      </c>
      <c r="J13">
        <v>0</v>
      </c>
      <c r="K13">
        <v>7.71</v>
      </c>
      <c r="L13" t="s">
        <v>61</v>
      </c>
      <c r="M13">
        <v>268</v>
      </c>
      <c r="N13">
        <v>34.74</v>
      </c>
      <c r="O13" t="s">
        <v>68</v>
      </c>
      <c r="P13" t="s">
        <v>67</v>
      </c>
      <c r="Q13">
        <v>268</v>
      </c>
      <c r="R13">
        <v>34.74</v>
      </c>
    </row>
    <row r="14" spans="1:18" x14ac:dyDescent="0.35">
      <c r="A14" t="s">
        <v>56</v>
      </c>
      <c r="B14" t="s">
        <v>57</v>
      </c>
      <c r="C14" t="s">
        <v>70</v>
      </c>
      <c r="D14">
        <v>103223305</v>
      </c>
      <c r="E14" t="s">
        <v>619</v>
      </c>
      <c r="F14" t="s">
        <v>72</v>
      </c>
      <c r="G14">
        <v>0.19</v>
      </c>
      <c r="H14">
        <v>6.96</v>
      </c>
      <c r="I14">
        <v>0.02</v>
      </c>
      <c r="J14">
        <v>0</v>
      </c>
      <c r="K14">
        <v>7.18</v>
      </c>
      <c r="L14" t="s">
        <v>61</v>
      </c>
      <c r="M14">
        <v>526</v>
      </c>
      <c r="N14">
        <v>73.28</v>
      </c>
      <c r="O14" t="s">
        <v>62</v>
      </c>
      <c r="P14" t="s">
        <v>63</v>
      </c>
      <c r="Q14">
        <v>448</v>
      </c>
      <c r="R14">
        <v>2307.3000000000002</v>
      </c>
    </row>
    <row r="15" spans="1:18" x14ac:dyDescent="0.35">
      <c r="A15" t="s">
        <v>56</v>
      </c>
      <c r="B15" t="s">
        <v>57</v>
      </c>
      <c r="C15" t="s">
        <v>70</v>
      </c>
      <c r="D15">
        <v>103223305</v>
      </c>
      <c r="E15" t="s">
        <v>619</v>
      </c>
      <c r="F15" t="s">
        <v>72</v>
      </c>
      <c r="G15">
        <v>0.19</v>
      </c>
      <c r="H15">
        <v>6.96</v>
      </c>
      <c r="I15">
        <v>0.02</v>
      </c>
      <c r="J15">
        <v>0</v>
      </c>
      <c r="K15">
        <v>7.18</v>
      </c>
      <c r="L15" t="s">
        <v>61</v>
      </c>
      <c r="M15">
        <v>526</v>
      </c>
      <c r="N15">
        <v>73.28</v>
      </c>
      <c r="O15" t="s">
        <v>62</v>
      </c>
      <c r="P15" t="s">
        <v>64</v>
      </c>
      <c r="Q15">
        <v>2432</v>
      </c>
      <c r="R15">
        <v>349.22</v>
      </c>
    </row>
    <row r="16" spans="1:18" x14ac:dyDescent="0.35">
      <c r="A16" t="s">
        <v>56</v>
      </c>
      <c r="B16" t="s">
        <v>57</v>
      </c>
      <c r="C16" t="s">
        <v>70</v>
      </c>
      <c r="D16">
        <v>103223305</v>
      </c>
      <c r="E16" t="s">
        <v>619</v>
      </c>
      <c r="F16" t="s">
        <v>72</v>
      </c>
      <c r="G16">
        <v>0.19</v>
      </c>
      <c r="H16">
        <v>6.96</v>
      </c>
      <c r="I16">
        <v>0.02</v>
      </c>
      <c r="J16">
        <v>0</v>
      </c>
      <c r="K16">
        <v>7.18</v>
      </c>
      <c r="L16" t="s">
        <v>61</v>
      </c>
      <c r="M16">
        <v>526</v>
      </c>
      <c r="N16">
        <v>73.28</v>
      </c>
      <c r="O16" t="s">
        <v>62</v>
      </c>
      <c r="P16" t="s">
        <v>65</v>
      </c>
      <c r="Q16">
        <v>8</v>
      </c>
      <c r="R16">
        <v>417.39</v>
      </c>
    </row>
    <row r="17" spans="1:18" x14ac:dyDescent="0.35">
      <c r="A17" t="s">
        <v>56</v>
      </c>
      <c r="B17" t="s">
        <v>57</v>
      </c>
      <c r="C17" t="s">
        <v>70</v>
      </c>
      <c r="D17">
        <v>103223305</v>
      </c>
      <c r="E17" t="s">
        <v>619</v>
      </c>
      <c r="F17" t="s">
        <v>72</v>
      </c>
      <c r="G17">
        <v>0.19</v>
      </c>
      <c r="H17">
        <v>6.96</v>
      </c>
      <c r="I17">
        <v>0.02</v>
      </c>
      <c r="J17">
        <v>0</v>
      </c>
      <c r="K17">
        <v>7.18</v>
      </c>
      <c r="L17" t="s">
        <v>61</v>
      </c>
      <c r="M17">
        <v>526</v>
      </c>
      <c r="N17">
        <v>73.28</v>
      </c>
      <c r="O17" t="s">
        <v>62</v>
      </c>
      <c r="P17" t="s">
        <v>66</v>
      </c>
      <c r="Q17">
        <v>0</v>
      </c>
      <c r="R17">
        <v>0</v>
      </c>
    </row>
    <row r="18" spans="1:18" x14ac:dyDescent="0.35">
      <c r="A18" t="s">
        <v>56</v>
      </c>
      <c r="B18" t="s">
        <v>57</v>
      </c>
      <c r="C18" t="s">
        <v>70</v>
      </c>
      <c r="D18">
        <v>103223305</v>
      </c>
      <c r="E18" t="s">
        <v>619</v>
      </c>
      <c r="F18" t="s">
        <v>72</v>
      </c>
      <c r="G18">
        <v>0.19</v>
      </c>
      <c r="H18">
        <v>6.96</v>
      </c>
      <c r="I18">
        <v>0.02</v>
      </c>
      <c r="J18">
        <v>0</v>
      </c>
      <c r="K18">
        <v>7.18</v>
      </c>
      <c r="L18" t="s">
        <v>61</v>
      </c>
      <c r="M18">
        <v>526</v>
      </c>
      <c r="N18">
        <v>73.28</v>
      </c>
      <c r="O18" t="s">
        <v>62</v>
      </c>
      <c r="P18" t="s">
        <v>67</v>
      </c>
      <c r="Q18">
        <v>2888</v>
      </c>
      <c r="R18">
        <v>402.34</v>
      </c>
    </row>
    <row r="19" spans="1:18" x14ac:dyDescent="0.35">
      <c r="A19" t="s">
        <v>56</v>
      </c>
      <c r="B19" t="s">
        <v>57</v>
      </c>
      <c r="C19" t="s">
        <v>70</v>
      </c>
      <c r="D19">
        <v>103223305</v>
      </c>
      <c r="E19" t="s">
        <v>619</v>
      </c>
      <c r="F19" t="s">
        <v>72</v>
      </c>
      <c r="G19">
        <v>0.19</v>
      </c>
      <c r="H19">
        <v>6.96</v>
      </c>
      <c r="I19">
        <v>0.02</v>
      </c>
      <c r="J19">
        <v>0</v>
      </c>
      <c r="K19">
        <v>7.18</v>
      </c>
      <c r="L19" t="s">
        <v>61</v>
      </c>
      <c r="M19">
        <v>526</v>
      </c>
      <c r="N19">
        <v>73.28</v>
      </c>
      <c r="O19" t="s">
        <v>68</v>
      </c>
      <c r="P19" t="s">
        <v>67</v>
      </c>
      <c r="Q19">
        <v>526</v>
      </c>
      <c r="R19">
        <v>73.28</v>
      </c>
    </row>
    <row r="20" spans="1:18" x14ac:dyDescent="0.35">
      <c r="A20" t="s">
        <v>56</v>
      </c>
      <c r="B20" t="s">
        <v>57</v>
      </c>
      <c r="C20" t="s">
        <v>70</v>
      </c>
      <c r="D20">
        <v>104378003</v>
      </c>
      <c r="E20" t="s">
        <v>582</v>
      </c>
      <c r="F20" t="s">
        <v>72</v>
      </c>
      <c r="G20">
        <v>0.1</v>
      </c>
      <c r="H20">
        <v>5.35</v>
      </c>
      <c r="I20">
        <v>0</v>
      </c>
      <c r="J20">
        <v>0</v>
      </c>
      <c r="K20">
        <v>5.45</v>
      </c>
      <c r="L20" t="s">
        <v>61</v>
      </c>
      <c r="M20">
        <v>221</v>
      </c>
      <c r="N20">
        <v>40.53</v>
      </c>
      <c r="O20" t="s">
        <v>62</v>
      </c>
      <c r="P20" t="s">
        <v>63</v>
      </c>
      <c r="Q20">
        <v>175</v>
      </c>
      <c r="R20">
        <v>1769.66</v>
      </c>
    </row>
    <row r="21" spans="1:18" x14ac:dyDescent="0.35">
      <c r="A21" t="s">
        <v>56</v>
      </c>
      <c r="B21" t="s">
        <v>57</v>
      </c>
      <c r="C21" t="s">
        <v>70</v>
      </c>
      <c r="D21">
        <v>104378003</v>
      </c>
      <c r="E21" t="s">
        <v>582</v>
      </c>
      <c r="F21" t="s">
        <v>72</v>
      </c>
      <c r="G21">
        <v>0.1</v>
      </c>
      <c r="H21">
        <v>5.35</v>
      </c>
      <c r="I21">
        <v>0</v>
      </c>
      <c r="J21">
        <v>0</v>
      </c>
      <c r="K21">
        <v>5.45</v>
      </c>
      <c r="L21" t="s">
        <v>61</v>
      </c>
      <c r="M21">
        <v>221</v>
      </c>
      <c r="N21">
        <v>40.53</v>
      </c>
      <c r="O21" t="s">
        <v>62</v>
      </c>
      <c r="P21" t="s">
        <v>64</v>
      </c>
      <c r="Q21">
        <v>1434</v>
      </c>
      <c r="R21">
        <v>267.86</v>
      </c>
    </row>
    <row r="22" spans="1:18" x14ac:dyDescent="0.35">
      <c r="A22" t="s">
        <v>56</v>
      </c>
      <c r="B22" t="s">
        <v>57</v>
      </c>
      <c r="C22" t="s">
        <v>70</v>
      </c>
      <c r="D22">
        <v>104378003</v>
      </c>
      <c r="E22" t="s">
        <v>582</v>
      </c>
      <c r="F22" t="s">
        <v>72</v>
      </c>
      <c r="G22">
        <v>0.1</v>
      </c>
      <c r="H22">
        <v>5.35</v>
      </c>
      <c r="I22">
        <v>0</v>
      </c>
      <c r="J22">
        <v>0</v>
      </c>
      <c r="K22">
        <v>5.45</v>
      </c>
      <c r="L22" t="s">
        <v>61</v>
      </c>
      <c r="M22">
        <v>221</v>
      </c>
      <c r="N22">
        <v>40.53</v>
      </c>
      <c r="O22" t="s">
        <v>62</v>
      </c>
      <c r="P22" t="s">
        <v>65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70</v>
      </c>
      <c r="D23">
        <v>104378003</v>
      </c>
      <c r="E23" t="s">
        <v>582</v>
      </c>
      <c r="F23" t="s">
        <v>72</v>
      </c>
      <c r="G23">
        <v>0.1</v>
      </c>
      <c r="H23">
        <v>5.35</v>
      </c>
      <c r="I23">
        <v>0</v>
      </c>
      <c r="J23">
        <v>0</v>
      </c>
      <c r="K23">
        <v>5.45</v>
      </c>
      <c r="L23" t="s">
        <v>61</v>
      </c>
      <c r="M23">
        <v>221</v>
      </c>
      <c r="N23">
        <v>40.53</v>
      </c>
      <c r="O23" t="s">
        <v>62</v>
      </c>
      <c r="P23" t="s">
        <v>66</v>
      </c>
      <c r="Q23">
        <v>0</v>
      </c>
      <c r="R23">
        <v>0</v>
      </c>
    </row>
    <row r="24" spans="1:18" x14ac:dyDescent="0.35">
      <c r="A24" t="s">
        <v>56</v>
      </c>
      <c r="B24" t="s">
        <v>57</v>
      </c>
      <c r="C24" t="s">
        <v>70</v>
      </c>
      <c r="D24">
        <v>104378003</v>
      </c>
      <c r="E24" t="s">
        <v>582</v>
      </c>
      <c r="F24" t="s">
        <v>72</v>
      </c>
      <c r="G24">
        <v>0.1</v>
      </c>
      <c r="H24">
        <v>5.35</v>
      </c>
      <c r="I24">
        <v>0</v>
      </c>
      <c r="J24">
        <v>0</v>
      </c>
      <c r="K24">
        <v>5.45</v>
      </c>
      <c r="L24" t="s">
        <v>61</v>
      </c>
      <c r="M24">
        <v>221</v>
      </c>
      <c r="N24">
        <v>40.53</v>
      </c>
      <c r="O24" t="s">
        <v>62</v>
      </c>
      <c r="P24" t="s">
        <v>67</v>
      </c>
      <c r="Q24">
        <v>1609</v>
      </c>
      <c r="R24">
        <v>295.08</v>
      </c>
    </row>
    <row r="25" spans="1:18" x14ac:dyDescent="0.35">
      <c r="A25" t="s">
        <v>56</v>
      </c>
      <c r="B25" t="s">
        <v>57</v>
      </c>
      <c r="C25" t="s">
        <v>70</v>
      </c>
      <c r="D25">
        <v>104378003</v>
      </c>
      <c r="E25" t="s">
        <v>582</v>
      </c>
      <c r="F25" t="s">
        <v>72</v>
      </c>
      <c r="G25">
        <v>0.1</v>
      </c>
      <c r="H25">
        <v>5.35</v>
      </c>
      <c r="I25">
        <v>0</v>
      </c>
      <c r="J25">
        <v>0</v>
      </c>
      <c r="K25">
        <v>5.45</v>
      </c>
      <c r="L25" t="s">
        <v>61</v>
      </c>
      <c r="M25">
        <v>221</v>
      </c>
      <c r="N25">
        <v>40.53</v>
      </c>
      <c r="O25" t="s">
        <v>68</v>
      </c>
      <c r="P25" t="s">
        <v>67</v>
      </c>
      <c r="Q25">
        <v>221</v>
      </c>
      <c r="R25">
        <v>40.53</v>
      </c>
    </row>
    <row r="26" spans="1:18" x14ac:dyDescent="0.35">
      <c r="A26" t="s">
        <v>56</v>
      </c>
      <c r="B26" t="s">
        <v>57</v>
      </c>
      <c r="C26" t="s">
        <v>70</v>
      </c>
      <c r="D26">
        <v>105833593</v>
      </c>
      <c r="E26" t="s">
        <v>607</v>
      </c>
      <c r="F26" t="s">
        <v>60</v>
      </c>
      <c r="G26">
        <v>0.12</v>
      </c>
      <c r="H26">
        <v>9.8000000000000007</v>
      </c>
      <c r="I26">
        <v>0</v>
      </c>
      <c r="J26">
        <v>0</v>
      </c>
      <c r="K26">
        <v>9.92</v>
      </c>
      <c r="L26" t="s">
        <v>61</v>
      </c>
      <c r="M26">
        <v>375</v>
      </c>
      <c r="N26">
        <v>37.82</v>
      </c>
      <c r="O26" t="s">
        <v>62</v>
      </c>
      <c r="P26" t="s">
        <v>63</v>
      </c>
      <c r="Q26">
        <v>136</v>
      </c>
      <c r="R26">
        <v>1133.33</v>
      </c>
    </row>
    <row r="27" spans="1:18" x14ac:dyDescent="0.35">
      <c r="A27" t="s">
        <v>56</v>
      </c>
      <c r="B27" t="s">
        <v>57</v>
      </c>
      <c r="C27" t="s">
        <v>70</v>
      </c>
      <c r="D27">
        <v>105833593</v>
      </c>
      <c r="E27" t="s">
        <v>607</v>
      </c>
      <c r="F27" t="s">
        <v>60</v>
      </c>
      <c r="G27">
        <v>0.12</v>
      </c>
      <c r="H27">
        <v>9.8000000000000007</v>
      </c>
      <c r="I27">
        <v>0</v>
      </c>
      <c r="J27">
        <v>0</v>
      </c>
      <c r="K27">
        <v>9.92</v>
      </c>
      <c r="L27" t="s">
        <v>61</v>
      </c>
      <c r="M27">
        <v>375</v>
      </c>
      <c r="N27">
        <v>37.82</v>
      </c>
      <c r="O27" t="s">
        <v>62</v>
      </c>
      <c r="P27" t="s">
        <v>64</v>
      </c>
      <c r="Q27">
        <v>1681</v>
      </c>
      <c r="R27">
        <v>171.59</v>
      </c>
    </row>
    <row r="28" spans="1:18" x14ac:dyDescent="0.35">
      <c r="A28" t="s">
        <v>56</v>
      </c>
      <c r="B28" t="s">
        <v>57</v>
      </c>
      <c r="C28" t="s">
        <v>70</v>
      </c>
      <c r="D28">
        <v>105833593</v>
      </c>
      <c r="E28" t="s">
        <v>607</v>
      </c>
      <c r="F28" t="s">
        <v>60</v>
      </c>
      <c r="G28">
        <v>0.12</v>
      </c>
      <c r="H28">
        <v>9.8000000000000007</v>
      </c>
      <c r="I28">
        <v>0</v>
      </c>
      <c r="J28">
        <v>0</v>
      </c>
      <c r="K28">
        <v>9.92</v>
      </c>
      <c r="L28" t="s">
        <v>61</v>
      </c>
      <c r="M28">
        <v>375</v>
      </c>
      <c r="N28">
        <v>37.82</v>
      </c>
      <c r="O28" t="s">
        <v>62</v>
      </c>
      <c r="P28" t="s">
        <v>65</v>
      </c>
      <c r="Q28">
        <v>0</v>
      </c>
      <c r="R28">
        <v>0</v>
      </c>
    </row>
    <row r="29" spans="1:18" x14ac:dyDescent="0.35">
      <c r="A29" t="s">
        <v>56</v>
      </c>
      <c r="B29" t="s">
        <v>57</v>
      </c>
      <c r="C29" t="s">
        <v>70</v>
      </c>
      <c r="D29">
        <v>105833593</v>
      </c>
      <c r="E29" t="s">
        <v>607</v>
      </c>
      <c r="F29" t="s">
        <v>60</v>
      </c>
      <c r="G29">
        <v>0.12</v>
      </c>
      <c r="H29">
        <v>9.8000000000000007</v>
      </c>
      <c r="I29">
        <v>0</v>
      </c>
      <c r="J29">
        <v>0</v>
      </c>
      <c r="K29">
        <v>9.92</v>
      </c>
      <c r="L29" t="s">
        <v>61</v>
      </c>
      <c r="M29">
        <v>375</v>
      </c>
      <c r="N29">
        <v>37.82</v>
      </c>
      <c r="O29" t="s">
        <v>62</v>
      </c>
      <c r="P29" t="s">
        <v>66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70</v>
      </c>
      <c r="D30">
        <v>105833593</v>
      </c>
      <c r="E30" t="s">
        <v>607</v>
      </c>
      <c r="F30" t="s">
        <v>60</v>
      </c>
      <c r="G30">
        <v>0.12</v>
      </c>
      <c r="H30">
        <v>9.8000000000000007</v>
      </c>
      <c r="I30">
        <v>0</v>
      </c>
      <c r="J30">
        <v>0</v>
      </c>
      <c r="K30">
        <v>9.92</v>
      </c>
      <c r="L30" t="s">
        <v>61</v>
      </c>
      <c r="M30">
        <v>375</v>
      </c>
      <c r="N30">
        <v>37.82</v>
      </c>
      <c r="O30" t="s">
        <v>62</v>
      </c>
      <c r="P30" t="s">
        <v>67</v>
      </c>
      <c r="Q30">
        <v>1817</v>
      </c>
      <c r="R30">
        <v>183.23</v>
      </c>
    </row>
    <row r="31" spans="1:18" x14ac:dyDescent="0.35">
      <c r="A31" t="s">
        <v>56</v>
      </c>
      <c r="B31" t="s">
        <v>57</v>
      </c>
      <c r="C31" t="s">
        <v>70</v>
      </c>
      <c r="D31">
        <v>105833593</v>
      </c>
      <c r="E31" t="s">
        <v>607</v>
      </c>
      <c r="F31" t="s">
        <v>60</v>
      </c>
      <c r="G31">
        <v>0.12</v>
      </c>
      <c r="H31">
        <v>9.8000000000000007</v>
      </c>
      <c r="I31">
        <v>0</v>
      </c>
      <c r="J31">
        <v>0</v>
      </c>
      <c r="K31">
        <v>9.92</v>
      </c>
      <c r="L31" t="s">
        <v>61</v>
      </c>
      <c r="M31">
        <v>375</v>
      </c>
      <c r="N31">
        <v>37.82</v>
      </c>
      <c r="O31" t="s">
        <v>68</v>
      </c>
      <c r="P31" t="s">
        <v>67</v>
      </c>
      <c r="Q31">
        <v>376</v>
      </c>
      <c r="R31">
        <v>37.92</v>
      </c>
    </row>
    <row r="32" spans="1:18" x14ac:dyDescent="0.35">
      <c r="A32" t="s">
        <v>56</v>
      </c>
      <c r="B32" t="s">
        <v>57</v>
      </c>
      <c r="C32" t="s">
        <v>70</v>
      </c>
      <c r="D32">
        <v>106276317</v>
      </c>
      <c r="E32" t="s">
        <v>609</v>
      </c>
      <c r="F32" t="s">
        <v>72</v>
      </c>
      <c r="G32">
        <v>0.12</v>
      </c>
      <c r="H32">
        <v>9.66</v>
      </c>
      <c r="I32">
        <v>0.3</v>
      </c>
      <c r="J32">
        <v>0</v>
      </c>
      <c r="K32">
        <v>10.08</v>
      </c>
      <c r="L32" t="s">
        <v>61</v>
      </c>
      <c r="M32">
        <v>576</v>
      </c>
      <c r="N32">
        <v>57.12</v>
      </c>
      <c r="O32" t="s">
        <v>62</v>
      </c>
      <c r="P32" t="s">
        <v>63</v>
      </c>
      <c r="Q32">
        <v>236</v>
      </c>
      <c r="R32">
        <v>1939.73</v>
      </c>
    </row>
    <row r="33" spans="1:18" x14ac:dyDescent="0.35">
      <c r="A33" t="s">
        <v>56</v>
      </c>
      <c r="B33" t="s">
        <v>57</v>
      </c>
      <c r="C33" t="s">
        <v>70</v>
      </c>
      <c r="D33">
        <v>106276317</v>
      </c>
      <c r="E33" t="s">
        <v>609</v>
      </c>
      <c r="F33" t="s">
        <v>72</v>
      </c>
      <c r="G33">
        <v>0.12</v>
      </c>
      <c r="H33">
        <v>9.66</v>
      </c>
      <c r="I33">
        <v>0.3</v>
      </c>
      <c r="J33">
        <v>0</v>
      </c>
      <c r="K33">
        <v>10.08</v>
      </c>
      <c r="L33" t="s">
        <v>61</v>
      </c>
      <c r="M33">
        <v>576</v>
      </c>
      <c r="N33">
        <v>57.12</v>
      </c>
      <c r="O33" t="s">
        <v>62</v>
      </c>
      <c r="P33" t="s">
        <v>64</v>
      </c>
      <c r="Q33">
        <v>2833</v>
      </c>
      <c r="R33">
        <v>293.35000000000002</v>
      </c>
    </row>
    <row r="34" spans="1:18" x14ac:dyDescent="0.35">
      <c r="A34" t="s">
        <v>56</v>
      </c>
      <c r="B34" t="s">
        <v>57</v>
      </c>
      <c r="C34" t="s">
        <v>70</v>
      </c>
      <c r="D34">
        <v>106276317</v>
      </c>
      <c r="E34" t="s">
        <v>609</v>
      </c>
      <c r="F34" t="s">
        <v>72</v>
      </c>
      <c r="G34">
        <v>0.12</v>
      </c>
      <c r="H34">
        <v>9.66</v>
      </c>
      <c r="I34">
        <v>0.3</v>
      </c>
      <c r="J34">
        <v>0</v>
      </c>
      <c r="K34">
        <v>10.08</v>
      </c>
      <c r="L34" t="s">
        <v>61</v>
      </c>
      <c r="M34">
        <v>576</v>
      </c>
      <c r="N34">
        <v>57.12</v>
      </c>
      <c r="O34" t="s">
        <v>62</v>
      </c>
      <c r="P34" t="s">
        <v>65</v>
      </c>
      <c r="Q34">
        <v>105</v>
      </c>
      <c r="R34">
        <v>345.84</v>
      </c>
    </row>
    <row r="35" spans="1:18" x14ac:dyDescent="0.35">
      <c r="A35" t="s">
        <v>56</v>
      </c>
      <c r="B35" t="s">
        <v>57</v>
      </c>
      <c r="C35" t="s">
        <v>70</v>
      </c>
      <c r="D35">
        <v>106276317</v>
      </c>
      <c r="E35" t="s">
        <v>609</v>
      </c>
      <c r="F35" t="s">
        <v>72</v>
      </c>
      <c r="G35">
        <v>0.12</v>
      </c>
      <c r="H35">
        <v>9.66</v>
      </c>
      <c r="I35">
        <v>0.3</v>
      </c>
      <c r="J35">
        <v>0</v>
      </c>
      <c r="K35">
        <v>10.08</v>
      </c>
      <c r="L35" t="s">
        <v>61</v>
      </c>
      <c r="M35">
        <v>576</v>
      </c>
      <c r="N35">
        <v>57.12</v>
      </c>
      <c r="O35" t="s">
        <v>62</v>
      </c>
      <c r="P35" t="s">
        <v>66</v>
      </c>
      <c r="Q35">
        <v>0</v>
      </c>
      <c r="R35">
        <v>0</v>
      </c>
    </row>
    <row r="36" spans="1:18" x14ac:dyDescent="0.35">
      <c r="A36" t="s">
        <v>56</v>
      </c>
      <c r="B36" t="s">
        <v>57</v>
      </c>
      <c r="C36" t="s">
        <v>70</v>
      </c>
      <c r="D36">
        <v>106276317</v>
      </c>
      <c r="E36" t="s">
        <v>609</v>
      </c>
      <c r="F36" t="s">
        <v>72</v>
      </c>
      <c r="G36">
        <v>0.12</v>
      </c>
      <c r="H36">
        <v>9.66</v>
      </c>
      <c r="I36">
        <v>0.3</v>
      </c>
      <c r="J36">
        <v>0</v>
      </c>
      <c r="K36">
        <v>10.08</v>
      </c>
      <c r="L36" t="s">
        <v>61</v>
      </c>
      <c r="M36">
        <v>576</v>
      </c>
      <c r="N36">
        <v>57.12</v>
      </c>
      <c r="O36" t="s">
        <v>62</v>
      </c>
      <c r="P36" t="s">
        <v>67</v>
      </c>
      <c r="Q36">
        <v>3174</v>
      </c>
      <c r="R36">
        <v>314.77999999999997</v>
      </c>
    </row>
    <row r="37" spans="1:18" x14ac:dyDescent="0.35">
      <c r="A37" t="s">
        <v>56</v>
      </c>
      <c r="B37" t="s">
        <v>57</v>
      </c>
      <c r="C37" t="s">
        <v>70</v>
      </c>
      <c r="D37">
        <v>106276317</v>
      </c>
      <c r="E37" t="s">
        <v>609</v>
      </c>
      <c r="F37" t="s">
        <v>72</v>
      </c>
      <c r="G37">
        <v>0.12</v>
      </c>
      <c r="H37">
        <v>9.66</v>
      </c>
      <c r="I37">
        <v>0.3</v>
      </c>
      <c r="J37">
        <v>0</v>
      </c>
      <c r="K37">
        <v>10.08</v>
      </c>
      <c r="L37" t="s">
        <v>61</v>
      </c>
      <c r="M37">
        <v>576</v>
      </c>
      <c r="N37">
        <v>57.12</v>
      </c>
      <c r="O37" t="s">
        <v>68</v>
      </c>
      <c r="P37" t="s">
        <v>67</v>
      </c>
      <c r="Q37">
        <v>577</v>
      </c>
      <c r="R37">
        <v>57.22</v>
      </c>
    </row>
    <row r="38" spans="1:18" x14ac:dyDescent="0.35">
      <c r="A38" t="s">
        <v>56</v>
      </c>
      <c r="B38" t="s">
        <v>57</v>
      </c>
      <c r="C38" t="s">
        <v>70</v>
      </c>
      <c r="D38">
        <v>106488400</v>
      </c>
      <c r="E38" t="s">
        <v>610</v>
      </c>
      <c r="F38" t="s">
        <v>60</v>
      </c>
      <c r="G38">
        <v>0.28000000000000003</v>
      </c>
      <c r="H38">
        <v>8.17</v>
      </c>
      <c r="I38">
        <v>0.18</v>
      </c>
      <c r="J38">
        <v>0</v>
      </c>
      <c r="K38">
        <v>8.6199999999999992</v>
      </c>
      <c r="L38" t="s">
        <v>61</v>
      </c>
      <c r="M38">
        <v>459</v>
      </c>
      <c r="N38">
        <v>53.22</v>
      </c>
      <c r="O38" t="s">
        <v>62</v>
      </c>
      <c r="P38" t="s">
        <v>63</v>
      </c>
      <c r="Q38">
        <v>468</v>
      </c>
      <c r="R38">
        <v>1679.76</v>
      </c>
    </row>
    <row r="39" spans="1:18" x14ac:dyDescent="0.35">
      <c r="A39" t="s">
        <v>56</v>
      </c>
      <c r="B39" t="s">
        <v>57</v>
      </c>
      <c r="C39" t="s">
        <v>70</v>
      </c>
      <c r="D39">
        <v>106488400</v>
      </c>
      <c r="E39" t="s">
        <v>610</v>
      </c>
      <c r="F39" t="s">
        <v>60</v>
      </c>
      <c r="G39">
        <v>0.28000000000000003</v>
      </c>
      <c r="H39">
        <v>8.17</v>
      </c>
      <c r="I39">
        <v>0.18</v>
      </c>
      <c r="J39">
        <v>0</v>
      </c>
      <c r="K39">
        <v>8.6199999999999992</v>
      </c>
      <c r="L39" t="s">
        <v>61</v>
      </c>
      <c r="M39">
        <v>459</v>
      </c>
      <c r="N39">
        <v>53.22</v>
      </c>
      <c r="O39" t="s">
        <v>62</v>
      </c>
      <c r="P39" t="s">
        <v>64</v>
      </c>
      <c r="Q39">
        <v>2078</v>
      </c>
      <c r="R39">
        <v>254.49</v>
      </c>
    </row>
    <row r="40" spans="1:18" x14ac:dyDescent="0.35">
      <c r="A40" t="s">
        <v>56</v>
      </c>
      <c r="B40" t="s">
        <v>57</v>
      </c>
      <c r="C40" t="s">
        <v>70</v>
      </c>
      <c r="D40">
        <v>106488400</v>
      </c>
      <c r="E40" t="s">
        <v>610</v>
      </c>
      <c r="F40" t="s">
        <v>60</v>
      </c>
      <c r="G40">
        <v>0.28000000000000003</v>
      </c>
      <c r="H40">
        <v>8.17</v>
      </c>
      <c r="I40">
        <v>0.18</v>
      </c>
      <c r="J40">
        <v>0</v>
      </c>
      <c r="K40">
        <v>8.6199999999999992</v>
      </c>
      <c r="L40" t="s">
        <v>61</v>
      </c>
      <c r="M40">
        <v>459</v>
      </c>
      <c r="N40">
        <v>53.22</v>
      </c>
      <c r="O40" t="s">
        <v>62</v>
      </c>
      <c r="P40" t="s">
        <v>65</v>
      </c>
      <c r="Q40">
        <v>54</v>
      </c>
      <c r="R40">
        <v>300</v>
      </c>
    </row>
    <row r="41" spans="1:18" x14ac:dyDescent="0.35">
      <c r="A41" t="s">
        <v>56</v>
      </c>
      <c r="B41" t="s">
        <v>57</v>
      </c>
      <c r="C41" t="s">
        <v>70</v>
      </c>
      <c r="D41">
        <v>106488400</v>
      </c>
      <c r="E41" t="s">
        <v>610</v>
      </c>
      <c r="F41" t="s">
        <v>60</v>
      </c>
      <c r="G41">
        <v>0.28000000000000003</v>
      </c>
      <c r="H41">
        <v>8.17</v>
      </c>
      <c r="I41">
        <v>0.18</v>
      </c>
      <c r="J41">
        <v>0</v>
      </c>
      <c r="K41">
        <v>8.6199999999999992</v>
      </c>
      <c r="L41" t="s">
        <v>61</v>
      </c>
      <c r="M41">
        <v>459</v>
      </c>
      <c r="N41">
        <v>53.22</v>
      </c>
      <c r="O41" t="s">
        <v>62</v>
      </c>
      <c r="P41" t="s">
        <v>66</v>
      </c>
      <c r="Q41">
        <v>0</v>
      </c>
      <c r="R41">
        <v>0</v>
      </c>
    </row>
    <row r="42" spans="1:18" x14ac:dyDescent="0.35">
      <c r="A42" t="s">
        <v>56</v>
      </c>
      <c r="B42" t="s">
        <v>57</v>
      </c>
      <c r="C42" t="s">
        <v>70</v>
      </c>
      <c r="D42">
        <v>106488400</v>
      </c>
      <c r="E42" t="s">
        <v>610</v>
      </c>
      <c r="F42" t="s">
        <v>60</v>
      </c>
      <c r="G42">
        <v>0.28000000000000003</v>
      </c>
      <c r="H42">
        <v>8.17</v>
      </c>
      <c r="I42">
        <v>0.18</v>
      </c>
      <c r="J42">
        <v>0</v>
      </c>
      <c r="K42">
        <v>8.6199999999999992</v>
      </c>
      <c r="L42" t="s">
        <v>61</v>
      </c>
      <c r="M42">
        <v>459</v>
      </c>
      <c r="N42">
        <v>53.22</v>
      </c>
      <c r="O42" t="s">
        <v>62</v>
      </c>
      <c r="P42" t="s">
        <v>67</v>
      </c>
      <c r="Q42">
        <v>2600</v>
      </c>
      <c r="R42">
        <v>301.48</v>
      </c>
    </row>
    <row r="43" spans="1:18" x14ac:dyDescent="0.35">
      <c r="A43" t="s">
        <v>56</v>
      </c>
      <c r="B43" t="s">
        <v>57</v>
      </c>
      <c r="C43" t="s">
        <v>70</v>
      </c>
      <c r="D43">
        <v>106488400</v>
      </c>
      <c r="E43" t="s">
        <v>610</v>
      </c>
      <c r="F43" t="s">
        <v>60</v>
      </c>
      <c r="G43">
        <v>0.28000000000000003</v>
      </c>
      <c r="H43">
        <v>8.17</v>
      </c>
      <c r="I43">
        <v>0.18</v>
      </c>
      <c r="J43">
        <v>0</v>
      </c>
      <c r="K43">
        <v>8.6199999999999992</v>
      </c>
      <c r="L43" t="s">
        <v>61</v>
      </c>
      <c r="M43">
        <v>459</v>
      </c>
      <c r="N43">
        <v>53.22</v>
      </c>
      <c r="O43" t="s">
        <v>68</v>
      </c>
      <c r="P43" t="s">
        <v>67</v>
      </c>
      <c r="Q43">
        <v>459</v>
      </c>
      <c r="R43">
        <v>53.22</v>
      </c>
    </row>
    <row r="44" spans="1:18" x14ac:dyDescent="0.35">
      <c r="A44" t="s">
        <v>56</v>
      </c>
      <c r="B44" t="s">
        <v>57</v>
      </c>
      <c r="C44" t="s">
        <v>70</v>
      </c>
      <c r="D44">
        <v>106517175</v>
      </c>
      <c r="E44" t="s">
        <v>84</v>
      </c>
      <c r="F44" t="s">
        <v>72</v>
      </c>
      <c r="G44">
        <v>0.13</v>
      </c>
      <c r="H44">
        <v>7.98</v>
      </c>
      <c r="I44">
        <v>0.1</v>
      </c>
      <c r="J44">
        <v>0</v>
      </c>
      <c r="K44">
        <v>8.1999999999999993</v>
      </c>
      <c r="L44" t="s">
        <v>61</v>
      </c>
      <c r="M44">
        <v>327</v>
      </c>
      <c r="N44">
        <v>39.869999999999997</v>
      </c>
      <c r="O44" t="s">
        <v>62</v>
      </c>
      <c r="P44" t="s">
        <v>63</v>
      </c>
      <c r="Q44">
        <v>188</v>
      </c>
      <c r="R44">
        <v>1452.36</v>
      </c>
    </row>
    <row r="45" spans="1:18" x14ac:dyDescent="0.35">
      <c r="A45" t="s">
        <v>56</v>
      </c>
      <c r="B45" t="s">
        <v>57</v>
      </c>
      <c r="C45" t="s">
        <v>70</v>
      </c>
      <c r="D45">
        <v>106517175</v>
      </c>
      <c r="E45" t="s">
        <v>84</v>
      </c>
      <c r="F45" t="s">
        <v>72</v>
      </c>
      <c r="G45">
        <v>0.13</v>
      </c>
      <c r="H45">
        <v>7.98</v>
      </c>
      <c r="I45">
        <v>0.1</v>
      </c>
      <c r="J45">
        <v>0</v>
      </c>
      <c r="K45">
        <v>8.1999999999999993</v>
      </c>
      <c r="L45" t="s">
        <v>61</v>
      </c>
      <c r="M45">
        <v>327</v>
      </c>
      <c r="N45">
        <v>39.869999999999997</v>
      </c>
      <c r="O45" t="s">
        <v>62</v>
      </c>
      <c r="P45" t="s">
        <v>64</v>
      </c>
      <c r="Q45">
        <v>1752</v>
      </c>
      <c r="R45">
        <v>219.67</v>
      </c>
    </row>
    <row r="46" spans="1:18" x14ac:dyDescent="0.35">
      <c r="A46" t="s">
        <v>56</v>
      </c>
      <c r="B46" t="s">
        <v>57</v>
      </c>
      <c r="C46" t="s">
        <v>70</v>
      </c>
      <c r="D46">
        <v>106517175</v>
      </c>
      <c r="E46" t="s">
        <v>84</v>
      </c>
      <c r="F46" t="s">
        <v>72</v>
      </c>
      <c r="G46">
        <v>0.13</v>
      </c>
      <c r="H46">
        <v>7.98</v>
      </c>
      <c r="I46">
        <v>0.1</v>
      </c>
      <c r="J46">
        <v>0</v>
      </c>
      <c r="K46">
        <v>8.1999999999999993</v>
      </c>
      <c r="L46" t="s">
        <v>61</v>
      </c>
      <c r="M46">
        <v>327</v>
      </c>
      <c r="N46">
        <v>39.869999999999997</v>
      </c>
      <c r="O46" t="s">
        <v>62</v>
      </c>
      <c r="P46" t="s">
        <v>65</v>
      </c>
      <c r="Q46">
        <v>25</v>
      </c>
      <c r="R46">
        <v>259.37</v>
      </c>
    </row>
    <row r="47" spans="1:18" x14ac:dyDescent="0.35">
      <c r="A47" t="s">
        <v>56</v>
      </c>
      <c r="B47" t="s">
        <v>57</v>
      </c>
      <c r="C47" t="s">
        <v>70</v>
      </c>
      <c r="D47">
        <v>106517175</v>
      </c>
      <c r="E47" t="s">
        <v>84</v>
      </c>
      <c r="F47" t="s">
        <v>72</v>
      </c>
      <c r="G47">
        <v>0.13</v>
      </c>
      <c r="H47">
        <v>7.98</v>
      </c>
      <c r="I47">
        <v>0.1</v>
      </c>
      <c r="J47">
        <v>0</v>
      </c>
      <c r="K47">
        <v>8.1999999999999993</v>
      </c>
      <c r="L47" t="s">
        <v>61</v>
      </c>
      <c r="M47">
        <v>327</v>
      </c>
      <c r="N47">
        <v>39.869999999999997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70</v>
      </c>
      <c r="D48">
        <v>106517175</v>
      </c>
      <c r="E48" t="s">
        <v>84</v>
      </c>
      <c r="F48" t="s">
        <v>72</v>
      </c>
      <c r="G48">
        <v>0.13</v>
      </c>
      <c r="H48">
        <v>7.98</v>
      </c>
      <c r="I48">
        <v>0.1</v>
      </c>
      <c r="J48">
        <v>0</v>
      </c>
      <c r="K48">
        <v>8.1999999999999993</v>
      </c>
      <c r="L48" t="s">
        <v>61</v>
      </c>
      <c r="M48">
        <v>327</v>
      </c>
      <c r="N48">
        <v>39.869999999999997</v>
      </c>
      <c r="O48" t="s">
        <v>62</v>
      </c>
      <c r="P48" t="s">
        <v>67</v>
      </c>
      <c r="Q48">
        <v>1965</v>
      </c>
      <c r="R48">
        <v>239.58</v>
      </c>
    </row>
    <row r="49" spans="1:18" x14ac:dyDescent="0.35">
      <c r="A49" t="s">
        <v>56</v>
      </c>
      <c r="B49" t="s">
        <v>57</v>
      </c>
      <c r="C49" t="s">
        <v>70</v>
      </c>
      <c r="D49">
        <v>106517175</v>
      </c>
      <c r="E49" t="s">
        <v>84</v>
      </c>
      <c r="F49" t="s">
        <v>72</v>
      </c>
      <c r="G49">
        <v>0.13</v>
      </c>
      <c r="H49">
        <v>7.98</v>
      </c>
      <c r="I49">
        <v>0.1</v>
      </c>
      <c r="J49">
        <v>0</v>
      </c>
      <c r="K49">
        <v>8.1999999999999993</v>
      </c>
      <c r="L49" t="s">
        <v>61</v>
      </c>
      <c r="M49">
        <v>327</v>
      </c>
      <c r="N49">
        <v>39.869999999999997</v>
      </c>
      <c r="O49" t="s">
        <v>68</v>
      </c>
      <c r="P49" t="s">
        <v>67</v>
      </c>
      <c r="Q49">
        <v>327</v>
      </c>
      <c r="R49">
        <v>39.869999999999997</v>
      </c>
    </row>
    <row r="50" spans="1:18" x14ac:dyDescent="0.35">
      <c r="A50" t="s">
        <v>56</v>
      </c>
      <c r="B50" t="s">
        <v>57</v>
      </c>
      <c r="C50" t="s">
        <v>70</v>
      </c>
      <c r="D50">
        <v>106550610</v>
      </c>
      <c r="E50" t="s">
        <v>612</v>
      </c>
      <c r="F50" t="s">
        <v>72</v>
      </c>
      <c r="G50">
        <v>0</v>
      </c>
      <c r="H50">
        <v>0.37</v>
      </c>
      <c r="I50">
        <v>0</v>
      </c>
      <c r="J50">
        <v>0</v>
      </c>
      <c r="K50">
        <v>0.37</v>
      </c>
      <c r="L50" t="s">
        <v>61</v>
      </c>
      <c r="M50">
        <v>2</v>
      </c>
      <c r="N50">
        <v>5.39</v>
      </c>
      <c r="O50" t="s">
        <v>62</v>
      </c>
      <c r="P50" t="s">
        <v>63</v>
      </c>
      <c r="Q50">
        <v>0</v>
      </c>
      <c r="R50">
        <v>0</v>
      </c>
    </row>
    <row r="51" spans="1:18" x14ac:dyDescent="0.35">
      <c r="A51" t="s">
        <v>56</v>
      </c>
      <c r="B51" t="s">
        <v>57</v>
      </c>
      <c r="C51" t="s">
        <v>70</v>
      </c>
      <c r="D51">
        <v>106550610</v>
      </c>
      <c r="E51" t="s">
        <v>612</v>
      </c>
      <c r="F51" t="s">
        <v>72</v>
      </c>
      <c r="G51">
        <v>0</v>
      </c>
      <c r="H51">
        <v>0.37</v>
      </c>
      <c r="I51">
        <v>0</v>
      </c>
      <c r="J51">
        <v>0</v>
      </c>
      <c r="K51">
        <v>0.37</v>
      </c>
      <c r="L51" t="s">
        <v>61</v>
      </c>
      <c r="M51">
        <v>2</v>
      </c>
      <c r="N51">
        <v>5.39</v>
      </c>
      <c r="O51" t="s">
        <v>62</v>
      </c>
      <c r="P51" t="s">
        <v>64</v>
      </c>
      <c r="Q51">
        <v>11</v>
      </c>
      <c r="R51">
        <v>29.62</v>
      </c>
    </row>
    <row r="52" spans="1:18" x14ac:dyDescent="0.35">
      <c r="A52" t="s">
        <v>56</v>
      </c>
      <c r="B52" t="s">
        <v>57</v>
      </c>
      <c r="C52" t="s">
        <v>70</v>
      </c>
      <c r="D52">
        <v>106550610</v>
      </c>
      <c r="E52" t="s">
        <v>612</v>
      </c>
      <c r="F52" t="s">
        <v>72</v>
      </c>
      <c r="G52">
        <v>0</v>
      </c>
      <c r="H52">
        <v>0.37</v>
      </c>
      <c r="I52">
        <v>0</v>
      </c>
      <c r="J52">
        <v>0</v>
      </c>
      <c r="K52">
        <v>0.37</v>
      </c>
      <c r="L52" t="s">
        <v>61</v>
      </c>
      <c r="M52">
        <v>2</v>
      </c>
      <c r="N52">
        <v>5.39</v>
      </c>
      <c r="O52" t="s">
        <v>62</v>
      </c>
      <c r="P52" t="s">
        <v>65</v>
      </c>
      <c r="Q52">
        <v>0</v>
      </c>
      <c r="R52">
        <v>0</v>
      </c>
    </row>
    <row r="53" spans="1:18" x14ac:dyDescent="0.35">
      <c r="A53" t="s">
        <v>56</v>
      </c>
      <c r="B53" t="s">
        <v>57</v>
      </c>
      <c r="C53" t="s">
        <v>70</v>
      </c>
      <c r="D53">
        <v>106550610</v>
      </c>
      <c r="E53" t="s">
        <v>612</v>
      </c>
      <c r="F53" t="s">
        <v>72</v>
      </c>
      <c r="G53">
        <v>0</v>
      </c>
      <c r="H53">
        <v>0.37</v>
      </c>
      <c r="I53">
        <v>0</v>
      </c>
      <c r="J53">
        <v>0</v>
      </c>
      <c r="K53">
        <v>0.37</v>
      </c>
      <c r="L53" t="s">
        <v>61</v>
      </c>
      <c r="M53">
        <v>2</v>
      </c>
      <c r="N53">
        <v>5.39</v>
      </c>
      <c r="O53" t="s">
        <v>62</v>
      </c>
      <c r="P53" t="s">
        <v>66</v>
      </c>
      <c r="Q53">
        <v>0</v>
      </c>
      <c r="R53">
        <v>0</v>
      </c>
    </row>
    <row r="54" spans="1:18" x14ac:dyDescent="0.35">
      <c r="A54" t="s">
        <v>56</v>
      </c>
      <c r="B54" t="s">
        <v>57</v>
      </c>
      <c r="C54" t="s">
        <v>70</v>
      </c>
      <c r="D54">
        <v>106550610</v>
      </c>
      <c r="E54" t="s">
        <v>612</v>
      </c>
      <c r="F54" t="s">
        <v>72</v>
      </c>
      <c r="G54">
        <v>0</v>
      </c>
      <c r="H54">
        <v>0.37</v>
      </c>
      <c r="I54">
        <v>0</v>
      </c>
      <c r="J54">
        <v>0</v>
      </c>
      <c r="K54">
        <v>0.37</v>
      </c>
      <c r="L54" t="s">
        <v>61</v>
      </c>
      <c r="M54">
        <v>2</v>
      </c>
      <c r="N54">
        <v>5.39</v>
      </c>
      <c r="O54" t="s">
        <v>62</v>
      </c>
      <c r="P54" t="s">
        <v>67</v>
      </c>
      <c r="Q54">
        <v>11</v>
      </c>
      <c r="R54">
        <v>29.62</v>
      </c>
    </row>
    <row r="55" spans="1:18" x14ac:dyDescent="0.35">
      <c r="A55" t="s">
        <v>56</v>
      </c>
      <c r="B55" t="s">
        <v>57</v>
      </c>
      <c r="C55" t="s">
        <v>70</v>
      </c>
      <c r="D55">
        <v>106550610</v>
      </c>
      <c r="E55" t="s">
        <v>612</v>
      </c>
      <c r="F55" t="s">
        <v>72</v>
      </c>
      <c r="G55">
        <v>0</v>
      </c>
      <c r="H55">
        <v>0.37</v>
      </c>
      <c r="I55">
        <v>0</v>
      </c>
      <c r="J55">
        <v>0</v>
      </c>
      <c r="K55">
        <v>0.37</v>
      </c>
      <c r="L55" t="s">
        <v>61</v>
      </c>
      <c r="M55">
        <v>2</v>
      </c>
      <c r="N55">
        <v>5.39</v>
      </c>
      <c r="O55" t="s">
        <v>68</v>
      </c>
      <c r="P55" t="s">
        <v>67</v>
      </c>
      <c r="Q55">
        <v>2</v>
      </c>
      <c r="R55">
        <v>5.39</v>
      </c>
    </row>
    <row r="56" spans="1:18" x14ac:dyDescent="0.35">
      <c r="A56" t="s">
        <v>56</v>
      </c>
      <c r="B56" t="s">
        <v>57</v>
      </c>
      <c r="C56" t="s">
        <v>58</v>
      </c>
      <c r="D56">
        <v>106556401</v>
      </c>
      <c r="E56" t="s">
        <v>613</v>
      </c>
      <c r="F56" t="s">
        <v>72</v>
      </c>
      <c r="G56">
        <v>0</v>
      </c>
      <c r="H56">
        <v>0.62</v>
      </c>
      <c r="I56">
        <v>0</v>
      </c>
      <c r="J56">
        <v>0</v>
      </c>
      <c r="K56">
        <v>0.62</v>
      </c>
      <c r="L56" t="s">
        <v>61</v>
      </c>
      <c r="M56">
        <v>20</v>
      </c>
      <c r="N56">
        <v>32.11</v>
      </c>
      <c r="O56" t="s">
        <v>62</v>
      </c>
      <c r="P56" t="s">
        <v>63</v>
      </c>
      <c r="Q56">
        <v>0</v>
      </c>
      <c r="R56">
        <v>0</v>
      </c>
    </row>
    <row r="57" spans="1:18" x14ac:dyDescent="0.35">
      <c r="A57" t="s">
        <v>56</v>
      </c>
      <c r="B57" t="s">
        <v>57</v>
      </c>
      <c r="C57" t="s">
        <v>58</v>
      </c>
      <c r="D57">
        <v>106556401</v>
      </c>
      <c r="E57" t="s">
        <v>613</v>
      </c>
      <c r="F57" t="s">
        <v>72</v>
      </c>
      <c r="G57">
        <v>0</v>
      </c>
      <c r="H57">
        <v>0.62</v>
      </c>
      <c r="I57">
        <v>0</v>
      </c>
      <c r="J57">
        <v>0</v>
      </c>
      <c r="K57">
        <v>0.62</v>
      </c>
      <c r="L57" t="s">
        <v>61</v>
      </c>
      <c r="M57">
        <v>20</v>
      </c>
      <c r="N57">
        <v>32.11</v>
      </c>
      <c r="O57" t="s">
        <v>62</v>
      </c>
      <c r="P57" t="s">
        <v>64</v>
      </c>
      <c r="Q57">
        <v>83</v>
      </c>
      <c r="R57">
        <v>133.27000000000001</v>
      </c>
    </row>
    <row r="58" spans="1:18" x14ac:dyDescent="0.35">
      <c r="A58" t="s">
        <v>56</v>
      </c>
      <c r="B58" t="s">
        <v>57</v>
      </c>
      <c r="C58" t="s">
        <v>58</v>
      </c>
      <c r="D58">
        <v>106556401</v>
      </c>
      <c r="E58" t="s">
        <v>613</v>
      </c>
      <c r="F58" t="s">
        <v>72</v>
      </c>
      <c r="G58">
        <v>0</v>
      </c>
      <c r="H58">
        <v>0.62</v>
      </c>
      <c r="I58">
        <v>0</v>
      </c>
      <c r="J58">
        <v>0</v>
      </c>
      <c r="K58">
        <v>0.62</v>
      </c>
      <c r="L58" t="s">
        <v>61</v>
      </c>
      <c r="M58">
        <v>20</v>
      </c>
      <c r="N58">
        <v>32.11</v>
      </c>
      <c r="O58" t="s">
        <v>62</v>
      </c>
      <c r="P58" t="s">
        <v>65</v>
      </c>
      <c r="Q58">
        <v>0</v>
      </c>
      <c r="R58">
        <v>0</v>
      </c>
    </row>
    <row r="59" spans="1:18" x14ac:dyDescent="0.35">
      <c r="A59" t="s">
        <v>56</v>
      </c>
      <c r="B59" t="s">
        <v>57</v>
      </c>
      <c r="C59" t="s">
        <v>58</v>
      </c>
      <c r="D59">
        <v>106556401</v>
      </c>
      <c r="E59" t="s">
        <v>613</v>
      </c>
      <c r="F59" t="s">
        <v>72</v>
      </c>
      <c r="G59">
        <v>0</v>
      </c>
      <c r="H59">
        <v>0.62</v>
      </c>
      <c r="I59">
        <v>0</v>
      </c>
      <c r="J59">
        <v>0</v>
      </c>
      <c r="K59">
        <v>0.62</v>
      </c>
      <c r="L59" t="s">
        <v>61</v>
      </c>
      <c r="M59">
        <v>20</v>
      </c>
      <c r="N59">
        <v>32.11</v>
      </c>
      <c r="O59" t="s">
        <v>62</v>
      </c>
      <c r="P59" t="s">
        <v>66</v>
      </c>
      <c r="Q59">
        <v>0</v>
      </c>
      <c r="R59">
        <v>0</v>
      </c>
    </row>
    <row r="60" spans="1:18" x14ac:dyDescent="0.35">
      <c r="A60" t="s">
        <v>56</v>
      </c>
      <c r="B60" t="s">
        <v>57</v>
      </c>
      <c r="C60" t="s">
        <v>58</v>
      </c>
      <c r="D60">
        <v>106556401</v>
      </c>
      <c r="E60" t="s">
        <v>613</v>
      </c>
      <c r="F60" t="s">
        <v>72</v>
      </c>
      <c r="G60">
        <v>0</v>
      </c>
      <c r="H60">
        <v>0.62</v>
      </c>
      <c r="I60">
        <v>0</v>
      </c>
      <c r="J60">
        <v>0</v>
      </c>
      <c r="K60">
        <v>0.62</v>
      </c>
      <c r="L60" t="s">
        <v>61</v>
      </c>
      <c r="M60">
        <v>20</v>
      </c>
      <c r="N60">
        <v>32.11</v>
      </c>
      <c r="O60" t="s">
        <v>62</v>
      </c>
      <c r="P60" t="s">
        <v>67</v>
      </c>
      <c r="Q60">
        <v>83</v>
      </c>
      <c r="R60">
        <v>133.27000000000001</v>
      </c>
    </row>
    <row r="61" spans="1:18" x14ac:dyDescent="0.35">
      <c r="A61" t="s">
        <v>56</v>
      </c>
      <c r="B61" t="s">
        <v>57</v>
      </c>
      <c r="C61" t="s">
        <v>58</v>
      </c>
      <c r="D61">
        <v>106556401</v>
      </c>
      <c r="E61" t="s">
        <v>613</v>
      </c>
      <c r="F61" t="s">
        <v>72</v>
      </c>
      <c r="G61">
        <v>0</v>
      </c>
      <c r="H61">
        <v>0.62</v>
      </c>
      <c r="I61">
        <v>0</v>
      </c>
      <c r="J61">
        <v>0</v>
      </c>
      <c r="K61">
        <v>0.62</v>
      </c>
      <c r="L61" t="s">
        <v>61</v>
      </c>
      <c r="M61">
        <v>20</v>
      </c>
      <c r="N61">
        <v>32.11</v>
      </c>
      <c r="O61" t="s">
        <v>68</v>
      </c>
      <c r="P61" t="s">
        <v>67</v>
      </c>
      <c r="Q61">
        <v>20</v>
      </c>
      <c r="R61">
        <v>32.11</v>
      </c>
    </row>
    <row r="62" spans="1:18" x14ac:dyDescent="0.35">
      <c r="A62" t="s">
        <v>56</v>
      </c>
      <c r="B62" t="s">
        <v>57</v>
      </c>
      <c r="C62" t="s">
        <v>70</v>
      </c>
      <c r="D62">
        <v>106616226</v>
      </c>
      <c r="E62" t="s">
        <v>614</v>
      </c>
      <c r="F62" t="s">
        <v>72</v>
      </c>
      <c r="G62">
        <v>0.32</v>
      </c>
      <c r="H62">
        <v>9.4700000000000006</v>
      </c>
      <c r="I62">
        <v>0.17</v>
      </c>
      <c r="J62">
        <v>0</v>
      </c>
      <c r="K62">
        <v>9.9700000000000006</v>
      </c>
      <c r="L62" t="s">
        <v>61</v>
      </c>
      <c r="M62">
        <v>533</v>
      </c>
      <c r="N62">
        <v>53.48</v>
      </c>
      <c r="O62" t="s">
        <v>62</v>
      </c>
      <c r="P62" t="s">
        <v>63</v>
      </c>
      <c r="Q62">
        <v>659</v>
      </c>
      <c r="R62">
        <v>2064.75</v>
      </c>
    </row>
    <row r="63" spans="1:18" x14ac:dyDescent="0.35">
      <c r="A63" t="s">
        <v>56</v>
      </c>
      <c r="B63" t="s">
        <v>57</v>
      </c>
      <c r="C63" t="s">
        <v>70</v>
      </c>
      <c r="D63">
        <v>106616226</v>
      </c>
      <c r="E63" t="s">
        <v>614</v>
      </c>
      <c r="F63" t="s">
        <v>72</v>
      </c>
      <c r="G63">
        <v>0.32</v>
      </c>
      <c r="H63">
        <v>9.4700000000000006</v>
      </c>
      <c r="I63">
        <v>0.17</v>
      </c>
      <c r="J63">
        <v>0</v>
      </c>
      <c r="K63">
        <v>9.9700000000000006</v>
      </c>
      <c r="L63" t="s">
        <v>61</v>
      </c>
      <c r="M63">
        <v>533</v>
      </c>
      <c r="N63">
        <v>53.48</v>
      </c>
      <c r="O63" t="s">
        <v>62</v>
      </c>
      <c r="P63" t="s">
        <v>64</v>
      </c>
      <c r="Q63">
        <v>2962</v>
      </c>
      <c r="R63">
        <v>312.66000000000003</v>
      </c>
    </row>
    <row r="64" spans="1:18" x14ac:dyDescent="0.35">
      <c r="A64" t="s">
        <v>56</v>
      </c>
      <c r="B64" t="s">
        <v>57</v>
      </c>
      <c r="C64" t="s">
        <v>70</v>
      </c>
      <c r="D64">
        <v>106616226</v>
      </c>
      <c r="E64" t="s">
        <v>614</v>
      </c>
      <c r="F64" t="s">
        <v>72</v>
      </c>
      <c r="G64">
        <v>0.32</v>
      </c>
      <c r="H64">
        <v>9.4700000000000006</v>
      </c>
      <c r="I64">
        <v>0.17</v>
      </c>
      <c r="J64">
        <v>0</v>
      </c>
      <c r="K64">
        <v>9.9700000000000006</v>
      </c>
      <c r="L64" t="s">
        <v>61</v>
      </c>
      <c r="M64">
        <v>533</v>
      </c>
      <c r="N64">
        <v>53.48</v>
      </c>
      <c r="O64" t="s">
        <v>62</v>
      </c>
      <c r="P64" t="s">
        <v>65</v>
      </c>
      <c r="Q64">
        <v>64</v>
      </c>
      <c r="R64">
        <v>368.64</v>
      </c>
    </row>
    <row r="65" spans="1:18" x14ac:dyDescent="0.35">
      <c r="A65" t="s">
        <v>56</v>
      </c>
      <c r="B65" t="s">
        <v>57</v>
      </c>
      <c r="C65" t="s">
        <v>70</v>
      </c>
      <c r="D65">
        <v>106616226</v>
      </c>
      <c r="E65" t="s">
        <v>614</v>
      </c>
      <c r="F65" t="s">
        <v>72</v>
      </c>
      <c r="G65">
        <v>0.32</v>
      </c>
      <c r="H65">
        <v>9.4700000000000006</v>
      </c>
      <c r="I65">
        <v>0.17</v>
      </c>
      <c r="J65">
        <v>0</v>
      </c>
      <c r="K65">
        <v>9.9700000000000006</v>
      </c>
      <c r="L65" t="s">
        <v>61</v>
      </c>
      <c r="M65">
        <v>533</v>
      </c>
      <c r="N65">
        <v>53.48</v>
      </c>
      <c r="O65" t="s">
        <v>62</v>
      </c>
      <c r="P65" t="s">
        <v>66</v>
      </c>
      <c r="Q65">
        <v>0</v>
      </c>
      <c r="R65">
        <v>0</v>
      </c>
    </row>
    <row r="66" spans="1:18" x14ac:dyDescent="0.35">
      <c r="A66" t="s">
        <v>56</v>
      </c>
      <c r="B66" t="s">
        <v>57</v>
      </c>
      <c r="C66" t="s">
        <v>70</v>
      </c>
      <c r="D66">
        <v>106616226</v>
      </c>
      <c r="E66" t="s">
        <v>614</v>
      </c>
      <c r="F66" t="s">
        <v>72</v>
      </c>
      <c r="G66">
        <v>0.32</v>
      </c>
      <c r="H66">
        <v>9.4700000000000006</v>
      </c>
      <c r="I66">
        <v>0.17</v>
      </c>
      <c r="J66">
        <v>0</v>
      </c>
      <c r="K66">
        <v>9.9700000000000006</v>
      </c>
      <c r="L66" t="s">
        <v>61</v>
      </c>
      <c r="M66">
        <v>533</v>
      </c>
      <c r="N66">
        <v>53.48</v>
      </c>
      <c r="O66" t="s">
        <v>62</v>
      </c>
      <c r="P66" t="s">
        <v>67</v>
      </c>
      <c r="Q66">
        <v>3685</v>
      </c>
      <c r="R66">
        <v>369.73</v>
      </c>
    </row>
    <row r="67" spans="1:18" x14ac:dyDescent="0.35">
      <c r="A67" t="s">
        <v>56</v>
      </c>
      <c r="B67" t="s">
        <v>57</v>
      </c>
      <c r="C67" t="s">
        <v>70</v>
      </c>
      <c r="D67">
        <v>106616226</v>
      </c>
      <c r="E67" t="s">
        <v>614</v>
      </c>
      <c r="F67" t="s">
        <v>72</v>
      </c>
      <c r="G67">
        <v>0.32</v>
      </c>
      <c r="H67">
        <v>9.4700000000000006</v>
      </c>
      <c r="I67">
        <v>0.17</v>
      </c>
      <c r="J67">
        <v>0</v>
      </c>
      <c r="K67">
        <v>9.9700000000000006</v>
      </c>
      <c r="L67" t="s">
        <v>61</v>
      </c>
      <c r="M67">
        <v>533</v>
      </c>
      <c r="N67">
        <v>53.48</v>
      </c>
      <c r="O67" t="s">
        <v>68</v>
      </c>
      <c r="P67" t="s">
        <v>67</v>
      </c>
      <c r="Q67">
        <v>533</v>
      </c>
      <c r="R67">
        <v>53.48</v>
      </c>
    </row>
    <row r="68" spans="1:18" x14ac:dyDescent="0.35">
      <c r="A68" t="s">
        <v>56</v>
      </c>
      <c r="B68" t="s">
        <v>57</v>
      </c>
      <c r="C68" t="s">
        <v>58</v>
      </c>
      <c r="D68">
        <v>106636925</v>
      </c>
      <c r="E68" t="s">
        <v>88</v>
      </c>
      <c r="F68" t="s">
        <v>72</v>
      </c>
      <c r="G68">
        <v>0.24</v>
      </c>
      <c r="H68">
        <v>7.93</v>
      </c>
      <c r="I68">
        <v>0</v>
      </c>
      <c r="J68">
        <v>0</v>
      </c>
      <c r="K68">
        <v>8.17</v>
      </c>
      <c r="L68" t="s">
        <v>61</v>
      </c>
      <c r="M68">
        <v>366</v>
      </c>
      <c r="N68">
        <v>44.82</v>
      </c>
      <c r="O68" t="s">
        <v>62</v>
      </c>
      <c r="P68" t="s">
        <v>63</v>
      </c>
      <c r="Q68">
        <v>256</v>
      </c>
      <c r="R68">
        <v>1088.08</v>
      </c>
    </row>
    <row r="69" spans="1:18" x14ac:dyDescent="0.35">
      <c r="A69" t="s">
        <v>56</v>
      </c>
      <c r="B69" t="s">
        <v>57</v>
      </c>
      <c r="C69" t="s">
        <v>58</v>
      </c>
      <c r="D69">
        <v>106636925</v>
      </c>
      <c r="E69" t="s">
        <v>88</v>
      </c>
      <c r="F69" t="s">
        <v>72</v>
      </c>
      <c r="G69">
        <v>0.24</v>
      </c>
      <c r="H69">
        <v>7.93</v>
      </c>
      <c r="I69">
        <v>0</v>
      </c>
      <c r="J69">
        <v>0</v>
      </c>
      <c r="K69">
        <v>8.17</v>
      </c>
      <c r="L69" t="s">
        <v>61</v>
      </c>
      <c r="M69">
        <v>366</v>
      </c>
      <c r="N69">
        <v>44.82</v>
      </c>
      <c r="O69" t="s">
        <v>62</v>
      </c>
      <c r="P69" t="s">
        <v>64</v>
      </c>
      <c r="Q69">
        <v>1307</v>
      </c>
      <c r="R69">
        <v>164.8</v>
      </c>
    </row>
    <row r="70" spans="1:18" x14ac:dyDescent="0.35">
      <c r="A70" t="s">
        <v>56</v>
      </c>
      <c r="B70" t="s">
        <v>57</v>
      </c>
      <c r="C70" t="s">
        <v>58</v>
      </c>
      <c r="D70">
        <v>106636925</v>
      </c>
      <c r="E70" t="s">
        <v>88</v>
      </c>
      <c r="F70" t="s">
        <v>72</v>
      </c>
      <c r="G70">
        <v>0.24</v>
      </c>
      <c r="H70">
        <v>7.93</v>
      </c>
      <c r="I70">
        <v>0</v>
      </c>
      <c r="J70">
        <v>0</v>
      </c>
      <c r="K70">
        <v>8.17</v>
      </c>
      <c r="L70" t="s">
        <v>61</v>
      </c>
      <c r="M70">
        <v>366</v>
      </c>
      <c r="N70">
        <v>44.82</v>
      </c>
      <c r="O70" t="s">
        <v>62</v>
      </c>
      <c r="P70" t="s">
        <v>65</v>
      </c>
      <c r="Q70">
        <v>0</v>
      </c>
      <c r="R70">
        <v>0</v>
      </c>
    </row>
    <row r="71" spans="1:18" x14ac:dyDescent="0.35">
      <c r="A71" t="s">
        <v>56</v>
      </c>
      <c r="B71" t="s">
        <v>57</v>
      </c>
      <c r="C71" t="s">
        <v>58</v>
      </c>
      <c r="D71">
        <v>106636925</v>
      </c>
      <c r="E71" t="s">
        <v>88</v>
      </c>
      <c r="F71" t="s">
        <v>72</v>
      </c>
      <c r="G71">
        <v>0.24</v>
      </c>
      <c r="H71">
        <v>7.93</v>
      </c>
      <c r="I71">
        <v>0</v>
      </c>
      <c r="J71">
        <v>0</v>
      </c>
      <c r="K71">
        <v>8.17</v>
      </c>
      <c r="L71" t="s">
        <v>61</v>
      </c>
      <c r="M71">
        <v>366</v>
      </c>
      <c r="N71">
        <v>44.82</v>
      </c>
      <c r="O71" t="s">
        <v>62</v>
      </c>
      <c r="P71" t="s">
        <v>66</v>
      </c>
      <c r="Q71">
        <v>0</v>
      </c>
      <c r="R71">
        <v>0</v>
      </c>
    </row>
    <row r="72" spans="1:18" x14ac:dyDescent="0.35">
      <c r="A72" t="s">
        <v>56</v>
      </c>
      <c r="B72" t="s">
        <v>57</v>
      </c>
      <c r="C72" t="s">
        <v>58</v>
      </c>
      <c r="D72">
        <v>106636925</v>
      </c>
      <c r="E72" t="s">
        <v>88</v>
      </c>
      <c r="F72" t="s">
        <v>72</v>
      </c>
      <c r="G72">
        <v>0.24</v>
      </c>
      <c r="H72">
        <v>7.93</v>
      </c>
      <c r="I72">
        <v>0</v>
      </c>
      <c r="J72">
        <v>0</v>
      </c>
      <c r="K72">
        <v>8.17</v>
      </c>
      <c r="L72" t="s">
        <v>61</v>
      </c>
      <c r="M72">
        <v>366</v>
      </c>
      <c r="N72">
        <v>44.82</v>
      </c>
      <c r="O72" t="s">
        <v>62</v>
      </c>
      <c r="P72" t="s">
        <v>67</v>
      </c>
      <c r="Q72">
        <v>1563</v>
      </c>
      <c r="R72">
        <v>191.39</v>
      </c>
    </row>
    <row r="73" spans="1:18" x14ac:dyDescent="0.35">
      <c r="A73" t="s">
        <v>56</v>
      </c>
      <c r="B73" t="s">
        <v>57</v>
      </c>
      <c r="C73" t="s">
        <v>58</v>
      </c>
      <c r="D73">
        <v>106636925</v>
      </c>
      <c r="E73" t="s">
        <v>88</v>
      </c>
      <c r="F73" t="s">
        <v>72</v>
      </c>
      <c r="G73">
        <v>0.24</v>
      </c>
      <c r="H73">
        <v>7.93</v>
      </c>
      <c r="I73">
        <v>0</v>
      </c>
      <c r="J73">
        <v>0</v>
      </c>
      <c r="K73">
        <v>8.17</v>
      </c>
      <c r="L73" t="s">
        <v>61</v>
      </c>
      <c r="M73">
        <v>366</v>
      </c>
      <c r="N73">
        <v>44.82</v>
      </c>
      <c r="O73" t="s">
        <v>68</v>
      </c>
      <c r="P73" t="s">
        <v>67</v>
      </c>
      <c r="Q73">
        <v>366</v>
      </c>
      <c r="R73">
        <v>44.82</v>
      </c>
    </row>
    <row r="74" spans="1:18" x14ac:dyDescent="0.35">
      <c r="A74" t="s">
        <v>56</v>
      </c>
      <c r="B74" t="s">
        <v>57</v>
      </c>
      <c r="C74" t="s">
        <v>70</v>
      </c>
      <c r="D74">
        <v>106640096</v>
      </c>
      <c r="E74" t="s">
        <v>89</v>
      </c>
      <c r="F74" t="s">
        <v>72</v>
      </c>
      <c r="G74">
        <v>0.16</v>
      </c>
      <c r="H74">
        <v>7.86</v>
      </c>
      <c r="I74">
        <v>0.08</v>
      </c>
      <c r="J74">
        <v>0</v>
      </c>
      <c r="K74">
        <v>8.11</v>
      </c>
      <c r="L74" t="s">
        <v>61</v>
      </c>
      <c r="M74">
        <v>453</v>
      </c>
      <c r="N74">
        <v>55.87</v>
      </c>
      <c r="O74" t="s">
        <v>62</v>
      </c>
      <c r="P74" t="s">
        <v>63</v>
      </c>
      <c r="Q74">
        <v>254</v>
      </c>
      <c r="R74">
        <v>1547.21</v>
      </c>
    </row>
    <row r="75" spans="1:18" x14ac:dyDescent="0.35">
      <c r="A75" t="s">
        <v>56</v>
      </c>
      <c r="B75" t="s">
        <v>57</v>
      </c>
      <c r="C75" t="s">
        <v>70</v>
      </c>
      <c r="D75">
        <v>106640096</v>
      </c>
      <c r="E75" t="s">
        <v>89</v>
      </c>
      <c r="F75" t="s">
        <v>72</v>
      </c>
      <c r="G75">
        <v>0.16</v>
      </c>
      <c r="H75">
        <v>7.86</v>
      </c>
      <c r="I75">
        <v>0.08</v>
      </c>
      <c r="J75">
        <v>0</v>
      </c>
      <c r="K75">
        <v>8.11</v>
      </c>
      <c r="L75" t="s">
        <v>61</v>
      </c>
      <c r="M75">
        <v>453</v>
      </c>
      <c r="N75">
        <v>55.87</v>
      </c>
      <c r="O75" t="s">
        <v>62</v>
      </c>
      <c r="P75" t="s">
        <v>64</v>
      </c>
      <c r="Q75">
        <v>1843</v>
      </c>
      <c r="R75">
        <v>234.36</v>
      </c>
    </row>
    <row r="76" spans="1:18" x14ac:dyDescent="0.35">
      <c r="A76" t="s">
        <v>56</v>
      </c>
      <c r="B76" t="s">
        <v>57</v>
      </c>
      <c r="C76" t="s">
        <v>70</v>
      </c>
      <c r="D76">
        <v>106640096</v>
      </c>
      <c r="E76" t="s">
        <v>89</v>
      </c>
      <c r="F76" t="s">
        <v>72</v>
      </c>
      <c r="G76">
        <v>0.16</v>
      </c>
      <c r="H76">
        <v>7.86</v>
      </c>
      <c r="I76">
        <v>0.08</v>
      </c>
      <c r="J76">
        <v>0</v>
      </c>
      <c r="K76">
        <v>8.11</v>
      </c>
      <c r="L76" t="s">
        <v>61</v>
      </c>
      <c r="M76">
        <v>453</v>
      </c>
      <c r="N76">
        <v>55.87</v>
      </c>
      <c r="O76" t="s">
        <v>62</v>
      </c>
      <c r="P76" t="s">
        <v>65</v>
      </c>
      <c r="Q76">
        <v>22</v>
      </c>
      <c r="R76">
        <v>276.92</v>
      </c>
    </row>
    <row r="77" spans="1:18" x14ac:dyDescent="0.35">
      <c r="A77" t="s">
        <v>56</v>
      </c>
      <c r="B77" t="s">
        <v>57</v>
      </c>
      <c r="C77" t="s">
        <v>70</v>
      </c>
      <c r="D77">
        <v>106640096</v>
      </c>
      <c r="E77" t="s">
        <v>89</v>
      </c>
      <c r="F77" t="s">
        <v>72</v>
      </c>
      <c r="G77">
        <v>0.16</v>
      </c>
      <c r="H77">
        <v>7.86</v>
      </c>
      <c r="I77">
        <v>0.08</v>
      </c>
      <c r="J77">
        <v>0</v>
      </c>
      <c r="K77">
        <v>8.11</v>
      </c>
      <c r="L77" t="s">
        <v>61</v>
      </c>
      <c r="M77">
        <v>453</v>
      </c>
      <c r="N77">
        <v>55.87</v>
      </c>
      <c r="O77" t="s">
        <v>62</v>
      </c>
      <c r="P77" t="s">
        <v>66</v>
      </c>
      <c r="Q77">
        <v>0</v>
      </c>
      <c r="R77">
        <v>0</v>
      </c>
    </row>
    <row r="78" spans="1:18" x14ac:dyDescent="0.35">
      <c r="A78" t="s">
        <v>56</v>
      </c>
      <c r="B78" t="s">
        <v>57</v>
      </c>
      <c r="C78" t="s">
        <v>70</v>
      </c>
      <c r="D78">
        <v>106640096</v>
      </c>
      <c r="E78" t="s">
        <v>89</v>
      </c>
      <c r="F78" t="s">
        <v>72</v>
      </c>
      <c r="G78">
        <v>0.16</v>
      </c>
      <c r="H78">
        <v>7.86</v>
      </c>
      <c r="I78">
        <v>0.08</v>
      </c>
      <c r="J78">
        <v>0</v>
      </c>
      <c r="K78">
        <v>8.11</v>
      </c>
      <c r="L78" t="s">
        <v>61</v>
      </c>
      <c r="M78">
        <v>453</v>
      </c>
      <c r="N78">
        <v>55.87</v>
      </c>
      <c r="O78" t="s">
        <v>62</v>
      </c>
      <c r="P78" t="s">
        <v>67</v>
      </c>
      <c r="Q78">
        <v>2119</v>
      </c>
      <c r="R78">
        <v>261.35000000000002</v>
      </c>
    </row>
    <row r="79" spans="1:18" x14ac:dyDescent="0.35">
      <c r="A79" t="s">
        <v>56</v>
      </c>
      <c r="B79" t="s">
        <v>57</v>
      </c>
      <c r="C79" t="s">
        <v>70</v>
      </c>
      <c r="D79">
        <v>106640096</v>
      </c>
      <c r="E79" t="s">
        <v>89</v>
      </c>
      <c r="F79" t="s">
        <v>72</v>
      </c>
      <c r="G79">
        <v>0.16</v>
      </c>
      <c r="H79">
        <v>7.86</v>
      </c>
      <c r="I79">
        <v>0.08</v>
      </c>
      <c r="J79">
        <v>0</v>
      </c>
      <c r="K79">
        <v>8.11</v>
      </c>
      <c r="L79" t="s">
        <v>61</v>
      </c>
      <c r="M79">
        <v>453</v>
      </c>
      <c r="N79">
        <v>55.87</v>
      </c>
      <c r="O79" t="s">
        <v>68</v>
      </c>
      <c r="P79" t="s">
        <v>67</v>
      </c>
      <c r="Q79">
        <v>453</v>
      </c>
      <c r="R79">
        <v>55.87</v>
      </c>
    </row>
    <row r="80" spans="1:18" x14ac:dyDescent="0.35">
      <c r="A80" t="s">
        <v>56</v>
      </c>
      <c r="B80" t="s">
        <v>57</v>
      </c>
      <c r="C80" t="s">
        <v>58</v>
      </c>
      <c r="D80">
        <v>106655388</v>
      </c>
      <c r="E80" t="s">
        <v>620</v>
      </c>
      <c r="F80" t="s">
        <v>72</v>
      </c>
      <c r="G80">
        <v>0.04</v>
      </c>
      <c r="H80">
        <v>9.5500000000000007</v>
      </c>
      <c r="I80">
        <v>0.31</v>
      </c>
      <c r="J80">
        <v>0</v>
      </c>
      <c r="K80">
        <v>9.9</v>
      </c>
      <c r="L80" t="s">
        <v>61</v>
      </c>
      <c r="M80">
        <v>464</v>
      </c>
      <c r="N80">
        <v>46.87</v>
      </c>
      <c r="O80" t="s">
        <v>62</v>
      </c>
      <c r="P80" t="s">
        <v>63</v>
      </c>
      <c r="Q80">
        <v>64</v>
      </c>
      <c r="R80">
        <v>1634.04</v>
      </c>
    </row>
    <row r="81" spans="1:18" x14ac:dyDescent="0.35">
      <c r="A81" t="s">
        <v>56</v>
      </c>
      <c r="B81" t="s">
        <v>57</v>
      </c>
      <c r="C81" t="s">
        <v>58</v>
      </c>
      <c r="D81">
        <v>106655388</v>
      </c>
      <c r="E81" t="s">
        <v>620</v>
      </c>
      <c r="F81" t="s">
        <v>72</v>
      </c>
      <c r="G81">
        <v>0.04</v>
      </c>
      <c r="H81">
        <v>9.5500000000000007</v>
      </c>
      <c r="I81">
        <v>0.31</v>
      </c>
      <c r="J81">
        <v>0</v>
      </c>
      <c r="K81">
        <v>9.9</v>
      </c>
      <c r="L81" t="s">
        <v>61</v>
      </c>
      <c r="M81">
        <v>464</v>
      </c>
      <c r="N81">
        <v>46.87</v>
      </c>
      <c r="O81" t="s">
        <v>62</v>
      </c>
      <c r="P81" t="s">
        <v>64</v>
      </c>
      <c r="Q81">
        <v>2357</v>
      </c>
      <c r="R81">
        <v>246.78</v>
      </c>
    </row>
    <row r="82" spans="1:18" x14ac:dyDescent="0.35">
      <c r="A82" t="s">
        <v>56</v>
      </c>
      <c r="B82" t="s">
        <v>57</v>
      </c>
      <c r="C82" t="s">
        <v>58</v>
      </c>
      <c r="D82">
        <v>106655388</v>
      </c>
      <c r="E82" t="s">
        <v>620</v>
      </c>
      <c r="F82" t="s">
        <v>72</v>
      </c>
      <c r="G82">
        <v>0.04</v>
      </c>
      <c r="H82">
        <v>9.5500000000000007</v>
      </c>
      <c r="I82">
        <v>0.31</v>
      </c>
      <c r="J82">
        <v>0</v>
      </c>
      <c r="K82">
        <v>9.9</v>
      </c>
      <c r="L82" t="s">
        <v>61</v>
      </c>
      <c r="M82">
        <v>464</v>
      </c>
      <c r="N82">
        <v>46.87</v>
      </c>
      <c r="O82" t="s">
        <v>62</v>
      </c>
      <c r="P82" t="s">
        <v>65</v>
      </c>
      <c r="Q82">
        <v>90</v>
      </c>
      <c r="R82">
        <v>290.83999999999997</v>
      </c>
    </row>
    <row r="83" spans="1:18" x14ac:dyDescent="0.35">
      <c r="A83" t="s">
        <v>56</v>
      </c>
      <c r="B83" t="s">
        <v>57</v>
      </c>
      <c r="C83" t="s">
        <v>58</v>
      </c>
      <c r="D83">
        <v>106655388</v>
      </c>
      <c r="E83" t="s">
        <v>620</v>
      </c>
      <c r="F83" t="s">
        <v>72</v>
      </c>
      <c r="G83">
        <v>0.04</v>
      </c>
      <c r="H83">
        <v>9.5500000000000007</v>
      </c>
      <c r="I83">
        <v>0.31</v>
      </c>
      <c r="J83">
        <v>0</v>
      </c>
      <c r="K83">
        <v>9.9</v>
      </c>
      <c r="L83" t="s">
        <v>61</v>
      </c>
      <c r="M83">
        <v>464</v>
      </c>
      <c r="N83">
        <v>46.87</v>
      </c>
      <c r="O83" t="s">
        <v>62</v>
      </c>
      <c r="P83" t="s">
        <v>66</v>
      </c>
      <c r="Q83">
        <v>0</v>
      </c>
      <c r="R83">
        <v>0</v>
      </c>
    </row>
    <row r="84" spans="1:18" x14ac:dyDescent="0.35">
      <c r="A84" t="s">
        <v>56</v>
      </c>
      <c r="B84" t="s">
        <v>57</v>
      </c>
      <c r="C84" t="s">
        <v>58</v>
      </c>
      <c r="D84">
        <v>106655388</v>
      </c>
      <c r="E84" t="s">
        <v>620</v>
      </c>
      <c r="F84" t="s">
        <v>72</v>
      </c>
      <c r="G84">
        <v>0.04</v>
      </c>
      <c r="H84">
        <v>9.5500000000000007</v>
      </c>
      <c r="I84">
        <v>0.31</v>
      </c>
      <c r="J84">
        <v>0</v>
      </c>
      <c r="K84">
        <v>9.9</v>
      </c>
      <c r="L84" t="s">
        <v>61</v>
      </c>
      <c r="M84">
        <v>464</v>
      </c>
      <c r="N84">
        <v>46.87</v>
      </c>
      <c r="O84" t="s">
        <v>62</v>
      </c>
      <c r="P84" t="s">
        <v>67</v>
      </c>
      <c r="Q84">
        <v>2511</v>
      </c>
      <c r="R84">
        <v>253.64</v>
      </c>
    </row>
    <row r="85" spans="1:18" x14ac:dyDescent="0.35">
      <c r="A85" t="s">
        <v>56</v>
      </c>
      <c r="B85" t="s">
        <v>57</v>
      </c>
      <c r="C85" t="s">
        <v>58</v>
      </c>
      <c r="D85">
        <v>106655388</v>
      </c>
      <c r="E85" t="s">
        <v>620</v>
      </c>
      <c r="F85" t="s">
        <v>72</v>
      </c>
      <c r="G85">
        <v>0.04</v>
      </c>
      <c r="H85">
        <v>9.5500000000000007</v>
      </c>
      <c r="I85">
        <v>0.31</v>
      </c>
      <c r="J85">
        <v>0</v>
      </c>
      <c r="K85">
        <v>9.9</v>
      </c>
      <c r="L85" t="s">
        <v>61</v>
      </c>
      <c r="M85">
        <v>464</v>
      </c>
      <c r="N85">
        <v>46.87</v>
      </c>
      <c r="O85" t="s">
        <v>68</v>
      </c>
      <c r="P85" t="s">
        <v>67</v>
      </c>
      <c r="Q85">
        <v>464</v>
      </c>
      <c r="R85">
        <v>46.87</v>
      </c>
    </row>
    <row r="86" spans="1:18" x14ac:dyDescent="0.35">
      <c r="A86" t="s">
        <v>56</v>
      </c>
      <c r="B86" t="s">
        <v>57</v>
      </c>
      <c r="C86" t="s">
        <v>70</v>
      </c>
      <c r="D86">
        <v>107102430</v>
      </c>
      <c r="E86" t="s">
        <v>90</v>
      </c>
      <c r="F86" t="s">
        <v>72</v>
      </c>
      <c r="G86">
        <v>0.18</v>
      </c>
      <c r="H86">
        <v>7.04</v>
      </c>
      <c r="I86">
        <v>0.02</v>
      </c>
      <c r="J86">
        <v>0</v>
      </c>
      <c r="K86">
        <v>7.24</v>
      </c>
      <c r="L86" t="s">
        <v>61</v>
      </c>
      <c r="M86">
        <v>378</v>
      </c>
      <c r="N86">
        <v>52.2</v>
      </c>
      <c r="O86" t="s">
        <v>62</v>
      </c>
      <c r="P86" t="s">
        <v>63</v>
      </c>
      <c r="Q86">
        <v>273</v>
      </c>
      <c r="R86">
        <v>1540.44</v>
      </c>
    </row>
    <row r="87" spans="1:18" x14ac:dyDescent="0.35">
      <c r="A87" t="s">
        <v>56</v>
      </c>
      <c r="B87" t="s">
        <v>57</v>
      </c>
      <c r="C87" t="s">
        <v>70</v>
      </c>
      <c r="D87">
        <v>107102430</v>
      </c>
      <c r="E87" t="s">
        <v>90</v>
      </c>
      <c r="F87" t="s">
        <v>72</v>
      </c>
      <c r="G87">
        <v>0.18</v>
      </c>
      <c r="H87">
        <v>7.04</v>
      </c>
      <c r="I87">
        <v>0.02</v>
      </c>
      <c r="J87">
        <v>0</v>
      </c>
      <c r="K87">
        <v>7.24</v>
      </c>
      <c r="L87" t="s">
        <v>61</v>
      </c>
      <c r="M87">
        <v>378</v>
      </c>
      <c r="N87">
        <v>52.2</v>
      </c>
      <c r="O87" t="s">
        <v>62</v>
      </c>
      <c r="P87" t="s">
        <v>64</v>
      </c>
      <c r="Q87">
        <v>1643</v>
      </c>
      <c r="R87">
        <v>233.29</v>
      </c>
    </row>
    <row r="88" spans="1:18" x14ac:dyDescent="0.35">
      <c r="A88" t="s">
        <v>56</v>
      </c>
      <c r="B88" t="s">
        <v>57</v>
      </c>
      <c r="C88" t="s">
        <v>70</v>
      </c>
      <c r="D88">
        <v>107102430</v>
      </c>
      <c r="E88" t="s">
        <v>90</v>
      </c>
      <c r="F88" t="s">
        <v>72</v>
      </c>
      <c r="G88">
        <v>0.18</v>
      </c>
      <c r="H88">
        <v>7.04</v>
      </c>
      <c r="I88">
        <v>0.02</v>
      </c>
      <c r="J88">
        <v>0</v>
      </c>
      <c r="K88">
        <v>7.24</v>
      </c>
      <c r="L88" t="s">
        <v>61</v>
      </c>
      <c r="M88">
        <v>378</v>
      </c>
      <c r="N88">
        <v>52.2</v>
      </c>
      <c r="O88" t="s">
        <v>62</v>
      </c>
      <c r="P88" t="s">
        <v>65</v>
      </c>
      <c r="Q88">
        <v>6</v>
      </c>
      <c r="R88">
        <v>276.92</v>
      </c>
    </row>
    <row r="89" spans="1:18" x14ac:dyDescent="0.35">
      <c r="A89" t="s">
        <v>56</v>
      </c>
      <c r="B89" t="s">
        <v>57</v>
      </c>
      <c r="C89" t="s">
        <v>70</v>
      </c>
      <c r="D89">
        <v>107102430</v>
      </c>
      <c r="E89" t="s">
        <v>90</v>
      </c>
      <c r="F89" t="s">
        <v>72</v>
      </c>
      <c r="G89">
        <v>0.18</v>
      </c>
      <c r="H89">
        <v>7.04</v>
      </c>
      <c r="I89">
        <v>0.02</v>
      </c>
      <c r="J89">
        <v>0</v>
      </c>
      <c r="K89">
        <v>7.24</v>
      </c>
      <c r="L89" t="s">
        <v>61</v>
      </c>
      <c r="M89">
        <v>378</v>
      </c>
      <c r="N89">
        <v>52.2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70</v>
      </c>
      <c r="D90">
        <v>107102430</v>
      </c>
      <c r="E90" t="s">
        <v>90</v>
      </c>
      <c r="F90" t="s">
        <v>72</v>
      </c>
      <c r="G90">
        <v>0.18</v>
      </c>
      <c r="H90">
        <v>7.04</v>
      </c>
      <c r="I90">
        <v>0.02</v>
      </c>
      <c r="J90">
        <v>0</v>
      </c>
      <c r="K90">
        <v>7.24</v>
      </c>
      <c r="L90" t="s">
        <v>61</v>
      </c>
      <c r="M90">
        <v>378</v>
      </c>
      <c r="N90">
        <v>52.2</v>
      </c>
      <c r="O90" t="s">
        <v>62</v>
      </c>
      <c r="P90" t="s">
        <v>67</v>
      </c>
      <c r="Q90">
        <v>1922</v>
      </c>
      <c r="R90">
        <v>265.39999999999998</v>
      </c>
    </row>
    <row r="91" spans="1:18" x14ac:dyDescent="0.35">
      <c r="A91" t="s">
        <v>56</v>
      </c>
      <c r="B91" t="s">
        <v>57</v>
      </c>
      <c r="C91" t="s">
        <v>70</v>
      </c>
      <c r="D91">
        <v>107102430</v>
      </c>
      <c r="E91" t="s">
        <v>90</v>
      </c>
      <c r="F91" t="s">
        <v>72</v>
      </c>
      <c r="G91">
        <v>0.18</v>
      </c>
      <c r="H91">
        <v>7.04</v>
      </c>
      <c r="I91">
        <v>0.02</v>
      </c>
      <c r="J91">
        <v>0</v>
      </c>
      <c r="K91">
        <v>7.24</v>
      </c>
      <c r="L91" t="s">
        <v>61</v>
      </c>
      <c r="M91">
        <v>378</v>
      </c>
      <c r="N91">
        <v>52.2</v>
      </c>
      <c r="O91" t="s">
        <v>68</v>
      </c>
      <c r="P91" t="s">
        <v>67</v>
      </c>
      <c r="Q91">
        <v>378</v>
      </c>
      <c r="R91">
        <v>52.2</v>
      </c>
    </row>
    <row r="92" spans="1:18" x14ac:dyDescent="0.35">
      <c r="A92" t="s">
        <v>56</v>
      </c>
      <c r="B92" t="s">
        <v>57</v>
      </c>
      <c r="C92" t="s">
        <v>58</v>
      </c>
      <c r="D92">
        <v>107221179</v>
      </c>
      <c r="E92" t="s">
        <v>91</v>
      </c>
      <c r="F92" t="s">
        <v>72</v>
      </c>
      <c r="G92">
        <v>0.23</v>
      </c>
      <c r="H92">
        <v>8.8699999999999992</v>
      </c>
      <c r="I92">
        <v>0.7</v>
      </c>
      <c r="J92">
        <v>0</v>
      </c>
      <c r="K92">
        <v>9.8000000000000007</v>
      </c>
      <c r="L92" t="s">
        <v>61</v>
      </c>
      <c r="M92">
        <v>443</v>
      </c>
      <c r="N92">
        <v>45.2</v>
      </c>
      <c r="O92" t="s">
        <v>62</v>
      </c>
      <c r="P92" t="s">
        <v>63</v>
      </c>
      <c r="Q92">
        <v>295</v>
      </c>
      <c r="R92">
        <v>1281.06</v>
      </c>
    </row>
    <row r="93" spans="1:18" x14ac:dyDescent="0.35">
      <c r="A93" t="s">
        <v>56</v>
      </c>
      <c r="B93" t="s">
        <v>57</v>
      </c>
      <c r="C93" t="s">
        <v>58</v>
      </c>
      <c r="D93">
        <v>107221179</v>
      </c>
      <c r="E93" t="s">
        <v>91</v>
      </c>
      <c r="F93" t="s">
        <v>72</v>
      </c>
      <c r="G93">
        <v>0.23</v>
      </c>
      <c r="H93">
        <v>8.8699999999999992</v>
      </c>
      <c r="I93">
        <v>0.7</v>
      </c>
      <c r="J93">
        <v>0</v>
      </c>
      <c r="K93">
        <v>9.8000000000000007</v>
      </c>
      <c r="L93" t="s">
        <v>61</v>
      </c>
      <c r="M93">
        <v>443</v>
      </c>
      <c r="N93">
        <v>45.2</v>
      </c>
      <c r="O93" t="s">
        <v>62</v>
      </c>
      <c r="P93" t="s">
        <v>64</v>
      </c>
      <c r="Q93">
        <v>1721</v>
      </c>
      <c r="R93">
        <v>194.03</v>
      </c>
    </row>
    <row r="94" spans="1:18" x14ac:dyDescent="0.35">
      <c r="A94" t="s">
        <v>56</v>
      </c>
      <c r="B94" t="s">
        <v>57</v>
      </c>
      <c r="C94" t="s">
        <v>58</v>
      </c>
      <c r="D94">
        <v>107221179</v>
      </c>
      <c r="E94" t="s">
        <v>91</v>
      </c>
      <c r="F94" t="s">
        <v>72</v>
      </c>
      <c r="G94">
        <v>0.23</v>
      </c>
      <c r="H94">
        <v>8.8699999999999992</v>
      </c>
      <c r="I94">
        <v>0.7</v>
      </c>
      <c r="J94">
        <v>0</v>
      </c>
      <c r="K94">
        <v>9.8000000000000007</v>
      </c>
      <c r="L94" t="s">
        <v>61</v>
      </c>
      <c r="M94">
        <v>443</v>
      </c>
      <c r="N94">
        <v>45.2</v>
      </c>
      <c r="O94" t="s">
        <v>62</v>
      </c>
      <c r="P94" t="s">
        <v>65</v>
      </c>
      <c r="Q94">
        <v>160</v>
      </c>
      <c r="R94">
        <v>228.75</v>
      </c>
    </row>
    <row r="95" spans="1:18" x14ac:dyDescent="0.35">
      <c r="A95" t="s">
        <v>56</v>
      </c>
      <c r="B95" t="s">
        <v>57</v>
      </c>
      <c r="C95" t="s">
        <v>58</v>
      </c>
      <c r="D95">
        <v>107221179</v>
      </c>
      <c r="E95" t="s">
        <v>91</v>
      </c>
      <c r="F95" t="s">
        <v>72</v>
      </c>
      <c r="G95">
        <v>0.23</v>
      </c>
      <c r="H95">
        <v>8.8699999999999992</v>
      </c>
      <c r="I95">
        <v>0.7</v>
      </c>
      <c r="J95">
        <v>0</v>
      </c>
      <c r="K95">
        <v>9.8000000000000007</v>
      </c>
      <c r="L95" t="s">
        <v>61</v>
      </c>
      <c r="M95">
        <v>443</v>
      </c>
      <c r="N95">
        <v>45.2</v>
      </c>
      <c r="O95" t="s">
        <v>62</v>
      </c>
      <c r="P95" t="s">
        <v>66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58</v>
      </c>
      <c r="D96">
        <v>107221179</v>
      </c>
      <c r="E96" t="s">
        <v>91</v>
      </c>
      <c r="F96" t="s">
        <v>72</v>
      </c>
      <c r="G96">
        <v>0.23</v>
      </c>
      <c r="H96">
        <v>8.8699999999999992</v>
      </c>
      <c r="I96">
        <v>0.7</v>
      </c>
      <c r="J96">
        <v>0</v>
      </c>
      <c r="K96">
        <v>9.8000000000000007</v>
      </c>
      <c r="L96" t="s">
        <v>61</v>
      </c>
      <c r="M96">
        <v>443</v>
      </c>
      <c r="N96">
        <v>45.2</v>
      </c>
      <c r="O96" t="s">
        <v>62</v>
      </c>
      <c r="P96" t="s">
        <v>67</v>
      </c>
      <c r="Q96">
        <v>2176</v>
      </c>
      <c r="R96">
        <v>222.04</v>
      </c>
    </row>
    <row r="97" spans="1:18" x14ac:dyDescent="0.35">
      <c r="A97" t="s">
        <v>56</v>
      </c>
      <c r="B97" t="s">
        <v>57</v>
      </c>
      <c r="C97" t="s">
        <v>58</v>
      </c>
      <c r="D97">
        <v>107221179</v>
      </c>
      <c r="E97" t="s">
        <v>91</v>
      </c>
      <c r="F97" t="s">
        <v>72</v>
      </c>
      <c r="G97">
        <v>0.23</v>
      </c>
      <c r="H97">
        <v>8.8699999999999992</v>
      </c>
      <c r="I97">
        <v>0.7</v>
      </c>
      <c r="J97">
        <v>0</v>
      </c>
      <c r="K97">
        <v>9.8000000000000007</v>
      </c>
      <c r="L97" t="s">
        <v>61</v>
      </c>
      <c r="M97">
        <v>443</v>
      </c>
      <c r="N97">
        <v>45.2</v>
      </c>
      <c r="O97" t="s">
        <v>68</v>
      </c>
      <c r="P97" t="s">
        <v>67</v>
      </c>
      <c r="Q97">
        <v>443</v>
      </c>
      <c r="R97">
        <v>45.2</v>
      </c>
    </row>
    <row r="98" spans="1:18" x14ac:dyDescent="0.35">
      <c r="A98" t="s">
        <v>56</v>
      </c>
      <c r="B98" t="s">
        <v>57</v>
      </c>
      <c r="C98" t="s">
        <v>70</v>
      </c>
      <c r="D98">
        <v>107221222</v>
      </c>
      <c r="E98" t="s">
        <v>94</v>
      </c>
      <c r="F98" t="s">
        <v>72</v>
      </c>
      <c r="G98">
        <v>0.46</v>
      </c>
      <c r="H98">
        <v>9.5399999999999991</v>
      </c>
      <c r="I98">
        <v>0.1</v>
      </c>
      <c r="J98">
        <v>0</v>
      </c>
      <c r="K98">
        <v>10.1</v>
      </c>
      <c r="L98" t="s">
        <v>61</v>
      </c>
      <c r="M98">
        <v>547</v>
      </c>
      <c r="N98">
        <v>54.16</v>
      </c>
      <c r="O98" t="s">
        <v>62</v>
      </c>
      <c r="P98" t="s">
        <v>63</v>
      </c>
      <c r="Q98">
        <v>753</v>
      </c>
      <c r="R98">
        <v>1625.18</v>
      </c>
    </row>
    <row r="99" spans="1:18" x14ac:dyDescent="0.35">
      <c r="A99" t="s">
        <v>56</v>
      </c>
      <c r="B99" t="s">
        <v>57</v>
      </c>
      <c r="C99" t="s">
        <v>70</v>
      </c>
      <c r="D99">
        <v>107221222</v>
      </c>
      <c r="E99" t="s">
        <v>94</v>
      </c>
      <c r="F99" t="s">
        <v>72</v>
      </c>
      <c r="G99">
        <v>0.46</v>
      </c>
      <c r="H99">
        <v>9.5399999999999991</v>
      </c>
      <c r="I99">
        <v>0.1</v>
      </c>
      <c r="J99">
        <v>0</v>
      </c>
      <c r="K99">
        <v>10.1</v>
      </c>
      <c r="L99" t="s">
        <v>61</v>
      </c>
      <c r="M99">
        <v>547</v>
      </c>
      <c r="N99">
        <v>54.16</v>
      </c>
      <c r="O99" t="s">
        <v>62</v>
      </c>
      <c r="P99" t="s">
        <v>64</v>
      </c>
      <c r="Q99">
        <v>2349</v>
      </c>
      <c r="R99">
        <v>246.23</v>
      </c>
    </row>
    <row r="100" spans="1:18" x14ac:dyDescent="0.35">
      <c r="A100" t="s">
        <v>56</v>
      </c>
      <c r="B100" t="s">
        <v>57</v>
      </c>
      <c r="C100" t="s">
        <v>70</v>
      </c>
      <c r="D100">
        <v>107221222</v>
      </c>
      <c r="E100" t="s">
        <v>94</v>
      </c>
      <c r="F100" t="s">
        <v>72</v>
      </c>
      <c r="G100">
        <v>0.46</v>
      </c>
      <c r="H100">
        <v>9.5399999999999991</v>
      </c>
      <c r="I100">
        <v>0.1</v>
      </c>
      <c r="J100">
        <v>0</v>
      </c>
      <c r="K100">
        <v>10.1</v>
      </c>
      <c r="L100" t="s">
        <v>61</v>
      </c>
      <c r="M100">
        <v>547</v>
      </c>
      <c r="N100">
        <v>54.16</v>
      </c>
      <c r="O100" t="s">
        <v>62</v>
      </c>
      <c r="P100" t="s">
        <v>65</v>
      </c>
      <c r="Q100">
        <v>28</v>
      </c>
      <c r="R100">
        <v>290.49</v>
      </c>
    </row>
    <row r="101" spans="1:18" x14ac:dyDescent="0.35">
      <c r="A101" t="s">
        <v>56</v>
      </c>
      <c r="B101" t="s">
        <v>57</v>
      </c>
      <c r="C101" t="s">
        <v>70</v>
      </c>
      <c r="D101">
        <v>107221222</v>
      </c>
      <c r="E101" t="s">
        <v>94</v>
      </c>
      <c r="F101" t="s">
        <v>72</v>
      </c>
      <c r="G101">
        <v>0.46</v>
      </c>
      <c r="H101">
        <v>9.5399999999999991</v>
      </c>
      <c r="I101">
        <v>0.1</v>
      </c>
      <c r="J101">
        <v>0</v>
      </c>
      <c r="K101">
        <v>10.1</v>
      </c>
      <c r="L101" t="s">
        <v>61</v>
      </c>
      <c r="M101">
        <v>547</v>
      </c>
      <c r="N101">
        <v>54.16</v>
      </c>
      <c r="O101" t="s">
        <v>62</v>
      </c>
      <c r="P101" t="s">
        <v>66</v>
      </c>
      <c r="Q101">
        <v>0</v>
      </c>
      <c r="R101">
        <v>0</v>
      </c>
    </row>
    <row r="102" spans="1:18" x14ac:dyDescent="0.35">
      <c r="A102" t="s">
        <v>56</v>
      </c>
      <c r="B102" t="s">
        <v>57</v>
      </c>
      <c r="C102" t="s">
        <v>70</v>
      </c>
      <c r="D102">
        <v>107221222</v>
      </c>
      <c r="E102" t="s">
        <v>94</v>
      </c>
      <c r="F102" t="s">
        <v>72</v>
      </c>
      <c r="G102">
        <v>0.46</v>
      </c>
      <c r="H102">
        <v>9.5399999999999991</v>
      </c>
      <c r="I102">
        <v>0.1</v>
      </c>
      <c r="J102">
        <v>0</v>
      </c>
      <c r="K102">
        <v>10.1</v>
      </c>
      <c r="L102" t="s">
        <v>61</v>
      </c>
      <c r="M102">
        <v>547</v>
      </c>
      <c r="N102">
        <v>54.16</v>
      </c>
      <c r="O102" t="s">
        <v>62</v>
      </c>
      <c r="P102" t="s">
        <v>67</v>
      </c>
      <c r="Q102">
        <v>3130</v>
      </c>
      <c r="R102">
        <v>309.89999999999998</v>
      </c>
    </row>
    <row r="103" spans="1:18" x14ac:dyDescent="0.35">
      <c r="A103" t="s">
        <v>56</v>
      </c>
      <c r="B103" t="s">
        <v>57</v>
      </c>
      <c r="C103" t="s">
        <v>70</v>
      </c>
      <c r="D103">
        <v>107221222</v>
      </c>
      <c r="E103" t="s">
        <v>94</v>
      </c>
      <c r="F103" t="s">
        <v>72</v>
      </c>
      <c r="G103">
        <v>0.46</v>
      </c>
      <c r="H103">
        <v>9.5399999999999991</v>
      </c>
      <c r="I103">
        <v>0.1</v>
      </c>
      <c r="J103">
        <v>0</v>
      </c>
      <c r="K103">
        <v>10.1</v>
      </c>
      <c r="L103" t="s">
        <v>61</v>
      </c>
      <c r="M103">
        <v>547</v>
      </c>
      <c r="N103">
        <v>54.16</v>
      </c>
      <c r="O103" t="s">
        <v>68</v>
      </c>
      <c r="P103" t="s">
        <v>67</v>
      </c>
      <c r="Q103">
        <v>547</v>
      </c>
      <c r="R103">
        <v>54.16</v>
      </c>
    </row>
    <row r="104" spans="1:18" x14ac:dyDescent="0.35">
      <c r="A104" t="s">
        <v>56</v>
      </c>
      <c r="B104" t="s">
        <v>57</v>
      </c>
      <c r="C104" t="s">
        <v>58</v>
      </c>
      <c r="D104">
        <v>107221237</v>
      </c>
      <c r="E104" t="s">
        <v>97</v>
      </c>
      <c r="F104" t="s">
        <v>72</v>
      </c>
      <c r="G104">
        <v>0.96</v>
      </c>
      <c r="H104">
        <v>8.85</v>
      </c>
      <c r="I104">
        <v>0</v>
      </c>
      <c r="J104">
        <v>0</v>
      </c>
      <c r="K104">
        <v>9.82</v>
      </c>
      <c r="L104" t="s">
        <v>61</v>
      </c>
      <c r="M104">
        <v>331</v>
      </c>
      <c r="N104">
        <v>33.72</v>
      </c>
      <c r="O104" t="s">
        <v>62</v>
      </c>
      <c r="P104" t="s">
        <v>63</v>
      </c>
      <c r="Q104">
        <v>961</v>
      </c>
      <c r="R104">
        <v>998.15</v>
      </c>
    </row>
    <row r="105" spans="1:18" x14ac:dyDescent="0.35">
      <c r="A105" t="s">
        <v>56</v>
      </c>
      <c r="B105" t="s">
        <v>57</v>
      </c>
      <c r="C105" t="s">
        <v>58</v>
      </c>
      <c r="D105">
        <v>107221237</v>
      </c>
      <c r="E105" t="s">
        <v>97</v>
      </c>
      <c r="F105" t="s">
        <v>72</v>
      </c>
      <c r="G105">
        <v>0.96</v>
      </c>
      <c r="H105">
        <v>8.85</v>
      </c>
      <c r="I105">
        <v>0</v>
      </c>
      <c r="J105">
        <v>0</v>
      </c>
      <c r="K105">
        <v>9.82</v>
      </c>
      <c r="L105" t="s">
        <v>61</v>
      </c>
      <c r="M105">
        <v>331</v>
      </c>
      <c r="N105">
        <v>33.72</v>
      </c>
      <c r="O105" t="s">
        <v>62</v>
      </c>
      <c r="P105" t="s">
        <v>64</v>
      </c>
      <c r="Q105">
        <v>1339</v>
      </c>
      <c r="R105">
        <v>151.24</v>
      </c>
    </row>
    <row r="106" spans="1:18" x14ac:dyDescent="0.35">
      <c r="A106" t="s">
        <v>56</v>
      </c>
      <c r="B106" t="s">
        <v>57</v>
      </c>
      <c r="C106" t="s">
        <v>58</v>
      </c>
      <c r="D106">
        <v>107221237</v>
      </c>
      <c r="E106" t="s">
        <v>97</v>
      </c>
      <c r="F106" t="s">
        <v>72</v>
      </c>
      <c r="G106">
        <v>0.96</v>
      </c>
      <c r="H106">
        <v>8.85</v>
      </c>
      <c r="I106">
        <v>0</v>
      </c>
      <c r="J106">
        <v>0</v>
      </c>
      <c r="K106">
        <v>9.82</v>
      </c>
      <c r="L106" t="s">
        <v>61</v>
      </c>
      <c r="M106">
        <v>331</v>
      </c>
      <c r="N106">
        <v>33.72</v>
      </c>
      <c r="O106" t="s">
        <v>62</v>
      </c>
      <c r="P106" t="s">
        <v>65</v>
      </c>
      <c r="Q106">
        <v>0</v>
      </c>
      <c r="R106">
        <v>0</v>
      </c>
    </row>
    <row r="107" spans="1:18" x14ac:dyDescent="0.35">
      <c r="A107" t="s">
        <v>56</v>
      </c>
      <c r="B107" t="s">
        <v>57</v>
      </c>
      <c r="C107" t="s">
        <v>58</v>
      </c>
      <c r="D107">
        <v>107221237</v>
      </c>
      <c r="E107" t="s">
        <v>97</v>
      </c>
      <c r="F107" t="s">
        <v>72</v>
      </c>
      <c r="G107">
        <v>0.96</v>
      </c>
      <c r="H107">
        <v>8.85</v>
      </c>
      <c r="I107">
        <v>0</v>
      </c>
      <c r="J107">
        <v>0</v>
      </c>
      <c r="K107">
        <v>9.82</v>
      </c>
      <c r="L107" t="s">
        <v>61</v>
      </c>
      <c r="M107">
        <v>331</v>
      </c>
      <c r="N107">
        <v>33.72</v>
      </c>
      <c r="O107" t="s">
        <v>62</v>
      </c>
      <c r="P107" t="s">
        <v>66</v>
      </c>
      <c r="Q107">
        <v>0</v>
      </c>
      <c r="R107">
        <v>0</v>
      </c>
    </row>
    <row r="108" spans="1:18" x14ac:dyDescent="0.35">
      <c r="A108" t="s">
        <v>56</v>
      </c>
      <c r="B108" t="s">
        <v>57</v>
      </c>
      <c r="C108" t="s">
        <v>58</v>
      </c>
      <c r="D108">
        <v>107221237</v>
      </c>
      <c r="E108" t="s">
        <v>97</v>
      </c>
      <c r="F108" t="s">
        <v>72</v>
      </c>
      <c r="G108">
        <v>0.96</v>
      </c>
      <c r="H108">
        <v>8.85</v>
      </c>
      <c r="I108">
        <v>0</v>
      </c>
      <c r="J108">
        <v>0</v>
      </c>
      <c r="K108">
        <v>9.82</v>
      </c>
      <c r="L108" t="s">
        <v>61</v>
      </c>
      <c r="M108">
        <v>331</v>
      </c>
      <c r="N108">
        <v>33.72</v>
      </c>
      <c r="O108" t="s">
        <v>62</v>
      </c>
      <c r="P108" t="s">
        <v>67</v>
      </c>
      <c r="Q108">
        <v>2300</v>
      </c>
      <c r="R108">
        <v>234.3</v>
      </c>
    </row>
    <row r="109" spans="1:18" x14ac:dyDescent="0.35">
      <c r="A109" t="s">
        <v>56</v>
      </c>
      <c r="B109" t="s">
        <v>57</v>
      </c>
      <c r="C109" t="s">
        <v>58</v>
      </c>
      <c r="D109">
        <v>107221237</v>
      </c>
      <c r="E109" t="s">
        <v>97</v>
      </c>
      <c r="F109" t="s">
        <v>72</v>
      </c>
      <c r="G109">
        <v>0.96</v>
      </c>
      <c r="H109">
        <v>8.85</v>
      </c>
      <c r="I109">
        <v>0</v>
      </c>
      <c r="J109">
        <v>0</v>
      </c>
      <c r="K109">
        <v>9.82</v>
      </c>
      <c r="L109" t="s">
        <v>61</v>
      </c>
      <c r="M109">
        <v>331</v>
      </c>
      <c r="N109">
        <v>33.72</v>
      </c>
      <c r="O109" t="s">
        <v>68</v>
      </c>
      <c r="P109" t="s">
        <v>67</v>
      </c>
      <c r="Q109">
        <v>331</v>
      </c>
      <c r="R109">
        <v>33.72</v>
      </c>
    </row>
    <row r="110" spans="1:18" x14ac:dyDescent="0.35">
      <c r="A110" t="s">
        <v>56</v>
      </c>
      <c r="B110" t="s">
        <v>57</v>
      </c>
      <c r="C110" t="s">
        <v>70</v>
      </c>
      <c r="D110">
        <v>107232917</v>
      </c>
      <c r="E110" t="s">
        <v>588</v>
      </c>
      <c r="F110" t="s">
        <v>72</v>
      </c>
      <c r="G110">
        <v>0.36</v>
      </c>
      <c r="H110">
        <v>9.61</v>
      </c>
      <c r="I110">
        <v>0</v>
      </c>
      <c r="J110">
        <v>0</v>
      </c>
      <c r="K110">
        <v>9.9700000000000006</v>
      </c>
      <c r="L110" t="s">
        <v>61</v>
      </c>
      <c r="M110">
        <v>511</v>
      </c>
      <c r="N110">
        <v>51.27</v>
      </c>
      <c r="O110" t="s">
        <v>62</v>
      </c>
      <c r="P110" t="s">
        <v>63</v>
      </c>
      <c r="Q110">
        <v>651</v>
      </c>
      <c r="R110">
        <v>1832.37</v>
      </c>
    </row>
    <row r="111" spans="1:18" x14ac:dyDescent="0.35">
      <c r="A111" t="s">
        <v>56</v>
      </c>
      <c r="B111" t="s">
        <v>57</v>
      </c>
      <c r="C111" t="s">
        <v>70</v>
      </c>
      <c r="D111">
        <v>107232917</v>
      </c>
      <c r="E111" t="s">
        <v>588</v>
      </c>
      <c r="F111" t="s">
        <v>72</v>
      </c>
      <c r="G111">
        <v>0.36</v>
      </c>
      <c r="H111">
        <v>9.61</v>
      </c>
      <c r="I111">
        <v>0</v>
      </c>
      <c r="J111">
        <v>0</v>
      </c>
      <c r="K111">
        <v>9.9700000000000006</v>
      </c>
      <c r="L111" t="s">
        <v>61</v>
      </c>
      <c r="M111">
        <v>511</v>
      </c>
      <c r="N111">
        <v>51.27</v>
      </c>
      <c r="O111" t="s">
        <v>62</v>
      </c>
      <c r="P111" t="s">
        <v>64</v>
      </c>
      <c r="Q111">
        <v>2667</v>
      </c>
      <c r="R111">
        <v>277.49</v>
      </c>
    </row>
    <row r="112" spans="1:18" x14ac:dyDescent="0.35">
      <c r="A112" t="s">
        <v>56</v>
      </c>
      <c r="B112" t="s">
        <v>57</v>
      </c>
      <c r="C112" t="s">
        <v>70</v>
      </c>
      <c r="D112">
        <v>107232917</v>
      </c>
      <c r="E112" t="s">
        <v>588</v>
      </c>
      <c r="F112" t="s">
        <v>72</v>
      </c>
      <c r="G112">
        <v>0.36</v>
      </c>
      <c r="H112">
        <v>9.61</v>
      </c>
      <c r="I112">
        <v>0</v>
      </c>
      <c r="J112">
        <v>0</v>
      </c>
      <c r="K112">
        <v>9.9700000000000006</v>
      </c>
      <c r="L112" t="s">
        <v>61</v>
      </c>
      <c r="M112">
        <v>511</v>
      </c>
      <c r="N112">
        <v>51.27</v>
      </c>
      <c r="O112" t="s">
        <v>62</v>
      </c>
      <c r="P112" t="s">
        <v>65</v>
      </c>
      <c r="Q112">
        <v>0</v>
      </c>
      <c r="R112">
        <v>0</v>
      </c>
    </row>
    <row r="113" spans="1:18" x14ac:dyDescent="0.35">
      <c r="A113" t="s">
        <v>56</v>
      </c>
      <c r="B113" t="s">
        <v>57</v>
      </c>
      <c r="C113" t="s">
        <v>70</v>
      </c>
      <c r="D113">
        <v>107232917</v>
      </c>
      <c r="E113" t="s">
        <v>588</v>
      </c>
      <c r="F113" t="s">
        <v>72</v>
      </c>
      <c r="G113">
        <v>0.36</v>
      </c>
      <c r="H113">
        <v>9.61</v>
      </c>
      <c r="I113">
        <v>0</v>
      </c>
      <c r="J113">
        <v>0</v>
      </c>
      <c r="K113">
        <v>9.9700000000000006</v>
      </c>
      <c r="L113" t="s">
        <v>61</v>
      </c>
      <c r="M113">
        <v>511</v>
      </c>
      <c r="N113">
        <v>51.27</v>
      </c>
      <c r="O113" t="s">
        <v>62</v>
      </c>
      <c r="P113" t="s">
        <v>66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70</v>
      </c>
      <c r="D114">
        <v>107232917</v>
      </c>
      <c r="E114" t="s">
        <v>588</v>
      </c>
      <c r="F114" t="s">
        <v>72</v>
      </c>
      <c r="G114">
        <v>0.36</v>
      </c>
      <c r="H114">
        <v>9.61</v>
      </c>
      <c r="I114">
        <v>0</v>
      </c>
      <c r="J114">
        <v>0</v>
      </c>
      <c r="K114">
        <v>9.9700000000000006</v>
      </c>
      <c r="L114" t="s">
        <v>61</v>
      </c>
      <c r="M114">
        <v>511</v>
      </c>
      <c r="N114">
        <v>51.27</v>
      </c>
      <c r="O114" t="s">
        <v>62</v>
      </c>
      <c r="P114" t="s">
        <v>67</v>
      </c>
      <c r="Q114">
        <v>3318</v>
      </c>
      <c r="R114">
        <v>332.91</v>
      </c>
    </row>
    <row r="115" spans="1:18" x14ac:dyDescent="0.35">
      <c r="A115" t="s">
        <v>56</v>
      </c>
      <c r="B115" t="s">
        <v>57</v>
      </c>
      <c r="C115" t="s">
        <v>70</v>
      </c>
      <c r="D115">
        <v>107232917</v>
      </c>
      <c r="E115" t="s">
        <v>588</v>
      </c>
      <c r="F115" t="s">
        <v>72</v>
      </c>
      <c r="G115">
        <v>0.36</v>
      </c>
      <c r="H115">
        <v>9.61</v>
      </c>
      <c r="I115">
        <v>0</v>
      </c>
      <c r="J115">
        <v>0</v>
      </c>
      <c r="K115">
        <v>9.9700000000000006</v>
      </c>
      <c r="L115" t="s">
        <v>61</v>
      </c>
      <c r="M115">
        <v>511</v>
      </c>
      <c r="N115">
        <v>51.27</v>
      </c>
      <c r="O115" t="s">
        <v>68</v>
      </c>
      <c r="P115" t="s">
        <v>67</v>
      </c>
      <c r="Q115">
        <v>511</v>
      </c>
      <c r="R115">
        <v>51.27</v>
      </c>
    </row>
    <row r="116" spans="1:18" x14ac:dyDescent="0.35">
      <c r="A116" t="s">
        <v>56</v>
      </c>
      <c r="B116" t="s">
        <v>57</v>
      </c>
      <c r="C116" t="s">
        <v>70</v>
      </c>
      <c r="D116">
        <v>107232968</v>
      </c>
      <c r="E116" t="s">
        <v>615</v>
      </c>
      <c r="F116" t="s">
        <v>72</v>
      </c>
      <c r="G116">
        <v>0</v>
      </c>
      <c r="H116">
        <v>9.18</v>
      </c>
      <c r="I116">
        <v>0.09</v>
      </c>
      <c r="J116">
        <v>0</v>
      </c>
      <c r="K116">
        <v>9.27</v>
      </c>
      <c r="L116" t="s">
        <v>61</v>
      </c>
      <c r="M116">
        <v>527</v>
      </c>
      <c r="N116">
        <v>56.87</v>
      </c>
      <c r="O116" t="s">
        <v>62</v>
      </c>
      <c r="P116" t="s">
        <v>63</v>
      </c>
      <c r="Q116">
        <v>0</v>
      </c>
      <c r="R116">
        <v>0</v>
      </c>
    </row>
    <row r="117" spans="1:18" x14ac:dyDescent="0.35">
      <c r="A117" t="s">
        <v>56</v>
      </c>
      <c r="B117" t="s">
        <v>57</v>
      </c>
      <c r="C117" t="s">
        <v>70</v>
      </c>
      <c r="D117">
        <v>107232968</v>
      </c>
      <c r="E117" t="s">
        <v>615</v>
      </c>
      <c r="F117" t="s">
        <v>72</v>
      </c>
      <c r="G117">
        <v>0</v>
      </c>
      <c r="H117">
        <v>9.18</v>
      </c>
      <c r="I117">
        <v>0.09</v>
      </c>
      <c r="J117">
        <v>0</v>
      </c>
      <c r="K117">
        <v>9.27</v>
      </c>
      <c r="L117" t="s">
        <v>61</v>
      </c>
      <c r="M117">
        <v>527</v>
      </c>
      <c r="N117">
        <v>56.87</v>
      </c>
      <c r="O117" t="s">
        <v>62</v>
      </c>
      <c r="P117" t="s">
        <v>64</v>
      </c>
      <c r="Q117">
        <v>2238</v>
      </c>
      <c r="R117">
        <v>243.89</v>
      </c>
    </row>
    <row r="118" spans="1:18" x14ac:dyDescent="0.35">
      <c r="A118" t="s">
        <v>56</v>
      </c>
      <c r="B118" t="s">
        <v>57</v>
      </c>
      <c r="C118" t="s">
        <v>70</v>
      </c>
      <c r="D118">
        <v>107232968</v>
      </c>
      <c r="E118" t="s">
        <v>615</v>
      </c>
      <c r="F118" t="s">
        <v>72</v>
      </c>
      <c r="G118">
        <v>0</v>
      </c>
      <c r="H118">
        <v>9.18</v>
      </c>
      <c r="I118">
        <v>0.09</v>
      </c>
      <c r="J118">
        <v>0</v>
      </c>
      <c r="K118">
        <v>9.27</v>
      </c>
      <c r="L118" t="s">
        <v>61</v>
      </c>
      <c r="M118">
        <v>527</v>
      </c>
      <c r="N118">
        <v>56.87</v>
      </c>
      <c r="O118" t="s">
        <v>62</v>
      </c>
      <c r="P118" t="s">
        <v>65</v>
      </c>
      <c r="Q118">
        <v>26</v>
      </c>
      <c r="R118">
        <v>288</v>
      </c>
    </row>
    <row r="119" spans="1:18" x14ac:dyDescent="0.35">
      <c r="A119" t="s">
        <v>56</v>
      </c>
      <c r="B119" t="s">
        <v>57</v>
      </c>
      <c r="C119" t="s">
        <v>70</v>
      </c>
      <c r="D119">
        <v>107232968</v>
      </c>
      <c r="E119" t="s">
        <v>615</v>
      </c>
      <c r="F119" t="s">
        <v>72</v>
      </c>
      <c r="G119">
        <v>0</v>
      </c>
      <c r="H119">
        <v>9.18</v>
      </c>
      <c r="I119">
        <v>0.09</v>
      </c>
      <c r="J119">
        <v>0</v>
      </c>
      <c r="K119">
        <v>9.27</v>
      </c>
      <c r="L119" t="s">
        <v>61</v>
      </c>
      <c r="M119">
        <v>527</v>
      </c>
      <c r="N119">
        <v>56.87</v>
      </c>
      <c r="O119" t="s">
        <v>62</v>
      </c>
      <c r="P119" t="s">
        <v>66</v>
      </c>
      <c r="Q119">
        <v>0</v>
      </c>
      <c r="R119">
        <v>0</v>
      </c>
    </row>
    <row r="120" spans="1:18" x14ac:dyDescent="0.35">
      <c r="A120" t="s">
        <v>56</v>
      </c>
      <c r="B120" t="s">
        <v>57</v>
      </c>
      <c r="C120" t="s">
        <v>70</v>
      </c>
      <c r="D120">
        <v>107232968</v>
      </c>
      <c r="E120" t="s">
        <v>615</v>
      </c>
      <c r="F120" t="s">
        <v>72</v>
      </c>
      <c r="G120">
        <v>0</v>
      </c>
      <c r="H120">
        <v>9.18</v>
      </c>
      <c r="I120">
        <v>0.09</v>
      </c>
      <c r="J120">
        <v>0</v>
      </c>
      <c r="K120">
        <v>9.27</v>
      </c>
      <c r="L120" t="s">
        <v>61</v>
      </c>
      <c r="M120">
        <v>527</v>
      </c>
      <c r="N120">
        <v>56.87</v>
      </c>
      <c r="O120" t="s">
        <v>62</v>
      </c>
      <c r="P120" t="s">
        <v>67</v>
      </c>
      <c r="Q120">
        <v>2264</v>
      </c>
      <c r="R120">
        <v>244.32</v>
      </c>
    </row>
    <row r="121" spans="1:18" x14ac:dyDescent="0.35">
      <c r="A121" t="s">
        <v>56</v>
      </c>
      <c r="B121" t="s">
        <v>57</v>
      </c>
      <c r="C121" t="s">
        <v>70</v>
      </c>
      <c r="D121">
        <v>107232968</v>
      </c>
      <c r="E121" t="s">
        <v>615</v>
      </c>
      <c r="F121" t="s">
        <v>72</v>
      </c>
      <c r="G121">
        <v>0</v>
      </c>
      <c r="H121">
        <v>9.18</v>
      </c>
      <c r="I121">
        <v>0.09</v>
      </c>
      <c r="J121">
        <v>0</v>
      </c>
      <c r="K121">
        <v>9.27</v>
      </c>
      <c r="L121" t="s">
        <v>61</v>
      </c>
      <c r="M121">
        <v>527</v>
      </c>
      <c r="N121">
        <v>56.87</v>
      </c>
      <c r="O121" t="s">
        <v>68</v>
      </c>
      <c r="P121" t="s">
        <v>67</v>
      </c>
      <c r="Q121">
        <v>527</v>
      </c>
      <c r="R121">
        <v>56.87</v>
      </c>
    </row>
    <row r="122" spans="1:18" x14ac:dyDescent="0.35">
      <c r="A122" t="s">
        <v>56</v>
      </c>
      <c r="B122" t="s">
        <v>57</v>
      </c>
      <c r="C122" t="s">
        <v>70</v>
      </c>
      <c r="D122">
        <v>107232971</v>
      </c>
      <c r="E122" t="s">
        <v>589</v>
      </c>
      <c r="F122" t="s">
        <v>72</v>
      </c>
      <c r="G122">
        <v>0.19</v>
      </c>
      <c r="H122">
        <v>6.65</v>
      </c>
      <c r="I122">
        <v>1.06</v>
      </c>
      <c r="J122">
        <v>0</v>
      </c>
      <c r="K122">
        <v>7.9</v>
      </c>
      <c r="L122" t="s">
        <v>61</v>
      </c>
      <c r="M122">
        <v>396</v>
      </c>
      <c r="N122">
        <v>50.13</v>
      </c>
      <c r="O122" t="s">
        <v>62</v>
      </c>
      <c r="P122" t="s">
        <v>63</v>
      </c>
      <c r="Q122">
        <v>403</v>
      </c>
      <c r="R122">
        <v>2111.79</v>
      </c>
    </row>
    <row r="123" spans="1:18" x14ac:dyDescent="0.35">
      <c r="A123" t="s">
        <v>56</v>
      </c>
      <c r="B123" t="s">
        <v>57</v>
      </c>
      <c r="C123" t="s">
        <v>70</v>
      </c>
      <c r="D123">
        <v>107232971</v>
      </c>
      <c r="E123" t="s">
        <v>589</v>
      </c>
      <c r="F123" t="s">
        <v>72</v>
      </c>
      <c r="G123">
        <v>0.19</v>
      </c>
      <c r="H123">
        <v>6.65</v>
      </c>
      <c r="I123">
        <v>1.06</v>
      </c>
      <c r="J123">
        <v>0</v>
      </c>
      <c r="K123">
        <v>7.9</v>
      </c>
      <c r="L123" t="s">
        <v>61</v>
      </c>
      <c r="M123">
        <v>396</v>
      </c>
      <c r="N123">
        <v>50.13</v>
      </c>
      <c r="O123" t="s">
        <v>62</v>
      </c>
      <c r="P123" t="s">
        <v>64</v>
      </c>
      <c r="Q123">
        <v>2124</v>
      </c>
      <c r="R123">
        <v>319.56</v>
      </c>
    </row>
    <row r="124" spans="1:18" x14ac:dyDescent="0.35">
      <c r="A124" t="s">
        <v>56</v>
      </c>
      <c r="B124" t="s">
        <v>57</v>
      </c>
      <c r="C124" t="s">
        <v>70</v>
      </c>
      <c r="D124">
        <v>107232971</v>
      </c>
      <c r="E124" t="s">
        <v>589</v>
      </c>
      <c r="F124" t="s">
        <v>72</v>
      </c>
      <c r="G124">
        <v>0.19</v>
      </c>
      <c r="H124">
        <v>6.65</v>
      </c>
      <c r="I124">
        <v>1.06</v>
      </c>
      <c r="J124">
        <v>0</v>
      </c>
      <c r="K124">
        <v>7.9</v>
      </c>
      <c r="L124" t="s">
        <v>61</v>
      </c>
      <c r="M124">
        <v>396</v>
      </c>
      <c r="N124">
        <v>50.13</v>
      </c>
      <c r="O124" t="s">
        <v>62</v>
      </c>
      <c r="P124" t="s">
        <v>65</v>
      </c>
      <c r="Q124">
        <v>400</v>
      </c>
      <c r="R124">
        <v>376.67</v>
      </c>
    </row>
    <row r="125" spans="1:18" x14ac:dyDescent="0.35">
      <c r="A125" t="s">
        <v>56</v>
      </c>
      <c r="B125" t="s">
        <v>57</v>
      </c>
      <c r="C125" t="s">
        <v>70</v>
      </c>
      <c r="D125">
        <v>107232971</v>
      </c>
      <c r="E125" t="s">
        <v>589</v>
      </c>
      <c r="F125" t="s">
        <v>72</v>
      </c>
      <c r="G125">
        <v>0.19</v>
      </c>
      <c r="H125">
        <v>6.65</v>
      </c>
      <c r="I125">
        <v>1.06</v>
      </c>
      <c r="J125">
        <v>0</v>
      </c>
      <c r="K125">
        <v>7.9</v>
      </c>
      <c r="L125" t="s">
        <v>61</v>
      </c>
      <c r="M125">
        <v>396</v>
      </c>
      <c r="N125">
        <v>50.13</v>
      </c>
      <c r="O125" t="s">
        <v>62</v>
      </c>
      <c r="P125" t="s">
        <v>66</v>
      </c>
      <c r="Q125">
        <v>0</v>
      </c>
      <c r="R125">
        <v>0</v>
      </c>
    </row>
    <row r="126" spans="1:18" x14ac:dyDescent="0.35">
      <c r="A126" t="s">
        <v>56</v>
      </c>
      <c r="B126" t="s">
        <v>57</v>
      </c>
      <c r="C126" t="s">
        <v>70</v>
      </c>
      <c r="D126">
        <v>107232971</v>
      </c>
      <c r="E126" t="s">
        <v>589</v>
      </c>
      <c r="F126" t="s">
        <v>72</v>
      </c>
      <c r="G126">
        <v>0.19</v>
      </c>
      <c r="H126">
        <v>6.65</v>
      </c>
      <c r="I126">
        <v>1.06</v>
      </c>
      <c r="J126">
        <v>0</v>
      </c>
      <c r="K126">
        <v>7.9</v>
      </c>
      <c r="L126" t="s">
        <v>61</v>
      </c>
      <c r="M126">
        <v>396</v>
      </c>
      <c r="N126">
        <v>50.13</v>
      </c>
      <c r="O126" t="s">
        <v>62</v>
      </c>
      <c r="P126" t="s">
        <v>67</v>
      </c>
      <c r="Q126">
        <v>2927</v>
      </c>
      <c r="R126">
        <v>370.51</v>
      </c>
    </row>
    <row r="127" spans="1:18" x14ac:dyDescent="0.35">
      <c r="A127" t="s">
        <v>56</v>
      </c>
      <c r="B127" t="s">
        <v>57</v>
      </c>
      <c r="C127" t="s">
        <v>70</v>
      </c>
      <c r="D127">
        <v>107232971</v>
      </c>
      <c r="E127" t="s">
        <v>589</v>
      </c>
      <c r="F127" t="s">
        <v>72</v>
      </c>
      <c r="G127">
        <v>0.19</v>
      </c>
      <c r="H127">
        <v>6.65</v>
      </c>
      <c r="I127">
        <v>1.06</v>
      </c>
      <c r="J127">
        <v>0</v>
      </c>
      <c r="K127">
        <v>7.9</v>
      </c>
      <c r="L127" t="s">
        <v>61</v>
      </c>
      <c r="M127">
        <v>396</v>
      </c>
      <c r="N127">
        <v>50.13</v>
      </c>
      <c r="O127" t="s">
        <v>68</v>
      </c>
      <c r="P127" t="s">
        <v>67</v>
      </c>
      <c r="Q127">
        <v>397</v>
      </c>
      <c r="R127">
        <v>50.25</v>
      </c>
    </row>
    <row r="128" spans="1:18" x14ac:dyDescent="0.35">
      <c r="A128" t="s">
        <v>56</v>
      </c>
      <c r="B128" t="s">
        <v>57</v>
      </c>
      <c r="C128" t="s">
        <v>70</v>
      </c>
      <c r="D128">
        <v>107233183</v>
      </c>
      <c r="E128" t="s">
        <v>590</v>
      </c>
      <c r="F128" t="s">
        <v>72</v>
      </c>
      <c r="G128">
        <v>0.62</v>
      </c>
      <c r="H128">
        <v>5.53</v>
      </c>
      <c r="I128">
        <v>0.05</v>
      </c>
      <c r="J128">
        <v>0</v>
      </c>
      <c r="K128">
        <v>6.2</v>
      </c>
      <c r="L128" t="s">
        <v>61</v>
      </c>
      <c r="M128">
        <v>219</v>
      </c>
      <c r="N128">
        <v>35.32</v>
      </c>
      <c r="O128" t="s">
        <v>62</v>
      </c>
      <c r="P128" t="s">
        <v>63</v>
      </c>
      <c r="Q128">
        <v>696</v>
      </c>
      <c r="R128">
        <v>1127.6300000000001</v>
      </c>
    </row>
    <row r="129" spans="1:18" x14ac:dyDescent="0.35">
      <c r="A129" t="s">
        <v>56</v>
      </c>
      <c r="B129" t="s">
        <v>57</v>
      </c>
      <c r="C129" t="s">
        <v>70</v>
      </c>
      <c r="D129">
        <v>107233183</v>
      </c>
      <c r="E129" t="s">
        <v>590</v>
      </c>
      <c r="F129" t="s">
        <v>72</v>
      </c>
      <c r="G129">
        <v>0.62</v>
      </c>
      <c r="H129">
        <v>5.53</v>
      </c>
      <c r="I129">
        <v>0.05</v>
      </c>
      <c r="J129">
        <v>0</v>
      </c>
      <c r="K129">
        <v>6.2</v>
      </c>
      <c r="L129" t="s">
        <v>61</v>
      </c>
      <c r="M129">
        <v>219</v>
      </c>
      <c r="N129">
        <v>35.32</v>
      </c>
      <c r="O129" t="s">
        <v>62</v>
      </c>
      <c r="P129" t="s">
        <v>64</v>
      </c>
      <c r="Q129">
        <v>945</v>
      </c>
      <c r="R129">
        <v>170.8</v>
      </c>
    </row>
    <row r="130" spans="1:18" x14ac:dyDescent="0.35">
      <c r="A130" t="s">
        <v>56</v>
      </c>
      <c r="B130" t="s">
        <v>57</v>
      </c>
      <c r="C130" t="s">
        <v>70</v>
      </c>
      <c r="D130">
        <v>107233183</v>
      </c>
      <c r="E130" t="s">
        <v>590</v>
      </c>
      <c r="F130" t="s">
        <v>72</v>
      </c>
      <c r="G130">
        <v>0.62</v>
      </c>
      <c r="H130">
        <v>5.53</v>
      </c>
      <c r="I130">
        <v>0.05</v>
      </c>
      <c r="J130">
        <v>0</v>
      </c>
      <c r="K130">
        <v>6.2</v>
      </c>
      <c r="L130" t="s">
        <v>61</v>
      </c>
      <c r="M130">
        <v>219</v>
      </c>
      <c r="N130">
        <v>35.32</v>
      </c>
      <c r="O130" t="s">
        <v>62</v>
      </c>
      <c r="P130" t="s">
        <v>65</v>
      </c>
      <c r="Q130">
        <v>10</v>
      </c>
      <c r="R130">
        <v>202.25</v>
      </c>
    </row>
    <row r="131" spans="1:18" x14ac:dyDescent="0.35">
      <c r="A131" t="s">
        <v>56</v>
      </c>
      <c r="B131" t="s">
        <v>57</v>
      </c>
      <c r="C131" t="s">
        <v>70</v>
      </c>
      <c r="D131">
        <v>107233183</v>
      </c>
      <c r="E131" t="s">
        <v>590</v>
      </c>
      <c r="F131" t="s">
        <v>72</v>
      </c>
      <c r="G131">
        <v>0.62</v>
      </c>
      <c r="H131">
        <v>5.53</v>
      </c>
      <c r="I131">
        <v>0.05</v>
      </c>
      <c r="J131">
        <v>0</v>
      </c>
      <c r="K131">
        <v>6.2</v>
      </c>
      <c r="L131" t="s">
        <v>61</v>
      </c>
      <c r="M131">
        <v>219</v>
      </c>
      <c r="N131">
        <v>35.32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70</v>
      </c>
      <c r="D132">
        <v>107233183</v>
      </c>
      <c r="E132" t="s">
        <v>590</v>
      </c>
      <c r="F132" t="s">
        <v>72</v>
      </c>
      <c r="G132">
        <v>0.62</v>
      </c>
      <c r="H132">
        <v>5.53</v>
      </c>
      <c r="I132">
        <v>0.05</v>
      </c>
      <c r="J132">
        <v>0</v>
      </c>
      <c r="K132">
        <v>6.2</v>
      </c>
      <c r="L132" t="s">
        <v>61</v>
      </c>
      <c r="M132">
        <v>219</v>
      </c>
      <c r="N132">
        <v>35.32</v>
      </c>
      <c r="O132" t="s">
        <v>62</v>
      </c>
      <c r="P132" t="s">
        <v>67</v>
      </c>
      <c r="Q132">
        <v>1651</v>
      </c>
      <c r="R132">
        <v>266.29000000000002</v>
      </c>
    </row>
    <row r="133" spans="1:18" x14ac:dyDescent="0.35">
      <c r="A133" t="s">
        <v>56</v>
      </c>
      <c r="B133" t="s">
        <v>57</v>
      </c>
      <c r="C133" t="s">
        <v>70</v>
      </c>
      <c r="D133">
        <v>107233183</v>
      </c>
      <c r="E133" t="s">
        <v>590</v>
      </c>
      <c r="F133" t="s">
        <v>72</v>
      </c>
      <c r="G133">
        <v>0.62</v>
      </c>
      <c r="H133">
        <v>5.53</v>
      </c>
      <c r="I133">
        <v>0.05</v>
      </c>
      <c r="J133">
        <v>0</v>
      </c>
      <c r="K133">
        <v>6.2</v>
      </c>
      <c r="L133" t="s">
        <v>61</v>
      </c>
      <c r="M133">
        <v>219</v>
      </c>
      <c r="N133">
        <v>35.32</v>
      </c>
      <c r="O133" t="s">
        <v>68</v>
      </c>
      <c r="P133" t="s">
        <v>67</v>
      </c>
      <c r="Q133">
        <v>219</v>
      </c>
      <c r="R133">
        <v>35.32</v>
      </c>
    </row>
    <row r="134" spans="1:18" x14ac:dyDescent="0.35">
      <c r="A134" t="s">
        <v>56</v>
      </c>
      <c r="B134" t="s">
        <v>57</v>
      </c>
      <c r="C134" t="s">
        <v>70</v>
      </c>
      <c r="D134">
        <v>107233197</v>
      </c>
      <c r="E134" t="s">
        <v>616</v>
      </c>
      <c r="F134" t="s">
        <v>72</v>
      </c>
      <c r="G134">
        <v>0.41</v>
      </c>
      <c r="H134">
        <v>6.48</v>
      </c>
      <c r="I134">
        <v>0.02</v>
      </c>
      <c r="J134">
        <v>0</v>
      </c>
      <c r="K134">
        <v>6.91</v>
      </c>
      <c r="L134" t="s">
        <v>61</v>
      </c>
      <c r="M134">
        <v>174</v>
      </c>
      <c r="N134">
        <v>25.17</v>
      </c>
      <c r="O134" t="s">
        <v>62</v>
      </c>
      <c r="P134" t="s">
        <v>63</v>
      </c>
      <c r="Q134">
        <v>422</v>
      </c>
      <c r="R134">
        <v>1024.4100000000001</v>
      </c>
    </row>
    <row r="135" spans="1:18" x14ac:dyDescent="0.35">
      <c r="A135" t="s">
        <v>56</v>
      </c>
      <c r="B135" t="s">
        <v>57</v>
      </c>
      <c r="C135" t="s">
        <v>70</v>
      </c>
      <c r="D135">
        <v>107233197</v>
      </c>
      <c r="E135" t="s">
        <v>616</v>
      </c>
      <c r="F135" t="s">
        <v>72</v>
      </c>
      <c r="G135">
        <v>0.41</v>
      </c>
      <c r="H135">
        <v>6.48</v>
      </c>
      <c r="I135">
        <v>0.02</v>
      </c>
      <c r="J135">
        <v>0</v>
      </c>
      <c r="K135">
        <v>6.91</v>
      </c>
      <c r="L135" t="s">
        <v>61</v>
      </c>
      <c r="M135">
        <v>174</v>
      </c>
      <c r="N135">
        <v>25.17</v>
      </c>
      <c r="O135" t="s">
        <v>62</v>
      </c>
      <c r="P135" t="s">
        <v>64</v>
      </c>
      <c r="Q135">
        <v>1005</v>
      </c>
      <c r="R135">
        <v>155.13999999999999</v>
      </c>
    </row>
    <row r="136" spans="1:18" x14ac:dyDescent="0.35">
      <c r="A136" t="s">
        <v>56</v>
      </c>
      <c r="B136" t="s">
        <v>57</v>
      </c>
      <c r="C136" t="s">
        <v>70</v>
      </c>
      <c r="D136">
        <v>107233197</v>
      </c>
      <c r="E136" t="s">
        <v>616</v>
      </c>
      <c r="F136" t="s">
        <v>72</v>
      </c>
      <c r="G136">
        <v>0.41</v>
      </c>
      <c r="H136">
        <v>6.48</v>
      </c>
      <c r="I136">
        <v>0.02</v>
      </c>
      <c r="J136">
        <v>0</v>
      </c>
      <c r="K136">
        <v>6.91</v>
      </c>
      <c r="L136" t="s">
        <v>61</v>
      </c>
      <c r="M136">
        <v>174</v>
      </c>
      <c r="N136">
        <v>25.17</v>
      </c>
      <c r="O136" t="s">
        <v>62</v>
      </c>
      <c r="P136" t="s">
        <v>65</v>
      </c>
      <c r="Q136">
        <v>4</v>
      </c>
      <c r="R136">
        <v>184.62</v>
      </c>
    </row>
    <row r="137" spans="1:18" x14ac:dyDescent="0.35">
      <c r="A137" t="s">
        <v>56</v>
      </c>
      <c r="B137" t="s">
        <v>57</v>
      </c>
      <c r="C137" t="s">
        <v>70</v>
      </c>
      <c r="D137">
        <v>107233197</v>
      </c>
      <c r="E137" t="s">
        <v>616</v>
      </c>
      <c r="F137" t="s">
        <v>72</v>
      </c>
      <c r="G137">
        <v>0.41</v>
      </c>
      <c r="H137">
        <v>6.48</v>
      </c>
      <c r="I137">
        <v>0.02</v>
      </c>
      <c r="J137">
        <v>0</v>
      </c>
      <c r="K137">
        <v>6.91</v>
      </c>
      <c r="L137" t="s">
        <v>61</v>
      </c>
      <c r="M137">
        <v>174</v>
      </c>
      <c r="N137">
        <v>25.17</v>
      </c>
      <c r="O137" t="s">
        <v>62</v>
      </c>
      <c r="P137" t="s">
        <v>66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70</v>
      </c>
      <c r="D138">
        <v>107233197</v>
      </c>
      <c r="E138" t="s">
        <v>616</v>
      </c>
      <c r="F138" t="s">
        <v>72</v>
      </c>
      <c r="G138">
        <v>0.41</v>
      </c>
      <c r="H138">
        <v>6.48</v>
      </c>
      <c r="I138">
        <v>0.02</v>
      </c>
      <c r="J138">
        <v>0</v>
      </c>
      <c r="K138">
        <v>6.91</v>
      </c>
      <c r="L138" t="s">
        <v>61</v>
      </c>
      <c r="M138">
        <v>174</v>
      </c>
      <c r="N138">
        <v>25.17</v>
      </c>
      <c r="O138" t="s">
        <v>62</v>
      </c>
      <c r="P138" t="s">
        <v>67</v>
      </c>
      <c r="Q138">
        <v>1431</v>
      </c>
      <c r="R138">
        <v>207.02</v>
      </c>
    </row>
    <row r="139" spans="1:18" x14ac:dyDescent="0.35">
      <c r="A139" t="s">
        <v>56</v>
      </c>
      <c r="B139" t="s">
        <v>57</v>
      </c>
      <c r="C139" t="s">
        <v>70</v>
      </c>
      <c r="D139">
        <v>107233197</v>
      </c>
      <c r="E139" t="s">
        <v>616</v>
      </c>
      <c r="F139" t="s">
        <v>72</v>
      </c>
      <c r="G139">
        <v>0.41</v>
      </c>
      <c r="H139">
        <v>6.48</v>
      </c>
      <c r="I139">
        <v>0.02</v>
      </c>
      <c r="J139">
        <v>0</v>
      </c>
      <c r="K139">
        <v>6.91</v>
      </c>
      <c r="L139" t="s">
        <v>61</v>
      </c>
      <c r="M139">
        <v>174</v>
      </c>
      <c r="N139">
        <v>25.17</v>
      </c>
      <c r="O139" t="s">
        <v>68</v>
      </c>
      <c r="P139" t="s">
        <v>67</v>
      </c>
      <c r="Q139">
        <v>174</v>
      </c>
      <c r="R139">
        <v>25.17</v>
      </c>
    </row>
    <row r="140" spans="1:18" x14ac:dyDescent="0.35">
      <c r="A140" t="s">
        <v>56</v>
      </c>
      <c r="B140" t="s">
        <v>57</v>
      </c>
      <c r="C140" t="s">
        <v>70</v>
      </c>
      <c r="D140">
        <v>107233200</v>
      </c>
      <c r="E140" t="s">
        <v>591</v>
      </c>
      <c r="F140" t="s">
        <v>72</v>
      </c>
      <c r="G140">
        <v>0.11</v>
      </c>
      <c r="H140">
        <v>9.77</v>
      </c>
      <c r="I140">
        <v>0.14000000000000001</v>
      </c>
      <c r="J140">
        <v>0</v>
      </c>
      <c r="K140">
        <v>10.02</v>
      </c>
      <c r="L140" t="s">
        <v>61</v>
      </c>
      <c r="M140">
        <v>442</v>
      </c>
      <c r="N140">
        <v>44.13</v>
      </c>
      <c r="O140" t="s">
        <v>62</v>
      </c>
      <c r="P140" t="s">
        <v>63</v>
      </c>
      <c r="Q140">
        <v>188</v>
      </c>
      <c r="R140">
        <v>1650.73</v>
      </c>
    </row>
    <row r="141" spans="1:18" x14ac:dyDescent="0.35">
      <c r="A141" t="s">
        <v>56</v>
      </c>
      <c r="B141" t="s">
        <v>57</v>
      </c>
      <c r="C141" t="s">
        <v>70</v>
      </c>
      <c r="D141">
        <v>107233200</v>
      </c>
      <c r="E141" t="s">
        <v>591</v>
      </c>
      <c r="F141" t="s">
        <v>72</v>
      </c>
      <c r="G141">
        <v>0.11</v>
      </c>
      <c r="H141">
        <v>9.77</v>
      </c>
      <c r="I141">
        <v>0.14000000000000001</v>
      </c>
      <c r="J141">
        <v>0</v>
      </c>
      <c r="K141">
        <v>10.02</v>
      </c>
      <c r="L141" t="s">
        <v>61</v>
      </c>
      <c r="M141">
        <v>442</v>
      </c>
      <c r="N141">
        <v>44.13</v>
      </c>
      <c r="O141" t="s">
        <v>62</v>
      </c>
      <c r="P141" t="s">
        <v>64</v>
      </c>
      <c r="Q141">
        <v>2437</v>
      </c>
      <c r="R141">
        <v>249.53</v>
      </c>
    </row>
    <row r="142" spans="1:18" x14ac:dyDescent="0.35">
      <c r="A142" t="s">
        <v>56</v>
      </c>
      <c r="B142" t="s">
        <v>57</v>
      </c>
      <c r="C142" t="s">
        <v>70</v>
      </c>
      <c r="D142">
        <v>107233200</v>
      </c>
      <c r="E142" t="s">
        <v>591</v>
      </c>
      <c r="F142" t="s">
        <v>72</v>
      </c>
      <c r="G142">
        <v>0.11</v>
      </c>
      <c r="H142">
        <v>9.77</v>
      </c>
      <c r="I142">
        <v>0.14000000000000001</v>
      </c>
      <c r="J142">
        <v>0</v>
      </c>
      <c r="K142">
        <v>10.02</v>
      </c>
      <c r="L142" t="s">
        <v>61</v>
      </c>
      <c r="M142">
        <v>442</v>
      </c>
      <c r="N142">
        <v>44.13</v>
      </c>
      <c r="O142" t="s">
        <v>62</v>
      </c>
      <c r="P142" t="s">
        <v>65</v>
      </c>
      <c r="Q142">
        <v>40</v>
      </c>
      <c r="R142">
        <v>294.48</v>
      </c>
    </row>
    <row r="143" spans="1:18" x14ac:dyDescent="0.35">
      <c r="A143" t="s">
        <v>56</v>
      </c>
      <c r="B143" t="s">
        <v>57</v>
      </c>
      <c r="C143" t="s">
        <v>70</v>
      </c>
      <c r="D143">
        <v>107233200</v>
      </c>
      <c r="E143" t="s">
        <v>591</v>
      </c>
      <c r="F143" t="s">
        <v>72</v>
      </c>
      <c r="G143">
        <v>0.11</v>
      </c>
      <c r="H143">
        <v>9.77</v>
      </c>
      <c r="I143">
        <v>0.14000000000000001</v>
      </c>
      <c r="J143">
        <v>0</v>
      </c>
      <c r="K143">
        <v>10.02</v>
      </c>
      <c r="L143" t="s">
        <v>61</v>
      </c>
      <c r="M143">
        <v>442</v>
      </c>
      <c r="N143">
        <v>44.13</v>
      </c>
      <c r="O143" t="s">
        <v>62</v>
      </c>
      <c r="P143" t="s">
        <v>66</v>
      </c>
      <c r="Q143">
        <v>0</v>
      </c>
      <c r="R143">
        <v>0</v>
      </c>
    </row>
    <row r="144" spans="1:18" x14ac:dyDescent="0.35">
      <c r="A144" t="s">
        <v>56</v>
      </c>
      <c r="B144" t="s">
        <v>57</v>
      </c>
      <c r="C144" t="s">
        <v>70</v>
      </c>
      <c r="D144">
        <v>107233200</v>
      </c>
      <c r="E144" t="s">
        <v>591</v>
      </c>
      <c r="F144" t="s">
        <v>72</v>
      </c>
      <c r="G144">
        <v>0.11</v>
      </c>
      <c r="H144">
        <v>9.77</v>
      </c>
      <c r="I144">
        <v>0.14000000000000001</v>
      </c>
      <c r="J144">
        <v>0</v>
      </c>
      <c r="K144">
        <v>10.02</v>
      </c>
      <c r="L144" t="s">
        <v>61</v>
      </c>
      <c r="M144">
        <v>442</v>
      </c>
      <c r="N144">
        <v>44.13</v>
      </c>
      <c r="O144" t="s">
        <v>62</v>
      </c>
      <c r="P144" t="s">
        <v>67</v>
      </c>
      <c r="Q144">
        <v>2665</v>
      </c>
      <c r="R144">
        <v>266.06</v>
      </c>
    </row>
    <row r="145" spans="1:18" x14ac:dyDescent="0.35">
      <c r="A145" t="s">
        <v>56</v>
      </c>
      <c r="B145" t="s">
        <v>57</v>
      </c>
      <c r="C145" t="s">
        <v>70</v>
      </c>
      <c r="D145">
        <v>107233200</v>
      </c>
      <c r="E145" t="s">
        <v>591</v>
      </c>
      <c r="F145" t="s">
        <v>72</v>
      </c>
      <c r="G145">
        <v>0.11</v>
      </c>
      <c r="H145">
        <v>9.77</v>
      </c>
      <c r="I145">
        <v>0.14000000000000001</v>
      </c>
      <c r="J145">
        <v>0</v>
      </c>
      <c r="K145">
        <v>10.02</v>
      </c>
      <c r="L145" t="s">
        <v>61</v>
      </c>
      <c r="M145">
        <v>442</v>
      </c>
      <c r="N145">
        <v>44.13</v>
      </c>
      <c r="O145" t="s">
        <v>68</v>
      </c>
      <c r="P145" t="s">
        <v>67</v>
      </c>
      <c r="Q145">
        <v>442</v>
      </c>
      <c r="R145">
        <v>44.13</v>
      </c>
    </row>
    <row r="146" spans="1:18" x14ac:dyDescent="0.35">
      <c r="A146" t="s">
        <v>56</v>
      </c>
      <c r="B146" t="s">
        <v>57</v>
      </c>
      <c r="C146" t="s">
        <v>70</v>
      </c>
      <c r="D146">
        <v>107264616</v>
      </c>
      <c r="E146" t="s">
        <v>592</v>
      </c>
      <c r="F146" t="s">
        <v>72</v>
      </c>
      <c r="G146">
        <v>0.13</v>
      </c>
      <c r="H146">
        <v>9.83</v>
      </c>
      <c r="I146">
        <v>0.04</v>
      </c>
      <c r="J146">
        <v>0</v>
      </c>
      <c r="K146">
        <v>10</v>
      </c>
      <c r="L146" t="s">
        <v>61</v>
      </c>
      <c r="M146">
        <v>422</v>
      </c>
      <c r="N146">
        <v>42.2</v>
      </c>
      <c r="O146" t="s">
        <v>62</v>
      </c>
      <c r="P146" t="s">
        <v>63</v>
      </c>
      <c r="Q146">
        <v>246</v>
      </c>
      <c r="R146">
        <v>1864.42</v>
      </c>
    </row>
    <row r="147" spans="1:18" x14ac:dyDescent="0.35">
      <c r="A147" t="s">
        <v>56</v>
      </c>
      <c r="B147" t="s">
        <v>57</v>
      </c>
      <c r="C147" t="s">
        <v>70</v>
      </c>
      <c r="D147">
        <v>107264616</v>
      </c>
      <c r="E147" t="s">
        <v>592</v>
      </c>
      <c r="F147" t="s">
        <v>72</v>
      </c>
      <c r="G147">
        <v>0.13</v>
      </c>
      <c r="H147">
        <v>9.83</v>
      </c>
      <c r="I147">
        <v>0.04</v>
      </c>
      <c r="J147">
        <v>0</v>
      </c>
      <c r="K147">
        <v>10</v>
      </c>
      <c r="L147" t="s">
        <v>61</v>
      </c>
      <c r="M147">
        <v>422</v>
      </c>
      <c r="N147">
        <v>42.2</v>
      </c>
      <c r="O147" t="s">
        <v>62</v>
      </c>
      <c r="P147" t="s">
        <v>64</v>
      </c>
      <c r="Q147">
        <v>2773</v>
      </c>
      <c r="R147">
        <v>282.22000000000003</v>
      </c>
    </row>
    <row r="148" spans="1:18" x14ac:dyDescent="0.35">
      <c r="A148" t="s">
        <v>56</v>
      </c>
      <c r="B148" t="s">
        <v>57</v>
      </c>
      <c r="C148" t="s">
        <v>70</v>
      </c>
      <c r="D148">
        <v>107264616</v>
      </c>
      <c r="E148" t="s">
        <v>592</v>
      </c>
      <c r="F148" t="s">
        <v>72</v>
      </c>
      <c r="G148">
        <v>0.13</v>
      </c>
      <c r="H148">
        <v>9.83</v>
      </c>
      <c r="I148">
        <v>0.04</v>
      </c>
      <c r="J148">
        <v>0</v>
      </c>
      <c r="K148">
        <v>10</v>
      </c>
      <c r="L148" t="s">
        <v>61</v>
      </c>
      <c r="M148">
        <v>422</v>
      </c>
      <c r="N148">
        <v>42.2</v>
      </c>
      <c r="O148" t="s">
        <v>62</v>
      </c>
      <c r="P148" t="s">
        <v>65</v>
      </c>
      <c r="Q148">
        <v>14</v>
      </c>
      <c r="R148">
        <v>333.77</v>
      </c>
    </row>
    <row r="149" spans="1:18" x14ac:dyDescent="0.35">
      <c r="A149" t="s">
        <v>56</v>
      </c>
      <c r="B149" t="s">
        <v>57</v>
      </c>
      <c r="C149" t="s">
        <v>70</v>
      </c>
      <c r="D149">
        <v>107264616</v>
      </c>
      <c r="E149" t="s">
        <v>592</v>
      </c>
      <c r="F149" t="s">
        <v>72</v>
      </c>
      <c r="G149">
        <v>0.13</v>
      </c>
      <c r="H149">
        <v>9.83</v>
      </c>
      <c r="I149">
        <v>0.04</v>
      </c>
      <c r="J149">
        <v>0</v>
      </c>
      <c r="K149">
        <v>10</v>
      </c>
      <c r="L149" t="s">
        <v>61</v>
      </c>
      <c r="M149">
        <v>422</v>
      </c>
      <c r="N149">
        <v>42.2</v>
      </c>
      <c r="O149" t="s">
        <v>62</v>
      </c>
      <c r="P149" t="s">
        <v>66</v>
      </c>
      <c r="Q149">
        <v>0</v>
      </c>
      <c r="R149">
        <v>0</v>
      </c>
    </row>
    <row r="150" spans="1:18" x14ac:dyDescent="0.35">
      <c r="A150" t="s">
        <v>56</v>
      </c>
      <c r="B150" t="s">
        <v>57</v>
      </c>
      <c r="C150" t="s">
        <v>70</v>
      </c>
      <c r="D150">
        <v>107264616</v>
      </c>
      <c r="E150" t="s">
        <v>592</v>
      </c>
      <c r="F150" t="s">
        <v>72</v>
      </c>
      <c r="G150">
        <v>0.13</v>
      </c>
      <c r="H150">
        <v>9.83</v>
      </c>
      <c r="I150">
        <v>0.04</v>
      </c>
      <c r="J150">
        <v>0</v>
      </c>
      <c r="K150">
        <v>10</v>
      </c>
      <c r="L150" t="s">
        <v>61</v>
      </c>
      <c r="M150">
        <v>422</v>
      </c>
      <c r="N150">
        <v>42.2</v>
      </c>
      <c r="O150" t="s">
        <v>62</v>
      </c>
      <c r="P150" t="s">
        <v>67</v>
      </c>
      <c r="Q150">
        <v>3033</v>
      </c>
      <c r="R150">
        <v>303.3</v>
      </c>
    </row>
    <row r="151" spans="1:18" x14ac:dyDescent="0.35">
      <c r="A151" t="s">
        <v>56</v>
      </c>
      <c r="B151" t="s">
        <v>57</v>
      </c>
      <c r="C151" t="s">
        <v>70</v>
      </c>
      <c r="D151">
        <v>107264616</v>
      </c>
      <c r="E151" t="s">
        <v>592</v>
      </c>
      <c r="F151" t="s">
        <v>72</v>
      </c>
      <c r="G151">
        <v>0.13</v>
      </c>
      <c r="H151">
        <v>9.83</v>
      </c>
      <c r="I151">
        <v>0.04</v>
      </c>
      <c r="J151">
        <v>0</v>
      </c>
      <c r="K151">
        <v>10</v>
      </c>
      <c r="L151" t="s">
        <v>61</v>
      </c>
      <c r="M151">
        <v>422</v>
      </c>
      <c r="N151">
        <v>42.2</v>
      </c>
      <c r="O151" t="s">
        <v>68</v>
      </c>
      <c r="P151" t="s">
        <v>67</v>
      </c>
      <c r="Q151">
        <v>422</v>
      </c>
      <c r="R151">
        <v>42.2</v>
      </c>
    </row>
    <row r="152" spans="1:18" x14ac:dyDescent="0.35">
      <c r="A152" t="s">
        <v>56</v>
      </c>
      <c r="B152" t="s">
        <v>57</v>
      </c>
      <c r="C152" t="s">
        <v>70</v>
      </c>
      <c r="D152">
        <v>107674648</v>
      </c>
      <c r="E152" t="s">
        <v>100</v>
      </c>
      <c r="F152" t="s">
        <v>72</v>
      </c>
      <c r="G152">
        <v>0.17</v>
      </c>
      <c r="H152">
        <v>8.56</v>
      </c>
      <c r="I152">
        <v>0.02</v>
      </c>
      <c r="J152">
        <v>0</v>
      </c>
      <c r="K152">
        <v>8.74</v>
      </c>
      <c r="L152" t="s">
        <v>61</v>
      </c>
      <c r="M152">
        <v>421</v>
      </c>
      <c r="N152">
        <v>48.15</v>
      </c>
      <c r="O152" t="s">
        <v>62</v>
      </c>
      <c r="P152" t="s">
        <v>63</v>
      </c>
      <c r="Q152">
        <v>228</v>
      </c>
      <c r="R152">
        <v>1338.99</v>
      </c>
    </row>
    <row r="153" spans="1:18" x14ac:dyDescent="0.35">
      <c r="A153" t="s">
        <v>56</v>
      </c>
      <c r="B153" t="s">
        <v>57</v>
      </c>
      <c r="C153" t="s">
        <v>70</v>
      </c>
      <c r="D153">
        <v>107674648</v>
      </c>
      <c r="E153" t="s">
        <v>100</v>
      </c>
      <c r="F153" t="s">
        <v>72</v>
      </c>
      <c r="G153">
        <v>0.17</v>
      </c>
      <c r="H153">
        <v>8.56</v>
      </c>
      <c r="I153">
        <v>0.02</v>
      </c>
      <c r="J153">
        <v>0</v>
      </c>
      <c r="K153">
        <v>8.74</v>
      </c>
      <c r="L153" t="s">
        <v>61</v>
      </c>
      <c r="M153">
        <v>421</v>
      </c>
      <c r="N153">
        <v>48.15</v>
      </c>
      <c r="O153" t="s">
        <v>62</v>
      </c>
      <c r="P153" t="s">
        <v>64</v>
      </c>
      <c r="Q153">
        <v>1733</v>
      </c>
      <c r="R153">
        <v>202.55</v>
      </c>
    </row>
    <row r="154" spans="1:18" x14ac:dyDescent="0.35">
      <c r="A154" t="s">
        <v>56</v>
      </c>
      <c r="B154" t="s">
        <v>57</v>
      </c>
      <c r="C154" t="s">
        <v>70</v>
      </c>
      <c r="D154">
        <v>107674648</v>
      </c>
      <c r="E154" t="s">
        <v>100</v>
      </c>
      <c r="F154" t="s">
        <v>72</v>
      </c>
      <c r="G154">
        <v>0.17</v>
      </c>
      <c r="H154">
        <v>8.56</v>
      </c>
      <c r="I154">
        <v>0.02</v>
      </c>
      <c r="J154">
        <v>0</v>
      </c>
      <c r="K154">
        <v>8.74</v>
      </c>
      <c r="L154" t="s">
        <v>61</v>
      </c>
      <c r="M154">
        <v>421</v>
      </c>
      <c r="N154">
        <v>48.15</v>
      </c>
      <c r="O154" t="s">
        <v>62</v>
      </c>
      <c r="P154" t="s">
        <v>65</v>
      </c>
      <c r="Q154">
        <v>4</v>
      </c>
      <c r="R154">
        <v>240</v>
      </c>
    </row>
    <row r="155" spans="1:18" x14ac:dyDescent="0.35">
      <c r="A155" t="s">
        <v>56</v>
      </c>
      <c r="B155" t="s">
        <v>57</v>
      </c>
      <c r="C155" t="s">
        <v>70</v>
      </c>
      <c r="D155">
        <v>107674648</v>
      </c>
      <c r="E155" t="s">
        <v>100</v>
      </c>
      <c r="F155" t="s">
        <v>72</v>
      </c>
      <c r="G155">
        <v>0.17</v>
      </c>
      <c r="H155">
        <v>8.56</v>
      </c>
      <c r="I155">
        <v>0.02</v>
      </c>
      <c r="J155">
        <v>0</v>
      </c>
      <c r="K155">
        <v>8.74</v>
      </c>
      <c r="L155" t="s">
        <v>61</v>
      </c>
      <c r="M155">
        <v>421</v>
      </c>
      <c r="N155">
        <v>48.15</v>
      </c>
      <c r="O155" t="s">
        <v>62</v>
      </c>
      <c r="P155" t="s">
        <v>66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70</v>
      </c>
      <c r="D156">
        <v>107674648</v>
      </c>
      <c r="E156" t="s">
        <v>100</v>
      </c>
      <c r="F156" t="s">
        <v>72</v>
      </c>
      <c r="G156">
        <v>0.17</v>
      </c>
      <c r="H156">
        <v>8.56</v>
      </c>
      <c r="I156">
        <v>0.02</v>
      </c>
      <c r="J156">
        <v>0</v>
      </c>
      <c r="K156">
        <v>8.74</v>
      </c>
      <c r="L156" t="s">
        <v>61</v>
      </c>
      <c r="M156">
        <v>421</v>
      </c>
      <c r="N156">
        <v>48.15</v>
      </c>
      <c r="O156" t="s">
        <v>62</v>
      </c>
      <c r="P156" t="s">
        <v>67</v>
      </c>
      <c r="Q156">
        <v>1965</v>
      </c>
      <c r="R156">
        <v>224.74</v>
      </c>
    </row>
    <row r="157" spans="1:18" x14ac:dyDescent="0.35">
      <c r="A157" t="s">
        <v>56</v>
      </c>
      <c r="B157" t="s">
        <v>57</v>
      </c>
      <c r="C157" t="s">
        <v>70</v>
      </c>
      <c r="D157">
        <v>107674648</v>
      </c>
      <c r="E157" t="s">
        <v>100</v>
      </c>
      <c r="F157" t="s">
        <v>72</v>
      </c>
      <c r="G157">
        <v>0.17</v>
      </c>
      <c r="H157">
        <v>8.56</v>
      </c>
      <c r="I157">
        <v>0.02</v>
      </c>
      <c r="J157">
        <v>0</v>
      </c>
      <c r="K157">
        <v>8.74</v>
      </c>
      <c r="L157" t="s">
        <v>61</v>
      </c>
      <c r="M157">
        <v>421</v>
      </c>
      <c r="N157">
        <v>48.15</v>
      </c>
      <c r="O157" t="s">
        <v>68</v>
      </c>
      <c r="P157" t="s">
        <v>67</v>
      </c>
      <c r="Q157">
        <v>421</v>
      </c>
      <c r="R157">
        <v>48.15</v>
      </c>
    </row>
    <row r="158" spans="1:18" x14ac:dyDescent="0.35">
      <c r="A158" t="s">
        <v>56</v>
      </c>
      <c r="B158" t="s">
        <v>57</v>
      </c>
      <c r="C158" t="s">
        <v>58</v>
      </c>
      <c r="D158">
        <v>107704604</v>
      </c>
      <c r="E158" t="s">
        <v>101</v>
      </c>
      <c r="F158" t="s">
        <v>72</v>
      </c>
      <c r="G158">
        <v>0.02</v>
      </c>
      <c r="H158">
        <v>9.9700000000000006</v>
      </c>
      <c r="I158">
        <v>0</v>
      </c>
      <c r="J158">
        <v>0</v>
      </c>
      <c r="K158">
        <v>10</v>
      </c>
      <c r="L158" t="s">
        <v>61</v>
      </c>
      <c r="M158">
        <v>607</v>
      </c>
      <c r="N158">
        <v>60.7</v>
      </c>
      <c r="O158" t="s">
        <v>62</v>
      </c>
      <c r="P158" t="s">
        <v>63</v>
      </c>
      <c r="Q158">
        <v>50</v>
      </c>
      <c r="R158">
        <v>2022.47</v>
      </c>
    </row>
    <row r="159" spans="1:18" x14ac:dyDescent="0.35">
      <c r="A159" t="s">
        <v>56</v>
      </c>
      <c r="B159" t="s">
        <v>57</v>
      </c>
      <c r="C159" t="s">
        <v>58</v>
      </c>
      <c r="D159">
        <v>107704604</v>
      </c>
      <c r="E159" t="s">
        <v>101</v>
      </c>
      <c r="F159" t="s">
        <v>72</v>
      </c>
      <c r="G159">
        <v>0.02</v>
      </c>
      <c r="H159">
        <v>9.9700000000000006</v>
      </c>
      <c r="I159">
        <v>0</v>
      </c>
      <c r="J159">
        <v>0</v>
      </c>
      <c r="K159">
        <v>10</v>
      </c>
      <c r="L159" t="s">
        <v>61</v>
      </c>
      <c r="M159">
        <v>607</v>
      </c>
      <c r="N159">
        <v>60.7</v>
      </c>
      <c r="O159" t="s">
        <v>62</v>
      </c>
      <c r="P159" t="s">
        <v>64</v>
      </c>
      <c r="Q159">
        <v>3027</v>
      </c>
      <c r="R159">
        <v>303.45999999999998</v>
      </c>
    </row>
    <row r="160" spans="1:18" x14ac:dyDescent="0.35">
      <c r="A160" t="s">
        <v>56</v>
      </c>
      <c r="B160" t="s">
        <v>57</v>
      </c>
      <c r="C160" t="s">
        <v>58</v>
      </c>
      <c r="D160">
        <v>107704604</v>
      </c>
      <c r="E160" t="s">
        <v>101</v>
      </c>
      <c r="F160" t="s">
        <v>72</v>
      </c>
      <c r="G160">
        <v>0.02</v>
      </c>
      <c r="H160">
        <v>9.9700000000000006</v>
      </c>
      <c r="I160">
        <v>0</v>
      </c>
      <c r="J160">
        <v>0</v>
      </c>
      <c r="K160">
        <v>10</v>
      </c>
      <c r="L160" t="s">
        <v>61</v>
      </c>
      <c r="M160">
        <v>607</v>
      </c>
      <c r="N160">
        <v>60.7</v>
      </c>
      <c r="O160" t="s">
        <v>62</v>
      </c>
      <c r="P160" t="s">
        <v>65</v>
      </c>
      <c r="Q160">
        <v>0</v>
      </c>
      <c r="R160">
        <v>0</v>
      </c>
    </row>
    <row r="161" spans="1:18" x14ac:dyDescent="0.35">
      <c r="A161" t="s">
        <v>56</v>
      </c>
      <c r="B161" t="s">
        <v>57</v>
      </c>
      <c r="C161" t="s">
        <v>58</v>
      </c>
      <c r="D161">
        <v>107704604</v>
      </c>
      <c r="E161" t="s">
        <v>101</v>
      </c>
      <c r="F161" t="s">
        <v>72</v>
      </c>
      <c r="G161">
        <v>0.02</v>
      </c>
      <c r="H161">
        <v>9.9700000000000006</v>
      </c>
      <c r="I161">
        <v>0</v>
      </c>
      <c r="J161">
        <v>0</v>
      </c>
      <c r="K161">
        <v>10</v>
      </c>
      <c r="L161" t="s">
        <v>61</v>
      </c>
      <c r="M161">
        <v>607</v>
      </c>
      <c r="N161">
        <v>60.7</v>
      </c>
      <c r="O161" t="s">
        <v>62</v>
      </c>
      <c r="P161" t="s">
        <v>66</v>
      </c>
      <c r="Q161">
        <v>0</v>
      </c>
      <c r="R161">
        <v>0</v>
      </c>
    </row>
    <row r="162" spans="1:18" x14ac:dyDescent="0.35">
      <c r="A162" t="s">
        <v>56</v>
      </c>
      <c r="B162" t="s">
        <v>57</v>
      </c>
      <c r="C162" t="s">
        <v>58</v>
      </c>
      <c r="D162">
        <v>107704604</v>
      </c>
      <c r="E162" t="s">
        <v>101</v>
      </c>
      <c r="F162" t="s">
        <v>72</v>
      </c>
      <c r="G162">
        <v>0.02</v>
      </c>
      <c r="H162">
        <v>9.9700000000000006</v>
      </c>
      <c r="I162">
        <v>0</v>
      </c>
      <c r="J162">
        <v>0</v>
      </c>
      <c r="K162">
        <v>10</v>
      </c>
      <c r="L162" t="s">
        <v>61</v>
      </c>
      <c r="M162">
        <v>607</v>
      </c>
      <c r="N162">
        <v>60.7</v>
      </c>
      <c r="O162" t="s">
        <v>62</v>
      </c>
      <c r="P162" t="s">
        <v>67</v>
      </c>
      <c r="Q162">
        <v>3077</v>
      </c>
      <c r="R162">
        <v>307.7</v>
      </c>
    </row>
    <row r="163" spans="1:18" x14ac:dyDescent="0.35">
      <c r="A163" t="s">
        <v>56</v>
      </c>
      <c r="B163" t="s">
        <v>57</v>
      </c>
      <c r="C163" t="s">
        <v>58</v>
      </c>
      <c r="D163">
        <v>107704604</v>
      </c>
      <c r="E163" t="s">
        <v>101</v>
      </c>
      <c r="F163" t="s">
        <v>72</v>
      </c>
      <c r="G163">
        <v>0.02</v>
      </c>
      <c r="H163">
        <v>9.9700000000000006</v>
      </c>
      <c r="I163">
        <v>0</v>
      </c>
      <c r="J163">
        <v>0</v>
      </c>
      <c r="K163">
        <v>10</v>
      </c>
      <c r="L163" t="s">
        <v>61</v>
      </c>
      <c r="M163">
        <v>607</v>
      </c>
      <c r="N163">
        <v>60.7</v>
      </c>
      <c r="O163" t="s">
        <v>68</v>
      </c>
      <c r="P163" t="s">
        <v>67</v>
      </c>
      <c r="Q163">
        <v>607</v>
      </c>
      <c r="R163">
        <v>60.7</v>
      </c>
    </row>
    <row r="164" spans="1:18" x14ac:dyDescent="0.35">
      <c r="A164" t="s">
        <v>56</v>
      </c>
      <c r="B164" t="s">
        <v>57</v>
      </c>
      <c r="C164" t="s">
        <v>58</v>
      </c>
      <c r="D164">
        <v>107775413</v>
      </c>
      <c r="E164" t="s">
        <v>106</v>
      </c>
      <c r="F164" t="s">
        <v>72</v>
      </c>
      <c r="G164">
        <v>0.14000000000000001</v>
      </c>
      <c r="H164">
        <v>9.8000000000000007</v>
      </c>
      <c r="I164">
        <v>0</v>
      </c>
      <c r="J164">
        <v>0</v>
      </c>
      <c r="K164">
        <v>9.93</v>
      </c>
      <c r="L164" t="s">
        <v>61</v>
      </c>
      <c r="M164">
        <v>286</v>
      </c>
      <c r="N164">
        <v>28.79</v>
      </c>
      <c r="O164" t="s">
        <v>62</v>
      </c>
      <c r="P164" t="s">
        <v>63</v>
      </c>
      <c r="Q164">
        <v>130</v>
      </c>
      <c r="R164">
        <v>960.99</v>
      </c>
    </row>
    <row r="165" spans="1:18" x14ac:dyDescent="0.35">
      <c r="A165" t="s">
        <v>56</v>
      </c>
      <c r="B165" t="s">
        <v>57</v>
      </c>
      <c r="C165" t="s">
        <v>58</v>
      </c>
      <c r="D165">
        <v>107775413</v>
      </c>
      <c r="E165" t="s">
        <v>106</v>
      </c>
      <c r="F165" t="s">
        <v>72</v>
      </c>
      <c r="G165">
        <v>0.14000000000000001</v>
      </c>
      <c r="H165">
        <v>9.8000000000000007</v>
      </c>
      <c r="I165">
        <v>0</v>
      </c>
      <c r="J165">
        <v>0</v>
      </c>
      <c r="K165">
        <v>9.93</v>
      </c>
      <c r="L165" t="s">
        <v>61</v>
      </c>
      <c r="M165">
        <v>286</v>
      </c>
      <c r="N165">
        <v>28.79</v>
      </c>
      <c r="O165" t="s">
        <v>62</v>
      </c>
      <c r="P165" t="s">
        <v>64</v>
      </c>
      <c r="Q165">
        <v>1425</v>
      </c>
      <c r="R165">
        <v>145.44</v>
      </c>
    </row>
    <row r="166" spans="1:18" x14ac:dyDescent="0.35">
      <c r="A166" t="s">
        <v>56</v>
      </c>
      <c r="B166" t="s">
        <v>57</v>
      </c>
      <c r="C166" t="s">
        <v>58</v>
      </c>
      <c r="D166">
        <v>107775413</v>
      </c>
      <c r="E166" t="s">
        <v>106</v>
      </c>
      <c r="F166" t="s">
        <v>72</v>
      </c>
      <c r="G166">
        <v>0.14000000000000001</v>
      </c>
      <c r="H166">
        <v>9.8000000000000007</v>
      </c>
      <c r="I166">
        <v>0</v>
      </c>
      <c r="J166">
        <v>0</v>
      </c>
      <c r="K166">
        <v>9.93</v>
      </c>
      <c r="L166" t="s">
        <v>61</v>
      </c>
      <c r="M166">
        <v>286</v>
      </c>
      <c r="N166">
        <v>28.79</v>
      </c>
      <c r="O166" t="s">
        <v>62</v>
      </c>
      <c r="P166" t="s">
        <v>65</v>
      </c>
      <c r="Q166">
        <v>0</v>
      </c>
      <c r="R166">
        <v>0</v>
      </c>
    </row>
    <row r="167" spans="1:18" x14ac:dyDescent="0.35">
      <c r="A167" t="s">
        <v>56</v>
      </c>
      <c r="B167" t="s">
        <v>57</v>
      </c>
      <c r="C167" t="s">
        <v>58</v>
      </c>
      <c r="D167">
        <v>107775413</v>
      </c>
      <c r="E167" t="s">
        <v>106</v>
      </c>
      <c r="F167" t="s">
        <v>72</v>
      </c>
      <c r="G167">
        <v>0.14000000000000001</v>
      </c>
      <c r="H167">
        <v>9.8000000000000007</v>
      </c>
      <c r="I167">
        <v>0</v>
      </c>
      <c r="J167">
        <v>0</v>
      </c>
      <c r="K167">
        <v>9.93</v>
      </c>
      <c r="L167" t="s">
        <v>61</v>
      </c>
      <c r="M167">
        <v>286</v>
      </c>
      <c r="N167">
        <v>28.79</v>
      </c>
      <c r="O167" t="s">
        <v>62</v>
      </c>
      <c r="P167" t="s">
        <v>66</v>
      </c>
      <c r="Q167">
        <v>0</v>
      </c>
      <c r="R167">
        <v>0</v>
      </c>
    </row>
    <row r="168" spans="1:18" x14ac:dyDescent="0.35">
      <c r="A168" t="s">
        <v>56</v>
      </c>
      <c r="B168" t="s">
        <v>57</v>
      </c>
      <c r="C168" t="s">
        <v>58</v>
      </c>
      <c r="D168">
        <v>107775413</v>
      </c>
      <c r="E168" t="s">
        <v>106</v>
      </c>
      <c r="F168" t="s">
        <v>72</v>
      </c>
      <c r="G168">
        <v>0.14000000000000001</v>
      </c>
      <c r="H168">
        <v>9.8000000000000007</v>
      </c>
      <c r="I168">
        <v>0</v>
      </c>
      <c r="J168">
        <v>0</v>
      </c>
      <c r="K168">
        <v>9.93</v>
      </c>
      <c r="L168" t="s">
        <v>61</v>
      </c>
      <c r="M168">
        <v>286</v>
      </c>
      <c r="N168">
        <v>28.79</v>
      </c>
      <c r="O168" t="s">
        <v>62</v>
      </c>
      <c r="P168" t="s">
        <v>67</v>
      </c>
      <c r="Q168">
        <v>1555</v>
      </c>
      <c r="R168">
        <v>156.54</v>
      </c>
    </row>
    <row r="169" spans="1:18" x14ac:dyDescent="0.35">
      <c r="A169" t="s">
        <v>56</v>
      </c>
      <c r="B169" t="s">
        <v>57</v>
      </c>
      <c r="C169" t="s">
        <v>58</v>
      </c>
      <c r="D169">
        <v>107775413</v>
      </c>
      <c r="E169" t="s">
        <v>106</v>
      </c>
      <c r="F169" t="s">
        <v>72</v>
      </c>
      <c r="G169">
        <v>0.14000000000000001</v>
      </c>
      <c r="H169">
        <v>9.8000000000000007</v>
      </c>
      <c r="I169">
        <v>0</v>
      </c>
      <c r="J169">
        <v>0</v>
      </c>
      <c r="K169">
        <v>9.93</v>
      </c>
      <c r="L169" t="s">
        <v>61</v>
      </c>
      <c r="M169">
        <v>286</v>
      </c>
      <c r="N169">
        <v>28.79</v>
      </c>
      <c r="O169" t="s">
        <v>68</v>
      </c>
      <c r="P169" t="s">
        <v>67</v>
      </c>
      <c r="Q169">
        <v>286</v>
      </c>
      <c r="R169">
        <v>28.79</v>
      </c>
    </row>
    <row r="170" spans="1:18" x14ac:dyDescent="0.35">
      <c r="A170" t="s">
        <v>56</v>
      </c>
      <c r="B170" t="s">
        <v>57</v>
      </c>
      <c r="C170" t="s">
        <v>70</v>
      </c>
      <c r="D170">
        <v>107775521</v>
      </c>
      <c r="E170" t="s">
        <v>107</v>
      </c>
      <c r="F170" t="s">
        <v>72</v>
      </c>
      <c r="G170">
        <v>0.12</v>
      </c>
      <c r="H170">
        <v>7.92</v>
      </c>
      <c r="I170">
        <v>0.04</v>
      </c>
      <c r="J170">
        <v>0</v>
      </c>
      <c r="K170">
        <v>8.08</v>
      </c>
      <c r="L170" t="s">
        <v>61</v>
      </c>
      <c r="M170">
        <v>365</v>
      </c>
      <c r="N170">
        <v>45.17</v>
      </c>
      <c r="O170" t="s">
        <v>62</v>
      </c>
      <c r="P170" t="s">
        <v>63</v>
      </c>
      <c r="Q170">
        <v>188</v>
      </c>
      <c r="R170">
        <v>1566.67</v>
      </c>
    </row>
    <row r="171" spans="1:18" x14ac:dyDescent="0.35">
      <c r="A171" t="s">
        <v>56</v>
      </c>
      <c r="B171" t="s">
        <v>57</v>
      </c>
      <c r="C171" t="s">
        <v>70</v>
      </c>
      <c r="D171">
        <v>107775521</v>
      </c>
      <c r="E171" t="s">
        <v>107</v>
      </c>
      <c r="F171" t="s">
        <v>72</v>
      </c>
      <c r="G171">
        <v>0.12</v>
      </c>
      <c r="H171">
        <v>7.92</v>
      </c>
      <c r="I171">
        <v>0.04</v>
      </c>
      <c r="J171">
        <v>0</v>
      </c>
      <c r="K171">
        <v>8.08</v>
      </c>
      <c r="L171" t="s">
        <v>61</v>
      </c>
      <c r="M171">
        <v>365</v>
      </c>
      <c r="N171">
        <v>45.17</v>
      </c>
      <c r="O171" t="s">
        <v>62</v>
      </c>
      <c r="P171" t="s">
        <v>64</v>
      </c>
      <c r="Q171">
        <v>1876</v>
      </c>
      <c r="R171">
        <v>236.98</v>
      </c>
    </row>
    <row r="172" spans="1:18" x14ac:dyDescent="0.35">
      <c r="A172" t="s">
        <v>56</v>
      </c>
      <c r="B172" t="s">
        <v>57</v>
      </c>
      <c r="C172" t="s">
        <v>70</v>
      </c>
      <c r="D172">
        <v>107775521</v>
      </c>
      <c r="E172" t="s">
        <v>107</v>
      </c>
      <c r="F172" t="s">
        <v>72</v>
      </c>
      <c r="G172">
        <v>0.12</v>
      </c>
      <c r="H172">
        <v>7.92</v>
      </c>
      <c r="I172">
        <v>0.04</v>
      </c>
      <c r="J172">
        <v>0</v>
      </c>
      <c r="K172">
        <v>8.08</v>
      </c>
      <c r="L172" t="s">
        <v>61</v>
      </c>
      <c r="M172">
        <v>365</v>
      </c>
      <c r="N172">
        <v>45.17</v>
      </c>
      <c r="O172" t="s">
        <v>62</v>
      </c>
      <c r="P172" t="s">
        <v>65</v>
      </c>
      <c r="Q172">
        <v>12</v>
      </c>
      <c r="R172">
        <v>280.52</v>
      </c>
    </row>
    <row r="173" spans="1:18" x14ac:dyDescent="0.35">
      <c r="A173" t="s">
        <v>56</v>
      </c>
      <c r="B173" t="s">
        <v>57</v>
      </c>
      <c r="C173" t="s">
        <v>70</v>
      </c>
      <c r="D173">
        <v>107775521</v>
      </c>
      <c r="E173" t="s">
        <v>107</v>
      </c>
      <c r="F173" t="s">
        <v>72</v>
      </c>
      <c r="G173">
        <v>0.12</v>
      </c>
      <c r="H173">
        <v>7.92</v>
      </c>
      <c r="I173">
        <v>0.04</v>
      </c>
      <c r="J173">
        <v>0</v>
      </c>
      <c r="K173">
        <v>8.08</v>
      </c>
      <c r="L173" t="s">
        <v>61</v>
      </c>
      <c r="M173">
        <v>365</v>
      </c>
      <c r="N173">
        <v>45.17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70</v>
      </c>
      <c r="D174">
        <v>107775521</v>
      </c>
      <c r="E174" t="s">
        <v>107</v>
      </c>
      <c r="F174" t="s">
        <v>72</v>
      </c>
      <c r="G174">
        <v>0.12</v>
      </c>
      <c r="H174">
        <v>7.92</v>
      </c>
      <c r="I174">
        <v>0.04</v>
      </c>
      <c r="J174">
        <v>0</v>
      </c>
      <c r="K174">
        <v>8.08</v>
      </c>
      <c r="L174" t="s">
        <v>61</v>
      </c>
      <c r="M174">
        <v>365</v>
      </c>
      <c r="N174">
        <v>45.17</v>
      </c>
      <c r="O174" t="s">
        <v>62</v>
      </c>
      <c r="P174" t="s">
        <v>67</v>
      </c>
      <c r="Q174">
        <v>2076</v>
      </c>
      <c r="R174">
        <v>256.94</v>
      </c>
    </row>
    <row r="175" spans="1:18" x14ac:dyDescent="0.35">
      <c r="A175" t="s">
        <v>56</v>
      </c>
      <c r="B175" t="s">
        <v>57</v>
      </c>
      <c r="C175" t="s">
        <v>70</v>
      </c>
      <c r="D175">
        <v>107775521</v>
      </c>
      <c r="E175" t="s">
        <v>107</v>
      </c>
      <c r="F175" t="s">
        <v>72</v>
      </c>
      <c r="G175">
        <v>0.12</v>
      </c>
      <c r="H175">
        <v>7.92</v>
      </c>
      <c r="I175">
        <v>0.04</v>
      </c>
      <c r="J175">
        <v>0</v>
      </c>
      <c r="K175">
        <v>8.08</v>
      </c>
      <c r="L175" t="s">
        <v>61</v>
      </c>
      <c r="M175">
        <v>365</v>
      </c>
      <c r="N175">
        <v>45.17</v>
      </c>
      <c r="O175" t="s">
        <v>68</v>
      </c>
      <c r="P175" t="s">
        <v>67</v>
      </c>
      <c r="Q175">
        <v>366</v>
      </c>
      <c r="R175">
        <v>45.3</v>
      </c>
    </row>
    <row r="176" spans="1:18" x14ac:dyDescent="0.35">
      <c r="A176" t="s">
        <v>56</v>
      </c>
      <c r="B176" t="s">
        <v>57</v>
      </c>
      <c r="C176" t="s">
        <v>70</v>
      </c>
      <c r="D176">
        <v>107791373</v>
      </c>
      <c r="E176" t="s">
        <v>618</v>
      </c>
      <c r="F176" t="s">
        <v>72</v>
      </c>
      <c r="G176">
        <v>0.28000000000000003</v>
      </c>
      <c r="H176">
        <v>9.76</v>
      </c>
      <c r="I176">
        <v>0</v>
      </c>
      <c r="J176">
        <v>0</v>
      </c>
      <c r="K176">
        <v>10.029999999999999</v>
      </c>
      <c r="L176" t="s">
        <v>61</v>
      </c>
      <c r="M176">
        <v>603</v>
      </c>
      <c r="N176">
        <v>60.1</v>
      </c>
      <c r="O176" t="s">
        <v>62</v>
      </c>
      <c r="P176" t="s">
        <v>63</v>
      </c>
      <c r="Q176">
        <v>479</v>
      </c>
      <c r="R176">
        <v>1741.82</v>
      </c>
    </row>
    <row r="177" spans="1:18" x14ac:dyDescent="0.35">
      <c r="A177" t="s">
        <v>56</v>
      </c>
      <c r="B177" t="s">
        <v>57</v>
      </c>
      <c r="C177" t="s">
        <v>70</v>
      </c>
      <c r="D177">
        <v>107791373</v>
      </c>
      <c r="E177" t="s">
        <v>618</v>
      </c>
      <c r="F177" t="s">
        <v>72</v>
      </c>
      <c r="G177">
        <v>0.28000000000000003</v>
      </c>
      <c r="H177">
        <v>9.76</v>
      </c>
      <c r="I177">
        <v>0</v>
      </c>
      <c r="J177">
        <v>0</v>
      </c>
      <c r="K177">
        <v>10.029999999999999</v>
      </c>
      <c r="L177" t="s">
        <v>61</v>
      </c>
      <c r="M177">
        <v>603</v>
      </c>
      <c r="N177">
        <v>60.1</v>
      </c>
      <c r="O177" t="s">
        <v>62</v>
      </c>
      <c r="P177" t="s">
        <v>64</v>
      </c>
      <c r="Q177">
        <v>2574</v>
      </c>
      <c r="R177">
        <v>263.77999999999997</v>
      </c>
    </row>
    <row r="178" spans="1:18" x14ac:dyDescent="0.35">
      <c r="A178" t="s">
        <v>56</v>
      </c>
      <c r="B178" t="s">
        <v>57</v>
      </c>
      <c r="C178" t="s">
        <v>70</v>
      </c>
      <c r="D178">
        <v>107791373</v>
      </c>
      <c r="E178" t="s">
        <v>618</v>
      </c>
      <c r="F178" t="s">
        <v>72</v>
      </c>
      <c r="G178">
        <v>0.28000000000000003</v>
      </c>
      <c r="H178">
        <v>9.76</v>
      </c>
      <c r="I178">
        <v>0</v>
      </c>
      <c r="J178">
        <v>0</v>
      </c>
      <c r="K178">
        <v>10.029999999999999</v>
      </c>
      <c r="L178" t="s">
        <v>61</v>
      </c>
      <c r="M178">
        <v>603</v>
      </c>
      <c r="N178">
        <v>60.1</v>
      </c>
      <c r="O178" t="s">
        <v>62</v>
      </c>
      <c r="P178" t="s">
        <v>65</v>
      </c>
      <c r="Q178">
        <v>0</v>
      </c>
      <c r="R178">
        <v>0</v>
      </c>
    </row>
    <row r="179" spans="1:18" x14ac:dyDescent="0.35">
      <c r="A179" t="s">
        <v>56</v>
      </c>
      <c r="B179" t="s">
        <v>57</v>
      </c>
      <c r="C179" t="s">
        <v>70</v>
      </c>
      <c r="D179">
        <v>107791373</v>
      </c>
      <c r="E179" t="s">
        <v>618</v>
      </c>
      <c r="F179" t="s">
        <v>72</v>
      </c>
      <c r="G179">
        <v>0.28000000000000003</v>
      </c>
      <c r="H179">
        <v>9.76</v>
      </c>
      <c r="I179">
        <v>0</v>
      </c>
      <c r="J179">
        <v>0</v>
      </c>
      <c r="K179">
        <v>10.029999999999999</v>
      </c>
      <c r="L179" t="s">
        <v>61</v>
      </c>
      <c r="M179">
        <v>603</v>
      </c>
      <c r="N179">
        <v>60.1</v>
      </c>
      <c r="O179" t="s">
        <v>62</v>
      </c>
      <c r="P179" t="s">
        <v>66</v>
      </c>
      <c r="Q179">
        <v>0</v>
      </c>
      <c r="R179">
        <v>0</v>
      </c>
    </row>
    <row r="180" spans="1:18" x14ac:dyDescent="0.35">
      <c r="A180" t="s">
        <v>56</v>
      </c>
      <c r="B180" t="s">
        <v>57</v>
      </c>
      <c r="C180" t="s">
        <v>70</v>
      </c>
      <c r="D180">
        <v>107791373</v>
      </c>
      <c r="E180" t="s">
        <v>618</v>
      </c>
      <c r="F180" t="s">
        <v>72</v>
      </c>
      <c r="G180">
        <v>0.28000000000000003</v>
      </c>
      <c r="H180">
        <v>9.76</v>
      </c>
      <c r="I180">
        <v>0</v>
      </c>
      <c r="J180">
        <v>0</v>
      </c>
      <c r="K180">
        <v>10.029999999999999</v>
      </c>
      <c r="L180" t="s">
        <v>61</v>
      </c>
      <c r="M180">
        <v>603</v>
      </c>
      <c r="N180">
        <v>60.1</v>
      </c>
      <c r="O180" t="s">
        <v>62</v>
      </c>
      <c r="P180" t="s">
        <v>67</v>
      </c>
      <c r="Q180">
        <v>3053</v>
      </c>
      <c r="R180">
        <v>304.29000000000002</v>
      </c>
    </row>
    <row r="181" spans="1:18" x14ac:dyDescent="0.35">
      <c r="A181" t="s">
        <v>56</v>
      </c>
      <c r="B181" t="s">
        <v>57</v>
      </c>
      <c r="C181" t="s">
        <v>70</v>
      </c>
      <c r="D181">
        <v>107791373</v>
      </c>
      <c r="E181" t="s">
        <v>618</v>
      </c>
      <c r="F181" t="s">
        <v>72</v>
      </c>
      <c r="G181">
        <v>0.28000000000000003</v>
      </c>
      <c r="H181">
        <v>9.76</v>
      </c>
      <c r="I181">
        <v>0</v>
      </c>
      <c r="J181">
        <v>0</v>
      </c>
      <c r="K181">
        <v>10.029999999999999</v>
      </c>
      <c r="L181" t="s">
        <v>61</v>
      </c>
      <c r="M181">
        <v>603</v>
      </c>
      <c r="N181">
        <v>60.1</v>
      </c>
      <c r="O181" t="s">
        <v>68</v>
      </c>
      <c r="P181" t="s">
        <v>67</v>
      </c>
      <c r="Q181">
        <v>603</v>
      </c>
      <c r="R181">
        <v>60.1</v>
      </c>
    </row>
    <row r="182" spans="1:18" x14ac:dyDescent="0.35">
      <c r="A182" t="s">
        <v>56</v>
      </c>
      <c r="B182" t="s">
        <v>57</v>
      </c>
      <c r="C182" t="s">
        <v>70</v>
      </c>
      <c r="D182">
        <v>107843844</v>
      </c>
      <c r="E182" t="s">
        <v>601</v>
      </c>
      <c r="F182" t="s">
        <v>72</v>
      </c>
      <c r="G182">
        <v>0.43</v>
      </c>
      <c r="H182">
        <v>9.57</v>
      </c>
      <c r="I182">
        <v>0.08</v>
      </c>
      <c r="J182">
        <v>0</v>
      </c>
      <c r="K182">
        <v>10.08</v>
      </c>
      <c r="L182" t="s">
        <v>61</v>
      </c>
      <c r="M182">
        <v>522</v>
      </c>
      <c r="N182">
        <v>51.77</v>
      </c>
      <c r="O182" t="s">
        <v>62</v>
      </c>
      <c r="P182" t="s">
        <v>63</v>
      </c>
      <c r="Q182">
        <v>616</v>
      </c>
      <c r="R182">
        <v>1432.56</v>
      </c>
    </row>
    <row r="183" spans="1:18" x14ac:dyDescent="0.35">
      <c r="A183" t="s">
        <v>56</v>
      </c>
      <c r="B183" t="s">
        <v>57</v>
      </c>
      <c r="C183" t="s">
        <v>70</v>
      </c>
      <c r="D183">
        <v>107843844</v>
      </c>
      <c r="E183" t="s">
        <v>601</v>
      </c>
      <c r="F183" t="s">
        <v>72</v>
      </c>
      <c r="G183">
        <v>0.43</v>
      </c>
      <c r="H183">
        <v>9.57</v>
      </c>
      <c r="I183">
        <v>0.08</v>
      </c>
      <c r="J183">
        <v>0</v>
      </c>
      <c r="K183">
        <v>10.08</v>
      </c>
      <c r="L183" t="s">
        <v>61</v>
      </c>
      <c r="M183">
        <v>522</v>
      </c>
      <c r="N183">
        <v>51.77</v>
      </c>
      <c r="O183" t="s">
        <v>62</v>
      </c>
      <c r="P183" t="s">
        <v>64</v>
      </c>
      <c r="Q183">
        <v>2077</v>
      </c>
      <c r="R183">
        <v>216.93</v>
      </c>
    </row>
    <row r="184" spans="1:18" x14ac:dyDescent="0.35">
      <c r="A184" t="s">
        <v>56</v>
      </c>
      <c r="B184" t="s">
        <v>57</v>
      </c>
      <c r="C184" t="s">
        <v>70</v>
      </c>
      <c r="D184">
        <v>107843844</v>
      </c>
      <c r="E184" t="s">
        <v>601</v>
      </c>
      <c r="F184" t="s">
        <v>72</v>
      </c>
      <c r="G184">
        <v>0.43</v>
      </c>
      <c r="H184">
        <v>9.57</v>
      </c>
      <c r="I184">
        <v>0.08</v>
      </c>
      <c r="J184">
        <v>0</v>
      </c>
      <c r="K184">
        <v>10.08</v>
      </c>
      <c r="L184" t="s">
        <v>61</v>
      </c>
      <c r="M184">
        <v>522</v>
      </c>
      <c r="N184">
        <v>51.77</v>
      </c>
      <c r="O184" t="s">
        <v>62</v>
      </c>
      <c r="P184" t="s">
        <v>65</v>
      </c>
      <c r="Q184">
        <v>20</v>
      </c>
      <c r="R184">
        <v>256.23</v>
      </c>
    </row>
    <row r="185" spans="1:18" x14ac:dyDescent="0.35">
      <c r="A185" t="s">
        <v>56</v>
      </c>
      <c r="B185" t="s">
        <v>57</v>
      </c>
      <c r="C185" t="s">
        <v>70</v>
      </c>
      <c r="D185">
        <v>107843844</v>
      </c>
      <c r="E185" t="s">
        <v>601</v>
      </c>
      <c r="F185" t="s">
        <v>72</v>
      </c>
      <c r="G185">
        <v>0.43</v>
      </c>
      <c r="H185">
        <v>9.57</v>
      </c>
      <c r="I185">
        <v>0.08</v>
      </c>
      <c r="J185">
        <v>0</v>
      </c>
      <c r="K185">
        <v>10.08</v>
      </c>
      <c r="L185" t="s">
        <v>61</v>
      </c>
      <c r="M185">
        <v>522</v>
      </c>
      <c r="N185">
        <v>51.77</v>
      </c>
      <c r="O185" t="s">
        <v>62</v>
      </c>
      <c r="P185" t="s">
        <v>66</v>
      </c>
      <c r="Q185">
        <v>0</v>
      </c>
      <c r="R185">
        <v>0</v>
      </c>
    </row>
    <row r="186" spans="1:18" x14ac:dyDescent="0.35">
      <c r="A186" t="s">
        <v>56</v>
      </c>
      <c r="B186" t="s">
        <v>57</v>
      </c>
      <c r="C186" t="s">
        <v>70</v>
      </c>
      <c r="D186">
        <v>107843844</v>
      </c>
      <c r="E186" t="s">
        <v>601</v>
      </c>
      <c r="F186" t="s">
        <v>72</v>
      </c>
      <c r="G186">
        <v>0.43</v>
      </c>
      <c r="H186">
        <v>9.57</v>
      </c>
      <c r="I186">
        <v>0.08</v>
      </c>
      <c r="J186">
        <v>0</v>
      </c>
      <c r="K186">
        <v>10.08</v>
      </c>
      <c r="L186" t="s">
        <v>61</v>
      </c>
      <c r="M186">
        <v>522</v>
      </c>
      <c r="N186">
        <v>51.77</v>
      </c>
      <c r="O186" t="s">
        <v>62</v>
      </c>
      <c r="P186" t="s">
        <v>67</v>
      </c>
      <c r="Q186">
        <v>2713</v>
      </c>
      <c r="R186">
        <v>269.06</v>
      </c>
    </row>
    <row r="187" spans="1:18" x14ac:dyDescent="0.35">
      <c r="A187" t="s">
        <v>56</v>
      </c>
      <c r="B187" t="s">
        <v>57</v>
      </c>
      <c r="C187" t="s">
        <v>70</v>
      </c>
      <c r="D187">
        <v>107843844</v>
      </c>
      <c r="E187" t="s">
        <v>601</v>
      </c>
      <c r="F187" t="s">
        <v>72</v>
      </c>
      <c r="G187">
        <v>0.43</v>
      </c>
      <c r="H187">
        <v>9.57</v>
      </c>
      <c r="I187">
        <v>0.08</v>
      </c>
      <c r="J187">
        <v>0</v>
      </c>
      <c r="K187">
        <v>10.08</v>
      </c>
      <c r="L187" t="s">
        <v>61</v>
      </c>
      <c r="M187">
        <v>522</v>
      </c>
      <c r="N187">
        <v>51.77</v>
      </c>
      <c r="O187" t="s">
        <v>68</v>
      </c>
      <c r="P187" t="s">
        <v>67</v>
      </c>
      <c r="Q187">
        <v>522</v>
      </c>
      <c r="R187">
        <v>51.77</v>
      </c>
    </row>
    <row r="188" spans="1:18" x14ac:dyDescent="0.35">
      <c r="A188" t="s">
        <v>56</v>
      </c>
      <c r="B188" t="s">
        <v>57</v>
      </c>
      <c r="C188" t="s">
        <v>70</v>
      </c>
      <c r="D188">
        <v>107843876</v>
      </c>
      <c r="E188" t="s">
        <v>602</v>
      </c>
      <c r="F188" t="s">
        <v>72</v>
      </c>
      <c r="G188">
        <v>0.1</v>
      </c>
      <c r="H188">
        <v>9.7899999999999991</v>
      </c>
      <c r="I188">
        <v>0.19</v>
      </c>
      <c r="J188">
        <v>0</v>
      </c>
      <c r="K188">
        <v>10.08</v>
      </c>
      <c r="L188" t="s">
        <v>61</v>
      </c>
      <c r="M188">
        <v>562</v>
      </c>
      <c r="N188">
        <v>55.74</v>
      </c>
      <c r="O188" t="s">
        <v>62</v>
      </c>
      <c r="P188" t="s">
        <v>63</v>
      </c>
      <c r="Q188">
        <v>147</v>
      </c>
      <c r="R188">
        <v>1478.21</v>
      </c>
    </row>
    <row r="189" spans="1:18" x14ac:dyDescent="0.35">
      <c r="A189" t="s">
        <v>56</v>
      </c>
      <c r="B189" t="s">
        <v>57</v>
      </c>
      <c r="C189" t="s">
        <v>70</v>
      </c>
      <c r="D189">
        <v>107843876</v>
      </c>
      <c r="E189" t="s">
        <v>602</v>
      </c>
      <c r="F189" t="s">
        <v>72</v>
      </c>
      <c r="G189">
        <v>0.1</v>
      </c>
      <c r="H189">
        <v>9.7899999999999991</v>
      </c>
      <c r="I189">
        <v>0.19</v>
      </c>
      <c r="J189">
        <v>0</v>
      </c>
      <c r="K189">
        <v>10.08</v>
      </c>
      <c r="L189" t="s">
        <v>61</v>
      </c>
      <c r="M189">
        <v>562</v>
      </c>
      <c r="N189">
        <v>55.74</v>
      </c>
      <c r="O189" t="s">
        <v>62</v>
      </c>
      <c r="P189" t="s">
        <v>64</v>
      </c>
      <c r="Q189">
        <v>2188</v>
      </c>
      <c r="R189">
        <v>223.41</v>
      </c>
    </row>
    <row r="190" spans="1:18" x14ac:dyDescent="0.35">
      <c r="A190" t="s">
        <v>56</v>
      </c>
      <c r="B190" t="s">
        <v>57</v>
      </c>
      <c r="C190" t="s">
        <v>70</v>
      </c>
      <c r="D190">
        <v>107843876</v>
      </c>
      <c r="E190" t="s">
        <v>602</v>
      </c>
      <c r="F190" t="s">
        <v>72</v>
      </c>
      <c r="G190">
        <v>0.1</v>
      </c>
      <c r="H190">
        <v>9.7899999999999991</v>
      </c>
      <c r="I190">
        <v>0.19</v>
      </c>
      <c r="J190">
        <v>0</v>
      </c>
      <c r="K190">
        <v>10.08</v>
      </c>
      <c r="L190" t="s">
        <v>61</v>
      </c>
      <c r="M190">
        <v>562</v>
      </c>
      <c r="N190">
        <v>55.74</v>
      </c>
      <c r="O190" t="s">
        <v>62</v>
      </c>
      <c r="P190" t="s">
        <v>65</v>
      </c>
      <c r="Q190">
        <v>50</v>
      </c>
      <c r="R190">
        <v>263.54000000000002</v>
      </c>
    </row>
    <row r="191" spans="1:18" x14ac:dyDescent="0.35">
      <c r="A191" t="s">
        <v>56</v>
      </c>
      <c r="B191" t="s">
        <v>57</v>
      </c>
      <c r="C191" t="s">
        <v>70</v>
      </c>
      <c r="D191">
        <v>107843876</v>
      </c>
      <c r="E191" t="s">
        <v>602</v>
      </c>
      <c r="F191" t="s">
        <v>72</v>
      </c>
      <c r="G191">
        <v>0.1</v>
      </c>
      <c r="H191">
        <v>9.7899999999999991</v>
      </c>
      <c r="I191">
        <v>0.19</v>
      </c>
      <c r="J191">
        <v>0</v>
      </c>
      <c r="K191">
        <v>10.08</v>
      </c>
      <c r="L191" t="s">
        <v>61</v>
      </c>
      <c r="M191">
        <v>562</v>
      </c>
      <c r="N191">
        <v>55.74</v>
      </c>
      <c r="O191" t="s">
        <v>62</v>
      </c>
      <c r="P191" t="s">
        <v>66</v>
      </c>
      <c r="Q191">
        <v>0</v>
      </c>
      <c r="R191">
        <v>0</v>
      </c>
    </row>
    <row r="192" spans="1:18" x14ac:dyDescent="0.35">
      <c r="A192" t="s">
        <v>56</v>
      </c>
      <c r="B192" t="s">
        <v>57</v>
      </c>
      <c r="C192" t="s">
        <v>70</v>
      </c>
      <c r="D192">
        <v>107843876</v>
      </c>
      <c r="E192" t="s">
        <v>602</v>
      </c>
      <c r="F192" t="s">
        <v>72</v>
      </c>
      <c r="G192">
        <v>0.1</v>
      </c>
      <c r="H192">
        <v>9.7899999999999991</v>
      </c>
      <c r="I192">
        <v>0.19</v>
      </c>
      <c r="J192">
        <v>0</v>
      </c>
      <c r="K192">
        <v>10.08</v>
      </c>
      <c r="L192" t="s">
        <v>61</v>
      </c>
      <c r="M192">
        <v>562</v>
      </c>
      <c r="N192">
        <v>55.74</v>
      </c>
      <c r="O192" t="s">
        <v>62</v>
      </c>
      <c r="P192" t="s">
        <v>67</v>
      </c>
      <c r="Q192">
        <v>2385</v>
      </c>
      <c r="R192">
        <v>236.53</v>
      </c>
    </row>
    <row r="193" spans="1:18" x14ac:dyDescent="0.35">
      <c r="A193" t="s">
        <v>56</v>
      </c>
      <c r="B193" t="s">
        <v>57</v>
      </c>
      <c r="C193" t="s">
        <v>70</v>
      </c>
      <c r="D193">
        <v>107843876</v>
      </c>
      <c r="E193" t="s">
        <v>602</v>
      </c>
      <c r="F193" t="s">
        <v>72</v>
      </c>
      <c r="G193">
        <v>0.1</v>
      </c>
      <c r="H193">
        <v>9.7899999999999991</v>
      </c>
      <c r="I193">
        <v>0.19</v>
      </c>
      <c r="J193">
        <v>0</v>
      </c>
      <c r="K193">
        <v>10.08</v>
      </c>
      <c r="L193" t="s">
        <v>61</v>
      </c>
      <c r="M193">
        <v>562</v>
      </c>
      <c r="N193">
        <v>55.74</v>
      </c>
      <c r="O193" t="s">
        <v>68</v>
      </c>
      <c r="P193" t="s">
        <v>67</v>
      </c>
      <c r="Q193">
        <v>563</v>
      </c>
      <c r="R193">
        <v>55.83</v>
      </c>
    </row>
    <row r="194" spans="1:18" x14ac:dyDescent="0.35">
      <c r="A194" t="s">
        <v>56</v>
      </c>
      <c r="B194" t="s">
        <v>57</v>
      </c>
      <c r="C194" t="s">
        <v>70</v>
      </c>
      <c r="D194">
        <v>107843891</v>
      </c>
      <c r="E194" t="s">
        <v>603</v>
      </c>
      <c r="F194" t="s">
        <v>72</v>
      </c>
      <c r="G194">
        <v>0.12</v>
      </c>
      <c r="H194">
        <v>9.86</v>
      </c>
      <c r="I194">
        <v>0.12</v>
      </c>
      <c r="J194">
        <v>0</v>
      </c>
      <c r="K194">
        <v>10.1</v>
      </c>
      <c r="L194" t="s">
        <v>61</v>
      </c>
      <c r="M194">
        <v>405</v>
      </c>
      <c r="N194">
        <v>40.1</v>
      </c>
      <c r="O194" t="s">
        <v>62</v>
      </c>
      <c r="P194" t="s">
        <v>63</v>
      </c>
      <c r="Q194">
        <v>164</v>
      </c>
      <c r="R194">
        <v>1354.13</v>
      </c>
    </row>
    <row r="195" spans="1:18" x14ac:dyDescent="0.35">
      <c r="A195" t="s">
        <v>56</v>
      </c>
      <c r="B195" t="s">
        <v>57</v>
      </c>
      <c r="C195" t="s">
        <v>70</v>
      </c>
      <c r="D195">
        <v>107843891</v>
      </c>
      <c r="E195" t="s">
        <v>603</v>
      </c>
      <c r="F195" t="s">
        <v>72</v>
      </c>
      <c r="G195">
        <v>0.12</v>
      </c>
      <c r="H195">
        <v>9.86</v>
      </c>
      <c r="I195">
        <v>0.12</v>
      </c>
      <c r="J195">
        <v>0</v>
      </c>
      <c r="K195">
        <v>10.1</v>
      </c>
      <c r="L195" t="s">
        <v>61</v>
      </c>
      <c r="M195">
        <v>405</v>
      </c>
      <c r="N195">
        <v>40.1</v>
      </c>
      <c r="O195" t="s">
        <v>62</v>
      </c>
      <c r="P195" t="s">
        <v>64</v>
      </c>
      <c r="Q195">
        <v>2023</v>
      </c>
      <c r="R195">
        <v>205.11</v>
      </c>
    </row>
    <row r="196" spans="1:18" x14ac:dyDescent="0.35">
      <c r="A196" t="s">
        <v>56</v>
      </c>
      <c r="B196" t="s">
        <v>57</v>
      </c>
      <c r="C196" t="s">
        <v>70</v>
      </c>
      <c r="D196">
        <v>107843891</v>
      </c>
      <c r="E196" t="s">
        <v>603</v>
      </c>
      <c r="F196" t="s">
        <v>72</v>
      </c>
      <c r="G196">
        <v>0.12</v>
      </c>
      <c r="H196">
        <v>9.86</v>
      </c>
      <c r="I196">
        <v>0.12</v>
      </c>
      <c r="J196">
        <v>0</v>
      </c>
      <c r="K196">
        <v>10.1</v>
      </c>
      <c r="L196" t="s">
        <v>61</v>
      </c>
      <c r="M196">
        <v>405</v>
      </c>
      <c r="N196">
        <v>40.1</v>
      </c>
      <c r="O196" t="s">
        <v>62</v>
      </c>
      <c r="P196" t="s">
        <v>65</v>
      </c>
      <c r="Q196">
        <v>28</v>
      </c>
      <c r="R196">
        <v>242.31</v>
      </c>
    </row>
    <row r="197" spans="1:18" x14ac:dyDescent="0.35">
      <c r="A197" t="s">
        <v>56</v>
      </c>
      <c r="B197" t="s">
        <v>57</v>
      </c>
      <c r="C197" t="s">
        <v>70</v>
      </c>
      <c r="D197">
        <v>107843891</v>
      </c>
      <c r="E197" t="s">
        <v>603</v>
      </c>
      <c r="F197" t="s">
        <v>72</v>
      </c>
      <c r="G197">
        <v>0.12</v>
      </c>
      <c r="H197">
        <v>9.86</v>
      </c>
      <c r="I197">
        <v>0.12</v>
      </c>
      <c r="J197">
        <v>0</v>
      </c>
      <c r="K197">
        <v>10.1</v>
      </c>
      <c r="L197" t="s">
        <v>61</v>
      </c>
      <c r="M197">
        <v>405</v>
      </c>
      <c r="N197">
        <v>40.1</v>
      </c>
      <c r="O197" t="s">
        <v>62</v>
      </c>
      <c r="P197" t="s">
        <v>66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70</v>
      </c>
      <c r="D198">
        <v>107843891</v>
      </c>
      <c r="E198" t="s">
        <v>603</v>
      </c>
      <c r="F198" t="s">
        <v>72</v>
      </c>
      <c r="G198">
        <v>0.12</v>
      </c>
      <c r="H198">
        <v>9.86</v>
      </c>
      <c r="I198">
        <v>0.12</v>
      </c>
      <c r="J198">
        <v>0</v>
      </c>
      <c r="K198">
        <v>10.1</v>
      </c>
      <c r="L198" t="s">
        <v>61</v>
      </c>
      <c r="M198">
        <v>405</v>
      </c>
      <c r="N198">
        <v>40.1</v>
      </c>
      <c r="O198" t="s">
        <v>62</v>
      </c>
      <c r="P198" t="s">
        <v>67</v>
      </c>
      <c r="Q198">
        <v>2215</v>
      </c>
      <c r="R198">
        <v>219.31</v>
      </c>
    </row>
    <row r="199" spans="1:18" x14ac:dyDescent="0.35">
      <c r="A199" t="s">
        <v>56</v>
      </c>
      <c r="B199" t="s">
        <v>57</v>
      </c>
      <c r="C199" t="s">
        <v>70</v>
      </c>
      <c r="D199">
        <v>107843891</v>
      </c>
      <c r="E199" t="s">
        <v>603</v>
      </c>
      <c r="F199" t="s">
        <v>72</v>
      </c>
      <c r="G199">
        <v>0.12</v>
      </c>
      <c r="H199">
        <v>9.86</v>
      </c>
      <c r="I199">
        <v>0.12</v>
      </c>
      <c r="J199">
        <v>0</v>
      </c>
      <c r="K199">
        <v>10.1</v>
      </c>
      <c r="L199" t="s">
        <v>61</v>
      </c>
      <c r="M199">
        <v>405</v>
      </c>
      <c r="N199">
        <v>40.1</v>
      </c>
      <c r="O199" t="s">
        <v>68</v>
      </c>
      <c r="P199" t="s">
        <v>67</v>
      </c>
      <c r="Q199">
        <v>405</v>
      </c>
      <c r="R199">
        <v>40.1</v>
      </c>
    </row>
    <row r="200" spans="1:18" x14ac:dyDescent="0.35">
      <c r="A200" t="s">
        <v>56</v>
      </c>
      <c r="B200" t="s">
        <v>57</v>
      </c>
      <c r="C200" t="s">
        <v>70</v>
      </c>
      <c r="D200">
        <v>107844157</v>
      </c>
      <c r="E200" t="s">
        <v>604</v>
      </c>
      <c r="F200" t="s">
        <v>72</v>
      </c>
      <c r="G200">
        <v>0.03</v>
      </c>
      <c r="H200">
        <v>9.86</v>
      </c>
      <c r="I200">
        <v>0.16</v>
      </c>
      <c r="J200">
        <v>0</v>
      </c>
      <c r="K200">
        <v>10.050000000000001</v>
      </c>
      <c r="L200" t="s">
        <v>61</v>
      </c>
      <c r="M200">
        <v>380</v>
      </c>
      <c r="N200">
        <v>37.81</v>
      </c>
      <c r="O200" t="s">
        <v>62</v>
      </c>
      <c r="P200" t="s">
        <v>63</v>
      </c>
      <c r="Q200">
        <v>36</v>
      </c>
      <c r="R200">
        <v>1393.55</v>
      </c>
    </row>
    <row r="201" spans="1:18" x14ac:dyDescent="0.35">
      <c r="A201" t="s">
        <v>56</v>
      </c>
      <c r="B201" t="s">
        <v>57</v>
      </c>
      <c r="C201" t="s">
        <v>70</v>
      </c>
      <c r="D201">
        <v>107844157</v>
      </c>
      <c r="E201" t="s">
        <v>604</v>
      </c>
      <c r="F201" t="s">
        <v>72</v>
      </c>
      <c r="G201">
        <v>0.03</v>
      </c>
      <c r="H201">
        <v>9.86</v>
      </c>
      <c r="I201">
        <v>0.16</v>
      </c>
      <c r="J201">
        <v>0</v>
      </c>
      <c r="K201">
        <v>10.050000000000001</v>
      </c>
      <c r="L201" t="s">
        <v>61</v>
      </c>
      <c r="M201">
        <v>380</v>
      </c>
      <c r="N201">
        <v>37.81</v>
      </c>
      <c r="O201" t="s">
        <v>62</v>
      </c>
      <c r="P201" t="s">
        <v>64</v>
      </c>
      <c r="Q201">
        <v>2062</v>
      </c>
      <c r="R201">
        <v>209.1</v>
      </c>
    </row>
    <row r="202" spans="1:18" x14ac:dyDescent="0.35">
      <c r="A202" t="s">
        <v>56</v>
      </c>
      <c r="B202" t="s">
        <v>57</v>
      </c>
      <c r="C202" t="s">
        <v>70</v>
      </c>
      <c r="D202">
        <v>107844157</v>
      </c>
      <c r="E202" t="s">
        <v>604</v>
      </c>
      <c r="F202" t="s">
        <v>72</v>
      </c>
      <c r="G202">
        <v>0.03</v>
      </c>
      <c r="H202">
        <v>9.86</v>
      </c>
      <c r="I202">
        <v>0.16</v>
      </c>
      <c r="J202">
        <v>0</v>
      </c>
      <c r="K202">
        <v>10.050000000000001</v>
      </c>
      <c r="L202" t="s">
        <v>61</v>
      </c>
      <c r="M202">
        <v>380</v>
      </c>
      <c r="N202">
        <v>37.81</v>
      </c>
      <c r="O202" t="s">
        <v>62</v>
      </c>
      <c r="P202" t="s">
        <v>65</v>
      </c>
      <c r="Q202">
        <v>40</v>
      </c>
      <c r="R202">
        <v>246.58</v>
      </c>
    </row>
    <row r="203" spans="1:18" x14ac:dyDescent="0.35">
      <c r="A203" t="s">
        <v>56</v>
      </c>
      <c r="B203" t="s">
        <v>57</v>
      </c>
      <c r="C203" t="s">
        <v>70</v>
      </c>
      <c r="D203">
        <v>107844157</v>
      </c>
      <c r="E203" t="s">
        <v>604</v>
      </c>
      <c r="F203" t="s">
        <v>72</v>
      </c>
      <c r="G203">
        <v>0.03</v>
      </c>
      <c r="H203">
        <v>9.86</v>
      </c>
      <c r="I203">
        <v>0.16</v>
      </c>
      <c r="J203">
        <v>0</v>
      </c>
      <c r="K203">
        <v>10.050000000000001</v>
      </c>
      <c r="L203" t="s">
        <v>61</v>
      </c>
      <c r="M203">
        <v>380</v>
      </c>
      <c r="N203">
        <v>37.81</v>
      </c>
      <c r="O203" t="s">
        <v>62</v>
      </c>
      <c r="P203" t="s">
        <v>66</v>
      </c>
      <c r="Q203">
        <v>0</v>
      </c>
      <c r="R203">
        <v>0</v>
      </c>
    </row>
    <row r="204" spans="1:18" x14ac:dyDescent="0.35">
      <c r="A204" t="s">
        <v>56</v>
      </c>
      <c r="B204" t="s">
        <v>57</v>
      </c>
      <c r="C204" t="s">
        <v>70</v>
      </c>
      <c r="D204">
        <v>107844157</v>
      </c>
      <c r="E204" t="s">
        <v>604</v>
      </c>
      <c r="F204" t="s">
        <v>72</v>
      </c>
      <c r="G204">
        <v>0.03</v>
      </c>
      <c r="H204">
        <v>9.86</v>
      </c>
      <c r="I204">
        <v>0.16</v>
      </c>
      <c r="J204">
        <v>0</v>
      </c>
      <c r="K204">
        <v>10.050000000000001</v>
      </c>
      <c r="L204" t="s">
        <v>61</v>
      </c>
      <c r="M204">
        <v>380</v>
      </c>
      <c r="N204">
        <v>37.81</v>
      </c>
      <c r="O204" t="s">
        <v>62</v>
      </c>
      <c r="P204" t="s">
        <v>67</v>
      </c>
      <c r="Q204">
        <v>2138</v>
      </c>
      <c r="R204">
        <v>212.74</v>
      </c>
    </row>
    <row r="205" spans="1:18" x14ac:dyDescent="0.35">
      <c r="A205" t="s">
        <v>56</v>
      </c>
      <c r="B205" t="s">
        <v>57</v>
      </c>
      <c r="C205" t="s">
        <v>70</v>
      </c>
      <c r="D205">
        <v>107844157</v>
      </c>
      <c r="E205" t="s">
        <v>604</v>
      </c>
      <c r="F205" t="s">
        <v>72</v>
      </c>
      <c r="G205">
        <v>0.03</v>
      </c>
      <c r="H205">
        <v>9.86</v>
      </c>
      <c r="I205">
        <v>0.16</v>
      </c>
      <c r="J205">
        <v>0</v>
      </c>
      <c r="K205">
        <v>10.050000000000001</v>
      </c>
      <c r="L205" t="s">
        <v>61</v>
      </c>
      <c r="M205">
        <v>380</v>
      </c>
      <c r="N205">
        <v>37.81</v>
      </c>
      <c r="O205" t="s">
        <v>68</v>
      </c>
      <c r="P205" t="s">
        <v>67</v>
      </c>
      <c r="Q205">
        <v>380</v>
      </c>
      <c r="R205">
        <v>37.81</v>
      </c>
    </row>
    <row r="206" spans="1:18" x14ac:dyDescent="0.35">
      <c r="A206" t="s">
        <v>56</v>
      </c>
      <c r="B206" t="s">
        <v>57</v>
      </c>
      <c r="C206" t="s">
        <v>70</v>
      </c>
      <c r="D206">
        <v>107844158</v>
      </c>
      <c r="E206" t="s">
        <v>605</v>
      </c>
      <c r="F206" t="s">
        <v>72</v>
      </c>
      <c r="G206">
        <v>0.38</v>
      </c>
      <c r="H206">
        <v>9.65</v>
      </c>
      <c r="I206">
        <v>0.08</v>
      </c>
      <c r="J206">
        <v>0</v>
      </c>
      <c r="K206">
        <v>10.1</v>
      </c>
      <c r="L206" t="s">
        <v>61</v>
      </c>
      <c r="M206">
        <v>502</v>
      </c>
      <c r="N206">
        <v>49.7</v>
      </c>
      <c r="O206" t="s">
        <v>62</v>
      </c>
      <c r="P206" t="s">
        <v>63</v>
      </c>
      <c r="Q206">
        <v>566</v>
      </c>
      <c r="R206">
        <v>1505.99</v>
      </c>
    </row>
    <row r="207" spans="1:18" x14ac:dyDescent="0.35">
      <c r="A207" t="s">
        <v>56</v>
      </c>
      <c r="B207" t="s">
        <v>57</v>
      </c>
      <c r="C207" t="s">
        <v>70</v>
      </c>
      <c r="D207">
        <v>107844158</v>
      </c>
      <c r="E207" t="s">
        <v>605</v>
      </c>
      <c r="F207" t="s">
        <v>72</v>
      </c>
      <c r="G207">
        <v>0.38</v>
      </c>
      <c r="H207">
        <v>9.65</v>
      </c>
      <c r="I207">
        <v>0.08</v>
      </c>
      <c r="J207">
        <v>0</v>
      </c>
      <c r="K207">
        <v>10.1</v>
      </c>
      <c r="L207" t="s">
        <v>61</v>
      </c>
      <c r="M207">
        <v>502</v>
      </c>
      <c r="N207">
        <v>49.7</v>
      </c>
      <c r="O207" t="s">
        <v>62</v>
      </c>
      <c r="P207" t="s">
        <v>64</v>
      </c>
      <c r="Q207">
        <v>2201</v>
      </c>
      <c r="R207">
        <v>228.18</v>
      </c>
    </row>
    <row r="208" spans="1:18" x14ac:dyDescent="0.35">
      <c r="A208" t="s">
        <v>56</v>
      </c>
      <c r="B208" t="s">
        <v>57</v>
      </c>
      <c r="C208" t="s">
        <v>70</v>
      </c>
      <c r="D208">
        <v>107844158</v>
      </c>
      <c r="E208" t="s">
        <v>605</v>
      </c>
      <c r="F208" t="s">
        <v>72</v>
      </c>
      <c r="G208">
        <v>0.38</v>
      </c>
      <c r="H208">
        <v>9.65</v>
      </c>
      <c r="I208">
        <v>0.08</v>
      </c>
      <c r="J208">
        <v>0</v>
      </c>
      <c r="K208">
        <v>10.1</v>
      </c>
      <c r="L208" t="s">
        <v>61</v>
      </c>
      <c r="M208">
        <v>502</v>
      </c>
      <c r="N208">
        <v>49.7</v>
      </c>
      <c r="O208" t="s">
        <v>62</v>
      </c>
      <c r="P208" t="s">
        <v>65</v>
      </c>
      <c r="Q208">
        <v>21</v>
      </c>
      <c r="R208">
        <v>269.04000000000002</v>
      </c>
    </row>
    <row r="209" spans="1:18" x14ac:dyDescent="0.35">
      <c r="A209" t="s">
        <v>56</v>
      </c>
      <c r="B209" t="s">
        <v>57</v>
      </c>
      <c r="C209" t="s">
        <v>70</v>
      </c>
      <c r="D209">
        <v>107844158</v>
      </c>
      <c r="E209" t="s">
        <v>605</v>
      </c>
      <c r="F209" t="s">
        <v>72</v>
      </c>
      <c r="G209">
        <v>0.38</v>
      </c>
      <c r="H209">
        <v>9.65</v>
      </c>
      <c r="I209">
        <v>0.08</v>
      </c>
      <c r="J209">
        <v>0</v>
      </c>
      <c r="K209">
        <v>10.1</v>
      </c>
      <c r="L209" t="s">
        <v>61</v>
      </c>
      <c r="M209">
        <v>502</v>
      </c>
      <c r="N209">
        <v>49.7</v>
      </c>
      <c r="O209" t="s">
        <v>62</v>
      </c>
      <c r="P209" t="s">
        <v>66</v>
      </c>
      <c r="Q209">
        <v>0</v>
      </c>
      <c r="R209">
        <v>0</v>
      </c>
    </row>
    <row r="210" spans="1:18" x14ac:dyDescent="0.35">
      <c r="A210" t="s">
        <v>56</v>
      </c>
      <c r="B210" t="s">
        <v>57</v>
      </c>
      <c r="C210" t="s">
        <v>70</v>
      </c>
      <c r="D210">
        <v>107844158</v>
      </c>
      <c r="E210" t="s">
        <v>605</v>
      </c>
      <c r="F210" t="s">
        <v>72</v>
      </c>
      <c r="G210">
        <v>0.38</v>
      </c>
      <c r="H210">
        <v>9.65</v>
      </c>
      <c r="I210">
        <v>0.08</v>
      </c>
      <c r="J210">
        <v>0</v>
      </c>
      <c r="K210">
        <v>10.1</v>
      </c>
      <c r="L210" t="s">
        <v>61</v>
      </c>
      <c r="M210">
        <v>502</v>
      </c>
      <c r="N210">
        <v>49.7</v>
      </c>
      <c r="O210" t="s">
        <v>62</v>
      </c>
      <c r="P210" t="s">
        <v>67</v>
      </c>
      <c r="Q210">
        <v>2788</v>
      </c>
      <c r="R210">
        <v>276.04000000000002</v>
      </c>
    </row>
    <row r="211" spans="1:18" x14ac:dyDescent="0.35">
      <c r="A211" t="s">
        <v>56</v>
      </c>
      <c r="B211" t="s">
        <v>57</v>
      </c>
      <c r="C211" t="s">
        <v>70</v>
      </c>
      <c r="D211">
        <v>107844158</v>
      </c>
      <c r="E211" t="s">
        <v>605</v>
      </c>
      <c r="F211" t="s">
        <v>72</v>
      </c>
      <c r="G211">
        <v>0.38</v>
      </c>
      <c r="H211">
        <v>9.65</v>
      </c>
      <c r="I211">
        <v>0.08</v>
      </c>
      <c r="J211">
        <v>0</v>
      </c>
      <c r="K211">
        <v>10.1</v>
      </c>
      <c r="L211" t="s">
        <v>61</v>
      </c>
      <c r="M211">
        <v>502</v>
      </c>
      <c r="N211">
        <v>49.7</v>
      </c>
      <c r="O211" t="s">
        <v>68</v>
      </c>
      <c r="P211" t="s">
        <v>67</v>
      </c>
      <c r="Q211">
        <v>502</v>
      </c>
      <c r="R211">
        <v>49.7</v>
      </c>
    </row>
    <row r="212" spans="1:18" x14ac:dyDescent="0.35">
      <c r="A212" t="s">
        <v>37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R289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58</v>
      </c>
      <c r="D2">
        <v>100633196</v>
      </c>
      <c r="E2" t="s">
        <v>59</v>
      </c>
      <c r="F2" t="s">
        <v>60</v>
      </c>
      <c r="G2">
        <v>0.17</v>
      </c>
      <c r="H2">
        <v>9.91</v>
      </c>
      <c r="I2">
        <v>0</v>
      </c>
      <c r="J2">
        <v>0</v>
      </c>
      <c r="K2">
        <v>10.08</v>
      </c>
      <c r="L2" t="s">
        <v>61</v>
      </c>
      <c r="M2">
        <v>348</v>
      </c>
      <c r="N2">
        <v>34.51</v>
      </c>
      <c r="O2" t="s">
        <v>62</v>
      </c>
      <c r="P2" t="s">
        <v>63</v>
      </c>
      <c r="Q2">
        <v>209</v>
      </c>
      <c r="R2">
        <v>1231.42</v>
      </c>
    </row>
    <row r="3" spans="1:18" x14ac:dyDescent="0.35">
      <c r="A3" t="s">
        <v>56</v>
      </c>
      <c r="B3" t="s">
        <v>57</v>
      </c>
      <c r="C3" t="s">
        <v>58</v>
      </c>
      <c r="D3">
        <v>100633196</v>
      </c>
      <c r="E3" t="s">
        <v>59</v>
      </c>
      <c r="F3" t="s">
        <v>60</v>
      </c>
      <c r="G3">
        <v>0.17</v>
      </c>
      <c r="H3">
        <v>9.91</v>
      </c>
      <c r="I3">
        <v>0</v>
      </c>
      <c r="J3">
        <v>0</v>
      </c>
      <c r="K3">
        <v>10.08</v>
      </c>
      <c r="L3" t="s">
        <v>61</v>
      </c>
      <c r="M3">
        <v>348</v>
      </c>
      <c r="N3">
        <v>34.51</v>
      </c>
      <c r="O3" t="s">
        <v>62</v>
      </c>
      <c r="P3" t="s">
        <v>64</v>
      </c>
      <c r="Q3">
        <v>1788</v>
      </c>
      <c r="R3">
        <v>180.36</v>
      </c>
    </row>
    <row r="4" spans="1:18" x14ac:dyDescent="0.35">
      <c r="A4" t="s">
        <v>56</v>
      </c>
      <c r="B4" t="s">
        <v>57</v>
      </c>
      <c r="C4" t="s">
        <v>58</v>
      </c>
      <c r="D4">
        <v>100633196</v>
      </c>
      <c r="E4" t="s">
        <v>59</v>
      </c>
      <c r="F4" t="s">
        <v>60</v>
      </c>
      <c r="G4">
        <v>0.17</v>
      </c>
      <c r="H4">
        <v>9.91</v>
      </c>
      <c r="I4">
        <v>0</v>
      </c>
      <c r="J4">
        <v>0</v>
      </c>
      <c r="K4">
        <v>10.08</v>
      </c>
      <c r="L4" t="s">
        <v>61</v>
      </c>
      <c r="M4">
        <v>348</v>
      </c>
      <c r="N4">
        <v>34.51</v>
      </c>
      <c r="O4" t="s">
        <v>62</v>
      </c>
      <c r="P4" t="s">
        <v>65</v>
      </c>
      <c r="Q4">
        <v>0</v>
      </c>
      <c r="R4">
        <v>0</v>
      </c>
    </row>
    <row r="5" spans="1:18" x14ac:dyDescent="0.35">
      <c r="A5" t="s">
        <v>56</v>
      </c>
      <c r="B5" t="s">
        <v>57</v>
      </c>
      <c r="C5" t="s">
        <v>58</v>
      </c>
      <c r="D5">
        <v>100633196</v>
      </c>
      <c r="E5" t="s">
        <v>59</v>
      </c>
      <c r="F5" t="s">
        <v>60</v>
      </c>
      <c r="G5">
        <v>0.17</v>
      </c>
      <c r="H5">
        <v>9.91</v>
      </c>
      <c r="I5">
        <v>0</v>
      </c>
      <c r="J5">
        <v>0</v>
      </c>
      <c r="K5">
        <v>10.08</v>
      </c>
      <c r="L5" t="s">
        <v>61</v>
      </c>
      <c r="M5">
        <v>348</v>
      </c>
      <c r="N5">
        <v>34.51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58</v>
      </c>
      <c r="D6">
        <v>100633196</v>
      </c>
      <c r="E6" t="s">
        <v>59</v>
      </c>
      <c r="F6" t="s">
        <v>60</v>
      </c>
      <c r="G6">
        <v>0.17</v>
      </c>
      <c r="H6">
        <v>9.91</v>
      </c>
      <c r="I6">
        <v>0</v>
      </c>
      <c r="J6">
        <v>0</v>
      </c>
      <c r="K6">
        <v>10.08</v>
      </c>
      <c r="L6" t="s">
        <v>61</v>
      </c>
      <c r="M6">
        <v>348</v>
      </c>
      <c r="N6">
        <v>34.51</v>
      </c>
      <c r="O6" t="s">
        <v>62</v>
      </c>
      <c r="P6" t="s">
        <v>67</v>
      </c>
      <c r="Q6">
        <v>1997</v>
      </c>
      <c r="R6">
        <v>198.05</v>
      </c>
    </row>
    <row r="7" spans="1:18" x14ac:dyDescent="0.35">
      <c r="A7" t="s">
        <v>56</v>
      </c>
      <c r="B7" t="s">
        <v>57</v>
      </c>
      <c r="C7" t="s">
        <v>58</v>
      </c>
      <c r="D7">
        <v>100633196</v>
      </c>
      <c r="E7" t="s">
        <v>59</v>
      </c>
      <c r="F7" t="s">
        <v>60</v>
      </c>
      <c r="G7">
        <v>0.17</v>
      </c>
      <c r="H7">
        <v>9.91</v>
      </c>
      <c r="I7">
        <v>0</v>
      </c>
      <c r="J7">
        <v>0</v>
      </c>
      <c r="K7">
        <v>10.08</v>
      </c>
      <c r="L7" t="s">
        <v>61</v>
      </c>
      <c r="M7">
        <v>348</v>
      </c>
      <c r="N7">
        <v>34.51</v>
      </c>
      <c r="O7" t="s">
        <v>68</v>
      </c>
      <c r="P7" t="s">
        <v>67</v>
      </c>
      <c r="Q7">
        <v>348</v>
      </c>
      <c r="R7">
        <v>34.51</v>
      </c>
    </row>
    <row r="8" spans="1:18" x14ac:dyDescent="0.35">
      <c r="A8" t="s">
        <v>56</v>
      </c>
      <c r="B8" t="s">
        <v>57</v>
      </c>
      <c r="C8" t="s">
        <v>58</v>
      </c>
      <c r="D8">
        <v>100633196</v>
      </c>
      <c r="E8" t="s">
        <v>59</v>
      </c>
      <c r="F8" t="s">
        <v>60</v>
      </c>
      <c r="G8">
        <v>0.17</v>
      </c>
      <c r="H8">
        <v>9.91</v>
      </c>
      <c r="I8">
        <v>0</v>
      </c>
      <c r="J8">
        <v>0</v>
      </c>
      <c r="K8">
        <v>10.08</v>
      </c>
      <c r="L8" t="s">
        <v>61</v>
      </c>
      <c r="M8">
        <v>348</v>
      </c>
      <c r="N8">
        <v>34.51</v>
      </c>
      <c r="O8" t="s">
        <v>69</v>
      </c>
      <c r="P8" t="s">
        <v>67</v>
      </c>
      <c r="Q8">
        <v>0</v>
      </c>
      <c r="R8">
        <v>0</v>
      </c>
    </row>
    <row r="9" spans="1:18" x14ac:dyDescent="0.35">
      <c r="A9" t="s">
        <v>56</v>
      </c>
      <c r="B9" t="s">
        <v>57</v>
      </c>
      <c r="C9" t="s">
        <v>70</v>
      </c>
      <c r="D9">
        <v>100753604</v>
      </c>
      <c r="E9" t="s">
        <v>71</v>
      </c>
      <c r="F9" t="s">
        <v>72</v>
      </c>
      <c r="G9">
        <v>0.12</v>
      </c>
      <c r="H9">
        <v>9.5500000000000007</v>
      </c>
      <c r="I9">
        <v>0.45</v>
      </c>
      <c r="J9">
        <v>0</v>
      </c>
      <c r="K9">
        <v>10.119999999999999</v>
      </c>
      <c r="L9" t="s">
        <v>61</v>
      </c>
      <c r="M9">
        <v>430</v>
      </c>
      <c r="N9">
        <v>42.5</v>
      </c>
      <c r="O9" t="s">
        <v>62</v>
      </c>
      <c r="P9" t="s">
        <v>63</v>
      </c>
      <c r="Q9">
        <v>130</v>
      </c>
      <c r="R9">
        <v>1068.49</v>
      </c>
    </row>
    <row r="10" spans="1:18" x14ac:dyDescent="0.35">
      <c r="A10" t="s">
        <v>56</v>
      </c>
      <c r="B10" t="s">
        <v>57</v>
      </c>
      <c r="C10" t="s">
        <v>70</v>
      </c>
      <c r="D10">
        <v>100753604</v>
      </c>
      <c r="E10" t="s">
        <v>71</v>
      </c>
      <c r="F10" t="s">
        <v>72</v>
      </c>
      <c r="G10">
        <v>0.12</v>
      </c>
      <c r="H10">
        <v>9.5500000000000007</v>
      </c>
      <c r="I10">
        <v>0.45</v>
      </c>
      <c r="J10">
        <v>0</v>
      </c>
      <c r="K10">
        <v>10.119999999999999</v>
      </c>
      <c r="L10" t="s">
        <v>61</v>
      </c>
      <c r="M10">
        <v>430</v>
      </c>
      <c r="N10">
        <v>42.5</v>
      </c>
      <c r="O10" t="s">
        <v>62</v>
      </c>
      <c r="P10" t="s">
        <v>64</v>
      </c>
      <c r="Q10">
        <v>1493</v>
      </c>
      <c r="R10">
        <v>156.38</v>
      </c>
    </row>
    <row r="11" spans="1:18" x14ac:dyDescent="0.35">
      <c r="A11" t="s">
        <v>56</v>
      </c>
      <c r="B11" t="s">
        <v>57</v>
      </c>
      <c r="C11" t="s">
        <v>70</v>
      </c>
      <c r="D11">
        <v>100753604</v>
      </c>
      <c r="E11" t="s">
        <v>71</v>
      </c>
      <c r="F11" t="s">
        <v>72</v>
      </c>
      <c r="G11">
        <v>0.12</v>
      </c>
      <c r="H11">
        <v>9.5500000000000007</v>
      </c>
      <c r="I11">
        <v>0.45</v>
      </c>
      <c r="J11">
        <v>0</v>
      </c>
      <c r="K11">
        <v>10.119999999999999</v>
      </c>
      <c r="L11" t="s">
        <v>61</v>
      </c>
      <c r="M11">
        <v>430</v>
      </c>
      <c r="N11">
        <v>42.5</v>
      </c>
      <c r="O11" t="s">
        <v>62</v>
      </c>
      <c r="P11" t="s">
        <v>65</v>
      </c>
      <c r="Q11">
        <v>90</v>
      </c>
      <c r="R11">
        <v>201.24</v>
      </c>
    </row>
    <row r="12" spans="1:18" x14ac:dyDescent="0.35">
      <c r="A12" t="s">
        <v>56</v>
      </c>
      <c r="B12" t="s">
        <v>57</v>
      </c>
      <c r="C12" t="s">
        <v>70</v>
      </c>
      <c r="D12">
        <v>100753604</v>
      </c>
      <c r="E12" t="s">
        <v>71</v>
      </c>
      <c r="F12" t="s">
        <v>72</v>
      </c>
      <c r="G12">
        <v>0.12</v>
      </c>
      <c r="H12">
        <v>9.5500000000000007</v>
      </c>
      <c r="I12">
        <v>0.45</v>
      </c>
      <c r="J12">
        <v>0</v>
      </c>
      <c r="K12">
        <v>10.119999999999999</v>
      </c>
      <c r="L12" t="s">
        <v>61</v>
      </c>
      <c r="M12">
        <v>430</v>
      </c>
      <c r="N12">
        <v>42.5</v>
      </c>
      <c r="O12" t="s">
        <v>62</v>
      </c>
      <c r="P12" t="s">
        <v>66</v>
      </c>
      <c r="Q12">
        <v>0</v>
      </c>
      <c r="R12">
        <v>0</v>
      </c>
    </row>
    <row r="13" spans="1:18" x14ac:dyDescent="0.35">
      <c r="A13" t="s">
        <v>56</v>
      </c>
      <c r="B13" t="s">
        <v>57</v>
      </c>
      <c r="C13" t="s">
        <v>70</v>
      </c>
      <c r="D13">
        <v>100753604</v>
      </c>
      <c r="E13" t="s">
        <v>71</v>
      </c>
      <c r="F13" t="s">
        <v>72</v>
      </c>
      <c r="G13">
        <v>0.12</v>
      </c>
      <c r="H13">
        <v>9.5500000000000007</v>
      </c>
      <c r="I13">
        <v>0.45</v>
      </c>
      <c r="J13">
        <v>0</v>
      </c>
      <c r="K13">
        <v>10.119999999999999</v>
      </c>
      <c r="L13" t="s">
        <v>61</v>
      </c>
      <c r="M13">
        <v>430</v>
      </c>
      <c r="N13">
        <v>42.5</v>
      </c>
      <c r="O13" t="s">
        <v>62</v>
      </c>
      <c r="P13" t="s">
        <v>67</v>
      </c>
      <c r="Q13">
        <v>1713</v>
      </c>
      <c r="R13">
        <v>169.32</v>
      </c>
    </row>
    <row r="14" spans="1:18" x14ac:dyDescent="0.35">
      <c r="A14" t="s">
        <v>56</v>
      </c>
      <c r="B14" t="s">
        <v>57</v>
      </c>
      <c r="C14" t="s">
        <v>70</v>
      </c>
      <c r="D14">
        <v>100753604</v>
      </c>
      <c r="E14" t="s">
        <v>71</v>
      </c>
      <c r="F14" t="s">
        <v>72</v>
      </c>
      <c r="G14">
        <v>0.12</v>
      </c>
      <c r="H14">
        <v>9.5500000000000007</v>
      </c>
      <c r="I14">
        <v>0.45</v>
      </c>
      <c r="J14">
        <v>0</v>
      </c>
      <c r="K14">
        <v>10.119999999999999</v>
      </c>
      <c r="L14" t="s">
        <v>61</v>
      </c>
      <c r="M14">
        <v>430</v>
      </c>
      <c r="N14">
        <v>42.5</v>
      </c>
      <c r="O14" t="s">
        <v>68</v>
      </c>
      <c r="P14" t="s">
        <v>67</v>
      </c>
      <c r="Q14">
        <v>430</v>
      </c>
      <c r="R14">
        <v>42.5</v>
      </c>
    </row>
    <row r="15" spans="1:18" x14ac:dyDescent="0.35">
      <c r="A15" t="s">
        <v>56</v>
      </c>
      <c r="B15" t="s">
        <v>57</v>
      </c>
      <c r="C15" t="s">
        <v>70</v>
      </c>
      <c r="D15">
        <v>100753604</v>
      </c>
      <c r="E15" t="s">
        <v>71</v>
      </c>
      <c r="F15" t="s">
        <v>72</v>
      </c>
      <c r="G15">
        <v>0.12</v>
      </c>
      <c r="H15">
        <v>9.5500000000000007</v>
      </c>
      <c r="I15">
        <v>0.45</v>
      </c>
      <c r="J15">
        <v>0</v>
      </c>
      <c r="K15">
        <v>10.119999999999999</v>
      </c>
      <c r="L15" t="s">
        <v>61</v>
      </c>
      <c r="M15">
        <v>430</v>
      </c>
      <c r="N15">
        <v>42.5</v>
      </c>
      <c r="O15" t="s">
        <v>69</v>
      </c>
      <c r="P15" t="s">
        <v>67</v>
      </c>
      <c r="Q15">
        <v>0</v>
      </c>
      <c r="R15">
        <v>0</v>
      </c>
    </row>
    <row r="16" spans="1:18" x14ac:dyDescent="0.35">
      <c r="A16" t="s">
        <v>56</v>
      </c>
      <c r="B16" t="s">
        <v>57</v>
      </c>
      <c r="C16" t="s">
        <v>58</v>
      </c>
      <c r="D16">
        <v>101446428</v>
      </c>
      <c r="E16" t="s">
        <v>73</v>
      </c>
      <c r="F16" t="s">
        <v>60</v>
      </c>
      <c r="G16">
        <v>0.41</v>
      </c>
      <c r="H16">
        <v>9.76</v>
      </c>
      <c r="I16">
        <v>0</v>
      </c>
      <c r="J16">
        <v>0</v>
      </c>
      <c r="K16">
        <v>10.17</v>
      </c>
      <c r="L16" t="s">
        <v>61</v>
      </c>
      <c r="M16">
        <v>379</v>
      </c>
      <c r="N16">
        <v>37.28</v>
      </c>
      <c r="O16" t="s">
        <v>62</v>
      </c>
      <c r="P16" t="s">
        <v>63</v>
      </c>
      <c r="Q16">
        <v>504</v>
      </c>
      <c r="R16">
        <v>1239.3399999999999</v>
      </c>
    </row>
    <row r="17" spans="1:18" x14ac:dyDescent="0.35">
      <c r="A17" t="s">
        <v>56</v>
      </c>
      <c r="B17" t="s">
        <v>57</v>
      </c>
      <c r="C17" t="s">
        <v>58</v>
      </c>
      <c r="D17">
        <v>101446428</v>
      </c>
      <c r="E17" t="s">
        <v>73</v>
      </c>
      <c r="F17" t="s">
        <v>60</v>
      </c>
      <c r="G17">
        <v>0.41</v>
      </c>
      <c r="H17">
        <v>9.76</v>
      </c>
      <c r="I17">
        <v>0</v>
      </c>
      <c r="J17">
        <v>0</v>
      </c>
      <c r="K17">
        <v>10.17</v>
      </c>
      <c r="L17" t="s">
        <v>61</v>
      </c>
      <c r="M17">
        <v>379</v>
      </c>
      <c r="N17">
        <v>37.28</v>
      </c>
      <c r="O17" t="s">
        <v>62</v>
      </c>
      <c r="P17" t="s">
        <v>64</v>
      </c>
      <c r="Q17">
        <v>1772</v>
      </c>
      <c r="R17">
        <v>181.56</v>
      </c>
    </row>
    <row r="18" spans="1:18" x14ac:dyDescent="0.35">
      <c r="A18" t="s">
        <v>56</v>
      </c>
      <c r="B18" t="s">
        <v>57</v>
      </c>
      <c r="C18" t="s">
        <v>58</v>
      </c>
      <c r="D18">
        <v>101446428</v>
      </c>
      <c r="E18" t="s">
        <v>73</v>
      </c>
      <c r="F18" t="s">
        <v>60</v>
      </c>
      <c r="G18">
        <v>0.41</v>
      </c>
      <c r="H18">
        <v>9.76</v>
      </c>
      <c r="I18">
        <v>0</v>
      </c>
      <c r="J18">
        <v>0</v>
      </c>
      <c r="K18">
        <v>10.17</v>
      </c>
      <c r="L18" t="s">
        <v>61</v>
      </c>
      <c r="M18">
        <v>379</v>
      </c>
      <c r="N18">
        <v>37.28</v>
      </c>
      <c r="O18" t="s">
        <v>62</v>
      </c>
      <c r="P18" t="s">
        <v>65</v>
      </c>
      <c r="Q18">
        <v>0</v>
      </c>
      <c r="R18">
        <v>0</v>
      </c>
    </row>
    <row r="19" spans="1:18" x14ac:dyDescent="0.35">
      <c r="A19" t="s">
        <v>56</v>
      </c>
      <c r="B19" t="s">
        <v>57</v>
      </c>
      <c r="C19" t="s">
        <v>58</v>
      </c>
      <c r="D19">
        <v>101446428</v>
      </c>
      <c r="E19" t="s">
        <v>73</v>
      </c>
      <c r="F19" t="s">
        <v>60</v>
      </c>
      <c r="G19">
        <v>0.41</v>
      </c>
      <c r="H19">
        <v>9.76</v>
      </c>
      <c r="I19">
        <v>0</v>
      </c>
      <c r="J19">
        <v>0</v>
      </c>
      <c r="K19">
        <v>10.17</v>
      </c>
      <c r="L19" t="s">
        <v>61</v>
      </c>
      <c r="M19">
        <v>379</v>
      </c>
      <c r="N19">
        <v>37.28</v>
      </c>
      <c r="O19" t="s">
        <v>62</v>
      </c>
      <c r="P19" t="s">
        <v>66</v>
      </c>
      <c r="Q19">
        <v>0</v>
      </c>
      <c r="R19">
        <v>0</v>
      </c>
    </row>
    <row r="20" spans="1:18" x14ac:dyDescent="0.35">
      <c r="A20" t="s">
        <v>56</v>
      </c>
      <c r="B20" t="s">
        <v>57</v>
      </c>
      <c r="C20" t="s">
        <v>58</v>
      </c>
      <c r="D20">
        <v>101446428</v>
      </c>
      <c r="E20" t="s">
        <v>73</v>
      </c>
      <c r="F20" t="s">
        <v>60</v>
      </c>
      <c r="G20">
        <v>0.41</v>
      </c>
      <c r="H20">
        <v>9.76</v>
      </c>
      <c r="I20">
        <v>0</v>
      </c>
      <c r="J20">
        <v>0</v>
      </c>
      <c r="K20">
        <v>10.17</v>
      </c>
      <c r="L20" t="s">
        <v>61</v>
      </c>
      <c r="M20">
        <v>379</v>
      </c>
      <c r="N20">
        <v>37.28</v>
      </c>
      <c r="O20" t="s">
        <v>62</v>
      </c>
      <c r="P20" t="s">
        <v>67</v>
      </c>
      <c r="Q20">
        <v>2276</v>
      </c>
      <c r="R20">
        <v>223.87</v>
      </c>
    </row>
    <row r="21" spans="1:18" x14ac:dyDescent="0.35">
      <c r="A21" t="s">
        <v>56</v>
      </c>
      <c r="B21" t="s">
        <v>57</v>
      </c>
      <c r="C21" t="s">
        <v>58</v>
      </c>
      <c r="D21">
        <v>101446428</v>
      </c>
      <c r="E21" t="s">
        <v>73</v>
      </c>
      <c r="F21" t="s">
        <v>60</v>
      </c>
      <c r="G21">
        <v>0.41</v>
      </c>
      <c r="H21">
        <v>9.76</v>
      </c>
      <c r="I21">
        <v>0</v>
      </c>
      <c r="J21">
        <v>0</v>
      </c>
      <c r="K21">
        <v>10.17</v>
      </c>
      <c r="L21" t="s">
        <v>61</v>
      </c>
      <c r="M21">
        <v>379</v>
      </c>
      <c r="N21">
        <v>37.28</v>
      </c>
      <c r="O21" t="s">
        <v>68</v>
      </c>
      <c r="P21" t="s">
        <v>67</v>
      </c>
      <c r="Q21">
        <v>379</v>
      </c>
      <c r="R21">
        <v>37.28</v>
      </c>
    </row>
    <row r="22" spans="1:18" x14ac:dyDescent="0.35">
      <c r="A22" t="s">
        <v>56</v>
      </c>
      <c r="B22" t="s">
        <v>57</v>
      </c>
      <c r="C22" t="s">
        <v>58</v>
      </c>
      <c r="D22">
        <v>101446428</v>
      </c>
      <c r="E22" t="s">
        <v>73</v>
      </c>
      <c r="F22" t="s">
        <v>60</v>
      </c>
      <c r="G22">
        <v>0.41</v>
      </c>
      <c r="H22">
        <v>9.76</v>
      </c>
      <c r="I22">
        <v>0</v>
      </c>
      <c r="J22">
        <v>0</v>
      </c>
      <c r="K22">
        <v>10.17</v>
      </c>
      <c r="L22" t="s">
        <v>61</v>
      </c>
      <c r="M22">
        <v>379</v>
      </c>
      <c r="N22">
        <v>37.28</v>
      </c>
      <c r="O22" t="s">
        <v>69</v>
      </c>
      <c r="P22" t="s">
        <v>67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58</v>
      </c>
      <c r="D23">
        <v>102476407</v>
      </c>
      <c r="E23" t="s">
        <v>74</v>
      </c>
      <c r="F23" t="s">
        <v>75</v>
      </c>
      <c r="G23">
        <v>0.35</v>
      </c>
      <c r="H23">
        <v>8.8699999999999992</v>
      </c>
      <c r="I23">
        <v>0</v>
      </c>
      <c r="J23">
        <v>0</v>
      </c>
      <c r="K23">
        <v>9.2200000000000006</v>
      </c>
      <c r="L23" t="s">
        <v>61</v>
      </c>
      <c r="M23">
        <v>378</v>
      </c>
      <c r="N23">
        <v>41.01</v>
      </c>
      <c r="O23" t="s">
        <v>62</v>
      </c>
      <c r="P23" t="s">
        <v>63</v>
      </c>
      <c r="Q23">
        <v>362</v>
      </c>
      <c r="R23">
        <v>1039.23</v>
      </c>
    </row>
    <row r="24" spans="1:18" x14ac:dyDescent="0.35">
      <c r="A24" t="s">
        <v>56</v>
      </c>
      <c r="B24" t="s">
        <v>57</v>
      </c>
      <c r="C24" t="s">
        <v>58</v>
      </c>
      <c r="D24">
        <v>102476407</v>
      </c>
      <c r="E24" t="s">
        <v>74</v>
      </c>
      <c r="F24" t="s">
        <v>75</v>
      </c>
      <c r="G24">
        <v>0.35</v>
      </c>
      <c r="H24">
        <v>8.8699999999999992</v>
      </c>
      <c r="I24">
        <v>0</v>
      </c>
      <c r="J24">
        <v>0</v>
      </c>
      <c r="K24">
        <v>9.2200000000000006</v>
      </c>
      <c r="L24" t="s">
        <v>61</v>
      </c>
      <c r="M24">
        <v>378</v>
      </c>
      <c r="N24">
        <v>41.01</v>
      </c>
      <c r="O24" t="s">
        <v>62</v>
      </c>
      <c r="P24" t="s">
        <v>64</v>
      </c>
      <c r="Q24">
        <v>1350</v>
      </c>
      <c r="R24">
        <v>152.22999999999999</v>
      </c>
    </row>
    <row r="25" spans="1:18" x14ac:dyDescent="0.35">
      <c r="A25" t="s">
        <v>56</v>
      </c>
      <c r="B25" t="s">
        <v>57</v>
      </c>
      <c r="C25" t="s">
        <v>58</v>
      </c>
      <c r="D25">
        <v>102476407</v>
      </c>
      <c r="E25" t="s">
        <v>74</v>
      </c>
      <c r="F25" t="s">
        <v>75</v>
      </c>
      <c r="G25">
        <v>0.35</v>
      </c>
      <c r="H25">
        <v>8.8699999999999992</v>
      </c>
      <c r="I25">
        <v>0</v>
      </c>
      <c r="J25">
        <v>0</v>
      </c>
      <c r="K25">
        <v>9.2200000000000006</v>
      </c>
      <c r="L25" t="s">
        <v>61</v>
      </c>
      <c r="M25">
        <v>378</v>
      </c>
      <c r="N25">
        <v>41.01</v>
      </c>
      <c r="O25" t="s">
        <v>62</v>
      </c>
      <c r="P25" t="s">
        <v>65</v>
      </c>
      <c r="Q25">
        <v>0</v>
      </c>
      <c r="R25">
        <v>0</v>
      </c>
    </row>
    <row r="26" spans="1:18" x14ac:dyDescent="0.35">
      <c r="A26" t="s">
        <v>56</v>
      </c>
      <c r="B26" t="s">
        <v>57</v>
      </c>
      <c r="C26" t="s">
        <v>58</v>
      </c>
      <c r="D26">
        <v>102476407</v>
      </c>
      <c r="E26" t="s">
        <v>74</v>
      </c>
      <c r="F26" t="s">
        <v>75</v>
      </c>
      <c r="G26">
        <v>0.35</v>
      </c>
      <c r="H26">
        <v>8.8699999999999992</v>
      </c>
      <c r="I26">
        <v>0</v>
      </c>
      <c r="J26">
        <v>0</v>
      </c>
      <c r="K26">
        <v>9.2200000000000006</v>
      </c>
      <c r="L26" t="s">
        <v>61</v>
      </c>
      <c r="M26">
        <v>378</v>
      </c>
      <c r="N26">
        <v>41.01</v>
      </c>
      <c r="O26" t="s">
        <v>62</v>
      </c>
      <c r="P26" t="s">
        <v>66</v>
      </c>
      <c r="Q26">
        <v>0</v>
      </c>
      <c r="R26">
        <v>0</v>
      </c>
    </row>
    <row r="27" spans="1:18" x14ac:dyDescent="0.35">
      <c r="A27" t="s">
        <v>56</v>
      </c>
      <c r="B27" t="s">
        <v>57</v>
      </c>
      <c r="C27" t="s">
        <v>58</v>
      </c>
      <c r="D27">
        <v>102476407</v>
      </c>
      <c r="E27" t="s">
        <v>74</v>
      </c>
      <c r="F27" t="s">
        <v>75</v>
      </c>
      <c r="G27">
        <v>0.35</v>
      </c>
      <c r="H27">
        <v>8.8699999999999992</v>
      </c>
      <c r="I27">
        <v>0</v>
      </c>
      <c r="J27">
        <v>0</v>
      </c>
      <c r="K27">
        <v>9.2200000000000006</v>
      </c>
      <c r="L27" t="s">
        <v>61</v>
      </c>
      <c r="M27">
        <v>378</v>
      </c>
      <c r="N27">
        <v>41.01</v>
      </c>
      <c r="O27" t="s">
        <v>62</v>
      </c>
      <c r="P27" t="s">
        <v>67</v>
      </c>
      <c r="Q27">
        <v>1712</v>
      </c>
      <c r="R27">
        <v>185.75</v>
      </c>
    </row>
    <row r="28" spans="1:18" x14ac:dyDescent="0.35">
      <c r="A28" t="s">
        <v>56</v>
      </c>
      <c r="B28" t="s">
        <v>57</v>
      </c>
      <c r="C28" t="s">
        <v>58</v>
      </c>
      <c r="D28">
        <v>102476407</v>
      </c>
      <c r="E28" t="s">
        <v>74</v>
      </c>
      <c r="F28" t="s">
        <v>75</v>
      </c>
      <c r="G28">
        <v>0.35</v>
      </c>
      <c r="H28">
        <v>8.8699999999999992</v>
      </c>
      <c r="I28">
        <v>0</v>
      </c>
      <c r="J28">
        <v>0</v>
      </c>
      <c r="K28">
        <v>9.2200000000000006</v>
      </c>
      <c r="L28" t="s">
        <v>61</v>
      </c>
      <c r="M28">
        <v>378</v>
      </c>
      <c r="N28">
        <v>41.01</v>
      </c>
      <c r="O28" t="s">
        <v>68</v>
      </c>
      <c r="P28" t="s">
        <v>67</v>
      </c>
      <c r="Q28">
        <v>378</v>
      </c>
      <c r="R28">
        <v>41.01</v>
      </c>
    </row>
    <row r="29" spans="1:18" x14ac:dyDescent="0.35">
      <c r="A29" t="s">
        <v>56</v>
      </c>
      <c r="B29" t="s">
        <v>57</v>
      </c>
      <c r="C29" t="s">
        <v>58</v>
      </c>
      <c r="D29">
        <v>102476407</v>
      </c>
      <c r="E29" t="s">
        <v>74</v>
      </c>
      <c r="F29" t="s">
        <v>75</v>
      </c>
      <c r="G29">
        <v>0.35</v>
      </c>
      <c r="H29">
        <v>8.8699999999999992</v>
      </c>
      <c r="I29">
        <v>0</v>
      </c>
      <c r="J29">
        <v>0</v>
      </c>
      <c r="K29">
        <v>9.2200000000000006</v>
      </c>
      <c r="L29" t="s">
        <v>61</v>
      </c>
      <c r="M29">
        <v>378</v>
      </c>
      <c r="N29">
        <v>41.01</v>
      </c>
      <c r="O29" t="s">
        <v>69</v>
      </c>
      <c r="P29" t="s">
        <v>67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70</v>
      </c>
      <c r="D30">
        <v>103162419</v>
      </c>
      <c r="E30" t="s">
        <v>76</v>
      </c>
      <c r="F30" t="s">
        <v>72</v>
      </c>
      <c r="G30">
        <v>0.13</v>
      </c>
      <c r="H30">
        <v>8.0500000000000007</v>
      </c>
      <c r="I30">
        <v>0.04</v>
      </c>
      <c r="J30">
        <v>0</v>
      </c>
      <c r="K30">
        <v>8.2200000000000006</v>
      </c>
      <c r="L30" t="s">
        <v>61</v>
      </c>
      <c r="M30">
        <v>332</v>
      </c>
      <c r="N30">
        <v>40.409999999999997</v>
      </c>
      <c r="O30" t="s">
        <v>62</v>
      </c>
      <c r="P30" t="s">
        <v>63</v>
      </c>
      <c r="Q30">
        <v>120</v>
      </c>
      <c r="R30">
        <v>933.05</v>
      </c>
    </row>
    <row r="31" spans="1:18" x14ac:dyDescent="0.35">
      <c r="A31" t="s">
        <v>56</v>
      </c>
      <c r="B31" t="s">
        <v>57</v>
      </c>
      <c r="C31" t="s">
        <v>70</v>
      </c>
      <c r="D31">
        <v>103162419</v>
      </c>
      <c r="E31" t="s">
        <v>76</v>
      </c>
      <c r="F31" t="s">
        <v>72</v>
      </c>
      <c r="G31">
        <v>0.13</v>
      </c>
      <c r="H31">
        <v>8.0500000000000007</v>
      </c>
      <c r="I31">
        <v>0.04</v>
      </c>
      <c r="J31">
        <v>0</v>
      </c>
      <c r="K31">
        <v>8.2200000000000006</v>
      </c>
      <c r="L31" t="s">
        <v>61</v>
      </c>
      <c r="M31">
        <v>332</v>
      </c>
      <c r="N31">
        <v>40.409999999999997</v>
      </c>
      <c r="O31" t="s">
        <v>62</v>
      </c>
      <c r="P31" t="s">
        <v>64</v>
      </c>
      <c r="Q31">
        <v>1099</v>
      </c>
      <c r="R31">
        <v>136.56</v>
      </c>
    </row>
    <row r="32" spans="1:18" x14ac:dyDescent="0.35">
      <c r="A32" t="s">
        <v>56</v>
      </c>
      <c r="B32" t="s">
        <v>57</v>
      </c>
      <c r="C32" t="s">
        <v>70</v>
      </c>
      <c r="D32">
        <v>103162419</v>
      </c>
      <c r="E32" t="s">
        <v>76</v>
      </c>
      <c r="F32" t="s">
        <v>72</v>
      </c>
      <c r="G32">
        <v>0.13</v>
      </c>
      <c r="H32">
        <v>8.0500000000000007</v>
      </c>
      <c r="I32">
        <v>0.04</v>
      </c>
      <c r="J32">
        <v>0</v>
      </c>
      <c r="K32">
        <v>8.2200000000000006</v>
      </c>
      <c r="L32" t="s">
        <v>61</v>
      </c>
      <c r="M32">
        <v>332</v>
      </c>
      <c r="N32">
        <v>40.409999999999997</v>
      </c>
      <c r="O32" t="s">
        <v>62</v>
      </c>
      <c r="P32" t="s">
        <v>65</v>
      </c>
      <c r="Q32">
        <v>7</v>
      </c>
      <c r="R32">
        <v>176.22</v>
      </c>
    </row>
    <row r="33" spans="1:18" x14ac:dyDescent="0.35">
      <c r="A33" t="s">
        <v>56</v>
      </c>
      <c r="B33" t="s">
        <v>57</v>
      </c>
      <c r="C33" t="s">
        <v>70</v>
      </c>
      <c r="D33">
        <v>103162419</v>
      </c>
      <c r="E33" t="s">
        <v>76</v>
      </c>
      <c r="F33" t="s">
        <v>72</v>
      </c>
      <c r="G33">
        <v>0.13</v>
      </c>
      <c r="H33">
        <v>8.0500000000000007</v>
      </c>
      <c r="I33">
        <v>0.04</v>
      </c>
      <c r="J33">
        <v>0</v>
      </c>
      <c r="K33">
        <v>8.2200000000000006</v>
      </c>
      <c r="L33" t="s">
        <v>61</v>
      </c>
      <c r="M33">
        <v>332</v>
      </c>
      <c r="N33">
        <v>40.409999999999997</v>
      </c>
      <c r="O33" t="s">
        <v>62</v>
      </c>
      <c r="P33" t="s">
        <v>66</v>
      </c>
      <c r="Q33">
        <v>0</v>
      </c>
      <c r="R33">
        <v>0</v>
      </c>
    </row>
    <row r="34" spans="1:18" x14ac:dyDescent="0.35">
      <c r="A34" t="s">
        <v>56</v>
      </c>
      <c r="B34" t="s">
        <v>57</v>
      </c>
      <c r="C34" t="s">
        <v>70</v>
      </c>
      <c r="D34">
        <v>103162419</v>
      </c>
      <c r="E34" t="s">
        <v>76</v>
      </c>
      <c r="F34" t="s">
        <v>72</v>
      </c>
      <c r="G34">
        <v>0.13</v>
      </c>
      <c r="H34">
        <v>8.0500000000000007</v>
      </c>
      <c r="I34">
        <v>0.04</v>
      </c>
      <c r="J34">
        <v>0</v>
      </c>
      <c r="K34">
        <v>8.2200000000000006</v>
      </c>
      <c r="L34" t="s">
        <v>61</v>
      </c>
      <c r="M34">
        <v>332</v>
      </c>
      <c r="N34">
        <v>40.409999999999997</v>
      </c>
      <c r="O34" t="s">
        <v>62</v>
      </c>
      <c r="P34" t="s">
        <v>67</v>
      </c>
      <c r="Q34">
        <v>1226</v>
      </c>
      <c r="R34">
        <v>149.21</v>
      </c>
    </row>
    <row r="35" spans="1:18" x14ac:dyDescent="0.35">
      <c r="A35" t="s">
        <v>56</v>
      </c>
      <c r="B35" t="s">
        <v>57</v>
      </c>
      <c r="C35" t="s">
        <v>70</v>
      </c>
      <c r="D35">
        <v>103162419</v>
      </c>
      <c r="E35" t="s">
        <v>76</v>
      </c>
      <c r="F35" t="s">
        <v>72</v>
      </c>
      <c r="G35">
        <v>0.13</v>
      </c>
      <c r="H35">
        <v>8.0500000000000007</v>
      </c>
      <c r="I35">
        <v>0.04</v>
      </c>
      <c r="J35">
        <v>0</v>
      </c>
      <c r="K35">
        <v>8.2200000000000006</v>
      </c>
      <c r="L35" t="s">
        <v>61</v>
      </c>
      <c r="M35">
        <v>332</v>
      </c>
      <c r="N35">
        <v>40.409999999999997</v>
      </c>
      <c r="O35" t="s">
        <v>68</v>
      </c>
      <c r="P35" t="s">
        <v>67</v>
      </c>
      <c r="Q35">
        <v>332</v>
      </c>
      <c r="R35">
        <v>40.409999999999997</v>
      </c>
    </row>
    <row r="36" spans="1:18" x14ac:dyDescent="0.35">
      <c r="A36" t="s">
        <v>56</v>
      </c>
      <c r="B36" t="s">
        <v>57</v>
      </c>
      <c r="C36" t="s">
        <v>70</v>
      </c>
      <c r="D36">
        <v>103162419</v>
      </c>
      <c r="E36" t="s">
        <v>76</v>
      </c>
      <c r="F36" t="s">
        <v>72</v>
      </c>
      <c r="G36">
        <v>0.13</v>
      </c>
      <c r="H36">
        <v>8.0500000000000007</v>
      </c>
      <c r="I36">
        <v>0.04</v>
      </c>
      <c r="J36">
        <v>0</v>
      </c>
      <c r="K36">
        <v>8.2200000000000006</v>
      </c>
      <c r="L36" t="s">
        <v>61</v>
      </c>
      <c r="M36">
        <v>332</v>
      </c>
      <c r="N36">
        <v>40.409999999999997</v>
      </c>
      <c r="O36" t="s">
        <v>69</v>
      </c>
      <c r="P36" t="s">
        <v>67</v>
      </c>
      <c r="Q36">
        <v>0</v>
      </c>
      <c r="R36">
        <v>0</v>
      </c>
    </row>
    <row r="37" spans="1:18" x14ac:dyDescent="0.35">
      <c r="A37" t="s">
        <v>56</v>
      </c>
      <c r="B37" t="s">
        <v>57</v>
      </c>
      <c r="C37" t="s">
        <v>70</v>
      </c>
      <c r="D37">
        <v>103783504</v>
      </c>
      <c r="E37" t="s">
        <v>77</v>
      </c>
      <c r="F37" t="s">
        <v>72</v>
      </c>
      <c r="G37">
        <v>0.33</v>
      </c>
      <c r="H37">
        <v>8.82</v>
      </c>
      <c r="I37">
        <v>0.01</v>
      </c>
      <c r="J37">
        <v>0</v>
      </c>
      <c r="K37">
        <v>9.15</v>
      </c>
      <c r="L37" t="s">
        <v>61</v>
      </c>
      <c r="M37">
        <v>278</v>
      </c>
      <c r="N37">
        <v>30.38</v>
      </c>
      <c r="O37" t="s">
        <v>62</v>
      </c>
      <c r="P37" t="s">
        <v>63</v>
      </c>
      <c r="Q37">
        <v>296</v>
      </c>
      <c r="R37">
        <v>907.67</v>
      </c>
    </row>
    <row r="38" spans="1:18" x14ac:dyDescent="0.35">
      <c r="A38" t="s">
        <v>56</v>
      </c>
      <c r="B38" t="s">
        <v>57</v>
      </c>
      <c r="C38" t="s">
        <v>70</v>
      </c>
      <c r="D38">
        <v>103783504</v>
      </c>
      <c r="E38" t="s">
        <v>77</v>
      </c>
      <c r="F38" t="s">
        <v>72</v>
      </c>
      <c r="G38">
        <v>0.33</v>
      </c>
      <c r="H38">
        <v>8.82</v>
      </c>
      <c r="I38">
        <v>0.01</v>
      </c>
      <c r="J38">
        <v>0</v>
      </c>
      <c r="K38">
        <v>9.15</v>
      </c>
      <c r="L38" t="s">
        <v>61</v>
      </c>
      <c r="M38">
        <v>278</v>
      </c>
      <c r="N38">
        <v>30.38</v>
      </c>
      <c r="O38" t="s">
        <v>62</v>
      </c>
      <c r="P38" t="s">
        <v>64</v>
      </c>
      <c r="Q38">
        <v>1173</v>
      </c>
      <c r="R38">
        <v>133.03</v>
      </c>
    </row>
    <row r="39" spans="1:18" x14ac:dyDescent="0.35">
      <c r="A39" t="s">
        <v>56</v>
      </c>
      <c r="B39" t="s">
        <v>57</v>
      </c>
      <c r="C39" t="s">
        <v>70</v>
      </c>
      <c r="D39">
        <v>103783504</v>
      </c>
      <c r="E39" t="s">
        <v>77</v>
      </c>
      <c r="F39" t="s">
        <v>72</v>
      </c>
      <c r="G39">
        <v>0.33</v>
      </c>
      <c r="H39">
        <v>8.82</v>
      </c>
      <c r="I39">
        <v>0.01</v>
      </c>
      <c r="J39">
        <v>0</v>
      </c>
      <c r="K39">
        <v>9.15</v>
      </c>
      <c r="L39" t="s">
        <v>61</v>
      </c>
      <c r="M39">
        <v>278</v>
      </c>
      <c r="N39">
        <v>30.38</v>
      </c>
      <c r="O39" t="s">
        <v>62</v>
      </c>
      <c r="P39" t="s">
        <v>65</v>
      </c>
      <c r="Q39">
        <v>1</v>
      </c>
      <c r="R39">
        <v>171.43</v>
      </c>
    </row>
    <row r="40" spans="1:18" x14ac:dyDescent="0.35">
      <c r="A40" t="s">
        <v>56</v>
      </c>
      <c r="B40" t="s">
        <v>57</v>
      </c>
      <c r="C40" t="s">
        <v>70</v>
      </c>
      <c r="D40">
        <v>103783504</v>
      </c>
      <c r="E40" t="s">
        <v>77</v>
      </c>
      <c r="F40" t="s">
        <v>72</v>
      </c>
      <c r="G40">
        <v>0.33</v>
      </c>
      <c r="H40">
        <v>8.82</v>
      </c>
      <c r="I40">
        <v>0.01</v>
      </c>
      <c r="J40">
        <v>0</v>
      </c>
      <c r="K40">
        <v>9.15</v>
      </c>
      <c r="L40" t="s">
        <v>61</v>
      </c>
      <c r="M40">
        <v>278</v>
      </c>
      <c r="N40">
        <v>30.38</v>
      </c>
      <c r="O40" t="s">
        <v>62</v>
      </c>
      <c r="P40" t="s">
        <v>66</v>
      </c>
      <c r="Q40">
        <v>0</v>
      </c>
      <c r="R40">
        <v>0</v>
      </c>
    </row>
    <row r="41" spans="1:18" x14ac:dyDescent="0.35">
      <c r="A41" t="s">
        <v>56</v>
      </c>
      <c r="B41" t="s">
        <v>57</v>
      </c>
      <c r="C41" t="s">
        <v>70</v>
      </c>
      <c r="D41">
        <v>103783504</v>
      </c>
      <c r="E41" t="s">
        <v>77</v>
      </c>
      <c r="F41" t="s">
        <v>72</v>
      </c>
      <c r="G41">
        <v>0.33</v>
      </c>
      <c r="H41">
        <v>8.82</v>
      </c>
      <c r="I41">
        <v>0.01</v>
      </c>
      <c r="J41">
        <v>0</v>
      </c>
      <c r="K41">
        <v>9.15</v>
      </c>
      <c r="L41" t="s">
        <v>61</v>
      </c>
      <c r="M41">
        <v>278</v>
      </c>
      <c r="N41">
        <v>30.38</v>
      </c>
      <c r="O41" t="s">
        <v>62</v>
      </c>
      <c r="P41" t="s">
        <v>67</v>
      </c>
      <c r="Q41">
        <v>1470</v>
      </c>
      <c r="R41">
        <v>160.66</v>
      </c>
    </row>
    <row r="42" spans="1:18" x14ac:dyDescent="0.35">
      <c r="A42" t="s">
        <v>56</v>
      </c>
      <c r="B42" t="s">
        <v>57</v>
      </c>
      <c r="C42" t="s">
        <v>70</v>
      </c>
      <c r="D42">
        <v>103783504</v>
      </c>
      <c r="E42" t="s">
        <v>77</v>
      </c>
      <c r="F42" t="s">
        <v>72</v>
      </c>
      <c r="G42">
        <v>0.33</v>
      </c>
      <c r="H42">
        <v>8.82</v>
      </c>
      <c r="I42">
        <v>0.01</v>
      </c>
      <c r="J42">
        <v>0</v>
      </c>
      <c r="K42">
        <v>9.15</v>
      </c>
      <c r="L42" t="s">
        <v>61</v>
      </c>
      <c r="M42">
        <v>278</v>
      </c>
      <c r="N42">
        <v>30.38</v>
      </c>
      <c r="O42" t="s">
        <v>68</v>
      </c>
      <c r="P42" t="s">
        <v>67</v>
      </c>
      <c r="Q42">
        <v>278</v>
      </c>
      <c r="R42">
        <v>30.38</v>
      </c>
    </row>
    <row r="43" spans="1:18" x14ac:dyDescent="0.35">
      <c r="A43" t="s">
        <v>56</v>
      </c>
      <c r="B43" t="s">
        <v>57</v>
      </c>
      <c r="C43" t="s">
        <v>70</v>
      </c>
      <c r="D43">
        <v>103783504</v>
      </c>
      <c r="E43" t="s">
        <v>77</v>
      </c>
      <c r="F43" t="s">
        <v>72</v>
      </c>
      <c r="G43">
        <v>0.33</v>
      </c>
      <c r="H43">
        <v>8.82</v>
      </c>
      <c r="I43">
        <v>0.01</v>
      </c>
      <c r="J43">
        <v>0</v>
      </c>
      <c r="K43">
        <v>9.15</v>
      </c>
      <c r="L43" t="s">
        <v>61</v>
      </c>
      <c r="M43">
        <v>278</v>
      </c>
      <c r="N43">
        <v>30.38</v>
      </c>
      <c r="O43" t="s">
        <v>69</v>
      </c>
      <c r="P43" t="s">
        <v>67</v>
      </c>
      <c r="Q43">
        <v>0</v>
      </c>
      <c r="R43">
        <v>0</v>
      </c>
    </row>
    <row r="44" spans="1:18" x14ac:dyDescent="0.35">
      <c r="A44" t="s">
        <v>56</v>
      </c>
      <c r="B44" t="s">
        <v>57</v>
      </c>
      <c r="C44" t="s">
        <v>70</v>
      </c>
      <c r="D44">
        <v>104385509</v>
      </c>
      <c r="E44" t="s">
        <v>78</v>
      </c>
      <c r="F44" t="s">
        <v>72</v>
      </c>
      <c r="G44">
        <v>0</v>
      </c>
      <c r="H44">
        <v>2.0699999999999998</v>
      </c>
      <c r="I44">
        <v>0</v>
      </c>
      <c r="J44">
        <v>0</v>
      </c>
      <c r="K44">
        <v>2.0699999999999998</v>
      </c>
      <c r="L44" t="s">
        <v>61</v>
      </c>
      <c r="M44">
        <v>109</v>
      </c>
      <c r="N44">
        <v>52.61</v>
      </c>
      <c r="O44" t="s">
        <v>62</v>
      </c>
      <c r="P44" t="s">
        <v>63</v>
      </c>
      <c r="Q44">
        <v>0</v>
      </c>
      <c r="R44">
        <v>0</v>
      </c>
    </row>
    <row r="45" spans="1:18" x14ac:dyDescent="0.35">
      <c r="A45" t="s">
        <v>56</v>
      </c>
      <c r="B45" t="s">
        <v>57</v>
      </c>
      <c r="C45" t="s">
        <v>70</v>
      </c>
      <c r="D45">
        <v>104385509</v>
      </c>
      <c r="E45" t="s">
        <v>78</v>
      </c>
      <c r="F45" t="s">
        <v>72</v>
      </c>
      <c r="G45">
        <v>0</v>
      </c>
      <c r="H45">
        <v>2.0699999999999998</v>
      </c>
      <c r="I45">
        <v>0</v>
      </c>
      <c r="J45">
        <v>0</v>
      </c>
      <c r="K45">
        <v>2.0699999999999998</v>
      </c>
      <c r="L45" t="s">
        <v>61</v>
      </c>
      <c r="M45">
        <v>109</v>
      </c>
      <c r="N45">
        <v>52.61</v>
      </c>
      <c r="O45" t="s">
        <v>62</v>
      </c>
      <c r="P45" t="s">
        <v>64</v>
      </c>
      <c r="Q45">
        <v>477</v>
      </c>
      <c r="R45">
        <v>230.22</v>
      </c>
    </row>
    <row r="46" spans="1:18" x14ac:dyDescent="0.35">
      <c r="A46" t="s">
        <v>56</v>
      </c>
      <c r="B46" t="s">
        <v>57</v>
      </c>
      <c r="C46" t="s">
        <v>70</v>
      </c>
      <c r="D46">
        <v>104385509</v>
      </c>
      <c r="E46" t="s">
        <v>78</v>
      </c>
      <c r="F46" t="s">
        <v>72</v>
      </c>
      <c r="G46">
        <v>0</v>
      </c>
      <c r="H46">
        <v>2.0699999999999998</v>
      </c>
      <c r="I46">
        <v>0</v>
      </c>
      <c r="J46">
        <v>0</v>
      </c>
      <c r="K46">
        <v>2.0699999999999998</v>
      </c>
      <c r="L46" t="s">
        <v>61</v>
      </c>
      <c r="M46">
        <v>109</v>
      </c>
      <c r="N46">
        <v>52.61</v>
      </c>
      <c r="O46" t="s">
        <v>62</v>
      </c>
      <c r="P46" t="s">
        <v>65</v>
      </c>
      <c r="Q46">
        <v>0</v>
      </c>
      <c r="R46">
        <v>0</v>
      </c>
    </row>
    <row r="47" spans="1:18" x14ac:dyDescent="0.35">
      <c r="A47" t="s">
        <v>56</v>
      </c>
      <c r="B47" t="s">
        <v>57</v>
      </c>
      <c r="C47" t="s">
        <v>70</v>
      </c>
      <c r="D47">
        <v>104385509</v>
      </c>
      <c r="E47" t="s">
        <v>78</v>
      </c>
      <c r="F47" t="s">
        <v>72</v>
      </c>
      <c r="G47">
        <v>0</v>
      </c>
      <c r="H47">
        <v>2.0699999999999998</v>
      </c>
      <c r="I47">
        <v>0</v>
      </c>
      <c r="J47">
        <v>0</v>
      </c>
      <c r="K47">
        <v>2.0699999999999998</v>
      </c>
      <c r="L47" t="s">
        <v>61</v>
      </c>
      <c r="M47">
        <v>109</v>
      </c>
      <c r="N47">
        <v>52.61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70</v>
      </c>
      <c r="D48">
        <v>104385509</v>
      </c>
      <c r="E48" t="s">
        <v>78</v>
      </c>
      <c r="F48" t="s">
        <v>72</v>
      </c>
      <c r="G48">
        <v>0</v>
      </c>
      <c r="H48">
        <v>2.0699999999999998</v>
      </c>
      <c r="I48">
        <v>0</v>
      </c>
      <c r="J48">
        <v>0</v>
      </c>
      <c r="K48">
        <v>2.0699999999999998</v>
      </c>
      <c r="L48" t="s">
        <v>61</v>
      </c>
      <c r="M48">
        <v>109</v>
      </c>
      <c r="N48">
        <v>52.61</v>
      </c>
      <c r="O48" t="s">
        <v>62</v>
      </c>
      <c r="P48" t="s">
        <v>67</v>
      </c>
      <c r="Q48">
        <v>477</v>
      </c>
      <c r="R48">
        <v>230.22</v>
      </c>
    </row>
    <row r="49" spans="1:18" x14ac:dyDescent="0.35">
      <c r="A49" t="s">
        <v>56</v>
      </c>
      <c r="B49" t="s">
        <v>57</v>
      </c>
      <c r="C49" t="s">
        <v>70</v>
      </c>
      <c r="D49">
        <v>104385509</v>
      </c>
      <c r="E49" t="s">
        <v>78</v>
      </c>
      <c r="F49" t="s">
        <v>72</v>
      </c>
      <c r="G49">
        <v>0</v>
      </c>
      <c r="H49">
        <v>2.0699999999999998</v>
      </c>
      <c r="I49">
        <v>0</v>
      </c>
      <c r="J49">
        <v>0</v>
      </c>
      <c r="K49">
        <v>2.0699999999999998</v>
      </c>
      <c r="L49" t="s">
        <v>61</v>
      </c>
      <c r="M49">
        <v>109</v>
      </c>
      <c r="N49">
        <v>52.61</v>
      </c>
      <c r="O49" t="s">
        <v>68</v>
      </c>
      <c r="P49" t="s">
        <v>67</v>
      </c>
      <c r="Q49">
        <v>109</v>
      </c>
      <c r="R49">
        <v>52.61</v>
      </c>
    </row>
    <row r="50" spans="1:18" x14ac:dyDescent="0.35">
      <c r="A50" t="s">
        <v>56</v>
      </c>
      <c r="B50" t="s">
        <v>57</v>
      </c>
      <c r="C50" t="s">
        <v>70</v>
      </c>
      <c r="D50">
        <v>104385509</v>
      </c>
      <c r="E50" t="s">
        <v>78</v>
      </c>
      <c r="F50" t="s">
        <v>72</v>
      </c>
      <c r="G50">
        <v>0</v>
      </c>
      <c r="H50">
        <v>2.0699999999999998</v>
      </c>
      <c r="I50">
        <v>0</v>
      </c>
      <c r="J50">
        <v>0</v>
      </c>
      <c r="K50">
        <v>2.0699999999999998</v>
      </c>
      <c r="L50" t="s">
        <v>61</v>
      </c>
      <c r="M50">
        <v>109</v>
      </c>
      <c r="N50">
        <v>52.61</v>
      </c>
      <c r="O50" t="s">
        <v>69</v>
      </c>
      <c r="P50" t="s">
        <v>67</v>
      </c>
      <c r="Q50">
        <v>0</v>
      </c>
      <c r="R50">
        <v>0</v>
      </c>
    </row>
    <row r="51" spans="1:18" x14ac:dyDescent="0.35">
      <c r="A51" t="s">
        <v>56</v>
      </c>
      <c r="B51" t="s">
        <v>57</v>
      </c>
      <c r="C51" t="s">
        <v>70</v>
      </c>
      <c r="D51">
        <v>104441514</v>
      </c>
      <c r="E51" t="s">
        <v>79</v>
      </c>
      <c r="F51" t="s">
        <v>80</v>
      </c>
      <c r="G51">
        <v>0.25</v>
      </c>
      <c r="H51">
        <v>8.94</v>
      </c>
      <c r="I51">
        <v>0.18</v>
      </c>
      <c r="J51">
        <v>0</v>
      </c>
      <c r="K51">
        <v>9.3699999999999992</v>
      </c>
      <c r="L51" t="s">
        <v>61</v>
      </c>
      <c r="M51">
        <v>444</v>
      </c>
      <c r="N51">
        <v>47.4</v>
      </c>
      <c r="O51" t="s">
        <v>62</v>
      </c>
      <c r="P51" t="s">
        <v>63</v>
      </c>
      <c r="Q51">
        <v>360</v>
      </c>
      <c r="R51">
        <v>1428.89</v>
      </c>
    </row>
    <row r="52" spans="1:18" x14ac:dyDescent="0.35">
      <c r="A52" t="s">
        <v>56</v>
      </c>
      <c r="B52" t="s">
        <v>57</v>
      </c>
      <c r="C52" t="s">
        <v>70</v>
      </c>
      <c r="D52">
        <v>104441514</v>
      </c>
      <c r="E52" t="s">
        <v>79</v>
      </c>
      <c r="F52" t="s">
        <v>80</v>
      </c>
      <c r="G52">
        <v>0.25</v>
      </c>
      <c r="H52">
        <v>8.94</v>
      </c>
      <c r="I52">
        <v>0.18</v>
      </c>
      <c r="J52">
        <v>0</v>
      </c>
      <c r="K52">
        <v>9.3699999999999992</v>
      </c>
      <c r="L52" t="s">
        <v>61</v>
      </c>
      <c r="M52">
        <v>444</v>
      </c>
      <c r="N52">
        <v>47.4</v>
      </c>
      <c r="O52" t="s">
        <v>62</v>
      </c>
      <c r="P52" t="s">
        <v>64</v>
      </c>
      <c r="Q52">
        <v>1870</v>
      </c>
      <c r="R52">
        <v>209.26</v>
      </c>
    </row>
    <row r="53" spans="1:18" x14ac:dyDescent="0.35">
      <c r="A53" t="s">
        <v>56</v>
      </c>
      <c r="B53" t="s">
        <v>57</v>
      </c>
      <c r="C53" t="s">
        <v>70</v>
      </c>
      <c r="D53">
        <v>104441514</v>
      </c>
      <c r="E53" t="s">
        <v>79</v>
      </c>
      <c r="F53" t="s">
        <v>80</v>
      </c>
      <c r="G53">
        <v>0.25</v>
      </c>
      <c r="H53">
        <v>8.94</v>
      </c>
      <c r="I53">
        <v>0.18</v>
      </c>
      <c r="J53">
        <v>0</v>
      </c>
      <c r="K53">
        <v>9.3699999999999992</v>
      </c>
      <c r="L53" t="s">
        <v>61</v>
      </c>
      <c r="M53">
        <v>444</v>
      </c>
      <c r="N53">
        <v>47.4</v>
      </c>
      <c r="O53" t="s">
        <v>62</v>
      </c>
      <c r="P53" t="s">
        <v>65</v>
      </c>
      <c r="Q53">
        <v>48</v>
      </c>
      <c r="R53">
        <v>269.58</v>
      </c>
    </row>
    <row r="54" spans="1:18" x14ac:dyDescent="0.35">
      <c r="A54" t="s">
        <v>56</v>
      </c>
      <c r="B54" t="s">
        <v>57</v>
      </c>
      <c r="C54" t="s">
        <v>70</v>
      </c>
      <c r="D54">
        <v>104441514</v>
      </c>
      <c r="E54" t="s">
        <v>79</v>
      </c>
      <c r="F54" t="s">
        <v>80</v>
      </c>
      <c r="G54">
        <v>0.25</v>
      </c>
      <c r="H54">
        <v>8.94</v>
      </c>
      <c r="I54">
        <v>0.18</v>
      </c>
      <c r="J54">
        <v>0</v>
      </c>
      <c r="K54">
        <v>9.3699999999999992</v>
      </c>
      <c r="L54" t="s">
        <v>61</v>
      </c>
      <c r="M54">
        <v>444</v>
      </c>
      <c r="N54">
        <v>47.4</v>
      </c>
      <c r="O54" t="s">
        <v>62</v>
      </c>
      <c r="P54" t="s">
        <v>66</v>
      </c>
      <c r="Q54">
        <v>0</v>
      </c>
      <c r="R54">
        <v>0</v>
      </c>
    </row>
    <row r="55" spans="1:18" x14ac:dyDescent="0.35">
      <c r="A55" t="s">
        <v>56</v>
      </c>
      <c r="B55" t="s">
        <v>57</v>
      </c>
      <c r="C55" t="s">
        <v>70</v>
      </c>
      <c r="D55">
        <v>104441514</v>
      </c>
      <c r="E55" t="s">
        <v>79</v>
      </c>
      <c r="F55" t="s">
        <v>80</v>
      </c>
      <c r="G55">
        <v>0.25</v>
      </c>
      <c r="H55">
        <v>8.94</v>
      </c>
      <c r="I55">
        <v>0.18</v>
      </c>
      <c r="J55">
        <v>0</v>
      </c>
      <c r="K55">
        <v>9.3699999999999992</v>
      </c>
      <c r="L55" t="s">
        <v>61</v>
      </c>
      <c r="M55">
        <v>444</v>
      </c>
      <c r="N55">
        <v>47.4</v>
      </c>
      <c r="O55" t="s">
        <v>62</v>
      </c>
      <c r="P55" t="s">
        <v>67</v>
      </c>
      <c r="Q55">
        <v>2278</v>
      </c>
      <c r="R55">
        <v>243.2</v>
      </c>
    </row>
    <row r="56" spans="1:18" x14ac:dyDescent="0.35">
      <c r="A56" t="s">
        <v>56</v>
      </c>
      <c r="B56" t="s">
        <v>57</v>
      </c>
      <c r="C56" t="s">
        <v>70</v>
      </c>
      <c r="D56">
        <v>104441514</v>
      </c>
      <c r="E56" t="s">
        <v>79</v>
      </c>
      <c r="F56" t="s">
        <v>80</v>
      </c>
      <c r="G56">
        <v>0.25</v>
      </c>
      <c r="H56">
        <v>8.94</v>
      </c>
      <c r="I56">
        <v>0.18</v>
      </c>
      <c r="J56">
        <v>0</v>
      </c>
      <c r="K56">
        <v>9.3699999999999992</v>
      </c>
      <c r="L56" t="s">
        <v>61</v>
      </c>
      <c r="M56">
        <v>444</v>
      </c>
      <c r="N56">
        <v>47.4</v>
      </c>
      <c r="O56" t="s">
        <v>68</v>
      </c>
      <c r="P56" t="s">
        <v>67</v>
      </c>
      <c r="Q56">
        <v>444</v>
      </c>
      <c r="R56">
        <v>47.4</v>
      </c>
    </row>
    <row r="57" spans="1:18" x14ac:dyDescent="0.35">
      <c r="A57" t="s">
        <v>56</v>
      </c>
      <c r="B57" t="s">
        <v>57</v>
      </c>
      <c r="C57" t="s">
        <v>70</v>
      </c>
      <c r="D57">
        <v>104441514</v>
      </c>
      <c r="E57" t="s">
        <v>79</v>
      </c>
      <c r="F57" t="s">
        <v>80</v>
      </c>
      <c r="G57">
        <v>0.25</v>
      </c>
      <c r="H57">
        <v>8.94</v>
      </c>
      <c r="I57">
        <v>0.18</v>
      </c>
      <c r="J57">
        <v>0</v>
      </c>
      <c r="K57">
        <v>9.3699999999999992</v>
      </c>
      <c r="L57" t="s">
        <v>61</v>
      </c>
      <c r="M57">
        <v>444</v>
      </c>
      <c r="N57">
        <v>47.4</v>
      </c>
      <c r="O57" t="s">
        <v>69</v>
      </c>
      <c r="P57" t="s">
        <v>67</v>
      </c>
      <c r="Q57">
        <v>0</v>
      </c>
      <c r="R57">
        <v>0</v>
      </c>
    </row>
    <row r="58" spans="1:18" x14ac:dyDescent="0.35">
      <c r="A58" t="s">
        <v>56</v>
      </c>
      <c r="B58" t="s">
        <v>57</v>
      </c>
      <c r="C58" t="s">
        <v>70</v>
      </c>
      <c r="D58">
        <v>105611852</v>
      </c>
      <c r="E58" t="s">
        <v>81</v>
      </c>
      <c r="F58" t="s">
        <v>72</v>
      </c>
      <c r="G58">
        <v>0.16</v>
      </c>
      <c r="H58">
        <v>7.38</v>
      </c>
      <c r="I58">
        <v>0.04</v>
      </c>
      <c r="J58">
        <v>0</v>
      </c>
      <c r="K58">
        <v>7.58</v>
      </c>
      <c r="L58" t="s">
        <v>61</v>
      </c>
      <c r="M58">
        <v>427</v>
      </c>
      <c r="N58">
        <v>56.31</v>
      </c>
      <c r="O58" t="s">
        <v>62</v>
      </c>
      <c r="P58" t="s">
        <v>63</v>
      </c>
      <c r="Q58">
        <v>329</v>
      </c>
      <c r="R58">
        <v>2081.5500000000002</v>
      </c>
    </row>
    <row r="59" spans="1:18" x14ac:dyDescent="0.35">
      <c r="A59" t="s">
        <v>56</v>
      </c>
      <c r="B59" t="s">
        <v>57</v>
      </c>
      <c r="C59" t="s">
        <v>70</v>
      </c>
      <c r="D59">
        <v>105611852</v>
      </c>
      <c r="E59" t="s">
        <v>81</v>
      </c>
      <c r="F59" t="s">
        <v>72</v>
      </c>
      <c r="G59">
        <v>0.16</v>
      </c>
      <c r="H59">
        <v>7.38</v>
      </c>
      <c r="I59">
        <v>0.04</v>
      </c>
      <c r="J59">
        <v>0</v>
      </c>
      <c r="K59">
        <v>7.58</v>
      </c>
      <c r="L59" t="s">
        <v>61</v>
      </c>
      <c r="M59">
        <v>427</v>
      </c>
      <c r="N59">
        <v>56.31</v>
      </c>
      <c r="O59" t="s">
        <v>62</v>
      </c>
      <c r="P59" t="s">
        <v>64</v>
      </c>
      <c r="Q59">
        <v>2251</v>
      </c>
      <c r="R59">
        <v>304.94</v>
      </c>
    </row>
    <row r="60" spans="1:18" x14ac:dyDescent="0.35">
      <c r="A60" t="s">
        <v>56</v>
      </c>
      <c r="B60" t="s">
        <v>57</v>
      </c>
      <c r="C60" t="s">
        <v>70</v>
      </c>
      <c r="D60">
        <v>105611852</v>
      </c>
      <c r="E60" t="s">
        <v>81</v>
      </c>
      <c r="F60" t="s">
        <v>72</v>
      </c>
      <c r="G60">
        <v>0.16</v>
      </c>
      <c r="H60">
        <v>7.38</v>
      </c>
      <c r="I60">
        <v>0.04</v>
      </c>
      <c r="J60">
        <v>0</v>
      </c>
      <c r="K60">
        <v>7.58</v>
      </c>
      <c r="L60" t="s">
        <v>61</v>
      </c>
      <c r="M60">
        <v>427</v>
      </c>
      <c r="N60">
        <v>56.31</v>
      </c>
      <c r="O60" t="s">
        <v>62</v>
      </c>
      <c r="P60" t="s">
        <v>65</v>
      </c>
      <c r="Q60">
        <v>17</v>
      </c>
      <c r="R60">
        <v>392.31</v>
      </c>
    </row>
    <row r="61" spans="1:18" x14ac:dyDescent="0.35">
      <c r="A61" t="s">
        <v>56</v>
      </c>
      <c r="B61" t="s">
        <v>57</v>
      </c>
      <c r="C61" t="s">
        <v>70</v>
      </c>
      <c r="D61">
        <v>105611852</v>
      </c>
      <c r="E61" t="s">
        <v>81</v>
      </c>
      <c r="F61" t="s">
        <v>72</v>
      </c>
      <c r="G61">
        <v>0.16</v>
      </c>
      <c r="H61">
        <v>7.38</v>
      </c>
      <c r="I61">
        <v>0.04</v>
      </c>
      <c r="J61">
        <v>0</v>
      </c>
      <c r="K61">
        <v>7.58</v>
      </c>
      <c r="L61" t="s">
        <v>61</v>
      </c>
      <c r="M61">
        <v>427</v>
      </c>
      <c r="N61">
        <v>56.31</v>
      </c>
      <c r="O61" t="s">
        <v>62</v>
      </c>
      <c r="P61" t="s">
        <v>66</v>
      </c>
      <c r="Q61">
        <v>0</v>
      </c>
      <c r="R61">
        <v>0</v>
      </c>
    </row>
    <row r="62" spans="1:18" x14ac:dyDescent="0.35">
      <c r="A62" t="s">
        <v>56</v>
      </c>
      <c r="B62" t="s">
        <v>57</v>
      </c>
      <c r="C62" t="s">
        <v>70</v>
      </c>
      <c r="D62">
        <v>105611852</v>
      </c>
      <c r="E62" t="s">
        <v>81</v>
      </c>
      <c r="F62" t="s">
        <v>72</v>
      </c>
      <c r="G62">
        <v>0.16</v>
      </c>
      <c r="H62">
        <v>7.38</v>
      </c>
      <c r="I62">
        <v>0.04</v>
      </c>
      <c r="J62">
        <v>0</v>
      </c>
      <c r="K62">
        <v>7.58</v>
      </c>
      <c r="L62" t="s">
        <v>61</v>
      </c>
      <c r="M62">
        <v>427</v>
      </c>
      <c r="N62">
        <v>56.31</v>
      </c>
      <c r="O62" t="s">
        <v>62</v>
      </c>
      <c r="P62" t="s">
        <v>67</v>
      </c>
      <c r="Q62">
        <v>2597</v>
      </c>
      <c r="R62">
        <v>342.46</v>
      </c>
    </row>
    <row r="63" spans="1:18" x14ac:dyDescent="0.35">
      <c r="A63" t="s">
        <v>56</v>
      </c>
      <c r="B63" t="s">
        <v>57</v>
      </c>
      <c r="C63" t="s">
        <v>70</v>
      </c>
      <c r="D63">
        <v>105611852</v>
      </c>
      <c r="E63" t="s">
        <v>81</v>
      </c>
      <c r="F63" t="s">
        <v>72</v>
      </c>
      <c r="G63">
        <v>0.16</v>
      </c>
      <c r="H63">
        <v>7.38</v>
      </c>
      <c r="I63">
        <v>0.04</v>
      </c>
      <c r="J63">
        <v>0</v>
      </c>
      <c r="K63">
        <v>7.58</v>
      </c>
      <c r="L63" t="s">
        <v>61</v>
      </c>
      <c r="M63">
        <v>427</v>
      </c>
      <c r="N63">
        <v>56.31</v>
      </c>
      <c r="O63" t="s">
        <v>68</v>
      </c>
      <c r="P63" t="s">
        <v>67</v>
      </c>
      <c r="Q63">
        <v>427</v>
      </c>
      <c r="R63">
        <v>56.31</v>
      </c>
    </row>
    <row r="64" spans="1:18" x14ac:dyDescent="0.35">
      <c r="A64" t="s">
        <v>56</v>
      </c>
      <c r="B64" t="s">
        <v>57</v>
      </c>
      <c r="C64" t="s">
        <v>70</v>
      </c>
      <c r="D64">
        <v>105611852</v>
      </c>
      <c r="E64" t="s">
        <v>81</v>
      </c>
      <c r="F64" t="s">
        <v>72</v>
      </c>
      <c r="G64">
        <v>0.16</v>
      </c>
      <c r="H64">
        <v>7.38</v>
      </c>
      <c r="I64">
        <v>0.04</v>
      </c>
      <c r="J64">
        <v>0</v>
      </c>
      <c r="K64">
        <v>7.58</v>
      </c>
      <c r="L64" t="s">
        <v>61</v>
      </c>
      <c r="M64">
        <v>427</v>
      </c>
      <c r="N64">
        <v>56.31</v>
      </c>
      <c r="O64" t="s">
        <v>69</v>
      </c>
      <c r="P64" t="s">
        <v>67</v>
      </c>
      <c r="Q64">
        <v>0</v>
      </c>
      <c r="R64">
        <v>0</v>
      </c>
    </row>
    <row r="65" spans="1:18" x14ac:dyDescent="0.35">
      <c r="A65" t="s">
        <v>56</v>
      </c>
      <c r="B65" t="s">
        <v>57</v>
      </c>
      <c r="C65" t="s">
        <v>70</v>
      </c>
      <c r="D65">
        <v>106036050</v>
      </c>
      <c r="E65" t="s">
        <v>82</v>
      </c>
      <c r="F65" t="s">
        <v>60</v>
      </c>
      <c r="G65">
        <v>0</v>
      </c>
      <c r="H65">
        <v>5.93</v>
      </c>
      <c r="I65">
        <v>7.0000000000000007E-2</v>
      </c>
      <c r="J65">
        <v>0</v>
      </c>
      <c r="K65">
        <v>5.99</v>
      </c>
      <c r="L65" t="s">
        <v>61</v>
      </c>
      <c r="M65">
        <v>219</v>
      </c>
      <c r="N65">
        <v>36.54</v>
      </c>
      <c r="O65" t="s">
        <v>62</v>
      </c>
      <c r="P65" t="s">
        <v>63</v>
      </c>
      <c r="Q65">
        <v>0</v>
      </c>
      <c r="R65">
        <v>0</v>
      </c>
    </row>
    <row r="66" spans="1:18" x14ac:dyDescent="0.35">
      <c r="A66" t="s">
        <v>56</v>
      </c>
      <c r="B66" t="s">
        <v>57</v>
      </c>
      <c r="C66" t="s">
        <v>70</v>
      </c>
      <c r="D66">
        <v>106036050</v>
      </c>
      <c r="E66" t="s">
        <v>82</v>
      </c>
      <c r="F66" t="s">
        <v>60</v>
      </c>
      <c r="G66">
        <v>0</v>
      </c>
      <c r="H66">
        <v>5.93</v>
      </c>
      <c r="I66">
        <v>7.0000000000000007E-2</v>
      </c>
      <c r="J66">
        <v>0</v>
      </c>
      <c r="K66">
        <v>5.99</v>
      </c>
      <c r="L66" t="s">
        <v>61</v>
      </c>
      <c r="M66">
        <v>219</v>
      </c>
      <c r="N66">
        <v>36.54</v>
      </c>
      <c r="O66" t="s">
        <v>62</v>
      </c>
      <c r="P66" t="s">
        <v>64</v>
      </c>
      <c r="Q66">
        <v>1085</v>
      </c>
      <c r="R66">
        <v>183.11</v>
      </c>
    </row>
    <row r="67" spans="1:18" x14ac:dyDescent="0.35">
      <c r="A67" t="s">
        <v>56</v>
      </c>
      <c r="B67" t="s">
        <v>57</v>
      </c>
      <c r="C67" t="s">
        <v>70</v>
      </c>
      <c r="D67">
        <v>106036050</v>
      </c>
      <c r="E67" t="s">
        <v>82</v>
      </c>
      <c r="F67" t="s">
        <v>60</v>
      </c>
      <c r="G67">
        <v>0</v>
      </c>
      <c r="H67">
        <v>5.93</v>
      </c>
      <c r="I67">
        <v>7.0000000000000007E-2</v>
      </c>
      <c r="J67">
        <v>0</v>
      </c>
      <c r="K67">
        <v>5.99</v>
      </c>
      <c r="L67" t="s">
        <v>61</v>
      </c>
      <c r="M67">
        <v>219</v>
      </c>
      <c r="N67">
        <v>36.54</v>
      </c>
      <c r="O67" t="s">
        <v>62</v>
      </c>
      <c r="P67" t="s">
        <v>65</v>
      </c>
      <c r="Q67">
        <v>16</v>
      </c>
      <c r="R67">
        <v>236.07</v>
      </c>
    </row>
    <row r="68" spans="1:18" x14ac:dyDescent="0.35">
      <c r="A68" t="s">
        <v>56</v>
      </c>
      <c r="B68" t="s">
        <v>57</v>
      </c>
      <c r="C68" t="s">
        <v>70</v>
      </c>
      <c r="D68">
        <v>106036050</v>
      </c>
      <c r="E68" t="s">
        <v>82</v>
      </c>
      <c r="F68" t="s">
        <v>60</v>
      </c>
      <c r="G68">
        <v>0</v>
      </c>
      <c r="H68">
        <v>5.93</v>
      </c>
      <c r="I68">
        <v>7.0000000000000007E-2</v>
      </c>
      <c r="J68">
        <v>0</v>
      </c>
      <c r="K68">
        <v>5.99</v>
      </c>
      <c r="L68" t="s">
        <v>61</v>
      </c>
      <c r="M68">
        <v>219</v>
      </c>
      <c r="N68">
        <v>36.54</v>
      </c>
      <c r="O68" t="s">
        <v>62</v>
      </c>
      <c r="P68" t="s">
        <v>66</v>
      </c>
      <c r="Q68">
        <v>0</v>
      </c>
      <c r="R68">
        <v>0</v>
      </c>
    </row>
    <row r="69" spans="1:18" x14ac:dyDescent="0.35">
      <c r="A69" t="s">
        <v>56</v>
      </c>
      <c r="B69" t="s">
        <v>57</v>
      </c>
      <c r="C69" t="s">
        <v>70</v>
      </c>
      <c r="D69">
        <v>106036050</v>
      </c>
      <c r="E69" t="s">
        <v>82</v>
      </c>
      <c r="F69" t="s">
        <v>60</v>
      </c>
      <c r="G69">
        <v>0</v>
      </c>
      <c r="H69">
        <v>5.93</v>
      </c>
      <c r="I69">
        <v>7.0000000000000007E-2</v>
      </c>
      <c r="J69">
        <v>0</v>
      </c>
      <c r="K69">
        <v>5.99</v>
      </c>
      <c r="L69" t="s">
        <v>61</v>
      </c>
      <c r="M69">
        <v>219</v>
      </c>
      <c r="N69">
        <v>36.54</v>
      </c>
      <c r="O69" t="s">
        <v>62</v>
      </c>
      <c r="P69" t="s">
        <v>67</v>
      </c>
      <c r="Q69">
        <v>1101</v>
      </c>
      <c r="R69">
        <v>183.7</v>
      </c>
    </row>
    <row r="70" spans="1:18" x14ac:dyDescent="0.35">
      <c r="A70" t="s">
        <v>56</v>
      </c>
      <c r="B70" t="s">
        <v>57</v>
      </c>
      <c r="C70" t="s">
        <v>70</v>
      </c>
      <c r="D70">
        <v>106036050</v>
      </c>
      <c r="E70" t="s">
        <v>82</v>
      </c>
      <c r="F70" t="s">
        <v>60</v>
      </c>
      <c r="G70">
        <v>0</v>
      </c>
      <c r="H70">
        <v>5.93</v>
      </c>
      <c r="I70">
        <v>7.0000000000000007E-2</v>
      </c>
      <c r="J70">
        <v>0</v>
      </c>
      <c r="K70">
        <v>5.99</v>
      </c>
      <c r="L70" t="s">
        <v>61</v>
      </c>
      <c r="M70">
        <v>219</v>
      </c>
      <c r="N70">
        <v>36.54</v>
      </c>
      <c r="O70" t="s">
        <v>68</v>
      </c>
      <c r="P70" t="s">
        <v>67</v>
      </c>
      <c r="Q70">
        <v>214</v>
      </c>
      <c r="R70">
        <v>35.700000000000003</v>
      </c>
    </row>
    <row r="71" spans="1:18" x14ac:dyDescent="0.35">
      <c r="A71" t="s">
        <v>56</v>
      </c>
      <c r="B71" t="s">
        <v>57</v>
      </c>
      <c r="C71" t="s">
        <v>70</v>
      </c>
      <c r="D71">
        <v>106036050</v>
      </c>
      <c r="E71" t="s">
        <v>82</v>
      </c>
      <c r="F71" t="s">
        <v>60</v>
      </c>
      <c r="G71">
        <v>0</v>
      </c>
      <c r="H71">
        <v>5.93</v>
      </c>
      <c r="I71">
        <v>7.0000000000000007E-2</v>
      </c>
      <c r="J71">
        <v>0</v>
      </c>
      <c r="K71">
        <v>5.99</v>
      </c>
      <c r="L71" t="s">
        <v>61</v>
      </c>
      <c r="M71">
        <v>219</v>
      </c>
      <c r="N71">
        <v>36.54</v>
      </c>
      <c r="O71" t="s">
        <v>69</v>
      </c>
      <c r="P71" t="s">
        <v>67</v>
      </c>
      <c r="Q71">
        <v>6</v>
      </c>
      <c r="R71">
        <v>1</v>
      </c>
    </row>
    <row r="72" spans="1:18" x14ac:dyDescent="0.35">
      <c r="A72" t="s">
        <v>56</v>
      </c>
      <c r="B72" t="s">
        <v>57</v>
      </c>
      <c r="C72" t="s">
        <v>58</v>
      </c>
      <c r="D72">
        <v>106513473</v>
      </c>
      <c r="E72" t="s">
        <v>83</v>
      </c>
      <c r="F72" t="s">
        <v>72</v>
      </c>
      <c r="G72">
        <v>0.13</v>
      </c>
      <c r="H72">
        <v>9.8000000000000007</v>
      </c>
      <c r="I72">
        <v>0.04</v>
      </c>
      <c r="J72">
        <v>0</v>
      </c>
      <c r="K72">
        <v>9.9700000000000006</v>
      </c>
      <c r="L72" t="s">
        <v>61</v>
      </c>
      <c r="M72">
        <v>769</v>
      </c>
      <c r="N72">
        <v>77.16</v>
      </c>
      <c r="O72" t="s">
        <v>62</v>
      </c>
      <c r="P72" t="s">
        <v>63</v>
      </c>
      <c r="Q72">
        <v>216</v>
      </c>
      <c r="R72">
        <v>1716.56</v>
      </c>
    </row>
    <row r="73" spans="1:18" x14ac:dyDescent="0.35">
      <c r="A73" t="s">
        <v>56</v>
      </c>
      <c r="B73" t="s">
        <v>57</v>
      </c>
      <c r="C73" t="s">
        <v>58</v>
      </c>
      <c r="D73">
        <v>106513473</v>
      </c>
      <c r="E73" t="s">
        <v>83</v>
      </c>
      <c r="F73" t="s">
        <v>72</v>
      </c>
      <c r="G73">
        <v>0.13</v>
      </c>
      <c r="H73">
        <v>9.8000000000000007</v>
      </c>
      <c r="I73">
        <v>0.04</v>
      </c>
      <c r="J73">
        <v>0</v>
      </c>
      <c r="K73">
        <v>9.9700000000000006</v>
      </c>
      <c r="L73" t="s">
        <v>61</v>
      </c>
      <c r="M73">
        <v>769</v>
      </c>
      <c r="N73">
        <v>77.16</v>
      </c>
      <c r="O73" t="s">
        <v>62</v>
      </c>
      <c r="P73" t="s">
        <v>64</v>
      </c>
      <c r="Q73">
        <v>2460</v>
      </c>
      <c r="R73">
        <v>251.09</v>
      </c>
    </row>
    <row r="74" spans="1:18" x14ac:dyDescent="0.35">
      <c r="A74" t="s">
        <v>56</v>
      </c>
      <c r="B74" t="s">
        <v>57</v>
      </c>
      <c r="C74" t="s">
        <v>58</v>
      </c>
      <c r="D74">
        <v>106513473</v>
      </c>
      <c r="E74" t="s">
        <v>83</v>
      </c>
      <c r="F74" t="s">
        <v>72</v>
      </c>
      <c r="G74">
        <v>0.13</v>
      </c>
      <c r="H74">
        <v>9.8000000000000007</v>
      </c>
      <c r="I74">
        <v>0.04</v>
      </c>
      <c r="J74">
        <v>0</v>
      </c>
      <c r="K74">
        <v>9.9700000000000006</v>
      </c>
      <c r="L74" t="s">
        <v>61</v>
      </c>
      <c r="M74">
        <v>769</v>
      </c>
      <c r="N74">
        <v>77.16</v>
      </c>
      <c r="O74" t="s">
        <v>62</v>
      </c>
      <c r="P74" t="s">
        <v>65</v>
      </c>
      <c r="Q74">
        <v>14</v>
      </c>
      <c r="R74">
        <v>323.08</v>
      </c>
    </row>
    <row r="75" spans="1:18" x14ac:dyDescent="0.35">
      <c r="A75" t="s">
        <v>56</v>
      </c>
      <c r="B75" t="s">
        <v>57</v>
      </c>
      <c r="C75" t="s">
        <v>58</v>
      </c>
      <c r="D75">
        <v>106513473</v>
      </c>
      <c r="E75" t="s">
        <v>83</v>
      </c>
      <c r="F75" t="s">
        <v>72</v>
      </c>
      <c r="G75">
        <v>0.13</v>
      </c>
      <c r="H75">
        <v>9.8000000000000007</v>
      </c>
      <c r="I75">
        <v>0.04</v>
      </c>
      <c r="J75">
        <v>0</v>
      </c>
      <c r="K75">
        <v>9.9700000000000006</v>
      </c>
      <c r="L75" t="s">
        <v>61</v>
      </c>
      <c r="M75">
        <v>769</v>
      </c>
      <c r="N75">
        <v>77.16</v>
      </c>
      <c r="O75" t="s">
        <v>62</v>
      </c>
      <c r="P75" t="s">
        <v>66</v>
      </c>
      <c r="Q75">
        <v>0</v>
      </c>
      <c r="R75">
        <v>0</v>
      </c>
    </row>
    <row r="76" spans="1:18" x14ac:dyDescent="0.35">
      <c r="A76" t="s">
        <v>56</v>
      </c>
      <c r="B76" t="s">
        <v>57</v>
      </c>
      <c r="C76" t="s">
        <v>58</v>
      </c>
      <c r="D76">
        <v>106513473</v>
      </c>
      <c r="E76" t="s">
        <v>83</v>
      </c>
      <c r="F76" t="s">
        <v>72</v>
      </c>
      <c r="G76">
        <v>0.13</v>
      </c>
      <c r="H76">
        <v>9.8000000000000007</v>
      </c>
      <c r="I76">
        <v>0.04</v>
      </c>
      <c r="J76">
        <v>0</v>
      </c>
      <c r="K76">
        <v>9.9700000000000006</v>
      </c>
      <c r="L76" t="s">
        <v>61</v>
      </c>
      <c r="M76">
        <v>769</v>
      </c>
      <c r="N76">
        <v>77.16</v>
      </c>
      <c r="O76" t="s">
        <v>62</v>
      </c>
      <c r="P76" t="s">
        <v>67</v>
      </c>
      <c r="Q76">
        <v>2690</v>
      </c>
      <c r="R76">
        <v>269.89999999999998</v>
      </c>
    </row>
    <row r="77" spans="1:18" x14ac:dyDescent="0.35">
      <c r="A77" t="s">
        <v>56</v>
      </c>
      <c r="B77" t="s">
        <v>57</v>
      </c>
      <c r="C77" t="s">
        <v>58</v>
      </c>
      <c r="D77">
        <v>106513473</v>
      </c>
      <c r="E77" t="s">
        <v>83</v>
      </c>
      <c r="F77" t="s">
        <v>72</v>
      </c>
      <c r="G77">
        <v>0.13</v>
      </c>
      <c r="H77">
        <v>9.8000000000000007</v>
      </c>
      <c r="I77">
        <v>0.04</v>
      </c>
      <c r="J77">
        <v>0</v>
      </c>
      <c r="K77">
        <v>9.9700000000000006</v>
      </c>
      <c r="L77" t="s">
        <v>61</v>
      </c>
      <c r="M77">
        <v>769</v>
      </c>
      <c r="N77">
        <v>77.16</v>
      </c>
      <c r="O77" t="s">
        <v>68</v>
      </c>
      <c r="P77" t="s">
        <v>67</v>
      </c>
      <c r="Q77">
        <v>769</v>
      </c>
      <c r="R77">
        <v>77.16</v>
      </c>
    </row>
    <row r="78" spans="1:18" x14ac:dyDescent="0.35">
      <c r="A78" t="s">
        <v>56</v>
      </c>
      <c r="B78" t="s">
        <v>57</v>
      </c>
      <c r="C78" t="s">
        <v>58</v>
      </c>
      <c r="D78">
        <v>106513473</v>
      </c>
      <c r="E78" t="s">
        <v>83</v>
      </c>
      <c r="F78" t="s">
        <v>72</v>
      </c>
      <c r="G78">
        <v>0.13</v>
      </c>
      <c r="H78">
        <v>9.8000000000000007</v>
      </c>
      <c r="I78">
        <v>0.04</v>
      </c>
      <c r="J78">
        <v>0</v>
      </c>
      <c r="K78">
        <v>9.9700000000000006</v>
      </c>
      <c r="L78" t="s">
        <v>61</v>
      </c>
      <c r="M78">
        <v>769</v>
      </c>
      <c r="N78">
        <v>77.16</v>
      </c>
      <c r="O78" t="s">
        <v>69</v>
      </c>
      <c r="P78" t="s">
        <v>67</v>
      </c>
      <c r="Q78">
        <v>0</v>
      </c>
      <c r="R78">
        <v>0</v>
      </c>
    </row>
    <row r="79" spans="1:18" x14ac:dyDescent="0.35">
      <c r="A79" t="s">
        <v>56</v>
      </c>
      <c r="B79" t="s">
        <v>57</v>
      </c>
      <c r="C79" t="s">
        <v>70</v>
      </c>
      <c r="D79">
        <v>106517175</v>
      </c>
      <c r="E79" t="s">
        <v>84</v>
      </c>
      <c r="F79" t="s">
        <v>72</v>
      </c>
      <c r="G79">
        <v>0.51</v>
      </c>
      <c r="H79">
        <v>7.43</v>
      </c>
      <c r="I79">
        <v>0.05</v>
      </c>
      <c r="J79">
        <v>0</v>
      </c>
      <c r="K79">
        <v>7.98</v>
      </c>
      <c r="L79" t="s">
        <v>61</v>
      </c>
      <c r="M79">
        <v>361</v>
      </c>
      <c r="N79">
        <v>45.22</v>
      </c>
      <c r="O79" t="s">
        <v>62</v>
      </c>
      <c r="P79" t="s">
        <v>63</v>
      </c>
      <c r="Q79">
        <v>568</v>
      </c>
      <c r="R79">
        <v>1122.28</v>
      </c>
    </row>
    <row r="80" spans="1:18" x14ac:dyDescent="0.35">
      <c r="A80" t="s">
        <v>56</v>
      </c>
      <c r="B80" t="s">
        <v>57</v>
      </c>
      <c r="C80" t="s">
        <v>70</v>
      </c>
      <c r="D80">
        <v>106517175</v>
      </c>
      <c r="E80" t="s">
        <v>84</v>
      </c>
      <c r="F80" t="s">
        <v>72</v>
      </c>
      <c r="G80">
        <v>0.51</v>
      </c>
      <c r="H80">
        <v>7.43</v>
      </c>
      <c r="I80">
        <v>0.05</v>
      </c>
      <c r="J80">
        <v>0</v>
      </c>
      <c r="K80">
        <v>7.98</v>
      </c>
      <c r="L80" t="s">
        <v>61</v>
      </c>
      <c r="M80">
        <v>361</v>
      </c>
      <c r="N80">
        <v>45.22</v>
      </c>
      <c r="O80" t="s">
        <v>62</v>
      </c>
      <c r="P80" t="s">
        <v>64</v>
      </c>
      <c r="Q80">
        <v>1222</v>
      </c>
      <c r="R80">
        <v>164.47</v>
      </c>
    </row>
    <row r="81" spans="1:18" x14ac:dyDescent="0.35">
      <c r="A81" t="s">
        <v>56</v>
      </c>
      <c r="B81" t="s">
        <v>57</v>
      </c>
      <c r="C81" t="s">
        <v>70</v>
      </c>
      <c r="D81">
        <v>106517175</v>
      </c>
      <c r="E81" t="s">
        <v>84</v>
      </c>
      <c r="F81" t="s">
        <v>72</v>
      </c>
      <c r="G81">
        <v>0.51</v>
      </c>
      <c r="H81">
        <v>7.43</v>
      </c>
      <c r="I81">
        <v>0.05</v>
      </c>
      <c r="J81">
        <v>0</v>
      </c>
      <c r="K81">
        <v>7.98</v>
      </c>
      <c r="L81" t="s">
        <v>61</v>
      </c>
      <c r="M81">
        <v>361</v>
      </c>
      <c r="N81">
        <v>45.22</v>
      </c>
      <c r="O81" t="s">
        <v>62</v>
      </c>
      <c r="P81" t="s">
        <v>65</v>
      </c>
      <c r="Q81">
        <v>10</v>
      </c>
      <c r="R81">
        <v>211.76</v>
      </c>
    </row>
    <row r="82" spans="1:18" x14ac:dyDescent="0.35">
      <c r="A82" t="s">
        <v>56</v>
      </c>
      <c r="B82" t="s">
        <v>57</v>
      </c>
      <c r="C82" t="s">
        <v>70</v>
      </c>
      <c r="D82">
        <v>106517175</v>
      </c>
      <c r="E82" t="s">
        <v>84</v>
      </c>
      <c r="F82" t="s">
        <v>72</v>
      </c>
      <c r="G82">
        <v>0.51</v>
      </c>
      <c r="H82">
        <v>7.43</v>
      </c>
      <c r="I82">
        <v>0.05</v>
      </c>
      <c r="J82">
        <v>0</v>
      </c>
      <c r="K82">
        <v>7.98</v>
      </c>
      <c r="L82" t="s">
        <v>61</v>
      </c>
      <c r="M82">
        <v>361</v>
      </c>
      <c r="N82">
        <v>45.22</v>
      </c>
      <c r="O82" t="s">
        <v>62</v>
      </c>
      <c r="P82" t="s">
        <v>66</v>
      </c>
      <c r="Q82">
        <v>0</v>
      </c>
      <c r="R82">
        <v>0</v>
      </c>
    </row>
    <row r="83" spans="1:18" x14ac:dyDescent="0.35">
      <c r="A83" t="s">
        <v>56</v>
      </c>
      <c r="B83" t="s">
        <v>57</v>
      </c>
      <c r="C83" t="s">
        <v>70</v>
      </c>
      <c r="D83">
        <v>106517175</v>
      </c>
      <c r="E83" t="s">
        <v>84</v>
      </c>
      <c r="F83" t="s">
        <v>72</v>
      </c>
      <c r="G83">
        <v>0.51</v>
      </c>
      <c r="H83">
        <v>7.43</v>
      </c>
      <c r="I83">
        <v>0.05</v>
      </c>
      <c r="J83">
        <v>0</v>
      </c>
      <c r="K83">
        <v>7.98</v>
      </c>
      <c r="L83" t="s">
        <v>61</v>
      </c>
      <c r="M83">
        <v>361</v>
      </c>
      <c r="N83">
        <v>45.22</v>
      </c>
      <c r="O83" t="s">
        <v>62</v>
      </c>
      <c r="P83" t="s">
        <v>67</v>
      </c>
      <c r="Q83">
        <v>1800</v>
      </c>
      <c r="R83">
        <v>225.47</v>
      </c>
    </row>
    <row r="84" spans="1:18" x14ac:dyDescent="0.35">
      <c r="A84" t="s">
        <v>56</v>
      </c>
      <c r="B84" t="s">
        <v>57</v>
      </c>
      <c r="C84" t="s">
        <v>70</v>
      </c>
      <c r="D84">
        <v>106517175</v>
      </c>
      <c r="E84" t="s">
        <v>84</v>
      </c>
      <c r="F84" t="s">
        <v>72</v>
      </c>
      <c r="G84">
        <v>0.51</v>
      </c>
      <c r="H84">
        <v>7.43</v>
      </c>
      <c r="I84">
        <v>0.05</v>
      </c>
      <c r="J84">
        <v>0</v>
      </c>
      <c r="K84">
        <v>7.98</v>
      </c>
      <c r="L84" t="s">
        <v>61</v>
      </c>
      <c r="M84">
        <v>361</v>
      </c>
      <c r="N84">
        <v>45.22</v>
      </c>
      <c r="O84" t="s">
        <v>68</v>
      </c>
      <c r="P84" t="s">
        <v>67</v>
      </c>
      <c r="Q84">
        <v>361</v>
      </c>
      <c r="R84">
        <v>45.22</v>
      </c>
    </row>
    <row r="85" spans="1:18" x14ac:dyDescent="0.35">
      <c r="A85" t="s">
        <v>56</v>
      </c>
      <c r="B85" t="s">
        <v>57</v>
      </c>
      <c r="C85" t="s">
        <v>70</v>
      </c>
      <c r="D85">
        <v>106517175</v>
      </c>
      <c r="E85" t="s">
        <v>84</v>
      </c>
      <c r="F85" t="s">
        <v>72</v>
      </c>
      <c r="G85">
        <v>0.51</v>
      </c>
      <c r="H85">
        <v>7.43</v>
      </c>
      <c r="I85">
        <v>0.05</v>
      </c>
      <c r="J85">
        <v>0</v>
      </c>
      <c r="K85">
        <v>7.98</v>
      </c>
      <c r="L85" t="s">
        <v>61</v>
      </c>
      <c r="M85">
        <v>361</v>
      </c>
      <c r="N85">
        <v>45.22</v>
      </c>
      <c r="O85" t="s">
        <v>69</v>
      </c>
      <c r="P85" t="s">
        <v>67</v>
      </c>
      <c r="Q85">
        <v>0</v>
      </c>
      <c r="R85">
        <v>0</v>
      </c>
    </row>
    <row r="86" spans="1:18" x14ac:dyDescent="0.35">
      <c r="A86" t="s">
        <v>56</v>
      </c>
      <c r="B86" t="s">
        <v>57</v>
      </c>
      <c r="C86" t="s">
        <v>70</v>
      </c>
      <c r="D86">
        <v>106534472</v>
      </c>
      <c r="E86" t="s">
        <v>85</v>
      </c>
      <c r="F86" t="s">
        <v>60</v>
      </c>
      <c r="G86">
        <v>0</v>
      </c>
      <c r="H86">
        <v>6.99</v>
      </c>
      <c r="I86">
        <v>0.06</v>
      </c>
      <c r="J86">
        <v>0</v>
      </c>
      <c r="K86">
        <v>7.05</v>
      </c>
      <c r="L86" t="s">
        <v>61</v>
      </c>
      <c r="M86">
        <v>253</v>
      </c>
      <c r="N86">
        <v>35.89</v>
      </c>
      <c r="O86" t="s">
        <v>62</v>
      </c>
      <c r="P86" t="s">
        <v>63</v>
      </c>
      <c r="Q86">
        <v>0</v>
      </c>
      <c r="R86">
        <v>0</v>
      </c>
    </row>
    <row r="87" spans="1:18" x14ac:dyDescent="0.35">
      <c r="A87" t="s">
        <v>56</v>
      </c>
      <c r="B87" t="s">
        <v>57</v>
      </c>
      <c r="C87" t="s">
        <v>70</v>
      </c>
      <c r="D87">
        <v>106534472</v>
      </c>
      <c r="E87" t="s">
        <v>85</v>
      </c>
      <c r="F87" t="s">
        <v>60</v>
      </c>
      <c r="G87">
        <v>0</v>
      </c>
      <c r="H87">
        <v>6.99</v>
      </c>
      <c r="I87">
        <v>0.06</v>
      </c>
      <c r="J87">
        <v>0</v>
      </c>
      <c r="K87">
        <v>7.05</v>
      </c>
      <c r="L87" t="s">
        <v>61</v>
      </c>
      <c r="M87">
        <v>253</v>
      </c>
      <c r="N87">
        <v>35.89</v>
      </c>
      <c r="O87" t="s">
        <v>62</v>
      </c>
      <c r="P87" t="s">
        <v>64</v>
      </c>
      <c r="Q87">
        <v>857</v>
      </c>
      <c r="R87">
        <v>122.67</v>
      </c>
    </row>
    <row r="88" spans="1:18" x14ac:dyDescent="0.35">
      <c r="A88" t="s">
        <v>56</v>
      </c>
      <c r="B88" t="s">
        <v>57</v>
      </c>
      <c r="C88" t="s">
        <v>70</v>
      </c>
      <c r="D88">
        <v>106534472</v>
      </c>
      <c r="E88" t="s">
        <v>85</v>
      </c>
      <c r="F88" t="s">
        <v>60</v>
      </c>
      <c r="G88">
        <v>0</v>
      </c>
      <c r="H88">
        <v>6.99</v>
      </c>
      <c r="I88">
        <v>0.06</v>
      </c>
      <c r="J88">
        <v>0</v>
      </c>
      <c r="K88">
        <v>7.05</v>
      </c>
      <c r="L88" t="s">
        <v>61</v>
      </c>
      <c r="M88">
        <v>253</v>
      </c>
      <c r="N88">
        <v>35.89</v>
      </c>
      <c r="O88" t="s">
        <v>62</v>
      </c>
      <c r="P88" t="s">
        <v>65</v>
      </c>
      <c r="Q88">
        <v>10</v>
      </c>
      <c r="R88">
        <v>157.88999999999999</v>
      </c>
    </row>
    <row r="89" spans="1:18" x14ac:dyDescent="0.35">
      <c r="A89" t="s">
        <v>56</v>
      </c>
      <c r="B89" t="s">
        <v>57</v>
      </c>
      <c r="C89" t="s">
        <v>70</v>
      </c>
      <c r="D89">
        <v>106534472</v>
      </c>
      <c r="E89" t="s">
        <v>85</v>
      </c>
      <c r="F89" t="s">
        <v>60</v>
      </c>
      <c r="G89">
        <v>0</v>
      </c>
      <c r="H89">
        <v>6.99</v>
      </c>
      <c r="I89">
        <v>0.06</v>
      </c>
      <c r="J89">
        <v>0</v>
      </c>
      <c r="K89">
        <v>7.05</v>
      </c>
      <c r="L89" t="s">
        <v>61</v>
      </c>
      <c r="M89">
        <v>253</v>
      </c>
      <c r="N89">
        <v>35.89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70</v>
      </c>
      <c r="D90">
        <v>106534472</v>
      </c>
      <c r="E90" t="s">
        <v>85</v>
      </c>
      <c r="F90" t="s">
        <v>60</v>
      </c>
      <c r="G90">
        <v>0</v>
      </c>
      <c r="H90">
        <v>6.99</v>
      </c>
      <c r="I90">
        <v>0.06</v>
      </c>
      <c r="J90">
        <v>0</v>
      </c>
      <c r="K90">
        <v>7.05</v>
      </c>
      <c r="L90" t="s">
        <v>61</v>
      </c>
      <c r="M90">
        <v>253</v>
      </c>
      <c r="N90">
        <v>35.89</v>
      </c>
      <c r="O90" t="s">
        <v>62</v>
      </c>
      <c r="P90" t="s">
        <v>67</v>
      </c>
      <c r="Q90">
        <v>867</v>
      </c>
      <c r="R90">
        <v>122.98</v>
      </c>
    </row>
    <row r="91" spans="1:18" x14ac:dyDescent="0.35">
      <c r="A91" t="s">
        <v>56</v>
      </c>
      <c r="B91" t="s">
        <v>57</v>
      </c>
      <c r="C91" t="s">
        <v>70</v>
      </c>
      <c r="D91">
        <v>106534472</v>
      </c>
      <c r="E91" t="s">
        <v>85</v>
      </c>
      <c r="F91" t="s">
        <v>60</v>
      </c>
      <c r="G91">
        <v>0</v>
      </c>
      <c r="H91">
        <v>6.99</v>
      </c>
      <c r="I91">
        <v>0.06</v>
      </c>
      <c r="J91">
        <v>0</v>
      </c>
      <c r="K91">
        <v>7.05</v>
      </c>
      <c r="L91" t="s">
        <v>61</v>
      </c>
      <c r="M91">
        <v>253</v>
      </c>
      <c r="N91">
        <v>35.89</v>
      </c>
      <c r="O91" t="s">
        <v>68</v>
      </c>
      <c r="P91" t="s">
        <v>67</v>
      </c>
      <c r="Q91">
        <v>253</v>
      </c>
      <c r="R91">
        <v>35.89</v>
      </c>
    </row>
    <row r="92" spans="1:18" x14ac:dyDescent="0.35">
      <c r="A92" t="s">
        <v>56</v>
      </c>
      <c r="B92" t="s">
        <v>57</v>
      </c>
      <c r="C92" t="s">
        <v>70</v>
      </c>
      <c r="D92">
        <v>106534472</v>
      </c>
      <c r="E92" t="s">
        <v>85</v>
      </c>
      <c r="F92" t="s">
        <v>60</v>
      </c>
      <c r="G92">
        <v>0</v>
      </c>
      <c r="H92">
        <v>6.99</v>
      </c>
      <c r="I92">
        <v>0.06</v>
      </c>
      <c r="J92">
        <v>0</v>
      </c>
      <c r="K92">
        <v>7.05</v>
      </c>
      <c r="L92" t="s">
        <v>61</v>
      </c>
      <c r="M92">
        <v>253</v>
      </c>
      <c r="N92">
        <v>35.89</v>
      </c>
      <c r="O92" t="s">
        <v>69</v>
      </c>
      <c r="P92" t="s">
        <v>67</v>
      </c>
      <c r="Q92">
        <v>0</v>
      </c>
      <c r="R92">
        <v>0</v>
      </c>
    </row>
    <row r="93" spans="1:18" x14ac:dyDescent="0.35">
      <c r="A93" t="s">
        <v>56</v>
      </c>
      <c r="B93" t="s">
        <v>57</v>
      </c>
      <c r="C93" t="s">
        <v>70</v>
      </c>
      <c r="D93">
        <v>106576075</v>
      </c>
      <c r="E93" t="s">
        <v>86</v>
      </c>
      <c r="F93" t="s">
        <v>72</v>
      </c>
      <c r="G93">
        <v>0</v>
      </c>
      <c r="H93">
        <v>3.88</v>
      </c>
      <c r="I93">
        <v>0</v>
      </c>
      <c r="J93">
        <v>0</v>
      </c>
      <c r="K93">
        <v>3.88</v>
      </c>
      <c r="L93" t="s">
        <v>61</v>
      </c>
      <c r="M93">
        <v>174</v>
      </c>
      <c r="N93">
        <v>44.86</v>
      </c>
      <c r="O93" t="s">
        <v>62</v>
      </c>
      <c r="P93" t="s">
        <v>63</v>
      </c>
      <c r="Q93">
        <v>0</v>
      </c>
      <c r="R93">
        <v>0</v>
      </c>
    </row>
    <row r="94" spans="1:18" x14ac:dyDescent="0.35">
      <c r="A94" t="s">
        <v>56</v>
      </c>
      <c r="B94" t="s">
        <v>57</v>
      </c>
      <c r="C94" t="s">
        <v>70</v>
      </c>
      <c r="D94">
        <v>106576075</v>
      </c>
      <c r="E94" t="s">
        <v>86</v>
      </c>
      <c r="F94" t="s">
        <v>72</v>
      </c>
      <c r="G94">
        <v>0</v>
      </c>
      <c r="H94">
        <v>3.88</v>
      </c>
      <c r="I94">
        <v>0</v>
      </c>
      <c r="J94">
        <v>0</v>
      </c>
      <c r="K94">
        <v>3.88</v>
      </c>
      <c r="L94" t="s">
        <v>61</v>
      </c>
      <c r="M94">
        <v>174</v>
      </c>
      <c r="N94">
        <v>44.86</v>
      </c>
      <c r="O94" t="s">
        <v>62</v>
      </c>
      <c r="P94" t="s">
        <v>64</v>
      </c>
      <c r="Q94">
        <v>855</v>
      </c>
      <c r="R94">
        <v>220.46</v>
      </c>
    </row>
    <row r="95" spans="1:18" x14ac:dyDescent="0.35">
      <c r="A95" t="s">
        <v>56</v>
      </c>
      <c r="B95" t="s">
        <v>57</v>
      </c>
      <c r="C95" t="s">
        <v>70</v>
      </c>
      <c r="D95">
        <v>106576075</v>
      </c>
      <c r="E95" t="s">
        <v>86</v>
      </c>
      <c r="F95" t="s">
        <v>72</v>
      </c>
      <c r="G95">
        <v>0</v>
      </c>
      <c r="H95">
        <v>3.88</v>
      </c>
      <c r="I95">
        <v>0</v>
      </c>
      <c r="J95">
        <v>0</v>
      </c>
      <c r="K95">
        <v>3.88</v>
      </c>
      <c r="L95" t="s">
        <v>61</v>
      </c>
      <c r="M95">
        <v>174</v>
      </c>
      <c r="N95">
        <v>44.86</v>
      </c>
      <c r="O95" t="s">
        <v>62</v>
      </c>
      <c r="P95" t="s">
        <v>65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70</v>
      </c>
      <c r="D96">
        <v>106576075</v>
      </c>
      <c r="E96" t="s">
        <v>86</v>
      </c>
      <c r="F96" t="s">
        <v>72</v>
      </c>
      <c r="G96">
        <v>0</v>
      </c>
      <c r="H96">
        <v>3.88</v>
      </c>
      <c r="I96">
        <v>0</v>
      </c>
      <c r="J96">
        <v>0</v>
      </c>
      <c r="K96">
        <v>3.88</v>
      </c>
      <c r="L96" t="s">
        <v>61</v>
      </c>
      <c r="M96">
        <v>174</v>
      </c>
      <c r="N96">
        <v>44.86</v>
      </c>
      <c r="O96" t="s">
        <v>62</v>
      </c>
      <c r="P96" t="s">
        <v>66</v>
      </c>
      <c r="Q96">
        <v>0</v>
      </c>
      <c r="R96">
        <v>0</v>
      </c>
    </row>
    <row r="97" spans="1:18" x14ac:dyDescent="0.35">
      <c r="A97" t="s">
        <v>56</v>
      </c>
      <c r="B97" t="s">
        <v>57</v>
      </c>
      <c r="C97" t="s">
        <v>70</v>
      </c>
      <c r="D97">
        <v>106576075</v>
      </c>
      <c r="E97" t="s">
        <v>86</v>
      </c>
      <c r="F97" t="s">
        <v>72</v>
      </c>
      <c r="G97">
        <v>0</v>
      </c>
      <c r="H97">
        <v>3.88</v>
      </c>
      <c r="I97">
        <v>0</v>
      </c>
      <c r="J97">
        <v>0</v>
      </c>
      <c r="K97">
        <v>3.88</v>
      </c>
      <c r="L97" t="s">
        <v>61</v>
      </c>
      <c r="M97">
        <v>174</v>
      </c>
      <c r="N97">
        <v>44.86</v>
      </c>
      <c r="O97" t="s">
        <v>62</v>
      </c>
      <c r="P97" t="s">
        <v>67</v>
      </c>
      <c r="Q97">
        <v>855</v>
      </c>
      <c r="R97">
        <v>220.46</v>
      </c>
    </row>
    <row r="98" spans="1:18" x14ac:dyDescent="0.35">
      <c r="A98" t="s">
        <v>56</v>
      </c>
      <c r="B98" t="s">
        <v>57</v>
      </c>
      <c r="C98" t="s">
        <v>70</v>
      </c>
      <c r="D98">
        <v>106576075</v>
      </c>
      <c r="E98" t="s">
        <v>86</v>
      </c>
      <c r="F98" t="s">
        <v>72</v>
      </c>
      <c r="G98">
        <v>0</v>
      </c>
      <c r="H98">
        <v>3.88</v>
      </c>
      <c r="I98">
        <v>0</v>
      </c>
      <c r="J98">
        <v>0</v>
      </c>
      <c r="K98">
        <v>3.88</v>
      </c>
      <c r="L98" t="s">
        <v>61</v>
      </c>
      <c r="M98">
        <v>174</v>
      </c>
      <c r="N98">
        <v>44.86</v>
      </c>
      <c r="O98" t="s">
        <v>68</v>
      </c>
      <c r="P98" t="s">
        <v>67</v>
      </c>
      <c r="Q98">
        <v>173</v>
      </c>
      <c r="R98">
        <v>44.61</v>
      </c>
    </row>
    <row r="99" spans="1:18" x14ac:dyDescent="0.35">
      <c r="A99" t="s">
        <v>56</v>
      </c>
      <c r="B99" t="s">
        <v>57</v>
      </c>
      <c r="C99" t="s">
        <v>70</v>
      </c>
      <c r="D99">
        <v>106576075</v>
      </c>
      <c r="E99" t="s">
        <v>86</v>
      </c>
      <c r="F99" t="s">
        <v>72</v>
      </c>
      <c r="G99">
        <v>0</v>
      </c>
      <c r="H99">
        <v>3.88</v>
      </c>
      <c r="I99">
        <v>0</v>
      </c>
      <c r="J99">
        <v>0</v>
      </c>
      <c r="K99">
        <v>3.88</v>
      </c>
      <c r="L99" t="s">
        <v>61</v>
      </c>
      <c r="M99">
        <v>174</v>
      </c>
      <c r="N99">
        <v>44.86</v>
      </c>
      <c r="O99" t="s">
        <v>69</v>
      </c>
      <c r="P99" t="s">
        <v>67</v>
      </c>
      <c r="Q99">
        <v>1</v>
      </c>
      <c r="R99">
        <v>0.26</v>
      </c>
    </row>
    <row r="100" spans="1:18" x14ac:dyDescent="0.35">
      <c r="A100" t="s">
        <v>56</v>
      </c>
      <c r="B100" t="s">
        <v>57</v>
      </c>
      <c r="C100" t="s">
        <v>70</v>
      </c>
      <c r="D100">
        <v>106594105</v>
      </c>
      <c r="E100" t="s">
        <v>87</v>
      </c>
      <c r="F100" t="s">
        <v>80</v>
      </c>
      <c r="G100">
        <v>0.17</v>
      </c>
      <c r="H100">
        <v>7.01</v>
      </c>
      <c r="I100">
        <v>0</v>
      </c>
      <c r="J100">
        <v>0</v>
      </c>
      <c r="K100">
        <v>7.18</v>
      </c>
      <c r="L100" t="s">
        <v>61</v>
      </c>
      <c r="M100">
        <v>259</v>
      </c>
      <c r="N100">
        <v>36.06</v>
      </c>
      <c r="O100" t="s">
        <v>62</v>
      </c>
      <c r="P100" t="s">
        <v>63</v>
      </c>
      <c r="Q100">
        <v>166</v>
      </c>
      <c r="R100">
        <v>989.4</v>
      </c>
    </row>
    <row r="101" spans="1:18" x14ac:dyDescent="0.35">
      <c r="A101" t="s">
        <v>56</v>
      </c>
      <c r="B101" t="s">
        <v>57</v>
      </c>
      <c r="C101" t="s">
        <v>70</v>
      </c>
      <c r="D101">
        <v>106594105</v>
      </c>
      <c r="E101" t="s">
        <v>87</v>
      </c>
      <c r="F101" t="s">
        <v>80</v>
      </c>
      <c r="G101">
        <v>0.17</v>
      </c>
      <c r="H101">
        <v>7.01</v>
      </c>
      <c r="I101">
        <v>0</v>
      </c>
      <c r="J101">
        <v>0</v>
      </c>
      <c r="K101">
        <v>7.18</v>
      </c>
      <c r="L101" t="s">
        <v>61</v>
      </c>
      <c r="M101">
        <v>259</v>
      </c>
      <c r="N101">
        <v>36.06</v>
      </c>
      <c r="O101" t="s">
        <v>62</v>
      </c>
      <c r="P101" t="s">
        <v>64</v>
      </c>
      <c r="Q101">
        <v>1017</v>
      </c>
      <c r="R101">
        <v>144.99</v>
      </c>
    </row>
    <row r="102" spans="1:18" x14ac:dyDescent="0.35">
      <c r="A102" t="s">
        <v>56</v>
      </c>
      <c r="B102" t="s">
        <v>57</v>
      </c>
      <c r="C102" t="s">
        <v>70</v>
      </c>
      <c r="D102">
        <v>106594105</v>
      </c>
      <c r="E102" t="s">
        <v>87</v>
      </c>
      <c r="F102" t="s">
        <v>80</v>
      </c>
      <c r="G102">
        <v>0.17</v>
      </c>
      <c r="H102">
        <v>7.01</v>
      </c>
      <c r="I102">
        <v>0</v>
      </c>
      <c r="J102">
        <v>0</v>
      </c>
      <c r="K102">
        <v>7.18</v>
      </c>
      <c r="L102" t="s">
        <v>61</v>
      </c>
      <c r="M102">
        <v>259</v>
      </c>
      <c r="N102">
        <v>36.06</v>
      </c>
      <c r="O102" t="s">
        <v>62</v>
      </c>
      <c r="P102" t="s">
        <v>65</v>
      </c>
      <c r="Q102">
        <v>0</v>
      </c>
      <c r="R102">
        <v>0</v>
      </c>
    </row>
    <row r="103" spans="1:18" x14ac:dyDescent="0.35">
      <c r="A103" t="s">
        <v>56</v>
      </c>
      <c r="B103" t="s">
        <v>57</v>
      </c>
      <c r="C103" t="s">
        <v>70</v>
      </c>
      <c r="D103">
        <v>106594105</v>
      </c>
      <c r="E103" t="s">
        <v>87</v>
      </c>
      <c r="F103" t="s">
        <v>80</v>
      </c>
      <c r="G103">
        <v>0.17</v>
      </c>
      <c r="H103">
        <v>7.01</v>
      </c>
      <c r="I103">
        <v>0</v>
      </c>
      <c r="J103">
        <v>0</v>
      </c>
      <c r="K103">
        <v>7.18</v>
      </c>
      <c r="L103" t="s">
        <v>61</v>
      </c>
      <c r="M103">
        <v>259</v>
      </c>
      <c r="N103">
        <v>36.06</v>
      </c>
      <c r="O103" t="s">
        <v>62</v>
      </c>
      <c r="P103" t="s">
        <v>66</v>
      </c>
      <c r="Q103">
        <v>0</v>
      </c>
      <c r="R103">
        <v>0</v>
      </c>
    </row>
    <row r="104" spans="1:18" x14ac:dyDescent="0.35">
      <c r="A104" t="s">
        <v>56</v>
      </c>
      <c r="B104" t="s">
        <v>57</v>
      </c>
      <c r="C104" t="s">
        <v>70</v>
      </c>
      <c r="D104">
        <v>106594105</v>
      </c>
      <c r="E104" t="s">
        <v>87</v>
      </c>
      <c r="F104" t="s">
        <v>80</v>
      </c>
      <c r="G104">
        <v>0.17</v>
      </c>
      <c r="H104">
        <v>7.01</v>
      </c>
      <c r="I104">
        <v>0</v>
      </c>
      <c r="J104">
        <v>0</v>
      </c>
      <c r="K104">
        <v>7.18</v>
      </c>
      <c r="L104" t="s">
        <v>61</v>
      </c>
      <c r="M104">
        <v>259</v>
      </c>
      <c r="N104">
        <v>36.06</v>
      </c>
      <c r="O104" t="s">
        <v>62</v>
      </c>
      <c r="P104" t="s">
        <v>67</v>
      </c>
      <c r="Q104">
        <v>1183</v>
      </c>
      <c r="R104">
        <v>164.71</v>
      </c>
    </row>
    <row r="105" spans="1:18" x14ac:dyDescent="0.35">
      <c r="A105" t="s">
        <v>56</v>
      </c>
      <c r="B105" t="s">
        <v>57</v>
      </c>
      <c r="C105" t="s">
        <v>70</v>
      </c>
      <c r="D105">
        <v>106594105</v>
      </c>
      <c r="E105" t="s">
        <v>87</v>
      </c>
      <c r="F105" t="s">
        <v>80</v>
      </c>
      <c r="G105">
        <v>0.17</v>
      </c>
      <c r="H105">
        <v>7.01</v>
      </c>
      <c r="I105">
        <v>0</v>
      </c>
      <c r="J105">
        <v>0</v>
      </c>
      <c r="K105">
        <v>7.18</v>
      </c>
      <c r="L105" t="s">
        <v>61</v>
      </c>
      <c r="M105">
        <v>259</v>
      </c>
      <c r="N105">
        <v>36.06</v>
      </c>
      <c r="O105" t="s">
        <v>68</v>
      </c>
      <c r="P105" t="s">
        <v>67</v>
      </c>
      <c r="Q105">
        <v>259</v>
      </c>
      <c r="R105">
        <v>36.06</v>
      </c>
    </row>
    <row r="106" spans="1:18" x14ac:dyDescent="0.35">
      <c r="A106" t="s">
        <v>56</v>
      </c>
      <c r="B106" t="s">
        <v>57</v>
      </c>
      <c r="C106" t="s">
        <v>70</v>
      </c>
      <c r="D106">
        <v>106594105</v>
      </c>
      <c r="E106" t="s">
        <v>87</v>
      </c>
      <c r="F106" t="s">
        <v>80</v>
      </c>
      <c r="G106">
        <v>0.17</v>
      </c>
      <c r="H106">
        <v>7.01</v>
      </c>
      <c r="I106">
        <v>0</v>
      </c>
      <c r="J106">
        <v>0</v>
      </c>
      <c r="K106">
        <v>7.18</v>
      </c>
      <c r="L106" t="s">
        <v>61</v>
      </c>
      <c r="M106">
        <v>259</v>
      </c>
      <c r="N106">
        <v>36.06</v>
      </c>
      <c r="O106" t="s">
        <v>69</v>
      </c>
      <c r="P106" t="s">
        <v>67</v>
      </c>
      <c r="Q106">
        <v>0</v>
      </c>
      <c r="R106">
        <v>0</v>
      </c>
    </row>
    <row r="107" spans="1:18" x14ac:dyDescent="0.35">
      <c r="A107" t="s">
        <v>56</v>
      </c>
      <c r="B107" t="s">
        <v>57</v>
      </c>
      <c r="C107" t="s">
        <v>58</v>
      </c>
      <c r="D107">
        <v>106636925</v>
      </c>
      <c r="E107" t="s">
        <v>88</v>
      </c>
      <c r="F107" t="s">
        <v>72</v>
      </c>
      <c r="G107">
        <v>0.34</v>
      </c>
      <c r="H107">
        <v>9.75</v>
      </c>
      <c r="I107">
        <v>0.04</v>
      </c>
      <c r="J107">
        <v>0</v>
      </c>
      <c r="K107">
        <v>10.130000000000001</v>
      </c>
      <c r="L107" t="s">
        <v>61</v>
      </c>
      <c r="M107">
        <v>466</v>
      </c>
      <c r="N107">
        <v>45.99</v>
      </c>
      <c r="O107" t="s">
        <v>62</v>
      </c>
      <c r="P107" t="s">
        <v>63</v>
      </c>
      <c r="Q107">
        <v>429</v>
      </c>
      <c r="R107">
        <v>1255.6099999999999</v>
      </c>
    </row>
    <row r="108" spans="1:18" x14ac:dyDescent="0.35">
      <c r="A108" t="s">
        <v>56</v>
      </c>
      <c r="B108" t="s">
        <v>57</v>
      </c>
      <c r="C108" t="s">
        <v>58</v>
      </c>
      <c r="D108">
        <v>106636925</v>
      </c>
      <c r="E108" t="s">
        <v>88</v>
      </c>
      <c r="F108" t="s">
        <v>72</v>
      </c>
      <c r="G108">
        <v>0.34</v>
      </c>
      <c r="H108">
        <v>9.75</v>
      </c>
      <c r="I108">
        <v>0.04</v>
      </c>
      <c r="J108">
        <v>0</v>
      </c>
      <c r="K108">
        <v>10.130000000000001</v>
      </c>
      <c r="L108" t="s">
        <v>61</v>
      </c>
      <c r="M108">
        <v>466</v>
      </c>
      <c r="N108">
        <v>45.99</v>
      </c>
      <c r="O108" t="s">
        <v>62</v>
      </c>
      <c r="P108" t="s">
        <v>64</v>
      </c>
      <c r="Q108">
        <v>1795</v>
      </c>
      <c r="R108">
        <v>184.03</v>
      </c>
    </row>
    <row r="109" spans="1:18" x14ac:dyDescent="0.35">
      <c r="A109" t="s">
        <v>56</v>
      </c>
      <c r="B109" t="s">
        <v>57</v>
      </c>
      <c r="C109" t="s">
        <v>58</v>
      </c>
      <c r="D109">
        <v>106636925</v>
      </c>
      <c r="E109" t="s">
        <v>88</v>
      </c>
      <c r="F109" t="s">
        <v>72</v>
      </c>
      <c r="G109">
        <v>0.34</v>
      </c>
      <c r="H109">
        <v>9.75</v>
      </c>
      <c r="I109">
        <v>0.04</v>
      </c>
      <c r="J109">
        <v>0</v>
      </c>
      <c r="K109">
        <v>10.130000000000001</v>
      </c>
      <c r="L109" t="s">
        <v>61</v>
      </c>
      <c r="M109">
        <v>466</v>
      </c>
      <c r="N109">
        <v>45.99</v>
      </c>
      <c r="O109" t="s">
        <v>62</v>
      </c>
      <c r="P109" t="s">
        <v>65</v>
      </c>
      <c r="Q109">
        <v>9</v>
      </c>
      <c r="R109">
        <v>238.24</v>
      </c>
    </row>
    <row r="110" spans="1:18" x14ac:dyDescent="0.35">
      <c r="A110" t="s">
        <v>56</v>
      </c>
      <c r="B110" t="s">
        <v>57</v>
      </c>
      <c r="C110" t="s">
        <v>58</v>
      </c>
      <c r="D110">
        <v>106636925</v>
      </c>
      <c r="E110" t="s">
        <v>88</v>
      </c>
      <c r="F110" t="s">
        <v>72</v>
      </c>
      <c r="G110">
        <v>0.34</v>
      </c>
      <c r="H110">
        <v>9.75</v>
      </c>
      <c r="I110">
        <v>0.04</v>
      </c>
      <c r="J110">
        <v>0</v>
      </c>
      <c r="K110">
        <v>10.130000000000001</v>
      </c>
      <c r="L110" t="s">
        <v>61</v>
      </c>
      <c r="M110">
        <v>466</v>
      </c>
      <c r="N110">
        <v>45.99</v>
      </c>
      <c r="O110" t="s">
        <v>62</v>
      </c>
      <c r="P110" t="s">
        <v>66</v>
      </c>
      <c r="Q110">
        <v>0</v>
      </c>
      <c r="R110">
        <v>0</v>
      </c>
    </row>
    <row r="111" spans="1:18" x14ac:dyDescent="0.35">
      <c r="A111" t="s">
        <v>56</v>
      </c>
      <c r="B111" t="s">
        <v>57</v>
      </c>
      <c r="C111" t="s">
        <v>58</v>
      </c>
      <c r="D111">
        <v>106636925</v>
      </c>
      <c r="E111" t="s">
        <v>88</v>
      </c>
      <c r="F111" t="s">
        <v>72</v>
      </c>
      <c r="G111">
        <v>0.34</v>
      </c>
      <c r="H111">
        <v>9.75</v>
      </c>
      <c r="I111">
        <v>0.04</v>
      </c>
      <c r="J111">
        <v>0</v>
      </c>
      <c r="K111">
        <v>10.130000000000001</v>
      </c>
      <c r="L111" t="s">
        <v>61</v>
      </c>
      <c r="M111">
        <v>466</v>
      </c>
      <c r="N111">
        <v>45.99</v>
      </c>
      <c r="O111" t="s">
        <v>62</v>
      </c>
      <c r="P111" t="s">
        <v>67</v>
      </c>
      <c r="Q111">
        <v>2233</v>
      </c>
      <c r="R111">
        <v>220.36</v>
      </c>
    </row>
    <row r="112" spans="1:18" x14ac:dyDescent="0.35">
      <c r="A112" t="s">
        <v>56</v>
      </c>
      <c r="B112" t="s">
        <v>57</v>
      </c>
      <c r="C112" t="s">
        <v>58</v>
      </c>
      <c r="D112">
        <v>106636925</v>
      </c>
      <c r="E112" t="s">
        <v>88</v>
      </c>
      <c r="F112" t="s">
        <v>72</v>
      </c>
      <c r="G112">
        <v>0.34</v>
      </c>
      <c r="H112">
        <v>9.75</v>
      </c>
      <c r="I112">
        <v>0.04</v>
      </c>
      <c r="J112">
        <v>0</v>
      </c>
      <c r="K112">
        <v>10.130000000000001</v>
      </c>
      <c r="L112" t="s">
        <v>61</v>
      </c>
      <c r="M112">
        <v>466</v>
      </c>
      <c r="N112">
        <v>45.99</v>
      </c>
      <c r="O112" t="s">
        <v>68</v>
      </c>
      <c r="P112" t="s">
        <v>67</v>
      </c>
      <c r="Q112">
        <v>466</v>
      </c>
      <c r="R112">
        <v>45.99</v>
      </c>
    </row>
    <row r="113" spans="1:18" x14ac:dyDescent="0.35">
      <c r="A113" t="s">
        <v>56</v>
      </c>
      <c r="B113" t="s">
        <v>57</v>
      </c>
      <c r="C113" t="s">
        <v>58</v>
      </c>
      <c r="D113">
        <v>106636925</v>
      </c>
      <c r="E113" t="s">
        <v>88</v>
      </c>
      <c r="F113" t="s">
        <v>72</v>
      </c>
      <c r="G113">
        <v>0.34</v>
      </c>
      <c r="H113">
        <v>9.75</v>
      </c>
      <c r="I113">
        <v>0.04</v>
      </c>
      <c r="J113">
        <v>0</v>
      </c>
      <c r="K113">
        <v>10.130000000000001</v>
      </c>
      <c r="L113" t="s">
        <v>61</v>
      </c>
      <c r="M113">
        <v>466</v>
      </c>
      <c r="N113">
        <v>45.99</v>
      </c>
      <c r="O113" t="s">
        <v>69</v>
      </c>
      <c r="P113" t="s">
        <v>67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70</v>
      </c>
      <c r="D114">
        <v>106640096</v>
      </c>
      <c r="E114" t="s">
        <v>89</v>
      </c>
      <c r="F114" t="s">
        <v>72</v>
      </c>
      <c r="G114">
        <v>0.22</v>
      </c>
      <c r="H114">
        <v>8.7799999999999994</v>
      </c>
      <c r="I114">
        <v>0</v>
      </c>
      <c r="J114">
        <v>0</v>
      </c>
      <c r="K114">
        <v>9</v>
      </c>
      <c r="L114" t="s">
        <v>61</v>
      </c>
      <c r="M114">
        <v>467</v>
      </c>
      <c r="N114">
        <v>51.89</v>
      </c>
      <c r="O114" t="s">
        <v>62</v>
      </c>
      <c r="P114" t="s">
        <v>63</v>
      </c>
      <c r="Q114">
        <v>254</v>
      </c>
      <c r="R114">
        <v>1164.8399999999999</v>
      </c>
    </row>
    <row r="115" spans="1:18" x14ac:dyDescent="0.35">
      <c r="A115" t="s">
        <v>56</v>
      </c>
      <c r="B115" t="s">
        <v>57</v>
      </c>
      <c r="C115" t="s">
        <v>70</v>
      </c>
      <c r="D115">
        <v>106640096</v>
      </c>
      <c r="E115" t="s">
        <v>89</v>
      </c>
      <c r="F115" t="s">
        <v>72</v>
      </c>
      <c r="G115">
        <v>0.22</v>
      </c>
      <c r="H115">
        <v>8.7799999999999994</v>
      </c>
      <c r="I115">
        <v>0</v>
      </c>
      <c r="J115">
        <v>0</v>
      </c>
      <c r="K115">
        <v>9</v>
      </c>
      <c r="L115" t="s">
        <v>61</v>
      </c>
      <c r="M115">
        <v>467</v>
      </c>
      <c r="N115">
        <v>51.89</v>
      </c>
      <c r="O115" t="s">
        <v>62</v>
      </c>
      <c r="P115" t="s">
        <v>64</v>
      </c>
      <c r="Q115">
        <v>1498</v>
      </c>
      <c r="R115">
        <v>170.58</v>
      </c>
    </row>
    <row r="116" spans="1:18" x14ac:dyDescent="0.35">
      <c r="A116" t="s">
        <v>56</v>
      </c>
      <c r="B116" t="s">
        <v>57</v>
      </c>
      <c r="C116" t="s">
        <v>70</v>
      </c>
      <c r="D116">
        <v>106640096</v>
      </c>
      <c r="E116" t="s">
        <v>89</v>
      </c>
      <c r="F116" t="s">
        <v>72</v>
      </c>
      <c r="G116">
        <v>0.22</v>
      </c>
      <c r="H116">
        <v>8.7799999999999994</v>
      </c>
      <c r="I116">
        <v>0</v>
      </c>
      <c r="J116">
        <v>0</v>
      </c>
      <c r="K116">
        <v>9</v>
      </c>
      <c r="L116" t="s">
        <v>61</v>
      </c>
      <c r="M116">
        <v>467</v>
      </c>
      <c r="N116">
        <v>51.89</v>
      </c>
      <c r="O116" t="s">
        <v>62</v>
      </c>
      <c r="P116" t="s">
        <v>65</v>
      </c>
      <c r="Q116">
        <v>0</v>
      </c>
      <c r="R116">
        <v>0</v>
      </c>
    </row>
    <row r="117" spans="1:18" x14ac:dyDescent="0.35">
      <c r="A117" t="s">
        <v>56</v>
      </c>
      <c r="B117" t="s">
        <v>57</v>
      </c>
      <c r="C117" t="s">
        <v>70</v>
      </c>
      <c r="D117">
        <v>106640096</v>
      </c>
      <c r="E117" t="s">
        <v>89</v>
      </c>
      <c r="F117" t="s">
        <v>72</v>
      </c>
      <c r="G117">
        <v>0.22</v>
      </c>
      <c r="H117">
        <v>8.7799999999999994</v>
      </c>
      <c r="I117">
        <v>0</v>
      </c>
      <c r="J117">
        <v>0</v>
      </c>
      <c r="K117">
        <v>9</v>
      </c>
      <c r="L117" t="s">
        <v>61</v>
      </c>
      <c r="M117">
        <v>467</v>
      </c>
      <c r="N117">
        <v>51.89</v>
      </c>
      <c r="O117" t="s">
        <v>62</v>
      </c>
      <c r="P117" t="s">
        <v>66</v>
      </c>
      <c r="Q117">
        <v>0</v>
      </c>
      <c r="R117">
        <v>0</v>
      </c>
    </row>
    <row r="118" spans="1:18" x14ac:dyDescent="0.35">
      <c r="A118" t="s">
        <v>56</v>
      </c>
      <c r="B118" t="s">
        <v>57</v>
      </c>
      <c r="C118" t="s">
        <v>70</v>
      </c>
      <c r="D118">
        <v>106640096</v>
      </c>
      <c r="E118" t="s">
        <v>89</v>
      </c>
      <c r="F118" t="s">
        <v>72</v>
      </c>
      <c r="G118">
        <v>0.22</v>
      </c>
      <c r="H118">
        <v>8.7799999999999994</v>
      </c>
      <c r="I118">
        <v>0</v>
      </c>
      <c r="J118">
        <v>0</v>
      </c>
      <c r="K118">
        <v>9</v>
      </c>
      <c r="L118" t="s">
        <v>61</v>
      </c>
      <c r="M118">
        <v>467</v>
      </c>
      <c r="N118">
        <v>51.89</v>
      </c>
      <c r="O118" t="s">
        <v>62</v>
      </c>
      <c r="P118" t="s">
        <v>67</v>
      </c>
      <c r="Q118">
        <v>1752</v>
      </c>
      <c r="R118">
        <v>194.67</v>
      </c>
    </row>
    <row r="119" spans="1:18" x14ac:dyDescent="0.35">
      <c r="A119" t="s">
        <v>56</v>
      </c>
      <c r="B119" t="s">
        <v>57</v>
      </c>
      <c r="C119" t="s">
        <v>70</v>
      </c>
      <c r="D119">
        <v>106640096</v>
      </c>
      <c r="E119" t="s">
        <v>89</v>
      </c>
      <c r="F119" t="s">
        <v>72</v>
      </c>
      <c r="G119">
        <v>0.22</v>
      </c>
      <c r="H119">
        <v>8.7799999999999994</v>
      </c>
      <c r="I119">
        <v>0</v>
      </c>
      <c r="J119">
        <v>0</v>
      </c>
      <c r="K119">
        <v>9</v>
      </c>
      <c r="L119" t="s">
        <v>61</v>
      </c>
      <c r="M119">
        <v>467</v>
      </c>
      <c r="N119">
        <v>51.89</v>
      </c>
      <c r="O119" t="s">
        <v>68</v>
      </c>
      <c r="P119" t="s">
        <v>67</v>
      </c>
      <c r="Q119">
        <v>467</v>
      </c>
      <c r="R119">
        <v>51.89</v>
      </c>
    </row>
    <row r="120" spans="1:18" x14ac:dyDescent="0.35">
      <c r="A120" t="s">
        <v>56</v>
      </c>
      <c r="B120" t="s">
        <v>57</v>
      </c>
      <c r="C120" t="s">
        <v>70</v>
      </c>
      <c r="D120">
        <v>106640096</v>
      </c>
      <c r="E120" t="s">
        <v>89</v>
      </c>
      <c r="F120" t="s">
        <v>72</v>
      </c>
      <c r="G120">
        <v>0.22</v>
      </c>
      <c r="H120">
        <v>8.7799999999999994</v>
      </c>
      <c r="I120">
        <v>0</v>
      </c>
      <c r="J120">
        <v>0</v>
      </c>
      <c r="K120">
        <v>9</v>
      </c>
      <c r="L120" t="s">
        <v>61</v>
      </c>
      <c r="M120">
        <v>467</v>
      </c>
      <c r="N120">
        <v>51.89</v>
      </c>
      <c r="O120" t="s">
        <v>69</v>
      </c>
      <c r="P120" t="s">
        <v>67</v>
      </c>
      <c r="Q120">
        <v>0</v>
      </c>
      <c r="R120">
        <v>0</v>
      </c>
    </row>
    <row r="121" spans="1:18" x14ac:dyDescent="0.35">
      <c r="A121" t="s">
        <v>56</v>
      </c>
      <c r="B121" t="s">
        <v>57</v>
      </c>
      <c r="C121" t="s">
        <v>70</v>
      </c>
      <c r="D121">
        <v>107102430</v>
      </c>
      <c r="E121" t="s">
        <v>90</v>
      </c>
      <c r="F121" t="s">
        <v>72</v>
      </c>
      <c r="G121">
        <v>0.22</v>
      </c>
      <c r="H121">
        <v>9.69</v>
      </c>
      <c r="I121">
        <v>0.01</v>
      </c>
      <c r="J121">
        <v>0</v>
      </c>
      <c r="K121">
        <v>9.92</v>
      </c>
      <c r="L121" t="s">
        <v>61</v>
      </c>
      <c r="M121">
        <v>492</v>
      </c>
      <c r="N121">
        <v>49.61</v>
      </c>
      <c r="O121" t="s">
        <v>62</v>
      </c>
      <c r="P121" t="s">
        <v>63</v>
      </c>
      <c r="Q121">
        <v>348</v>
      </c>
      <c r="R121">
        <v>1612.36</v>
      </c>
    </row>
    <row r="122" spans="1:18" x14ac:dyDescent="0.35">
      <c r="A122" t="s">
        <v>56</v>
      </c>
      <c r="B122" t="s">
        <v>57</v>
      </c>
      <c r="C122" t="s">
        <v>70</v>
      </c>
      <c r="D122">
        <v>107102430</v>
      </c>
      <c r="E122" t="s">
        <v>90</v>
      </c>
      <c r="F122" t="s">
        <v>72</v>
      </c>
      <c r="G122">
        <v>0.22</v>
      </c>
      <c r="H122">
        <v>9.69</v>
      </c>
      <c r="I122">
        <v>0.01</v>
      </c>
      <c r="J122">
        <v>0</v>
      </c>
      <c r="K122">
        <v>9.92</v>
      </c>
      <c r="L122" t="s">
        <v>61</v>
      </c>
      <c r="M122">
        <v>492</v>
      </c>
      <c r="N122">
        <v>49.61</v>
      </c>
      <c r="O122" t="s">
        <v>62</v>
      </c>
      <c r="P122" t="s">
        <v>64</v>
      </c>
      <c r="Q122">
        <v>2290</v>
      </c>
      <c r="R122">
        <v>236.23</v>
      </c>
    </row>
    <row r="123" spans="1:18" x14ac:dyDescent="0.35">
      <c r="A123" t="s">
        <v>56</v>
      </c>
      <c r="B123" t="s">
        <v>57</v>
      </c>
      <c r="C123" t="s">
        <v>70</v>
      </c>
      <c r="D123">
        <v>107102430</v>
      </c>
      <c r="E123" t="s">
        <v>90</v>
      </c>
      <c r="F123" t="s">
        <v>72</v>
      </c>
      <c r="G123">
        <v>0.22</v>
      </c>
      <c r="H123">
        <v>9.69</v>
      </c>
      <c r="I123">
        <v>0.01</v>
      </c>
      <c r="J123">
        <v>0</v>
      </c>
      <c r="K123">
        <v>9.92</v>
      </c>
      <c r="L123" t="s">
        <v>61</v>
      </c>
      <c r="M123">
        <v>492</v>
      </c>
      <c r="N123">
        <v>49.61</v>
      </c>
      <c r="O123" t="s">
        <v>62</v>
      </c>
      <c r="P123" t="s">
        <v>65</v>
      </c>
      <c r="Q123">
        <v>2</v>
      </c>
      <c r="R123">
        <v>313.04000000000002</v>
      </c>
    </row>
    <row r="124" spans="1:18" x14ac:dyDescent="0.35">
      <c r="A124" t="s">
        <v>56</v>
      </c>
      <c r="B124" t="s">
        <v>57</v>
      </c>
      <c r="C124" t="s">
        <v>70</v>
      </c>
      <c r="D124">
        <v>107102430</v>
      </c>
      <c r="E124" t="s">
        <v>90</v>
      </c>
      <c r="F124" t="s">
        <v>72</v>
      </c>
      <c r="G124">
        <v>0.22</v>
      </c>
      <c r="H124">
        <v>9.69</v>
      </c>
      <c r="I124">
        <v>0.01</v>
      </c>
      <c r="J124">
        <v>0</v>
      </c>
      <c r="K124">
        <v>9.92</v>
      </c>
      <c r="L124" t="s">
        <v>61</v>
      </c>
      <c r="M124">
        <v>492</v>
      </c>
      <c r="N124">
        <v>49.61</v>
      </c>
      <c r="O124" t="s">
        <v>62</v>
      </c>
      <c r="P124" t="s">
        <v>66</v>
      </c>
      <c r="Q124">
        <v>0</v>
      </c>
      <c r="R124">
        <v>0</v>
      </c>
    </row>
    <row r="125" spans="1:18" x14ac:dyDescent="0.35">
      <c r="A125" t="s">
        <v>56</v>
      </c>
      <c r="B125" t="s">
        <v>57</v>
      </c>
      <c r="C125" t="s">
        <v>70</v>
      </c>
      <c r="D125">
        <v>107102430</v>
      </c>
      <c r="E125" t="s">
        <v>90</v>
      </c>
      <c r="F125" t="s">
        <v>72</v>
      </c>
      <c r="G125">
        <v>0.22</v>
      </c>
      <c r="H125">
        <v>9.69</v>
      </c>
      <c r="I125">
        <v>0.01</v>
      </c>
      <c r="J125">
        <v>0</v>
      </c>
      <c r="K125">
        <v>9.92</v>
      </c>
      <c r="L125" t="s">
        <v>61</v>
      </c>
      <c r="M125">
        <v>492</v>
      </c>
      <c r="N125">
        <v>49.61</v>
      </c>
      <c r="O125" t="s">
        <v>62</v>
      </c>
      <c r="P125" t="s">
        <v>67</v>
      </c>
      <c r="Q125">
        <v>2640</v>
      </c>
      <c r="R125">
        <v>266.22000000000003</v>
      </c>
    </row>
    <row r="126" spans="1:18" x14ac:dyDescent="0.35">
      <c r="A126" t="s">
        <v>56</v>
      </c>
      <c r="B126" t="s">
        <v>57</v>
      </c>
      <c r="C126" t="s">
        <v>70</v>
      </c>
      <c r="D126">
        <v>107102430</v>
      </c>
      <c r="E126" t="s">
        <v>90</v>
      </c>
      <c r="F126" t="s">
        <v>72</v>
      </c>
      <c r="G126">
        <v>0.22</v>
      </c>
      <c r="H126">
        <v>9.69</v>
      </c>
      <c r="I126">
        <v>0.01</v>
      </c>
      <c r="J126">
        <v>0</v>
      </c>
      <c r="K126">
        <v>9.92</v>
      </c>
      <c r="L126" t="s">
        <v>61</v>
      </c>
      <c r="M126">
        <v>492</v>
      </c>
      <c r="N126">
        <v>49.61</v>
      </c>
      <c r="O126" t="s">
        <v>68</v>
      </c>
      <c r="P126" t="s">
        <v>67</v>
      </c>
      <c r="Q126">
        <v>492</v>
      </c>
      <c r="R126">
        <v>49.61</v>
      </c>
    </row>
    <row r="127" spans="1:18" x14ac:dyDescent="0.35">
      <c r="A127" t="s">
        <v>56</v>
      </c>
      <c r="B127" t="s">
        <v>57</v>
      </c>
      <c r="C127" t="s">
        <v>70</v>
      </c>
      <c r="D127">
        <v>107102430</v>
      </c>
      <c r="E127" t="s">
        <v>90</v>
      </c>
      <c r="F127" t="s">
        <v>72</v>
      </c>
      <c r="G127">
        <v>0.22</v>
      </c>
      <c r="H127">
        <v>9.69</v>
      </c>
      <c r="I127">
        <v>0.01</v>
      </c>
      <c r="J127">
        <v>0</v>
      </c>
      <c r="K127">
        <v>9.92</v>
      </c>
      <c r="L127" t="s">
        <v>61</v>
      </c>
      <c r="M127">
        <v>492</v>
      </c>
      <c r="N127">
        <v>49.61</v>
      </c>
      <c r="O127" t="s">
        <v>69</v>
      </c>
      <c r="P127" t="s">
        <v>67</v>
      </c>
      <c r="Q127">
        <v>0</v>
      </c>
      <c r="R127">
        <v>0</v>
      </c>
    </row>
    <row r="128" spans="1:18" x14ac:dyDescent="0.35">
      <c r="A128" t="s">
        <v>56</v>
      </c>
      <c r="B128" t="s">
        <v>57</v>
      </c>
      <c r="C128" t="s">
        <v>58</v>
      </c>
      <c r="D128">
        <v>107221179</v>
      </c>
      <c r="E128" t="s">
        <v>91</v>
      </c>
      <c r="F128" t="s">
        <v>72</v>
      </c>
      <c r="G128">
        <v>0</v>
      </c>
      <c r="H128">
        <v>6.54</v>
      </c>
      <c r="I128">
        <v>0.1</v>
      </c>
      <c r="J128">
        <v>0</v>
      </c>
      <c r="K128">
        <v>6.63</v>
      </c>
      <c r="L128" t="s">
        <v>61</v>
      </c>
      <c r="M128">
        <v>281</v>
      </c>
      <c r="N128">
        <v>42.37</v>
      </c>
      <c r="O128" t="s">
        <v>62</v>
      </c>
      <c r="P128" t="s">
        <v>63</v>
      </c>
      <c r="Q128">
        <v>0</v>
      </c>
      <c r="R128">
        <v>0</v>
      </c>
    </row>
    <row r="129" spans="1:18" x14ac:dyDescent="0.35">
      <c r="A129" t="s">
        <v>56</v>
      </c>
      <c r="B129" t="s">
        <v>57</v>
      </c>
      <c r="C129" t="s">
        <v>58</v>
      </c>
      <c r="D129">
        <v>107221179</v>
      </c>
      <c r="E129" t="s">
        <v>91</v>
      </c>
      <c r="F129" t="s">
        <v>72</v>
      </c>
      <c r="G129">
        <v>0</v>
      </c>
      <c r="H129">
        <v>6.54</v>
      </c>
      <c r="I129">
        <v>0.1</v>
      </c>
      <c r="J129">
        <v>0</v>
      </c>
      <c r="K129">
        <v>6.63</v>
      </c>
      <c r="L129" t="s">
        <v>61</v>
      </c>
      <c r="M129">
        <v>281</v>
      </c>
      <c r="N129">
        <v>42.37</v>
      </c>
      <c r="O129" t="s">
        <v>62</v>
      </c>
      <c r="P129" t="s">
        <v>64</v>
      </c>
      <c r="Q129">
        <v>1176</v>
      </c>
      <c r="R129">
        <v>179.92</v>
      </c>
    </row>
    <row r="130" spans="1:18" x14ac:dyDescent="0.35">
      <c r="A130" t="s">
        <v>56</v>
      </c>
      <c r="B130" t="s">
        <v>57</v>
      </c>
      <c r="C130" t="s">
        <v>58</v>
      </c>
      <c r="D130">
        <v>107221179</v>
      </c>
      <c r="E130" t="s">
        <v>91</v>
      </c>
      <c r="F130" t="s">
        <v>72</v>
      </c>
      <c r="G130">
        <v>0</v>
      </c>
      <c r="H130">
        <v>6.54</v>
      </c>
      <c r="I130">
        <v>0.1</v>
      </c>
      <c r="J130">
        <v>0</v>
      </c>
      <c r="K130">
        <v>6.63</v>
      </c>
      <c r="L130" t="s">
        <v>61</v>
      </c>
      <c r="M130">
        <v>281</v>
      </c>
      <c r="N130">
        <v>42.37</v>
      </c>
      <c r="O130" t="s">
        <v>62</v>
      </c>
      <c r="P130" t="s">
        <v>65</v>
      </c>
      <c r="Q130">
        <v>22</v>
      </c>
      <c r="R130">
        <v>231.58</v>
      </c>
    </row>
    <row r="131" spans="1:18" x14ac:dyDescent="0.35">
      <c r="A131" t="s">
        <v>56</v>
      </c>
      <c r="B131" t="s">
        <v>57</v>
      </c>
      <c r="C131" t="s">
        <v>58</v>
      </c>
      <c r="D131">
        <v>107221179</v>
      </c>
      <c r="E131" t="s">
        <v>91</v>
      </c>
      <c r="F131" t="s">
        <v>72</v>
      </c>
      <c r="G131">
        <v>0</v>
      </c>
      <c r="H131">
        <v>6.54</v>
      </c>
      <c r="I131">
        <v>0.1</v>
      </c>
      <c r="J131">
        <v>0</v>
      </c>
      <c r="K131">
        <v>6.63</v>
      </c>
      <c r="L131" t="s">
        <v>61</v>
      </c>
      <c r="M131">
        <v>281</v>
      </c>
      <c r="N131">
        <v>42.37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58</v>
      </c>
      <c r="D132">
        <v>107221179</v>
      </c>
      <c r="E132" t="s">
        <v>91</v>
      </c>
      <c r="F132" t="s">
        <v>72</v>
      </c>
      <c r="G132">
        <v>0</v>
      </c>
      <c r="H132">
        <v>6.54</v>
      </c>
      <c r="I132">
        <v>0.1</v>
      </c>
      <c r="J132">
        <v>0</v>
      </c>
      <c r="K132">
        <v>6.63</v>
      </c>
      <c r="L132" t="s">
        <v>61</v>
      </c>
      <c r="M132">
        <v>281</v>
      </c>
      <c r="N132">
        <v>42.37</v>
      </c>
      <c r="O132" t="s">
        <v>62</v>
      </c>
      <c r="P132" t="s">
        <v>67</v>
      </c>
      <c r="Q132">
        <v>1198</v>
      </c>
      <c r="R132">
        <v>180.65</v>
      </c>
    </row>
    <row r="133" spans="1:18" x14ac:dyDescent="0.35">
      <c r="A133" t="s">
        <v>56</v>
      </c>
      <c r="B133" t="s">
        <v>57</v>
      </c>
      <c r="C133" t="s">
        <v>58</v>
      </c>
      <c r="D133">
        <v>107221179</v>
      </c>
      <c r="E133" t="s">
        <v>91</v>
      </c>
      <c r="F133" t="s">
        <v>72</v>
      </c>
      <c r="G133">
        <v>0</v>
      </c>
      <c r="H133">
        <v>6.54</v>
      </c>
      <c r="I133">
        <v>0.1</v>
      </c>
      <c r="J133">
        <v>0</v>
      </c>
      <c r="K133">
        <v>6.63</v>
      </c>
      <c r="L133" t="s">
        <v>61</v>
      </c>
      <c r="M133">
        <v>281</v>
      </c>
      <c r="N133">
        <v>42.37</v>
      </c>
      <c r="O133" t="s">
        <v>68</v>
      </c>
      <c r="P133" t="s">
        <v>67</v>
      </c>
      <c r="Q133">
        <v>281</v>
      </c>
      <c r="R133">
        <v>42.37</v>
      </c>
    </row>
    <row r="134" spans="1:18" x14ac:dyDescent="0.35">
      <c r="A134" t="s">
        <v>56</v>
      </c>
      <c r="B134" t="s">
        <v>57</v>
      </c>
      <c r="C134" t="s">
        <v>58</v>
      </c>
      <c r="D134">
        <v>107221179</v>
      </c>
      <c r="E134" t="s">
        <v>91</v>
      </c>
      <c r="F134" t="s">
        <v>72</v>
      </c>
      <c r="G134">
        <v>0</v>
      </c>
      <c r="H134">
        <v>6.54</v>
      </c>
      <c r="I134">
        <v>0.1</v>
      </c>
      <c r="J134">
        <v>0</v>
      </c>
      <c r="K134">
        <v>6.63</v>
      </c>
      <c r="L134" t="s">
        <v>61</v>
      </c>
      <c r="M134">
        <v>281</v>
      </c>
      <c r="N134">
        <v>42.37</v>
      </c>
      <c r="O134" t="s">
        <v>69</v>
      </c>
      <c r="P134" t="s">
        <v>67</v>
      </c>
      <c r="Q134">
        <v>0</v>
      </c>
      <c r="R134">
        <v>0</v>
      </c>
    </row>
    <row r="135" spans="1:18" x14ac:dyDescent="0.35">
      <c r="A135" t="s">
        <v>56</v>
      </c>
      <c r="B135" t="s">
        <v>57</v>
      </c>
      <c r="C135" t="s">
        <v>70</v>
      </c>
      <c r="D135">
        <v>107221210</v>
      </c>
      <c r="E135" t="s">
        <v>92</v>
      </c>
      <c r="F135" t="s">
        <v>60</v>
      </c>
      <c r="G135">
        <v>0.32</v>
      </c>
      <c r="H135">
        <v>9.7799999999999994</v>
      </c>
      <c r="I135">
        <v>0</v>
      </c>
      <c r="J135">
        <v>0</v>
      </c>
      <c r="K135">
        <v>10.1</v>
      </c>
      <c r="L135" t="s">
        <v>61</v>
      </c>
      <c r="M135">
        <v>453</v>
      </c>
      <c r="N135">
        <v>44.85</v>
      </c>
      <c r="O135" t="s">
        <v>62</v>
      </c>
      <c r="P135" t="s">
        <v>63</v>
      </c>
      <c r="Q135">
        <v>538</v>
      </c>
      <c r="R135">
        <v>1666.78</v>
      </c>
    </row>
    <row r="136" spans="1:18" x14ac:dyDescent="0.35">
      <c r="A136" t="s">
        <v>56</v>
      </c>
      <c r="B136" t="s">
        <v>57</v>
      </c>
      <c r="C136" t="s">
        <v>70</v>
      </c>
      <c r="D136">
        <v>107221210</v>
      </c>
      <c r="E136" t="s">
        <v>92</v>
      </c>
      <c r="F136" t="s">
        <v>60</v>
      </c>
      <c r="G136">
        <v>0.32</v>
      </c>
      <c r="H136">
        <v>9.7799999999999994</v>
      </c>
      <c r="I136">
        <v>0</v>
      </c>
      <c r="J136">
        <v>0</v>
      </c>
      <c r="K136">
        <v>10.1</v>
      </c>
      <c r="L136" t="s">
        <v>61</v>
      </c>
      <c r="M136">
        <v>453</v>
      </c>
      <c r="N136">
        <v>44.85</v>
      </c>
      <c r="O136" t="s">
        <v>62</v>
      </c>
      <c r="P136" t="s">
        <v>64</v>
      </c>
      <c r="Q136">
        <v>2387</v>
      </c>
      <c r="R136">
        <v>244.15</v>
      </c>
    </row>
    <row r="137" spans="1:18" x14ac:dyDescent="0.35">
      <c r="A137" t="s">
        <v>56</v>
      </c>
      <c r="B137" t="s">
        <v>57</v>
      </c>
      <c r="C137" t="s">
        <v>70</v>
      </c>
      <c r="D137">
        <v>107221210</v>
      </c>
      <c r="E137" t="s">
        <v>92</v>
      </c>
      <c r="F137" t="s">
        <v>60</v>
      </c>
      <c r="G137">
        <v>0.32</v>
      </c>
      <c r="H137">
        <v>9.7799999999999994</v>
      </c>
      <c r="I137">
        <v>0</v>
      </c>
      <c r="J137">
        <v>0</v>
      </c>
      <c r="K137">
        <v>10.1</v>
      </c>
      <c r="L137" t="s">
        <v>61</v>
      </c>
      <c r="M137">
        <v>453</v>
      </c>
      <c r="N137">
        <v>44.85</v>
      </c>
      <c r="O137" t="s">
        <v>62</v>
      </c>
      <c r="P137" t="s">
        <v>65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70</v>
      </c>
      <c r="D138">
        <v>107221210</v>
      </c>
      <c r="E138" t="s">
        <v>92</v>
      </c>
      <c r="F138" t="s">
        <v>60</v>
      </c>
      <c r="G138">
        <v>0.32</v>
      </c>
      <c r="H138">
        <v>9.7799999999999994</v>
      </c>
      <c r="I138">
        <v>0</v>
      </c>
      <c r="J138">
        <v>0</v>
      </c>
      <c r="K138">
        <v>10.1</v>
      </c>
      <c r="L138" t="s">
        <v>61</v>
      </c>
      <c r="M138">
        <v>453</v>
      </c>
      <c r="N138">
        <v>44.85</v>
      </c>
      <c r="O138" t="s">
        <v>62</v>
      </c>
      <c r="P138" t="s">
        <v>66</v>
      </c>
      <c r="Q138">
        <v>0</v>
      </c>
      <c r="R138">
        <v>0</v>
      </c>
    </row>
    <row r="139" spans="1:18" x14ac:dyDescent="0.35">
      <c r="A139" t="s">
        <v>56</v>
      </c>
      <c r="B139" t="s">
        <v>57</v>
      </c>
      <c r="C139" t="s">
        <v>70</v>
      </c>
      <c r="D139">
        <v>107221210</v>
      </c>
      <c r="E139" t="s">
        <v>92</v>
      </c>
      <c r="F139" t="s">
        <v>60</v>
      </c>
      <c r="G139">
        <v>0.32</v>
      </c>
      <c r="H139">
        <v>9.7799999999999994</v>
      </c>
      <c r="I139">
        <v>0</v>
      </c>
      <c r="J139">
        <v>0</v>
      </c>
      <c r="K139">
        <v>10.1</v>
      </c>
      <c r="L139" t="s">
        <v>61</v>
      </c>
      <c r="M139">
        <v>453</v>
      </c>
      <c r="N139">
        <v>44.85</v>
      </c>
      <c r="O139" t="s">
        <v>62</v>
      </c>
      <c r="P139" t="s">
        <v>67</v>
      </c>
      <c r="Q139">
        <v>2925</v>
      </c>
      <c r="R139">
        <v>289.60000000000002</v>
      </c>
    </row>
    <row r="140" spans="1:18" x14ac:dyDescent="0.35">
      <c r="A140" t="s">
        <v>56</v>
      </c>
      <c r="B140" t="s">
        <v>57</v>
      </c>
      <c r="C140" t="s">
        <v>70</v>
      </c>
      <c r="D140">
        <v>107221210</v>
      </c>
      <c r="E140" t="s">
        <v>92</v>
      </c>
      <c r="F140" t="s">
        <v>60</v>
      </c>
      <c r="G140">
        <v>0.32</v>
      </c>
      <c r="H140">
        <v>9.7799999999999994</v>
      </c>
      <c r="I140">
        <v>0</v>
      </c>
      <c r="J140">
        <v>0</v>
      </c>
      <c r="K140">
        <v>10.1</v>
      </c>
      <c r="L140" t="s">
        <v>61</v>
      </c>
      <c r="M140">
        <v>453</v>
      </c>
      <c r="N140">
        <v>44.85</v>
      </c>
      <c r="O140" t="s">
        <v>68</v>
      </c>
      <c r="P140" t="s">
        <v>67</v>
      </c>
      <c r="Q140">
        <v>453</v>
      </c>
      <c r="R140">
        <v>44.85</v>
      </c>
    </row>
    <row r="141" spans="1:18" x14ac:dyDescent="0.35">
      <c r="A141" t="s">
        <v>56</v>
      </c>
      <c r="B141" t="s">
        <v>57</v>
      </c>
      <c r="C141" t="s">
        <v>70</v>
      </c>
      <c r="D141">
        <v>107221210</v>
      </c>
      <c r="E141" t="s">
        <v>92</v>
      </c>
      <c r="F141" t="s">
        <v>60</v>
      </c>
      <c r="G141">
        <v>0.32</v>
      </c>
      <c r="H141">
        <v>9.7799999999999994</v>
      </c>
      <c r="I141">
        <v>0</v>
      </c>
      <c r="J141">
        <v>0</v>
      </c>
      <c r="K141">
        <v>10.1</v>
      </c>
      <c r="L141" t="s">
        <v>61</v>
      </c>
      <c r="M141">
        <v>453</v>
      </c>
      <c r="N141">
        <v>44.85</v>
      </c>
      <c r="O141" t="s">
        <v>69</v>
      </c>
      <c r="P141" t="s">
        <v>67</v>
      </c>
      <c r="Q141">
        <v>0</v>
      </c>
      <c r="R141">
        <v>0</v>
      </c>
    </row>
    <row r="142" spans="1:18" x14ac:dyDescent="0.35">
      <c r="A142" t="s">
        <v>56</v>
      </c>
      <c r="B142" t="s">
        <v>57</v>
      </c>
      <c r="C142" t="s">
        <v>70</v>
      </c>
      <c r="D142">
        <v>107221213</v>
      </c>
      <c r="E142" t="s">
        <v>93</v>
      </c>
      <c r="F142" t="s">
        <v>60</v>
      </c>
      <c r="G142">
        <v>0.21</v>
      </c>
      <c r="H142">
        <v>9.77</v>
      </c>
      <c r="I142">
        <v>0</v>
      </c>
      <c r="J142">
        <v>0</v>
      </c>
      <c r="K142">
        <v>9.98</v>
      </c>
      <c r="L142" t="s">
        <v>61</v>
      </c>
      <c r="M142">
        <v>564</v>
      </c>
      <c r="N142">
        <v>56.49</v>
      </c>
      <c r="O142" t="s">
        <v>62</v>
      </c>
      <c r="P142" t="s">
        <v>63</v>
      </c>
      <c r="Q142">
        <v>311</v>
      </c>
      <c r="R142">
        <v>1473.16</v>
      </c>
    </row>
    <row r="143" spans="1:18" x14ac:dyDescent="0.35">
      <c r="A143" t="s">
        <v>56</v>
      </c>
      <c r="B143" t="s">
        <v>57</v>
      </c>
      <c r="C143" t="s">
        <v>70</v>
      </c>
      <c r="D143">
        <v>107221213</v>
      </c>
      <c r="E143" t="s">
        <v>93</v>
      </c>
      <c r="F143" t="s">
        <v>60</v>
      </c>
      <c r="G143">
        <v>0.21</v>
      </c>
      <c r="H143">
        <v>9.77</v>
      </c>
      <c r="I143">
        <v>0</v>
      </c>
      <c r="J143">
        <v>0</v>
      </c>
      <c r="K143">
        <v>9.98</v>
      </c>
      <c r="L143" t="s">
        <v>61</v>
      </c>
      <c r="M143">
        <v>564</v>
      </c>
      <c r="N143">
        <v>56.49</v>
      </c>
      <c r="O143" t="s">
        <v>62</v>
      </c>
      <c r="P143" t="s">
        <v>64</v>
      </c>
      <c r="Q143">
        <v>2110</v>
      </c>
      <c r="R143">
        <v>215.92</v>
      </c>
    </row>
    <row r="144" spans="1:18" x14ac:dyDescent="0.35">
      <c r="A144" t="s">
        <v>56</v>
      </c>
      <c r="B144" t="s">
        <v>57</v>
      </c>
      <c r="C144" t="s">
        <v>70</v>
      </c>
      <c r="D144">
        <v>107221213</v>
      </c>
      <c r="E144" t="s">
        <v>93</v>
      </c>
      <c r="F144" t="s">
        <v>60</v>
      </c>
      <c r="G144">
        <v>0.21</v>
      </c>
      <c r="H144">
        <v>9.77</v>
      </c>
      <c r="I144">
        <v>0</v>
      </c>
      <c r="J144">
        <v>0</v>
      </c>
      <c r="K144">
        <v>9.98</v>
      </c>
      <c r="L144" t="s">
        <v>61</v>
      </c>
      <c r="M144">
        <v>564</v>
      </c>
      <c r="N144">
        <v>56.49</v>
      </c>
      <c r="O144" t="s">
        <v>62</v>
      </c>
      <c r="P144" t="s">
        <v>65</v>
      </c>
      <c r="Q144">
        <v>0</v>
      </c>
      <c r="R144">
        <v>0</v>
      </c>
    </row>
    <row r="145" spans="1:18" x14ac:dyDescent="0.35">
      <c r="A145" t="s">
        <v>56</v>
      </c>
      <c r="B145" t="s">
        <v>57</v>
      </c>
      <c r="C145" t="s">
        <v>70</v>
      </c>
      <c r="D145">
        <v>107221213</v>
      </c>
      <c r="E145" t="s">
        <v>93</v>
      </c>
      <c r="F145" t="s">
        <v>60</v>
      </c>
      <c r="G145">
        <v>0.21</v>
      </c>
      <c r="H145">
        <v>9.77</v>
      </c>
      <c r="I145">
        <v>0</v>
      </c>
      <c r="J145">
        <v>0</v>
      </c>
      <c r="K145">
        <v>9.98</v>
      </c>
      <c r="L145" t="s">
        <v>61</v>
      </c>
      <c r="M145">
        <v>564</v>
      </c>
      <c r="N145">
        <v>56.49</v>
      </c>
      <c r="O145" t="s">
        <v>62</v>
      </c>
      <c r="P145" t="s">
        <v>66</v>
      </c>
      <c r="Q145">
        <v>0</v>
      </c>
      <c r="R145">
        <v>0</v>
      </c>
    </row>
    <row r="146" spans="1:18" x14ac:dyDescent="0.35">
      <c r="A146" t="s">
        <v>56</v>
      </c>
      <c r="B146" t="s">
        <v>57</v>
      </c>
      <c r="C146" t="s">
        <v>70</v>
      </c>
      <c r="D146">
        <v>107221213</v>
      </c>
      <c r="E146" t="s">
        <v>93</v>
      </c>
      <c r="F146" t="s">
        <v>60</v>
      </c>
      <c r="G146">
        <v>0.21</v>
      </c>
      <c r="H146">
        <v>9.77</v>
      </c>
      <c r="I146">
        <v>0</v>
      </c>
      <c r="J146">
        <v>0</v>
      </c>
      <c r="K146">
        <v>9.98</v>
      </c>
      <c r="L146" t="s">
        <v>61</v>
      </c>
      <c r="M146">
        <v>564</v>
      </c>
      <c r="N146">
        <v>56.49</v>
      </c>
      <c r="O146" t="s">
        <v>62</v>
      </c>
      <c r="P146" t="s">
        <v>67</v>
      </c>
      <c r="Q146">
        <v>2421</v>
      </c>
      <c r="R146">
        <v>242.5</v>
      </c>
    </row>
    <row r="147" spans="1:18" x14ac:dyDescent="0.35">
      <c r="A147" t="s">
        <v>56</v>
      </c>
      <c r="B147" t="s">
        <v>57</v>
      </c>
      <c r="C147" t="s">
        <v>70</v>
      </c>
      <c r="D147">
        <v>107221213</v>
      </c>
      <c r="E147" t="s">
        <v>93</v>
      </c>
      <c r="F147" t="s">
        <v>60</v>
      </c>
      <c r="G147">
        <v>0.21</v>
      </c>
      <c r="H147">
        <v>9.77</v>
      </c>
      <c r="I147">
        <v>0</v>
      </c>
      <c r="J147">
        <v>0</v>
      </c>
      <c r="K147">
        <v>9.98</v>
      </c>
      <c r="L147" t="s">
        <v>61</v>
      </c>
      <c r="M147">
        <v>564</v>
      </c>
      <c r="N147">
        <v>56.49</v>
      </c>
      <c r="O147" t="s">
        <v>68</v>
      </c>
      <c r="P147" t="s">
        <v>67</v>
      </c>
      <c r="Q147">
        <v>564</v>
      </c>
      <c r="R147">
        <v>56.49</v>
      </c>
    </row>
    <row r="148" spans="1:18" x14ac:dyDescent="0.35">
      <c r="A148" t="s">
        <v>56</v>
      </c>
      <c r="B148" t="s">
        <v>57</v>
      </c>
      <c r="C148" t="s">
        <v>70</v>
      </c>
      <c r="D148">
        <v>107221213</v>
      </c>
      <c r="E148" t="s">
        <v>93</v>
      </c>
      <c r="F148" t="s">
        <v>60</v>
      </c>
      <c r="G148">
        <v>0.21</v>
      </c>
      <c r="H148">
        <v>9.77</v>
      </c>
      <c r="I148">
        <v>0</v>
      </c>
      <c r="J148">
        <v>0</v>
      </c>
      <c r="K148">
        <v>9.98</v>
      </c>
      <c r="L148" t="s">
        <v>61</v>
      </c>
      <c r="M148">
        <v>564</v>
      </c>
      <c r="N148">
        <v>56.49</v>
      </c>
      <c r="O148" t="s">
        <v>69</v>
      </c>
      <c r="P148" t="s">
        <v>67</v>
      </c>
      <c r="Q148">
        <v>0</v>
      </c>
      <c r="R148">
        <v>0</v>
      </c>
    </row>
    <row r="149" spans="1:18" x14ac:dyDescent="0.35">
      <c r="A149" t="s">
        <v>56</v>
      </c>
      <c r="B149" t="s">
        <v>57</v>
      </c>
      <c r="C149" t="s">
        <v>70</v>
      </c>
      <c r="D149">
        <v>107221222</v>
      </c>
      <c r="E149" t="s">
        <v>94</v>
      </c>
      <c r="F149" t="s">
        <v>72</v>
      </c>
      <c r="G149">
        <v>0.2</v>
      </c>
      <c r="H149">
        <v>9.69</v>
      </c>
      <c r="I149">
        <v>0.16</v>
      </c>
      <c r="J149">
        <v>0</v>
      </c>
      <c r="K149">
        <v>10.050000000000001</v>
      </c>
      <c r="L149" t="s">
        <v>61</v>
      </c>
      <c r="M149">
        <v>606</v>
      </c>
      <c r="N149">
        <v>60.3</v>
      </c>
      <c r="O149" t="s">
        <v>62</v>
      </c>
      <c r="P149" t="s">
        <v>63</v>
      </c>
      <c r="Q149">
        <v>282</v>
      </c>
      <c r="R149">
        <v>1417.88</v>
      </c>
    </row>
    <row r="150" spans="1:18" x14ac:dyDescent="0.35">
      <c r="A150" t="s">
        <v>56</v>
      </c>
      <c r="B150" t="s">
        <v>57</v>
      </c>
      <c r="C150" t="s">
        <v>70</v>
      </c>
      <c r="D150">
        <v>107221222</v>
      </c>
      <c r="E150" t="s">
        <v>94</v>
      </c>
      <c r="F150" t="s">
        <v>72</v>
      </c>
      <c r="G150">
        <v>0.2</v>
      </c>
      <c r="H150">
        <v>9.69</v>
      </c>
      <c r="I150">
        <v>0.16</v>
      </c>
      <c r="J150">
        <v>0</v>
      </c>
      <c r="K150">
        <v>10.050000000000001</v>
      </c>
      <c r="L150" t="s">
        <v>61</v>
      </c>
      <c r="M150">
        <v>606</v>
      </c>
      <c r="N150">
        <v>60.3</v>
      </c>
      <c r="O150" t="s">
        <v>62</v>
      </c>
      <c r="P150" t="s">
        <v>64</v>
      </c>
      <c r="Q150">
        <v>2013</v>
      </c>
      <c r="R150">
        <v>207.66</v>
      </c>
    </row>
    <row r="151" spans="1:18" x14ac:dyDescent="0.35">
      <c r="A151" t="s">
        <v>56</v>
      </c>
      <c r="B151" t="s">
        <v>57</v>
      </c>
      <c r="C151" t="s">
        <v>70</v>
      </c>
      <c r="D151">
        <v>107221222</v>
      </c>
      <c r="E151" t="s">
        <v>94</v>
      </c>
      <c r="F151" t="s">
        <v>72</v>
      </c>
      <c r="G151">
        <v>0.2</v>
      </c>
      <c r="H151">
        <v>9.69</v>
      </c>
      <c r="I151">
        <v>0.16</v>
      </c>
      <c r="J151">
        <v>0</v>
      </c>
      <c r="K151">
        <v>10.050000000000001</v>
      </c>
      <c r="L151" t="s">
        <v>61</v>
      </c>
      <c r="M151">
        <v>606</v>
      </c>
      <c r="N151">
        <v>60.3</v>
      </c>
      <c r="O151" t="s">
        <v>62</v>
      </c>
      <c r="P151" t="s">
        <v>65</v>
      </c>
      <c r="Q151">
        <v>42</v>
      </c>
      <c r="R151">
        <v>267.14</v>
      </c>
    </row>
    <row r="152" spans="1:18" x14ac:dyDescent="0.35">
      <c r="A152" t="s">
        <v>56</v>
      </c>
      <c r="B152" t="s">
        <v>57</v>
      </c>
      <c r="C152" t="s">
        <v>70</v>
      </c>
      <c r="D152">
        <v>107221222</v>
      </c>
      <c r="E152" t="s">
        <v>94</v>
      </c>
      <c r="F152" t="s">
        <v>72</v>
      </c>
      <c r="G152">
        <v>0.2</v>
      </c>
      <c r="H152">
        <v>9.69</v>
      </c>
      <c r="I152">
        <v>0.16</v>
      </c>
      <c r="J152">
        <v>0</v>
      </c>
      <c r="K152">
        <v>10.050000000000001</v>
      </c>
      <c r="L152" t="s">
        <v>61</v>
      </c>
      <c r="M152">
        <v>606</v>
      </c>
      <c r="N152">
        <v>60.3</v>
      </c>
      <c r="O152" t="s">
        <v>62</v>
      </c>
      <c r="P152" t="s">
        <v>66</v>
      </c>
      <c r="Q152">
        <v>0</v>
      </c>
      <c r="R152">
        <v>0</v>
      </c>
    </row>
    <row r="153" spans="1:18" x14ac:dyDescent="0.35">
      <c r="A153" t="s">
        <v>56</v>
      </c>
      <c r="B153" t="s">
        <v>57</v>
      </c>
      <c r="C153" t="s">
        <v>70</v>
      </c>
      <c r="D153">
        <v>107221222</v>
      </c>
      <c r="E153" t="s">
        <v>94</v>
      </c>
      <c r="F153" t="s">
        <v>72</v>
      </c>
      <c r="G153">
        <v>0.2</v>
      </c>
      <c r="H153">
        <v>9.69</v>
      </c>
      <c r="I153">
        <v>0.16</v>
      </c>
      <c r="J153">
        <v>0</v>
      </c>
      <c r="K153">
        <v>10.050000000000001</v>
      </c>
      <c r="L153" t="s">
        <v>61</v>
      </c>
      <c r="M153">
        <v>606</v>
      </c>
      <c r="N153">
        <v>60.3</v>
      </c>
      <c r="O153" t="s">
        <v>62</v>
      </c>
      <c r="P153" t="s">
        <v>67</v>
      </c>
      <c r="Q153">
        <v>2337</v>
      </c>
      <c r="R153">
        <v>232.54</v>
      </c>
    </row>
    <row r="154" spans="1:18" x14ac:dyDescent="0.35">
      <c r="A154" t="s">
        <v>56</v>
      </c>
      <c r="B154" t="s">
        <v>57</v>
      </c>
      <c r="C154" t="s">
        <v>70</v>
      </c>
      <c r="D154">
        <v>107221222</v>
      </c>
      <c r="E154" t="s">
        <v>94</v>
      </c>
      <c r="F154" t="s">
        <v>72</v>
      </c>
      <c r="G154">
        <v>0.2</v>
      </c>
      <c r="H154">
        <v>9.69</v>
      </c>
      <c r="I154">
        <v>0.16</v>
      </c>
      <c r="J154">
        <v>0</v>
      </c>
      <c r="K154">
        <v>10.050000000000001</v>
      </c>
      <c r="L154" t="s">
        <v>61</v>
      </c>
      <c r="M154">
        <v>606</v>
      </c>
      <c r="N154">
        <v>60.3</v>
      </c>
      <c r="O154" t="s">
        <v>68</v>
      </c>
      <c r="P154" t="s">
        <v>67</v>
      </c>
      <c r="Q154">
        <v>606</v>
      </c>
      <c r="R154">
        <v>60.3</v>
      </c>
    </row>
    <row r="155" spans="1:18" x14ac:dyDescent="0.35">
      <c r="A155" t="s">
        <v>56</v>
      </c>
      <c r="B155" t="s">
        <v>57</v>
      </c>
      <c r="C155" t="s">
        <v>70</v>
      </c>
      <c r="D155">
        <v>107221222</v>
      </c>
      <c r="E155" t="s">
        <v>94</v>
      </c>
      <c r="F155" t="s">
        <v>72</v>
      </c>
      <c r="G155">
        <v>0.2</v>
      </c>
      <c r="H155">
        <v>9.69</v>
      </c>
      <c r="I155">
        <v>0.16</v>
      </c>
      <c r="J155">
        <v>0</v>
      </c>
      <c r="K155">
        <v>10.050000000000001</v>
      </c>
      <c r="L155" t="s">
        <v>61</v>
      </c>
      <c r="M155">
        <v>606</v>
      </c>
      <c r="N155">
        <v>60.3</v>
      </c>
      <c r="O155" t="s">
        <v>69</v>
      </c>
      <c r="P155" t="s">
        <v>67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58</v>
      </c>
      <c r="D156">
        <v>107221225</v>
      </c>
      <c r="E156" t="s">
        <v>95</v>
      </c>
      <c r="F156" t="s">
        <v>60</v>
      </c>
      <c r="G156">
        <v>0.41</v>
      </c>
      <c r="H156">
        <v>9.59</v>
      </c>
      <c r="I156">
        <v>0</v>
      </c>
      <c r="J156">
        <v>0</v>
      </c>
      <c r="K156">
        <v>10</v>
      </c>
      <c r="L156" t="s">
        <v>61</v>
      </c>
      <c r="M156">
        <v>440</v>
      </c>
      <c r="N156">
        <v>44</v>
      </c>
      <c r="O156" t="s">
        <v>62</v>
      </c>
      <c r="P156" t="s">
        <v>63</v>
      </c>
      <c r="Q156">
        <v>551</v>
      </c>
      <c r="R156">
        <v>1335.76</v>
      </c>
    </row>
    <row r="157" spans="1:18" x14ac:dyDescent="0.35">
      <c r="A157" t="s">
        <v>56</v>
      </c>
      <c r="B157" t="s">
        <v>57</v>
      </c>
      <c r="C157" t="s">
        <v>58</v>
      </c>
      <c r="D157">
        <v>107221225</v>
      </c>
      <c r="E157" t="s">
        <v>95</v>
      </c>
      <c r="F157" t="s">
        <v>60</v>
      </c>
      <c r="G157">
        <v>0.41</v>
      </c>
      <c r="H157">
        <v>9.59</v>
      </c>
      <c r="I157">
        <v>0</v>
      </c>
      <c r="J157">
        <v>0</v>
      </c>
      <c r="K157">
        <v>10</v>
      </c>
      <c r="L157" t="s">
        <v>61</v>
      </c>
      <c r="M157">
        <v>440</v>
      </c>
      <c r="N157">
        <v>44</v>
      </c>
      <c r="O157" t="s">
        <v>62</v>
      </c>
      <c r="P157" t="s">
        <v>64</v>
      </c>
      <c r="Q157">
        <v>1876</v>
      </c>
      <c r="R157">
        <v>195.68</v>
      </c>
    </row>
    <row r="158" spans="1:18" x14ac:dyDescent="0.35">
      <c r="A158" t="s">
        <v>56</v>
      </c>
      <c r="B158" t="s">
        <v>57</v>
      </c>
      <c r="C158" t="s">
        <v>58</v>
      </c>
      <c r="D158">
        <v>107221225</v>
      </c>
      <c r="E158" t="s">
        <v>95</v>
      </c>
      <c r="F158" t="s">
        <v>60</v>
      </c>
      <c r="G158">
        <v>0.41</v>
      </c>
      <c r="H158">
        <v>9.59</v>
      </c>
      <c r="I158">
        <v>0</v>
      </c>
      <c r="J158">
        <v>0</v>
      </c>
      <c r="K158">
        <v>10</v>
      </c>
      <c r="L158" t="s">
        <v>61</v>
      </c>
      <c r="M158">
        <v>440</v>
      </c>
      <c r="N158">
        <v>44</v>
      </c>
      <c r="O158" t="s">
        <v>62</v>
      </c>
      <c r="P158" t="s">
        <v>65</v>
      </c>
      <c r="Q158">
        <v>0</v>
      </c>
      <c r="R158">
        <v>0</v>
      </c>
    </row>
    <row r="159" spans="1:18" x14ac:dyDescent="0.35">
      <c r="A159" t="s">
        <v>56</v>
      </c>
      <c r="B159" t="s">
        <v>57</v>
      </c>
      <c r="C159" t="s">
        <v>58</v>
      </c>
      <c r="D159">
        <v>107221225</v>
      </c>
      <c r="E159" t="s">
        <v>95</v>
      </c>
      <c r="F159" t="s">
        <v>60</v>
      </c>
      <c r="G159">
        <v>0.41</v>
      </c>
      <c r="H159">
        <v>9.59</v>
      </c>
      <c r="I159">
        <v>0</v>
      </c>
      <c r="J159">
        <v>0</v>
      </c>
      <c r="K159">
        <v>10</v>
      </c>
      <c r="L159" t="s">
        <v>61</v>
      </c>
      <c r="M159">
        <v>440</v>
      </c>
      <c r="N159">
        <v>44</v>
      </c>
      <c r="O159" t="s">
        <v>62</v>
      </c>
      <c r="P159" t="s">
        <v>66</v>
      </c>
      <c r="Q159">
        <v>0</v>
      </c>
      <c r="R159">
        <v>0</v>
      </c>
    </row>
    <row r="160" spans="1:18" x14ac:dyDescent="0.35">
      <c r="A160" t="s">
        <v>56</v>
      </c>
      <c r="B160" t="s">
        <v>57</v>
      </c>
      <c r="C160" t="s">
        <v>58</v>
      </c>
      <c r="D160">
        <v>107221225</v>
      </c>
      <c r="E160" t="s">
        <v>95</v>
      </c>
      <c r="F160" t="s">
        <v>60</v>
      </c>
      <c r="G160">
        <v>0.41</v>
      </c>
      <c r="H160">
        <v>9.59</v>
      </c>
      <c r="I160">
        <v>0</v>
      </c>
      <c r="J160">
        <v>0</v>
      </c>
      <c r="K160">
        <v>10</v>
      </c>
      <c r="L160" t="s">
        <v>61</v>
      </c>
      <c r="M160">
        <v>440</v>
      </c>
      <c r="N160">
        <v>44</v>
      </c>
      <c r="O160" t="s">
        <v>62</v>
      </c>
      <c r="P160" t="s">
        <v>67</v>
      </c>
      <c r="Q160">
        <v>2427</v>
      </c>
      <c r="R160">
        <v>242.7</v>
      </c>
    </row>
    <row r="161" spans="1:18" x14ac:dyDescent="0.35">
      <c r="A161" t="s">
        <v>56</v>
      </c>
      <c r="B161" t="s">
        <v>57</v>
      </c>
      <c r="C161" t="s">
        <v>58</v>
      </c>
      <c r="D161">
        <v>107221225</v>
      </c>
      <c r="E161" t="s">
        <v>95</v>
      </c>
      <c r="F161" t="s">
        <v>60</v>
      </c>
      <c r="G161">
        <v>0.41</v>
      </c>
      <c r="H161">
        <v>9.59</v>
      </c>
      <c r="I161">
        <v>0</v>
      </c>
      <c r="J161">
        <v>0</v>
      </c>
      <c r="K161">
        <v>10</v>
      </c>
      <c r="L161" t="s">
        <v>61</v>
      </c>
      <c r="M161">
        <v>440</v>
      </c>
      <c r="N161">
        <v>44</v>
      </c>
      <c r="O161" t="s">
        <v>68</v>
      </c>
      <c r="P161" t="s">
        <v>67</v>
      </c>
      <c r="Q161">
        <v>440</v>
      </c>
      <c r="R161">
        <v>44</v>
      </c>
    </row>
    <row r="162" spans="1:18" x14ac:dyDescent="0.35">
      <c r="A162" t="s">
        <v>56</v>
      </c>
      <c r="B162" t="s">
        <v>57</v>
      </c>
      <c r="C162" t="s">
        <v>58</v>
      </c>
      <c r="D162">
        <v>107221225</v>
      </c>
      <c r="E162" t="s">
        <v>95</v>
      </c>
      <c r="F162" t="s">
        <v>60</v>
      </c>
      <c r="G162">
        <v>0.41</v>
      </c>
      <c r="H162">
        <v>9.59</v>
      </c>
      <c r="I162">
        <v>0</v>
      </c>
      <c r="J162">
        <v>0</v>
      </c>
      <c r="K162">
        <v>10</v>
      </c>
      <c r="L162" t="s">
        <v>61</v>
      </c>
      <c r="M162">
        <v>440</v>
      </c>
      <c r="N162">
        <v>44</v>
      </c>
      <c r="O162" t="s">
        <v>69</v>
      </c>
      <c r="P162" t="s">
        <v>67</v>
      </c>
      <c r="Q162">
        <v>0</v>
      </c>
      <c r="R162">
        <v>0</v>
      </c>
    </row>
    <row r="163" spans="1:18" x14ac:dyDescent="0.35">
      <c r="A163" t="s">
        <v>56</v>
      </c>
      <c r="B163" t="s">
        <v>57</v>
      </c>
      <c r="C163" t="s">
        <v>70</v>
      </c>
      <c r="D163">
        <v>107221231</v>
      </c>
      <c r="E163" t="s">
        <v>96</v>
      </c>
      <c r="F163" t="s">
        <v>60</v>
      </c>
      <c r="G163">
        <v>0.32</v>
      </c>
      <c r="H163">
        <v>9.48</v>
      </c>
      <c r="I163">
        <v>0.19</v>
      </c>
      <c r="J163">
        <v>0</v>
      </c>
      <c r="K163">
        <v>10</v>
      </c>
      <c r="L163" t="s">
        <v>61</v>
      </c>
      <c r="M163">
        <v>513</v>
      </c>
      <c r="N163">
        <v>51.3</v>
      </c>
      <c r="O163" t="s">
        <v>62</v>
      </c>
      <c r="P163" t="s">
        <v>63</v>
      </c>
      <c r="Q163">
        <v>499</v>
      </c>
      <c r="R163">
        <v>1544.63</v>
      </c>
    </row>
    <row r="164" spans="1:18" x14ac:dyDescent="0.35">
      <c r="A164" t="s">
        <v>56</v>
      </c>
      <c r="B164" t="s">
        <v>57</v>
      </c>
      <c r="C164" t="s">
        <v>70</v>
      </c>
      <c r="D164">
        <v>107221231</v>
      </c>
      <c r="E164" t="s">
        <v>96</v>
      </c>
      <c r="F164" t="s">
        <v>60</v>
      </c>
      <c r="G164">
        <v>0.32</v>
      </c>
      <c r="H164">
        <v>9.48</v>
      </c>
      <c r="I164">
        <v>0.19</v>
      </c>
      <c r="J164">
        <v>0</v>
      </c>
      <c r="K164">
        <v>10</v>
      </c>
      <c r="L164" t="s">
        <v>61</v>
      </c>
      <c r="M164">
        <v>513</v>
      </c>
      <c r="N164">
        <v>51.3</v>
      </c>
      <c r="O164" t="s">
        <v>62</v>
      </c>
      <c r="P164" t="s">
        <v>64</v>
      </c>
      <c r="Q164">
        <v>2146</v>
      </c>
      <c r="R164">
        <v>226.27</v>
      </c>
    </row>
    <row r="165" spans="1:18" x14ac:dyDescent="0.35">
      <c r="A165" t="s">
        <v>56</v>
      </c>
      <c r="B165" t="s">
        <v>57</v>
      </c>
      <c r="C165" t="s">
        <v>70</v>
      </c>
      <c r="D165">
        <v>107221231</v>
      </c>
      <c r="E165" t="s">
        <v>96</v>
      </c>
      <c r="F165" t="s">
        <v>60</v>
      </c>
      <c r="G165">
        <v>0.32</v>
      </c>
      <c r="H165">
        <v>9.48</v>
      </c>
      <c r="I165">
        <v>0.19</v>
      </c>
      <c r="J165">
        <v>0</v>
      </c>
      <c r="K165">
        <v>10</v>
      </c>
      <c r="L165" t="s">
        <v>61</v>
      </c>
      <c r="M165">
        <v>513</v>
      </c>
      <c r="N165">
        <v>51.3</v>
      </c>
      <c r="O165" t="s">
        <v>62</v>
      </c>
      <c r="P165" t="s">
        <v>65</v>
      </c>
      <c r="Q165">
        <v>56</v>
      </c>
      <c r="R165">
        <v>291.33</v>
      </c>
    </row>
    <row r="166" spans="1:18" x14ac:dyDescent="0.35">
      <c r="A166" t="s">
        <v>56</v>
      </c>
      <c r="B166" t="s">
        <v>57</v>
      </c>
      <c r="C166" t="s">
        <v>70</v>
      </c>
      <c r="D166">
        <v>107221231</v>
      </c>
      <c r="E166" t="s">
        <v>96</v>
      </c>
      <c r="F166" t="s">
        <v>60</v>
      </c>
      <c r="G166">
        <v>0.32</v>
      </c>
      <c r="H166">
        <v>9.48</v>
      </c>
      <c r="I166">
        <v>0.19</v>
      </c>
      <c r="J166">
        <v>0</v>
      </c>
      <c r="K166">
        <v>10</v>
      </c>
      <c r="L166" t="s">
        <v>61</v>
      </c>
      <c r="M166">
        <v>513</v>
      </c>
      <c r="N166">
        <v>51.3</v>
      </c>
      <c r="O166" t="s">
        <v>62</v>
      </c>
      <c r="P166" t="s">
        <v>66</v>
      </c>
      <c r="Q166">
        <v>0</v>
      </c>
      <c r="R166">
        <v>0</v>
      </c>
    </row>
    <row r="167" spans="1:18" x14ac:dyDescent="0.35">
      <c r="A167" t="s">
        <v>56</v>
      </c>
      <c r="B167" t="s">
        <v>57</v>
      </c>
      <c r="C167" t="s">
        <v>70</v>
      </c>
      <c r="D167">
        <v>107221231</v>
      </c>
      <c r="E167" t="s">
        <v>96</v>
      </c>
      <c r="F167" t="s">
        <v>60</v>
      </c>
      <c r="G167">
        <v>0.32</v>
      </c>
      <c r="H167">
        <v>9.48</v>
      </c>
      <c r="I167">
        <v>0.19</v>
      </c>
      <c r="J167">
        <v>0</v>
      </c>
      <c r="K167">
        <v>10</v>
      </c>
      <c r="L167" t="s">
        <v>61</v>
      </c>
      <c r="M167">
        <v>513</v>
      </c>
      <c r="N167">
        <v>51.3</v>
      </c>
      <c r="O167" t="s">
        <v>62</v>
      </c>
      <c r="P167" t="s">
        <v>67</v>
      </c>
      <c r="Q167">
        <v>2701</v>
      </c>
      <c r="R167">
        <v>270.10000000000002</v>
      </c>
    </row>
    <row r="168" spans="1:18" x14ac:dyDescent="0.35">
      <c r="A168" t="s">
        <v>56</v>
      </c>
      <c r="B168" t="s">
        <v>57</v>
      </c>
      <c r="C168" t="s">
        <v>70</v>
      </c>
      <c r="D168">
        <v>107221231</v>
      </c>
      <c r="E168" t="s">
        <v>96</v>
      </c>
      <c r="F168" t="s">
        <v>60</v>
      </c>
      <c r="G168">
        <v>0.32</v>
      </c>
      <c r="H168">
        <v>9.48</v>
      </c>
      <c r="I168">
        <v>0.19</v>
      </c>
      <c r="J168">
        <v>0</v>
      </c>
      <c r="K168">
        <v>10</v>
      </c>
      <c r="L168" t="s">
        <v>61</v>
      </c>
      <c r="M168">
        <v>513</v>
      </c>
      <c r="N168">
        <v>51.3</v>
      </c>
      <c r="O168" t="s">
        <v>68</v>
      </c>
      <c r="P168" t="s">
        <v>67</v>
      </c>
      <c r="Q168">
        <v>513</v>
      </c>
      <c r="R168">
        <v>51.3</v>
      </c>
    </row>
    <row r="169" spans="1:18" x14ac:dyDescent="0.35">
      <c r="A169" t="s">
        <v>56</v>
      </c>
      <c r="B169" t="s">
        <v>57</v>
      </c>
      <c r="C169" t="s">
        <v>70</v>
      </c>
      <c r="D169">
        <v>107221231</v>
      </c>
      <c r="E169" t="s">
        <v>96</v>
      </c>
      <c r="F169" t="s">
        <v>60</v>
      </c>
      <c r="G169">
        <v>0.32</v>
      </c>
      <c r="H169">
        <v>9.48</v>
      </c>
      <c r="I169">
        <v>0.19</v>
      </c>
      <c r="J169">
        <v>0</v>
      </c>
      <c r="K169">
        <v>10</v>
      </c>
      <c r="L169" t="s">
        <v>61</v>
      </c>
      <c r="M169">
        <v>513</v>
      </c>
      <c r="N169">
        <v>51.3</v>
      </c>
      <c r="O169" t="s">
        <v>69</v>
      </c>
      <c r="P169" t="s">
        <v>67</v>
      </c>
      <c r="Q169">
        <v>0</v>
      </c>
      <c r="R169">
        <v>0</v>
      </c>
    </row>
    <row r="170" spans="1:18" x14ac:dyDescent="0.35">
      <c r="A170" t="s">
        <v>56</v>
      </c>
      <c r="B170" t="s">
        <v>57</v>
      </c>
      <c r="C170" t="s">
        <v>58</v>
      </c>
      <c r="D170">
        <v>107221237</v>
      </c>
      <c r="E170" t="s">
        <v>97</v>
      </c>
      <c r="F170" t="s">
        <v>72</v>
      </c>
      <c r="G170">
        <v>0.25</v>
      </c>
      <c r="H170">
        <v>9</v>
      </c>
      <c r="I170">
        <v>7.0000000000000007E-2</v>
      </c>
      <c r="J170">
        <v>0</v>
      </c>
      <c r="K170">
        <v>9.32</v>
      </c>
      <c r="L170" t="s">
        <v>61</v>
      </c>
      <c r="M170">
        <v>389</v>
      </c>
      <c r="N170">
        <v>41.75</v>
      </c>
      <c r="O170" t="s">
        <v>62</v>
      </c>
      <c r="P170" t="s">
        <v>63</v>
      </c>
      <c r="Q170">
        <v>261</v>
      </c>
      <c r="R170">
        <v>1044</v>
      </c>
    </row>
    <row r="171" spans="1:18" x14ac:dyDescent="0.35">
      <c r="A171" t="s">
        <v>56</v>
      </c>
      <c r="B171" t="s">
        <v>57</v>
      </c>
      <c r="C171" t="s">
        <v>58</v>
      </c>
      <c r="D171">
        <v>107221237</v>
      </c>
      <c r="E171" t="s">
        <v>97</v>
      </c>
      <c r="F171" t="s">
        <v>72</v>
      </c>
      <c r="G171">
        <v>0.25</v>
      </c>
      <c r="H171">
        <v>9</v>
      </c>
      <c r="I171">
        <v>7.0000000000000007E-2</v>
      </c>
      <c r="J171">
        <v>0</v>
      </c>
      <c r="K171">
        <v>9.32</v>
      </c>
      <c r="L171" t="s">
        <v>61</v>
      </c>
      <c r="M171">
        <v>389</v>
      </c>
      <c r="N171">
        <v>41.75</v>
      </c>
      <c r="O171" t="s">
        <v>62</v>
      </c>
      <c r="P171" t="s">
        <v>64</v>
      </c>
      <c r="Q171">
        <v>1376</v>
      </c>
      <c r="R171">
        <v>152.97</v>
      </c>
    </row>
    <row r="172" spans="1:18" x14ac:dyDescent="0.35">
      <c r="A172" t="s">
        <v>56</v>
      </c>
      <c r="B172" t="s">
        <v>57</v>
      </c>
      <c r="C172" t="s">
        <v>58</v>
      </c>
      <c r="D172">
        <v>107221237</v>
      </c>
      <c r="E172" t="s">
        <v>97</v>
      </c>
      <c r="F172" t="s">
        <v>72</v>
      </c>
      <c r="G172">
        <v>0.25</v>
      </c>
      <c r="H172">
        <v>9</v>
      </c>
      <c r="I172">
        <v>7.0000000000000007E-2</v>
      </c>
      <c r="J172">
        <v>0</v>
      </c>
      <c r="K172">
        <v>9.32</v>
      </c>
      <c r="L172" t="s">
        <v>61</v>
      </c>
      <c r="M172">
        <v>389</v>
      </c>
      <c r="N172">
        <v>41.75</v>
      </c>
      <c r="O172" t="s">
        <v>62</v>
      </c>
      <c r="P172" t="s">
        <v>65</v>
      </c>
      <c r="Q172">
        <v>14</v>
      </c>
      <c r="R172">
        <v>196.88</v>
      </c>
    </row>
    <row r="173" spans="1:18" x14ac:dyDescent="0.35">
      <c r="A173" t="s">
        <v>56</v>
      </c>
      <c r="B173" t="s">
        <v>57</v>
      </c>
      <c r="C173" t="s">
        <v>58</v>
      </c>
      <c r="D173">
        <v>107221237</v>
      </c>
      <c r="E173" t="s">
        <v>97</v>
      </c>
      <c r="F173" t="s">
        <v>72</v>
      </c>
      <c r="G173">
        <v>0.25</v>
      </c>
      <c r="H173">
        <v>9</v>
      </c>
      <c r="I173">
        <v>7.0000000000000007E-2</v>
      </c>
      <c r="J173">
        <v>0</v>
      </c>
      <c r="K173">
        <v>9.32</v>
      </c>
      <c r="L173" t="s">
        <v>61</v>
      </c>
      <c r="M173">
        <v>389</v>
      </c>
      <c r="N173">
        <v>41.75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58</v>
      </c>
      <c r="D174">
        <v>107221237</v>
      </c>
      <c r="E174" t="s">
        <v>97</v>
      </c>
      <c r="F174" t="s">
        <v>72</v>
      </c>
      <c r="G174">
        <v>0.25</v>
      </c>
      <c r="H174">
        <v>9</v>
      </c>
      <c r="I174">
        <v>7.0000000000000007E-2</v>
      </c>
      <c r="J174">
        <v>0</v>
      </c>
      <c r="K174">
        <v>9.32</v>
      </c>
      <c r="L174" t="s">
        <v>61</v>
      </c>
      <c r="M174">
        <v>389</v>
      </c>
      <c r="N174">
        <v>41.75</v>
      </c>
      <c r="O174" t="s">
        <v>62</v>
      </c>
      <c r="P174" t="s">
        <v>67</v>
      </c>
      <c r="Q174">
        <v>1651</v>
      </c>
      <c r="R174">
        <v>177.21</v>
      </c>
    </row>
    <row r="175" spans="1:18" x14ac:dyDescent="0.35">
      <c r="A175" t="s">
        <v>56</v>
      </c>
      <c r="B175" t="s">
        <v>57</v>
      </c>
      <c r="C175" t="s">
        <v>58</v>
      </c>
      <c r="D175">
        <v>107221237</v>
      </c>
      <c r="E175" t="s">
        <v>97</v>
      </c>
      <c r="F175" t="s">
        <v>72</v>
      </c>
      <c r="G175">
        <v>0.25</v>
      </c>
      <c r="H175">
        <v>9</v>
      </c>
      <c r="I175">
        <v>7.0000000000000007E-2</v>
      </c>
      <c r="J175">
        <v>0</v>
      </c>
      <c r="K175">
        <v>9.32</v>
      </c>
      <c r="L175" t="s">
        <v>61</v>
      </c>
      <c r="M175">
        <v>389</v>
      </c>
      <c r="N175">
        <v>41.75</v>
      </c>
      <c r="O175" t="s">
        <v>68</v>
      </c>
      <c r="P175" t="s">
        <v>67</v>
      </c>
      <c r="Q175">
        <v>389</v>
      </c>
      <c r="R175">
        <v>41.75</v>
      </c>
    </row>
    <row r="176" spans="1:18" x14ac:dyDescent="0.35">
      <c r="A176" t="s">
        <v>56</v>
      </c>
      <c r="B176" t="s">
        <v>57</v>
      </c>
      <c r="C176" t="s">
        <v>58</v>
      </c>
      <c r="D176">
        <v>107221237</v>
      </c>
      <c r="E176" t="s">
        <v>97</v>
      </c>
      <c r="F176" t="s">
        <v>72</v>
      </c>
      <c r="G176">
        <v>0.25</v>
      </c>
      <c r="H176">
        <v>9</v>
      </c>
      <c r="I176">
        <v>7.0000000000000007E-2</v>
      </c>
      <c r="J176">
        <v>0</v>
      </c>
      <c r="K176">
        <v>9.32</v>
      </c>
      <c r="L176" t="s">
        <v>61</v>
      </c>
      <c r="M176">
        <v>389</v>
      </c>
      <c r="N176">
        <v>41.75</v>
      </c>
      <c r="O176" t="s">
        <v>69</v>
      </c>
      <c r="P176" t="s">
        <v>67</v>
      </c>
      <c r="Q176">
        <v>0</v>
      </c>
      <c r="R176">
        <v>0</v>
      </c>
    </row>
    <row r="177" spans="1:18" x14ac:dyDescent="0.35">
      <c r="A177" t="s">
        <v>56</v>
      </c>
      <c r="B177" t="s">
        <v>57</v>
      </c>
      <c r="C177" t="s">
        <v>70</v>
      </c>
      <c r="D177">
        <v>107432433</v>
      </c>
      <c r="E177" t="s">
        <v>98</v>
      </c>
      <c r="F177" t="s">
        <v>60</v>
      </c>
      <c r="G177">
        <v>0.22</v>
      </c>
      <c r="H177">
        <v>9.8800000000000008</v>
      </c>
      <c r="I177">
        <v>0</v>
      </c>
      <c r="J177">
        <v>0</v>
      </c>
      <c r="K177">
        <v>10.1</v>
      </c>
      <c r="L177" t="s">
        <v>61</v>
      </c>
      <c r="M177">
        <v>399</v>
      </c>
      <c r="N177">
        <v>39.5</v>
      </c>
      <c r="O177" t="s">
        <v>62</v>
      </c>
      <c r="P177" t="s">
        <v>63</v>
      </c>
      <c r="Q177">
        <v>230</v>
      </c>
      <c r="R177">
        <v>1048.0999999999999</v>
      </c>
    </row>
    <row r="178" spans="1:18" x14ac:dyDescent="0.35">
      <c r="A178" t="s">
        <v>56</v>
      </c>
      <c r="B178" t="s">
        <v>57</v>
      </c>
      <c r="C178" t="s">
        <v>70</v>
      </c>
      <c r="D178">
        <v>107432433</v>
      </c>
      <c r="E178" t="s">
        <v>98</v>
      </c>
      <c r="F178" t="s">
        <v>60</v>
      </c>
      <c r="G178">
        <v>0.22</v>
      </c>
      <c r="H178">
        <v>9.8800000000000008</v>
      </c>
      <c r="I178">
        <v>0</v>
      </c>
      <c r="J178">
        <v>0</v>
      </c>
      <c r="K178">
        <v>10.1</v>
      </c>
      <c r="L178" t="s">
        <v>61</v>
      </c>
      <c r="M178">
        <v>399</v>
      </c>
      <c r="N178">
        <v>39.5</v>
      </c>
      <c r="O178" t="s">
        <v>62</v>
      </c>
      <c r="P178" t="s">
        <v>64</v>
      </c>
      <c r="Q178">
        <v>1517</v>
      </c>
      <c r="R178">
        <v>153.54</v>
      </c>
    </row>
    <row r="179" spans="1:18" x14ac:dyDescent="0.35">
      <c r="A179" t="s">
        <v>56</v>
      </c>
      <c r="B179" t="s">
        <v>57</v>
      </c>
      <c r="C179" t="s">
        <v>70</v>
      </c>
      <c r="D179">
        <v>107432433</v>
      </c>
      <c r="E179" t="s">
        <v>98</v>
      </c>
      <c r="F179" t="s">
        <v>60</v>
      </c>
      <c r="G179">
        <v>0.22</v>
      </c>
      <c r="H179">
        <v>9.8800000000000008</v>
      </c>
      <c r="I179">
        <v>0</v>
      </c>
      <c r="J179">
        <v>0</v>
      </c>
      <c r="K179">
        <v>10.1</v>
      </c>
      <c r="L179" t="s">
        <v>61</v>
      </c>
      <c r="M179">
        <v>399</v>
      </c>
      <c r="N179">
        <v>39.5</v>
      </c>
      <c r="O179" t="s">
        <v>62</v>
      </c>
      <c r="P179" t="s">
        <v>65</v>
      </c>
      <c r="Q179">
        <v>0</v>
      </c>
      <c r="R179">
        <v>0</v>
      </c>
    </row>
    <row r="180" spans="1:18" x14ac:dyDescent="0.35">
      <c r="A180" t="s">
        <v>56</v>
      </c>
      <c r="B180" t="s">
        <v>57</v>
      </c>
      <c r="C180" t="s">
        <v>70</v>
      </c>
      <c r="D180">
        <v>107432433</v>
      </c>
      <c r="E180" t="s">
        <v>98</v>
      </c>
      <c r="F180" t="s">
        <v>60</v>
      </c>
      <c r="G180">
        <v>0.22</v>
      </c>
      <c r="H180">
        <v>9.8800000000000008</v>
      </c>
      <c r="I180">
        <v>0</v>
      </c>
      <c r="J180">
        <v>0</v>
      </c>
      <c r="K180">
        <v>10.1</v>
      </c>
      <c r="L180" t="s">
        <v>61</v>
      </c>
      <c r="M180">
        <v>399</v>
      </c>
      <c r="N180">
        <v>39.5</v>
      </c>
      <c r="O180" t="s">
        <v>62</v>
      </c>
      <c r="P180" t="s">
        <v>66</v>
      </c>
      <c r="Q180">
        <v>0</v>
      </c>
      <c r="R180">
        <v>0</v>
      </c>
    </row>
    <row r="181" spans="1:18" x14ac:dyDescent="0.35">
      <c r="A181" t="s">
        <v>56</v>
      </c>
      <c r="B181" t="s">
        <v>57</v>
      </c>
      <c r="C181" t="s">
        <v>70</v>
      </c>
      <c r="D181">
        <v>107432433</v>
      </c>
      <c r="E181" t="s">
        <v>98</v>
      </c>
      <c r="F181" t="s">
        <v>60</v>
      </c>
      <c r="G181">
        <v>0.22</v>
      </c>
      <c r="H181">
        <v>9.8800000000000008</v>
      </c>
      <c r="I181">
        <v>0</v>
      </c>
      <c r="J181">
        <v>0</v>
      </c>
      <c r="K181">
        <v>10.1</v>
      </c>
      <c r="L181" t="s">
        <v>61</v>
      </c>
      <c r="M181">
        <v>399</v>
      </c>
      <c r="N181">
        <v>39.5</v>
      </c>
      <c r="O181" t="s">
        <v>62</v>
      </c>
      <c r="P181" t="s">
        <v>67</v>
      </c>
      <c r="Q181">
        <v>1747</v>
      </c>
      <c r="R181">
        <v>172.97</v>
      </c>
    </row>
    <row r="182" spans="1:18" x14ac:dyDescent="0.35">
      <c r="A182" t="s">
        <v>56</v>
      </c>
      <c r="B182" t="s">
        <v>57</v>
      </c>
      <c r="C182" t="s">
        <v>70</v>
      </c>
      <c r="D182">
        <v>107432433</v>
      </c>
      <c r="E182" t="s">
        <v>98</v>
      </c>
      <c r="F182" t="s">
        <v>60</v>
      </c>
      <c r="G182">
        <v>0.22</v>
      </c>
      <c r="H182">
        <v>9.8800000000000008</v>
      </c>
      <c r="I182">
        <v>0</v>
      </c>
      <c r="J182">
        <v>0</v>
      </c>
      <c r="K182">
        <v>10.1</v>
      </c>
      <c r="L182" t="s">
        <v>61</v>
      </c>
      <c r="M182">
        <v>399</v>
      </c>
      <c r="N182">
        <v>39.5</v>
      </c>
      <c r="O182" t="s">
        <v>68</v>
      </c>
      <c r="P182" t="s">
        <v>67</v>
      </c>
      <c r="Q182">
        <v>399</v>
      </c>
      <c r="R182">
        <v>39.5</v>
      </c>
    </row>
    <row r="183" spans="1:18" x14ac:dyDescent="0.35">
      <c r="A183" t="s">
        <v>56</v>
      </c>
      <c r="B183" t="s">
        <v>57</v>
      </c>
      <c r="C183" t="s">
        <v>70</v>
      </c>
      <c r="D183">
        <v>107432433</v>
      </c>
      <c r="E183" t="s">
        <v>98</v>
      </c>
      <c r="F183" t="s">
        <v>60</v>
      </c>
      <c r="G183">
        <v>0.22</v>
      </c>
      <c r="H183">
        <v>9.8800000000000008</v>
      </c>
      <c r="I183">
        <v>0</v>
      </c>
      <c r="J183">
        <v>0</v>
      </c>
      <c r="K183">
        <v>10.1</v>
      </c>
      <c r="L183" t="s">
        <v>61</v>
      </c>
      <c r="M183">
        <v>399</v>
      </c>
      <c r="N183">
        <v>39.5</v>
      </c>
      <c r="O183" t="s">
        <v>69</v>
      </c>
      <c r="P183" t="s">
        <v>67</v>
      </c>
      <c r="Q183">
        <v>0</v>
      </c>
      <c r="R183">
        <v>0</v>
      </c>
    </row>
    <row r="184" spans="1:18" x14ac:dyDescent="0.35">
      <c r="A184" t="s">
        <v>56</v>
      </c>
      <c r="B184" t="s">
        <v>57</v>
      </c>
      <c r="C184" t="s">
        <v>70</v>
      </c>
      <c r="D184">
        <v>107463281</v>
      </c>
      <c r="E184" t="s">
        <v>99</v>
      </c>
      <c r="F184" t="s">
        <v>60</v>
      </c>
      <c r="G184">
        <v>0.45</v>
      </c>
      <c r="H184">
        <v>9.65</v>
      </c>
      <c r="I184">
        <v>0</v>
      </c>
      <c r="J184">
        <v>0</v>
      </c>
      <c r="K184">
        <v>10.1</v>
      </c>
      <c r="L184" t="s">
        <v>61</v>
      </c>
      <c r="M184">
        <v>470</v>
      </c>
      <c r="N184">
        <v>46.53</v>
      </c>
      <c r="O184" t="s">
        <v>62</v>
      </c>
      <c r="P184" t="s">
        <v>63</v>
      </c>
      <c r="Q184">
        <v>586</v>
      </c>
      <c r="R184">
        <v>1291.06</v>
      </c>
    </row>
    <row r="185" spans="1:18" x14ac:dyDescent="0.35">
      <c r="A185" t="s">
        <v>56</v>
      </c>
      <c r="B185" t="s">
        <v>57</v>
      </c>
      <c r="C185" t="s">
        <v>70</v>
      </c>
      <c r="D185">
        <v>107463281</v>
      </c>
      <c r="E185" t="s">
        <v>99</v>
      </c>
      <c r="F185" t="s">
        <v>60</v>
      </c>
      <c r="G185">
        <v>0.45</v>
      </c>
      <c r="H185">
        <v>9.65</v>
      </c>
      <c r="I185">
        <v>0</v>
      </c>
      <c r="J185">
        <v>0</v>
      </c>
      <c r="K185">
        <v>10.1</v>
      </c>
      <c r="L185" t="s">
        <v>61</v>
      </c>
      <c r="M185">
        <v>470</v>
      </c>
      <c r="N185">
        <v>46.53</v>
      </c>
      <c r="O185" t="s">
        <v>62</v>
      </c>
      <c r="P185" t="s">
        <v>64</v>
      </c>
      <c r="Q185">
        <v>1825</v>
      </c>
      <c r="R185">
        <v>189.2</v>
      </c>
    </row>
    <row r="186" spans="1:18" x14ac:dyDescent="0.35">
      <c r="A186" t="s">
        <v>56</v>
      </c>
      <c r="B186" t="s">
        <v>57</v>
      </c>
      <c r="C186" t="s">
        <v>70</v>
      </c>
      <c r="D186">
        <v>107463281</v>
      </c>
      <c r="E186" t="s">
        <v>99</v>
      </c>
      <c r="F186" t="s">
        <v>60</v>
      </c>
      <c r="G186">
        <v>0.45</v>
      </c>
      <c r="H186">
        <v>9.65</v>
      </c>
      <c r="I186">
        <v>0</v>
      </c>
      <c r="J186">
        <v>0</v>
      </c>
      <c r="K186">
        <v>10.1</v>
      </c>
      <c r="L186" t="s">
        <v>61</v>
      </c>
      <c r="M186">
        <v>470</v>
      </c>
      <c r="N186">
        <v>46.53</v>
      </c>
      <c r="O186" t="s">
        <v>62</v>
      </c>
      <c r="P186" t="s">
        <v>65</v>
      </c>
      <c r="Q186">
        <v>0</v>
      </c>
      <c r="R186">
        <v>0</v>
      </c>
    </row>
    <row r="187" spans="1:18" x14ac:dyDescent="0.35">
      <c r="A187" t="s">
        <v>56</v>
      </c>
      <c r="B187" t="s">
        <v>57</v>
      </c>
      <c r="C187" t="s">
        <v>70</v>
      </c>
      <c r="D187">
        <v>107463281</v>
      </c>
      <c r="E187" t="s">
        <v>99</v>
      </c>
      <c r="F187" t="s">
        <v>60</v>
      </c>
      <c r="G187">
        <v>0.45</v>
      </c>
      <c r="H187">
        <v>9.65</v>
      </c>
      <c r="I187">
        <v>0</v>
      </c>
      <c r="J187">
        <v>0</v>
      </c>
      <c r="K187">
        <v>10.1</v>
      </c>
      <c r="L187" t="s">
        <v>61</v>
      </c>
      <c r="M187">
        <v>470</v>
      </c>
      <c r="N187">
        <v>46.53</v>
      </c>
      <c r="O187" t="s">
        <v>62</v>
      </c>
      <c r="P187" t="s">
        <v>66</v>
      </c>
      <c r="Q187">
        <v>0</v>
      </c>
      <c r="R187">
        <v>0</v>
      </c>
    </row>
    <row r="188" spans="1:18" x14ac:dyDescent="0.35">
      <c r="A188" t="s">
        <v>56</v>
      </c>
      <c r="B188" t="s">
        <v>57</v>
      </c>
      <c r="C188" t="s">
        <v>70</v>
      </c>
      <c r="D188">
        <v>107463281</v>
      </c>
      <c r="E188" t="s">
        <v>99</v>
      </c>
      <c r="F188" t="s">
        <v>60</v>
      </c>
      <c r="G188">
        <v>0.45</v>
      </c>
      <c r="H188">
        <v>9.65</v>
      </c>
      <c r="I188">
        <v>0</v>
      </c>
      <c r="J188">
        <v>0</v>
      </c>
      <c r="K188">
        <v>10.1</v>
      </c>
      <c r="L188" t="s">
        <v>61</v>
      </c>
      <c r="M188">
        <v>470</v>
      </c>
      <c r="N188">
        <v>46.53</v>
      </c>
      <c r="O188" t="s">
        <v>62</v>
      </c>
      <c r="P188" t="s">
        <v>67</v>
      </c>
      <c r="Q188">
        <v>2411</v>
      </c>
      <c r="R188">
        <v>238.71</v>
      </c>
    </row>
    <row r="189" spans="1:18" x14ac:dyDescent="0.35">
      <c r="A189" t="s">
        <v>56</v>
      </c>
      <c r="B189" t="s">
        <v>57</v>
      </c>
      <c r="C189" t="s">
        <v>70</v>
      </c>
      <c r="D189">
        <v>107463281</v>
      </c>
      <c r="E189" t="s">
        <v>99</v>
      </c>
      <c r="F189" t="s">
        <v>60</v>
      </c>
      <c r="G189">
        <v>0.45</v>
      </c>
      <c r="H189">
        <v>9.65</v>
      </c>
      <c r="I189">
        <v>0</v>
      </c>
      <c r="J189">
        <v>0</v>
      </c>
      <c r="K189">
        <v>10.1</v>
      </c>
      <c r="L189" t="s">
        <v>61</v>
      </c>
      <c r="M189">
        <v>470</v>
      </c>
      <c r="N189">
        <v>46.53</v>
      </c>
      <c r="O189" t="s">
        <v>68</v>
      </c>
      <c r="P189" t="s">
        <v>67</v>
      </c>
      <c r="Q189">
        <v>470</v>
      </c>
      <c r="R189">
        <v>46.53</v>
      </c>
    </row>
    <row r="190" spans="1:18" x14ac:dyDescent="0.35">
      <c r="A190" t="s">
        <v>56</v>
      </c>
      <c r="B190" t="s">
        <v>57</v>
      </c>
      <c r="C190" t="s">
        <v>70</v>
      </c>
      <c r="D190">
        <v>107463281</v>
      </c>
      <c r="E190" t="s">
        <v>99</v>
      </c>
      <c r="F190" t="s">
        <v>60</v>
      </c>
      <c r="G190">
        <v>0.45</v>
      </c>
      <c r="H190">
        <v>9.65</v>
      </c>
      <c r="I190">
        <v>0</v>
      </c>
      <c r="J190">
        <v>0</v>
      </c>
      <c r="K190">
        <v>10.1</v>
      </c>
      <c r="L190" t="s">
        <v>61</v>
      </c>
      <c r="M190">
        <v>470</v>
      </c>
      <c r="N190">
        <v>46.53</v>
      </c>
      <c r="O190" t="s">
        <v>69</v>
      </c>
      <c r="P190" t="s">
        <v>67</v>
      </c>
      <c r="Q190">
        <v>0</v>
      </c>
      <c r="R190">
        <v>0</v>
      </c>
    </row>
    <row r="191" spans="1:18" x14ac:dyDescent="0.35">
      <c r="A191" t="s">
        <v>56</v>
      </c>
      <c r="B191" t="s">
        <v>57</v>
      </c>
      <c r="C191" t="s">
        <v>70</v>
      </c>
      <c r="D191">
        <v>107674648</v>
      </c>
      <c r="E191" t="s">
        <v>100</v>
      </c>
      <c r="F191" t="s">
        <v>72</v>
      </c>
      <c r="G191">
        <v>0.2</v>
      </c>
      <c r="H191">
        <v>7.1</v>
      </c>
      <c r="I191">
        <v>0.2</v>
      </c>
      <c r="J191">
        <v>0</v>
      </c>
      <c r="K191">
        <v>7.51</v>
      </c>
      <c r="L191" t="s">
        <v>61</v>
      </c>
      <c r="M191">
        <v>321</v>
      </c>
      <c r="N191">
        <v>42.77</v>
      </c>
      <c r="O191" t="s">
        <v>62</v>
      </c>
      <c r="P191" t="s">
        <v>63</v>
      </c>
      <c r="Q191">
        <v>206</v>
      </c>
      <c r="R191">
        <v>1035.75</v>
      </c>
    </row>
    <row r="192" spans="1:18" x14ac:dyDescent="0.35">
      <c r="A192" t="s">
        <v>56</v>
      </c>
      <c r="B192" t="s">
        <v>57</v>
      </c>
      <c r="C192" t="s">
        <v>70</v>
      </c>
      <c r="D192">
        <v>107674648</v>
      </c>
      <c r="E192" t="s">
        <v>100</v>
      </c>
      <c r="F192" t="s">
        <v>72</v>
      </c>
      <c r="G192">
        <v>0.2</v>
      </c>
      <c r="H192">
        <v>7.1</v>
      </c>
      <c r="I192">
        <v>0.2</v>
      </c>
      <c r="J192">
        <v>0</v>
      </c>
      <c r="K192">
        <v>7.51</v>
      </c>
      <c r="L192" t="s">
        <v>61</v>
      </c>
      <c r="M192">
        <v>321</v>
      </c>
      <c r="N192">
        <v>42.77</v>
      </c>
      <c r="O192" t="s">
        <v>62</v>
      </c>
      <c r="P192" t="s">
        <v>64</v>
      </c>
      <c r="Q192">
        <v>1077</v>
      </c>
      <c r="R192">
        <v>151.66999999999999</v>
      </c>
    </row>
    <row r="193" spans="1:18" x14ac:dyDescent="0.35">
      <c r="A193" t="s">
        <v>56</v>
      </c>
      <c r="B193" t="s">
        <v>57</v>
      </c>
      <c r="C193" t="s">
        <v>70</v>
      </c>
      <c r="D193">
        <v>107674648</v>
      </c>
      <c r="E193" t="s">
        <v>100</v>
      </c>
      <c r="F193" t="s">
        <v>72</v>
      </c>
      <c r="G193">
        <v>0.2</v>
      </c>
      <c r="H193">
        <v>7.1</v>
      </c>
      <c r="I193">
        <v>0.2</v>
      </c>
      <c r="J193">
        <v>0</v>
      </c>
      <c r="K193">
        <v>7.51</v>
      </c>
      <c r="L193" t="s">
        <v>61</v>
      </c>
      <c r="M193">
        <v>321</v>
      </c>
      <c r="N193">
        <v>42.77</v>
      </c>
      <c r="O193" t="s">
        <v>62</v>
      </c>
      <c r="P193" t="s">
        <v>65</v>
      </c>
      <c r="Q193">
        <v>40</v>
      </c>
      <c r="R193">
        <v>195.12</v>
      </c>
    </row>
    <row r="194" spans="1:18" x14ac:dyDescent="0.35">
      <c r="A194" t="s">
        <v>56</v>
      </c>
      <c r="B194" t="s">
        <v>57</v>
      </c>
      <c r="C194" t="s">
        <v>70</v>
      </c>
      <c r="D194">
        <v>107674648</v>
      </c>
      <c r="E194" t="s">
        <v>100</v>
      </c>
      <c r="F194" t="s">
        <v>72</v>
      </c>
      <c r="G194">
        <v>0.2</v>
      </c>
      <c r="H194">
        <v>7.1</v>
      </c>
      <c r="I194">
        <v>0.2</v>
      </c>
      <c r="J194">
        <v>0</v>
      </c>
      <c r="K194">
        <v>7.51</v>
      </c>
      <c r="L194" t="s">
        <v>61</v>
      </c>
      <c r="M194">
        <v>321</v>
      </c>
      <c r="N194">
        <v>42.77</v>
      </c>
      <c r="O194" t="s">
        <v>62</v>
      </c>
      <c r="P194" t="s">
        <v>66</v>
      </c>
      <c r="Q194">
        <v>0</v>
      </c>
      <c r="R194">
        <v>0</v>
      </c>
    </row>
    <row r="195" spans="1:18" x14ac:dyDescent="0.35">
      <c r="A195" t="s">
        <v>56</v>
      </c>
      <c r="B195" t="s">
        <v>57</v>
      </c>
      <c r="C195" t="s">
        <v>70</v>
      </c>
      <c r="D195">
        <v>107674648</v>
      </c>
      <c r="E195" t="s">
        <v>100</v>
      </c>
      <c r="F195" t="s">
        <v>72</v>
      </c>
      <c r="G195">
        <v>0.2</v>
      </c>
      <c r="H195">
        <v>7.1</v>
      </c>
      <c r="I195">
        <v>0.2</v>
      </c>
      <c r="J195">
        <v>0</v>
      </c>
      <c r="K195">
        <v>7.51</v>
      </c>
      <c r="L195" t="s">
        <v>61</v>
      </c>
      <c r="M195">
        <v>321</v>
      </c>
      <c r="N195">
        <v>42.77</v>
      </c>
      <c r="O195" t="s">
        <v>62</v>
      </c>
      <c r="P195" t="s">
        <v>67</v>
      </c>
      <c r="Q195">
        <v>1323</v>
      </c>
      <c r="R195">
        <v>176.28</v>
      </c>
    </row>
    <row r="196" spans="1:18" x14ac:dyDescent="0.35">
      <c r="A196" t="s">
        <v>56</v>
      </c>
      <c r="B196" t="s">
        <v>57</v>
      </c>
      <c r="C196" t="s">
        <v>70</v>
      </c>
      <c r="D196">
        <v>107674648</v>
      </c>
      <c r="E196" t="s">
        <v>100</v>
      </c>
      <c r="F196" t="s">
        <v>72</v>
      </c>
      <c r="G196">
        <v>0.2</v>
      </c>
      <c r="H196">
        <v>7.1</v>
      </c>
      <c r="I196">
        <v>0.2</v>
      </c>
      <c r="J196">
        <v>0</v>
      </c>
      <c r="K196">
        <v>7.51</v>
      </c>
      <c r="L196" t="s">
        <v>61</v>
      </c>
      <c r="M196">
        <v>321</v>
      </c>
      <c r="N196">
        <v>42.77</v>
      </c>
      <c r="O196" t="s">
        <v>68</v>
      </c>
      <c r="P196" t="s">
        <v>67</v>
      </c>
      <c r="Q196">
        <v>321</v>
      </c>
      <c r="R196">
        <v>42.77</v>
      </c>
    </row>
    <row r="197" spans="1:18" x14ac:dyDescent="0.35">
      <c r="A197" t="s">
        <v>56</v>
      </c>
      <c r="B197" t="s">
        <v>57</v>
      </c>
      <c r="C197" t="s">
        <v>70</v>
      </c>
      <c r="D197">
        <v>107674648</v>
      </c>
      <c r="E197" t="s">
        <v>100</v>
      </c>
      <c r="F197" t="s">
        <v>72</v>
      </c>
      <c r="G197">
        <v>0.2</v>
      </c>
      <c r="H197">
        <v>7.1</v>
      </c>
      <c r="I197">
        <v>0.2</v>
      </c>
      <c r="J197">
        <v>0</v>
      </c>
      <c r="K197">
        <v>7.51</v>
      </c>
      <c r="L197" t="s">
        <v>61</v>
      </c>
      <c r="M197">
        <v>321</v>
      </c>
      <c r="N197">
        <v>42.77</v>
      </c>
      <c r="O197" t="s">
        <v>69</v>
      </c>
      <c r="P197" t="s">
        <v>67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58</v>
      </c>
      <c r="D198">
        <v>107704604</v>
      </c>
      <c r="E198" t="s">
        <v>101</v>
      </c>
      <c r="F198" t="s">
        <v>72</v>
      </c>
      <c r="G198">
        <v>0.35</v>
      </c>
      <c r="H198">
        <v>3.97</v>
      </c>
      <c r="I198">
        <v>0.26</v>
      </c>
      <c r="J198">
        <v>0</v>
      </c>
      <c r="K198">
        <v>4.58</v>
      </c>
      <c r="L198" t="s">
        <v>61</v>
      </c>
      <c r="M198">
        <v>297</v>
      </c>
      <c r="N198">
        <v>64.8</v>
      </c>
      <c r="O198" t="s">
        <v>62</v>
      </c>
      <c r="P198" t="s">
        <v>63</v>
      </c>
      <c r="Q198">
        <v>617</v>
      </c>
      <c r="R198">
        <v>1769.88</v>
      </c>
    </row>
    <row r="199" spans="1:18" x14ac:dyDescent="0.35">
      <c r="A199" t="s">
        <v>56</v>
      </c>
      <c r="B199" t="s">
        <v>57</v>
      </c>
      <c r="C199" t="s">
        <v>58</v>
      </c>
      <c r="D199">
        <v>107704604</v>
      </c>
      <c r="E199" t="s">
        <v>101</v>
      </c>
      <c r="F199" t="s">
        <v>72</v>
      </c>
      <c r="G199">
        <v>0.35</v>
      </c>
      <c r="H199">
        <v>3.97</v>
      </c>
      <c r="I199">
        <v>0.26</v>
      </c>
      <c r="J199">
        <v>0</v>
      </c>
      <c r="K199">
        <v>4.58</v>
      </c>
      <c r="L199" t="s">
        <v>61</v>
      </c>
      <c r="M199">
        <v>297</v>
      </c>
      <c r="N199">
        <v>64.8</v>
      </c>
      <c r="O199" t="s">
        <v>62</v>
      </c>
      <c r="P199" t="s">
        <v>64</v>
      </c>
      <c r="Q199">
        <v>1030</v>
      </c>
      <c r="R199">
        <v>259.39</v>
      </c>
    </row>
    <row r="200" spans="1:18" x14ac:dyDescent="0.35">
      <c r="A200" t="s">
        <v>56</v>
      </c>
      <c r="B200" t="s">
        <v>57</v>
      </c>
      <c r="C200" t="s">
        <v>58</v>
      </c>
      <c r="D200">
        <v>107704604</v>
      </c>
      <c r="E200" t="s">
        <v>101</v>
      </c>
      <c r="F200" t="s">
        <v>72</v>
      </c>
      <c r="G200">
        <v>0.35</v>
      </c>
      <c r="H200">
        <v>3.97</v>
      </c>
      <c r="I200">
        <v>0.26</v>
      </c>
      <c r="J200">
        <v>0</v>
      </c>
      <c r="K200">
        <v>4.58</v>
      </c>
      <c r="L200" t="s">
        <v>61</v>
      </c>
      <c r="M200">
        <v>297</v>
      </c>
      <c r="N200">
        <v>64.8</v>
      </c>
      <c r="O200" t="s">
        <v>62</v>
      </c>
      <c r="P200" t="s">
        <v>65</v>
      </c>
      <c r="Q200">
        <v>88</v>
      </c>
      <c r="R200">
        <v>333.83</v>
      </c>
    </row>
    <row r="201" spans="1:18" x14ac:dyDescent="0.35">
      <c r="A201" t="s">
        <v>56</v>
      </c>
      <c r="B201" t="s">
        <v>57</v>
      </c>
      <c r="C201" t="s">
        <v>58</v>
      </c>
      <c r="D201">
        <v>107704604</v>
      </c>
      <c r="E201" t="s">
        <v>101</v>
      </c>
      <c r="F201" t="s">
        <v>72</v>
      </c>
      <c r="G201">
        <v>0.35</v>
      </c>
      <c r="H201">
        <v>3.97</v>
      </c>
      <c r="I201">
        <v>0.26</v>
      </c>
      <c r="J201">
        <v>0</v>
      </c>
      <c r="K201">
        <v>4.58</v>
      </c>
      <c r="L201" t="s">
        <v>61</v>
      </c>
      <c r="M201">
        <v>297</v>
      </c>
      <c r="N201">
        <v>64.8</v>
      </c>
      <c r="O201" t="s">
        <v>62</v>
      </c>
      <c r="P201" t="s">
        <v>66</v>
      </c>
      <c r="Q201">
        <v>0</v>
      </c>
      <c r="R201">
        <v>0</v>
      </c>
    </row>
    <row r="202" spans="1:18" x14ac:dyDescent="0.35">
      <c r="A202" t="s">
        <v>56</v>
      </c>
      <c r="B202" t="s">
        <v>57</v>
      </c>
      <c r="C202" t="s">
        <v>58</v>
      </c>
      <c r="D202">
        <v>107704604</v>
      </c>
      <c r="E202" t="s">
        <v>101</v>
      </c>
      <c r="F202" t="s">
        <v>72</v>
      </c>
      <c r="G202">
        <v>0.35</v>
      </c>
      <c r="H202">
        <v>3.97</v>
      </c>
      <c r="I202">
        <v>0.26</v>
      </c>
      <c r="J202">
        <v>0</v>
      </c>
      <c r="K202">
        <v>4.58</v>
      </c>
      <c r="L202" t="s">
        <v>61</v>
      </c>
      <c r="M202">
        <v>297</v>
      </c>
      <c r="N202">
        <v>64.8</v>
      </c>
      <c r="O202" t="s">
        <v>62</v>
      </c>
      <c r="P202" t="s">
        <v>67</v>
      </c>
      <c r="Q202">
        <v>1735</v>
      </c>
      <c r="R202">
        <v>378.55</v>
      </c>
    </row>
    <row r="203" spans="1:18" x14ac:dyDescent="0.35">
      <c r="A203" t="s">
        <v>56</v>
      </c>
      <c r="B203" t="s">
        <v>57</v>
      </c>
      <c r="C203" t="s">
        <v>58</v>
      </c>
      <c r="D203">
        <v>107704604</v>
      </c>
      <c r="E203" t="s">
        <v>101</v>
      </c>
      <c r="F203" t="s">
        <v>72</v>
      </c>
      <c r="G203">
        <v>0.35</v>
      </c>
      <c r="H203">
        <v>3.97</v>
      </c>
      <c r="I203">
        <v>0.26</v>
      </c>
      <c r="J203">
        <v>0</v>
      </c>
      <c r="K203">
        <v>4.58</v>
      </c>
      <c r="L203" t="s">
        <v>61</v>
      </c>
      <c r="M203">
        <v>297</v>
      </c>
      <c r="N203">
        <v>64.8</v>
      </c>
      <c r="O203" t="s">
        <v>68</v>
      </c>
      <c r="P203" t="s">
        <v>67</v>
      </c>
      <c r="Q203">
        <v>297</v>
      </c>
      <c r="R203">
        <v>64.8</v>
      </c>
    </row>
    <row r="204" spans="1:18" x14ac:dyDescent="0.35">
      <c r="A204" t="s">
        <v>56</v>
      </c>
      <c r="B204" t="s">
        <v>57</v>
      </c>
      <c r="C204" t="s">
        <v>58</v>
      </c>
      <c r="D204">
        <v>107704604</v>
      </c>
      <c r="E204" t="s">
        <v>101</v>
      </c>
      <c r="F204" t="s">
        <v>72</v>
      </c>
      <c r="G204">
        <v>0.35</v>
      </c>
      <c r="H204">
        <v>3.97</v>
      </c>
      <c r="I204">
        <v>0.26</v>
      </c>
      <c r="J204">
        <v>0</v>
      </c>
      <c r="K204">
        <v>4.58</v>
      </c>
      <c r="L204" t="s">
        <v>61</v>
      </c>
      <c r="M204">
        <v>297</v>
      </c>
      <c r="N204">
        <v>64.8</v>
      </c>
      <c r="O204" t="s">
        <v>69</v>
      </c>
      <c r="P204" t="s">
        <v>67</v>
      </c>
      <c r="Q204">
        <v>0</v>
      </c>
      <c r="R204">
        <v>0</v>
      </c>
    </row>
    <row r="205" spans="1:18" x14ac:dyDescent="0.35">
      <c r="A205" t="s">
        <v>56</v>
      </c>
      <c r="B205" t="s">
        <v>57</v>
      </c>
      <c r="C205" t="s">
        <v>58</v>
      </c>
      <c r="D205">
        <v>107704699</v>
      </c>
      <c r="E205" t="s">
        <v>102</v>
      </c>
      <c r="F205" t="s">
        <v>60</v>
      </c>
      <c r="G205">
        <v>0.56999999999999995</v>
      </c>
      <c r="H205">
        <v>9.64</v>
      </c>
      <c r="I205">
        <v>0</v>
      </c>
      <c r="J205">
        <v>0</v>
      </c>
      <c r="K205">
        <v>10.220000000000001</v>
      </c>
      <c r="L205" t="s">
        <v>61</v>
      </c>
      <c r="M205">
        <v>369</v>
      </c>
      <c r="N205">
        <v>36.119999999999997</v>
      </c>
      <c r="O205" t="s">
        <v>62</v>
      </c>
      <c r="P205" t="s">
        <v>63</v>
      </c>
      <c r="Q205">
        <v>624</v>
      </c>
      <c r="R205">
        <v>1091.55</v>
      </c>
    </row>
    <row r="206" spans="1:18" x14ac:dyDescent="0.35">
      <c r="A206" t="s">
        <v>56</v>
      </c>
      <c r="B206" t="s">
        <v>57</v>
      </c>
      <c r="C206" t="s">
        <v>58</v>
      </c>
      <c r="D206">
        <v>107704699</v>
      </c>
      <c r="E206" t="s">
        <v>102</v>
      </c>
      <c r="F206" t="s">
        <v>60</v>
      </c>
      <c r="G206">
        <v>0.56999999999999995</v>
      </c>
      <c r="H206">
        <v>9.64</v>
      </c>
      <c r="I206">
        <v>0</v>
      </c>
      <c r="J206">
        <v>0</v>
      </c>
      <c r="K206">
        <v>10.220000000000001</v>
      </c>
      <c r="L206" t="s">
        <v>61</v>
      </c>
      <c r="M206">
        <v>369</v>
      </c>
      <c r="N206">
        <v>36.119999999999997</v>
      </c>
      <c r="O206" t="s">
        <v>62</v>
      </c>
      <c r="P206" t="s">
        <v>64</v>
      </c>
      <c r="Q206">
        <v>1543</v>
      </c>
      <c r="R206">
        <v>159.97999999999999</v>
      </c>
    </row>
    <row r="207" spans="1:18" x14ac:dyDescent="0.35">
      <c r="A207" t="s">
        <v>56</v>
      </c>
      <c r="B207" t="s">
        <v>57</v>
      </c>
      <c r="C207" t="s">
        <v>58</v>
      </c>
      <c r="D207">
        <v>107704699</v>
      </c>
      <c r="E207" t="s">
        <v>102</v>
      </c>
      <c r="F207" t="s">
        <v>60</v>
      </c>
      <c r="G207">
        <v>0.56999999999999995</v>
      </c>
      <c r="H207">
        <v>9.64</v>
      </c>
      <c r="I207">
        <v>0</v>
      </c>
      <c r="J207">
        <v>0</v>
      </c>
      <c r="K207">
        <v>10.220000000000001</v>
      </c>
      <c r="L207" t="s">
        <v>61</v>
      </c>
      <c r="M207">
        <v>369</v>
      </c>
      <c r="N207">
        <v>36.119999999999997</v>
      </c>
      <c r="O207" t="s">
        <v>62</v>
      </c>
      <c r="P207" t="s">
        <v>65</v>
      </c>
      <c r="Q207">
        <v>0</v>
      </c>
      <c r="R207">
        <v>0</v>
      </c>
    </row>
    <row r="208" spans="1:18" x14ac:dyDescent="0.35">
      <c r="A208" t="s">
        <v>56</v>
      </c>
      <c r="B208" t="s">
        <v>57</v>
      </c>
      <c r="C208" t="s">
        <v>58</v>
      </c>
      <c r="D208">
        <v>107704699</v>
      </c>
      <c r="E208" t="s">
        <v>102</v>
      </c>
      <c r="F208" t="s">
        <v>60</v>
      </c>
      <c r="G208">
        <v>0.56999999999999995</v>
      </c>
      <c r="H208">
        <v>9.64</v>
      </c>
      <c r="I208">
        <v>0</v>
      </c>
      <c r="J208">
        <v>0</v>
      </c>
      <c r="K208">
        <v>10.220000000000001</v>
      </c>
      <c r="L208" t="s">
        <v>61</v>
      </c>
      <c r="M208">
        <v>369</v>
      </c>
      <c r="N208">
        <v>36.119999999999997</v>
      </c>
      <c r="O208" t="s">
        <v>62</v>
      </c>
      <c r="P208" t="s">
        <v>66</v>
      </c>
      <c r="Q208">
        <v>0</v>
      </c>
      <c r="R208">
        <v>0</v>
      </c>
    </row>
    <row r="209" spans="1:18" x14ac:dyDescent="0.35">
      <c r="A209" t="s">
        <v>56</v>
      </c>
      <c r="B209" t="s">
        <v>57</v>
      </c>
      <c r="C209" t="s">
        <v>58</v>
      </c>
      <c r="D209">
        <v>107704699</v>
      </c>
      <c r="E209" t="s">
        <v>102</v>
      </c>
      <c r="F209" t="s">
        <v>60</v>
      </c>
      <c r="G209">
        <v>0.56999999999999995</v>
      </c>
      <c r="H209">
        <v>9.64</v>
      </c>
      <c r="I209">
        <v>0</v>
      </c>
      <c r="J209">
        <v>0</v>
      </c>
      <c r="K209">
        <v>10.220000000000001</v>
      </c>
      <c r="L209" t="s">
        <v>61</v>
      </c>
      <c r="M209">
        <v>369</v>
      </c>
      <c r="N209">
        <v>36.119999999999997</v>
      </c>
      <c r="O209" t="s">
        <v>62</v>
      </c>
      <c r="P209" t="s">
        <v>67</v>
      </c>
      <c r="Q209">
        <v>2167</v>
      </c>
      <c r="R209">
        <v>212.1</v>
      </c>
    </row>
    <row r="210" spans="1:18" x14ac:dyDescent="0.35">
      <c r="A210" t="s">
        <v>56</v>
      </c>
      <c r="B210" t="s">
        <v>57</v>
      </c>
      <c r="C210" t="s">
        <v>58</v>
      </c>
      <c r="D210">
        <v>107704699</v>
      </c>
      <c r="E210" t="s">
        <v>102</v>
      </c>
      <c r="F210" t="s">
        <v>60</v>
      </c>
      <c r="G210">
        <v>0.56999999999999995</v>
      </c>
      <c r="H210">
        <v>9.64</v>
      </c>
      <c r="I210">
        <v>0</v>
      </c>
      <c r="J210">
        <v>0</v>
      </c>
      <c r="K210">
        <v>10.220000000000001</v>
      </c>
      <c r="L210" t="s">
        <v>61</v>
      </c>
      <c r="M210">
        <v>369</v>
      </c>
      <c r="N210">
        <v>36.119999999999997</v>
      </c>
      <c r="O210" t="s">
        <v>68</v>
      </c>
      <c r="P210" t="s">
        <v>67</v>
      </c>
      <c r="Q210">
        <v>369</v>
      </c>
      <c r="R210">
        <v>36.119999999999997</v>
      </c>
    </row>
    <row r="211" spans="1:18" x14ac:dyDescent="0.35">
      <c r="A211" t="s">
        <v>56</v>
      </c>
      <c r="B211" t="s">
        <v>57</v>
      </c>
      <c r="C211" t="s">
        <v>58</v>
      </c>
      <c r="D211">
        <v>107704699</v>
      </c>
      <c r="E211" t="s">
        <v>102</v>
      </c>
      <c r="F211" t="s">
        <v>60</v>
      </c>
      <c r="G211">
        <v>0.56999999999999995</v>
      </c>
      <c r="H211">
        <v>9.64</v>
      </c>
      <c r="I211">
        <v>0</v>
      </c>
      <c r="J211">
        <v>0</v>
      </c>
      <c r="K211">
        <v>10.220000000000001</v>
      </c>
      <c r="L211" t="s">
        <v>61</v>
      </c>
      <c r="M211">
        <v>369</v>
      </c>
      <c r="N211">
        <v>36.119999999999997</v>
      </c>
      <c r="O211" t="s">
        <v>69</v>
      </c>
      <c r="P211" t="s">
        <v>67</v>
      </c>
      <c r="Q211">
        <v>0</v>
      </c>
      <c r="R211">
        <v>0</v>
      </c>
    </row>
    <row r="212" spans="1:18" x14ac:dyDescent="0.35">
      <c r="A212" t="s">
        <v>56</v>
      </c>
      <c r="B212" t="s">
        <v>57</v>
      </c>
      <c r="C212" t="s">
        <v>70</v>
      </c>
      <c r="D212">
        <v>107741579</v>
      </c>
      <c r="E212" t="s">
        <v>103</v>
      </c>
      <c r="F212" t="s">
        <v>60</v>
      </c>
      <c r="G212">
        <v>0.12</v>
      </c>
      <c r="H212">
        <v>9.68</v>
      </c>
      <c r="I212">
        <v>0.22</v>
      </c>
      <c r="J212">
        <v>0</v>
      </c>
      <c r="K212">
        <v>10.02</v>
      </c>
      <c r="L212" t="s">
        <v>61</v>
      </c>
      <c r="M212">
        <v>607</v>
      </c>
      <c r="N212">
        <v>60.6</v>
      </c>
      <c r="O212" t="s">
        <v>62</v>
      </c>
      <c r="P212" t="s">
        <v>63</v>
      </c>
      <c r="Q212">
        <v>138</v>
      </c>
      <c r="R212">
        <v>1155.3499999999999</v>
      </c>
    </row>
    <row r="213" spans="1:18" x14ac:dyDescent="0.35">
      <c r="A213" t="s">
        <v>56</v>
      </c>
      <c r="B213" t="s">
        <v>57</v>
      </c>
      <c r="C213" t="s">
        <v>70</v>
      </c>
      <c r="D213">
        <v>107741579</v>
      </c>
      <c r="E213" t="s">
        <v>103</v>
      </c>
      <c r="F213" t="s">
        <v>60</v>
      </c>
      <c r="G213">
        <v>0.12</v>
      </c>
      <c r="H213">
        <v>9.68</v>
      </c>
      <c r="I213">
        <v>0.22</v>
      </c>
      <c r="J213">
        <v>0</v>
      </c>
      <c r="K213">
        <v>10.02</v>
      </c>
      <c r="L213" t="s">
        <v>61</v>
      </c>
      <c r="M213">
        <v>607</v>
      </c>
      <c r="N213">
        <v>60.6</v>
      </c>
      <c r="O213" t="s">
        <v>62</v>
      </c>
      <c r="P213" t="s">
        <v>64</v>
      </c>
      <c r="Q213">
        <v>1637</v>
      </c>
      <c r="R213">
        <v>169.1</v>
      </c>
    </row>
    <row r="214" spans="1:18" x14ac:dyDescent="0.35">
      <c r="A214" t="s">
        <v>56</v>
      </c>
      <c r="B214" t="s">
        <v>57</v>
      </c>
      <c r="C214" t="s">
        <v>70</v>
      </c>
      <c r="D214">
        <v>107741579</v>
      </c>
      <c r="E214" t="s">
        <v>103</v>
      </c>
      <c r="F214" t="s">
        <v>60</v>
      </c>
      <c r="G214">
        <v>0.12</v>
      </c>
      <c r="H214">
        <v>9.68</v>
      </c>
      <c r="I214">
        <v>0.22</v>
      </c>
      <c r="J214">
        <v>0</v>
      </c>
      <c r="K214">
        <v>10.02</v>
      </c>
      <c r="L214" t="s">
        <v>61</v>
      </c>
      <c r="M214">
        <v>607</v>
      </c>
      <c r="N214">
        <v>60.6</v>
      </c>
      <c r="O214" t="s">
        <v>62</v>
      </c>
      <c r="P214" t="s">
        <v>65</v>
      </c>
      <c r="Q214">
        <v>47</v>
      </c>
      <c r="R214">
        <v>217.76</v>
      </c>
    </row>
    <row r="215" spans="1:18" x14ac:dyDescent="0.35">
      <c r="A215" t="s">
        <v>56</v>
      </c>
      <c r="B215" t="s">
        <v>57</v>
      </c>
      <c r="C215" t="s">
        <v>70</v>
      </c>
      <c r="D215">
        <v>107741579</v>
      </c>
      <c r="E215" t="s">
        <v>103</v>
      </c>
      <c r="F215" t="s">
        <v>60</v>
      </c>
      <c r="G215">
        <v>0.12</v>
      </c>
      <c r="H215">
        <v>9.68</v>
      </c>
      <c r="I215">
        <v>0.22</v>
      </c>
      <c r="J215">
        <v>0</v>
      </c>
      <c r="K215">
        <v>10.02</v>
      </c>
      <c r="L215" t="s">
        <v>61</v>
      </c>
      <c r="M215">
        <v>607</v>
      </c>
      <c r="N215">
        <v>60.6</v>
      </c>
      <c r="O215" t="s">
        <v>62</v>
      </c>
      <c r="P215" t="s">
        <v>66</v>
      </c>
      <c r="Q215">
        <v>0</v>
      </c>
      <c r="R215">
        <v>0</v>
      </c>
    </row>
    <row r="216" spans="1:18" x14ac:dyDescent="0.35">
      <c r="A216" t="s">
        <v>56</v>
      </c>
      <c r="B216" t="s">
        <v>57</v>
      </c>
      <c r="C216" t="s">
        <v>70</v>
      </c>
      <c r="D216">
        <v>107741579</v>
      </c>
      <c r="E216" t="s">
        <v>103</v>
      </c>
      <c r="F216" t="s">
        <v>60</v>
      </c>
      <c r="G216">
        <v>0.12</v>
      </c>
      <c r="H216">
        <v>9.68</v>
      </c>
      <c r="I216">
        <v>0.22</v>
      </c>
      <c r="J216">
        <v>0</v>
      </c>
      <c r="K216">
        <v>10.02</v>
      </c>
      <c r="L216" t="s">
        <v>61</v>
      </c>
      <c r="M216">
        <v>607</v>
      </c>
      <c r="N216">
        <v>60.6</v>
      </c>
      <c r="O216" t="s">
        <v>62</v>
      </c>
      <c r="P216" t="s">
        <v>67</v>
      </c>
      <c r="Q216">
        <v>1822</v>
      </c>
      <c r="R216">
        <v>181.9</v>
      </c>
    </row>
    <row r="217" spans="1:18" x14ac:dyDescent="0.35">
      <c r="A217" t="s">
        <v>56</v>
      </c>
      <c r="B217" t="s">
        <v>57</v>
      </c>
      <c r="C217" t="s">
        <v>70</v>
      </c>
      <c r="D217">
        <v>107741579</v>
      </c>
      <c r="E217" t="s">
        <v>103</v>
      </c>
      <c r="F217" t="s">
        <v>60</v>
      </c>
      <c r="G217">
        <v>0.12</v>
      </c>
      <c r="H217">
        <v>9.68</v>
      </c>
      <c r="I217">
        <v>0.22</v>
      </c>
      <c r="J217">
        <v>0</v>
      </c>
      <c r="K217">
        <v>10.02</v>
      </c>
      <c r="L217" t="s">
        <v>61</v>
      </c>
      <c r="M217">
        <v>607</v>
      </c>
      <c r="N217">
        <v>60.6</v>
      </c>
      <c r="O217" t="s">
        <v>68</v>
      </c>
      <c r="P217" t="s">
        <v>67</v>
      </c>
      <c r="Q217">
        <v>606</v>
      </c>
      <c r="R217">
        <v>60.5</v>
      </c>
    </row>
    <row r="218" spans="1:18" x14ac:dyDescent="0.35">
      <c r="A218" t="s">
        <v>56</v>
      </c>
      <c r="B218" t="s">
        <v>57</v>
      </c>
      <c r="C218" t="s">
        <v>70</v>
      </c>
      <c r="D218">
        <v>107741579</v>
      </c>
      <c r="E218" t="s">
        <v>103</v>
      </c>
      <c r="F218" t="s">
        <v>60</v>
      </c>
      <c r="G218">
        <v>0.12</v>
      </c>
      <c r="H218">
        <v>9.68</v>
      </c>
      <c r="I218">
        <v>0.22</v>
      </c>
      <c r="J218">
        <v>0</v>
      </c>
      <c r="K218">
        <v>10.02</v>
      </c>
      <c r="L218" t="s">
        <v>61</v>
      </c>
      <c r="M218">
        <v>607</v>
      </c>
      <c r="N218">
        <v>60.6</v>
      </c>
      <c r="O218" t="s">
        <v>69</v>
      </c>
      <c r="P218" t="s">
        <v>67</v>
      </c>
      <c r="Q218">
        <v>0</v>
      </c>
      <c r="R218">
        <v>0</v>
      </c>
    </row>
    <row r="219" spans="1:18" x14ac:dyDescent="0.35">
      <c r="A219" t="s">
        <v>56</v>
      </c>
      <c r="B219" t="s">
        <v>57</v>
      </c>
      <c r="C219" t="s">
        <v>70</v>
      </c>
      <c r="D219">
        <v>107741612</v>
      </c>
      <c r="E219" t="s">
        <v>104</v>
      </c>
      <c r="F219" t="s">
        <v>60</v>
      </c>
      <c r="G219">
        <v>0.2</v>
      </c>
      <c r="H219">
        <v>9.82</v>
      </c>
      <c r="I219">
        <v>0</v>
      </c>
      <c r="J219">
        <v>0</v>
      </c>
      <c r="K219">
        <v>10.02</v>
      </c>
      <c r="L219" t="s">
        <v>61</v>
      </c>
      <c r="M219">
        <v>604</v>
      </c>
      <c r="N219">
        <v>60.3</v>
      </c>
      <c r="O219" t="s">
        <v>62</v>
      </c>
      <c r="P219" t="s">
        <v>63</v>
      </c>
      <c r="Q219">
        <v>358</v>
      </c>
      <c r="R219">
        <v>1790</v>
      </c>
    </row>
    <row r="220" spans="1:18" x14ac:dyDescent="0.35">
      <c r="A220" t="s">
        <v>56</v>
      </c>
      <c r="B220" t="s">
        <v>57</v>
      </c>
      <c r="C220" t="s">
        <v>70</v>
      </c>
      <c r="D220">
        <v>107741612</v>
      </c>
      <c r="E220" t="s">
        <v>104</v>
      </c>
      <c r="F220" t="s">
        <v>60</v>
      </c>
      <c r="G220">
        <v>0.2</v>
      </c>
      <c r="H220">
        <v>9.82</v>
      </c>
      <c r="I220">
        <v>0</v>
      </c>
      <c r="J220">
        <v>0</v>
      </c>
      <c r="K220">
        <v>10.02</v>
      </c>
      <c r="L220" t="s">
        <v>61</v>
      </c>
      <c r="M220">
        <v>604</v>
      </c>
      <c r="N220">
        <v>60.3</v>
      </c>
      <c r="O220" t="s">
        <v>62</v>
      </c>
      <c r="P220" t="s">
        <v>64</v>
      </c>
      <c r="Q220">
        <v>2575</v>
      </c>
      <c r="R220">
        <v>262.32</v>
      </c>
    </row>
    <row r="221" spans="1:18" x14ac:dyDescent="0.35">
      <c r="A221" t="s">
        <v>56</v>
      </c>
      <c r="B221" t="s">
        <v>57</v>
      </c>
      <c r="C221" t="s">
        <v>70</v>
      </c>
      <c r="D221">
        <v>107741612</v>
      </c>
      <c r="E221" t="s">
        <v>104</v>
      </c>
      <c r="F221" t="s">
        <v>60</v>
      </c>
      <c r="G221">
        <v>0.2</v>
      </c>
      <c r="H221">
        <v>9.82</v>
      </c>
      <c r="I221">
        <v>0</v>
      </c>
      <c r="J221">
        <v>0</v>
      </c>
      <c r="K221">
        <v>10.02</v>
      </c>
      <c r="L221" t="s">
        <v>61</v>
      </c>
      <c r="M221">
        <v>604</v>
      </c>
      <c r="N221">
        <v>60.3</v>
      </c>
      <c r="O221" t="s">
        <v>62</v>
      </c>
      <c r="P221" t="s">
        <v>65</v>
      </c>
      <c r="Q221">
        <v>0</v>
      </c>
      <c r="R221">
        <v>0</v>
      </c>
    </row>
    <row r="222" spans="1:18" x14ac:dyDescent="0.35">
      <c r="A222" t="s">
        <v>56</v>
      </c>
      <c r="B222" t="s">
        <v>57</v>
      </c>
      <c r="C222" t="s">
        <v>70</v>
      </c>
      <c r="D222">
        <v>107741612</v>
      </c>
      <c r="E222" t="s">
        <v>104</v>
      </c>
      <c r="F222" t="s">
        <v>60</v>
      </c>
      <c r="G222">
        <v>0.2</v>
      </c>
      <c r="H222">
        <v>9.82</v>
      </c>
      <c r="I222">
        <v>0</v>
      </c>
      <c r="J222">
        <v>0</v>
      </c>
      <c r="K222">
        <v>10.02</v>
      </c>
      <c r="L222" t="s">
        <v>61</v>
      </c>
      <c r="M222">
        <v>604</v>
      </c>
      <c r="N222">
        <v>60.3</v>
      </c>
      <c r="O222" t="s">
        <v>62</v>
      </c>
      <c r="P222" t="s">
        <v>66</v>
      </c>
      <c r="Q222">
        <v>0</v>
      </c>
      <c r="R222">
        <v>0</v>
      </c>
    </row>
    <row r="223" spans="1:18" x14ac:dyDescent="0.35">
      <c r="A223" t="s">
        <v>56</v>
      </c>
      <c r="B223" t="s">
        <v>57</v>
      </c>
      <c r="C223" t="s">
        <v>70</v>
      </c>
      <c r="D223">
        <v>107741612</v>
      </c>
      <c r="E223" t="s">
        <v>104</v>
      </c>
      <c r="F223" t="s">
        <v>60</v>
      </c>
      <c r="G223">
        <v>0.2</v>
      </c>
      <c r="H223">
        <v>9.82</v>
      </c>
      <c r="I223">
        <v>0</v>
      </c>
      <c r="J223">
        <v>0</v>
      </c>
      <c r="K223">
        <v>10.02</v>
      </c>
      <c r="L223" t="s">
        <v>61</v>
      </c>
      <c r="M223">
        <v>604</v>
      </c>
      <c r="N223">
        <v>60.3</v>
      </c>
      <c r="O223" t="s">
        <v>62</v>
      </c>
      <c r="P223" t="s">
        <v>67</v>
      </c>
      <c r="Q223">
        <v>2933</v>
      </c>
      <c r="R223">
        <v>292.81</v>
      </c>
    </row>
    <row r="224" spans="1:18" x14ac:dyDescent="0.35">
      <c r="A224" t="s">
        <v>56</v>
      </c>
      <c r="B224" t="s">
        <v>57</v>
      </c>
      <c r="C224" t="s">
        <v>70</v>
      </c>
      <c r="D224">
        <v>107741612</v>
      </c>
      <c r="E224" t="s">
        <v>104</v>
      </c>
      <c r="F224" t="s">
        <v>60</v>
      </c>
      <c r="G224">
        <v>0.2</v>
      </c>
      <c r="H224">
        <v>9.82</v>
      </c>
      <c r="I224">
        <v>0</v>
      </c>
      <c r="J224">
        <v>0</v>
      </c>
      <c r="K224">
        <v>10.02</v>
      </c>
      <c r="L224" t="s">
        <v>61</v>
      </c>
      <c r="M224">
        <v>604</v>
      </c>
      <c r="N224">
        <v>60.3</v>
      </c>
      <c r="O224" t="s">
        <v>68</v>
      </c>
      <c r="P224" t="s">
        <v>67</v>
      </c>
      <c r="Q224">
        <v>604</v>
      </c>
      <c r="R224">
        <v>60.3</v>
      </c>
    </row>
    <row r="225" spans="1:18" x14ac:dyDescent="0.35">
      <c r="A225" t="s">
        <v>56</v>
      </c>
      <c r="B225" t="s">
        <v>57</v>
      </c>
      <c r="C225" t="s">
        <v>70</v>
      </c>
      <c r="D225">
        <v>107741612</v>
      </c>
      <c r="E225" t="s">
        <v>104</v>
      </c>
      <c r="F225" t="s">
        <v>60</v>
      </c>
      <c r="G225">
        <v>0.2</v>
      </c>
      <c r="H225">
        <v>9.82</v>
      </c>
      <c r="I225">
        <v>0</v>
      </c>
      <c r="J225">
        <v>0</v>
      </c>
      <c r="K225">
        <v>10.02</v>
      </c>
      <c r="L225" t="s">
        <v>61</v>
      </c>
      <c r="M225">
        <v>604</v>
      </c>
      <c r="N225">
        <v>60.3</v>
      </c>
      <c r="O225" t="s">
        <v>69</v>
      </c>
      <c r="P225" t="s">
        <v>67</v>
      </c>
      <c r="Q225">
        <v>0</v>
      </c>
      <c r="R225">
        <v>0</v>
      </c>
    </row>
    <row r="226" spans="1:18" x14ac:dyDescent="0.35">
      <c r="A226" t="s">
        <v>56</v>
      </c>
      <c r="B226" t="s">
        <v>57</v>
      </c>
      <c r="C226" t="s">
        <v>58</v>
      </c>
      <c r="D226">
        <v>107741933</v>
      </c>
      <c r="E226" t="s">
        <v>105</v>
      </c>
      <c r="F226" t="s">
        <v>60</v>
      </c>
      <c r="G226">
        <v>0.43</v>
      </c>
      <c r="H226">
        <v>9.4</v>
      </c>
      <c r="I226">
        <v>0</v>
      </c>
      <c r="J226">
        <v>0</v>
      </c>
      <c r="K226">
        <v>9.83</v>
      </c>
      <c r="L226" t="s">
        <v>61</v>
      </c>
      <c r="M226">
        <v>331</v>
      </c>
      <c r="N226">
        <v>33.659999999999997</v>
      </c>
      <c r="O226" t="s">
        <v>62</v>
      </c>
      <c r="P226" t="s">
        <v>63</v>
      </c>
      <c r="Q226">
        <v>492</v>
      </c>
      <c r="R226">
        <v>1148.6400000000001</v>
      </c>
    </row>
    <row r="227" spans="1:18" x14ac:dyDescent="0.35">
      <c r="A227" t="s">
        <v>56</v>
      </c>
      <c r="B227" t="s">
        <v>57</v>
      </c>
      <c r="C227" t="s">
        <v>58</v>
      </c>
      <c r="D227">
        <v>107741933</v>
      </c>
      <c r="E227" t="s">
        <v>105</v>
      </c>
      <c r="F227" t="s">
        <v>60</v>
      </c>
      <c r="G227">
        <v>0.43</v>
      </c>
      <c r="H227">
        <v>9.4</v>
      </c>
      <c r="I227">
        <v>0</v>
      </c>
      <c r="J227">
        <v>0</v>
      </c>
      <c r="K227">
        <v>9.83</v>
      </c>
      <c r="L227" t="s">
        <v>61</v>
      </c>
      <c r="M227">
        <v>331</v>
      </c>
      <c r="N227">
        <v>33.659999999999997</v>
      </c>
      <c r="O227" t="s">
        <v>62</v>
      </c>
      <c r="P227" t="s">
        <v>64</v>
      </c>
      <c r="Q227">
        <v>1583</v>
      </c>
      <c r="R227">
        <v>168.32</v>
      </c>
    </row>
    <row r="228" spans="1:18" x14ac:dyDescent="0.35">
      <c r="A228" t="s">
        <v>56</v>
      </c>
      <c r="B228" t="s">
        <v>57</v>
      </c>
      <c r="C228" t="s">
        <v>58</v>
      </c>
      <c r="D228">
        <v>107741933</v>
      </c>
      <c r="E228" t="s">
        <v>105</v>
      </c>
      <c r="F228" t="s">
        <v>60</v>
      </c>
      <c r="G228">
        <v>0.43</v>
      </c>
      <c r="H228">
        <v>9.4</v>
      </c>
      <c r="I228">
        <v>0</v>
      </c>
      <c r="J228">
        <v>0</v>
      </c>
      <c r="K228">
        <v>9.83</v>
      </c>
      <c r="L228" t="s">
        <v>61</v>
      </c>
      <c r="M228">
        <v>331</v>
      </c>
      <c r="N228">
        <v>33.659999999999997</v>
      </c>
      <c r="O228" t="s">
        <v>62</v>
      </c>
      <c r="P228" t="s">
        <v>65</v>
      </c>
      <c r="Q228">
        <v>0</v>
      </c>
      <c r="R228">
        <v>0</v>
      </c>
    </row>
    <row r="229" spans="1:18" x14ac:dyDescent="0.35">
      <c r="A229" t="s">
        <v>56</v>
      </c>
      <c r="B229" t="s">
        <v>57</v>
      </c>
      <c r="C229" t="s">
        <v>58</v>
      </c>
      <c r="D229">
        <v>107741933</v>
      </c>
      <c r="E229" t="s">
        <v>105</v>
      </c>
      <c r="F229" t="s">
        <v>60</v>
      </c>
      <c r="G229">
        <v>0.43</v>
      </c>
      <c r="H229">
        <v>9.4</v>
      </c>
      <c r="I229">
        <v>0</v>
      </c>
      <c r="J229">
        <v>0</v>
      </c>
      <c r="K229">
        <v>9.83</v>
      </c>
      <c r="L229" t="s">
        <v>61</v>
      </c>
      <c r="M229">
        <v>331</v>
      </c>
      <c r="N229">
        <v>33.659999999999997</v>
      </c>
      <c r="O229" t="s">
        <v>62</v>
      </c>
      <c r="P229" t="s">
        <v>66</v>
      </c>
      <c r="Q229">
        <v>0</v>
      </c>
      <c r="R229">
        <v>0</v>
      </c>
    </row>
    <row r="230" spans="1:18" x14ac:dyDescent="0.35">
      <c r="A230" t="s">
        <v>56</v>
      </c>
      <c r="B230" t="s">
        <v>57</v>
      </c>
      <c r="C230" t="s">
        <v>58</v>
      </c>
      <c r="D230">
        <v>107741933</v>
      </c>
      <c r="E230" t="s">
        <v>105</v>
      </c>
      <c r="F230" t="s">
        <v>60</v>
      </c>
      <c r="G230">
        <v>0.43</v>
      </c>
      <c r="H230">
        <v>9.4</v>
      </c>
      <c r="I230">
        <v>0</v>
      </c>
      <c r="J230">
        <v>0</v>
      </c>
      <c r="K230">
        <v>9.83</v>
      </c>
      <c r="L230" t="s">
        <v>61</v>
      </c>
      <c r="M230">
        <v>331</v>
      </c>
      <c r="N230">
        <v>33.659999999999997</v>
      </c>
      <c r="O230" t="s">
        <v>62</v>
      </c>
      <c r="P230" t="s">
        <v>67</v>
      </c>
      <c r="Q230">
        <v>2075</v>
      </c>
      <c r="R230">
        <v>211.02</v>
      </c>
    </row>
    <row r="231" spans="1:18" x14ac:dyDescent="0.35">
      <c r="A231" t="s">
        <v>56</v>
      </c>
      <c r="B231" t="s">
        <v>57</v>
      </c>
      <c r="C231" t="s">
        <v>58</v>
      </c>
      <c r="D231">
        <v>107741933</v>
      </c>
      <c r="E231" t="s">
        <v>105</v>
      </c>
      <c r="F231" t="s">
        <v>60</v>
      </c>
      <c r="G231">
        <v>0.43</v>
      </c>
      <c r="H231">
        <v>9.4</v>
      </c>
      <c r="I231">
        <v>0</v>
      </c>
      <c r="J231">
        <v>0</v>
      </c>
      <c r="K231">
        <v>9.83</v>
      </c>
      <c r="L231" t="s">
        <v>61</v>
      </c>
      <c r="M231">
        <v>331</v>
      </c>
      <c r="N231">
        <v>33.659999999999997</v>
      </c>
      <c r="O231" t="s">
        <v>68</v>
      </c>
      <c r="P231" t="s">
        <v>67</v>
      </c>
      <c r="Q231">
        <v>331</v>
      </c>
      <c r="R231">
        <v>33.659999999999997</v>
      </c>
    </row>
    <row r="232" spans="1:18" x14ac:dyDescent="0.35">
      <c r="A232" t="s">
        <v>56</v>
      </c>
      <c r="B232" t="s">
        <v>57</v>
      </c>
      <c r="C232" t="s">
        <v>58</v>
      </c>
      <c r="D232">
        <v>107741933</v>
      </c>
      <c r="E232" t="s">
        <v>105</v>
      </c>
      <c r="F232" t="s">
        <v>60</v>
      </c>
      <c r="G232">
        <v>0.43</v>
      </c>
      <c r="H232">
        <v>9.4</v>
      </c>
      <c r="I232">
        <v>0</v>
      </c>
      <c r="J232">
        <v>0</v>
      </c>
      <c r="K232">
        <v>9.83</v>
      </c>
      <c r="L232" t="s">
        <v>61</v>
      </c>
      <c r="M232">
        <v>331</v>
      </c>
      <c r="N232">
        <v>33.659999999999997</v>
      </c>
      <c r="O232" t="s">
        <v>69</v>
      </c>
      <c r="P232" t="s">
        <v>67</v>
      </c>
      <c r="Q232">
        <v>0</v>
      </c>
      <c r="R232">
        <v>0</v>
      </c>
    </row>
    <row r="233" spans="1:18" x14ac:dyDescent="0.35">
      <c r="A233" t="s">
        <v>56</v>
      </c>
      <c r="B233" t="s">
        <v>57</v>
      </c>
      <c r="C233" t="s">
        <v>58</v>
      </c>
      <c r="D233">
        <v>107775413</v>
      </c>
      <c r="E233" t="s">
        <v>106</v>
      </c>
      <c r="F233" t="s">
        <v>72</v>
      </c>
      <c r="G233">
        <v>0.15</v>
      </c>
      <c r="H233">
        <v>6.31</v>
      </c>
      <c r="I233">
        <v>0.12</v>
      </c>
      <c r="J233">
        <v>0</v>
      </c>
      <c r="K233">
        <v>6.58</v>
      </c>
      <c r="L233" t="s">
        <v>61</v>
      </c>
      <c r="M233">
        <v>246</v>
      </c>
      <c r="N233">
        <v>37.369999999999997</v>
      </c>
      <c r="O233" t="s">
        <v>62</v>
      </c>
      <c r="P233" t="s">
        <v>63</v>
      </c>
      <c r="Q233">
        <v>130</v>
      </c>
      <c r="R233">
        <v>868.27</v>
      </c>
    </row>
    <row r="234" spans="1:18" x14ac:dyDescent="0.35">
      <c r="A234" t="s">
        <v>56</v>
      </c>
      <c r="B234" t="s">
        <v>57</v>
      </c>
      <c r="C234" t="s">
        <v>58</v>
      </c>
      <c r="D234">
        <v>107775413</v>
      </c>
      <c r="E234" t="s">
        <v>106</v>
      </c>
      <c r="F234" t="s">
        <v>72</v>
      </c>
      <c r="G234">
        <v>0.15</v>
      </c>
      <c r="H234">
        <v>6.31</v>
      </c>
      <c r="I234">
        <v>0.12</v>
      </c>
      <c r="J234">
        <v>0</v>
      </c>
      <c r="K234">
        <v>6.58</v>
      </c>
      <c r="L234" t="s">
        <v>61</v>
      </c>
      <c r="M234">
        <v>246</v>
      </c>
      <c r="N234">
        <v>37.369999999999997</v>
      </c>
      <c r="O234" t="s">
        <v>62</v>
      </c>
      <c r="P234" t="s">
        <v>64</v>
      </c>
      <c r="Q234">
        <v>802</v>
      </c>
      <c r="R234">
        <v>127.11</v>
      </c>
    </row>
    <row r="235" spans="1:18" x14ac:dyDescent="0.35">
      <c r="A235" t="s">
        <v>56</v>
      </c>
      <c r="B235" t="s">
        <v>57</v>
      </c>
      <c r="C235" t="s">
        <v>58</v>
      </c>
      <c r="D235">
        <v>107775413</v>
      </c>
      <c r="E235" t="s">
        <v>106</v>
      </c>
      <c r="F235" t="s">
        <v>72</v>
      </c>
      <c r="G235">
        <v>0.15</v>
      </c>
      <c r="H235">
        <v>6.31</v>
      </c>
      <c r="I235">
        <v>0.12</v>
      </c>
      <c r="J235">
        <v>0</v>
      </c>
      <c r="K235">
        <v>6.58</v>
      </c>
      <c r="L235" t="s">
        <v>61</v>
      </c>
      <c r="M235">
        <v>246</v>
      </c>
      <c r="N235">
        <v>37.369999999999997</v>
      </c>
      <c r="O235" t="s">
        <v>62</v>
      </c>
      <c r="P235" t="s">
        <v>65</v>
      </c>
      <c r="Q235">
        <v>20</v>
      </c>
      <c r="R235">
        <v>163.63999999999999</v>
      </c>
    </row>
    <row r="236" spans="1:18" x14ac:dyDescent="0.35">
      <c r="A236" t="s">
        <v>56</v>
      </c>
      <c r="B236" t="s">
        <v>57</v>
      </c>
      <c r="C236" t="s">
        <v>58</v>
      </c>
      <c r="D236">
        <v>107775413</v>
      </c>
      <c r="E236" t="s">
        <v>106</v>
      </c>
      <c r="F236" t="s">
        <v>72</v>
      </c>
      <c r="G236">
        <v>0.15</v>
      </c>
      <c r="H236">
        <v>6.31</v>
      </c>
      <c r="I236">
        <v>0.12</v>
      </c>
      <c r="J236">
        <v>0</v>
      </c>
      <c r="K236">
        <v>6.58</v>
      </c>
      <c r="L236" t="s">
        <v>61</v>
      </c>
      <c r="M236">
        <v>246</v>
      </c>
      <c r="N236">
        <v>37.369999999999997</v>
      </c>
      <c r="O236" t="s">
        <v>62</v>
      </c>
      <c r="P236" t="s">
        <v>66</v>
      </c>
      <c r="Q236">
        <v>0</v>
      </c>
      <c r="R236">
        <v>0</v>
      </c>
    </row>
    <row r="237" spans="1:18" x14ac:dyDescent="0.35">
      <c r="A237" t="s">
        <v>56</v>
      </c>
      <c r="B237" t="s">
        <v>57</v>
      </c>
      <c r="C237" t="s">
        <v>58</v>
      </c>
      <c r="D237">
        <v>107775413</v>
      </c>
      <c r="E237" t="s">
        <v>106</v>
      </c>
      <c r="F237" t="s">
        <v>72</v>
      </c>
      <c r="G237">
        <v>0.15</v>
      </c>
      <c r="H237">
        <v>6.31</v>
      </c>
      <c r="I237">
        <v>0.12</v>
      </c>
      <c r="J237">
        <v>0</v>
      </c>
      <c r="K237">
        <v>6.58</v>
      </c>
      <c r="L237" t="s">
        <v>61</v>
      </c>
      <c r="M237">
        <v>246</v>
      </c>
      <c r="N237">
        <v>37.369999999999997</v>
      </c>
      <c r="O237" t="s">
        <v>62</v>
      </c>
      <c r="P237" t="s">
        <v>67</v>
      </c>
      <c r="Q237">
        <v>952</v>
      </c>
      <c r="R237">
        <v>144.63</v>
      </c>
    </row>
    <row r="238" spans="1:18" x14ac:dyDescent="0.35">
      <c r="A238" t="s">
        <v>56</v>
      </c>
      <c r="B238" t="s">
        <v>57</v>
      </c>
      <c r="C238" t="s">
        <v>58</v>
      </c>
      <c r="D238">
        <v>107775413</v>
      </c>
      <c r="E238" t="s">
        <v>106</v>
      </c>
      <c r="F238" t="s">
        <v>72</v>
      </c>
      <c r="G238">
        <v>0.15</v>
      </c>
      <c r="H238">
        <v>6.31</v>
      </c>
      <c r="I238">
        <v>0.12</v>
      </c>
      <c r="J238">
        <v>0</v>
      </c>
      <c r="K238">
        <v>6.58</v>
      </c>
      <c r="L238" t="s">
        <v>61</v>
      </c>
      <c r="M238">
        <v>246</v>
      </c>
      <c r="N238">
        <v>37.369999999999997</v>
      </c>
      <c r="O238" t="s">
        <v>68</v>
      </c>
      <c r="P238" t="s">
        <v>67</v>
      </c>
      <c r="Q238">
        <v>246</v>
      </c>
      <c r="R238">
        <v>37.369999999999997</v>
      </c>
    </row>
    <row r="239" spans="1:18" x14ac:dyDescent="0.35">
      <c r="A239" t="s">
        <v>56</v>
      </c>
      <c r="B239" t="s">
        <v>57</v>
      </c>
      <c r="C239" t="s">
        <v>58</v>
      </c>
      <c r="D239">
        <v>107775413</v>
      </c>
      <c r="E239" t="s">
        <v>106</v>
      </c>
      <c r="F239" t="s">
        <v>72</v>
      </c>
      <c r="G239">
        <v>0.15</v>
      </c>
      <c r="H239">
        <v>6.31</v>
      </c>
      <c r="I239">
        <v>0.12</v>
      </c>
      <c r="J239">
        <v>0</v>
      </c>
      <c r="K239">
        <v>6.58</v>
      </c>
      <c r="L239" t="s">
        <v>61</v>
      </c>
      <c r="M239">
        <v>246</v>
      </c>
      <c r="N239">
        <v>37.369999999999997</v>
      </c>
      <c r="O239" t="s">
        <v>69</v>
      </c>
      <c r="P239" t="s">
        <v>67</v>
      </c>
      <c r="Q239">
        <v>0</v>
      </c>
      <c r="R239">
        <v>0</v>
      </c>
    </row>
    <row r="240" spans="1:18" x14ac:dyDescent="0.35">
      <c r="A240" t="s">
        <v>56</v>
      </c>
      <c r="B240" t="s">
        <v>57</v>
      </c>
      <c r="C240" t="s">
        <v>70</v>
      </c>
      <c r="D240">
        <v>107775521</v>
      </c>
      <c r="E240" t="s">
        <v>107</v>
      </c>
      <c r="F240" t="s">
        <v>72</v>
      </c>
      <c r="G240">
        <v>0</v>
      </c>
      <c r="H240">
        <v>10</v>
      </c>
      <c r="I240">
        <v>0</v>
      </c>
      <c r="J240">
        <v>0</v>
      </c>
      <c r="K240">
        <v>10</v>
      </c>
      <c r="L240" t="s">
        <v>61</v>
      </c>
      <c r="M240">
        <v>428</v>
      </c>
      <c r="N240">
        <v>42.8</v>
      </c>
      <c r="O240" t="s">
        <v>62</v>
      </c>
      <c r="P240" t="s">
        <v>63</v>
      </c>
      <c r="Q240">
        <v>0</v>
      </c>
      <c r="R240">
        <v>0</v>
      </c>
    </row>
    <row r="241" spans="1:18" x14ac:dyDescent="0.35">
      <c r="A241" t="s">
        <v>56</v>
      </c>
      <c r="B241" t="s">
        <v>57</v>
      </c>
      <c r="C241" t="s">
        <v>70</v>
      </c>
      <c r="D241">
        <v>107775521</v>
      </c>
      <c r="E241" t="s">
        <v>107</v>
      </c>
      <c r="F241" t="s">
        <v>72</v>
      </c>
      <c r="G241">
        <v>0</v>
      </c>
      <c r="H241">
        <v>10</v>
      </c>
      <c r="I241">
        <v>0</v>
      </c>
      <c r="J241">
        <v>0</v>
      </c>
      <c r="K241">
        <v>10</v>
      </c>
      <c r="L241" t="s">
        <v>61</v>
      </c>
      <c r="M241">
        <v>428</v>
      </c>
      <c r="N241">
        <v>42.8</v>
      </c>
      <c r="O241" t="s">
        <v>62</v>
      </c>
      <c r="P241" t="s">
        <v>64</v>
      </c>
      <c r="Q241">
        <v>1313</v>
      </c>
      <c r="R241">
        <v>131.30000000000001</v>
      </c>
    </row>
    <row r="242" spans="1:18" x14ac:dyDescent="0.35">
      <c r="A242" t="s">
        <v>56</v>
      </c>
      <c r="B242" t="s">
        <v>57</v>
      </c>
      <c r="C242" t="s">
        <v>70</v>
      </c>
      <c r="D242">
        <v>107775521</v>
      </c>
      <c r="E242" t="s">
        <v>107</v>
      </c>
      <c r="F242" t="s">
        <v>72</v>
      </c>
      <c r="G242">
        <v>0</v>
      </c>
      <c r="H242">
        <v>10</v>
      </c>
      <c r="I242">
        <v>0</v>
      </c>
      <c r="J242">
        <v>0</v>
      </c>
      <c r="K242">
        <v>10</v>
      </c>
      <c r="L242" t="s">
        <v>61</v>
      </c>
      <c r="M242">
        <v>428</v>
      </c>
      <c r="N242">
        <v>42.8</v>
      </c>
      <c r="O242" t="s">
        <v>62</v>
      </c>
      <c r="P242" t="s">
        <v>65</v>
      </c>
      <c r="Q242">
        <v>0</v>
      </c>
      <c r="R242">
        <v>0</v>
      </c>
    </row>
    <row r="243" spans="1:18" x14ac:dyDescent="0.35">
      <c r="A243" t="s">
        <v>56</v>
      </c>
      <c r="B243" t="s">
        <v>57</v>
      </c>
      <c r="C243" t="s">
        <v>70</v>
      </c>
      <c r="D243">
        <v>107775521</v>
      </c>
      <c r="E243" t="s">
        <v>107</v>
      </c>
      <c r="F243" t="s">
        <v>72</v>
      </c>
      <c r="G243">
        <v>0</v>
      </c>
      <c r="H243">
        <v>10</v>
      </c>
      <c r="I243">
        <v>0</v>
      </c>
      <c r="J243">
        <v>0</v>
      </c>
      <c r="K243">
        <v>10</v>
      </c>
      <c r="L243" t="s">
        <v>61</v>
      </c>
      <c r="M243">
        <v>428</v>
      </c>
      <c r="N243">
        <v>42.8</v>
      </c>
      <c r="O243" t="s">
        <v>62</v>
      </c>
      <c r="P243" t="s">
        <v>66</v>
      </c>
      <c r="Q243">
        <v>0</v>
      </c>
      <c r="R243">
        <v>0</v>
      </c>
    </row>
    <row r="244" spans="1:18" x14ac:dyDescent="0.35">
      <c r="A244" t="s">
        <v>56</v>
      </c>
      <c r="B244" t="s">
        <v>57</v>
      </c>
      <c r="C244" t="s">
        <v>70</v>
      </c>
      <c r="D244">
        <v>107775521</v>
      </c>
      <c r="E244" t="s">
        <v>107</v>
      </c>
      <c r="F244" t="s">
        <v>72</v>
      </c>
      <c r="G244">
        <v>0</v>
      </c>
      <c r="H244">
        <v>10</v>
      </c>
      <c r="I244">
        <v>0</v>
      </c>
      <c r="J244">
        <v>0</v>
      </c>
      <c r="K244">
        <v>10</v>
      </c>
      <c r="L244" t="s">
        <v>61</v>
      </c>
      <c r="M244">
        <v>428</v>
      </c>
      <c r="N244">
        <v>42.8</v>
      </c>
      <c r="O244" t="s">
        <v>62</v>
      </c>
      <c r="P244" t="s">
        <v>67</v>
      </c>
      <c r="Q244">
        <v>1313</v>
      </c>
      <c r="R244">
        <v>131.30000000000001</v>
      </c>
    </row>
    <row r="245" spans="1:18" x14ac:dyDescent="0.35">
      <c r="A245" t="s">
        <v>56</v>
      </c>
      <c r="B245" t="s">
        <v>57</v>
      </c>
      <c r="C245" t="s">
        <v>70</v>
      </c>
      <c r="D245">
        <v>107775521</v>
      </c>
      <c r="E245" t="s">
        <v>107</v>
      </c>
      <c r="F245" t="s">
        <v>72</v>
      </c>
      <c r="G245">
        <v>0</v>
      </c>
      <c r="H245">
        <v>10</v>
      </c>
      <c r="I245">
        <v>0</v>
      </c>
      <c r="J245">
        <v>0</v>
      </c>
      <c r="K245">
        <v>10</v>
      </c>
      <c r="L245" t="s">
        <v>61</v>
      </c>
      <c r="M245">
        <v>428</v>
      </c>
      <c r="N245">
        <v>42.8</v>
      </c>
      <c r="O245" t="s">
        <v>68</v>
      </c>
      <c r="P245" t="s">
        <v>67</v>
      </c>
      <c r="Q245">
        <v>428</v>
      </c>
      <c r="R245">
        <v>42.8</v>
      </c>
    </row>
    <row r="246" spans="1:18" x14ac:dyDescent="0.35">
      <c r="A246" t="s">
        <v>56</v>
      </c>
      <c r="B246" t="s">
        <v>57</v>
      </c>
      <c r="C246" t="s">
        <v>70</v>
      </c>
      <c r="D246">
        <v>107775521</v>
      </c>
      <c r="E246" t="s">
        <v>107</v>
      </c>
      <c r="F246" t="s">
        <v>72</v>
      </c>
      <c r="G246">
        <v>0</v>
      </c>
      <c r="H246">
        <v>10</v>
      </c>
      <c r="I246">
        <v>0</v>
      </c>
      <c r="J246">
        <v>0</v>
      </c>
      <c r="K246">
        <v>10</v>
      </c>
      <c r="L246" t="s">
        <v>61</v>
      </c>
      <c r="M246">
        <v>428</v>
      </c>
      <c r="N246">
        <v>42.8</v>
      </c>
      <c r="O246" t="s">
        <v>69</v>
      </c>
      <c r="P246" t="s">
        <v>67</v>
      </c>
      <c r="Q246">
        <v>0</v>
      </c>
      <c r="R246">
        <v>0</v>
      </c>
    </row>
    <row r="247" spans="1:18" x14ac:dyDescent="0.35">
      <c r="A247" t="s">
        <v>56</v>
      </c>
      <c r="B247" t="s">
        <v>57</v>
      </c>
      <c r="C247" t="s">
        <v>70</v>
      </c>
      <c r="D247">
        <v>107775986</v>
      </c>
      <c r="E247" t="s">
        <v>108</v>
      </c>
      <c r="F247" t="s">
        <v>72</v>
      </c>
      <c r="G247">
        <v>0.31</v>
      </c>
      <c r="H247">
        <v>9.59</v>
      </c>
      <c r="I247">
        <v>0.09</v>
      </c>
      <c r="J247">
        <v>0</v>
      </c>
      <c r="K247">
        <v>9.98</v>
      </c>
      <c r="L247" t="s">
        <v>61</v>
      </c>
      <c r="M247">
        <v>594</v>
      </c>
      <c r="N247">
        <v>59.5</v>
      </c>
      <c r="O247" t="s">
        <v>62</v>
      </c>
      <c r="P247" t="s">
        <v>63</v>
      </c>
      <c r="Q247">
        <v>441</v>
      </c>
      <c r="R247">
        <v>1418.77</v>
      </c>
    </row>
    <row r="248" spans="1:18" x14ac:dyDescent="0.35">
      <c r="A248" t="s">
        <v>56</v>
      </c>
      <c r="B248" t="s">
        <v>57</v>
      </c>
      <c r="C248" t="s">
        <v>70</v>
      </c>
      <c r="D248">
        <v>107775986</v>
      </c>
      <c r="E248" t="s">
        <v>108</v>
      </c>
      <c r="F248" t="s">
        <v>72</v>
      </c>
      <c r="G248">
        <v>0.31</v>
      </c>
      <c r="H248">
        <v>9.59</v>
      </c>
      <c r="I248">
        <v>0.09</v>
      </c>
      <c r="J248">
        <v>0</v>
      </c>
      <c r="K248">
        <v>9.98</v>
      </c>
      <c r="L248" t="s">
        <v>61</v>
      </c>
      <c r="M248">
        <v>594</v>
      </c>
      <c r="N248">
        <v>59.5</v>
      </c>
      <c r="O248" t="s">
        <v>62</v>
      </c>
      <c r="P248" t="s">
        <v>64</v>
      </c>
      <c r="Q248">
        <v>1992</v>
      </c>
      <c r="R248">
        <v>207.8</v>
      </c>
    </row>
    <row r="249" spans="1:18" x14ac:dyDescent="0.35">
      <c r="A249" t="s">
        <v>56</v>
      </c>
      <c r="B249" t="s">
        <v>57</v>
      </c>
      <c r="C249" t="s">
        <v>70</v>
      </c>
      <c r="D249">
        <v>107775986</v>
      </c>
      <c r="E249" t="s">
        <v>108</v>
      </c>
      <c r="F249" t="s">
        <v>72</v>
      </c>
      <c r="G249">
        <v>0.31</v>
      </c>
      <c r="H249">
        <v>9.59</v>
      </c>
      <c r="I249">
        <v>0.09</v>
      </c>
      <c r="J249">
        <v>0</v>
      </c>
      <c r="K249">
        <v>9.98</v>
      </c>
      <c r="L249" t="s">
        <v>61</v>
      </c>
      <c r="M249">
        <v>594</v>
      </c>
      <c r="N249">
        <v>59.5</v>
      </c>
      <c r="O249" t="s">
        <v>62</v>
      </c>
      <c r="P249" t="s">
        <v>65</v>
      </c>
      <c r="Q249">
        <v>23</v>
      </c>
      <c r="R249">
        <v>267.95999999999998</v>
      </c>
    </row>
    <row r="250" spans="1:18" x14ac:dyDescent="0.35">
      <c r="A250" t="s">
        <v>56</v>
      </c>
      <c r="B250" t="s">
        <v>57</v>
      </c>
      <c r="C250" t="s">
        <v>70</v>
      </c>
      <c r="D250">
        <v>107775986</v>
      </c>
      <c r="E250" t="s">
        <v>108</v>
      </c>
      <c r="F250" t="s">
        <v>72</v>
      </c>
      <c r="G250">
        <v>0.31</v>
      </c>
      <c r="H250">
        <v>9.59</v>
      </c>
      <c r="I250">
        <v>0.09</v>
      </c>
      <c r="J250">
        <v>0</v>
      </c>
      <c r="K250">
        <v>9.98</v>
      </c>
      <c r="L250" t="s">
        <v>61</v>
      </c>
      <c r="M250">
        <v>594</v>
      </c>
      <c r="N250">
        <v>59.5</v>
      </c>
      <c r="O250" t="s">
        <v>62</v>
      </c>
      <c r="P250" t="s">
        <v>66</v>
      </c>
      <c r="Q250">
        <v>0</v>
      </c>
      <c r="R250">
        <v>0</v>
      </c>
    </row>
    <row r="251" spans="1:18" x14ac:dyDescent="0.35">
      <c r="A251" t="s">
        <v>56</v>
      </c>
      <c r="B251" t="s">
        <v>57</v>
      </c>
      <c r="C251" t="s">
        <v>70</v>
      </c>
      <c r="D251">
        <v>107775986</v>
      </c>
      <c r="E251" t="s">
        <v>108</v>
      </c>
      <c r="F251" t="s">
        <v>72</v>
      </c>
      <c r="G251">
        <v>0.31</v>
      </c>
      <c r="H251">
        <v>9.59</v>
      </c>
      <c r="I251">
        <v>0.09</v>
      </c>
      <c r="J251">
        <v>0</v>
      </c>
      <c r="K251">
        <v>9.98</v>
      </c>
      <c r="L251" t="s">
        <v>61</v>
      </c>
      <c r="M251">
        <v>594</v>
      </c>
      <c r="N251">
        <v>59.5</v>
      </c>
      <c r="O251" t="s">
        <v>62</v>
      </c>
      <c r="P251" t="s">
        <v>67</v>
      </c>
      <c r="Q251">
        <v>2456</v>
      </c>
      <c r="R251">
        <v>246.01</v>
      </c>
    </row>
    <row r="252" spans="1:18" x14ac:dyDescent="0.35">
      <c r="A252" t="s">
        <v>56</v>
      </c>
      <c r="B252" t="s">
        <v>57</v>
      </c>
      <c r="C252" t="s">
        <v>70</v>
      </c>
      <c r="D252">
        <v>107775986</v>
      </c>
      <c r="E252" t="s">
        <v>108</v>
      </c>
      <c r="F252" t="s">
        <v>72</v>
      </c>
      <c r="G252">
        <v>0.31</v>
      </c>
      <c r="H252">
        <v>9.59</v>
      </c>
      <c r="I252">
        <v>0.09</v>
      </c>
      <c r="J252">
        <v>0</v>
      </c>
      <c r="K252">
        <v>9.98</v>
      </c>
      <c r="L252" t="s">
        <v>61</v>
      </c>
      <c r="M252">
        <v>594</v>
      </c>
      <c r="N252">
        <v>59.5</v>
      </c>
      <c r="O252" t="s">
        <v>68</v>
      </c>
      <c r="P252" t="s">
        <v>67</v>
      </c>
      <c r="Q252">
        <v>594</v>
      </c>
      <c r="R252">
        <v>59.5</v>
      </c>
    </row>
    <row r="253" spans="1:18" x14ac:dyDescent="0.35">
      <c r="A253" t="s">
        <v>56</v>
      </c>
      <c r="B253" t="s">
        <v>57</v>
      </c>
      <c r="C253" t="s">
        <v>70</v>
      </c>
      <c r="D253">
        <v>107775986</v>
      </c>
      <c r="E253" t="s">
        <v>108</v>
      </c>
      <c r="F253" t="s">
        <v>72</v>
      </c>
      <c r="G253">
        <v>0.31</v>
      </c>
      <c r="H253">
        <v>9.59</v>
      </c>
      <c r="I253">
        <v>0.09</v>
      </c>
      <c r="J253">
        <v>0</v>
      </c>
      <c r="K253">
        <v>9.98</v>
      </c>
      <c r="L253" t="s">
        <v>61</v>
      </c>
      <c r="M253">
        <v>594</v>
      </c>
      <c r="N253">
        <v>59.5</v>
      </c>
      <c r="O253" t="s">
        <v>69</v>
      </c>
      <c r="P253" t="s">
        <v>67</v>
      </c>
      <c r="Q253">
        <v>0</v>
      </c>
      <c r="R253">
        <v>0</v>
      </c>
    </row>
    <row r="254" spans="1:18" x14ac:dyDescent="0.35">
      <c r="A254" t="s">
        <v>56</v>
      </c>
      <c r="B254" t="s">
        <v>57</v>
      </c>
      <c r="C254" t="s">
        <v>58</v>
      </c>
      <c r="D254">
        <v>107819512</v>
      </c>
      <c r="E254" t="s">
        <v>109</v>
      </c>
      <c r="F254" t="s">
        <v>60</v>
      </c>
      <c r="G254">
        <v>0.33</v>
      </c>
      <c r="H254">
        <v>9.51</v>
      </c>
      <c r="I254">
        <v>0.12</v>
      </c>
      <c r="J254">
        <v>0</v>
      </c>
      <c r="K254">
        <v>9.9499999999999993</v>
      </c>
      <c r="L254" t="s">
        <v>61</v>
      </c>
      <c r="M254">
        <v>367</v>
      </c>
      <c r="N254">
        <v>36.880000000000003</v>
      </c>
      <c r="O254" t="s">
        <v>62</v>
      </c>
      <c r="P254" t="s">
        <v>63</v>
      </c>
      <c r="Q254">
        <v>351</v>
      </c>
      <c r="R254">
        <v>1080</v>
      </c>
    </row>
    <row r="255" spans="1:18" x14ac:dyDescent="0.35">
      <c r="A255" t="s">
        <v>56</v>
      </c>
      <c r="B255" t="s">
        <v>57</v>
      </c>
      <c r="C255" t="s">
        <v>58</v>
      </c>
      <c r="D255">
        <v>107819512</v>
      </c>
      <c r="E255" t="s">
        <v>109</v>
      </c>
      <c r="F255" t="s">
        <v>60</v>
      </c>
      <c r="G255">
        <v>0.33</v>
      </c>
      <c r="H255">
        <v>9.51</v>
      </c>
      <c r="I255">
        <v>0.12</v>
      </c>
      <c r="J255">
        <v>0</v>
      </c>
      <c r="K255">
        <v>9.9499999999999993</v>
      </c>
      <c r="L255" t="s">
        <v>61</v>
      </c>
      <c r="M255">
        <v>367</v>
      </c>
      <c r="N255">
        <v>36.880000000000003</v>
      </c>
      <c r="O255" t="s">
        <v>62</v>
      </c>
      <c r="P255" t="s">
        <v>64</v>
      </c>
      <c r="Q255">
        <v>1505</v>
      </c>
      <c r="R255">
        <v>158.31</v>
      </c>
    </row>
    <row r="256" spans="1:18" x14ac:dyDescent="0.35">
      <c r="A256" t="s">
        <v>56</v>
      </c>
      <c r="B256" t="s">
        <v>57</v>
      </c>
      <c r="C256" t="s">
        <v>58</v>
      </c>
      <c r="D256">
        <v>107819512</v>
      </c>
      <c r="E256" t="s">
        <v>109</v>
      </c>
      <c r="F256" t="s">
        <v>60</v>
      </c>
      <c r="G256">
        <v>0.33</v>
      </c>
      <c r="H256">
        <v>9.51</v>
      </c>
      <c r="I256">
        <v>0.12</v>
      </c>
      <c r="J256">
        <v>0</v>
      </c>
      <c r="K256">
        <v>9.9499999999999993</v>
      </c>
      <c r="L256" t="s">
        <v>61</v>
      </c>
      <c r="M256">
        <v>367</v>
      </c>
      <c r="N256">
        <v>36.880000000000003</v>
      </c>
      <c r="O256" t="s">
        <v>62</v>
      </c>
      <c r="P256" t="s">
        <v>65</v>
      </c>
      <c r="Q256">
        <v>24</v>
      </c>
      <c r="R256">
        <v>203.77</v>
      </c>
    </row>
    <row r="257" spans="1:18" x14ac:dyDescent="0.35">
      <c r="A257" t="s">
        <v>56</v>
      </c>
      <c r="B257" t="s">
        <v>57</v>
      </c>
      <c r="C257" t="s">
        <v>58</v>
      </c>
      <c r="D257">
        <v>107819512</v>
      </c>
      <c r="E257" t="s">
        <v>109</v>
      </c>
      <c r="F257" t="s">
        <v>60</v>
      </c>
      <c r="G257">
        <v>0.33</v>
      </c>
      <c r="H257">
        <v>9.51</v>
      </c>
      <c r="I257">
        <v>0.12</v>
      </c>
      <c r="J257">
        <v>0</v>
      </c>
      <c r="K257">
        <v>9.9499999999999993</v>
      </c>
      <c r="L257" t="s">
        <v>61</v>
      </c>
      <c r="M257">
        <v>367</v>
      </c>
      <c r="N257">
        <v>36.880000000000003</v>
      </c>
      <c r="O257" t="s">
        <v>62</v>
      </c>
      <c r="P257" t="s">
        <v>66</v>
      </c>
      <c r="Q257">
        <v>0</v>
      </c>
      <c r="R257">
        <v>0</v>
      </c>
    </row>
    <row r="258" spans="1:18" x14ac:dyDescent="0.35">
      <c r="A258" t="s">
        <v>56</v>
      </c>
      <c r="B258" t="s">
        <v>57</v>
      </c>
      <c r="C258" t="s">
        <v>58</v>
      </c>
      <c r="D258">
        <v>107819512</v>
      </c>
      <c r="E258" t="s">
        <v>109</v>
      </c>
      <c r="F258" t="s">
        <v>60</v>
      </c>
      <c r="G258">
        <v>0.33</v>
      </c>
      <c r="H258">
        <v>9.51</v>
      </c>
      <c r="I258">
        <v>0.12</v>
      </c>
      <c r="J258">
        <v>0</v>
      </c>
      <c r="K258">
        <v>9.9499999999999993</v>
      </c>
      <c r="L258" t="s">
        <v>61</v>
      </c>
      <c r="M258">
        <v>367</v>
      </c>
      <c r="N258">
        <v>36.880000000000003</v>
      </c>
      <c r="O258" t="s">
        <v>62</v>
      </c>
      <c r="P258" t="s">
        <v>67</v>
      </c>
      <c r="Q258">
        <v>1880</v>
      </c>
      <c r="R258">
        <v>188.94</v>
      </c>
    </row>
    <row r="259" spans="1:18" x14ac:dyDescent="0.35">
      <c r="A259" t="s">
        <v>56</v>
      </c>
      <c r="B259" t="s">
        <v>57</v>
      </c>
      <c r="C259" t="s">
        <v>58</v>
      </c>
      <c r="D259">
        <v>107819512</v>
      </c>
      <c r="E259" t="s">
        <v>109</v>
      </c>
      <c r="F259" t="s">
        <v>60</v>
      </c>
      <c r="G259">
        <v>0.33</v>
      </c>
      <c r="H259">
        <v>9.51</v>
      </c>
      <c r="I259">
        <v>0.12</v>
      </c>
      <c r="J259">
        <v>0</v>
      </c>
      <c r="K259">
        <v>9.9499999999999993</v>
      </c>
      <c r="L259" t="s">
        <v>61</v>
      </c>
      <c r="M259">
        <v>367</v>
      </c>
      <c r="N259">
        <v>36.880000000000003</v>
      </c>
      <c r="O259" t="s">
        <v>68</v>
      </c>
      <c r="P259" t="s">
        <v>67</v>
      </c>
      <c r="Q259">
        <v>367</v>
      </c>
      <c r="R259">
        <v>36.880000000000003</v>
      </c>
    </row>
    <row r="260" spans="1:18" x14ac:dyDescent="0.35">
      <c r="A260" t="s">
        <v>56</v>
      </c>
      <c r="B260" t="s">
        <v>57</v>
      </c>
      <c r="C260" t="s">
        <v>58</v>
      </c>
      <c r="D260">
        <v>107819512</v>
      </c>
      <c r="E260" t="s">
        <v>109</v>
      </c>
      <c r="F260" t="s">
        <v>60</v>
      </c>
      <c r="G260">
        <v>0.33</v>
      </c>
      <c r="H260">
        <v>9.51</v>
      </c>
      <c r="I260">
        <v>0.12</v>
      </c>
      <c r="J260">
        <v>0</v>
      </c>
      <c r="K260">
        <v>9.9499999999999993</v>
      </c>
      <c r="L260" t="s">
        <v>61</v>
      </c>
      <c r="M260">
        <v>367</v>
      </c>
      <c r="N260">
        <v>36.880000000000003</v>
      </c>
      <c r="O260" t="s">
        <v>69</v>
      </c>
      <c r="P260" t="s">
        <v>67</v>
      </c>
      <c r="Q260">
        <v>0</v>
      </c>
      <c r="R260">
        <v>0</v>
      </c>
    </row>
    <row r="261" spans="1:18" x14ac:dyDescent="0.35">
      <c r="A261" t="s">
        <v>56</v>
      </c>
      <c r="B261" t="s">
        <v>57</v>
      </c>
      <c r="C261" t="s">
        <v>58</v>
      </c>
      <c r="D261">
        <v>107820116</v>
      </c>
      <c r="E261" t="s">
        <v>110</v>
      </c>
      <c r="F261" t="s">
        <v>60</v>
      </c>
      <c r="G261">
        <v>0.2</v>
      </c>
      <c r="H261">
        <v>9.61</v>
      </c>
      <c r="I261">
        <v>0.17</v>
      </c>
      <c r="J261">
        <v>0</v>
      </c>
      <c r="K261">
        <v>9.98</v>
      </c>
      <c r="L261" t="s">
        <v>61</v>
      </c>
      <c r="M261">
        <v>510</v>
      </c>
      <c r="N261">
        <v>51.09</v>
      </c>
      <c r="O261" t="s">
        <v>62</v>
      </c>
      <c r="P261" t="s">
        <v>63</v>
      </c>
      <c r="Q261">
        <v>260</v>
      </c>
      <c r="R261">
        <v>1270.01</v>
      </c>
    </row>
    <row r="262" spans="1:18" x14ac:dyDescent="0.35">
      <c r="A262" t="s">
        <v>56</v>
      </c>
      <c r="B262" t="s">
        <v>57</v>
      </c>
      <c r="C262" t="s">
        <v>58</v>
      </c>
      <c r="D262">
        <v>107820116</v>
      </c>
      <c r="E262" t="s">
        <v>110</v>
      </c>
      <c r="F262" t="s">
        <v>60</v>
      </c>
      <c r="G262">
        <v>0.2</v>
      </c>
      <c r="H262">
        <v>9.61</v>
      </c>
      <c r="I262">
        <v>0.17</v>
      </c>
      <c r="J262">
        <v>0</v>
      </c>
      <c r="K262">
        <v>9.98</v>
      </c>
      <c r="L262" t="s">
        <v>61</v>
      </c>
      <c r="M262">
        <v>510</v>
      </c>
      <c r="N262">
        <v>51.09</v>
      </c>
      <c r="O262" t="s">
        <v>62</v>
      </c>
      <c r="P262" t="s">
        <v>64</v>
      </c>
      <c r="Q262">
        <v>1788</v>
      </c>
      <c r="R262">
        <v>186.03</v>
      </c>
    </row>
    <row r="263" spans="1:18" x14ac:dyDescent="0.35">
      <c r="A263" t="s">
        <v>56</v>
      </c>
      <c r="B263" t="s">
        <v>57</v>
      </c>
      <c r="C263" t="s">
        <v>58</v>
      </c>
      <c r="D263">
        <v>107820116</v>
      </c>
      <c r="E263" t="s">
        <v>110</v>
      </c>
      <c r="F263" t="s">
        <v>60</v>
      </c>
      <c r="G263">
        <v>0.2</v>
      </c>
      <c r="H263">
        <v>9.61</v>
      </c>
      <c r="I263">
        <v>0.17</v>
      </c>
      <c r="J263">
        <v>0</v>
      </c>
      <c r="K263">
        <v>9.98</v>
      </c>
      <c r="L263" t="s">
        <v>61</v>
      </c>
      <c r="M263">
        <v>510</v>
      </c>
      <c r="N263">
        <v>51.09</v>
      </c>
      <c r="O263" t="s">
        <v>62</v>
      </c>
      <c r="P263" t="s">
        <v>65</v>
      </c>
      <c r="Q263">
        <v>40</v>
      </c>
      <c r="R263">
        <v>239.6</v>
      </c>
    </row>
    <row r="264" spans="1:18" x14ac:dyDescent="0.35">
      <c r="A264" t="s">
        <v>56</v>
      </c>
      <c r="B264" t="s">
        <v>57</v>
      </c>
      <c r="C264" t="s">
        <v>58</v>
      </c>
      <c r="D264">
        <v>107820116</v>
      </c>
      <c r="E264" t="s">
        <v>110</v>
      </c>
      <c r="F264" t="s">
        <v>60</v>
      </c>
      <c r="G264">
        <v>0.2</v>
      </c>
      <c r="H264">
        <v>9.61</v>
      </c>
      <c r="I264">
        <v>0.17</v>
      </c>
      <c r="J264">
        <v>0</v>
      </c>
      <c r="K264">
        <v>9.98</v>
      </c>
      <c r="L264" t="s">
        <v>61</v>
      </c>
      <c r="M264">
        <v>510</v>
      </c>
      <c r="N264">
        <v>51.09</v>
      </c>
      <c r="O264" t="s">
        <v>62</v>
      </c>
      <c r="P264" t="s">
        <v>66</v>
      </c>
      <c r="Q264">
        <v>0</v>
      </c>
      <c r="R264">
        <v>0</v>
      </c>
    </row>
    <row r="265" spans="1:18" x14ac:dyDescent="0.35">
      <c r="A265" t="s">
        <v>56</v>
      </c>
      <c r="B265" t="s">
        <v>57</v>
      </c>
      <c r="C265" t="s">
        <v>58</v>
      </c>
      <c r="D265">
        <v>107820116</v>
      </c>
      <c r="E265" t="s">
        <v>110</v>
      </c>
      <c r="F265" t="s">
        <v>60</v>
      </c>
      <c r="G265">
        <v>0.2</v>
      </c>
      <c r="H265">
        <v>9.61</v>
      </c>
      <c r="I265">
        <v>0.17</v>
      </c>
      <c r="J265">
        <v>0</v>
      </c>
      <c r="K265">
        <v>9.98</v>
      </c>
      <c r="L265" t="s">
        <v>61</v>
      </c>
      <c r="M265">
        <v>510</v>
      </c>
      <c r="N265">
        <v>51.09</v>
      </c>
      <c r="O265" t="s">
        <v>62</v>
      </c>
      <c r="P265" t="s">
        <v>67</v>
      </c>
      <c r="Q265">
        <v>2088</v>
      </c>
      <c r="R265">
        <v>209.15</v>
      </c>
    </row>
    <row r="266" spans="1:18" x14ac:dyDescent="0.35">
      <c r="A266" t="s">
        <v>56</v>
      </c>
      <c r="B266" t="s">
        <v>57</v>
      </c>
      <c r="C266" t="s">
        <v>58</v>
      </c>
      <c r="D266">
        <v>107820116</v>
      </c>
      <c r="E266" t="s">
        <v>110</v>
      </c>
      <c r="F266" t="s">
        <v>60</v>
      </c>
      <c r="G266">
        <v>0.2</v>
      </c>
      <c r="H266">
        <v>9.61</v>
      </c>
      <c r="I266">
        <v>0.17</v>
      </c>
      <c r="J266">
        <v>0</v>
      </c>
      <c r="K266">
        <v>9.98</v>
      </c>
      <c r="L266" t="s">
        <v>61</v>
      </c>
      <c r="M266">
        <v>510</v>
      </c>
      <c r="N266">
        <v>51.09</v>
      </c>
      <c r="O266" t="s">
        <v>68</v>
      </c>
      <c r="P266" t="s">
        <v>67</v>
      </c>
      <c r="Q266">
        <v>511</v>
      </c>
      <c r="R266">
        <v>51.19</v>
      </c>
    </row>
    <row r="267" spans="1:18" x14ac:dyDescent="0.35">
      <c r="A267" t="s">
        <v>56</v>
      </c>
      <c r="B267" t="s">
        <v>57</v>
      </c>
      <c r="C267" t="s">
        <v>58</v>
      </c>
      <c r="D267">
        <v>107820116</v>
      </c>
      <c r="E267" t="s">
        <v>110</v>
      </c>
      <c r="F267" t="s">
        <v>60</v>
      </c>
      <c r="G267">
        <v>0.2</v>
      </c>
      <c r="H267">
        <v>9.61</v>
      </c>
      <c r="I267">
        <v>0.17</v>
      </c>
      <c r="J267">
        <v>0</v>
      </c>
      <c r="K267">
        <v>9.98</v>
      </c>
      <c r="L267" t="s">
        <v>61</v>
      </c>
      <c r="M267">
        <v>510</v>
      </c>
      <c r="N267">
        <v>51.09</v>
      </c>
      <c r="O267" t="s">
        <v>69</v>
      </c>
      <c r="P267" t="s">
        <v>67</v>
      </c>
      <c r="Q267">
        <v>0</v>
      </c>
      <c r="R267">
        <v>0</v>
      </c>
    </row>
    <row r="268" spans="1:18" x14ac:dyDescent="0.35">
      <c r="A268" t="s">
        <v>56</v>
      </c>
      <c r="B268" t="s">
        <v>57</v>
      </c>
      <c r="C268" t="s">
        <v>58</v>
      </c>
      <c r="D268">
        <v>107824169</v>
      </c>
      <c r="E268" t="s">
        <v>111</v>
      </c>
      <c r="F268" t="s">
        <v>60</v>
      </c>
      <c r="G268">
        <v>0.3</v>
      </c>
      <c r="H268">
        <v>9.7200000000000006</v>
      </c>
      <c r="I268">
        <v>0</v>
      </c>
      <c r="J268">
        <v>0</v>
      </c>
      <c r="K268">
        <v>10.02</v>
      </c>
      <c r="L268" t="s">
        <v>61</v>
      </c>
      <c r="M268">
        <v>397</v>
      </c>
      <c r="N268">
        <v>39.630000000000003</v>
      </c>
      <c r="O268" t="s">
        <v>62</v>
      </c>
      <c r="P268" t="s">
        <v>63</v>
      </c>
      <c r="Q268">
        <v>458</v>
      </c>
      <c r="R268">
        <v>1536.63</v>
      </c>
    </row>
    <row r="269" spans="1:18" x14ac:dyDescent="0.35">
      <c r="A269" t="s">
        <v>56</v>
      </c>
      <c r="B269" t="s">
        <v>57</v>
      </c>
      <c r="C269" t="s">
        <v>58</v>
      </c>
      <c r="D269">
        <v>107824169</v>
      </c>
      <c r="E269" t="s">
        <v>111</v>
      </c>
      <c r="F269" t="s">
        <v>60</v>
      </c>
      <c r="G269">
        <v>0.3</v>
      </c>
      <c r="H269">
        <v>9.7200000000000006</v>
      </c>
      <c r="I269">
        <v>0</v>
      </c>
      <c r="J269">
        <v>0</v>
      </c>
      <c r="K269">
        <v>10.02</v>
      </c>
      <c r="L269" t="s">
        <v>61</v>
      </c>
      <c r="M269">
        <v>397</v>
      </c>
      <c r="N269">
        <v>39.630000000000003</v>
      </c>
      <c r="O269" t="s">
        <v>62</v>
      </c>
      <c r="P269" t="s">
        <v>64</v>
      </c>
      <c r="Q269">
        <v>2189</v>
      </c>
      <c r="R269">
        <v>225.24</v>
      </c>
    </row>
    <row r="270" spans="1:18" x14ac:dyDescent="0.35">
      <c r="A270" t="s">
        <v>56</v>
      </c>
      <c r="B270" t="s">
        <v>57</v>
      </c>
      <c r="C270" t="s">
        <v>58</v>
      </c>
      <c r="D270">
        <v>107824169</v>
      </c>
      <c r="E270" t="s">
        <v>111</v>
      </c>
      <c r="F270" t="s">
        <v>60</v>
      </c>
      <c r="G270">
        <v>0.3</v>
      </c>
      <c r="H270">
        <v>9.7200000000000006</v>
      </c>
      <c r="I270">
        <v>0</v>
      </c>
      <c r="J270">
        <v>0</v>
      </c>
      <c r="K270">
        <v>10.02</v>
      </c>
      <c r="L270" t="s">
        <v>61</v>
      </c>
      <c r="M270">
        <v>397</v>
      </c>
      <c r="N270">
        <v>39.630000000000003</v>
      </c>
      <c r="O270" t="s">
        <v>62</v>
      </c>
      <c r="P270" t="s">
        <v>65</v>
      </c>
      <c r="Q270">
        <v>0</v>
      </c>
      <c r="R270">
        <v>0</v>
      </c>
    </row>
    <row r="271" spans="1:18" x14ac:dyDescent="0.35">
      <c r="A271" t="s">
        <v>56</v>
      </c>
      <c r="B271" t="s">
        <v>57</v>
      </c>
      <c r="C271" t="s">
        <v>58</v>
      </c>
      <c r="D271">
        <v>107824169</v>
      </c>
      <c r="E271" t="s">
        <v>111</v>
      </c>
      <c r="F271" t="s">
        <v>60</v>
      </c>
      <c r="G271">
        <v>0.3</v>
      </c>
      <c r="H271">
        <v>9.7200000000000006</v>
      </c>
      <c r="I271">
        <v>0</v>
      </c>
      <c r="J271">
        <v>0</v>
      </c>
      <c r="K271">
        <v>10.02</v>
      </c>
      <c r="L271" t="s">
        <v>61</v>
      </c>
      <c r="M271">
        <v>397</v>
      </c>
      <c r="N271">
        <v>39.630000000000003</v>
      </c>
      <c r="O271" t="s">
        <v>62</v>
      </c>
      <c r="P271" t="s">
        <v>66</v>
      </c>
      <c r="Q271">
        <v>0</v>
      </c>
      <c r="R271">
        <v>0</v>
      </c>
    </row>
    <row r="272" spans="1:18" x14ac:dyDescent="0.35">
      <c r="A272" t="s">
        <v>56</v>
      </c>
      <c r="B272" t="s">
        <v>57</v>
      </c>
      <c r="C272" t="s">
        <v>58</v>
      </c>
      <c r="D272">
        <v>107824169</v>
      </c>
      <c r="E272" t="s">
        <v>111</v>
      </c>
      <c r="F272" t="s">
        <v>60</v>
      </c>
      <c r="G272">
        <v>0.3</v>
      </c>
      <c r="H272">
        <v>9.7200000000000006</v>
      </c>
      <c r="I272">
        <v>0</v>
      </c>
      <c r="J272">
        <v>0</v>
      </c>
      <c r="K272">
        <v>10.02</v>
      </c>
      <c r="L272" t="s">
        <v>61</v>
      </c>
      <c r="M272">
        <v>397</v>
      </c>
      <c r="N272">
        <v>39.630000000000003</v>
      </c>
      <c r="O272" t="s">
        <v>62</v>
      </c>
      <c r="P272" t="s">
        <v>67</v>
      </c>
      <c r="Q272">
        <v>2647</v>
      </c>
      <c r="R272">
        <v>264.26</v>
      </c>
    </row>
    <row r="273" spans="1:18" x14ac:dyDescent="0.35">
      <c r="A273" t="s">
        <v>56</v>
      </c>
      <c r="B273" t="s">
        <v>57</v>
      </c>
      <c r="C273" t="s">
        <v>58</v>
      </c>
      <c r="D273">
        <v>107824169</v>
      </c>
      <c r="E273" t="s">
        <v>111</v>
      </c>
      <c r="F273" t="s">
        <v>60</v>
      </c>
      <c r="G273">
        <v>0.3</v>
      </c>
      <c r="H273">
        <v>9.7200000000000006</v>
      </c>
      <c r="I273">
        <v>0</v>
      </c>
      <c r="J273">
        <v>0</v>
      </c>
      <c r="K273">
        <v>10.02</v>
      </c>
      <c r="L273" t="s">
        <v>61</v>
      </c>
      <c r="M273">
        <v>397</v>
      </c>
      <c r="N273">
        <v>39.630000000000003</v>
      </c>
      <c r="O273" t="s">
        <v>68</v>
      </c>
      <c r="P273" t="s">
        <v>67</v>
      </c>
      <c r="Q273">
        <v>397</v>
      </c>
      <c r="R273">
        <v>39.630000000000003</v>
      </c>
    </row>
    <row r="274" spans="1:18" x14ac:dyDescent="0.35">
      <c r="A274" t="s">
        <v>56</v>
      </c>
      <c r="B274" t="s">
        <v>57</v>
      </c>
      <c r="C274" t="s">
        <v>58</v>
      </c>
      <c r="D274">
        <v>107824169</v>
      </c>
      <c r="E274" t="s">
        <v>111</v>
      </c>
      <c r="F274" t="s">
        <v>60</v>
      </c>
      <c r="G274">
        <v>0.3</v>
      </c>
      <c r="H274">
        <v>9.7200000000000006</v>
      </c>
      <c r="I274">
        <v>0</v>
      </c>
      <c r="J274">
        <v>0</v>
      </c>
      <c r="K274">
        <v>10.02</v>
      </c>
      <c r="L274" t="s">
        <v>61</v>
      </c>
      <c r="M274">
        <v>397</v>
      </c>
      <c r="N274">
        <v>39.630000000000003</v>
      </c>
      <c r="O274" t="s">
        <v>69</v>
      </c>
      <c r="P274" t="s">
        <v>67</v>
      </c>
      <c r="Q274">
        <v>0</v>
      </c>
      <c r="R274">
        <v>0</v>
      </c>
    </row>
    <row r="275" spans="1:18" x14ac:dyDescent="0.35">
      <c r="A275" t="s">
        <v>56</v>
      </c>
      <c r="B275" t="s">
        <v>57</v>
      </c>
      <c r="C275" t="s">
        <v>58</v>
      </c>
      <c r="D275">
        <v>107868365</v>
      </c>
      <c r="E275" t="s">
        <v>112</v>
      </c>
      <c r="F275" t="s">
        <v>72</v>
      </c>
      <c r="G275">
        <v>0.18</v>
      </c>
      <c r="H275">
        <v>8.1300000000000008</v>
      </c>
      <c r="I275">
        <v>0.06</v>
      </c>
      <c r="J275">
        <v>0</v>
      </c>
      <c r="K275">
        <v>8.3699999999999992</v>
      </c>
      <c r="L275" t="s">
        <v>61</v>
      </c>
      <c r="M275">
        <v>402</v>
      </c>
      <c r="N275">
        <v>48.03</v>
      </c>
      <c r="O275" t="s">
        <v>62</v>
      </c>
      <c r="P275" t="s">
        <v>63</v>
      </c>
      <c r="Q275">
        <v>326</v>
      </c>
      <c r="R275">
        <v>1836.62</v>
      </c>
    </row>
    <row r="276" spans="1:18" x14ac:dyDescent="0.35">
      <c r="A276" t="s">
        <v>56</v>
      </c>
      <c r="B276" t="s">
        <v>57</v>
      </c>
      <c r="C276" t="s">
        <v>58</v>
      </c>
      <c r="D276">
        <v>107868365</v>
      </c>
      <c r="E276" t="s">
        <v>112</v>
      </c>
      <c r="F276" t="s">
        <v>72</v>
      </c>
      <c r="G276">
        <v>0.18</v>
      </c>
      <c r="H276">
        <v>8.1300000000000008</v>
      </c>
      <c r="I276">
        <v>0.06</v>
      </c>
      <c r="J276">
        <v>0</v>
      </c>
      <c r="K276">
        <v>8.3699999999999992</v>
      </c>
      <c r="L276" t="s">
        <v>61</v>
      </c>
      <c r="M276">
        <v>402</v>
      </c>
      <c r="N276">
        <v>48.03</v>
      </c>
      <c r="O276" t="s">
        <v>62</v>
      </c>
      <c r="P276" t="s">
        <v>64</v>
      </c>
      <c r="Q276">
        <v>2187</v>
      </c>
      <c r="R276">
        <v>268.87</v>
      </c>
    </row>
    <row r="277" spans="1:18" x14ac:dyDescent="0.35">
      <c r="A277" t="s">
        <v>56</v>
      </c>
      <c r="B277" t="s">
        <v>57</v>
      </c>
      <c r="C277" t="s">
        <v>58</v>
      </c>
      <c r="D277">
        <v>107868365</v>
      </c>
      <c r="E277" t="s">
        <v>112</v>
      </c>
      <c r="F277" t="s">
        <v>72</v>
      </c>
      <c r="G277">
        <v>0.18</v>
      </c>
      <c r="H277">
        <v>8.1300000000000008</v>
      </c>
      <c r="I277">
        <v>0.06</v>
      </c>
      <c r="J277">
        <v>0</v>
      </c>
      <c r="K277">
        <v>8.3699999999999992</v>
      </c>
      <c r="L277" t="s">
        <v>61</v>
      </c>
      <c r="M277">
        <v>402</v>
      </c>
      <c r="N277">
        <v>48.03</v>
      </c>
      <c r="O277" t="s">
        <v>62</v>
      </c>
      <c r="P277" t="s">
        <v>65</v>
      </c>
      <c r="Q277">
        <v>20</v>
      </c>
      <c r="R277">
        <v>346.15</v>
      </c>
    </row>
    <row r="278" spans="1:18" x14ac:dyDescent="0.35">
      <c r="A278" t="s">
        <v>56</v>
      </c>
      <c r="B278" t="s">
        <v>57</v>
      </c>
      <c r="C278" t="s">
        <v>58</v>
      </c>
      <c r="D278">
        <v>107868365</v>
      </c>
      <c r="E278" t="s">
        <v>112</v>
      </c>
      <c r="F278" t="s">
        <v>72</v>
      </c>
      <c r="G278">
        <v>0.18</v>
      </c>
      <c r="H278">
        <v>8.1300000000000008</v>
      </c>
      <c r="I278">
        <v>0.06</v>
      </c>
      <c r="J278">
        <v>0</v>
      </c>
      <c r="K278">
        <v>8.3699999999999992</v>
      </c>
      <c r="L278" t="s">
        <v>61</v>
      </c>
      <c r="M278">
        <v>402</v>
      </c>
      <c r="N278">
        <v>48.03</v>
      </c>
      <c r="O278" t="s">
        <v>62</v>
      </c>
      <c r="P278" t="s">
        <v>66</v>
      </c>
      <c r="Q278">
        <v>0</v>
      </c>
      <c r="R278">
        <v>0</v>
      </c>
    </row>
    <row r="279" spans="1:18" x14ac:dyDescent="0.35">
      <c r="A279" t="s">
        <v>56</v>
      </c>
      <c r="B279" t="s">
        <v>57</v>
      </c>
      <c r="C279" t="s">
        <v>58</v>
      </c>
      <c r="D279">
        <v>107868365</v>
      </c>
      <c r="E279" t="s">
        <v>112</v>
      </c>
      <c r="F279" t="s">
        <v>72</v>
      </c>
      <c r="G279">
        <v>0.18</v>
      </c>
      <c r="H279">
        <v>8.1300000000000008</v>
      </c>
      <c r="I279">
        <v>0.06</v>
      </c>
      <c r="J279">
        <v>0</v>
      </c>
      <c r="K279">
        <v>8.3699999999999992</v>
      </c>
      <c r="L279" t="s">
        <v>61</v>
      </c>
      <c r="M279">
        <v>402</v>
      </c>
      <c r="N279">
        <v>48.03</v>
      </c>
      <c r="O279" t="s">
        <v>62</v>
      </c>
      <c r="P279" t="s">
        <v>67</v>
      </c>
      <c r="Q279">
        <v>2533</v>
      </c>
      <c r="R279">
        <v>302.63</v>
      </c>
    </row>
    <row r="280" spans="1:18" x14ac:dyDescent="0.35">
      <c r="A280" t="s">
        <v>56</v>
      </c>
      <c r="B280" t="s">
        <v>57</v>
      </c>
      <c r="C280" t="s">
        <v>58</v>
      </c>
      <c r="D280">
        <v>107868365</v>
      </c>
      <c r="E280" t="s">
        <v>112</v>
      </c>
      <c r="F280" t="s">
        <v>72</v>
      </c>
      <c r="G280">
        <v>0.18</v>
      </c>
      <c r="H280">
        <v>8.1300000000000008</v>
      </c>
      <c r="I280">
        <v>0.06</v>
      </c>
      <c r="J280">
        <v>0</v>
      </c>
      <c r="K280">
        <v>8.3699999999999992</v>
      </c>
      <c r="L280" t="s">
        <v>61</v>
      </c>
      <c r="M280">
        <v>402</v>
      </c>
      <c r="N280">
        <v>48.03</v>
      </c>
      <c r="O280" t="s">
        <v>68</v>
      </c>
      <c r="P280" t="s">
        <v>67</v>
      </c>
      <c r="Q280">
        <v>402</v>
      </c>
      <c r="R280">
        <v>48.03</v>
      </c>
    </row>
    <row r="281" spans="1:18" x14ac:dyDescent="0.35">
      <c r="A281" t="s">
        <v>56</v>
      </c>
      <c r="B281" t="s">
        <v>57</v>
      </c>
      <c r="C281" t="s">
        <v>58</v>
      </c>
      <c r="D281">
        <v>107868365</v>
      </c>
      <c r="E281" t="s">
        <v>112</v>
      </c>
      <c r="F281" t="s">
        <v>72</v>
      </c>
      <c r="G281">
        <v>0.18</v>
      </c>
      <c r="H281">
        <v>8.1300000000000008</v>
      </c>
      <c r="I281">
        <v>0.06</v>
      </c>
      <c r="J281">
        <v>0</v>
      </c>
      <c r="K281">
        <v>8.3699999999999992</v>
      </c>
      <c r="L281" t="s">
        <v>61</v>
      </c>
      <c r="M281">
        <v>402</v>
      </c>
      <c r="N281">
        <v>48.03</v>
      </c>
      <c r="O281" t="s">
        <v>69</v>
      </c>
      <c r="P281" t="s">
        <v>67</v>
      </c>
      <c r="Q281">
        <v>0</v>
      </c>
      <c r="R281">
        <v>0</v>
      </c>
    </row>
    <row r="282" spans="1:18" x14ac:dyDescent="0.35">
      <c r="A282" t="s">
        <v>56</v>
      </c>
      <c r="B282" t="s">
        <v>57</v>
      </c>
      <c r="C282" t="s">
        <v>58</v>
      </c>
      <c r="D282">
        <v>107907397</v>
      </c>
      <c r="E282" t="s">
        <v>113</v>
      </c>
      <c r="F282" t="s">
        <v>60</v>
      </c>
      <c r="G282">
        <v>0.53</v>
      </c>
      <c r="H282">
        <v>9.4600000000000009</v>
      </c>
      <c r="I282">
        <v>0.11</v>
      </c>
      <c r="J282">
        <v>0</v>
      </c>
      <c r="K282">
        <v>10.1</v>
      </c>
      <c r="L282" t="s">
        <v>61</v>
      </c>
      <c r="M282">
        <v>429</v>
      </c>
      <c r="N282">
        <v>42.48</v>
      </c>
      <c r="O282" t="s">
        <v>62</v>
      </c>
      <c r="P282" t="s">
        <v>63</v>
      </c>
      <c r="Q282">
        <v>644</v>
      </c>
      <c r="R282">
        <v>1205.6199999999999</v>
      </c>
    </row>
    <row r="283" spans="1:18" x14ac:dyDescent="0.35">
      <c r="A283" t="s">
        <v>56</v>
      </c>
      <c r="B283" t="s">
        <v>57</v>
      </c>
      <c r="C283" t="s">
        <v>58</v>
      </c>
      <c r="D283">
        <v>107907397</v>
      </c>
      <c r="E283" t="s">
        <v>113</v>
      </c>
      <c r="F283" t="s">
        <v>60</v>
      </c>
      <c r="G283">
        <v>0.53</v>
      </c>
      <c r="H283">
        <v>9.4600000000000009</v>
      </c>
      <c r="I283">
        <v>0.11</v>
      </c>
      <c r="J283">
        <v>0</v>
      </c>
      <c r="K283">
        <v>10.1</v>
      </c>
      <c r="L283" t="s">
        <v>61</v>
      </c>
      <c r="M283">
        <v>429</v>
      </c>
      <c r="N283">
        <v>42.48</v>
      </c>
      <c r="O283" t="s">
        <v>62</v>
      </c>
      <c r="P283" t="s">
        <v>64</v>
      </c>
      <c r="Q283">
        <v>1671</v>
      </c>
      <c r="R283">
        <v>176.64</v>
      </c>
    </row>
    <row r="284" spans="1:18" x14ac:dyDescent="0.35">
      <c r="A284" t="s">
        <v>56</v>
      </c>
      <c r="B284" t="s">
        <v>57</v>
      </c>
      <c r="C284" t="s">
        <v>58</v>
      </c>
      <c r="D284">
        <v>107907397</v>
      </c>
      <c r="E284" t="s">
        <v>113</v>
      </c>
      <c r="F284" t="s">
        <v>60</v>
      </c>
      <c r="G284">
        <v>0.53</v>
      </c>
      <c r="H284">
        <v>9.4600000000000009</v>
      </c>
      <c r="I284">
        <v>0.11</v>
      </c>
      <c r="J284">
        <v>0</v>
      </c>
      <c r="K284">
        <v>10.1</v>
      </c>
      <c r="L284" t="s">
        <v>61</v>
      </c>
      <c r="M284">
        <v>429</v>
      </c>
      <c r="N284">
        <v>42.48</v>
      </c>
      <c r="O284" t="s">
        <v>62</v>
      </c>
      <c r="P284" t="s">
        <v>65</v>
      </c>
      <c r="Q284">
        <v>24</v>
      </c>
      <c r="R284">
        <v>227.37</v>
      </c>
    </row>
    <row r="285" spans="1:18" x14ac:dyDescent="0.35">
      <c r="A285" t="s">
        <v>56</v>
      </c>
      <c r="B285" t="s">
        <v>57</v>
      </c>
      <c r="C285" t="s">
        <v>58</v>
      </c>
      <c r="D285">
        <v>107907397</v>
      </c>
      <c r="E285" t="s">
        <v>113</v>
      </c>
      <c r="F285" t="s">
        <v>60</v>
      </c>
      <c r="G285">
        <v>0.53</v>
      </c>
      <c r="H285">
        <v>9.4600000000000009</v>
      </c>
      <c r="I285">
        <v>0.11</v>
      </c>
      <c r="J285">
        <v>0</v>
      </c>
      <c r="K285">
        <v>10.1</v>
      </c>
      <c r="L285" t="s">
        <v>61</v>
      </c>
      <c r="M285">
        <v>429</v>
      </c>
      <c r="N285">
        <v>42.48</v>
      </c>
      <c r="O285" t="s">
        <v>62</v>
      </c>
      <c r="P285" t="s">
        <v>66</v>
      </c>
      <c r="Q285">
        <v>0</v>
      </c>
      <c r="R285">
        <v>0</v>
      </c>
    </row>
    <row r="286" spans="1:18" x14ac:dyDescent="0.35">
      <c r="A286" t="s">
        <v>56</v>
      </c>
      <c r="B286" t="s">
        <v>57</v>
      </c>
      <c r="C286" t="s">
        <v>58</v>
      </c>
      <c r="D286">
        <v>107907397</v>
      </c>
      <c r="E286" t="s">
        <v>113</v>
      </c>
      <c r="F286" t="s">
        <v>60</v>
      </c>
      <c r="G286">
        <v>0.53</v>
      </c>
      <c r="H286">
        <v>9.4600000000000009</v>
      </c>
      <c r="I286">
        <v>0.11</v>
      </c>
      <c r="J286">
        <v>0</v>
      </c>
      <c r="K286">
        <v>10.1</v>
      </c>
      <c r="L286" t="s">
        <v>61</v>
      </c>
      <c r="M286">
        <v>429</v>
      </c>
      <c r="N286">
        <v>42.48</v>
      </c>
      <c r="O286" t="s">
        <v>62</v>
      </c>
      <c r="P286" t="s">
        <v>67</v>
      </c>
      <c r="Q286">
        <v>2339</v>
      </c>
      <c r="R286">
        <v>231.58</v>
      </c>
    </row>
    <row r="287" spans="1:18" x14ac:dyDescent="0.35">
      <c r="A287" t="s">
        <v>56</v>
      </c>
      <c r="B287" t="s">
        <v>57</v>
      </c>
      <c r="C287" t="s">
        <v>58</v>
      </c>
      <c r="D287">
        <v>107907397</v>
      </c>
      <c r="E287" t="s">
        <v>113</v>
      </c>
      <c r="F287" t="s">
        <v>60</v>
      </c>
      <c r="G287">
        <v>0.53</v>
      </c>
      <c r="H287">
        <v>9.4600000000000009</v>
      </c>
      <c r="I287">
        <v>0.11</v>
      </c>
      <c r="J287">
        <v>0</v>
      </c>
      <c r="K287">
        <v>10.1</v>
      </c>
      <c r="L287" t="s">
        <v>61</v>
      </c>
      <c r="M287">
        <v>429</v>
      </c>
      <c r="N287">
        <v>42.48</v>
      </c>
      <c r="O287" t="s">
        <v>68</v>
      </c>
      <c r="P287" t="s">
        <v>67</v>
      </c>
      <c r="Q287">
        <v>429</v>
      </c>
      <c r="R287">
        <v>42.48</v>
      </c>
    </row>
    <row r="288" spans="1:18" x14ac:dyDescent="0.35">
      <c r="A288" t="s">
        <v>56</v>
      </c>
      <c r="B288" t="s">
        <v>57</v>
      </c>
      <c r="C288" t="s">
        <v>58</v>
      </c>
      <c r="D288">
        <v>107907397</v>
      </c>
      <c r="E288" t="s">
        <v>113</v>
      </c>
      <c r="F288" t="s">
        <v>60</v>
      </c>
      <c r="G288">
        <v>0.53</v>
      </c>
      <c r="H288">
        <v>9.4600000000000009</v>
      </c>
      <c r="I288">
        <v>0.11</v>
      </c>
      <c r="J288">
        <v>0</v>
      </c>
      <c r="K288">
        <v>10.1</v>
      </c>
      <c r="L288" t="s">
        <v>61</v>
      </c>
      <c r="M288">
        <v>429</v>
      </c>
      <c r="N288">
        <v>42.48</v>
      </c>
      <c r="O288" t="s">
        <v>69</v>
      </c>
      <c r="P288" t="s">
        <v>67</v>
      </c>
      <c r="Q288">
        <v>0</v>
      </c>
      <c r="R288">
        <v>0</v>
      </c>
    </row>
    <row r="289" spans="1:1" x14ac:dyDescent="0.35">
      <c r="A289" t="s">
        <v>37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I170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621</v>
      </c>
      <c r="D1" t="s">
        <v>622</v>
      </c>
      <c r="E1" t="s">
        <v>40</v>
      </c>
      <c r="F1" t="s">
        <v>623</v>
      </c>
      <c r="G1" t="s">
        <v>52</v>
      </c>
      <c r="H1" t="s">
        <v>624</v>
      </c>
      <c r="I1" t="s">
        <v>625</v>
      </c>
    </row>
    <row r="2" spans="1:9" x14ac:dyDescent="0.35">
      <c r="A2" t="s">
        <v>61</v>
      </c>
      <c r="B2">
        <v>107232886</v>
      </c>
      <c r="C2" t="s">
        <v>587</v>
      </c>
      <c r="D2" t="s">
        <v>72</v>
      </c>
      <c r="E2" t="s">
        <v>58</v>
      </c>
      <c r="F2">
        <v>123</v>
      </c>
      <c r="G2" t="s">
        <v>62</v>
      </c>
      <c r="H2" t="s">
        <v>67</v>
      </c>
      <c r="I2">
        <v>1025</v>
      </c>
    </row>
    <row r="3" spans="1:9" x14ac:dyDescent="0.35">
      <c r="A3" t="s">
        <v>61</v>
      </c>
      <c r="B3">
        <v>107232886</v>
      </c>
      <c r="C3" t="s">
        <v>587</v>
      </c>
      <c r="D3" t="s">
        <v>72</v>
      </c>
      <c r="E3" t="s">
        <v>58</v>
      </c>
      <c r="F3">
        <v>123</v>
      </c>
      <c r="G3" t="s">
        <v>62</v>
      </c>
      <c r="H3" t="s">
        <v>63</v>
      </c>
      <c r="I3">
        <v>40</v>
      </c>
    </row>
    <row r="4" spans="1:9" x14ac:dyDescent="0.35">
      <c r="A4" t="s">
        <v>61</v>
      </c>
      <c r="B4">
        <v>107232886</v>
      </c>
      <c r="C4" t="s">
        <v>587</v>
      </c>
      <c r="D4" t="s">
        <v>72</v>
      </c>
      <c r="E4" t="s">
        <v>58</v>
      </c>
      <c r="F4">
        <v>123</v>
      </c>
      <c r="G4" t="s">
        <v>62</v>
      </c>
      <c r="H4" t="s">
        <v>64</v>
      </c>
      <c r="I4">
        <v>985</v>
      </c>
    </row>
    <row r="5" spans="1:9" x14ac:dyDescent="0.35">
      <c r="A5" t="s">
        <v>61</v>
      </c>
      <c r="B5">
        <v>107232886</v>
      </c>
      <c r="C5" t="s">
        <v>587</v>
      </c>
      <c r="D5" t="s">
        <v>72</v>
      </c>
      <c r="E5" t="s">
        <v>58</v>
      </c>
      <c r="F5">
        <v>123</v>
      </c>
      <c r="G5" t="s">
        <v>68</v>
      </c>
      <c r="H5" t="s">
        <v>67</v>
      </c>
      <c r="I5">
        <v>123</v>
      </c>
    </row>
    <row r="6" spans="1:9" x14ac:dyDescent="0.35">
      <c r="A6" t="s">
        <v>61</v>
      </c>
      <c r="B6">
        <v>103162419</v>
      </c>
      <c r="C6" t="s">
        <v>76</v>
      </c>
      <c r="D6" t="s">
        <v>72</v>
      </c>
      <c r="E6" t="s">
        <v>70</v>
      </c>
      <c r="F6">
        <v>282</v>
      </c>
      <c r="G6" t="s">
        <v>62</v>
      </c>
      <c r="H6" t="s">
        <v>67</v>
      </c>
      <c r="I6">
        <v>1989</v>
      </c>
    </row>
    <row r="7" spans="1:9" x14ac:dyDescent="0.35">
      <c r="A7" t="s">
        <v>61</v>
      </c>
      <c r="B7">
        <v>103162419</v>
      </c>
      <c r="C7" t="s">
        <v>76</v>
      </c>
      <c r="D7" t="s">
        <v>72</v>
      </c>
      <c r="E7" t="s">
        <v>70</v>
      </c>
      <c r="F7">
        <v>282</v>
      </c>
      <c r="G7" t="s">
        <v>62</v>
      </c>
      <c r="H7" t="s">
        <v>63</v>
      </c>
      <c r="I7">
        <v>183</v>
      </c>
    </row>
    <row r="8" spans="1:9" x14ac:dyDescent="0.35">
      <c r="A8" t="s">
        <v>61</v>
      </c>
      <c r="B8">
        <v>103162419</v>
      </c>
      <c r="C8" t="s">
        <v>76</v>
      </c>
      <c r="D8" t="s">
        <v>72</v>
      </c>
      <c r="E8" t="s">
        <v>70</v>
      </c>
      <c r="F8">
        <v>282</v>
      </c>
      <c r="G8" t="s">
        <v>62</v>
      </c>
      <c r="H8" t="s">
        <v>64</v>
      </c>
      <c r="I8">
        <v>1806</v>
      </c>
    </row>
    <row r="9" spans="1:9" x14ac:dyDescent="0.35">
      <c r="A9" t="s">
        <v>61</v>
      </c>
      <c r="B9">
        <v>103162419</v>
      </c>
      <c r="C9" t="s">
        <v>76</v>
      </c>
      <c r="D9" t="s">
        <v>72</v>
      </c>
      <c r="E9" t="s">
        <v>70</v>
      </c>
      <c r="F9">
        <v>282</v>
      </c>
      <c r="G9" t="s">
        <v>68</v>
      </c>
      <c r="H9" t="s">
        <v>67</v>
      </c>
      <c r="I9">
        <v>282</v>
      </c>
    </row>
    <row r="10" spans="1:9" x14ac:dyDescent="0.35">
      <c r="A10" t="s">
        <v>61</v>
      </c>
      <c r="B10">
        <v>106636925</v>
      </c>
      <c r="C10" t="s">
        <v>88</v>
      </c>
      <c r="D10" t="s">
        <v>72</v>
      </c>
      <c r="E10" t="s">
        <v>58</v>
      </c>
      <c r="F10">
        <v>461</v>
      </c>
      <c r="G10" t="s">
        <v>62</v>
      </c>
      <c r="H10" t="s">
        <v>67</v>
      </c>
      <c r="I10">
        <v>2931</v>
      </c>
    </row>
    <row r="11" spans="1:9" x14ac:dyDescent="0.35">
      <c r="A11" t="s">
        <v>61</v>
      </c>
      <c r="B11">
        <v>106636925</v>
      </c>
      <c r="C11" t="s">
        <v>88</v>
      </c>
      <c r="D11" t="s">
        <v>72</v>
      </c>
      <c r="E11" t="s">
        <v>58</v>
      </c>
      <c r="F11">
        <v>461</v>
      </c>
      <c r="G11" t="s">
        <v>62</v>
      </c>
      <c r="H11" t="s">
        <v>63</v>
      </c>
      <c r="I11">
        <v>586</v>
      </c>
    </row>
    <row r="12" spans="1:9" x14ac:dyDescent="0.35">
      <c r="A12" t="s">
        <v>61</v>
      </c>
      <c r="B12">
        <v>106636925</v>
      </c>
      <c r="C12" t="s">
        <v>88</v>
      </c>
      <c r="D12" t="s">
        <v>72</v>
      </c>
      <c r="E12" t="s">
        <v>58</v>
      </c>
      <c r="F12">
        <v>461</v>
      </c>
      <c r="G12" t="s">
        <v>62</v>
      </c>
      <c r="H12" t="s">
        <v>64</v>
      </c>
      <c r="I12">
        <v>2345</v>
      </c>
    </row>
    <row r="13" spans="1:9" x14ac:dyDescent="0.35">
      <c r="A13" t="s">
        <v>61</v>
      </c>
      <c r="B13">
        <v>106636925</v>
      </c>
      <c r="C13" t="s">
        <v>88</v>
      </c>
      <c r="D13" t="s">
        <v>72</v>
      </c>
      <c r="E13" t="s">
        <v>58</v>
      </c>
      <c r="F13">
        <v>461</v>
      </c>
      <c r="G13" t="s">
        <v>68</v>
      </c>
      <c r="H13" t="s">
        <v>67</v>
      </c>
      <c r="I13">
        <v>461</v>
      </c>
    </row>
    <row r="14" spans="1:9" x14ac:dyDescent="0.35">
      <c r="A14" t="s">
        <v>61</v>
      </c>
      <c r="B14">
        <v>103783504</v>
      </c>
      <c r="C14" t="s">
        <v>77</v>
      </c>
      <c r="D14" t="s">
        <v>72</v>
      </c>
      <c r="E14" t="s">
        <v>70</v>
      </c>
      <c r="F14">
        <v>195</v>
      </c>
      <c r="G14" t="s">
        <v>62</v>
      </c>
      <c r="H14" t="s">
        <v>67</v>
      </c>
      <c r="I14">
        <v>1360</v>
      </c>
    </row>
    <row r="15" spans="1:9" x14ac:dyDescent="0.35">
      <c r="A15" t="s">
        <v>61</v>
      </c>
      <c r="B15">
        <v>103783504</v>
      </c>
      <c r="C15" t="s">
        <v>77</v>
      </c>
      <c r="D15" t="s">
        <v>72</v>
      </c>
      <c r="E15" t="s">
        <v>70</v>
      </c>
      <c r="F15">
        <v>195</v>
      </c>
      <c r="G15" t="s">
        <v>62</v>
      </c>
      <c r="H15" t="s">
        <v>63</v>
      </c>
      <c r="I15">
        <v>161</v>
      </c>
    </row>
    <row r="16" spans="1:9" x14ac:dyDescent="0.35">
      <c r="A16" t="s">
        <v>61</v>
      </c>
      <c r="B16">
        <v>103783504</v>
      </c>
      <c r="C16" t="s">
        <v>77</v>
      </c>
      <c r="D16" t="s">
        <v>72</v>
      </c>
      <c r="E16" t="s">
        <v>70</v>
      </c>
      <c r="F16">
        <v>195</v>
      </c>
      <c r="G16" t="s">
        <v>62</v>
      </c>
      <c r="H16" t="s">
        <v>64</v>
      </c>
      <c r="I16">
        <v>1199</v>
      </c>
    </row>
    <row r="17" spans="1:9" x14ac:dyDescent="0.35">
      <c r="A17" t="s">
        <v>61</v>
      </c>
      <c r="B17">
        <v>103783504</v>
      </c>
      <c r="C17" t="s">
        <v>77</v>
      </c>
      <c r="D17" t="s">
        <v>72</v>
      </c>
      <c r="E17" t="s">
        <v>70</v>
      </c>
      <c r="F17">
        <v>195</v>
      </c>
      <c r="G17" t="s">
        <v>68</v>
      </c>
      <c r="H17" t="s">
        <v>67</v>
      </c>
      <c r="I17">
        <v>195</v>
      </c>
    </row>
    <row r="18" spans="1:9" x14ac:dyDescent="0.35">
      <c r="A18" t="s">
        <v>61</v>
      </c>
      <c r="B18">
        <v>106640096</v>
      </c>
      <c r="C18" t="s">
        <v>89</v>
      </c>
      <c r="D18" t="s">
        <v>72</v>
      </c>
      <c r="E18" t="s">
        <v>70</v>
      </c>
      <c r="F18">
        <v>371</v>
      </c>
      <c r="G18" t="s">
        <v>62</v>
      </c>
      <c r="H18" t="s">
        <v>67</v>
      </c>
      <c r="I18">
        <v>2666</v>
      </c>
    </row>
    <row r="19" spans="1:9" x14ac:dyDescent="0.35">
      <c r="A19" t="s">
        <v>61</v>
      </c>
      <c r="B19">
        <v>106640096</v>
      </c>
      <c r="C19" t="s">
        <v>89</v>
      </c>
      <c r="D19" t="s">
        <v>72</v>
      </c>
      <c r="E19" t="s">
        <v>70</v>
      </c>
      <c r="F19">
        <v>371</v>
      </c>
      <c r="G19" t="s">
        <v>62</v>
      </c>
      <c r="H19" t="s">
        <v>63</v>
      </c>
      <c r="I19">
        <v>917</v>
      </c>
    </row>
    <row r="20" spans="1:9" x14ac:dyDescent="0.35">
      <c r="A20" t="s">
        <v>61</v>
      </c>
      <c r="B20">
        <v>106640096</v>
      </c>
      <c r="C20" t="s">
        <v>89</v>
      </c>
      <c r="D20" t="s">
        <v>72</v>
      </c>
      <c r="E20" t="s">
        <v>70</v>
      </c>
      <c r="F20">
        <v>371</v>
      </c>
      <c r="G20" t="s">
        <v>62</v>
      </c>
      <c r="H20" t="s">
        <v>64</v>
      </c>
      <c r="I20">
        <v>1749</v>
      </c>
    </row>
    <row r="21" spans="1:9" x14ac:dyDescent="0.35">
      <c r="A21" t="s">
        <v>61</v>
      </c>
      <c r="B21">
        <v>106640096</v>
      </c>
      <c r="C21" t="s">
        <v>89</v>
      </c>
      <c r="D21" t="s">
        <v>72</v>
      </c>
      <c r="E21" t="s">
        <v>70</v>
      </c>
      <c r="F21">
        <v>371</v>
      </c>
      <c r="G21" t="s">
        <v>68</v>
      </c>
      <c r="H21" t="s">
        <v>67</v>
      </c>
      <c r="I21">
        <v>371</v>
      </c>
    </row>
    <row r="22" spans="1:9" x14ac:dyDescent="0.35">
      <c r="A22" t="s">
        <v>61</v>
      </c>
      <c r="B22">
        <v>107627860</v>
      </c>
      <c r="C22" t="s">
        <v>595</v>
      </c>
      <c r="D22" t="s">
        <v>72</v>
      </c>
      <c r="E22" t="s">
        <v>58</v>
      </c>
      <c r="F22">
        <v>90</v>
      </c>
      <c r="G22" t="s">
        <v>62</v>
      </c>
      <c r="H22" t="s">
        <v>67</v>
      </c>
      <c r="I22">
        <v>1178</v>
      </c>
    </row>
    <row r="23" spans="1:9" x14ac:dyDescent="0.35">
      <c r="A23" t="s">
        <v>61</v>
      </c>
      <c r="B23">
        <v>107627860</v>
      </c>
      <c r="C23" t="s">
        <v>595</v>
      </c>
      <c r="D23" t="s">
        <v>72</v>
      </c>
      <c r="E23" t="s">
        <v>58</v>
      </c>
      <c r="F23">
        <v>90</v>
      </c>
      <c r="G23" t="s">
        <v>62</v>
      </c>
      <c r="H23" t="s">
        <v>63</v>
      </c>
      <c r="I23">
        <v>373</v>
      </c>
    </row>
    <row r="24" spans="1:9" x14ac:dyDescent="0.35">
      <c r="A24" t="s">
        <v>61</v>
      </c>
      <c r="B24">
        <v>107627860</v>
      </c>
      <c r="C24" t="s">
        <v>595</v>
      </c>
      <c r="D24" t="s">
        <v>72</v>
      </c>
      <c r="E24" t="s">
        <v>58</v>
      </c>
      <c r="F24">
        <v>90</v>
      </c>
      <c r="G24" t="s">
        <v>62</v>
      </c>
      <c r="H24" t="s">
        <v>64</v>
      </c>
      <c r="I24">
        <v>805</v>
      </c>
    </row>
    <row r="25" spans="1:9" x14ac:dyDescent="0.35">
      <c r="A25" t="s">
        <v>61</v>
      </c>
      <c r="B25">
        <v>107627860</v>
      </c>
      <c r="C25" t="s">
        <v>595</v>
      </c>
      <c r="D25" t="s">
        <v>72</v>
      </c>
      <c r="E25" t="s">
        <v>58</v>
      </c>
      <c r="F25">
        <v>90</v>
      </c>
      <c r="G25" t="s">
        <v>68</v>
      </c>
      <c r="H25" t="s">
        <v>67</v>
      </c>
      <c r="I25">
        <v>90</v>
      </c>
    </row>
    <row r="26" spans="1:9" x14ac:dyDescent="0.35">
      <c r="A26" t="s">
        <v>61</v>
      </c>
      <c r="B26">
        <v>107233183</v>
      </c>
      <c r="C26" t="s">
        <v>590</v>
      </c>
      <c r="D26" t="s">
        <v>72</v>
      </c>
      <c r="E26" t="s">
        <v>70</v>
      </c>
      <c r="F26">
        <v>350</v>
      </c>
      <c r="G26" t="s">
        <v>62</v>
      </c>
      <c r="H26" t="s">
        <v>67</v>
      </c>
      <c r="I26">
        <v>1947</v>
      </c>
    </row>
    <row r="27" spans="1:9" x14ac:dyDescent="0.35">
      <c r="A27" t="s">
        <v>61</v>
      </c>
      <c r="B27">
        <v>107233183</v>
      </c>
      <c r="C27" t="s">
        <v>590</v>
      </c>
      <c r="D27" t="s">
        <v>72</v>
      </c>
      <c r="E27" t="s">
        <v>70</v>
      </c>
      <c r="F27">
        <v>350</v>
      </c>
      <c r="G27" t="s">
        <v>62</v>
      </c>
      <c r="H27" t="s">
        <v>63</v>
      </c>
      <c r="I27">
        <v>45</v>
      </c>
    </row>
    <row r="28" spans="1:9" x14ac:dyDescent="0.35">
      <c r="A28" t="s">
        <v>61</v>
      </c>
      <c r="B28">
        <v>107233183</v>
      </c>
      <c r="C28" t="s">
        <v>590</v>
      </c>
      <c r="D28" t="s">
        <v>72</v>
      </c>
      <c r="E28" t="s">
        <v>70</v>
      </c>
      <c r="F28">
        <v>350</v>
      </c>
      <c r="G28" t="s">
        <v>62</v>
      </c>
      <c r="H28" t="s">
        <v>64</v>
      </c>
      <c r="I28">
        <v>1902</v>
      </c>
    </row>
    <row r="29" spans="1:9" x14ac:dyDescent="0.35">
      <c r="A29" t="s">
        <v>61</v>
      </c>
      <c r="B29">
        <v>107233183</v>
      </c>
      <c r="C29" t="s">
        <v>590</v>
      </c>
      <c r="D29" t="s">
        <v>72</v>
      </c>
      <c r="E29" t="s">
        <v>70</v>
      </c>
      <c r="F29">
        <v>350</v>
      </c>
      <c r="G29" t="s">
        <v>68</v>
      </c>
      <c r="H29" t="s">
        <v>67</v>
      </c>
      <c r="I29">
        <v>350</v>
      </c>
    </row>
    <row r="30" spans="1:9" x14ac:dyDescent="0.35">
      <c r="A30" t="s">
        <v>61</v>
      </c>
      <c r="B30">
        <v>107844157</v>
      </c>
      <c r="C30" t="s">
        <v>604</v>
      </c>
      <c r="D30" t="s">
        <v>72</v>
      </c>
      <c r="E30" t="s">
        <v>70</v>
      </c>
      <c r="F30">
        <v>279</v>
      </c>
      <c r="G30" t="s">
        <v>62</v>
      </c>
      <c r="H30" t="s">
        <v>67</v>
      </c>
      <c r="I30">
        <v>1651</v>
      </c>
    </row>
    <row r="31" spans="1:9" x14ac:dyDescent="0.35">
      <c r="A31" t="s">
        <v>61</v>
      </c>
      <c r="B31">
        <v>107844157</v>
      </c>
      <c r="C31" t="s">
        <v>604</v>
      </c>
      <c r="D31" t="s">
        <v>72</v>
      </c>
      <c r="E31" t="s">
        <v>70</v>
      </c>
      <c r="F31">
        <v>279</v>
      </c>
      <c r="G31" t="s">
        <v>62</v>
      </c>
      <c r="H31" t="s">
        <v>63</v>
      </c>
      <c r="I31">
        <v>332</v>
      </c>
    </row>
    <row r="32" spans="1:9" x14ac:dyDescent="0.35">
      <c r="A32" t="s">
        <v>61</v>
      </c>
      <c r="B32">
        <v>107844157</v>
      </c>
      <c r="C32" t="s">
        <v>604</v>
      </c>
      <c r="D32" t="s">
        <v>72</v>
      </c>
      <c r="E32" t="s">
        <v>70</v>
      </c>
      <c r="F32">
        <v>279</v>
      </c>
      <c r="G32" t="s">
        <v>62</v>
      </c>
      <c r="H32" t="s">
        <v>64</v>
      </c>
      <c r="I32">
        <v>1319</v>
      </c>
    </row>
    <row r="33" spans="1:9" x14ac:dyDescent="0.35">
      <c r="A33" t="s">
        <v>61</v>
      </c>
      <c r="B33">
        <v>107844157</v>
      </c>
      <c r="C33" t="s">
        <v>604</v>
      </c>
      <c r="D33" t="s">
        <v>72</v>
      </c>
      <c r="E33" t="s">
        <v>70</v>
      </c>
      <c r="F33">
        <v>279</v>
      </c>
      <c r="G33" t="s">
        <v>68</v>
      </c>
      <c r="H33" t="s">
        <v>67</v>
      </c>
      <c r="I33">
        <v>279</v>
      </c>
    </row>
    <row r="34" spans="1:9" x14ac:dyDescent="0.35">
      <c r="A34" t="s">
        <v>61</v>
      </c>
      <c r="B34">
        <v>107228984</v>
      </c>
      <c r="C34" t="s">
        <v>586</v>
      </c>
      <c r="D34" t="s">
        <v>60</v>
      </c>
      <c r="E34" t="s">
        <v>70</v>
      </c>
      <c r="F34">
        <v>419</v>
      </c>
      <c r="G34" t="s">
        <v>62</v>
      </c>
      <c r="H34" t="s">
        <v>67</v>
      </c>
      <c r="I34">
        <v>3152</v>
      </c>
    </row>
    <row r="35" spans="1:9" x14ac:dyDescent="0.35">
      <c r="A35" t="s">
        <v>61</v>
      </c>
      <c r="B35">
        <v>107228984</v>
      </c>
      <c r="C35" t="s">
        <v>586</v>
      </c>
      <c r="D35" t="s">
        <v>60</v>
      </c>
      <c r="E35" t="s">
        <v>70</v>
      </c>
      <c r="F35">
        <v>419</v>
      </c>
      <c r="G35" t="s">
        <v>62</v>
      </c>
      <c r="H35" t="s">
        <v>63</v>
      </c>
      <c r="I35">
        <v>755</v>
      </c>
    </row>
    <row r="36" spans="1:9" x14ac:dyDescent="0.35">
      <c r="A36" t="s">
        <v>61</v>
      </c>
      <c r="B36">
        <v>107228984</v>
      </c>
      <c r="C36" t="s">
        <v>586</v>
      </c>
      <c r="D36" t="s">
        <v>60</v>
      </c>
      <c r="E36" t="s">
        <v>70</v>
      </c>
      <c r="F36">
        <v>419</v>
      </c>
      <c r="G36" t="s">
        <v>62</v>
      </c>
      <c r="H36" t="s">
        <v>64</v>
      </c>
      <c r="I36">
        <v>2391</v>
      </c>
    </row>
    <row r="37" spans="1:9" x14ac:dyDescent="0.35">
      <c r="A37" t="s">
        <v>61</v>
      </c>
      <c r="B37">
        <v>107228984</v>
      </c>
      <c r="C37" t="s">
        <v>586</v>
      </c>
      <c r="D37" t="s">
        <v>60</v>
      </c>
      <c r="E37" t="s">
        <v>70</v>
      </c>
      <c r="F37">
        <v>419</v>
      </c>
      <c r="G37" t="s">
        <v>62</v>
      </c>
      <c r="H37" t="s">
        <v>65</v>
      </c>
      <c r="I37">
        <v>6</v>
      </c>
    </row>
    <row r="38" spans="1:9" x14ac:dyDescent="0.35">
      <c r="A38" t="s">
        <v>61</v>
      </c>
      <c r="B38">
        <v>107228984</v>
      </c>
      <c r="C38" t="s">
        <v>586</v>
      </c>
      <c r="D38" t="s">
        <v>60</v>
      </c>
      <c r="E38" t="s">
        <v>70</v>
      </c>
      <c r="F38">
        <v>419</v>
      </c>
      <c r="G38" t="s">
        <v>68</v>
      </c>
      <c r="H38" t="s">
        <v>67</v>
      </c>
      <c r="I38">
        <v>419</v>
      </c>
    </row>
    <row r="39" spans="1:9" x14ac:dyDescent="0.35">
      <c r="A39" t="s">
        <v>61</v>
      </c>
      <c r="B39">
        <v>107826232</v>
      </c>
      <c r="C39" t="s">
        <v>599</v>
      </c>
      <c r="D39" t="s">
        <v>60</v>
      </c>
      <c r="E39" t="s">
        <v>70</v>
      </c>
      <c r="F39">
        <v>287</v>
      </c>
      <c r="G39" t="s">
        <v>62</v>
      </c>
      <c r="H39" t="s">
        <v>67</v>
      </c>
      <c r="I39">
        <v>2261</v>
      </c>
    </row>
    <row r="40" spans="1:9" x14ac:dyDescent="0.35">
      <c r="A40" t="s">
        <v>61</v>
      </c>
      <c r="B40">
        <v>107826232</v>
      </c>
      <c r="C40" t="s">
        <v>599</v>
      </c>
      <c r="D40" t="s">
        <v>60</v>
      </c>
      <c r="E40" t="s">
        <v>70</v>
      </c>
      <c r="F40">
        <v>287</v>
      </c>
      <c r="G40" t="s">
        <v>62</v>
      </c>
      <c r="H40" t="s">
        <v>63</v>
      </c>
      <c r="I40">
        <v>540</v>
      </c>
    </row>
    <row r="41" spans="1:9" x14ac:dyDescent="0.35">
      <c r="A41" t="s">
        <v>61</v>
      </c>
      <c r="B41">
        <v>107826232</v>
      </c>
      <c r="C41" t="s">
        <v>599</v>
      </c>
      <c r="D41" t="s">
        <v>60</v>
      </c>
      <c r="E41" t="s">
        <v>70</v>
      </c>
      <c r="F41">
        <v>287</v>
      </c>
      <c r="G41" t="s">
        <v>62</v>
      </c>
      <c r="H41" t="s">
        <v>64</v>
      </c>
      <c r="I41">
        <v>1717</v>
      </c>
    </row>
    <row r="42" spans="1:9" x14ac:dyDescent="0.35">
      <c r="A42" t="s">
        <v>61</v>
      </c>
      <c r="B42">
        <v>107826232</v>
      </c>
      <c r="C42" t="s">
        <v>599</v>
      </c>
      <c r="D42" t="s">
        <v>60</v>
      </c>
      <c r="E42" t="s">
        <v>70</v>
      </c>
      <c r="F42">
        <v>287</v>
      </c>
      <c r="G42" t="s">
        <v>62</v>
      </c>
      <c r="H42" t="s">
        <v>65</v>
      </c>
      <c r="I42">
        <v>4</v>
      </c>
    </row>
    <row r="43" spans="1:9" x14ac:dyDescent="0.35">
      <c r="A43" t="s">
        <v>61</v>
      </c>
      <c r="B43">
        <v>107826232</v>
      </c>
      <c r="C43" t="s">
        <v>599</v>
      </c>
      <c r="D43" t="s">
        <v>60</v>
      </c>
      <c r="E43" t="s">
        <v>70</v>
      </c>
      <c r="F43">
        <v>287</v>
      </c>
      <c r="G43" t="s">
        <v>68</v>
      </c>
      <c r="H43" t="s">
        <v>67</v>
      </c>
      <c r="I43">
        <v>287</v>
      </c>
    </row>
    <row r="44" spans="1:9" x14ac:dyDescent="0.35">
      <c r="A44" t="s">
        <v>61</v>
      </c>
      <c r="B44">
        <v>107843891</v>
      </c>
      <c r="C44" t="s">
        <v>603</v>
      </c>
      <c r="D44" t="s">
        <v>72</v>
      </c>
      <c r="E44" t="s">
        <v>70</v>
      </c>
      <c r="F44">
        <v>328</v>
      </c>
      <c r="G44" t="s">
        <v>62</v>
      </c>
      <c r="H44" t="s">
        <v>67</v>
      </c>
      <c r="I44">
        <v>2396</v>
      </c>
    </row>
    <row r="45" spans="1:9" x14ac:dyDescent="0.35">
      <c r="A45" t="s">
        <v>61</v>
      </c>
      <c r="B45">
        <v>107843891</v>
      </c>
      <c r="C45" t="s">
        <v>603</v>
      </c>
      <c r="D45" t="s">
        <v>72</v>
      </c>
      <c r="E45" t="s">
        <v>70</v>
      </c>
      <c r="F45">
        <v>328</v>
      </c>
      <c r="G45" t="s">
        <v>62</v>
      </c>
      <c r="H45" t="s">
        <v>63</v>
      </c>
      <c r="I45">
        <v>329</v>
      </c>
    </row>
    <row r="46" spans="1:9" x14ac:dyDescent="0.35">
      <c r="A46" t="s">
        <v>61</v>
      </c>
      <c r="B46">
        <v>107843891</v>
      </c>
      <c r="C46" t="s">
        <v>603</v>
      </c>
      <c r="D46" t="s">
        <v>72</v>
      </c>
      <c r="E46" t="s">
        <v>70</v>
      </c>
      <c r="F46">
        <v>328</v>
      </c>
      <c r="G46" t="s">
        <v>62</v>
      </c>
      <c r="H46" t="s">
        <v>64</v>
      </c>
      <c r="I46">
        <v>2067</v>
      </c>
    </row>
    <row r="47" spans="1:9" x14ac:dyDescent="0.35">
      <c r="A47" t="s">
        <v>61</v>
      </c>
      <c r="B47">
        <v>107843891</v>
      </c>
      <c r="C47" t="s">
        <v>603</v>
      </c>
      <c r="D47" t="s">
        <v>72</v>
      </c>
      <c r="E47" t="s">
        <v>70</v>
      </c>
      <c r="F47">
        <v>328</v>
      </c>
      <c r="G47" t="s">
        <v>68</v>
      </c>
      <c r="H47" t="s">
        <v>67</v>
      </c>
      <c r="I47">
        <v>328</v>
      </c>
    </row>
    <row r="48" spans="1:9" x14ac:dyDescent="0.35">
      <c r="A48" t="s">
        <v>61</v>
      </c>
      <c r="B48">
        <v>106550554</v>
      </c>
      <c r="C48" t="s">
        <v>583</v>
      </c>
      <c r="D48" t="s">
        <v>60</v>
      </c>
      <c r="E48" t="s">
        <v>58</v>
      </c>
      <c r="F48">
        <v>5</v>
      </c>
      <c r="G48" t="s">
        <v>62</v>
      </c>
      <c r="H48" t="s">
        <v>67</v>
      </c>
      <c r="I48">
        <v>4059</v>
      </c>
    </row>
    <row r="49" spans="1:9" x14ac:dyDescent="0.35">
      <c r="A49" t="s">
        <v>61</v>
      </c>
      <c r="B49">
        <v>106550554</v>
      </c>
      <c r="C49" t="s">
        <v>583</v>
      </c>
      <c r="D49" t="s">
        <v>60</v>
      </c>
      <c r="E49" t="s">
        <v>58</v>
      </c>
      <c r="F49">
        <v>5</v>
      </c>
      <c r="G49" t="s">
        <v>62</v>
      </c>
      <c r="H49" t="s">
        <v>63</v>
      </c>
      <c r="I49">
        <v>872</v>
      </c>
    </row>
    <row r="50" spans="1:9" x14ac:dyDescent="0.35">
      <c r="A50" t="s">
        <v>61</v>
      </c>
      <c r="B50">
        <v>106550554</v>
      </c>
      <c r="C50" t="s">
        <v>583</v>
      </c>
      <c r="D50" t="s">
        <v>60</v>
      </c>
      <c r="E50" t="s">
        <v>58</v>
      </c>
      <c r="F50">
        <v>5</v>
      </c>
      <c r="G50" t="s">
        <v>62</v>
      </c>
      <c r="H50" t="s">
        <v>64</v>
      </c>
      <c r="I50">
        <v>3184</v>
      </c>
    </row>
    <row r="51" spans="1:9" x14ac:dyDescent="0.35">
      <c r="A51" t="s">
        <v>61</v>
      </c>
      <c r="B51">
        <v>106550554</v>
      </c>
      <c r="C51" t="s">
        <v>583</v>
      </c>
      <c r="D51" t="s">
        <v>60</v>
      </c>
      <c r="E51" t="s">
        <v>58</v>
      </c>
      <c r="F51">
        <v>5</v>
      </c>
      <c r="G51" t="s">
        <v>62</v>
      </c>
      <c r="H51" t="s">
        <v>65</v>
      </c>
      <c r="I51">
        <v>3</v>
      </c>
    </row>
    <row r="52" spans="1:9" x14ac:dyDescent="0.35">
      <c r="A52" t="s">
        <v>61</v>
      </c>
      <c r="B52">
        <v>106550554</v>
      </c>
      <c r="C52" t="s">
        <v>583</v>
      </c>
      <c r="D52" t="s">
        <v>60</v>
      </c>
      <c r="E52" t="s">
        <v>58</v>
      </c>
      <c r="F52">
        <v>5</v>
      </c>
      <c r="G52" t="s">
        <v>68</v>
      </c>
      <c r="H52" t="s">
        <v>67</v>
      </c>
      <c r="I52">
        <v>558</v>
      </c>
    </row>
    <row r="53" spans="1:9" x14ac:dyDescent="0.35">
      <c r="A53" t="s">
        <v>61</v>
      </c>
      <c r="B53">
        <v>106550554</v>
      </c>
      <c r="C53" t="s">
        <v>583</v>
      </c>
      <c r="D53" t="s">
        <v>60</v>
      </c>
      <c r="E53" t="s">
        <v>58</v>
      </c>
      <c r="F53">
        <v>5</v>
      </c>
      <c r="G53" t="s">
        <v>69</v>
      </c>
      <c r="H53" t="s">
        <v>67</v>
      </c>
      <c r="I53">
        <v>5</v>
      </c>
    </row>
    <row r="54" spans="1:9" x14ac:dyDescent="0.35">
      <c r="A54" t="s">
        <v>61</v>
      </c>
      <c r="B54">
        <v>107221222</v>
      </c>
      <c r="C54" t="s">
        <v>94</v>
      </c>
      <c r="D54" t="s">
        <v>72</v>
      </c>
      <c r="E54" t="s">
        <v>70</v>
      </c>
      <c r="F54">
        <v>417</v>
      </c>
      <c r="G54" t="s">
        <v>62</v>
      </c>
      <c r="H54" t="s">
        <v>67</v>
      </c>
      <c r="I54">
        <v>2726</v>
      </c>
    </row>
    <row r="55" spans="1:9" x14ac:dyDescent="0.35">
      <c r="A55" t="s">
        <v>61</v>
      </c>
      <c r="B55">
        <v>107221222</v>
      </c>
      <c r="C55" t="s">
        <v>94</v>
      </c>
      <c r="D55" t="s">
        <v>72</v>
      </c>
      <c r="E55" t="s">
        <v>70</v>
      </c>
      <c r="F55">
        <v>417</v>
      </c>
      <c r="G55" t="s">
        <v>62</v>
      </c>
      <c r="H55" t="s">
        <v>63</v>
      </c>
      <c r="I55">
        <v>365</v>
      </c>
    </row>
    <row r="56" spans="1:9" x14ac:dyDescent="0.35">
      <c r="A56" t="s">
        <v>61</v>
      </c>
      <c r="B56">
        <v>107221222</v>
      </c>
      <c r="C56" t="s">
        <v>94</v>
      </c>
      <c r="D56" t="s">
        <v>72</v>
      </c>
      <c r="E56" t="s">
        <v>70</v>
      </c>
      <c r="F56">
        <v>417</v>
      </c>
      <c r="G56" t="s">
        <v>62</v>
      </c>
      <c r="H56" t="s">
        <v>64</v>
      </c>
      <c r="I56">
        <v>2361</v>
      </c>
    </row>
    <row r="57" spans="1:9" x14ac:dyDescent="0.35">
      <c r="A57" t="s">
        <v>61</v>
      </c>
      <c r="B57">
        <v>107221222</v>
      </c>
      <c r="C57" t="s">
        <v>94</v>
      </c>
      <c r="D57" t="s">
        <v>72</v>
      </c>
      <c r="E57" t="s">
        <v>70</v>
      </c>
      <c r="F57">
        <v>417</v>
      </c>
      <c r="G57" t="s">
        <v>68</v>
      </c>
      <c r="H57" t="s">
        <v>67</v>
      </c>
      <c r="I57">
        <v>417</v>
      </c>
    </row>
    <row r="58" spans="1:9" x14ac:dyDescent="0.35">
      <c r="A58" t="s">
        <v>61</v>
      </c>
      <c r="B58">
        <v>107843844</v>
      </c>
      <c r="C58" t="s">
        <v>601</v>
      </c>
      <c r="D58" t="s">
        <v>72</v>
      </c>
      <c r="E58" t="s">
        <v>70</v>
      </c>
      <c r="F58">
        <v>456</v>
      </c>
      <c r="G58" t="s">
        <v>62</v>
      </c>
      <c r="H58" t="s">
        <v>67</v>
      </c>
      <c r="I58">
        <v>2171</v>
      </c>
    </row>
    <row r="59" spans="1:9" x14ac:dyDescent="0.35">
      <c r="A59" t="s">
        <v>61</v>
      </c>
      <c r="B59">
        <v>107843844</v>
      </c>
      <c r="C59" t="s">
        <v>601</v>
      </c>
      <c r="D59" t="s">
        <v>72</v>
      </c>
      <c r="E59" t="s">
        <v>70</v>
      </c>
      <c r="F59">
        <v>456</v>
      </c>
      <c r="G59" t="s">
        <v>62</v>
      </c>
      <c r="H59" t="s">
        <v>63</v>
      </c>
      <c r="I59">
        <v>154</v>
      </c>
    </row>
    <row r="60" spans="1:9" x14ac:dyDescent="0.35">
      <c r="A60" t="s">
        <v>61</v>
      </c>
      <c r="B60">
        <v>107843844</v>
      </c>
      <c r="C60" t="s">
        <v>601</v>
      </c>
      <c r="D60" t="s">
        <v>72</v>
      </c>
      <c r="E60" t="s">
        <v>70</v>
      </c>
      <c r="F60">
        <v>456</v>
      </c>
      <c r="G60" t="s">
        <v>62</v>
      </c>
      <c r="H60" t="s">
        <v>64</v>
      </c>
      <c r="I60">
        <v>2017</v>
      </c>
    </row>
    <row r="61" spans="1:9" x14ac:dyDescent="0.35">
      <c r="A61" t="s">
        <v>61</v>
      </c>
      <c r="B61">
        <v>107843844</v>
      </c>
      <c r="C61" t="s">
        <v>601</v>
      </c>
      <c r="D61" t="s">
        <v>72</v>
      </c>
      <c r="E61" t="s">
        <v>70</v>
      </c>
      <c r="F61">
        <v>456</v>
      </c>
      <c r="G61" t="s">
        <v>68</v>
      </c>
      <c r="H61" t="s">
        <v>67</v>
      </c>
      <c r="I61">
        <v>456</v>
      </c>
    </row>
    <row r="62" spans="1:9" x14ac:dyDescent="0.35">
      <c r="A62" t="s">
        <v>61</v>
      </c>
      <c r="B62">
        <v>107704604</v>
      </c>
      <c r="C62" t="s">
        <v>101</v>
      </c>
      <c r="D62" t="s">
        <v>72</v>
      </c>
      <c r="E62" t="s">
        <v>58</v>
      </c>
      <c r="F62">
        <v>453</v>
      </c>
      <c r="G62" t="s">
        <v>62</v>
      </c>
      <c r="H62" t="s">
        <v>67</v>
      </c>
      <c r="I62">
        <v>3029</v>
      </c>
    </row>
    <row r="63" spans="1:9" x14ac:dyDescent="0.35">
      <c r="A63" t="s">
        <v>61</v>
      </c>
      <c r="B63">
        <v>107704604</v>
      </c>
      <c r="C63" t="s">
        <v>101</v>
      </c>
      <c r="D63" t="s">
        <v>72</v>
      </c>
      <c r="E63" t="s">
        <v>58</v>
      </c>
      <c r="F63">
        <v>453</v>
      </c>
      <c r="G63" t="s">
        <v>62</v>
      </c>
      <c r="H63" t="s">
        <v>63</v>
      </c>
      <c r="I63">
        <v>852</v>
      </c>
    </row>
    <row r="64" spans="1:9" x14ac:dyDescent="0.35">
      <c r="A64" t="s">
        <v>61</v>
      </c>
      <c r="B64">
        <v>107704604</v>
      </c>
      <c r="C64" t="s">
        <v>101</v>
      </c>
      <c r="D64" t="s">
        <v>72</v>
      </c>
      <c r="E64" t="s">
        <v>58</v>
      </c>
      <c r="F64">
        <v>453</v>
      </c>
      <c r="G64" t="s">
        <v>62</v>
      </c>
      <c r="H64" t="s">
        <v>64</v>
      </c>
      <c r="I64">
        <v>2177</v>
      </c>
    </row>
    <row r="65" spans="1:9" x14ac:dyDescent="0.35">
      <c r="A65" t="s">
        <v>61</v>
      </c>
      <c r="B65">
        <v>107704604</v>
      </c>
      <c r="C65" t="s">
        <v>101</v>
      </c>
      <c r="D65" t="s">
        <v>72</v>
      </c>
      <c r="E65" t="s">
        <v>58</v>
      </c>
      <c r="F65">
        <v>453</v>
      </c>
      <c r="G65" t="s">
        <v>68</v>
      </c>
      <c r="H65" t="s">
        <v>67</v>
      </c>
      <c r="I65">
        <v>453</v>
      </c>
    </row>
    <row r="66" spans="1:9" x14ac:dyDescent="0.35">
      <c r="A66" t="s">
        <v>61</v>
      </c>
      <c r="B66">
        <v>107065561</v>
      </c>
      <c r="C66" t="s">
        <v>585</v>
      </c>
      <c r="D66" t="s">
        <v>80</v>
      </c>
      <c r="E66" t="s">
        <v>58</v>
      </c>
      <c r="F66">
        <v>199</v>
      </c>
      <c r="G66" t="s">
        <v>62</v>
      </c>
      <c r="H66" t="s">
        <v>67</v>
      </c>
      <c r="I66">
        <v>1364</v>
      </c>
    </row>
    <row r="67" spans="1:9" x14ac:dyDescent="0.35">
      <c r="A67" t="s">
        <v>61</v>
      </c>
      <c r="B67">
        <v>107065561</v>
      </c>
      <c r="C67" t="s">
        <v>585</v>
      </c>
      <c r="D67" t="s">
        <v>80</v>
      </c>
      <c r="E67" t="s">
        <v>58</v>
      </c>
      <c r="F67">
        <v>199</v>
      </c>
      <c r="G67" t="s">
        <v>62</v>
      </c>
      <c r="H67" t="s">
        <v>63</v>
      </c>
      <c r="I67">
        <v>107</v>
      </c>
    </row>
    <row r="68" spans="1:9" x14ac:dyDescent="0.35">
      <c r="A68" t="s">
        <v>61</v>
      </c>
      <c r="B68">
        <v>107065561</v>
      </c>
      <c r="C68" t="s">
        <v>585</v>
      </c>
      <c r="D68" t="s">
        <v>80</v>
      </c>
      <c r="E68" t="s">
        <v>58</v>
      </c>
      <c r="F68">
        <v>199</v>
      </c>
      <c r="G68" t="s">
        <v>62</v>
      </c>
      <c r="H68" t="s">
        <v>64</v>
      </c>
      <c r="I68">
        <v>1257</v>
      </c>
    </row>
    <row r="69" spans="1:9" x14ac:dyDescent="0.35">
      <c r="A69" t="s">
        <v>61</v>
      </c>
      <c r="B69">
        <v>107065561</v>
      </c>
      <c r="C69" t="s">
        <v>585</v>
      </c>
      <c r="D69" t="s">
        <v>80</v>
      </c>
      <c r="E69" t="s">
        <v>58</v>
      </c>
      <c r="F69">
        <v>199</v>
      </c>
      <c r="G69" t="s">
        <v>68</v>
      </c>
      <c r="H69" t="s">
        <v>67</v>
      </c>
      <c r="I69">
        <v>199</v>
      </c>
    </row>
    <row r="70" spans="1:9" x14ac:dyDescent="0.35">
      <c r="A70" t="s">
        <v>61</v>
      </c>
      <c r="B70">
        <v>107232917</v>
      </c>
      <c r="C70" t="s">
        <v>588</v>
      </c>
      <c r="D70" t="s">
        <v>72</v>
      </c>
      <c r="E70" t="s">
        <v>70</v>
      </c>
      <c r="F70">
        <v>412</v>
      </c>
      <c r="G70" t="s">
        <v>62</v>
      </c>
      <c r="H70" t="s">
        <v>67</v>
      </c>
      <c r="I70">
        <v>2723</v>
      </c>
    </row>
    <row r="71" spans="1:9" x14ac:dyDescent="0.35">
      <c r="A71" t="s">
        <v>61</v>
      </c>
      <c r="B71">
        <v>107232917</v>
      </c>
      <c r="C71" t="s">
        <v>588</v>
      </c>
      <c r="D71" t="s">
        <v>72</v>
      </c>
      <c r="E71" t="s">
        <v>70</v>
      </c>
      <c r="F71">
        <v>412</v>
      </c>
      <c r="G71" t="s">
        <v>62</v>
      </c>
      <c r="H71" t="s">
        <v>63</v>
      </c>
      <c r="I71">
        <v>322</v>
      </c>
    </row>
    <row r="72" spans="1:9" x14ac:dyDescent="0.35">
      <c r="A72" t="s">
        <v>61</v>
      </c>
      <c r="B72">
        <v>107232917</v>
      </c>
      <c r="C72" t="s">
        <v>588</v>
      </c>
      <c r="D72" t="s">
        <v>72</v>
      </c>
      <c r="E72" t="s">
        <v>70</v>
      </c>
      <c r="F72">
        <v>412</v>
      </c>
      <c r="G72" t="s">
        <v>62</v>
      </c>
      <c r="H72" t="s">
        <v>64</v>
      </c>
      <c r="I72">
        <v>2401</v>
      </c>
    </row>
    <row r="73" spans="1:9" x14ac:dyDescent="0.35">
      <c r="A73" t="s">
        <v>61</v>
      </c>
      <c r="B73">
        <v>107232917</v>
      </c>
      <c r="C73" t="s">
        <v>588</v>
      </c>
      <c r="D73" t="s">
        <v>72</v>
      </c>
      <c r="E73" t="s">
        <v>70</v>
      </c>
      <c r="F73">
        <v>412</v>
      </c>
      <c r="G73" t="s">
        <v>68</v>
      </c>
      <c r="H73" t="s">
        <v>67</v>
      </c>
      <c r="I73">
        <v>412</v>
      </c>
    </row>
    <row r="74" spans="1:9" x14ac:dyDescent="0.35">
      <c r="A74" t="s">
        <v>61</v>
      </c>
      <c r="B74">
        <v>107843876</v>
      </c>
      <c r="C74" t="s">
        <v>602</v>
      </c>
      <c r="D74" t="s">
        <v>72</v>
      </c>
      <c r="E74" t="s">
        <v>70</v>
      </c>
      <c r="F74">
        <v>405</v>
      </c>
      <c r="G74" t="s">
        <v>62</v>
      </c>
      <c r="H74" t="s">
        <v>67</v>
      </c>
      <c r="I74">
        <v>3097</v>
      </c>
    </row>
    <row r="75" spans="1:9" x14ac:dyDescent="0.35">
      <c r="A75" t="s">
        <v>61</v>
      </c>
      <c r="B75">
        <v>107843876</v>
      </c>
      <c r="C75" t="s">
        <v>602</v>
      </c>
      <c r="D75" t="s">
        <v>72</v>
      </c>
      <c r="E75" t="s">
        <v>70</v>
      </c>
      <c r="F75">
        <v>405</v>
      </c>
      <c r="G75" t="s">
        <v>62</v>
      </c>
      <c r="H75" t="s">
        <v>63</v>
      </c>
      <c r="I75">
        <v>350</v>
      </c>
    </row>
    <row r="76" spans="1:9" x14ac:dyDescent="0.35">
      <c r="A76" t="s">
        <v>61</v>
      </c>
      <c r="B76">
        <v>107843876</v>
      </c>
      <c r="C76" t="s">
        <v>602</v>
      </c>
      <c r="D76" t="s">
        <v>72</v>
      </c>
      <c r="E76" t="s">
        <v>70</v>
      </c>
      <c r="F76">
        <v>405</v>
      </c>
      <c r="G76" t="s">
        <v>62</v>
      </c>
      <c r="H76" t="s">
        <v>64</v>
      </c>
      <c r="I76">
        <v>2747</v>
      </c>
    </row>
    <row r="77" spans="1:9" x14ac:dyDescent="0.35">
      <c r="A77" t="s">
        <v>61</v>
      </c>
      <c r="B77">
        <v>107843876</v>
      </c>
      <c r="C77" t="s">
        <v>602</v>
      </c>
      <c r="D77" t="s">
        <v>72</v>
      </c>
      <c r="E77" t="s">
        <v>70</v>
      </c>
      <c r="F77">
        <v>405</v>
      </c>
      <c r="G77" t="s">
        <v>68</v>
      </c>
      <c r="H77" t="s">
        <v>67</v>
      </c>
      <c r="I77">
        <v>405</v>
      </c>
    </row>
    <row r="78" spans="1:9" x14ac:dyDescent="0.35">
      <c r="A78" t="s">
        <v>61</v>
      </c>
      <c r="B78">
        <v>106660730</v>
      </c>
      <c r="C78" t="s">
        <v>584</v>
      </c>
      <c r="D78" t="s">
        <v>72</v>
      </c>
      <c r="E78" t="s">
        <v>70</v>
      </c>
      <c r="F78">
        <v>236</v>
      </c>
      <c r="G78" t="s">
        <v>62</v>
      </c>
      <c r="H78" t="s">
        <v>67</v>
      </c>
      <c r="I78">
        <v>1886</v>
      </c>
    </row>
    <row r="79" spans="1:9" x14ac:dyDescent="0.35">
      <c r="A79" t="s">
        <v>61</v>
      </c>
      <c r="B79">
        <v>106660730</v>
      </c>
      <c r="C79" t="s">
        <v>584</v>
      </c>
      <c r="D79" t="s">
        <v>72</v>
      </c>
      <c r="E79" t="s">
        <v>70</v>
      </c>
      <c r="F79">
        <v>236</v>
      </c>
      <c r="G79" t="s">
        <v>62</v>
      </c>
      <c r="H79" t="s">
        <v>63</v>
      </c>
      <c r="I79">
        <v>652</v>
      </c>
    </row>
    <row r="80" spans="1:9" x14ac:dyDescent="0.35">
      <c r="A80" t="s">
        <v>61</v>
      </c>
      <c r="B80">
        <v>106660730</v>
      </c>
      <c r="C80" t="s">
        <v>584</v>
      </c>
      <c r="D80" t="s">
        <v>72</v>
      </c>
      <c r="E80" t="s">
        <v>70</v>
      </c>
      <c r="F80">
        <v>236</v>
      </c>
      <c r="G80" t="s">
        <v>62</v>
      </c>
      <c r="H80" t="s">
        <v>64</v>
      </c>
      <c r="I80">
        <v>1192</v>
      </c>
    </row>
    <row r="81" spans="1:9" x14ac:dyDescent="0.35">
      <c r="A81" t="s">
        <v>61</v>
      </c>
      <c r="B81">
        <v>106660730</v>
      </c>
      <c r="C81" t="s">
        <v>584</v>
      </c>
      <c r="D81" t="s">
        <v>72</v>
      </c>
      <c r="E81" t="s">
        <v>70</v>
      </c>
      <c r="F81">
        <v>236</v>
      </c>
      <c r="G81" t="s">
        <v>62</v>
      </c>
      <c r="H81" t="s">
        <v>65</v>
      </c>
      <c r="I81">
        <v>42</v>
      </c>
    </row>
    <row r="82" spans="1:9" x14ac:dyDescent="0.35">
      <c r="A82" t="s">
        <v>61</v>
      </c>
      <c r="B82">
        <v>106660730</v>
      </c>
      <c r="C82" t="s">
        <v>584</v>
      </c>
      <c r="D82" t="s">
        <v>72</v>
      </c>
      <c r="E82" t="s">
        <v>70</v>
      </c>
      <c r="F82">
        <v>236</v>
      </c>
      <c r="G82" t="s">
        <v>68</v>
      </c>
      <c r="H82" t="s">
        <v>67</v>
      </c>
      <c r="I82">
        <v>236</v>
      </c>
    </row>
    <row r="83" spans="1:9" x14ac:dyDescent="0.35">
      <c r="A83" t="s">
        <v>61</v>
      </c>
      <c r="B83">
        <v>100753604</v>
      </c>
      <c r="C83" t="s">
        <v>71</v>
      </c>
      <c r="D83" t="s">
        <v>72</v>
      </c>
      <c r="E83" t="s">
        <v>70</v>
      </c>
      <c r="F83">
        <v>508</v>
      </c>
      <c r="G83" t="s">
        <v>62</v>
      </c>
      <c r="H83" t="s">
        <v>67</v>
      </c>
      <c r="I83">
        <v>3692</v>
      </c>
    </row>
    <row r="84" spans="1:9" x14ac:dyDescent="0.35">
      <c r="A84" t="s">
        <v>61</v>
      </c>
      <c r="B84">
        <v>100753604</v>
      </c>
      <c r="C84" t="s">
        <v>71</v>
      </c>
      <c r="D84" t="s">
        <v>72</v>
      </c>
      <c r="E84" t="s">
        <v>70</v>
      </c>
      <c r="F84">
        <v>508</v>
      </c>
      <c r="G84" t="s">
        <v>62</v>
      </c>
      <c r="H84" t="s">
        <v>63</v>
      </c>
      <c r="I84">
        <v>327</v>
      </c>
    </row>
    <row r="85" spans="1:9" x14ac:dyDescent="0.35">
      <c r="A85" t="s">
        <v>61</v>
      </c>
      <c r="B85">
        <v>100753604</v>
      </c>
      <c r="C85" t="s">
        <v>71</v>
      </c>
      <c r="D85" t="s">
        <v>72</v>
      </c>
      <c r="E85" t="s">
        <v>70</v>
      </c>
      <c r="F85">
        <v>508</v>
      </c>
      <c r="G85" t="s">
        <v>62</v>
      </c>
      <c r="H85" t="s">
        <v>64</v>
      </c>
      <c r="I85">
        <v>3344</v>
      </c>
    </row>
    <row r="86" spans="1:9" x14ac:dyDescent="0.35">
      <c r="A86" t="s">
        <v>61</v>
      </c>
      <c r="B86">
        <v>100753604</v>
      </c>
      <c r="C86" t="s">
        <v>71</v>
      </c>
      <c r="D86" t="s">
        <v>72</v>
      </c>
      <c r="E86" t="s">
        <v>70</v>
      </c>
      <c r="F86">
        <v>508</v>
      </c>
      <c r="G86" t="s">
        <v>62</v>
      </c>
      <c r="H86" t="s">
        <v>65</v>
      </c>
      <c r="I86">
        <v>21</v>
      </c>
    </row>
    <row r="87" spans="1:9" x14ac:dyDescent="0.35">
      <c r="A87" t="s">
        <v>61</v>
      </c>
      <c r="B87">
        <v>100753604</v>
      </c>
      <c r="C87" t="s">
        <v>71</v>
      </c>
      <c r="D87" t="s">
        <v>72</v>
      </c>
      <c r="E87" t="s">
        <v>70</v>
      </c>
      <c r="F87">
        <v>508</v>
      </c>
      <c r="G87" t="s">
        <v>68</v>
      </c>
      <c r="H87" t="s">
        <v>67</v>
      </c>
      <c r="I87">
        <v>508</v>
      </c>
    </row>
    <row r="88" spans="1:9" x14ac:dyDescent="0.35">
      <c r="A88" t="s">
        <v>61</v>
      </c>
      <c r="B88">
        <v>107826201</v>
      </c>
      <c r="C88" t="s">
        <v>598</v>
      </c>
      <c r="D88" t="s">
        <v>60</v>
      </c>
      <c r="E88" t="s">
        <v>58</v>
      </c>
      <c r="F88">
        <v>396</v>
      </c>
      <c r="G88" t="s">
        <v>62</v>
      </c>
      <c r="H88" t="s">
        <v>67</v>
      </c>
      <c r="I88">
        <v>2463</v>
      </c>
    </row>
    <row r="89" spans="1:9" x14ac:dyDescent="0.35">
      <c r="A89" t="s">
        <v>61</v>
      </c>
      <c r="B89">
        <v>107826201</v>
      </c>
      <c r="C89" t="s">
        <v>598</v>
      </c>
      <c r="D89" t="s">
        <v>60</v>
      </c>
      <c r="E89" t="s">
        <v>58</v>
      </c>
      <c r="F89">
        <v>396</v>
      </c>
      <c r="G89" t="s">
        <v>62</v>
      </c>
      <c r="H89" t="s">
        <v>63</v>
      </c>
      <c r="I89">
        <v>293</v>
      </c>
    </row>
    <row r="90" spans="1:9" x14ac:dyDescent="0.35">
      <c r="A90" t="s">
        <v>61</v>
      </c>
      <c r="B90">
        <v>107826201</v>
      </c>
      <c r="C90" t="s">
        <v>598</v>
      </c>
      <c r="D90" t="s">
        <v>60</v>
      </c>
      <c r="E90" t="s">
        <v>58</v>
      </c>
      <c r="F90">
        <v>396</v>
      </c>
      <c r="G90" t="s">
        <v>62</v>
      </c>
      <c r="H90" t="s">
        <v>64</v>
      </c>
      <c r="I90">
        <v>2170</v>
      </c>
    </row>
    <row r="91" spans="1:9" x14ac:dyDescent="0.35">
      <c r="A91" t="s">
        <v>61</v>
      </c>
      <c r="B91">
        <v>107826201</v>
      </c>
      <c r="C91" t="s">
        <v>598</v>
      </c>
      <c r="D91" t="s">
        <v>60</v>
      </c>
      <c r="E91" t="s">
        <v>58</v>
      </c>
      <c r="F91">
        <v>396</v>
      </c>
      <c r="G91" t="s">
        <v>68</v>
      </c>
      <c r="H91" t="s">
        <v>67</v>
      </c>
      <c r="I91">
        <v>396</v>
      </c>
    </row>
    <row r="92" spans="1:9" x14ac:dyDescent="0.35">
      <c r="A92" t="s">
        <v>61</v>
      </c>
      <c r="B92">
        <v>107674648</v>
      </c>
      <c r="C92" t="s">
        <v>100</v>
      </c>
      <c r="D92" t="s">
        <v>72</v>
      </c>
      <c r="E92" t="s">
        <v>70</v>
      </c>
      <c r="F92">
        <v>318</v>
      </c>
      <c r="G92" t="s">
        <v>62</v>
      </c>
      <c r="H92" t="s">
        <v>67</v>
      </c>
      <c r="I92">
        <v>1453</v>
      </c>
    </row>
    <row r="93" spans="1:9" x14ac:dyDescent="0.35">
      <c r="A93" t="s">
        <v>61</v>
      </c>
      <c r="B93">
        <v>107674648</v>
      </c>
      <c r="C93" t="s">
        <v>100</v>
      </c>
      <c r="D93" t="s">
        <v>72</v>
      </c>
      <c r="E93" t="s">
        <v>70</v>
      </c>
      <c r="F93">
        <v>318</v>
      </c>
      <c r="G93" t="s">
        <v>62</v>
      </c>
      <c r="H93" t="s">
        <v>63</v>
      </c>
      <c r="I93">
        <v>88</v>
      </c>
    </row>
    <row r="94" spans="1:9" x14ac:dyDescent="0.35">
      <c r="A94" t="s">
        <v>61</v>
      </c>
      <c r="B94">
        <v>107674648</v>
      </c>
      <c r="C94" t="s">
        <v>100</v>
      </c>
      <c r="D94" t="s">
        <v>72</v>
      </c>
      <c r="E94" t="s">
        <v>70</v>
      </c>
      <c r="F94">
        <v>318</v>
      </c>
      <c r="G94" t="s">
        <v>62</v>
      </c>
      <c r="H94" t="s">
        <v>64</v>
      </c>
      <c r="I94">
        <v>1365</v>
      </c>
    </row>
    <row r="95" spans="1:9" x14ac:dyDescent="0.35">
      <c r="A95" t="s">
        <v>61</v>
      </c>
      <c r="B95">
        <v>107674648</v>
      </c>
      <c r="C95" t="s">
        <v>100</v>
      </c>
      <c r="D95" t="s">
        <v>72</v>
      </c>
      <c r="E95" t="s">
        <v>70</v>
      </c>
      <c r="F95">
        <v>318</v>
      </c>
      <c r="G95" t="s">
        <v>68</v>
      </c>
      <c r="H95" t="s">
        <v>67</v>
      </c>
      <c r="I95">
        <v>318</v>
      </c>
    </row>
    <row r="96" spans="1:9" x14ac:dyDescent="0.35">
      <c r="A96" t="s">
        <v>61</v>
      </c>
      <c r="B96">
        <v>107775521</v>
      </c>
      <c r="C96" t="s">
        <v>107</v>
      </c>
      <c r="D96" t="s">
        <v>72</v>
      </c>
      <c r="E96" t="s">
        <v>70</v>
      </c>
      <c r="F96">
        <v>499</v>
      </c>
      <c r="G96" t="s">
        <v>62</v>
      </c>
      <c r="H96" t="s">
        <v>67</v>
      </c>
      <c r="I96">
        <v>2553</v>
      </c>
    </row>
    <row r="97" spans="1:9" x14ac:dyDescent="0.35">
      <c r="A97" t="s">
        <v>61</v>
      </c>
      <c r="B97">
        <v>107775521</v>
      </c>
      <c r="C97" t="s">
        <v>107</v>
      </c>
      <c r="D97" t="s">
        <v>72</v>
      </c>
      <c r="E97" t="s">
        <v>70</v>
      </c>
      <c r="F97">
        <v>499</v>
      </c>
      <c r="G97" t="s">
        <v>62</v>
      </c>
      <c r="H97" t="s">
        <v>63</v>
      </c>
      <c r="I97">
        <v>230</v>
      </c>
    </row>
    <row r="98" spans="1:9" x14ac:dyDescent="0.35">
      <c r="A98" t="s">
        <v>61</v>
      </c>
      <c r="B98">
        <v>107775521</v>
      </c>
      <c r="C98" t="s">
        <v>107</v>
      </c>
      <c r="D98" t="s">
        <v>72</v>
      </c>
      <c r="E98" t="s">
        <v>70</v>
      </c>
      <c r="F98">
        <v>499</v>
      </c>
      <c r="G98" t="s">
        <v>62</v>
      </c>
      <c r="H98" t="s">
        <v>64</v>
      </c>
      <c r="I98">
        <v>2323</v>
      </c>
    </row>
    <row r="99" spans="1:9" x14ac:dyDescent="0.35">
      <c r="A99" t="s">
        <v>61</v>
      </c>
      <c r="B99">
        <v>107775521</v>
      </c>
      <c r="C99" t="s">
        <v>107</v>
      </c>
      <c r="D99" t="s">
        <v>72</v>
      </c>
      <c r="E99" t="s">
        <v>70</v>
      </c>
      <c r="F99">
        <v>499</v>
      </c>
      <c r="G99" t="s">
        <v>68</v>
      </c>
      <c r="H99" t="s">
        <v>67</v>
      </c>
      <c r="I99">
        <v>499</v>
      </c>
    </row>
    <row r="100" spans="1:9" x14ac:dyDescent="0.35">
      <c r="A100" t="s">
        <v>61</v>
      </c>
      <c r="B100">
        <v>107775986</v>
      </c>
      <c r="C100" t="s">
        <v>108</v>
      </c>
      <c r="D100" t="s">
        <v>72</v>
      </c>
      <c r="E100" t="s">
        <v>70</v>
      </c>
      <c r="F100">
        <v>409</v>
      </c>
      <c r="G100" t="s">
        <v>62</v>
      </c>
      <c r="H100" t="s">
        <v>67</v>
      </c>
      <c r="I100">
        <v>3391</v>
      </c>
    </row>
    <row r="101" spans="1:9" x14ac:dyDescent="0.35">
      <c r="A101" t="s">
        <v>61</v>
      </c>
      <c r="B101">
        <v>107775986</v>
      </c>
      <c r="C101" t="s">
        <v>108</v>
      </c>
      <c r="D101" t="s">
        <v>72</v>
      </c>
      <c r="E101" t="s">
        <v>70</v>
      </c>
      <c r="F101">
        <v>409</v>
      </c>
      <c r="G101" t="s">
        <v>62</v>
      </c>
      <c r="H101" t="s">
        <v>63</v>
      </c>
      <c r="I101">
        <v>876</v>
      </c>
    </row>
    <row r="102" spans="1:9" x14ac:dyDescent="0.35">
      <c r="A102" t="s">
        <v>61</v>
      </c>
      <c r="B102">
        <v>107775986</v>
      </c>
      <c r="C102" t="s">
        <v>108</v>
      </c>
      <c r="D102" t="s">
        <v>72</v>
      </c>
      <c r="E102" t="s">
        <v>70</v>
      </c>
      <c r="F102">
        <v>409</v>
      </c>
      <c r="G102" t="s">
        <v>62</v>
      </c>
      <c r="H102" t="s">
        <v>64</v>
      </c>
      <c r="I102">
        <v>2491</v>
      </c>
    </row>
    <row r="103" spans="1:9" x14ac:dyDescent="0.35">
      <c r="A103" t="s">
        <v>61</v>
      </c>
      <c r="B103">
        <v>107775986</v>
      </c>
      <c r="C103" t="s">
        <v>108</v>
      </c>
      <c r="D103" t="s">
        <v>72</v>
      </c>
      <c r="E103" t="s">
        <v>70</v>
      </c>
      <c r="F103">
        <v>409</v>
      </c>
      <c r="G103" t="s">
        <v>62</v>
      </c>
      <c r="H103" t="s">
        <v>65</v>
      </c>
      <c r="I103">
        <v>24</v>
      </c>
    </row>
    <row r="104" spans="1:9" x14ac:dyDescent="0.35">
      <c r="A104" t="s">
        <v>61</v>
      </c>
      <c r="B104">
        <v>107775986</v>
      </c>
      <c r="C104" t="s">
        <v>108</v>
      </c>
      <c r="D104" t="s">
        <v>72</v>
      </c>
      <c r="E104" t="s">
        <v>70</v>
      </c>
      <c r="F104">
        <v>409</v>
      </c>
      <c r="G104" t="s">
        <v>68</v>
      </c>
      <c r="H104" t="s">
        <v>67</v>
      </c>
      <c r="I104">
        <v>409</v>
      </c>
    </row>
    <row r="105" spans="1:9" x14ac:dyDescent="0.35">
      <c r="A105" t="s">
        <v>61</v>
      </c>
      <c r="B105">
        <v>102476407</v>
      </c>
      <c r="C105" t="s">
        <v>74</v>
      </c>
      <c r="D105" t="s">
        <v>75</v>
      </c>
      <c r="E105" t="s">
        <v>58</v>
      </c>
      <c r="F105">
        <v>425</v>
      </c>
      <c r="G105" t="s">
        <v>62</v>
      </c>
      <c r="H105" t="s">
        <v>67</v>
      </c>
      <c r="I105">
        <v>1567</v>
      </c>
    </row>
    <row r="106" spans="1:9" x14ac:dyDescent="0.35">
      <c r="A106" t="s">
        <v>61</v>
      </c>
      <c r="B106">
        <v>102476407</v>
      </c>
      <c r="C106" t="s">
        <v>74</v>
      </c>
      <c r="D106" t="s">
        <v>75</v>
      </c>
      <c r="E106" t="s">
        <v>58</v>
      </c>
      <c r="F106">
        <v>425</v>
      </c>
      <c r="G106" t="s">
        <v>62</v>
      </c>
      <c r="H106" t="s">
        <v>63</v>
      </c>
      <c r="I106">
        <v>121</v>
      </c>
    </row>
    <row r="107" spans="1:9" x14ac:dyDescent="0.35">
      <c r="A107" t="s">
        <v>61</v>
      </c>
      <c r="B107">
        <v>102476407</v>
      </c>
      <c r="C107" t="s">
        <v>74</v>
      </c>
      <c r="D107" t="s">
        <v>75</v>
      </c>
      <c r="E107" t="s">
        <v>58</v>
      </c>
      <c r="F107">
        <v>425</v>
      </c>
      <c r="G107" t="s">
        <v>62</v>
      </c>
      <c r="H107" t="s">
        <v>64</v>
      </c>
      <c r="I107">
        <v>1426</v>
      </c>
    </row>
    <row r="108" spans="1:9" x14ac:dyDescent="0.35">
      <c r="A108" t="s">
        <v>61</v>
      </c>
      <c r="B108">
        <v>102476407</v>
      </c>
      <c r="C108" t="s">
        <v>74</v>
      </c>
      <c r="D108" t="s">
        <v>75</v>
      </c>
      <c r="E108" t="s">
        <v>58</v>
      </c>
      <c r="F108">
        <v>425</v>
      </c>
      <c r="G108" t="s">
        <v>62</v>
      </c>
      <c r="H108" t="s">
        <v>65</v>
      </c>
      <c r="I108">
        <v>20</v>
      </c>
    </row>
    <row r="109" spans="1:9" x14ac:dyDescent="0.35">
      <c r="A109" t="s">
        <v>61</v>
      </c>
      <c r="B109">
        <v>102476407</v>
      </c>
      <c r="C109" t="s">
        <v>74</v>
      </c>
      <c r="D109" t="s">
        <v>75</v>
      </c>
      <c r="E109" t="s">
        <v>58</v>
      </c>
      <c r="F109">
        <v>425</v>
      </c>
      <c r="G109" t="s">
        <v>68</v>
      </c>
      <c r="H109" t="s">
        <v>67</v>
      </c>
      <c r="I109">
        <v>425</v>
      </c>
    </row>
    <row r="110" spans="1:9" x14ac:dyDescent="0.35">
      <c r="A110" t="s">
        <v>61</v>
      </c>
      <c r="B110">
        <v>107348340</v>
      </c>
      <c r="C110" t="s">
        <v>594</v>
      </c>
      <c r="D110" t="s">
        <v>80</v>
      </c>
      <c r="E110" t="s">
        <v>58</v>
      </c>
      <c r="F110">
        <v>121</v>
      </c>
      <c r="G110" t="s">
        <v>62</v>
      </c>
      <c r="H110" t="s">
        <v>67</v>
      </c>
      <c r="I110">
        <v>1240</v>
      </c>
    </row>
    <row r="111" spans="1:9" x14ac:dyDescent="0.35">
      <c r="A111" t="s">
        <v>61</v>
      </c>
      <c r="B111">
        <v>107348340</v>
      </c>
      <c r="C111" t="s">
        <v>594</v>
      </c>
      <c r="D111" t="s">
        <v>80</v>
      </c>
      <c r="E111" t="s">
        <v>58</v>
      </c>
      <c r="F111">
        <v>121</v>
      </c>
      <c r="G111" t="s">
        <v>62</v>
      </c>
      <c r="H111" t="s">
        <v>63</v>
      </c>
      <c r="I111">
        <v>433</v>
      </c>
    </row>
    <row r="112" spans="1:9" x14ac:dyDescent="0.35">
      <c r="A112" t="s">
        <v>61</v>
      </c>
      <c r="B112">
        <v>107348340</v>
      </c>
      <c r="C112" t="s">
        <v>594</v>
      </c>
      <c r="D112" t="s">
        <v>80</v>
      </c>
      <c r="E112" t="s">
        <v>58</v>
      </c>
      <c r="F112">
        <v>121</v>
      </c>
      <c r="G112" t="s">
        <v>62</v>
      </c>
      <c r="H112" t="s">
        <v>64</v>
      </c>
      <c r="I112">
        <v>807</v>
      </c>
    </row>
    <row r="113" spans="1:9" x14ac:dyDescent="0.35">
      <c r="A113" t="s">
        <v>61</v>
      </c>
      <c r="B113">
        <v>107348340</v>
      </c>
      <c r="C113" t="s">
        <v>594</v>
      </c>
      <c r="D113" t="s">
        <v>80</v>
      </c>
      <c r="E113" t="s">
        <v>58</v>
      </c>
      <c r="F113">
        <v>121</v>
      </c>
      <c r="G113" t="s">
        <v>68</v>
      </c>
      <c r="H113" t="s">
        <v>67</v>
      </c>
      <c r="I113">
        <v>122</v>
      </c>
    </row>
    <row r="114" spans="1:9" x14ac:dyDescent="0.35">
      <c r="A114" t="s">
        <v>61</v>
      </c>
      <c r="B114">
        <v>107775413</v>
      </c>
      <c r="C114" t="s">
        <v>106</v>
      </c>
      <c r="D114" t="s">
        <v>72</v>
      </c>
      <c r="E114" t="s">
        <v>58</v>
      </c>
      <c r="F114">
        <v>210</v>
      </c>
      <c r="G114" t="s">
        <v>62</v>
      </c>
      <c r="H114" t="s">
        <v>67</v>
      </c>
      <c r="I114">
        <v>1909</v>
      </c>
    </row>
    <row r="115" spans="1:9" x14ac:dyDescent="0.35">
      <c r="A115" t="s">
        <v>61</v>
      </c>
      <c r="B115">
        <v>107775413</v>
      </c>
      <c r="C115" t="s">
        <v>106</v>
      </c>
      <c r="D115" t="s">
        <v>72</v>
      </c>
      <c r="E115" t="s">
        <v>58</v>
      </c>
      <c r="F115">
        <v>210</v>
      </c>
      <c r="G115" t="s">
        <v>62</v>
      </c>
      <c r="H115" t="s">
        <v>63</v>
      </c>
      <c r="I115">
        <v>868</v>
      </c>
    </row>
    <row r="116" spans="1:9" x14ac:dyDescent="0.35">
      <c r="A116" t="s">
        <v>61</v>
      </c>
      <c r="B116">
        <v>107775413</v>
      </c>
      <c r="C116" t="s">
        <v>106</v>
      </c>
      <c r="D116" t="s">
        <v>72</v>
      </c>
      <c r="E116" t="s">
        <v>58</v>
      </c>
      <c r="F116">
        <v>210</v>
      </c>
      <c r="G116" t="s">
        <v>62</v>
      </c>
      <c r="H116" t="s">
        <v>64</v>
      </c>
      <c r="I116">
        <v>1041</v>
      </c>
    </row>
    <row r="117" spans="1:9" x14ac:dyDescent="0.35">
      <c r="A117" t="s">
        <v>61</v>
      </c>
      <c r="B117">
        <v>107775413</v>
      </c>
      <c r="C117" t="s">
        <v>106</v>
      </c>
      <c r="D117" t="s">
        <v>72</v>
      </c>
      <c r="E117" t="s">
        <v>58</v>
      </c>
      <c r="F117">
        <v>210</v>
      </c>
      <c r="G117" t="s">
        <v>68</v>
      </c>
      <c r="H117" t="s">
        <v>67</v>
      </c>
      <c r="I117">
        <v>210</v>
      </c>
    </row>
    <row r="118" spans="1:9" x14ac:dyDescent="0.35">
      <c r="A118" t="s">
        <v>61</v>
      </c>
      <c r="B118">
        <v>107233200</v>
      </c>
      <c r="C118" t="s">
        <v>591</v>
      </c>
      <c r="D118" t="s">
        <v>72</v>
      </c>
      <c r="E118" t="s">
        <v>70</v>
      </c>
      <c r="F118">
        <v>439</v>
      </c>
      <c r="G118" t="s">
        <v>62</v>
      </c>
      <c r="H118" t="s">
        <v>67</v>
      </c>
      <c r="I118">
        <v>3183</v>
      </c>
    </row>
    <row r="119" spans="1:9" x14ac:dyDescent="0.35">
      <c r="A119" t="s">
        <v>61</v>
      </c>
      <c r="B119">
        <v>107233200</v>
      </c>
      <c r="C119" t="s">
        <v>591</v>
      </c>
      <c r="D119" t="s">
        <v>72</v>
      </c>
      <c r="E119" t="s">
        <v>70</v>
      </c>
      <c r="F119">
        <v>439</v>
      </c>
      <c r="G119" t="s">
        <v>62</v>
      </c>
      <c r="H119" t="s">
        <v>63</v>
      </c>
      <c r="I119">
        <v>276</v>
      </c>
    </row>
    <row r="120" spans="1:9" x14ac:dyDescent="0.35">
      <c r="A120" t="s">
        <v>61</v>
      </c>
      <c r="B120">
        <v>107233200</v>
      </c>
      <c r="C120" t="s">
        <v>591</v>
      </c>
      <c r="D120" t="s">
        <v>72</v>
      </c>
      <c r="E120" t="s">
        <v>70</v>
      </c>
      <c r="F120">
        <v>439</v>
      </c>
      <c r="G120" t="s">
        <v>62</v>
      </c>
      <c r="H120" t="s">
        <v>64</v>
      </c>
      <c r="I120">
        <v>2907</v>
      </c>
    </row>
    <row r="121" spans="1:9" x14ac:dyDescent="0.35">
      <c r="A121" t="s">
        <v>61</v>
      </c>
      <c r="B121">
        <v>107233200</v>
      </c>
      <c r="C121" t="s">
        <v>591</v>
      </c>
      <c r="D121" t="s">
        <v>72</v>
      </c>
      <c r="E121" t="s">
        <v>70</v>
      </c>
      <c r="F121">
        <v>439</v>
      </c>
      <c r="G121" t="s">
        <v>68</v>
      </c>
      <c r="H121" t="s">
        <v>67</v>
      </c>
      <c r="I121">
        <v>439</v>
      </c>
    </row>
    <row r="122" spans="1:9" x14ac:dyDescent="0.35">
      <c r="A122" t="s">
        <v>61</v>
      </c>
      <c r="B122">
        <v>104378003</v>
      </c>
      <c r="C122" t="s">
        <v>582</v>
      </c>
      <c r="D122" t="s">
        <v>72</v>
      </c>
      <c r="E122" t="s">
        <v>70</v>
      </c>
      <c r="F122">
        <v>157</v>
      </c>
      <c r="G122" t="s">
        <v>62</v>
      </c>
      <c r="H122" t="s">
        <v>67</v>
      </c>
      <c r="I122">
        <v>1039</v>
      </c>
    </row>
    <row r="123" spans="1:9" x14ac:dyDescent="0.35">
      <c r="A123" t="s">
        <v>61</v>
      </c>
      <c r="B123">
        <v>104378003</v>
      </c>
      <c r="C123" t="s">
        <v>582</v>
      </c>
      <c r="D123" t="s">
        <v>72</v>
      </c>
      <c r="E123" t="s">
        <v>70</v>
      </c>
      <c r="F123">
        <v>157</v>
      </c>
      <c r="G123" t="s">
        <v>62</v>
      </c>
      <c r="H123" t="s">
        <v>63</v>
      </c>
      <c r="I123">
        <v>106</v>
      </c>
    </row>
    <row r="124" spans="1:9" x14ac:dyDescent="0.35">
      <c r="A124" t="s">
        <v>61</v>
      </c>
      <c r="B124">
        <v>104378003</v>
      </c>
      <c r="C124" t="s">
        <v>582</v>
      </c>
      <c r="D124" t="s">
        <v>72</v>
      </c>
      <c r="E124" t="s">
        <v>70</v>
      </c>
      <c r="F124">
        <v>157</v>
      </c>
      <c r="G124" t="s">
        <v>62</v>
      </c>
      <c r="H124" t="s">
        <v>64</v>
      </c>
      <c r="I124">
        <v>933</v>
      </c>
    </row>
    <row r="125" spans="1:9" x14ac:dyDescent="0.35">
      <c r="A125" t="s">
        <v>61</v>
      </c>
      <c r="B125">
        <v>104378003</v>
      </c>
      <c r="C125" t="s">
        <v>582</v>
      </c>
      <c r="D125" t="s">
        <v>72</v>
      </c>
      <c r="E125" t="s">
        <v>70</v>
      </c>
      <c r="F125">
        <v>157</v>
      </c>
      <c r="G125" t="s">
        <v>68</v>
      </c>
      <c r="H125" t="s">
        <v>67</v>
      </c>
      <c r="I125">
        <v>157</v>
      </c>
    </row>
    <row r="126" spans="1:9" x14ac:dyDescent="0.35">
      <c r="A126" t="s">
        <v>61</v>
      </c>
      <c r="B126">
        <v>107826193</v>
      </c>
      <c r="C126" t="s">
        <v>597</v>
      </c>
      <c r="D126" t="s">
        <v>60</v>
      </c>
      <c r="E126" t="s">
        <v>58</v>
      </c>
      <c r="F126">
        <v>188</v>
      </c>
      <c r="G126" t="s">
        <v>62</v>
      </c>
      <c r="H126" t="s">
        <v>67</v>
      </c>
      <c r="I126">
        <v>1447</v>
      </c>
    </row>
    <row r="127" spans="1:9" x14ac:dyDescent="0.35">
      <c r="A127" t="s">
        <v>61</v>
      </c>
      <c r="B127">
        <v>107826193</v>
      </c>
      <c r="C127" t="s">
        <v>597</v>
      </c>
      <c r="D127" t="s">
        <v>60</v>
      </c>
      <c r="E127" t="s">
        <v>58</v>
      </c>
      <c r="F127">
        <v>188</v>
      </c>
      <c r="G127" t="s">
        <v>62</v>
      </c>
      <c r="H127" t="s">
        <v>63</v>
      </c>
      <c r="I127">
        <v>244</v>
      </c>
    </row>
    <row r="128" spans="1:9" x14ac:dyDescent="0.35">
      <c r="A128" t="s">
        <v>61</v>
      </c>
      <c r="B128">
        <v>107826193</v>
      </c>
      <c r="C128" t="s">
        <v>597</v>
      </c>
      <c r="D128" t="s">
        <v>60</v>
      </c>
      <c r="E128" t="s">
        <v>58</v>
      </c>
      <c r="F128">
        <v>188</v>
      </c>
      <c r="G128" t="s">
        <v>62</v>
      </c>
      <c r="H128" t="s">
        <v>64</v>
      </c>
      <c r="I128">
        <v>1203</v>
      </c>
    </row>
    <row r="129" spans="1:9" x14ac:dyDescent="0.35">
      <c r="A129" t="s">
        <v>61</v>
      </c>
      <c r="B129">
        <v>107826193</v>
      </c>
      <c r="C129" t="s">
        <v>597</v>
      </c>
      <c r="D129" t="s">
        <v>60</v>
      </c>
      <c r="E129" t="s">
        <v>58</v>
      </c>
      <c r="F129">
        <v>188</v>
      </c>
      <c r="G129" t="s">
        <v>68</v>
      </c>
      <c r="H129" t="s">
        <v>67</v>
      </c>
      <c r="I129">
        <v>188</v>
      </c>
    </row>
    <row r="130" spans="1:9" x14ac:dyDescent="0.35">
      <c r="A130" t="s">
        <v>61</v>
      </c>
      <c r="B130">
        <v>107102430</v>
      </c>
      <c r="C130" t="s">
        <v>90</v>
      </c>
      <c r="D130" t="s">
        <v>72</v>
      </c>
      <c r="E130" t="s">
        <v>70</v>
      </c>
      <c r="F130">
        <v>455</v>
      </c>
      <c r="G130" t="s">
        <v>62</v>
      </c>
      <c r="H130" t="s">
        <v>67</v>
      </c>
      <c r="I130">
        <v>3062</v>
      </c>
    </row>
    <row r="131" spans="1:9" x14ac:dyDescent="0.35">
      <c r="A131" t="s">
        <v>61</v>
      </c>
      <c r="B131">
        <v>107102430</v>
      </c>
      <c r="C131" t="s">
        <v>90</v>
      </c>
      <c r="D131" t="s">
        <v>72</v>
      </c>
      <c r="E131" t="s">
        <v>70</v>
      </c>
      <c r="F131">
        <v>455</v>
      </c>
      <c r="G131" t="s">
        <v>62</v>
      </c>
      <c r="H131" t="s">
        <v>63</v>
      </c>
      <c r="I131">
        <v>443</v>
      </c>
    </row>
    <row r="132" spans="1:9" x14ac:dyDescent="0.35">
      <c r="A132" t="s">
        <v>61</v>
      </c>
      <c r="B132">
        <v>107102430</v>
      </c>
      <c r="C132" t="s">
        <v>90</v>
      </c>
      <c r="D132" t="s">
        <v>72</v>
      </c>
      <c r="E132" t="s">
        <v>70</v>
      </c>
      <c r="F132">
        <v>455</v>
      </c>
      <c r="G132" t="s">
        <v>62</v>
      </c>
      <c r="H132" t="s">
        <v>64</v>
      </c>
      <c r="I132">
        <v>2614</v>
      </c>
    </row>
    <row r="133" spans="1:9" x14ac:dyDescent="0.35">
      <c r="A133" t="s">
        <v>61</v>
      </c>
      <c r="B133">
        <v>107102430</v>
      </c>
      <c r="C133" t="s">
        <v>90</v>
      </c>
      <c r="D133" t="s">
        <v>72</v>
      </c>
      <c r="E133" t="s">
        <v>70</v>
      </c>
      <c r="F133">
        <v>455</v>
      </c>
      <c r="G133" t="s">
        <v>62</v>
      </c>
      <c r="H133" t="s">
        <v>65</v>
      </c>
      <c r="I133">
        <v>5</v>
      </c>
    </row>
    <row r="134" spans="1:9" x14ac:dyDescent="0.35">
      <c r="A134" t="s">
        <v>61</v>
      </c>
      <c r="B134">
        <v>107102430</v>
      </c>
      <c r="C134" t="s">
        <v>90</v>
      </c>
      <c r="D134" t="s">
        <v>72</v>
      </c>
      <c r="E134" t="s">
        <v>70</v>
      </c>
      <c r="F134">
        <v>455</v>
      </c>
      <c r="G134" t="s">
        <v>68</v>
      </c>
      <c r="H134" t="s">
        <v>67</v>
      </c>
      <c r="I134">
        <v>455</v>
      </c>
    </row>
    <row r="135" spans="1:9" x14ac:dyDescent="0.35">
      <c r="A135" t="s">
        <v>61</v>
      </c>
      <c r="B135">
        <v>107264616</v>
      </c>
      <c r="C135" t="s">
        <v>592</v>
      </c>
      <c r="D135" t="s">
        <v>72</v>
      </c>
      <c r="E135" t="s">
        <v>70</v>
      </c>
      <c r="F135">
        <v>312</v>
      </c>
      <c r="G135" t="s">
        <v>62</v>
      </c>
      <c r="H135" t="s">
        <v>67</v>
      </c>
      <c r="I135">
        <v>2166</v>
      </c>
    </row>
    <row r="136" spans="1:9" x14ac:dyDescent="0.35">
      <c r="A136" t="s">
        <v>61</v>
      </c>
      <c r="B136">
        <v>107264616</v>
      </c>
      <c r="C136" t="s">
        <v>592</v>
      </c>
      <c r="D136" t="s">
        <v>72</v>
      </c>
      <c r="E136" t="s">
        <v>70</v>
      </c>
      <c r="F136">
        <v>312</v>
      </c>
      <c r="G136" t="s">
        <v>62</v>
      </c>
      <c r="H136" t="s">
        <v>63</v>
      </c>
      <c r="I136">
        <v>500</v>
      </c>
    </row>
    <row r="137" spans="1:9" x14ac:dyDescent="0.35">
      <c r="A137" t="s">
        <v>61</v>
      </c>
      <c r="B137">
        <v>107264616</v>
      </c>
      <c r="C137" t="s">
        <v>592</v>
      </c>
      <c r="D137" t="s">
        <v>72</v>
      </c>
      <c r="E137" t="s">
        <v>70</v>
      </c>
      <c r="F137">
        <v>312</v>
      </c>
      <c r="G137" t="s">
        <v>62</v>
      </c>
      <c r="H137" t="s">
        <v>64</v>
      </c>
      <c r="I137">
        <v>1666</v>
      </c>
    </row>
    <row r="138" spans="1:9" x14ac:dyDescent="0.35">
      <c r="A138" t="s">
        <v>61</v>
      </c>
      <c r="B138">
        <v>107264616</v>
      </c>
      <c r="C138" t="s">
        <v>592</v>
      </c>
      <c r="D138" t="s">
        <v>72</v>
      </c>
      <c r="E138" t="s">
        <v>70</v>
      </c>
      <c r="F138">
        <v>312</v>
      </c>
      <c r="G138" t="s">
        <v>68</v>
      </c>
      <c r="H138" t="s">
        <v>67</v>
      </c>
      <c r="I138">
        <v>312</v>
      </c>
    </row>
    <row r="139" spans="1:9" x14ac:dyDescent="0.35">
      <c r="A139" t="s">
        <v>61</v>
      </c>
      <c r="B139">
        <v>107232971</v>
      </c>
      <c r="C139" t="s">
        <v>589</v>
      </c>
      <c r="D139" t="s">
        <v>72</v>
      </c>
      <c r="E139" t="s">
        <v>70</v>
      </c>
      <c r="F139">
        <v>331</v>
      </c>
      <c r="G139" t="s">
        <v>62</v>
      </c>
      <c r="H139" t="s">
        <v>67</v>
      </c>
      <c r="I139">
        <v>2331</v>
      </c>
    </row>
    <row r="140" spans="1:9" x14ac:dyDescent="0.35">
      <c r="A140" t="s">
        <v>61</v>
      </c>
      <c r="B140">
        <v>107232971</v>
      </c>
      <c r="C140" t="s">
        <v>589</v>
      </c>
      <c r="D140" t="s">
        <v>72</v>
      </c>
      <c r="E140" t="s">
        <v>70</v>
      </c>
      <c r="F140">
        <v>331</v>
      </c>
      <c r="G140" t="s">
        <v>62</v>
      </c>
      <c r="H140" t="s">
        <v>63</v>
      </c>
      <c r="I140">
        <v>158</v>
      </c>
    </row>
    <row r="141" spans="1:9" x14ac:dyDescent="0.35">
      <c r="A141" t="s">
        <v>61</v>
      </c>
      <c r="B141">
        <v>107232971</v>
      </c>
      <c r="C141" t="s">
        <v>589</v>
      </c>
      <c r="D141" t="s">
        <v>72</v>
      </c>
      <c r="E141" t="s">
        <v>70</v>
      </c>
      <c r="F141">
        <v>331</v>
      </c>
      <c r="G141" t="s">
        <v>62</v>
      </c>
      <c r="H141" t="s">
        <v>64</v>
      </c>
      <c r="I141">
        <v>2173</v>
      </c>
    </row>
    <row r="142" spans="1:9" x14ac:dyDescent="0.35">
      <c r="A142" t="s">
        <v>61</v>
      </c>
      <c r="B142">
        <v>107232971</v>
      </c>
      <c r="C142" t="s">
        <v>589</v>
      </c>
      <c r="D142" t="s">
        <v>72</v>
      </c>
      <c r="E142" t="s">
        <v>70</v>
      </c>
      <c r="F142">
        <v>331</v>
      </c>
      <c r="G142" t="s">
        <v>68</v>
      </c>
      <c r="H142" t="s">
        <v>67</v>
      </c>
      <c r="I142">
        <v>331</v>
      </c>
    </row>
    <row r="143" spans="1:9" x14ac:dyDescent="0.35">
      <c r="A143" t="s">
        <v>61</v>
      </c>
      <c r="B143">
        <v>107748062</v>
      </c>
      <c r="C143" t="s">
        <v>596</v>
      </c>
      <c r="D143" t="s">
        <v>80</v>
      </c>
      <c r="E143" t="s">
        <v>70</v>
      </c>
      <c r="F143">
        <v>238</v>
      </c>
      <c r="G143" t="s">
        <v>62</v>
      </c>
      <c r="H143" t="s">
        <v>67</v>
      </c>
      <c r="I143">
        <v>1281</v>
      </c>
    </row>
    <row r="144" spans="1:9" x14ac:dyDescent="0.35">
      <c r="A144" t="s">
        <v>61</v>
      </c>
      <c r="B144">
        <v>107748062</v>
      </c>
      <c r="C144" t="s">
        <v>596</v>
      </c>
      <c r="D144" t="s">
        <v>80</v>
      </c>
      <c r="E144" t="s">
        <v>70</v>
      </c>
      <c r="F144">
        <v>238</v>
      </c>
      <c r="G144" t="s">
        <v>62</v>
      </c>
      <c r="H144" t="s">
        <v>63</v>
      </c>
      <c r="I144">
        <v>193</v>
      </c>
    </row>
    <row r="145" spans="1:9" x14ac:dyDescent="0.35">
      <c r="A145" t="s">
        <v>61</v>
      </c>
      <c r="B145">
        <v>107748062</v>
      </c>
      <c r="C145" t="s">
        <v>596</v>
      </c>
      <c r="D145" t="s">
        <v>80</v>
      </c>
      <c r="E145" t="s">
        <v>70</v>
      </c>
      <c r="F145">
        <v>238</v>
      </c>
      <c r="G145" t="s">
        <v>62</v>
      </c>
      <c r="H145" t="s">
        <v>64</v>
      </c>
      <c r="I145">
        <v>1066</v>
      </c>
    </row>
    <row r="146" spans="1:9" x14ac:dyDescent="0.35">
      <c r="A146" t="s">
        <v>61</v>
      </c>
      <c r="B146">
        <v>107748062</v>
      </c>
      <c r="C146" t="s">
        <v>596</v>
      </c>
      <c r="D146" t="s">
        <v>80</v>
      </c>
      <c r="E146" t="s">
        <v>70</v>
      </c>
      <c r="F146">
        <v>238</v>
      </c>
      <c r="G146" t="s">
        <v>62</v>
      </c>
      <c r="H146" t="s">
        <v>65</v>
      </c>
      <c r="I146">
        <v>22</v>
      </c>
    </row>
    <row r="147" spans="1:9" x14ac:dyDescent="0.35">
      <c r="A147" t="s">
        <v>61</v>
      </c>
      <c r="B147">
        <v>107748062</v>
      </c>
      <c r="C147" t="s">
        <v>596</v>
      </c>
      <c r="D147" t="s">
        <v>80</v>
      </c>
      <c r="E147" t="s">
        <v>70</v>
      </c>
      <c r="F147">
        <v>238</v>
      </c>
      <c r="G147" t="s">
        <v>68</v>
      </c>
      <c r="H147" t="s">
        <v>67</v>
      </c>
      <c r="I147">
        <v>238</v>
      </c>
    </row>
    <row r="148" spans="1:9" x14ac:dyDescent="0.35">
      <c r="A148" t="s">
        <v>61</v>
      </c>
      <c r="B148">
        <v>107221179</v>
      </c>
      <c r="C148" t="s">
        <v>91</v>
      </c>
      <c r="D148" t="s">
        <v>72</v>
      </c>
      <c r="E148" t="s">
        <v>58</v>
      </c>
      <c r="F148">
        <v>401</v>
      </c>
      <c r="G148" t="s">
        <v>62</v>
      </c>
      <c r="H148" t="s">
        <v>67</v>
      </c>
      <c r="I148">
        <v>2314</v>
      </c>
    </row>
    <row r="149" spans="1:9" x14ac:dyDescent="0.35">
      <c r="A149" t="s">
        <v>61</v>
      </c>
      <c r="B149">
        <v>107221179</v>
      </c>
      <c r="C149" t="s">
        <v>91</v>
      </c>
      <c r="D149" t="s">
        <v>72</v>
      </c>
      <c r="E149" t="s">
        <v>58</v>
      </c>
      <c r="F149">
        <v>401</v>
      </c>
      <c r="G149" t="s">
        <v>62</v>
      </c>
      <c r="H149" t="s">
        <v>63</v>
      </c>
      <c r="I149">
        <v>422</v>
      </c>
    </row>
    <row r="150" spans="1:9" x14ac:dyDescent="0.35">
      <c r="A150" t="s">
        <v>61</v>
      </c>
      <c r="B150">
        <v>107221179</v>
      </c>
      <c r="C150" t="s">
        <v>91</v>
      </c>
      <c r="D150" t="s">
        <v>72</v>
      </c>
      <c r="E150" t="s">
        <v>58</v>
      </c>
      <c r="F150">
        <v>401</v>
      </c>
      <c r="G150" t="s">
        <v>62</v>
      </c>
      <c r="H150" t="s">
        <v>64</v>
      </c>
      <c r="I150">
        <v>1892</v>
      </c>
    </row>
    <row r="151" spans="1:9" x14ac:dyDescent="0.35">
      <c r="A151" t="s">
        <v>61</v>
      </c>
      <c r="B151">
        <v>107221179</v>
      </c>
      <c r="C151" t="s">
        <v>91</v>
      </c>
      <c r="D151" t="s">
        <v>72</v>
      </c>
      <c r="E151" t="s">
        <v>58</v>
      </c>
      <c r="F151">
        <v>401</v>
      </c>
      <c r="G151" t="s">
        <v>68</v>
      </c>
      <c r="H151" t="s">
        <v>67</v>
      </c>
      <c r="I151">
        <v>401</v>
      </c>
    </row>
    <row r="152" spans="1:9" x14ac:dyDescent="0.35">
      <c r="A152" t="s">
        <v>61</v>
      </c>
      <c r="B152">
        <v>107868365</v>
      </c>
      <c r="C152" t="s">
        <v>112</v>
      </c>
      <c r="D152" t="s">
        <v>72</v>
      </c>
      <c r="E152" t="s">
        <v>58</v>
      </c>
      <c r="F152">
        <v>209</v>
      </c>
      <c r="G152" t="s">
        <v>62</v>
      </c>
      <c r="H152" t="s">
        <v>67</v>
      </c>
      <c r="I152">
        <v>1164</v>
      </c>
    </row>
    <row r="153" spans="1:9" x14ac:dyDescent="0.35">
      <c r="A153" t="s">
        <v>61</v>
      </c>
      <c r="B153">
        <v>107868365</v>
      </c>
      <c r="C153" t="s">
        <v>112</v>
      </c>
      <c r="D153" t="s">
        <v>72</v>
      </c>
      <c r="E153" t="s">
        <v>58</v>
      </c>
      <c r="F153">
        <v>209</v>
      </c>
      <c r="G153" t="s">
        <v>62</v>
      </c>
      <c r="H153" t="s">
        <v>63</v>
      </c>
      <c r="I153">
        <v>262</v>
      </c>
    </row>
    <row r="154" spans="1:9" x14ac:dyDescent="0.35">
      <c r="A154" t="s">
        <v>61</v>
      </c>
      <c r="B154">
        <v>107868365</v>
      </c>
      <c r="C154" t="s">
        <v>112</v>
      </c>
      <c r="D154" t="s">
        <v>72</v>
      </c>
      <c r="E154" t="s">
        <v>58</v>
      </c>
      <c r="F154">
        <v>209</v>
      </c>
      <c r="G154" t="s">
        <v>62</v>
      </c>
      <c r="H154" t="s">
        <v>64</v>
      </c>
      <c r="I154">
        <v>902</v>
      </c>
    </row>
    <row r="155" spans="1:9" x14ac:dyDescent="0.35">
      <c r="A155" t="s">
        <v>61</v>
      </c>
      <c r="B155">
        <v>107868365</v>
      </c>
      <c r="C155" t="s">
        <v>112</v>
      </c>
      <c r="D155" t="s">
        <v>72</v>
      </c>
      <c r="E155" t="s">
        <v>58</v>
      </c>
      <c r="F155">
        <v>209</v>
      </c>
      <c r="G155" t="s">
        <v>68</v>
      </c>
      <c r="H155" t="s">
        <v>67</v>
      </c>
      <c r="I155">
        <v>209</v>
      </c>
    </row>
    <row r="156" spans="1:9" x14ac:dyDescent="0.35">
      <c r="A156" t="s">
        <v>61</v>
      </c>
      <c r="B156">
        <v>107826262</v>
      </c>
      <c r="C156" t="s">
        <v>600</v>
      </c>
      <c r="D156" t="s">
        <v>60</v>
      </c>
      <c r="E156" t="s">
        <v>70</v>
      </c>
      <c r="F156">
        <v>62</v>
      </c>
      <c r="G156" t="s">
        <v>62</v>
      </c>
      <c r="H156" t="s">
        <v>67</v>
      </c>
      <c r="I156">
        <v>542</v>
      </c>
    </row>
    <row r="157" spans="1:9" x14ac:dyDescent="0.35">
      <c r="A157" t="s">
        <v>61</v>
      </c>
      <c r="B157">
        <v>107826262</v>
      </c>
      <c r="C157" t="s">
        <v>600</v>
      </c>
      <c r="D157" t="s">
        <v>60</v>
      </c>
      <c r="E157" t="s">
        <v>70</v>
      </c>
      <c r="F157">
        <v>62</v>
      </c>
      <c r="G157" t="s">
        <v>68</v>
      </c>
      <c r="H157" t="s">
        <v>67</v>
      </c>
      <c r="I157">
        <v>62</v>
      </c>
    </row>
    <row r="158" spans="1:9" x14ac:dyDescent="0.35">
      <c r="A158" t="s">
        <v>61</v>
      </c>
      <c r="B158">
        <v>100865064</v>
      </c>
      <c r="C158" t="s">
        <v>581</v>
      </c>
      <c r="D158" t="s">
        <v>72</v>
      </c>
      <c r="E158" t="s">
        <v>70</v>
      </c>
      <c r="F158">
        <v>156</v>
      </c>
      <c r="G158" t="s">
        <v>62</v>
      </c>
      <c r="H158" t="s">
        <v>67</v>
      </c>
      <c r="I158">
        <v>792</v>
      </c>
    </row>
    <row r="159" spans="1:9" x14ac:dyDescent="0.35">
      <c r="A159" t="s">
        <v>61</v>
      </c>
      <c r="B159">
        <v>100865064</v>
      </c>
      <c r="C159" t="s">
        <v>581</v>
      </c>
      <c r="D159" t="s">
        <v>72</v>
      </c>
      <c r="E159" t="s">
        <v>70</v>
      </c>
      <c r="F159">
        <v>156</v>
      </c>
      <c r="G159" t="s">
        <v>62</v>
      </c>
      <c r="H159" t="s">
        <v>63</v>
      </c>
      <c r="I159">
        <v>45</v>
      </c>
    </row>
    <row r="160" spans="1:9" x14ac:dyDescent="0.35">
      <c r="A160" t="s">
        <v>61</v>
      </c>
      <c r="B160">
        <v>100865064</v>
      </c>
      <c r="C160" t="s">
        <v>581</v>
      </c>
      <c r="D160" t="s">
        <v>72</v>
      </c>
      <c r="E160" t="s">
        <v>70</v>
      </c>
      <c r="F160">
        <v>156</v>
      </c>
      <c r="G160" t="s">
        <v>62</v>
      </c>
      <c r="H160" t="s">
        <v>64</v>
      </c>
      <c r="I160">
        <v>747</v>
      </c>
    </row>
    <row r="161" spans="1:9" x14ac:dyDescent="0.35">
      <c r="A161" t="s">
        <v>61</v>
      </c>
      <c r="B161">
        <v>100865064</v>
      </c>
      <c r="C161" t="s">
        <v>581</v>
      </c>
      <c r="D161" t="s">
        <v>72</v>
      </c>
      <c r="E161" t="s">
        <v>70</v>
      </c>
      <c r="F161">
        <v>156</v>
      </c>
      <c r="G161" t="s">
        <v>68</v>
      </c>
      <c r="H161" t="s">
        <v>67</v>
      </c>
      <c r="I161">
        <v>156</v>
      </c>
    </row>
    <row r="162" spans="1:9" x14ac:dyDescent="0.35">
      <c r="A162" t="s">
        <v>61</v>
      </c>
      <c r="B162">
        <v>107844158</v>
      </c>
      <c r="C162" t="s">
        <v>605</v>
      </c>
      <c r="D162" t="s">
        <v>72</v>
      </c>
      <c r="E162" t="s">
        <v>70</v>
      </c>
      <c r="F162">
        <v>382</v>
      </c>
      <c r="G162" t="s">
        <v>62</v>
      </c>
      <c r="H162" t="s">
        <v>67</v>
      </c>
      <c r="I162">
        <v>2146</v>
      </c>
    </row>
    <row r="163" spans="1:9" x14ac:dyDescent="0.35">
      <c r="A163" t="s">
        <v>61</v>
      </c>
      <c r="B163">
        <v>107844158</v>
      </c>
      <c r="C163" t="s">
        <v>605</v>
      </c>
      <c r="D163" t="s">
        <v>72</v>
      </c>
      <c r="E163" t="s">
        <v>70</v>
      </c>
      <c r="F163">
        <v>382</v>
      </c>
      <c r="G163" t="s">
        <v>62</v>
      </c>
      <c r="H163" t="s">
        <v>63</v>
      </c>
      <c r="I163">
        <v>191</v>
      </c>
    </row>
    <row r="164" spans="1:9" x14ac:dyDescent="0.35">
      <c r="A164" t="s">
        <v>61</v>
      </c>
      <c r="B164">
        <v>107844158</v>
      </c>
      <c r="C164" t="s">
        <v>605</v>
      </c>
      <c r="D164" t="s">
        <v>72</v>
      </c>
      <c r="E164" t="s">
        <v>70</v>
      </c>
      <c r="F164">
        <v>382</v>
      </c>
      <c r="G164" t="s">
        <v>62</v>
      </c>
      <c r="H164" t="s">
        <v>64</v>
      </c>
      <c r="I164">
        <v>1955</v>
      </c>
    </row>
    <row r="165" spans="1:9" x14ac:dyDescent="0.35">
      <c r="A165" t="s">
        <v>61</v>
      </c>
      <c r="B165">
        <v>107844158</v>
      </c>
      <c r="C165" t="s">
        <v>605</v>
      </c>
      <c r="D165" t="s">
        <v>72</v>
      </c>
      <c r="E165" t="s">
        <v>70</v>
      </c>
      <c r="F165">
        <v>382</v>
      </c>
      <c r="G165" t="s">
        <v>68</v>
      </c>
      <c r="H165" t="s">
        <v>67</v>
      </c>
      <c r="I165">
        <v>382</v>
      </c>
    </row>
    <row r="166" spans="1:9" x14ac:dyDescent="0.35">
      <c r="A166" t="s">
        <v>61</v>
      </c>
      <c r="B166">
        <v>107284888</v>
      </c>
      <c r="C166" t="s">
        <v>593</v>
      </c>
      <c r="D166" t="s">
        <v>80</v>
      </c>
      <c r="E166" t="s">
        <v>70</v>
      </c>
      <c r="F166">
        <v>312</v>
      </c>
      <c r="G166" t="s">
        <v>62</v>
      </c>
      <c r="H166" t="s">
        <v>67</v>
      </c>
      <c r="I166">
        <v>2059</v>
      </c>
    </row>
    <row r="167" spans="1:9" x14ac:dyDescent="0.35">
      <c r="A167" t="s">
        <v>61</v>
      </c>
      <c r="B167">
        <v>107284888</v>
      </c>
      <c r="C167" t="s">
        <v>593</v>
      </c>
      <c r="D167" t="s">
        <v>80</v>
      </c>
      <c r="E167" t="s">
        <v>70</v>
      </c>
      <c r="F167">
        <v>312</v>
      </c>
      <c r="G167" t="s">
        <v>62</v>
      </c>
      <c r="H167" t="s">
        <v>63</v>
      </c>
      <c r="I167">
        <v>500</v>
      </c>
    </row>
    <row r="168" spans="1:9" x14ac:dyDescent="0.35">
      <c r="A168" t="s">
        <v>61</v>
      </c>
      <c r="B168">
        <v>107284888</v>
      </c>
      <c r="C168" t="s">
        <v>593</v>
      </c>
      <c r="D168" t="s">
        <v>80</v>
      </c>
      <c r="E168" t="s">
        <v>70</v>
      </c>
      <c r="F168">
        <v>312</v>
      </c>
      <c r="G168" t="s">
        <v>62</v>
      </c>
      <c r="H168" t="s">
        <v>64</v>
      </c>
      <c r="I168">
        <v>1559</v>
      </c>
    </row>
    <row r="169" spans="1:9" x14ac:dyDescent="0.35">
      <c r="A169" t="s">
        <v>61</v>
      </c>
      <c r="B169">
        <v>107284888</v>
      </c>
      <c r="C169" t="s">
        <v>593</v>
      </c>
      <c r="D169" t="s">
        <v>80</v>
      </c>
      <c r="E169" t="s">
        <v>70</v>
      </c>
      <c r="F169">
        <v>312</v>
      </c>
      <c r="G169" t="s">
        <v>68</v>
      </c>
      <c r="H169" t="s">
        <v>67</v>
      </c>
      <c r="I169">
        <v>312</v>
      </c>
    </row>
    <row r="170" spans="1:9" x14ac:dyDescent="0.35">
      <c r="A170" t="s">
        <v>37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I174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621</v>
      </c>
      <c r="D1" t="s">
        <v>622</v>
      </c>
      <c r="E1" t="s">
        <v>40</v>
      </c>
      <c r="F1" t="s">
        <v>623</v>
      </c>
      <c r="G1" t="s">
        <v>52</v>
      </c>
      <c r="H1" t="s">
        <v>624</v>
      </c>
      <c r="I1" t="s">
        <v>625</v>
      </c>
    </row>
    <row r="2" spans="1:9" x14ac:dyDescent="0.35">
      <c r="A2" t="s">
        <v>61</v>
      </c>
      <c r="B2">
        <v>107232886</v>
      </c>
      <c r="C2" t="s">
        <v>587</v>
      </c>
      <c r="D2" t="s">
        <v>72</v>
      </c>
      <c r="E2" t="s">
        <v>58</v>
      </c>
      <c r="F2">
        <v>118</v>
      </c>
      <c r="G2" t="s">
        <v>62</v>
      </c>
      <c r="H2" t="s">
        <v>67</v>
      </c>
      <c r="I2">
        <v>855</v>
      </c>
    </row>
    <row r="3" spans="1:9" x14ac:dyDescent="0.35">
      <c r="A3" t="s">
        <v>61</v>
      </c>
      <c r="B3">
        <v>107232886</v>
      </c>
      <c r="C3" t="s">
        <v>587</v>
      </c>
      <c r="D3" t="s">
        <v>72</v>
      </c>
      <c r="E3" t="s">
        <v>58</v>
      </c>
      <c r="F3">
        <v>118</v>
      </c>
      <c r="G3" t="s">
        <v>62</v>
      </c>
      <c r="H3" t="s">
        <v>63</v>
      </c>
      <c r="I3">
        <v>311</v>
      </c>
    </row>
    <row r="4" spans="1:9" x14ac:dyDescent="0.35">
      <c r="A4" t="s">
        <v>61</v>
      </c>
      <c r="B4">
        <v>107232886</v>
      </c>
      <c r="C4" t="s">
        <v>587</v>
      </c>
      <c r="D4" t="s">
        <v>72</v>
      </c>
      <c r="E4" t="s">
        <v>58</v>
      </c>
      <c r="F4">
        <v>118</v>
      </c>
      <c r="G4" t="s">
        <v>62</v>
      </c>
      <c r="H4" t="s">
        <v>64</v>
      </c>
      <c r="I4">
        <v>544</v>
      </c>
    </row>
    <row r="5" spans="1:9" x14ac:dyDescent="0.35">
      <c r="A5" t="s">
        <v>61</v>
      </c>
      <c r="B5">
        <v>107232886</v>
      </c>
      <c r="C5" t="s">
        <v>587</v>
      </c>
      <c r="D5" t="s">
        <v>72</v>
      </c>
      <c r="E5" t="s">
        <v>58</v>
      </c>
      <c r="F5">
        <v>118</v>
      </c>
      <c r="G5" t="s">
        <v>68</v>
      </c>
      <c r="H5" t="s">
        <v>67</v>
      </c>
      <c r="I5">
        <v>118</v>
      </c>
    </row>
    <row r="6" spans="1:9" x14ac:dyDescent="0.35">
      <c r="A6" t="s">
        <v>61</v>
      </c>
      <c r="B6">
        <v>103162419</v>
      </c>
      <c r="C6" t="s">
        <v>76</v>
      </c>
      <c r="D6" t="s">
        <v>72</v>
      </c>
      <c r="E6" t="s">
        <v>70</v>
      </c>
      <c r="F6">
        <v>142</v>
      </c>
      <c r="G6" t="s">
        <v>62</v>
      </c>
      <c r="H6" t="s">
        <v>67</v>
      </c>
      <c r="I6">
        <v>765</v>
      </c>
    </row>
    <row r="7" spans="1:9" x14ac:dyDescent="0.35">
      <c r="A7" t="s">
        <v>61</v>
      </c>
      <c r="B7">
        <v>103162419</v>
      </c>
      <c r="C7" t="s">
        <v>76</v>
      </c>
      <c r="D7" t="s">
        <v>72</v>
      </c>
      <c r="E7" t="s">
        <v>70</v>
      </c>
      <c r="F7">
        <v>142</v>
      </c>
      <c r="G7" t="s">
        <v>62</v>
      </c>
      <c r="H7" t="s">
        <v>63</v>
      </c>
      <c r="I7">
        <v>46</v>
      </c>
    </row>
    <row r="8" spans="1:9" x14ac:dyDescent="0.35">
      <c r="A8" t="s">
        <v>61</v>
      </c>
      <c r="B8">
        <v>103162419</v>
      </c>
      <c r="C8" t="s">
        <v>76</v>
      </c>
      <c r="D8" t="s">
        <v>72</v>
      </c>
      <c r="E8" t="s">
        <v>70</v>
      </c>
      <c r="F8">
        <v>142</v>
      </c>
      <c r="G8" t="s">
        <v>62</v>
      </c>
      <c r="H8" t="s">
        <v>64</v>
      </c>
      <c r="I8">
        <v>719</v>
      </c>
    </row>
    <row r="9" spans="1:9" x14ac:dyDescent="0.35">
      <c r="A9" t="s">
        <v>61</v>
      </c>
      <c r="B9">
        <v>103162419</v>
      </c>
      <c r="C9" t="s">
        <v>76</v>
      </c>
      <c r="D9" t="s">
        <v>72</v>
      </c>
      <c r="E9" t="s">
        <v>70</v>
      </c>
      <c r="F9">
        <v>142</v>
      </c>
      <c r="G9" t="s">
        <v>68</v>
      </c>
      <c r="H9" t="s">
        <v>67</v>
      </c>
      <c r="I9">
        <v>142</v>
      </c>
    </row>
    <row r="10" spans="1:9" x14ac:dyDescent="0.35">
      <c r="A10" t="s">
        <v>61</v>
      </c>
      <c r="B10">
        <v>106636925</v>
      </c>
      <c r="C10" t="s">
        <v>88</v>
      </c>
      <c r="D10" t="s">
        <v>72</v>
      </c>
      <c r="E10" t="s">
        <v>58</v>
      </c>
      <c r="F10">
        <v>421</v>
      </c>
      <c r="G10" t="s">
        <v>62</v>
      </c>
      <c r="H10" t="s">
        <v>67</v>
      </c>
      <c r="I10">
        <v>1921</v>
      </c>
    </row>
    <row r="11" spans="1:9" x14ac:dyDescent="0.35">
      <c r="A11" t="s">
        <v>61</v>
      </c>
      <c r="B11">
        <v>106636925</v>
      </c>
      <c r="C11" t="s">
        <v>88</v>
      </c>
      <c r="D11" t="s">
        <v>72</v>
      </c>
      <c r="E11" t="s">
        <v>58</v>
      </c>
      <c r="F11">
        <v>421</v>
      </c>
      <c r="G11" t="s">
        <v>62</v>
      </c>
      <c r="H11" t="s">
        <v>63</v>
      </c>
      <c r="I11">
        <v>416</v>
      </c>
    </row>
    <row r="12" spans="1:9" x14ac:dyDescent="0.35">
      <c r="A12" t="s">
        <v>61</v>
      </c>
      <c r="B12">
        <v>106636925</v>
      </c>
      <c r="C12" t="s">
        <v>88</v>
      </c>
      <c r="D12" t="s">
        <v>72</v>
      </c>
      <c r="E12" t="s">
        <v>58</v>
      </c>
      <c r="F12">
        <v>421</v>
      </c>
      <c r="G12" t="s">
        <v>62</v>
      </c>
      <c r="H12" t="s">
        <v>64</v>
      </c>
      <c r="I12">
        <v>1505</v>
      </c>
    </row>
    <row r="13" spans="1:9" x14ac:dyDescent="0.35">
      <c r="A13" t="s">
        <v>61</v>
      </c>
      <c r="B13">
        <v>106636925</v>
      </c>
      <c r="C13" t="s">
        <v>88</v>
      </c>
      <c r="D13" t="s">
        <v>72</v>
      </c>
      <c r="E13" t="s">
        <v>58</v>
      </c>
      <c r="F13">
        <v>421</v>
      </c>
      <c r="G13" t="s">
        <v>68</v>
      </c>
      <c r="H13" t="s">
        <v>67</v>
      </c>
      <c r="I13">
        <v>421</v>
      </c>
    </row>
    <row r="14" spans="1:9" x14ac:dyDescent="0.35">
      <c r="A14" t="s">
        <v>61</v>
      </c>
      <c r="B14">
        <v>103783504</v>
      </c>
      <c r="C14" t="s">
        <v>77</v>
      </c>
      <c r="D14" t="s">
        <v>72</v>
      </c>
      <c r="E14" t="s">
        <v>70</v>
      </c>
      <c r="F14">
        <v>249</v>
      </c>
      <c r="G14" t="s">
        <v>62</v>
      </c>
      <c r="H14" t="s">
        <v>67</v>
      </c>
      <c r="I14">
        <v>1117</v>
      </c>
    </row>
    <row r="15" spans="1:9" x14ac:dyDescent="0.35">
      <c r="A15" t="s">
        <v>61</v>
      </c>
      <c r="B15">
        <v>103783504</v>
      </c>
      <c r="C15" t="s">
        <v>77</v>
      </c>
      <c r="D15" t="s">
        <v>72</v>
      </c>
      <c r="E15" t="s">
        <v>70</v>
      </c>
      <c r="F15">
        <v>249</v>
      </c>
      <c r="G15" t="s">
        <v>62</v>
      </c>
      <c r="H15" t="s">
        <v>63</v>
      </c>
      <c r="I15">
        <v>202</v>
      </c>
    </row>
    <row r="16" spans="1:9" x14ac:dyDescent="0.35">
      <c r="A16" t="s">
        <v>61</v>
      </c>
      <c r="B16">
        <v>103783504</v>
      </c>
      <c r="C16" t="s">
        <v>77</v>
      </c>
      <c r="D16" t="s">
        <v>72</v>
      </c>
      <c r="E16" t="s">
        <v>70</v>
      </c>
      <c r="F16">
        <v>249</v>
      </c>
      <c r="G16" t="s">
        <v>62</v>
      </c>
      <c r="H16" t="s">
        <v>64</v>
      </c>
      <c r="I16">
        <v>915</v>
      </c>
    </row>
    <row r="17" spans="1:9" x14ac:dyDescent="0.35">
      <c r="A17" t="s">
        <v>61</v>
      </c>
      <c r="B17">
        <v>103783504</v>
      </c>
      <c r="C17" t="s">
        <v>77</v>
      </c>
      <c r="D17" t="s">
        <v>72</v>
      </c>
      <c r="E17" t="s">
        <v>70</v>
      </c>
      <c r="F17">
        <v>249</v>
      </c>
      <c r="G17" t="s">
        <v>68</v>
      </c>
      <c r="H17" t="s">
        <v>67</v>
      </c>
      <c r="I17">
        <v>249</v>
      </c>
    </row>
    <row r="18" spans="1:9" x14ac:dyDescent="0.35">
      <c r="A18" t="s">
        <v>61</v>
      </c>
      <c r="B18">
        <v>106640096</v>
      </c>
      <c r="C18" t="s">
        <v>89</v>
      </c>
      <c r="D18" t="s">
        <v>72</v>
      </c>
      <c r="E18" t="s">
        <v>70</v>
      </c>
      <c r="F18">
        <v>317</v>
      </c>
      <c r="G18" t="s">
        <v>62</v>
      </c>
      <c r="H18" t="s">
        <v>67</v>
      </c>
      <c r="I18">
        <v>2484</v>
      </c>
    </row>
    <row r="19" spans="1:9" x14ac:dyDescent="0.35">
      <c r="A19" t="s">
        <v>61</v>
      </c>
      <c r="B19">
        <v>106640096</v>
      </c>
      <c r="C19" t="s">
        <v>89</v>
      </c>
      <c r="D19" t="s">
        <v>72</v>
      </c>
      <c r="E19" t="s">
        <v>70</v>
      </c>
      <c r="F19">
        <v>317</v>
      </c>
      <c r="G19" t="s">
        <v>62</v>
      </c>
      <c r="H19" t="s">
        <v>63</v>
      </c>
      <c r="I19">
        <v>860</v>
      </c>
    </row>
    <row r="20" spans="1:9" x14ac:dyDescent="0.35">
      <c r="A20" t="s">
        <v>61</v>
      </c>
      <c r="B20">
        <v>106640096</v>
      </c>
      <c r="C20" t="s">
        <v>89</v>
      </c>
      <c r="D20" t="s">
        <v>72</v>
      </c>
      <c r="E20" t="s">
        <v>70</v>
      </c>
      <c r="F20">
        <v>317</v>
      </c>
      <c r="G20" t="s">
        <v>62</v>
      </c>
      <c r="H20" t="s">
        <v>64</v>
      </c>
      <c r="I20">
        <v>1624</v>
      </c>
    </row>
    <row r="21" spans="1:9" x14ac:dyDescent="0.35">
      <c r="A21" t="s">
        <v>61</v>
      </c>
      <c r="B21">
        <v>106640096</v>
      </c>
      <c r="C21" t="s">
        <v>89</v>
      </c>
      <c r="D21" t="s">
        <v>72</v>
      </c>
      <c r="E21" t="s">
        <v>70</v>
      </c>
      <c r="F21">
        <v>317</v>
      </c>
      <c r="G21" t="s">
        <v>68</v>
      </c>
      <c r="H21" t="s">
        <v>67</v>
      </c>
      <c r="I21">
        <v>317</v>
      </c>
    </row>
    <row r="22" spans="1:9" x14ac:dyDescent="0.35">
      <c r="A22" t="s">
        <v>61</v>
      </c>
      <c r="B22">
        <v>107233183</v>
      </c>
      <c r="C22" t="s">
        <v>590</v>
      </c>
      <c r="D22" t="s">
        <v>72</v>
      </c>
      <c r="E22" t="s">
        <v>70</v>
      </c>
      <c r="F22">
        <v>359</v>
      </c>
      <c r="G22" t="s">
        <v>62</v>
      </c>
      <c r="H22" t="s">
        <v>67</v>
      </c>
      <c r="I22">
        <v>1874</v>
      </c>
    </row>
    <row r="23" spans="1:9" x14ac:dyDescent="0.35">
      <c r="A23" t="s">
        <v>61</v>
      </c>
      <c r="B23">
        <v>107233183</v>
      </c>
      <c r="C23" t="s">
        <v>590</v>
      </c>
      <c r="D23" t="s">
        <v>72</v>
      </c>
      <c r="E23" t="s">
        <v>70</v>
      </c>
      <c r="F23">
        <v>359</v>
      </c>
      <c r="G23" t="s">
        <v>62</v>
      </c>
      <c r="H23" t="s">
        <v>63</v>
      </c>
      <c r="I23">
        <v>466</v>
      </c>
    </row>
    <row r="24" spans="1:9" x14ac:dyDescent="0.35">
      <c r="A24" t="s">
        <v>61</v>
      </c>
      <c r="B24">
        <v>107233183</v>
      </c>
      <c r="C24" t="s">
        <v>590</v>
      </c>
      <c r="D24" t="s">
        <v>72</v>
      </c>
      <c r="E24" t="s">
        <v>70</v>
      </c>
      <c r="F24">
        <v>359</v>
      </c>
      <c r="G24" t="s">
        <v>62</v>
      </c>
      <c r="H24" t="s">
        <v>64</v>
      </c>
      <c r="I24">
        <v>1408</v>
      </c>
    </row>
    <row r="25" spans="1:9" x14ac:dyDescent="0.35">
      <c r="A25" t="s">
        <v>61</v>
      </c>
      <c r="B25">
        <v>107233183</v>
      </c>
      <c r="C25" t="s">
        <v>590</v>
      </c>
      <c r="D25" t="s">
        <v>72</v>
      </c>
      <c r="E25" t="s">
        <v>70</v>
      </c>
      <c r="F25">
        <v>359</v>
      </c>
      <c r="G25" t="s">
        <v>68</v>
      </c>
      <c r="H25" t="s">
        <v>67</v>
      </c>
      <c r="I25">
        <v>359</v>
      </c>
    </row>
    <row r="26" spans="1:9" x14ac:dyDescent="0.35">
      <c r="A26" t="s">
        <v>61</v>
      </c>
      <c r="B26">
        <v>107844157</v>
      </c>
      <c r="C26" t="s">
        <v>604</v>
      </c>
      <c r="D26" t="s">
        <v>72</v>
      </c>
      <c r="E26" t="s">
        <v>70</v>
      </c>
      <c r="F26">
        <v>305</v>
      </c>
      <c r="G26" t="s">
        <v>62</v>
      </c>
      <c r="H26" t="s">
        <v>67</v>
      </c>
      <c r="I26">
        <v>1786</v>
      </c>
    </row>
    <row r="27" spans="1:9" x14ac:dyDescent="0.35">
      <c r="A27" t="s">
        <v>61</v>
      </c>
      <c r="B27">
        <v>107844157</v>
      </c>
      <c r="C27" t="s">
        <v>604</v>
      </c>
      <c r="D27" t="s">
        <v>72</v>
      </c>
      <c r="E27" t="s">
        <v>70</v>
      </c>
      <c r="F27">
        <v>305</v>
      </c>
      <c r="G27" t="s">
        <v>62</v>
      </c>
      <c r="H27" t="s">
        <v>63</v>
      </c>
      <c r="I27">
        <v>318</v>
      </c>
    </row>
    <row r="28" spans="1:9" x14ac:dyDescent="0.35">
      <c r="A28" t="s">
        <v>61</v>
      </c>
      <c r="B28">
        <v>107844157</v>
      </c>
      <c r="C28" t="s">
        <v>604</v>
      </c>
      <c r="D28" t="s">
        <v>72</v>
      </c>
      <c r="E28" t="s">
        <v>70</v>
      </c>
      <c r="F28">
        <v>305</v>
      </c>
      <c r="G28" t="s">
        <v>62</v>
      </c>
      <c r="H28" t="s">
        <v>64</v>
      </c>
      <c r="I28">
        <v>1468</v>
      </c>
    </row>
    <row r="29" spans="1:9" x14ac:dyDescent="0.35">
      <c r="A29" t="s">
        <v>61</v>
      </c>
      <c r="B29">
        <v>107844157</v>
      </c>
      <c r="C29" t="s">
        <v>604</v>
      </c>
      <c r="D29" t="s">
        <v>72</v>
      </c>
      <c r="E29" t="s">
        <v>70</v>
      </c>
      <c r="F29">
        <v>305</v>
      </c>
      <c r="G29" t="s">
        <v>68</v>
      </c>
      <c r="H29" t="s">
        <v>67</v>
      </c>
      <c r="I29">
        <v>305</v>
      </c>
    </row>
    <row r="30" spans="1:9" x14ac:dyDescent="0.35">
      <c r="A30" t="s">
        <v>61</v>
      </c>
      <c r="B30">
        <v>107843891</v>
      </c>
      <c r="C30" t="s">
        <v>603</v>
      </c>
      <c r="D30" t="s">
        <v>72</v>
      </c>
      <c r="E30" t="s">
        <v>70</v>
      </c>
      <c r="F30">
        <v>83</v>
      </c>
      <c r="G30" t="s">
        <v>62</v>
      </c>
      <c r="H30" t="s">
        <v>67</v>
      </c>
      <c r="I30">
        <v>580</v>
      </c>
    </row>
    <row r="31" spans="1:9" x14ac:dyDescent="0.35">
      <c r="A31" t="s">
        <v>61</v>
      </c>
      <c r="B31">
        <v>107843891</v>
      </c>
      <c r="C31" t="s">
        <v>603</v>
      </c>
      <c r="D31" t="s">
        <v>72</v>
      </c>
      <c r="E31" t="s">
        <v>70</v>
      </c>
      <c r="F31">
        <v>83</v>
      </c>
      <c r="G31" t="s">
        <v>62</v>
      </c>
      <c r="H31" t="s">
        <v>63</v>
      </c>
      <c r="I31">
        <v>190</v>
      </c>
    </row>
    <row r="32" spans="1:9" x14ac:dyDescent="0.35">
      <c r="A32" t="s">
        <v>61</v>
      </c>
      <c r="B32">
        <v>107843891</v>
      </c>
      <c r="C32" t="s">
        <v>603</v>
      </c>
      <c r="D32" t="s">
        <v>72</v>
      </c>
      <c r="E32" t="s">
        <v>70</v>
      </c>
      <c r="F32">
        <v>83</v>
      </c>
      <c r="G32" t="s">
        <v>62</v>
      </c>
      <c r="H32" t="s">
        <v>64</v>
      </c>
      <c r="I32">
        <v>390</v>
      </c>
    </row>
    <row r="33" spans="1:9" x14ac:dyDescent="0.35">
      <c r="A33" t="s">
        <v>61</v>
      </c>
      <c r="B33">
        <v>107843891</v>
      </c>
      <c r="C33" t="s">
        <v>603</v>
      </c>
      <c r="D33" t="s">
        <v>72</v>
      </c>
      <c r="E33" t="s">
        <v>70</v>
      </c>
      <c r="F33">
        <v>83</v>
      </c>
      <c r="G33" t="s">
        <v>68</v>
      </c>
      <c r="H33" t="s">
        <v>67</v>
      </c>
      <c r="I33">
        <v>83</v>
      </c>
    </row>
    <row r="34" spans="1:9" x14ac:dyDescent="0.35">
      <c r="A34" t="s">
        <v>61</v>
      </c>
      <c r="B34">
        <v>107221237</v>
      </c>
      <c r="C34" t="s">
        <v>97</v>
      </c>
      <c r="D34" t="s">
        <v>72</v>
      </c>
      <c r="E34" t="s">
        <v>58</v>
      </c>
      <c r="F34">
        <v>296</v>
      </c>
      <c r="G34" t="s">
        <v>62</v>
      </c>
      <c r="H34" t="s">
        <v>67</v>
      </c>
      <c r="I34">
        <v>1645</v>
      </c>
    </row>
    <row r="35" spans="1:9" x14ac:dyDescent="0.35">
      <c r="A35" t="s">
        <v>61</v>
      </c>
      <c r="B35">
        <v>107221237</v>
      </c>
      <c r="C35" t="s">
        <v>97</v>
      </c>
      <c r="D35" t="s">
        <v>72</v>
      </c>
      <c r="E35" t="s">
        <v>58</v>
      </c>
      <c r="F35">
        <v>296</v>
      </c>
      <c r="G35" t="s">
        <v>62</v>
      </c>
      <c r="H35" t="s">
        <v>63</v>
      </c>
      <c r="I35">
        <v>412</v>
      </c>
    </row>
    <row r="36" spans="1:9" x14ac:dyDescent="0.35">
      <c r="A36" t="s">
        <v>61</v>
      </c>
      <c r="B36">
        <v>107221237</v>
      </c>
      <c r="C36" t="s">
        <v>97</v>
      </c>
      <c r="D36" t="s">
        <v>72</v>
      </c>
      <c r="E36" t="s">
        <v>58</v>
      </c>
      <c r="F36">
        <v>296</v>
      </c>
      <c r="G36" t="s">
        <v>62</v>
      </c>
      <c r="H36" t="s">
        <v>64</v>
      </c>
      <c r="I36">
        <v>1233</v>
      </c>
    </row>
    <row r="37" spans="1:9" x14ac:dyDescent="0.35">
      <c r="A37" t="s">
        <v>61</v>
      </c>
      <c r="B37">
        <v>107221237</v>
      </c>
      <c r="C37" t="s">
        <v>97</v>
      </c>
      <c r="D37" t="s">
        <v>72</v>
      </c>
      <c r="E37" t="s">
        <v>58</v>
      </c>
      <c r="F37">
        <v>296</v>
      </c>
      <c r="G37" t="s">
        <v>68</v>
      </c>
      <c r="H37" t="s">
        <v>67</v>
      </c>
      <c r="I37">
        <v>296</v>
      </c>
    </row>
    <row r="38" spans="1:9" x14ac:dyDescent="0.35">
      <c r="A38" t="s">
        <v>61</v>
      </c>
      <c r="B38">
        <v>107791373</v>
      </c>
      <c r="C38" t="s">
        <v>618</v>
      </c>
      <c r="D38" t="s">
        <v>72</v>
      </c>
      <c r="E38" t="s">
        <v>70</v>
      </c>
      <c r="F38">
        <v>457</v>
      </c>
      <c r="G38" t="s">
        <v>62</v>
      </c>
      <c r="H38" t="s">
        <v>67</v>
      </c>
      <c r="I38">
        <v>1989</v>
      </c>
    </row>
    <row r="39" spans="1:9" x14ac:dyDescent="0.35">
      <c r="A39" t="s">
        <v>61</v>
      </c>
      <c r="B39">
        <v>107791373</v>
      </c>
      <c r="C39" t="s">
        <v>618</v>
      </c>
      <c r="D39" t="s">
        <v>72</v>
      </c>
      <c r="E39" t="s">
        <v>70</v>
      </c>
      <c r="F39">
        <v>457</v>
      </c>
      <c r="G39" t="s">
        <v>62</v>
      </c>
      <c r="H39" t="s">
        <v>63</v>
      </c>
      <c r="I39">
        <v>265</v>
      </c>
    </row>
    <row r="40" spans="1:9" x14ac:dyDescent="0.35">
      <c r="A40" t="s">
        <v>61</v>
      </c>
      <c r="B40">
        <v>107791373</v>
      </c>
      <c r="C40" t="s">
        <v>618</v>
      </c>
      <c r="D40" t="s">
        <v>72</v>
      </c>
      <c r="E40" t="s">
        <v>70</v>
      </c>
      <c r="F40">
        <v>457</v>
      </c>
      <c r="G40" t="s">
        <v>62</v>
      </c>
      <c r="H40" t="s">
        <v>64</v>
      </c>
      <c r="I40">
        <v>1724</v>
      </c>
    </row>
    <row r="41" spans="1:9" x14ac:dyDescent="0.35">
      <c r="A41" t="s">
        <v>61</v>
      </c>
      <c r="B41">
        <v>107791373</v>
      </c>
      <c r="C41" t="s">
        <v>618</v>
      </c>
      <c r="D41" t="s">
        <v>72</v>
      </c>
      <c r="E41" t="s">
        <v>70</v>
      </c>
      <c r="F41">
        <v>457</v>
      </c>
      <c r="G41" t="s">
        <v>68</v>
      </c>
      <c r="H41" t="s">
        <v>67</v>
      </c>
      <c r="I41">
        <v>457</v>
      </c>
    </row>
    <row r="42" spans="1:9" x14ac:dyDescent="0.35">
      <c r="A42" t="s">
        <v>61</v>
      </c>
      <c r="B42">
        <v>107221222</v>
      </c>
      <c r="C42" t="s">
        <v>94</v>
      </c>
      <c r="D42" t="s">
        <v>72</v>
      </c>
      <c r="E42" t="s">
        <v>70</v>
      </c>
      <c r="F42">
        <v>449</v>
      </c>
      <c r="G42" t="s">
        <v>62</v>
      </c>
      <c r="H42" t="s">
        <v>67</v>
      </c>
      <c r="I42">
        <v>2472</v>
      </c>
    </row>
    <row r="43" spans="1:9" x14ac:dyDescent="0.35">
      <c r="A43" t="s">
        <v>61</v>
      </c>
      <c r="B43">
        <v>107221222</v>
      </c>
      <c r="C43" t="s">
        <v>94</v>
      </c>
      <c r="D43" t="s">
        <v>72</v>
      </c>
      <c r="E43" t="s">
        <v>70</v>
      </c>
      <c r="F43">
        <v>449</v>
      </c>
      <c r="G43" t="s">
        <v>62</v>
      </c>
      <c r="H43" t="s">
        <v>63</v>
      </c>
      <c r="I43">
        <v>154</v>
      </c>
    </row>
    <row r="44" spans="1:9" x14ac:dyDescent="0.35">
      <c r="A44" t="s">
        <v>61</v>
      </c>
      <c r="B44">
        <v>107221222</v>
      </c>
      <c r="C44" t="s">
        <v>94</v>
      </c>
      <c r="D44" t="s">
        <v>72</v>
      </c>
      <c r="E44" t="s">
        <v>70</v>
      </c>
      <c r="F44">
        <v>449</v>
      </c>
      <c r="G44" t="s">
        <v>62</v>
      </c>
      <c r="H44" t="s">
        <v>64</v>
      </c>
      <c r="I44">
        <v>2314</v>
      </c>
    </row>
    <row r="45" spans="1:9" x14ac:dyDescent="0.35">
      <c r="A45" t="s">
        <v>61</v>
      </c>
      <c r="B45">
        <v>107221222</v>
      </c>
      <c r="C45" t="s">
        <v>94</v>
      </c>
      <c r="D45" t="s">
        <v>72</v>
      </c>
      <c r="E45" t="s">
        <v>70</v>
      </c>
      <c r="F45">
        <v>449</v>
      </c>
      <c r="G45" t="s">
        <v>62</v>
      </c>
      <c r="H45" t="s">
        <v>65</v>
      </c>
      <c r="I45">
        <v>4</v>
      </c>
    </row>
    <row r="46" spans="1:9" x14ac:dyDescent="0.35">
      <c r="A46" t="s">
        <v>61</v>
      </c>
      <c r="B46">
        <v>107221222</v>
      </c>
      <c r="C46" t="s">
        <v>94</v>
      </c>
      <c r="D46" t="s">
        <v>72</v>
      </c>
      <c r="E46" t="s">
        <v>70</v>
      </c>
      <c r="F46">
        <v>449</v>
      </c>
      <c r="G46" t="s">
        <v>68</v>
      </c>
      <c r="H46" t="s">
        <v>67</v>
      </c>
      <c r="I46">
        <v>449</v>
      </c>
    </row>
    <row r="47" spans="1:9" x14ac:dyDescent="0.35">
      <c r="A47" t="s">
        <v>61</v>
      </c>
      <c r="B47">
        <v>107843844</v>
      </c>
      <c r="C47" t="s">
        <v>601</v>
      </c>
      <c r="D47" t="s">
        <v>72</v>
      </c>
      <c r="E47" t="s">
        <v>70</v>
      </c>
      <c r="F47">
        <v>408</v>
      </c>
      <c r="G47" t="s">
        <v>62</v>
      </c>
      <c r="H47" t="s">
        <v>67</v>
      </c>
      <c r="I47">
        <v>2052</v>
      </c>
    </row>
    <row r="48" spans="1:9" x14ac:dyDescent="0.35">
      <c r="A48" t="s">
        <v>61</v>
      </c>
      <c r="B48">
        <v>107843844</v>
      </c>
      <c r="C48" t="s">
        <v>601</v>
      </c>
      <c r="D48" t="s">
        <v>72</v>
      </c>
      <c r="E48" t="s">
        <v>70</v>
      </c>
      <c r="F48">
        <v>408</v>
      </c>
      <c r="G48" t="s">
        <v>62</v>
      </c>
      <c r="H48" t="s">
        <v>63</v>
      </c>
      <c r="I48">
        <v>266</v>
      </c>
    </row>
    <row r="49" spans="1:9" x14ac:dyDescent="0.35">
      <c r="A49" t="s">
        <v>61</v>
      </c>
      <c r="B49">
        <v>107843844</v>
      </c>
      <c r="C49" t="s">
        <v>601</v>
      </c>
      <c r="D49" t="s">
        <v>72</v>
      </c>
      <c r="E49" t="s">
        <v>70</v>
      </c>
      <c r="F49">
        <v>408</v>
      </c>
      <c r="G49" t="s">
        <v>62</v>
      </c>
      <c r="H49" t="s">
        <v>64</v>
      </c>
      <c r="I49">
        <v>1786</v>
      </c>
    </row>
    <row r="50" spans="1:9" x14ac:dyDescent="0.35">
      <c r="A50" t="s">
        <v>61</v>
      </c>
      <c r="B50">
        <v>107843844</v>
      </c>
      <c r="C50" t="s">
        <v>601</v>
      </c>
      <c r="D50" t="s">
        <v>72</v>
      </c>
      <c r="E50" t="s">
        <v>70</v>
      </c>
      <c r="F50">
        <v>408</v>
      </c>
      <c r="G50" t="s">
        <v>68</v>
      </c>
      <c r="H50" t="s">
        <v>67</v>
      </c>
      <c r="I50">
        <v>408</v>
      </c>
    </row>
    <row r="51" spans="1:9" x14ac:dyDescent="0.35">
      <c r="A51" t="s">
        <v>61</v>
      </c>
      <c r="B51">
        <v>107704604</v>
      </c>
      <c r="C51" t="s">
        <v>101</v>
      </c>
      <c r="D51" t="s">
        <v>72</v>
      </c>
      <c r="E51" t="s">
        <v>58</v>
      </c>
      <c r="F51">
        <v>358</v>
      </c>
      <c r="G51" t="s">
        <v>62</v>
      </c>
      <c r="H51" t="s">
        <v>67</v>
      </c>
      <c r="I51">
        <v>4853</v>
      </c>
    </row>
    <row r="52" spans="1:9" x14ac:dyDescent="0.35">
      <c r="A52" t="s">
        <v>61</v>
      </c>
      <c r="B52">
        <v>107704604</v>
      </c>
      <c r="C52" t="s">
        <v>101</v>
      </c>
      <c r="D52" t="s">
        <v>72</v>
      </c>
      <c r="E52" t="s">
        <v>58</v>
      </c>
      <c r="F52">
        <v>358</v>
      </c>
      <c r="G52" t="s">
        <v>62</v>
      </c>
      <c r="H52" t="s">
        <v>63</v>
      </c>
      <c r="I52">
        <v>2747</v>
      </c>
    </row>
    <row r="53" spans="1:9" x14ac:dyDescent="0.35">
      <c r="A53" t="s">
        <v>61</v>
      </c>
      <c r="B53">
        <v>107704604</v>
      </c>
      <c r="C53" t="s">
        <v>101</v>
      </c>
      <c r="D53" t="s">
        <v>72</v>
      </c>
      <c r="E53" t="s">
        <v>58</v>
      </c>
      <c r="F53">
        <v>358</v>
      </c>
      <c r="G53" t="s">
        <v>62</v>
      </c>
      <c r="H53" t="s">
        <v>64</v>
      </c>
      <c r="I53">
        <v>2104</v>
      </c>
    </row>
    <row r="54" spans="1:9" x14ac:dyDescent="0.35">
      <c r="A54" t="s">
        <v>61</v>
      </c>
      <c r="B54">
        <v>107704604</v>
      </c>
      <c r="C54" t="s">
        <v>101</v>
      </c>
      <c r="D54" t="s">
        <v>72</v>
      </c>
      <c r="E54" t="s">
        <v>58</v>
      </c>
      <c r="F54">
        <v>358</v>
      </c>
      <c r="G54" t="s">
        <v>62</v>
      </c>
      <c r="H54" t="s">
        <v>65</v>
      </c>
      <c r="I54">
        <v>2</v>
      </c>
    </row>
    <row r="55" spans="1:9" x14ac:dyDescent="0.35">
      <c r="A55" t="s">
        <v>61</v>
      </c>
      <c r="B55">
        <v>107704604</v>
      </c>
      <c r="C55" t="s">
        <v>101</v>
      </c>
      <c r="D55" t="s">
        <v>72</v>
      </c>
      <c r="E55" t="s">
        <v>58</v>
      </c>
      <c r="F55">
        <v>358</v>
      </c>
      <c r="G55" t="s">
        <v>68</v>
      </c>
      <c r="H55" t="s">
        <v>67</v>
      </c>
      <c r="I55">
        <v>358</v>
      </c>
    </row>
    <row r="56" spans="1:9" x14ac:dyDescent="0.35">
      <c r="A56" t="s">
        <v>61</v>
      </c>
      <c r="B56">
        <v>107232917</v>
      </c>
      <c r="C56" t="s">
        <v>588</v>
      </c>
      <c r="D56" t="s">
        <v>72</v>
      </c>
      <c r="E56" t="s">
        <v>70</v>
      </c>
      <c r="F56">
        <v>388</v>
      </c>
      <c r="G56" t="s">
        <v>62</v>
      </c>
      <c r="H56" t="s">
        <v>67</v>
      </c>
      <c r="I56">
        <v>2243</v>
      </c>
    </row>
    <row r="57" spans="1:9" x14ac:dyDescent="0.35">
      <c r="A57" t="s">
        <v>61</v>
      </c>
      <c r="B57">
        <v>107232917</v>
      </c>
      <c r="C57" t="s">
        <v>588</v>
      </c>
      <c r="D57" t="s">
        <v>72</v>
      </c>
      <c r="E57" t="s">
        <v>70</v>
      </c>
      <c r="F57">
        <v>388</v>
      </c>
      <c r="G57" t="s">
        <v>62</v>
      </c>
      <c r="H57" t="s">
        <v>63</v>
      </c>
      <c r="I57">
        <v>527</v>
      </c>
    </row>
    <row r="58" spans="1:9" x14ac:dyDescent="0.35">
      <c r="A58" t="s">
        <v>61</v>
      </c>
      <c r="B58">
        <v>107232917</v>
      </c>
      <c r="C58" t="s">
        <v>588</v>
      </c>
      <c r="D58" t="s">
        <v>72</v>
      </c>
      <c r="E58" t="s">
        <v>70</v>
      </c>
      <c r="F58">
        <v>388</v>
      </c>
      <c r="G58" t="s">
        <v>62</v>
      </c>
      <c r="H58" t="s">
        <v>64</v>
      </c>
      <c r="I58">
        <v>1716</v>
      </c>
    </row>
    <row r="59" spans="1:9" x14ac:dyDescent="0.35">
      <c r="A59" t="s">
        <v>61</v>
      </c>
      <c r="B59">
        <v>107232917</v>
      </c>
      <c r="C59" t="s">
        <v>588</v>
      </c>
      <c r="D59" t="s">
        <v>72</v>
      </c>
      <c r="E59" t="s">
        <v>70</v>
      </c>
      <c r="F59">
        <v>388</v>
      </c>
      <c r="G59" t="s">
        <v>68</v>
      </c>
      <c r="H59" t="s">
        <v>67</v>
      </c>
      <c r="I59">
        <v>388</v>
      </c>
    </row>
    <row r="60" spans="1:9" x14ac:dyDescent="0.35">
      <c r="A60" t="s">
        <v>61</v>
      </c>
      <c r="B60">
        <v>107843876</v>
      </c>
      <c r="C60" t="s">
        <v>602</v>
      </c>
      <c r="D60" t="s">
        <v>72</v>
      </c>
      <c r="E60" t="s">
        <v>70</v>
      </c>
      <c r="F60">
        <v>399</v>
      </c>
      <c r="G60" t="s">
        <v>62</v>
      </c>
      <c r="H60" t="s">
        <v>67</v>
      </c>
      <c r="I60">
        <v>2872</v>
      </c>
    </row>
    <row r="61" spans="1:9" x14ac:dyDescent="0.35">
      <c r="A61" t="s">
        <v>61</v>
      </c>
      <c r="B61">
        <v>107843876</v>
      </c>
      <c r="C61" t="s">
        <v>602</v>
      </c>
      <c r="D61" t="s">
        <v>72</v>
      </c>
      <c r="E61" t="s">
        <v>70</v>
      </c>
      <c r="F61">
        <v>399</v>
      </c>
      <c r="G61" t="s">
        <v>62</v>
      </c>
      <c r="H61" t="s">
        <v>63</v>
      </c>
      <c r="I61">
        <v>364</v>
      </c>
    </row>
    <row r="62" spans="1:9" x14ac:dyDescent="0.35">
      <c r="A62" t="s">
        <v>61</v>
      </c>
      <c r="B62">
        <v>107843876</v>
      </c>
      <c r="C62" t="s">
        <v>602</v>
      </c>
      <c r="D62" t="s">
        <v>72</v>
      </c>
      <c r="E62" t="s">
        <v>70</v>
      </c>
      <c r="F62">
        <v>399</v>
      </c>
      <c r="G62" t="s">
        <v>62</v>
      </c>
      <c r="H62" t="s">
        <v>64</v>
      </c>
      <c r="I62">
        <v>2502</v>
      </c>
    </row>
    <row r="63" spans="1:9" x14ac:dyDescent="0.35">
      <c r="A63" t="s">
        <v>61</v>
      </c>
      <c r="B63">
        <v>107843876</v>
      </c>
      <c r="C63" t="s">
        <v>602</v>
      </c>
      <c r="D63" t="s">
        <v>72</v>
      </c>
      <c r="E63" t="s">
        <v>70</v>
      </c>
      <c r="F63">
        <v>399</v>
      </c>
      <c r="G63" t="s">
        <v>62</v>
      </c>
      <c r="H63" t="s">
        <v>65</v>
      </c>
      <c r="I63">
        <v>6</v>
      </c>
    </row>
    <row r="64" spans="1:9" x14ac:dyDescent="0.35">
      <c r="A64" t="s">
        <v>61</v>
      </c>
      <c r="B64">
        <v>107843876</v>
      </c>
      <c r="C64" t="s">
        <v>602</v>
      </c>
      <c r="D64" t="s">
        <v>72</v>
      </c>
      <c r="E64" t="s">
        <v>70</v>
      </c>
      <c r="F64">
        <v>399</v>
      </c>
      <c r="G64" t="s">
        <v>68</v>
      </c>
      <c r="H64" t="s">
        <v>67</v>
      </c>
      <c r="I64">
        <v>399</v>
      </c>
    </row>
    <row r="65" spans="1:9" x14ac:dyDescent="0.35">
      <c r="A65" t="s">
        <v>61</v>
      </c>
      <c r="B65">
        <v>107233197</v>
      </c>
      <c r="C65" t="s">
        <v>616</v>
      </c>
      <c r="D65" t="s">
        <v>72</v>
      </c>
      <c r="E65" t="s">
        <v>70</v>
      </c>
      <c r="F65">
        <v>306</v>
      </c>
      <c r="G65" t="s">
        <v>62</v>
      </c>
      <c r="H65" t="s">
        <v>67</v>
      </c>
      <c r="I65">
        <v>2411</v>
      </c>
    </row>
    <row r="66" spans="1:9" x14ac:dyDescent="0.35">
      <c r="A66" t="s">
        <v>61</v>
      </c>
      <c r="B66">
        <v>107233197</v>
      </c>
      <c r="C66" t="s">
        <v>616</v>
      </c>
      <c r="D66" t="s">
        <v>72</v>
      </c>
      <c r="E66" t="s">
        <v>70</v>
      </c>
      <c r="F66">
        <v>306</v>
      </c>
      <c r="G66" t="s">
        <v>62</v>
      </c>
      <c r="H66" t="s">
        <v>63</v>
      </c>
      <c r="I66">
        <v>728</v>
      </c>
    </row>
    <row r="67" spans="1:9" x14ac:dyDescent="0.35">
      <c r="A67" t="s">
        <v>61</v>
      </c>
      <c r="B67">
        <v>107233197</v>
      </c>
      <c r="C67" t="s">
        <v>616</v>
      </c>
      <c r="D67" t="s">
        <v>72</v>
      </c>
      <c r="E67" t="s">
        <v>70</v>
      </c>
      <c r="F67">
        <v>306</v>
      </c>
      <c r="G67" t="s">
        <v>62</v>
      </c>
      <c r="H67" t="s">
        <v>64</v>
      </c>
      <c r="I67">
        <v>1651</v>
      </c>
    </row>
    <row r="68" spans="1:9" x14ac:dyDescent="0.35">
      <c r="A68" t="s">
        <v>61</v>
      </c>
      <c r="B68">
        <v>107233197</v>
      </c>
      <c r="C68" t="s">
        <v>616</v>
      </c>
      <c r="D68" t="s">
        <v>72</v>
      </c>
      <c r="E68" t="s">
        <v>70</v>
      </c>
      <c r="F68">
        <v>306</v>
      </c>
      <c r="G68" t="s">
        <v>62</v>
      </c>
      <c r="H68" t="s">
        <v>65</v>
      </c>
      <c r="I68">
        <v>32</v>
      </c>
    </row>
    <row r="69" spans="1:9" x14ac:dyDescent="0.35">
      <c r="A69" t="s">
        <v>61</v>
      </c>
      <c r="B69">
        <v>107233197</v>
      </c>
      <c r="C69" t="s">
        <v>616</v>
      </c>
      <c r="D69" t="s">
        <v>72</v>
      </c>
      <c r="E69" t="s">
        <v>70</v>
      </c>
      <c r="F69">
        <v>306</v>
      </c>
      <c r="G69" t="s">
        <v>68</v>
      </c>
      <c r="H69" t="s">
        <v>67</v>
      </c>
      <c r="I69">
        <v>306</v>
      </c>
    </row>
    <row r="70" spans="1:9" x14ac:dyDescent="0.35">
      <c r="A70" t="s">
        <v>61</v>
      </c>
      <c r="B70">
        <v>106660730</v>
      </c>
      <c r="C70" t="s">
        <v>584</v>
      </c>
      <c r="D70" t="s">
        <v>72</v>
      </c>
      <c r="E70" t="s">
        <v>70</v>
      </c>
      <c r="F70">
        <v>305</v>
      </c>
      <c r="G70" t="s">
        <v>62</v>
      </c>
      <c r="H70" t="s">
        <v>67</v>
      </c>
      <c r="I70">
        <v>1425</v>
      </c>
    </row>
    <row r="71" spans="1:9" x14ac:dyDescent="0.35">
      <c r="A71" t="s">
        <v>61</v>
      </c>
      <c r="B71">
        <v>106660730</v>
      </c>
      <c r="C71" t="s">
        <v>584</v>
      </c>
      <c r="D71" t="s">
        <v>72</v>
      </c>
      <c r="E71" t="s">
        <v>70</v>
      </c>
      <c r="F71">
        <v>305</v>
      </c>
      <c r="G71" t="s">
        <v>62</v>
      </c>
      <c r="H71" t="s">
        <v>63</v>
      </c>
      <c r="I71">
        <v>18</v>
      </c>
    </row>
    <row r="72" spans="1:9" x14ac:dyDescent="0.35">
      <c r="A72" t="s">
        <v>61</v>
      </c>
      <c r="B72">
        <v>106660730</v>
      </c>
      <c r="C72" t="s">
        <v>584</v>
      </c>
      <c r="D72" t="s">
        <v>72</v>
      </c>
      <c r="E72" t="s">
        <v>70</v>
      </c>
      <c r="F72">
        <v>305</v>
      </c>
      <c r="G72" t="s">
        <v>62</v>
      </c>
      <c r="H72" t="s">
        <v>64</v>
      </c>
      <c r="I72">
        <v>1407</v>
      </c>
    </row>
    <row r="73" spans="1:9" x14ac:dyDescent="0.35">
      <c r="A73" t="s">
        <v>61</v>
      </c>
      <c r="B73">
        <v>106660730</v>
      </c>
      <c r="C73" t="s">
        <v>584</v>
      </c>
      <c r="D73" t="s">
        <v>72</v>
      </c>
      <c r="E73" t="s">
        <v>70</v>
      </c>
      <c r="F73">
        <v>305</v>
      </c>
      <c r="G73" t="s">
        <v>68</v>
      </c>
      <c r="H73" t="s">
        <v>67</v>
      </c>
      <c r="I73">
        <v>305</v>
      </c>
    </row>
    <row r="74" spans="1:9" x14ac:dyDescent="0.35">
      <c r="A74" t="s">
        <v>61</v>
      </c>
      <c r="B74">
        <v>100753604</v>
      </c>
      <c r="C74" t="s">
        <v>71</v>
      </c>
      <c r="D74" t="s">
        <v>72</v>
      </c>
      <c r="E74" t="s">
        <v>70</v>
      </c>
      <c r="F74">
        <v>441</v>
      </c>
      <c r="G74" t="s">
        <v>62</v>
      </c>
      <c r="H74" t="s">
        <v>67</v>
      </c>
      <c r="I74">
        <v>2589</v>
      </c>
    </row>
    <row r="75" spans="1:9" x14ac:dyDescent="0.35">
      <c r="A75" t="s">
        <v>61</v>
      </c>
      <c r="B75">
        <v>100753604</v>
      </c>
      <c r="C75" t="s">
        <v>71</v>
      </c>
      <c r="D75" t="s">
        <v>72</v>
      </c>
      <c r="E75" t="s">
        <v>70</v>
      </c>
      <c r="F75">
        <v>441</v>
      </c>
      <c r="G75" t="s">
        <v>62</v>
      </c>
      <c r="H75" t="s">
        <v>63</v>
      </c>
      <c r="I75">
        <v>787</v>
      </c>
    </row>
    <row r="76" spans="1:9" x14ac:dyDescent="0.35">
      <c r="A76" t="s">
        <v>61</v>
      </c>
      <c r="B76">
        <v>100753604</v>
      </c>
      <c r="C76" t="s">
        <v>71</v>
      </c>
      <c r="D76" t="s">
        <v>72</v>
      </c>
      <c r="E76" t="s">
        <v>70</v>
      </c>
      <c r="F76">
        <v>441</v>
      </c>
      <c r="G76" t="s">
        <v>62</v>
      </c>
      <c r="H76" t="s">
        <v>64</v>
      </c>
      <c r="I76">
        <v>1801</v>
      </c>
    </row>
    <row r="77" spans="1:9" x14ac:dyDescent="0.35">
      <c r="A77" t="s">
        <v>61</v>
      </c>
      <c r="B77">
        <v>100753604</v>
      </c>
      <c r="C77" t="s">
        <v>71</v>
      </c>
      <c r="D77" t="s">
        <v>72</v>
      </c>
      <c r="E77" t="s">
        <v>70</v>
      </c>
      <c r="F77">
        <v>441</v>
      </c>
      <c r="G77" t="s">
        <v>62</v>
      </c>
      <c r="H77" t="s">
        <v>65</v>
      </c>
      <c r="I77">
        <v>1</v>
      </c>
    </row>
    <row r="78" spans="1:9" x14ac:dyDescent="0.35">
      <c r="A78" t="s">
        <v>61</v>
      </c>
      <c r="B78">
        <v>100753604</v>
      </c>
      <c r="C78" t="s">
        <v>71</v>
      </c>
      <c r="D78" t="s">
        <v>72</v>
      </c>
      <c r="E78" t="s">
        <v>70</v>
      </c>
      <c r="F78">
        <v>441</v>
      </c>
      <c r="G78" t="s">
        <v>68</v>
      </c>
      <c r="H78" t="s">
        <v>67</v>
      </c>
      <c r="I78">
        <v>441</v>
      </c>
    </row>
    <row r="79" spans="1:9" x14ac:dyDescent="0.35">
      <c r="A79" t="s">
        <v>61</v>
      </c>
      <c r="B79">
        <v>106513473</v>
      </c>
      <c r="C79" t="s">
        <v>83</v>
      </c>
      <c r="D79" t="s">
        <v>72</v>
      </c>
      <c r="E79" t="s">
        <v>58</v>
      </c>
      <c r="F79">
        <v>408</v>
      </c>
      <c r="G79" t="s">
        <v>62</v>
      </c>
      <c r="H79" t="s">
        <v>67</v>
      </c>
      <c r="I79">
        <v>2705</v>
      </c>
    </row>
    <row r="80" spans="1:9" x14ac:dyDescent="0.35">
      <c r="A80" t="s">
        <v>61</v>
      </c>
      <c r="B80">
        <v>106513473</v>
      </c>
      <c r="C80" t="s">
        <v>83</v>
      </c>
      <c r="D80" t="s">
        <v>72</v>
      </c>
      <c r="E80" t="s">
        <v>58</v>
      </c>
      <c r="F80">
        <v>408</v>
      </c>
      <c r="G80" t="s">
        <v>62</v>
      </c>
      <c r="H80" t="s">
        <v>63</v>
      </c>
      <c r="I80">
        <v>564</v>
      </c>
    </row>
    <row r="81" spans="1:9" x14ac:dyDescent="0.35">
      <c r="A81" t="s">
        <v>61</v>
      </c>
      <c r="B81">
        <v>106513473</v>
      </c>
      <c r="C81" t="s">
        <v>83</v>
      </c>
      <c r="D81" t="s">
        <v>72</v>
      </c>
      <c r="E81" t="s">
        <v>58</v>
      </c>
      <c r="F81">
        <v>408</v>
      </c>
      <c r="G81" t="s">
        <v>62</v>
      </c>
      <c r="H81" t="s">
        <v>64</v>
      </c>
      <c r="I81">
        <v>2141</v>
      </c>
    </row>
    <row r="82" spans="1:9" x14ac:dyDescent="0.35">
      <c r="A82" t="s">
        <v>61</v>
      </c>
      <c r="B82">
        <v>106513473</v>
      </c>
      <c r="C82" t="s">
        <v>83</v>
      </c>
      <c r="D82" t="s">
        <v>72</v>
      </c>
      <c r="E82" t="s">
        <v>58</v>
      </c>
      <c r="F82">
        <v>408</v>
      </c>
      <c r="G82" t="s">
        <v>68</v>
      </c>
      <c r="H82" t="s">
        <v>67</v>
      </c>
      <c r="I82">
        <v>408</v>
      </c>
    </row>
    <row r="83" spans="1:9" x14ac:dyDescent="0.35">
      <c r="A83" t="s">
        <v>61</v>
      </c>
      <c r="B83">
        <v>107674648</v>
      </c>
      <c r="C83" t="s">
        <v>100</v>
      </c>
      <c r="D83" t="s">
        <v>72</v>
      </c>
      <c r="E83" t="s">
        <v>70</v>
      </c>
      <c r="F83">
        <v>440</v>
      </c>
      <c r="G83" t="s">
        <v>62</v>
      </c>
      <c r="H83" t="s">
        <v>67</v>
      </c>
      <c r="I83">
        <v>2190</v>
      </c>
    </row>
    <row r="84" spans="1:9" x14ac:dyDescent="0.35">
      <c r="A84" t="s">
        <v>61</v>
      </c>
      <c r="B84">
        <v>107674648</v>
      </c>
      <c r="C84" t="s">
        <v>100</v>
      </c>
      <c r="D84" t="s">
        <v>72</v>
      </c>
      <c r="E84" t="s">
        <v>70</v>
      </c>
      <c r="F84">
        <v>440</v>
      </c>
      <c r="G84" t="s">
        <v>62</v>
      </c>
      <c r="H84" t="s">
        <v>63</v>
      </c>
      <c r="I84">
        <v>431</v>
      </c>
    </row>
    <row r="85" spans="1:9" x14ac:dyDescent="0.35">
      <c r="A85" t="s">
        <v>61</v>
      </c>
      <c r="B85">
        <v>107674648</v>
      </c>
      <c r="C85" t="s">
        <v>100</v>
      </c>
      <c r="D85" t="s">
        <v>72</v>
      </c>
      <c r="E85" t="s">
        <v>70</v>
      </c>
      <c r="F85">
        <v>440</v>
      </c>
      <c r="G85" t="s">
        <v>62</v>
      </c>
      <c r="H85" t="s">
        <v>64</v>
      </c>
      <c r="I85">
        <v>1759</v>
      </c>
    </row>
    <row r="86" spans="1:9" x14ac:dyDescent="0.35">
      <c r="A86" t="s">
        <v>61</v>
      </c>
      <c r="B86">
        <v>107674648</v>
      </c>
      <c r="C86" t="s">
        <v>100</v>
      </c>
      <c r="D86" t="s">
        <v>72</v>
      </c>
      <c r="E86" t="s">
        <v>70</v>
      </c>
      <c r="F86">
        <v>440</v>
      </c>
      <c r="G86" t="s">
        <v>68</v>
      </c>
      <c r="H86" t="s">
        <v>67</v>
      </c>
      <c r="I86">
        <v>440</v>
      </c>
    </row>
    <row r="87" spans="1:9" x14ac:dyDescent="0.35">
      <c r="A87" t="s">
        <v>61</v>
      </c>
      <c r="B87">
        <v>107232968</v>
      </c>
      <c r="C87" t="s">
        <v>615</v>
      </c>
      <c r="D87" t="s">
        <v>72</v>
      </c>
      <c r="E87" t="s">
        <v>70</v>
      </c>
      <c r="F87">
        <v>405</v>
      </c>
      <c r="G87" t="s">
        <v>62</v>
      </c>
      <c r="H87" t="s">
        <v>67</v>
      </c>
      <c r="I87">
        <v>4136</v>
      </c>
    </row>
    <row r="88" spans="1:9" x14ac:dyDescent="0.35">
      <c r="A88" t="s">
        <v>61</v>
      </c>
      <c r="B88">
        <v>107232968</v>
      </c>
      <c r="C88" t="s">
        <v>615</v>
      </c>
      <c r="D88" t="s">
        <v>72</v>
      </c>
      <c r="E88" t="s">
        <v>70</v>
      </c>
      <c r="F88">
        <v>405</v>
      </c>
      <c r="G88" t="s">
        <v>62</v>
      </c>
      <c r="H88" t="s">
        <v>63</v>
      </c>
      <c r="I88">
        <v>1710</v>
      </c>
    </row>
    <row r="89" spans="1:9" x14ac:dyDescent="0.35">
      <c r="A89" t="s">
        <v>61</v>
      </c>
      <c r="B89">
        <v>107232968</v>
      </c>
      <c r="C89" t="s">
        <v>615</v>
      </c>
      <c r="D89" t="s">
        <v>72</v>
      </c>
      <c r="E89" t="s">
        <v>70</v>
      </c>
      <c r="F89">
        <v>405</v>
      </c>
      <c r="G89" t="s">
        <v>62</v>
      </c>
      <c r="H89" t="s">
        <v>64</v>
      </c>
      <c r="I89">
        <v>2426</v>
      </c>
    </row>
    <row r="90" spans="1:9" x14ac:dyDescent="0.35">
      <c r="A90" t="s">
        <v>61</v>
      </c>
      <c r="B90">
        <v>107232968</v>
      </c>
      <c r="C90" t="s">
        <v>615</v>
      </c>
      <c r="D90" t="s">
        <v>72</v>
      </c>
      <c r="E90" t="s">
        <v>70</v>
      </c>
      <c r="F90">
        <v>405</v>
      </c>
      <c r="G90" t="s">
        <v>68</v>
      </c>
      <c r="H90" t="s">
        <v>67</v>
      </c>
      <c r="I90">
        <v>405</v>
      </c>
    </row>
    <row r="91" spans="1:9" x14ac:dyDescent="0.35">
      <c r="A91" t="s">
        <v>61</v>
      </c>
      <c r="B91">
        <v>106276317</v>
      </c>
      <c r="C91" t="s">
        <v>609</v>
      </c>
      <c r="D91" t="s">
        <v>72</v>
      </c>
      <c r="E91" t="s">
        <v>70</v>
      </c>
      <c r="F91">
        <v>416</v>
      </c>
      <c r="G91" t="s">
        <v>62</v>
      </c>
      <c r="H91" t="s">
        <v>67</v>
      </c>
      <c r="I91">
        <v>2301</v>
      </c>
    </row>
    <row r="92" spans="1:9" x14ac:dyDescent="0.35">
      <c r="A92" t="s">
        <v>61</v>
      </c>
      <c r="B92">
        <v>106276317</v>
      </c>
      <c r="C92" t="s">
        <v>609</v>
      </c>
      <c r="D92" t="s">
        <v>72</v>
      </c>
      <c r="E92" t="s">
        <v>70</v>
      </c>
      <c r="F92">
        <v>416</v>
      </c>
      <c r="G92" t="s">
        <v>62</v>
      </c>
      <c r="H92" t="s">
        <v>63</v>
      </c>
      <c r="I92">
        <v>397</v>
      </c>
    </row>
    <row r="93" spans="1:9" x14ac:dyDescent="0.35">
      <c r="A93" t="s">
        <v>61</v>
      </c>
      <c r="B93">
        <v>106276317</v>
      </c>
      <c r="C93" t="s">
        <v>609</v>
      </c>
      <c r="D93" t="s">
        <v>72</v>
      </c>
      <c r="E93" t="s">
        <v>70</v>
      </c>
      <c r="F93">
        <v>416</v>
      </c>
      <c r="G93" t="s">
        <v>62</v>
      </c>
      <c r="H93" t="s">
        <v>64</v>
      </c>
      <c r="I93">
        <v>1904</v>
      </c>
    </row>
    <row r="94" spans="1:9" x14ac:dyDescent="0.35">
      <c r="A94" t="s">
        <v>61</v>
      </c>
      <c r="B94">
        <v>106276317</v>
      </c>
      <c r="C94" t="s">
        <v>609</v>
      </c>
      <c r="D94" t="s">
        <v>72</v>
      </c>
      <c r="E94" t="s">
        <v>70</v>
      </c>
      <c r="F94">
        <v>416</v>
      </c>
      <c r="G94" t="s">
        <v>68</v>
      </c>
      <c r="H94" t="s">
        <v>67</v>
      </c>
      <c r="I94">
        <v>416</v>
      </c>
    </row>
    <row r="95" spans="1:9" x14ac:dyDescent="0.35">
      <c r="A95" t="s">
        <v>61</v>
      </c>
      <c r="B95">
        <v>107775521</v>
      </c>
      <c r="C95" t="s">
        <v>107</v>
      </c>
      <c r="D95" t="s">
        <v>72</v>
      </c>
      <c r="E95" t="s">
        <v>70</v>
      </c>
      <c r="F95">
        <v>248</v>
      </c>
      <c r="G95" t="s">
        <v>62</v>
      </c>
      <c r="H95" t="s">
        <v>67</v>
      </c>
      <c r="I95">
        <v>1264</v>
      </c>
    </row>
    <row r="96" spans="1:9" x14ac:dyDescent="0.35">
      <c r="A96" t="s">
        <v>61</v>
      </c>
      <c r="B96">
        <v>107775521</v>
      </c>
      <c r="C96" t="s">
        <v>107</v>
      </c>
      <c r="D96" t="s">
        <v>72</v>
      </c>
      <c r="E96" t="s">
        <v>70</v>
      </c>
      <c r="F96">
        <v>248</v>
      </c>
      <c r="G96" t="s">
        <v>62</v>
      </c>
      <c r="H96" t="s">
        <v>63</v>
      </c>
      <c r="I96">
        <v>219</v>
      </c>
    </row>
    <row r="97" spans="1:9" x14ac:dyDescent="0.35">
      <c r="A97" t="s">
        <v>61</v>
      </c>
      <c r="B97">
        <v>107775521</v>
      </c>
      <c r="C97" t="s">
        <v>107</v>
      </c>
      <c r="D97" t="s">
        <v>72</v>
      </c>
      <c r="E97" t="s">
        <v>70</v>
      </c>
      <c r="F97">
        <v>248</v>
      </c>
      <c r="G97" t="s">
        <v>62</v>
      </c>
      <c r="H97" t="s">
        <v>64</v>
      </c>
      <c r="I97">
        <v>1045</v>
      </c>
    </row>
    <row r="98" spans="1:9" x14ac:dyDescent="0.35">
      <c r="A98" t="s">
        <v>61</v>
      </c>
      <c r="B98">
        <v>107775521</v>
      </c>
      <c r="C98" t="s">
        <v>107</v>
      </c>
      <c r="D98" t="s">
        <v>72</v>
      </c>
      <c r="E98" t="s">
        <v>70</v>
      </c>
      <c r="F98">
        <v>248</v>
      </c>
      <c r="G98" t="s">
        <v>68</v>
      </c>
      <c r="H98" t="s">
        <v>67</v>
      </c>
      <c r="I98">
        <v>248</v>
      </c>
    </row>
    <row r="99" spans="1:9" x14ac:dyDescent="0.35">
      <c r="A99" t="s">
        <v>61</v>
      </c>
      <c r="B99">
        <v>107775986</v>
      </c>
      <c r="C99" t="s">
        <v>108</v>
      </c>
      <c r="D99" t="s">
        <v>72</v>
      </c>
      <c r="E99" t="s">
        <v>70</v>
      </c>
      <c r="F99">
        <v>435</v>
      </c>
      <c r="G99" t="s">
        <v>62</v>
      </c>
      <c r="H99" t="s">
        <v>67</v>
      </c>
      <c r="I99">
        <v>2389</v>
      </c>
    </row>
    <row r="100" spans="1:9" x14ac:dyDescent="0.35">
      <c r="A100" t="s">
        <v>61</v>
      </c>
      <c r="B100">
        <v>107775986</v>
      </c>
      <c r="C100" t="s">
        <v>108</v>
      </c>
      <c r="D100" t="s">
        <v>72</v>
      </c>
      <c r="E100" t="s">
        <v>70</v>
      </c>
      <c r="F100">
        <v>435</v>
      </c>
      <c r="G100" t="s">
        <v>62</v>
      </c>
      <c r="H100" t="s">
        <v>63</v>
      </c>
      <c r="I100">
        <v>449</v>
      </c>
    </row>
    <row r="101" spans="1:9" x14ac:dyDescent="0.35">
      <c r="A101" t="s">
        <v>61</v>
      </c>
      <c r="B101">
        <v>107775986</v>
      </c>
      <c r="C101" t="s">
        <v>108</v>
      </c>
      <c r="D101" t="s">
        <v>72</v>
      </c>
      <c r="E101" t="s">
        <v>70</v>
      </c>
      <c r="F101">
        <v>435</v>
      </c>
      <c r="G101" t="s">
        <v>62</v>
      </c>
      <c r="H101" t="s">
        <v>64</v>
      </c>
      <c r="I101">
        <v>1940</v>
      </c>
    </row>
    <row r="102" spans="1:9" x14ac:dyDescent="0.35">
      <c r="A102" t="s">
        <v>61</v>
      </c>
      <c r="B102">
        <v>107775986</v>
      </c>
      <c r="C102" t="s">
        <v>108</v>
      </c>
      <c r="D102" t="s">
        <v>72</v>
      </c>
      <c r="E102" t="s">
        <v>70</v>
      </c>
      <c r="F102">
        <v>435</v>
      </c>
      <c r="G102" t="s">
        <v>68</v>
      </c>
      <c r="H102" t="s">
        <v>67</v>
      </c>
      <c r="I102">
        <v>435</v>
      </c>
    </row>
    <row r="103" spans="1:9" x14ac:dyDescent="0.35">
      <c r="A103" t="s">
        <v>61</v>
      </c>
      <c r="B103">
        <v>107775413</v>
      </c>
      <c r="C103" t="s">
        <v>106</v>
      </c>
      <c r="D103" t="s">
        <v>72</v>
      </c>
      <c r="E103" t="s">
        <v>58</v>
      </c>
      <c r="F103">
        <v>185</v>
      </c>
      <c r="G103" t="s">
        <v>62</v>
      </c>
      <c r="H103" t="s">
        <v>67</v>
      </c>
      <c r="I103">
        <v>1103</v>
      </c>
    </row>
    <row r="104" spans="1:9" x14ac:dyDescent="0.35">
      <c r="A104" t="s">
        <v>61</v>
      </c>
      <c r="B104">
        <v>107775413</v>
      </c>
      <c r="C104" t="s">
        <v>106</v>
      </c>
      <c r="D104" t="s">
        <v>72</v>
      </c>
      <c r="E104" t="s">
        <v>58</v>
      </c>
      <c r="F104">
        <v>185</v>
      </c>
      <c r="G104" t="s">
        <v>62</v>
      </c>
      <c r="H104" t="s">
        <v>63</v>
      </c>
      <c r="I104">
        <v>186</v>
      </c>
    </row>
    <row r="105" spans="1:9" x14ac:dyDescent="0.35">
      <c r="A105" t="s">
        <v>61</v>
      </c>
      <c r="B105">
        <v>107775413</v>
      </c>
      <c r="C105" t="s">
        <v>106</v>
      </c>
      <c r="D105" t="s">
        <v>72</v>
      </c>
      <c r="E105" t="s">
        <v>58</v>
      </c>
      <c r="F105">
        <v>185</v>
      </c>
      <c r="G105" t="s">
        <v>62</v>
      </c>
      <c r="H105" t="s">
        <v>64</v>
      </c>
      <c r="I105">
        <v>917</v>
      </c>
    </row>
    <row r="106" spans="1:9" x14ac:dyDescent="0.35">
      <c r="A106" t="s">
        <v>61</v>
      </c>
      <c r="B106">
        <v>107775413</v>
      </c>
      <c r="C106" t="s">
        <v>106</v>
      </c>
      <c r="D106" t="s">
        <v>72</v>
      </c>
      <c r="E106" t="s">
        <v>58</v>
      </c>
      <c r="F106">
        <v>185</v>
      </c>
      <c r="G106" t="s">
        <v>68</v>
      </c>
      <c r="H106" t="s">
        <v>67</v>
      </c>
      <c r="I106">
        <v>185</v>
      </c>
    </row>
    <row r="107" spans="1:9" x14ac:dyDescent="0.35">
      <c r="A107" t="s">
        <v>61</v>
      </c>
      <c r="B107">
        <v>105833593</v>
      </c>
      <c r="C107" t="s">
        <v>607</v>
      </c>
      <c r="D107" t="s">
        <v>60</v>
      </c>
      <c r="E107" t="s">
        <v>70</v>
      </c>
      <c r="F107">
        <v>108</v>
      </c>
      <c r="G107" t="s">
        <v>62</v>
      </c>
      <c r="H107" t="s">
        <v>67</v>
      </c>
      <c r="I107">
        <v>1081</v>
      </c>
    </row>
    <row r="108" spans="1:9" x14ac:dyDescent="0.35">
      <c r="A108" t="s">
        <v>61</v>
      </c>
      <c r="B108">
        <v>105833593</v>
      </c>
      <c r="C108" t="s">
        <v>607</v>
      </c>
      <c r="D108" t="s">
        <v>60</v>
      </c>
      <c r="E108" t="s">
        <v>70</v>
      </c>
      <c r="F108">
        <v>108</v>
      </c>
      <c r="G108" t="s">
        <v>62</v>
      </c>
      <c r="H108" t="s">
        <v>63</v>
      </c>
      <c r="I108">
        <v>524</v>
      </c>
    </row>
    <row r="109" spans="1:9" x14ac:dyDescent="0.35">
      <c r="A109" t="s">
        <v>61</v>
      </c>
      <c r="B109">
        <v>105833593</v>
      </c>
      <c r="C109" t="s">
        <v>607</v>
      </c>
      <c r="D109" t="s">
        <v>60</v>
      </c>
      <c r="E109" t="s">
        <v>70</v>
      </c>
      <c r="F109">
        <v>108</v>
      </c>
      <c r="G109" t="s">
        <v>62</v>
      </c>
      <c r="H109" t="s">
        <v>64</v>
      </c>
      <c r="I109">
        <v>557</v>
      </c>
    </row>
    <row r="110" spans="1:9" x14ac:dyDescent="0.35">
      <c r="A110" t="s">
        <v>61</v>
      </c>
      <c r="B110">
        <v>105833593</v>
      </c>
      <c r="C110" t="s">
        <v>607</v>
      </c>
      <c r="D110" t="s">
        <v>60</v>
      </c>
      <c r="E110" t="s">
        <v>70</v>
      </c>
      <c r="F110">
        <v>108</v>
      </c>
      <c r="G110" t="s">
        <v>68</v>
      </c>
      <c r="H110" t="s">
        <v>67</v>
      </c>
      <c r="I110">
        <v>108</v>
      </c>
    </row>
    <row r="111" spans="1:9" x14ac:dyDescent="0.35">
      <c r="A111" t="s">
        <v>61</v>
      </c>
      <c r="B111">
        <v>107233200</v>
      </c>
      <c r="C111" t="s">
        <v>591</v>
      </c>
      <c r="D111" t="s">
        <v>72</v>
      </c>
      <c r="E111" t="s">
        <v>70</v>
      </c>
      <c r="F111">
        <v>392</v>
      </c>
      <c r="G111" t="s">
        <v>62</v>
      </c>
      <c r="H111" t="s">
        <v>67</v>
      </c>
      <c r="I111">
        <v>2230</v>
      </c>
    </row>
    <row r="112" spans="1:9" x14ac:dyDescent="0.35">
      <c r="A112" t="s">
        <v>61</v>
      </c>
      <c r="B112">
        <v>107233200</v>
      </c>
      <c r="C112" t="s">
        <v>591</v>
      </c>
      <c r="D112" t="s">
        <v>72</v>
      </c>
      <c r="E112" t="s">
        <v>70</v>
      </c>
      <c r="F112">
        <v>392</v>
      </c>
      <c r="G112" t="s">
        <v>62</v>
      </c>
      <c r="H112" t="s">
        <v>63</v>
      </c>
      <c r="I112">
        <v>338</v>
      </c>
    </row>
    <row r="113" spans="1:9" x14ac:dyDescent="0.35">
      <c r="A113" t="s">
        <v>61</v>
      </c>
      <c r="B113">
        <v>107233200</v>
      </c>
      <c r="C113" t="s">
        <v>591</v>
      </c>
      <c r="D113" t="s">
        <v>72</v>
      </c>
      <c r="E113" t="s">
        <v>70</v>
      </c>
      <c r="F113">
        <v>392</v>
      </c>
      <c r="G113" t="s">
        <v>62</v>
      </c>
      <c r="H113" t="s">
        <v>64</v>
      </c>
      <c r="I113">
        <v>1892</v>
      </c>
    </row>
    <row r="114" spans="1:9" x14ac:dyDescent="0.35">
      <c r="A114" t="s">
        <v>61</v>
      </c>
      <c r="B114">
        <v>107233200</v>
      </c>
      <c r="C114" t="s">
        <v>591</v>
      </c>
      <c r="D114" t="s">
        <v>72</v>
      </c>
      <c r="E114" t="s">
        <v>70</v>
      </c>
      <c r="F114">
        <v>392</v>
      </c>
      <c r="G114" t="s">
        <v>68</v>
      </c>
      <c r="H114" t="s">
        <v>67</v>
      </c>
      <c r="I114">
        <v>392</v>
      </c>
    </row>
    <row r="115" spans="1:9" x14ac:dyDescent="0.35">
      <c r="A115" t="s">
        <v>61</v>
      </c>
      <c r="B115">
        <v>104378003</v>
      </c>
      <c r="C115" t="s">
        <v>582</v>
      </c>
      <c r="D115" t="s">
        <v>72</v>
      </c>
      <c r="E115" t="s">
        <v>70</v>
      </c>
      <c r="F115">
        <v>314</v>
      </c>
      <c r="G115" t="s">
        <v>62</v>
      </c>
      <c r="H115" t="s">
        <v>67</v>
      </c>
      <c r="I115">
        <v>2097</v>
      </c>
    </row>
    <row r="116" spans="1:9" x14ac:dyDescent="0.35">
      <c r="A116" t="s">
        <v>61</v>
      </c>
      <c r="B116">
        <v>104378003</v>
      </c>
      <c r="C116" t="s">
        <v>582</v>
      </c>
      <c r="D116" t="s">
        <v>72</v>
      </c>
      <c r="E116" t="s">
        <v>70</v>
      </c>
      <c r="F116">
        <v>314</v>
      </c>
      <c r="G116" t="s">
        <v>62</v>
      </c>
      <c r="H116" t="s">
        <v>63</v>
      </c>
      <c r="I116">
        <v>522</v>
      </c>
    </row>
    <row r="117" spans="1:9" x14ac:dyDescent="0.35">
      <c r="A117" t="s">
        <v>61</v>
      </c>
      <c r="B117">
        <v>104378003</v>
      </c>
      <c r="C117" t="s">
        <v>582</v>
      </c>
      <c r="D117" t="s">
        <v>72</v>
      </c>
      <c r="E117" t="s">
        <v>70</v>
      </c>
      <c r="F117">
        <v>314</v>
      </c>
      <c r="G117" t="s">
        <v>62</v>
      </c>
      <c r="H117" t="s">
        <v>64</v>
      </c>
      <c r="I117">
        <v>1575</v>
      </c>
    </row>
    <row r="118" spans="1:9" x14ac:dyDescent="0.35">
      <c r="A118" t="s">
        <v>61</v>
      </c>
      <c r="B118">
        <v>104378003</v>
      </c>
      <c r="C118" t="s">
        <v>582</v>
      </c>
      <c r="D118" t="s">
        <v>72</v>
      </c>
      <c r="E118" t="s">
        <v>70</v>
      </c>
      <c r="F118">
        <v>314</v>
      </c>
      <c r="G118" t="s">
        <v>68</v>
      </c>
      <c r="H118" t="s">
        <v>67</v>
      </c>
      <c r="I118">
        <v>314</v>
      </c>
    </row>
    <row r="119" spans="1:9" x14ac:dyDescent="0.35">
      <c r="A119" t="s">
        <v>61</v>
      </c>
      <c r="B119">
        <v>106533929</v>
      </c>
      <c r="C119" t="s">
        <v>611</v>
      </c>
      <c r="D119" t="s">
        <v>72</v>
      </c>
      <c r="E119" t="s">
        <v>70</v>
      </c>
      <c r="F119">
        <v>24</v>
      </c>
      <c r="G119" t="s">
        <v>62</v>
      </c>
      <c r="H119" t="s">
        <v>67</v>
      </c>
      <c r="I119">
        <v>1074</v>
      </c>
    </row>
    <row r="120" spans="1:9" x14ac:dyDescent="0.35">
      <c r="A120" t="s">
        <v>61</v>
      </c>
      <c r="B120">
        <v>106533929</v>
      </c>
      <c r="C120" t="s">
        <v>611</v>
      </c>
      <c r="D120" t="s">
        <v>72</v>
      </c>
      <c r="E120" t="s">
        <v>70</v>
      </c>
      <c r="F120">
        <v>24</v>
      </c>
      <c r="G120" t="s">
        <v>62</v>
      </c>
      <c r="H120" t="s">
        <v>63</v>
      </c>
      <c r="I120">
        <v>847</v>
      </c>
    </row>
    <row r="121" spans="1:9" x14ac:dyDescent="0.35">
      <c r="A121" t="s">
        <v>61</v>
      </c>
      <c r="B121">
        <v>106533929</v>
      </c>
      <c r="C121" t="s">
        <v>611</v>
      </c>
      <c r="D121" t="s">
        <v>72</v>
      </c>
      <c r="E121" t="s">
        <v>70</v>
      </c>
      <c r="F121">
        <v>24</v>
      </c>
      <c r="G121" t="s">
        <v>62</v>
      </c>
      <c r="H121" t="s">
        <v>64</v>
      </c>
      <c r="I121">
        <v>227</v>
      </c>
    </row>
    <row r="122" spans="1:9" x14ac:dyDescent="0.35">
      <c r="A122" t="s">
        <v>61</v>
      </c>
      <c r="B122">
        <v>106533929</v>
      </c>
      <c r="C122" t="s">
        <v>611</v>
      </c>
      <c r="D122" t="s">
        <v>72</v>
      </c>
      <c r="E122" t="s">
        <v>70</v>
      </c>
      <c r="F122">
        <v>24</v>
      </c>
      <c r="G122" t="s">
        <v>68</v>
      </c>
      <c r="H122" t="s">
        <v>67</v>
      </c>
      <c r="I122">
        <v>24</v>
      </c>
    </row>
    <row r="123" spans="1:9" x14ac:dyDescent="0.35">
      <c r="A123" t="s">
        <v>61</v>
      </c>
      <c r="B123">
        <v>106556401</v>
      </c>
      <c r="C123" t="s">
        <v>613</v>
      </c>
      <c r="D123" t="s">
        <v>72</v>
      </c>
      <c r="E123" t="s">
        <v>58</v>
      </c>
      <c r="F123">
        <v>92</v>
      </c>
      <c r="G123" t="s">
        <v>62</v>
      </c>
      <c r="H123" t="s">
        <v>67</v>
      </c>
      <c r="I123">
        <v>635</v>
      </c>
    </row>
    <row r="124" spans="1:9" x14ac:dyDescent="0.35">
      <c r="A124" t="s">
        <v>61</v>
      </c>
      <c r="B124">
        <v>106556401</v>
      </c>
      <c r="C124" t="s">
        <v>613</v>
      </c>
      <c r="D124" t="s">
        <v>72</v>
      </c>
      <c r="E124" t="s">
        <v>58</v>
      </c>
      <c r="F124">
        <v>92</v>
      </c>
      <c r="G124" t="s">
        <v>68</v>
      </c>
      <c r="H124" t="s">
        <v>67</v>
      </c>
      <c r="I124">
        <v>92</v>
      </c>
    </row>
    <row r="125" spans="1:9" x14ac:dyDescent="0.35">
      <c r="A125" t="s">
        <v>61</v>
      </c>
      <c r="B125">
        <v>106036051</v>
      </c>
      <c r="C125" t="s">
        <v>608</v>
      </c>
      <c r="D125" t="s">
        <v>72</v>
      </c>
      <c r="E125" t="s">
        <v>70</v>
      </c>
      <c r="F125">
        <v>202</v>
      </c>
      <c r="G125" t="s">
        <v>62</v>
      </c>
      <c r="H125" t="s">
        <v>67</v>
      </c>
      <c r="I125">
        <v>874</v>
      </c>
    </row>
    <row r="126" spans="1:9" x14ac:dyDescent="0.35">
      <c r="A126" t="s">
        <v>61</v>
      </c>
      <c r="B126">
        <v>106036051</v>
      </c>
      <c r="C126" t="s">
        <v>608</v>
      </c>
      <c r="D126" t="s">
        <v>72</v>
      </c>
      <c r="E126" t="s">
        <v>70</v>
      </c>
      <c r="F126">
        <v>202</v>
      </c>
      <c r="G126" t="s">
        <v>62</v>
      </c>
      <c r="H126" t="s">
        <v>63</v>
      </c>
      <c r="I126">
        <v>43</v>
      </c>
    </row>
    <row r="127" spans="1:9" x14ac:dyDescent="0.35">
      <c r="A127" t="s">
        <v>61</v>
      </c>
      <c r="B127">
        <v>106036051</v>
      </c>
      <c r="C127" t="s">
        <v>608</v>
      </c>
      <c r="D127" t="s">
        <v>72</v>
      </c>
      <c r="E127" t="s">
        <v>70</v>
      </c>
      <c r="F127">
        <v>202</v>
      </c>
      <c r="G127" t="s">
        <v>62</v>
      </c>
      <c r="H127" t="s">
        <v>64</v>
      </c>
      <c r="I127">
        <v>831</v>
      </c>
    </row>
    <row r="128" spans="1:9" x14ac:dyDescent="0.35">
      <c r="A128" t="s">
        <v>61</v>
      </c>
      <c r="B128">
        <v>106036051</v>
      </c>
      <c r="C128" t="s">
        <v>608</v>
      </c>
      <c r="D128" t="s">
        <v>72</v>
      </c>
      <c r="E128" t="s">
        <v>70</v>
      </c>
      <c r="F128">
        <v>202</v>
      </c>
      <c r="G128" t="s">
        <v>68</v>
      </c>
      <c r="H128" t="s">
        <v>67</v>
      </c>
      <c r="I128">
        <v>202</v>
      </c>
    </row>
    <row r="129" spans="1:9" x14ac:dyDescent="0.35">
      <c r="A129" t="s">
        <v>61</v>
      </c>
      <c r="B129">
        <v>102263726</v>
      </c>
      <c r="C129" t="s">
        <v>606</v>
      </c>
      <c r="D129" t="s">
        <v>72</v>
      </c>
      <c r="E129" t="s">
        <v>70</v>
      </c>
      <c r="F129">
        <v>67</v>
      </c>
      <c r="G129" t="s">
        <v>62</v>
      </c>
      <c r="H129" t="s">
        <v>67</v>
      </c>
      <c r="I129">
        <v>448</v>
      </c>
    </row>
    <row r="130" spans="1:9" x14ac:dyDescent="0.35">
      <c r="A130" t="s">
        <v>61</v>
      </c>
      <c r="B130">
        <v>102263726</v>
      </c>
      <c r="C130" t="s">
        <v>606</v>
      </c>
      <c r="D130" t="s">
        <v>72</v>
      </c>
      <c r="E130" t="s">
        <v>70</v>
      </c>
      <c r="F130">
        <v>67</v>
      </c>
      <c r="G130" t="s">
        <v>62</v>
      </c>
      <c r="H130" t="s">
        <v>63</v>
      </c>
      <c r="I130">
        <v>143</v>
      </c>
    </row>
    <row r="131" spans="1:9" x14ac:dyDescent="0.35">
      <c r="A131" t="s">
        <v>61</v>
      </c>
      <c r="B131">
        <v>102263726</v>
      </c>
      <c r="C131" t="s">
        <v>606</v>
      </c>
      <c r="D131" t="s">
        <v>72</v>
      </c>
      <c r="E131" t="s">
        <v>70</v>
      </c>
      <c r="F131">
        <v>67</v>
      </c>
      <c r="G131" t="s">
        <v>62</v>
      </c>
      <c r="H131" t="s">
        <v>64</v>
      </c>
      <c r="I131">
        <v>305</v>
      </c>
    </row>
    <row r="132" spans="1:9" x14ac:dyDescent="0.35">
      <c r="A132" t="s">
        <v>61</v>
      </c>
      <c r="B132">
        <v>102263726</v>
      </c>
      <c r="C132" t="s">
        <v>606</v>
      </c>
      <c r="D132" t="s">
        <v>72</v>
      </c>
      <c r="E132" t="s">
        <v>70</v>
      </c>
      <c r="F132">
        <v>67</v>
      </c>
      <c r="G132" t="s">
        <v>68</v>
      </c>
      <c r="H132" t="s">
        <v>67</v>
      </c>
      <c r="I132">
        <v>67</v>
      </c>
    </row>
    <row r="133" spans="1:9" x14ac:dyDescent="0.35">
      <c r="A133" t="s">
        <v>61</v>
      </c>
      <c r="B133">
        <v>107102430</v>
      </c>
      <c r="C133" t="s">
        <v>90</v>
      </c>
      <c r="D133" t="s">
        <v>72</v>
      </c>
      <c r="E133" t="s">
        <v>70</v>
      </c>
      <c r="F133">
        <v>443</v>
      </c>
      <c r="G133" t="s">
        <v>62</v>
      </c>
      <c r="H133" t="s">
        <v>67</v>
      </c>
      <c r="I133">
        <v>2128</v>
      </c>
    </row>
    <row r="134" spans="1:9" x14ac:dyDescent="0.35">
      <c r="A134" t="s">
        <v>61</v>
      </c>
      <c r="B134">
        <v>107102430</v>
      </c>
      <c r="C134" t="s">
        <v>90</v>
      </c>
      <c r="D134" t="s">
        <v>72</v>
      </c>
      <c r="E134" t="s">
        <v>70</v>
      </c>
      <c r="F134">
        <v>443</v>
      </c>
      <c r="G134" t="s">
        <v>62</v>
      </c>
      <c r="H134" t="s">
        <v>63</v>
      </c>
      <c r="I134">
        <v>492</v>
      </c>
    </row>
    <row r="135" spans="1:9" x14ac:dyDescent="0.35">
      <c r="A135" t="s">
        <v>61</v>
      </c>
      <c r="B135">
        <v>107102430</v>
      </c>
      <c r="C135" t="s">
        <v>90</v>
      </c>
      <c r="D135" t="s">
        <v>72</v>
      </c>
      <c r="E135" t="s">
        <v>70</v>
      </c>
      <c r="F135">
        <v>443</v>
      </c>
      <c r="G135" t="s">
        <v>62</v>
      </c>
      <c r="H135" t="s">
        <v>64</v>
      </c>
      <c r="I135">
        <v>1636</v>
      </c>
    </row>
    <row r="136" spans="1:9" x14ac:dyDescent="0.35">
      <c r="A136" t="s">
        <v>61</v>
      </c>
      <c r="B136">
        <v>107102430</v>
      </c>
      <c r="C136" t="s">
        <v>90</v>
      </c>
      <c r="D136" t="s">
        <v>72</v>
      </c>
      <c r="E136" t="s">
        <v>70</v>
      </c>
      <c r="F136">
        <v>443</v>
      </c>
      <c r="G136" t="s">
        <v>68</v>
      </c>
      <c r="H136" t="s">
        <v>67</v>
      </c>
      <c r="I136">
        <v>443</v>
      </c>
    </row>
    <row r="137" spans="1:9" x14ac:dyDescent="0.35">
      <c r="A137" t="s">
        <v>61</v>
      </c>
      <c r="B137">
        <v>107264616</v>
      </c>
      <c r="C137" t="s">
        <v>592</v>
      </c>
      <c r="D137" t="s">
        <v>72</v>
      </c>
      <c r="E137" t="s">
        <v>70</v>
      </c>
      <c r="F137">
        <v>365</v>
      </c>
      <c r="G137" t="s">
        <v>62</v>
      </c>
      <c r="H137" t="s">
        <v>67</v>
      </c>
      <c r="I137">
        <v>1659</v>
      </c>
    </row>
    <row r="138" spans="1:9" x14ac:dyDescent="0.35">
      <c r="A138" t="s">
        <v>61</v>
      </c>
      <c r="B138">
        <v>107264616</v>
      </c>
      <c r="C138" t="s">
        <v>592</v>
      </c>
      <c r="D138" t="s">
        <v>72</v>
      </c>
      <c r="E138" t="s">
        <v>70</v>
      </c>
      <c r="F138">
        <v>365</v>
      </c>
      <c r="G138" t="s">
        <v>62</v>
      </c>
      <c r="H138" t="s">
        <v>63</v>
      </c>
      <c r="I138">
        <v>214</v>
      </c>
    </row>
    <row r="139" spans="1:9" x14ac:dyDescent="0.35">
      <c r="A139" t="s">
        <v>61</v>
      </c>
      <c r="B139">
        <v>107264616</v>
      </c>
      <c r="C139" t="s">
        <v>592</v>
      </c>
      <c r="D139" t="s">
        <v>72</v>
      </c>
      <c r="E139" t="s">
        <v>70</v>
      </c>
      <c r="F139">
        <v>365</v>
      </c>
      <c r="G139" t="s">
        <v>62</v>
      </c>
      <c r="H139" t="s">
        <v>64</v>
      </c>
      <c r="I139">
        <v>1445</v>
      </c>
    </row>
    <row r="140" spans="1:9" x14ac:dyDescent="0.35">
      <c r="A140" t="s">
        <v>61</v>
      </c>
      <c r="B140">
        <v>107264616</v>
      </c>
      <c r="C140" t="s">
        <v>592</v>
      </c>
      <c r="D140" t="s">
        <v>72</v>
      </c>
      <c r="E140" t="s">
        <v>70</v>
      </c>
      <c r="F140">
        <v>365</v>
      </c>
      <c r="G140" t="s">
        <v>68</v>
      </c>
      <c r="H140" t="s">
        <v>67</v>
      </c>
      <c r="I140">
        <v>365</v>
      </c>
    </row>
    <row r="141" spans="1:9" x14ac:dyDescent="0.35">
      <c r="A141" t="s">
        <v>61</v>
      </c>
      <c r="B141">
        <v>107312682</v>
      </c>
      <c r="C141" t="s">
        <v>617</v>
      </c>
      <c r="D141" t="s">
        <v>72</v>
      </c>
      <c r="E141" t="s">
        <v>70</v>
      </c>
      <c r="F141">
        <v>98</v>
      </c>
      <c r="G141" t="s">
        <v>62</v>
      </c>
      <c r="H141" t="s">
        <v>67</v>
      </c>
      <c r="I141">
        <v>476</v>
      </c>
    </row>
    <row r="142" spans="1:9" x14ac:dyDescent="0.35">
      <c r="A142" t="s">
        <v>61</v>
      </c>
      <c r="B142">
        <v>107312682</v>
      </c>
      <c r="C142" t="s">
        <v>617</v>
      </c>
      <c r="D142" t="s">
        <v>72</v>
      </c>
      <c r="E142" t="s">
        <v>70</v>
      </c>
      <c r="F142">
        <v>98</v>
      </c>
      <c r="G142" t="s">
        <v>62</v>
      </c>
      <c r="H142" t="s">
        <v>63</v>
      </c>
      <c r="I142">
        <v>102</v>
      </c>
    </row>
    <row r="143" spans="1:9" x14ac:dyDescent="0.35">
      <c r="A143" t="s">
        <v>61</v>
      </c>
      <c r="B143">
        <v>107312682</v>
      </c>
      <c r="C143" t="s">
        <v>617</v>
      </c>
      <c r="D143" t="s">
        <v>72</v>
      </c>
      <c r="E143" t="s">
        <v>70</v>
      </c>
      <c r="F143">
        <v>98</v>
      </c>
      <c r="G143" t="s">
        <v>62</v>
      </c>
      <c r="H143" t="s">
        <v>64</v>
      </c>
      <c r="I143">
        <v>374</v>
      </c>
    </row>
    <row r="144" spans="1:9" x14ac:dyDescent="0.35">
      <c r="A144" t="s">
        <v>61</v>
      </c>
      <c r="B144">
        <v>107312682</v>
      </c>
      <c r="C144" t="s">
        <v>617</v>
      </c>
      <c r="D144" t="s">
        <v>72</v>
      </c>
      <c r="E144" t="s">
        <v>70</v>
      </c>
      <c r="F144">
        <v>98</v>
      </c>
      <c r="G144" t="s">
        <v>68</v>
      </c>
      <c r="H144" t="s">
        <v>67</v>
      </c>
      <c r="I144">
        <v>98</v>
      </c>
    </row>
    <row r="145" spans="1:9" x14ac:dyDescent="0.35">
      <c r="A145" t="s">
        <v>61</v>
      </c>
      <c r="B145">
        <v>106550610</v>
      </c>
      <c r="C145" t="s">
        <v>612</v>
      </c>
      <c r="D145" t="s">
        <v>72</v>
      </c>
      <c r="E145" t="s">
        <v>70</v>
      </c>
      <c r="F145">
        <v>313</v>
      </c>
      <c r="G145" t="s">
        <v>62</v>
      </c>
      <c r="H145" t="s">
        <v>67</v>
      </c>
      <c r="I145">
        <v>1458</v>
      </c>
    </row>
    <row r="146" spans="1:9" x14ac:dyDescent="0.35">
      <c r="A146" t="s">
        <v>61</v>
      </c>
      <c r="B146">
        <v>106550610</v>
      </c>
      <c r="C146" t="s">
        <v>612</v>
      </c>
      <c r="D146" t="s">
        <v>72</v>
      </c>
      <c r="E146" t="s">
        <v>70</v>
      </c>
      <c r="F146">
        <v>313</v>
      </c>
      <c r="G146" t="s">
        <v>62</v>
      </c>
      <c r="H146" t="s">
        <v>63</v>
      </c>
      <c r="I146">
        <v>36</v>
      </c>
    </row>
    <row r="147" spans="1:9" x14ac:dyDescent="0.35">
      <c r="A147" t="s">
        <v>61</v>
      </c>
      <c r="B147">
        <v>106550610</v>
      </c>
      <c r="C147" t="s">
        <v>612</v>
      </c>
      <c r="D147" t="s">
        <v>72</v>
      </c>
      <c r="E147" t="s">
        <v>70</v>
      </c>
      <c r="F147">
        <v>313</v>
      </c>
      <c r="G147" t="s">
        <v>62</v>
      </c>
      <c r="H147" t="s">
        <v>64</v>
      </c>
      <c r="I147">
        <v>1422</v>
      </c>
    </row>
    <row r="148" spans="1:9" x14ac:dyDescent="0.35">
      <c r="A148" t="s">
        <v>61</v>
      </c>
      <c r="B148">
        <v>106550610</v>
      </c>
      <c r="C148" t="s">
        <v>612</v>
      </c>
      <c r="D148" t="s">
        <v>72</v>
      </c>
      <c r="E148" t="s">
        <v>70</v>
      </c>
      <c r="F148">
        <v>313</v>
      </c>
      <c r="G148" t="s">
        <v>68</v>
      </c>
      <c r="H148" t="s">
        <v>67</v>
      </c>
      <c r="I148">
        <v>313</v>
      </c>
    </row>
    <row r="149" spans="1:9" x14ac:dyDescent="0.35">
      <c r="A149" t="s">
        <v>61</v>
      </c>
      <c r="B149">
        <v>107232971</v>
      </c>
      <c r="C149" t="s">
        <v>589</v>
      </c>
      <c r="D149" t="s">
        <v>72</v>
      </c>
      <c r="E149" t="s">
        <v>70</v>
      </c>
      <c r="F149">
        <v>379</v>
      </c>
      <c r="G149" t="s">
        <v>62</v>
      </c>
      <c r="H149" t="s">
        <v>67</v>
      </c>
      <c r="I149">
        <v>1945</v>
      </c>
    </row>
    <row r="150" spans="1:9" x14ac:dyDescent="0.35">
      <c r="A150" t="s">
        <v>61</v>
      </c>
      <c r="B150">
        <v>107232971</v>
      </c>
      <c r="C150" t="s">
        <v>589</v>
      </c>
      <c r="D150" t="s">
        <v>72</v>
      </c>
      <c r="E150" t="s">
        <v>70</v>
      </c>
      <c r="F150">
        <v>379</v>
      </c>
      <c r="G150" t="s">
        <v>62</v>
      </c>
      <c r="H150" t="s">
        <v>63</v>
      </c>
      <c r="I150">
        <v>611</v>
      </c>
    </row>
    <row r="151" spans="1:9" x14ac:dyDescent="0.35">
      <c r="A151" t="s">
        <v>61</v>
      </c>
      <c r="B151">
        <v>107232971</v>
      </c>
      <c r="C151" t="s">
        <v>589</v>
      </c>
      <c r="D151" t="s">
        <v>72</v>
      </c>
      <c r="E151" t="s">
        <v>70</v>
      </c>
      <c r="F151">
        <v>379</v>
      </c>
      <c r="G151" t="s">
        <v>62</v>
      </c>
      <c r="H151" t="s">
        <v>64</v>
      </c>
      <c r="I151">
        <v>1334</v>
      </c>
    </row>
    <row r="152" spans="1:9" x14ac:dyDescent="0.35">
      <c r="A152" t="s">
        <v>61</v>
      </c>
      <c r="B152">
        <v>107232971</v>
      </c>
      <c r="C152" t="s">
        <v>589</v>
      </c>
      <c r="D152" t="s">
        <v>72</v>
      </c>
      <c r="E152" t="s">
        <v>70</v>
      </c>
      <c r="F152">
        <v>379</v>
      </c>
      <c r="G152" t="s">
        <v>68</v>
      </c>
      <c r="H152" t="s">
        <v>67</v>
      </c>
      <c r="I152">
        <v>379</v>
      </c>
    </row>
    <row r="153" spans="1:9" x14ac:dyDescent="0.35">
      <c r="A153" t="s">
        <v>61</v>
      </c>
      <c r="B153">
        <v>107221179</v>
      </c>
      <c r="C153" t="s">
        <v>91</v>
      </c>
      <c r="D153" t="s">
        <v>72</v>
      </c>
      <c r="E153" t="s">
        <v>58</v>
      </c>
      <c r="F153">
        <v>421</v>
      </c>
      <c r="G153" t="s">
        <v>62</v>
      </c>
      <c r="H153" t="s">
        <v>67</v>
      </c>
      <c r="I153">
        <v>1888</v>
      </c>
    </row>
    <row r="154" spans="1:9" x14ac:dyDescent="0.35">
      <c r="A154" t="s">
        <v>61</v>
      </c>
      <c r="B154">
        <v>107221179</v>
      </c>
      <c r="C154" t="s">
        <v>91</v>
      </c>
      <c r="D154" t="s">
        <v>72</v>
      </c>
      <c r="E154" t="s">
        <v>58</v>
      </c>
      <c r="F154">
        <v>421</v>
      </c>
      <c r="G154" t="s">
        <v>62</v>
      </c>
      <c r="H154" t="s">
        <v>63</v>
      </c>
      <c r="I154">
        <v>172</v>
      </c>
    </row>
    <row r="155" spans="1:9" x14ac:dyDescent="0.35">
      <c r="A155" t="s">
        <v>61</v>
      </c>
      <c r="B155">
        <v>107221179</v>
      </c>
      <c r="C155" t="s">
        <v>91</v>
      </c>
      <c r="D155" t="s">
        <v>72</v>
      </c>
      <c r="E155" t="s">
        <v>58</v>
      </c>
      <c r="F155">
        <v>421</v>
      </c>
      <c r="G155" t="s">
        <v>62</v>
      </c>
      <c r="H155" t="s">
        <v>64</v>
      </c>
      <c r="I155">
        <v>1716</v>
      </c>
    </row>
    <row r="156" spans="1:9" x14ac:dyDescent="0.35">
      <c r="A156" t="s">
        <v>61</v>
      </c>
      <c r="B156">
        <v>107221179</v>
      </c>
      <c r="C156" t="s">
        <v>91</v>
      </c>
      <c r="D156" t="s">
        <v>72</v>
      </c>
      <c r="E156" t="s">
        <v>58</v>
      </c>
      <c r="F156">
        <v>421</v>
      </c>
      <c r="G156" t="s">
        <v>68</v>
      </c>
      <c r="H156" t="s">
        <v>67</v>
      </c>
      <c r="I156">
        <v>421</v>
      </c>
    </row>
    <row r="157" spans="1:9" x14ac:dyDescent="0.35">
      <c r="A157" t="s">
        <v>61</v>
      </c>
      <c r="B157">
        <v>106616226</v>
      </c>
      <c r="C157" t="s">
        <v>614</v>
      </c>
      <c r="D157" t="s">
        <v>72</v>
      </c>
      <c r="E157" t="s">
        <v>70</v>
      </c>
      <c r="F157">
        <v>479</v>
      </c>
      <c r="G157" t="s">
        <v>62</v>
      </c>
      <c r="H157" t="s">
        <v>67</v>
      </c>
      <c r="I157">
        <v>2788</v>
      </c>
    </row>
    <row r="158" spans="1:9" x14ac:dyDescent="0.35">
      <c r="A158" t="s">
        <v>61</v>
      </c>
      <c r="B158">
        <v>106616226</v>
      </c>
      <c r="C158" t="s">
        <v>614</v>
      </c>
      <c r="D158" t="s">
        <v>72</v>
      </c>
      <c r="E158" t="s">
        <v>70</v>
      </c>
      <c r="F158">
        <v>479</v>
      </c>
      <c r="G158" t="s">
        <v>62</v>
      </c>
      <c r="H158" t="s">
        <v>63</v>
      </c>
      <c r="I158">
        <v>885</v>
      </c>
    </row>
    <row r="159" spans="1:9" x14ac:dyDescent="0.35">
      <c r="A159" t="s">
        <v>61</v>
      </c>
      <c r="B159">
        <v>106616226</v>
      </c>
      <c r="C159" t="s">
        <v>614</v>
      </c>
      <c r="D159" t="s">
        <v>72</v>
      </c>
      <c r="E159" t="s">
        <v>70</v>
      </c>
      <c r="F159">
        <v>479</v>
      </c>
      <c r="G159" t="s">
        <v>62</v>
      </c>
      <c r="H159" t="s">
        <v>64</v>
      </c>
      <c r="I159">
        <v>1903</v>
      </c>
    </row>
    <row r="160" spans="1:9" x14ac:dyDescent="0.35">
      <c r="A160" t="s">
        <v>61</v>
      </c>
      <c r="B160">
        <v>106616226</v>
      </c>
      <c r="C160" t="s">
        <v>614</v>
      </c>
      <c r="D160" t="s">
        <v>72</v>
      </c>
      <c r="E160" t="s">
        <v>70</v>
      </c>
      <c r="F160">
        <v>479</v>
      </c>
      <c r="G160" t="s">
        <v>68</v>
      </c>
      <c r="H160" t="s">
        <v>67</v>
      </c>
      <c r="I160">
        <v>479</v>
      </c>
    </row>
    <row r="161" spans="1:9" x14ac:dyDescent="0.35">
      <c r="A161" t="s">
        <v>61</v>
      </c>
      <c r="B161">
        <v>100865064</v>
      </c>
      <c r="C161" t="s">
        <v>581</v>
      </c>
      <c r="D161" t="s">
        <v>72</v>
      </c>
      <c r="E161" t="s">
        <v>70</v>
      </c>
      <c r="F161">
        <v>223</v>
      </c>
      <c r="G161" t="s">
        <v>62</v>
      </c>
      <c r="H161" t="s">
        <v>67</v>
      </c>
      <c r="I161">
        <v>1093</v>
      </c>
    </row>
    <row r="162" spans="1:9" x14ac:dyDescent="0.35">
      <c r="A162" t="s">
        <v>61</v>
      </c>
      <c r="B162">
        <v>100865064</v>
      </c>
      <c r="C162" t="s">
        <v>581</v>
      </c>
      <c r="D162" t="s">
        <v>72</v>
      </c>
      <c r="E162" t="s">
        <v>70</v>
      </c>
      <c r="F162">
        <v>223</v>
      </c>
      <c r="G162" t="s">
        <v>62</v>
      </c>
      <c r="H162" t="s">
        <v>63</v>
      </c>
      <c r="I162">
        <v>202</v>
      </c>
    </row>
    <row r="163" spans="1:9" x14ac:dyDescent="0.35">
      <c r="A163" t="s">
        <v>61</v>
      </c>
      <c r="B163">
        <v>100865064</v>
      </c>
      <c r="C163" t="s">
        <v>581</v>
      </c>
      <c r="D163" t="s">
        <v>72</v>
      </c>
      <c r="E163" t="s">
        <v>70</v>
      </c>
      <c r="F163">
        <v>223</v>
      </c>
      <c r="G163" t="s">
        <v>62</v>
      </c>
      <c r="H163" t="s">
        <v>64</v>
      </c>
      <c r="I163">
        <v>891</v>
      </c>
    </row>
    <row r="164" spans="1:9" x14ac:dyDescent="0.35">
      <c r="A164" t="s">
        <v>61</v>
      </c>
      <c r="B164">
        <v>100865064</v>
      </c>
      <c r="C164" t="s">
        <v>581</v>
      </c>
      <c r="D164" t="s">
        <v>72</v>
      </c>
      <c r="E164" t="s">
        <v>70</v>
      </c>
      <c r="F164">
        <v>223</v>
      </c>
      <c r="G164" t="s">
        <v>68</v>
      </c>
      <c r="H164" t="s">
        <v>67</v>
      </c>
      <c r="I164">
        <v>223</v>
      </c>
    </row>
    <row r="165" spans="1:9" x14ac:dyDescent="0.35">
      <c r="A165" t="s">
        <v>61</v>
      </c>
      <c r="B165">
        <v>106488400</v>
      </c>
      <c r="C165" t="s">
        <v>610</v>
      </c>
      <c r="D165" t="s">
        <v>60</v>
      </c>
      <c r="E165" t="s">
        <v>70</v>
      </c>
      <c r="F165">
        <v>370</v>
      </c>
      <c r="G165" t="s">
        <v>62</v>
      </c>
      <c r="H165" t="s">
        <v>67</v>
      </c>
      <c r="I165">
        <v>2400</v>
      </c>
    </row>
    <row r="166" spans="1:9" x14ac:dyDescent="0.35">
      <c r="A166" t="s">
        <v>61</v>
      </c>
      <c r="B166">
        <v>106488400</v>
      </c>
      <c r="C166" t="s">
        <v>610</v>
      </c>
      <c r="D166" t="s">
        <v>60</v>
      </c>
      <c r="E166" t="s">
        <v>70</v>
      </c>
      <c r="F166">
        <v>370</v>
      </c>
      <c r="G166" t="s">
        <v>62</v>
      </c>
      <c r="H166" t="s">
        <v>63</v>
      </c>
      <c r="I166">
        <v>569</v>
      </c>
    </row>
    <row r="167" spans="1:9" x14ac:dyDescent="0.35">
      <c r="A167" t="s">
        <v>61</v>
      </c>
      <c r="B167">
        <v>106488400</v>
      </c>
      <c r="C167" t="s">
        <v>610</v>
      </c>
      <c r="D167" t="s">
        <v>60</v>
      </c>
      <c r="E167" t="s">
        <v>70</v>
      </c>
      <c r="F167">
        <v>370</v>
      </c>
      <c r="G167" t="s">
        <v>62</v>
      </c>
      <c r="H167" t="s">
        <v>64</v>
      </c>
      <c r="I167">
        <v>1825</v>
      </c>
    </row>
    <row r="168" spans="1:9" x14ac:dyDescent="0.35">
      <c r="A168" t="s">
        <v>61</v>
      </c>
      <c r="B168">
        <v>106488400</v>
      </c>
      <c r="C168" t="s">
        <v>610</v>
      </c>
      <c r="D168" t="s">
        <v>60</v>
      </c>
      <c r="E168" t="s">
        <v>70</v>
      </c>
      <c r="F168">
        <v>370</v>
      </c>
      <c r="G168" t="s">
        <v>62</v>
      </c>
      <c r="H168" t="s">
        <v>65</v>
      </c>
      <c r="I168">
        <v>6</v>
      </c>
    </row>
    <row r="169" spans="1:9" x14ac:dyDescent="0.35">
      <c r="A169" t="s">
        <v>61</v>
      </c>
      <c r="B169">
        <v>106488400</v>
      </c>
      <c r="C169" t="s">
        <v>610</v>
      </c>
      <c r="D169" t="s">
        <v>60</v>
      </c>
      <c r="E169" t="s">
        <v>70</v>
      </c>
      <c r="F169">
        <v>370</v>
      </c>
      <c r="G169" t="s">
        <v>68</v>
      </c>
      <c r="H169" t="s">
        <v>67</v>
      </c>
      <c r="I169">
        <v>370</v>
      </c>
    </row>
    <row r="170" spans="1:9" x14ac:dyDescent="0.35">
      <c r="A170" t="s">
        <v>61</v>
      </c>
      <c r="B170">
        <v>107844158</v>
      </c>
      <c r="C170" t="s">
        <v>605</v>
      </c>
      <c r="D170" t="s">
        <v>72</v>
      </c>
      <c r="E170" t="s">
        <v>70</v>
      </c>
      <c r="F170">
        <v>424</v>
      </c>
      <c r="G170" t="s">
        <v>62</v>
      </c>
      <c r="H170" t="s">
        <v>67</v>
      </c>
      <c r="I170">
        <v>1962</v>
      </c>
    </row>
    <row r="171" spans="1:9" x14ac:dyDescent="0.35">
      <c r="A171" t="s">
        <v>61</v>
      </c>
      <c r="B171">
        <v>107844158</v>
      </c>
      <c r="C171" t="s">
        <v>605</v>
      </c>
      <c r="D171" t="s">
        <v>72</v>
      </c>
      <c r="E171" t="s">
        <v>70</v>
      </c>
      <c r="F171">
        <v>424</v>
      </c>
      <c r="G171" t="s">
        <v>62</v>
      </c>
      <c r="H171" t="s">
        <v>63</v>
      </c>
      <c r="I171">
        <v>185</v>
      </c>
    </row>
    <row r="172" spans="1:9" x14ac:dyDescent="0.35">
      <c r="A172" t="s">
        <v>61</v>
      </c>
      <c r="B172">
        <v>107844158</v>
      </c>
      <c r="C172" t="s">
        <v>605</v>
      </c>
      <c r="D172" t="s">
        <v>72</v>
      </c>
      <c r="E172" t="s">
        <v>70</v>
      </c>
      <c r="F172">
        <v>424</v>
      </c>
      <c r="G172" t="s">
        <v>62</v>
      </c>
      <c r="H172" t="s">
        <v>64</v>
      </c>
      <c r="I172">
        <v>1777</v>
      </c>
    </row>
    <row r="173" spans="1:9" x14ac:dyDescent="0.35">
      <c r="A173" t="s">
        <v>61</v>
      </c>
      <c r="B173">
        <v>107844158</v>
      </c>
      <c r="C173" t="s">
        <v>605</v>
      </c>
      <c r="D173" t="s">
        <v>72</v>
      </c>
      <c r="E173" t="s">
        <v>70</v>
      </c>
      <c r="F173">
        <v>424</v>
      </c>
      <c r="G173" t="s">
        <v>68</v>
      </c>
      <c r="H173" t="s">
        <v>67</v>
      </c>
      <c r="I173">
        <v>424</v>
      </c>
    </row>
    <row r="174" spans="1:9" x14ac:dyDescent="0.35">
      <c r="A174" t="s">
        <v>37</v>
      </c>
    </row>
  </sheetData>
  <pageMargins left="0.7" right="0.7" top="0.75" bottom="0.75" header="0.3" footer="0.3"/>
  <pageSetup paperSize="256" orientation="portrait" horizontalDpi="300" verticalDpi="30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59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621</v>
      </c>
      <c r="D1" t="s">
        <v>622</v>
      </c>
      <c r="E1" t="s">
        <v>40</v>
      </c>
      <c r="F1" t="s">
        <v>623</v>
      </c>
      <c r="G1" t="s">
        <v>52</v>
      </c>
      <c r="H1" t="s">
        <v>624</v>
      </c>
      <c r="I1" t="s">
        <v>625</v>
      </c>
    </row>
    <row r="2" spans="1:9" x14ac:dyDescent="0.35">
      <c r="A2" t="s">
        <v>61</v>
      </c>
      <c r="B2">
        <v>106636925</v>
      </c>
      <c r="C2" t="s">
        <v>88</v>
      </c>
      <c r="D2" t="s">
        <v>72</v>
      </c>
      <c r="E2" t="s">
        <v>58</v>
      </c>
      <c r="F2">
        <v>366</v>
      </c>
      <c r="G2" t="s">
        <v>62</v>
      </c>
      <c r="H2" t="s">
        <v>67</v>
      </c>
      <c r="I2">
        <v>1563</v>
      </c>
    </row>
    <row r="3" spans="1:9" x14ac:dyDescent="0.35">
      <c r="A3" t="s">
        <v>61</v>
      </c>
      <c r="B3">
        <v>106636925</v>
      </c>
      <c r="C3" t="s">
        <v>88</v>
      </c>
      <c r="D3" t="s">
        <v>72</v>
      </c>
      <c r="E3" t="s">
        <v>58</v>
      </c>
      <c r="F3">
        <v>366</v>
      </c>
      <c r="G3" t="s">
        <v>62</v>
      </c>
      <c r="H3" t="s">
        <v>63</v>
      </c>
      <c r="I3">
        <v>256</v>
      </c>
    </row>
    <row r="4" spans="1:9" x14ac:dyDescent="0.35">
      <c r="A4" t="s">
        <v>61</v>
      </c>
      <c r="B4">
        <v>106636925</v>
      </c>
      <c r="C4" t="s">
        <v>88</v>
      </c>
      <c r="D4" t="s">
        <v>72</v>
      </c>
      <c r="E4" t="s">
        <v>58</v>
      </c>
      <c r="F4">
        <v>366</v>
      </c>
      <c r="G4" t="s">
        <v>62</v>
      </c>
      <c r="H4" t="s">
        <v>64</v>
      </c>
      <c r="I4">
        <v>1307</v>
      </c>
    </row>
    <row r="5" spans="1:9" x14ac:dyDescent="0.35">
      <c r="A5" t="s">
        <v>61</v>
      </c>
      <c r="B5">
        <v>106636925</v>
      </c>
      <c r="C5" t="s">
        <v>88</v>
      </c>
      <c r="D5" t="s">
        <v>72</v>
      </c>
      <c r="E5" t="s">
        <v>58</v>
      </c>
      <c r="F5">
        <v>366</v>
      </c>
      <c r="G5" t="s">
        <v>68</v>
      </c>
      <c r="H5" t="s">
        <v>67</v>
      </c>
      <c r="I5">
        <v>366</v>
      </c>
    </row>
    <row r="6" spans="1:9" x14ac:dyDescent="0.35">
      <c r="A6" t="s">
        <v>61</v>
      </c>
      <c r="B6">
        <v>106640096</v>
      </c>
      <c r="C6" t="s">
        <v>89</v>
      </c>
      <c r="D6" t="s">
        <v>72</v>
      </c>
      <c r="E6" t="s">
        <v>70</v>
      </c>
      <c r="F6">
        <v>453</v>
      </c>
      <c r="G6" t="s">
        <v>62</v>
      </c>
      <c r="H6" t="s">
        <v>67</v>
      </c>
      <c r="I6">
        <v>2119</v>
      </c>
    </row>
    <row r="7" spans="1:9" x14ac:dyDescent="0.35">
      <c r="A7" t="s">
        <v>61</v>
      </c>
      <c r="B7">
        <v>106640096</v>
      </c>
      <c r="C7" t="s">
        <v>89</v>
      </c>
      <c r="D7" t="s">
        <v>72</v>
      </c>
      <c r="E7" t="s">
        <v>70</v>
      </c>
      <c r="F7">
        <v>453</v>
      </c>
      <c r="G7" t="s">
        <v>62</v>
      </c>
      <c r="H7" t="s">
        <v>63</v>
      </c>
      <c r="I7">
        <v>254</v>
      </c>
    </row>
    <row r="8" spans="1:9" x14ac:dyDescent="0.35">
      <c r="A8" t="s">
        <v>61</v>
      </c>
      <c r="B8">
        <v>106640096</v>
      </c>
      <c r="C8" t="s">
        <v>89</v>
      </c>
      <c r="D8" t="s">
        <v>72</v>
      </c>
      <c r="E8" t="s">
        <v>70</v>
      </c>
      <c r="F8">
        <v>453</v>
      </c>
      <c r="G8" t="s">
        <v>62</v>
      </c>
      <c r="H8" t="s">
        <v>64</v>
      </c>
      <c r="I8">
        <v>1843</v>
      </c>
    </row>
    <row r="9" spans="1:9" x14ac:dyDescent="0.35">
      <c r="A9" t="s">
        <v>61</v>
      </c>
      <c r="B9">
        <v>106640096</v>
      </c>
      <c r="C9" t="s">
        <v>89</v>
      </c>
      <c r="D9" t="s">
        <v>72</v>
      </c>
      <c r="E9" t="s">
        <v>70</v>
      </c>
      <c r="F9">
        <v>453</v>
      </c>
      <c r="G9" t="s">
        <v>62</v>
      </c>
      <c r="H9" t="s">
        <v>65</v>
      </c>
      <c r="I9">
        <v>22</v>
      </c>
    </row>
    <row r="10" spans="1:9" x14ac:dyDescent="0.35">
      <c r="A10" t="s">
        <v>61</v>
      </c>
      <c r="B10">
        <v>106640096</v>
      </c>
      <c r="C10" t="s">
        <v>89</v>
      </c>
      <c r="D10" t="s">
        <v>72</v>
      </c>
      <c r="E10" t="s">
        <v>70</v>
      </c>
      <c r="F10">
        <v>453</v>
      </c>
      <c r="G10" t="s">
        <v>68</v>
      </c>
      <c r="H10" t="s">
        <v>67</v>
      </c>
      <c r="I10">
        <v>453</v>
      </c>
    </row>
    <row r="11" spans="1:9" x14ac:dyDescent="0.35">
      <c r="A11" t="s">
        <v>61</v>
      </c>
      <c r="B11">
        <v>107233183</v>
      </c>
      <c r="C11" t="s">
        <v>590</v>
      </c>
      <c r="D11" t="s">
        <v>72</v>
      </c>
      <c r="E11" t="s">
        <v>70</v>
      </c>
      <c r="F11">
        <v>219</v>
      </c>
      <c r="G11" t="s">
        <v>62</v>
      </c>
      <c r="H11" t="s">
        <v>67</v>
      </c>
      <c r="I11">
        <v>1651</v>
      </c>
    </row>
    <row r="12" spans="1:9" x14ac:dyDescent="0.35">
      <c r="A12" t="s">
        <v>61</v>
      </c>
      <c r="B12">
        <v>107233183</v>
      </c>
      <c r="C12" t="s">
        <v>590</v>
      </c>
      <c r="D12" t="s">
        <v>72</v>
      </c>
      <c r="E12" t="s">
        <v>70</v>
      </c>
      <c r="F12">
        <v>219</v>
      </c>
      <c r="G12" t="s">
        <v>62</v>
      </c>
      <c r="H12" t="s">
        <v>63</v>
      </c>
      <c r="I12">
        <v>696</v>
      </c>
    </row>
    <row r="13" spans="1:9" x14ac:dyDescent="0.35">
      <c r="A13" t="s">
        <v>61</v>
      </c>
      <c r="B13">
        <v>107233183</v>
      </c>
      <c r="C13" t="s">
        <v>590</v>
      </c>
      <c r="D13" t="s">
        <v>72</v>
      </c>
      <c r="E13" t="s">
        <v>70</v>
      </c>
      <c r="F13">
        <v>219</v>
      </c>
      <c r="G13" t="s">
        <v>62</v>
      </c>
      <c r="H13" t="s">
        <v>64</v>
      </c>
      <c r="I13">
        <v>945</v>
      </c>
    </row>
    <row r="14" spans="1:9" x14ac:dyDescent="0.35">
      <c r="A14" t="s">
        <v>61</v>
      </c>
      <c r="B14">
        <v>107233183</v>
      </c>
      <c r="C14" t="s">
        <v>590</v>
      </c>
      <c r="D14" t="s">
        <v>72</v>
      </c>
      <c r="E14" t="s">
        <v>70</v>
      </c>
      <c r="F14">
        <v>219</v>
      </c>
      <c r="G14" t="s">
        <v>62</v>
      </c>
      <c r="H14" t="s">
        <v>65</v>
      </c>
      <c r="I14">
        <v>10</v>
      </c>
    </row>
    <row r="15" spans="1:9" x14ac:dyDescent="0.35">
      <c r="A15" t="s">
        <v>61</v>
      </c>
      <c r="B15">
        <v>107233183</v>
      </c>
      <c r="C15" t="s">
        <v>590</v>
      </c>
      <c r="D15" t="s">
        <v>72</v>
      </c>
      <c r="E15" t="s">
        <v>70</v>
      </c>
      <c r="F15">
        <v>219</v>
      </c>
      <c r="G15" t="s">
        <v>68</v>
      </c>
      <c r="H15" t="s">
        <v>67</v>
      </c>
      <c r="I15">
        <v>219</v>
      </c>
    </row>
    <row r="16" spans="1:9" x14ac:dyDescent="0.35">
      <c r="A16" t="s">
        <v>61</v>
      </c>
      <c r="B16">
        <v>107844157</v>
      </c>
      <c r="C16" t="s">
        <v>604</v>
      </c>
      <c r="D16" t="s">
        <v>72</v>
      </c>
      <c r="E16" t="s">
        <v>70</v>
      </c>
      <c r="F16">
        <v>380</v>
      </c>
      <c r="G16" t="s">
        <v>62</v>
      </c>
      <c r="H16" t="s">
        <v>67</v>
      </c>
      <c r="I16">
        <v>2138</v>
      </c>
    </row>
    <row r="17" spans="1:9" x14ac:dyDescent="0.35">
      <c r="A17" t="s">
        <v>61</v>
      </c>
      <c r="B17">
        <v>107844157</v>
      </c>
      <c r="C17" t="s">
        <v>604</v>
      </c>
      <c r="D17" t="s">
        <v>72</v>
      </c>
      <c r="E17" t="s">
        <v>70</v>
      </c>
      <c r="F17">
        <v>380</v>
      </c>
      <c r="G17" t="s">
        <v>62</v>
      </c>
      <c r="H17" t="s">
        <v>63</v>
      </c>
      <c r="I17">
        <v>36</v>
      </c>
    </row>
    <row r="18" spans="1:9" x14ac:dyDescent="0.35">
      <c r="A18" t="s">
        <v>61</v>
      </c>
      <c r="B18">
        <v>107844157</v>
      </c>
      <c r="C18" t="s">
        <v>604</v>
      </c>
      <c r="D18" t="s">
        <v>72</v>
      </c>
      <c r="E18" t="s">
        <v>70</v>
      </c>
      <c r="F18">
        <v>380</v>
      </c>
      <c r="G18" t="s">
        <v>62</v>
      </c>
      <c r="H18" t="s">
        <v>64</v>
      </c>
      <c r="I18">
        <v>2062</v>
      </c>
    </row>
    <row r="19" spans="1:9" x14ac:dyDescent="0.35">
      <c r="A19" t="s">
        <v>61</v>
      </c>
      <c r="B19">
        <v>107844157</v>
      </c>
      <c r="C19" t="s">
        <v>604</v>
      </c>
      <c r="D19" t="s">
        <v>72</v>
      </c>
      <c r="E19" t="s">
        <v>70</v>
      </c>
      <c r="F19">
        <v>380</v>
      </c>
      <c r="G19" t="s">
        <v>62</v>
      </c>
      <c r="H19" t="s">
        <v>65</v>
      </c>
      <c r="I19">
        <v>40</v>
      </c>
    </row>
    <row r="20" spans="1:9" x14ac:dyDescent="0.35">
      <c r="A20" t="s">
        <v>61</v>
      </c>
      <c r="B20">
        <v>107844157</v>
      </c>
      <c r="C20" t="s">
        <v>604</v>
      </c>
      <c r="D20" t="s">
        <v>72</v>
      </c>
      <c r="E20" t="s">
        <v>70</v>
      </c>
      <c r="F20">
        <v>380</v>
      </c>
      <c r="G20" t="s">
        <v>68</v>
      </c>
      <c r="H20" t="s">
        <v>67</v>
      </c>
      <c r="I20">
        <v>380</v>
      </c>
    </row>
    <row r="21" spans="1:9" x14ac:dyDescent="0.35">
      <c r="A21" t="s">
        <v>61</v>
      </c>
      <c r="B21">
        <v>107843891</v>
      </c>
      <c r="C21" t="s">
        <v>603</v>
      </c>
      <c r="D21" t="s">
        <v>72</v>
      </c>
      <c r="E21" t="s">
        <v>70</v>
      </c>
      <c r="F21">
        <v>405</v>
      </c>
      <c r="G21" t="s">
        <v>62</v>
      </c>
      <c r="H21" t="s">
        <v>67</v>
      </c>
      <c r="I21">
        <v>2215</v>
      </c>
    </row>
    <row r="22" spans="1:9" x14ac:dyDescent="0.35">
      <c r="A22" t="s">
        <v>61</v>
      </c>
      <c r="B22">
        <v>107843891</v>
      </c>
      <c r="C22" t="s">
        <v>603</v>
      </c>
      <c r="D22" t="s">
        <v>72</v>
      </c>
      <c r="E22" t="s">
        <v>70</v>
      </c>
      <c r="F22">
        <v>405</v>
      </c>
      <c r="G22" t="s">
        <v>62</v>
      </c>
      <c r="H22" t="s">
        <v>63</v>
      </c>
      <c r="I22">
        <v>164</v>
      </c>
    </row>
    <row r="23" spans="1:9" x14ac:dyDescent="0.35">
      <c r="A23" t="s">
        <v>61</v>
      </c>
      <c r="B23">
        <v>107843891</v>
      </c>
      <c r="C23" t="s">
        <v>603</v>
      </c>
      <c r="D23" t="s">
        <v>72</v>
      </c>
      <c r="E23" t="s">
        <v>70</v>
      </c>
      <c r="F23">
        <v>405</v>
      </c>
      <c r="G23" t="s">
        <v>62</v>
      </c>
      <c r="H23" t="s">
        <v>64</v>
      </c>
      <c r="I23">
        <v>2023</v>
      </c>
    </row>
    <row r="24" spans="1:9" x14ac:dyDescent="0.35">
      <c r="A24" t="s">
        <v>61</v>
      </c>
      <c r="B24">
        <v>107843891</v>
      </c>
      <c r="C24" t="s">
        <v>603</v>
      </c>
      <c r="D24" t="s">
        <v>72</v>
      </c>
      <c r="E24" t="s">
        <v>70</v>
      </c>
      <c r="F24">
        <v>405</v>
      </c>
      <c r="G24" t="s">
        <v>62</v>
      </c>
      <c r="H24" t="s">
        <v>65</v>
      </c>
      <c r="I24">
        <v>28</v>
      </c>
    </row>
    <row r="25" spans="1:9" x14ac:dyDescent="0.35">
      <c r="A25" t="s">
        <v>61</v>
      </c>
      <c r="B25">
        <v>107843891</v>
      </c>
      <c r="C25" t="s">
        <v>603</v>
      </c>
      <c r="D25" t="s">
        <v>72</v>
      </c>
      <c r="E25" t="s">
        <v>70</v>
      </c>
      <c r="F25">
        <v>405</v>
      </c>
      <c r="G25" t="s">
        <v>68</v>
      </c>
      <c r="H25" t="s">
        <v>67</v>
      </c>
      <c r="I25">
        <v>405</v>
      </c>
    </row>
    <row r="26" spans="1:9" x14ac:dyDescent="0.35">
      <c r="A26" t="s">
        <v>61</v>
      </c>
      <c r="B26">
        <v>107221237</v>
      </c>
      <c r="C26" t="s">
        <v>97</v>
      </c>
      <c r="D26" t="s">
        <v>72</v>
      </c>
      <c r="E26" t="s">
        <v>58</v>
      </c>
      <c r="F26">
        <v>331</v>
      </c>
      <c r="G26" t="s">
        <v>62</v>
      </c>
      <c r="H26" t="s">
        <v>67</v>
      </c>
      <c r="I26">
        <v>2300</v>
      </c>
    </row>
    <row r="27" spans="1:9" x14ac:dyDescent="0.35">
      <c r="A27" t="s">
        <v>61</v>
      </c>
      <c r="B27">
        <v>107221237</v>
      </c>
      <c r="C27" t="s">
        <v>97</v>
      </c>
      <c r="D27" t="s">
        <v>72</v>
      </c>
      <c r="E27" t="s">
        <v>58</v>
      </c>
      <c r="F27">
        <v>331</v>
      </c>
      <c r="G27" t="s">
        <v>62</v>
      </c>
      <c r="H27" t="s">
        <v>63</v>
      </c>
      <c r="I27">
        <v>961</v>
      </c>
    </row>
    <row r="28" spans="1:9" x14ac:dyDescent="0.35">
      <c r="A28" t="s">
        <v>61</v>
      </c>
      <c r="B28">
        <v>107221237</v>
      </c>
      <c r="C28" t="s">
        <v>97</v>
      </c>
      <c r="D28" t="s">
        <v>72</v>
      </c>
      <c r="E28" t="s">
        <v>58</v>
      </c>
      <c r="F28">
        <v>331</v>
      </c>
      <c r="G28" t="s">
        <v>62</v>
      </c>
      <c r="H28" t="s">
        <v>64</v>
      </c>
      <c r="I28">
        <v>1339</v>
      </c>
    </row>
    <row r="29" spans="1:9" x14ac:dyDescent="0.35">
      <c r="A29" t="s">
        <v>61</v>
      </c>
      <c r="B29">
        <v>107221237</v>
      </c>
      <c r="C29" t="s">
        <v>97</v>
      </c>
      <c r="D29" t="s">
        <v>72</v>
      </c>
      <c r="E29" t="s">
        <v>58</v>
      </c>
      <c r="F29">
        <v>331</v>
      </c>
      <c r="G29" t="s">
        <v>68</v>
      </c>
      <c r="H29" t="s">
        <v>67</v>
      </c>
      <c r="I29">
        <v>331</v>
      </c>
    </row>
    <row r="30" spans="1:9" x14ac:dyDescent="0.35">
      <c r="A30" t="s">
        <v>61</v>
      </c>
      <c r="B30">
        <v>107791373</v>
      </c>
      <c r="C30" t="s">
        <v>618</v>
      </c>
      <c r="D30" t="s">
        <v>72</v>
      </c>
      <c r="E30" t="s">
        <v>70</v>
      </c>
      <c r="F30">
        <v>603</v>
      </c>
      <c r="G30" t="s">
        <v>62</v>
      </c>
      <c r="H30" t="s">
        <v>67</v>
      </c>
      <c r="I30">
        <v>3053</v>
      </c>
    </row>
    <row r="31" spans="1:9" x14ac:dyDescent="0.35">
      <c r="A31" t="s">
        <v>61</v>
      </c>
      <c r="B31">
        <v>107791373</v>
      </c>
      <c r="C31" t="s">
        <v>618</v>
      </c>
      <c r="D31" t="s">
        <v>72</v>
      </c>
      <c r="E31" t="s">
        <v>70</v>
      </c>
      <c r="F31">
        <v>603</v>
      </c>
      <c r="G31" t="s">
        <v>62</v>
      </c>
      <c r="H31" t="s">
        <v>63</v>
      </c>
      <c r="I31">
        <v>479</v>
      </c>
    </row>
    <row r="32" spans="1:9" x14ac:dyDescent="0.35">
      <c r="A32" t="s">
        <v>61</v>
      </c>
      <c r="B32">
        <v>107791373</v>
      </c>
      <c r="C32" t="s">
        <v>618</v>
      </c>
      <c r="D32" t="s">
        <v>72</v>
      </c>
      <c r="E32" t="s">
        <v>70</v>
      </c>
      <c r="F32">
        <v>603</v>
      </c>
      <c r="G32" t="s">
        <v>62</v>
      </c>
      <c r="H32" t="s">
        <v>64</v>
      </c>
      <c r="I32">
        <v>2574</v>
      </c>
    </row>
    <row r="33" spans="1:9" x14ac:dyDescent="0.35">
      <c r="A33" t="s">
        <v>61</v>
      </c>
      <c r="B33">
        <v>107791373</v>
      </c>
      <c r="C33" t="s">
        <v>618</v>
      </c>
      <c r="D33" t="s">
        <v>72</v>
      </c>
      <c r="E33" t="s">
        <v>70</v>
      </c>
      <c r="F33">
        <v>603</v>
      </c>
      <c r="G33" t="s">
        <v>68</v>
      </c>
      <c r="H33" t="s">
        <v>67</v>
      </c>
      <c r="I33">
        <v>603</v>
      </c>
    </row>
    <row r="34" spans="1:9" x14ac:dyDescent="0.35">
      <c r="A34" t="s">
        <v>61</v>
      </c>
      <c r="B34">
        <v>107221222</v>
      </c>
      <c r="C34" t="s">
        <v>94</v>
      </c>
      <c r="D34" t="s">
        <v>72</v>
      </c>
      <c r="E34" t="s">
        <v>70</v>
      </c>
      <c r="F34">
        <v>547</v>
      </c>
      <c r="G34" t="s">
        <v>62</v>
      </c>
      <c r="H34" t="s">
        <v>67</v>
      </c>
      <c r="I34">
        <v>3130</v>
      </c>
    </row>
    <row r="35" spans="1:9" x14ac:dyDescent="0.35">
      <c r="A35" t="s">
        <v>61</v>
      </c>
      <c r="B35">
        <v>107221222</v>
      </c>
      <c r="C35" t="s">
        <v>94</v>
      </c>
      <c r="D35" t="s">
        <v>72</v>
      </c>
      <c r="E35" t="s">
        <v>70</v>
      </c>
      <c r="F35">
        <v>547</v>
      </c>
      <c r="G35" t="s">
        <v>62</v>
      </c>
      <c r="H35" t="s">
        <v>63</v>
      </c>
      <c r="I35">
        <v>753</v>
      </c>
    </row>
    <row r="36" spans="1:9" x14ac:dyDescent="0.35">
      <c r="A36" t="s">
        <v>61</v>
      </c>
      <c r="B36">
        <v>107221222</v>
      </c>
      <c r="C36" t="s">
        <v>94</v>
      </c>
      <c r="D36" t="s">
        <v>72</v>
      </c>
      <c r="E36" t="s">
        <v>70</v>
      </c>
      <c r="F36">
        <v>547</v>
      </c>
      <c r="G36" t="s">
        <v>62</v>
      </c>
      <c r="H36" t="s">
        <v>64</v>
      </c>
      <c r="I36">
        <v>2349</v>
      </c>
    </row>
    <row r="37" spans="1:9" x14ac:dyDescent="0.35">
      <c r="A37" t="s">
        <v>61</v>
      </c>
      <c r="B37">
        <v>107221222</v>
      </c>
      <c r="C37" t="s">
        <v>94</v>
      </c>
      <c r="D37" t="s">
        <v>72</v>
      </c>
      <c r="E37" t="s">
        <v>70</v>
      </c>
      <c r="F37">
        <v>547</v>
      </c>
      <c r="G37" t="s">
        <v>62</v>
      </c>
      <c r="H37" t="s">
        <v>65</v>
      </c>
      <c r="I37">
        <v>28</v>
      </c>
    </row>
    <row r="38" spans="1:9" x14ac:dyDescent="0.35">
      <c r="A38" t="s">
        <v>61</v>
      </c>
      <c r="B38">
        <v>107221222</v>
      </c>
      <c r="C38" t="s">
        <v>94</v>
      </c>
      <c r="D38" t="s">
        <v>72</v>
      </c>
      <c r="E38" t="s">
        <v>70</v>
      </c>
      <c r="F38">
        <v>547</v>
      </c>
      <c r="G38" t="s">
        <v>68</v>
      </c>
      <c r="H38" t="s">
        <v>67</v>
      </c>
      <c r="I38">
        <v>547</v>
      </c>
    </row>
    <row r="39" spans="1:9" x14ac:dyDescent="0.35">
      <c r="A39" t="s">
        <v>61</v>
      </c>
      <c r="B39">
        <v>107843844</v>
      </c>
      <c r="C39" t="s">
        <v>601</v>
      </c>
      <c r="D39" t="s">
        <v>72</v>
      </c>
      <c r="E39" t="s">
        <v>70</v>
      </c>
      <c r="F39">
        <v>522</v>
      </c>
      <c r="G39" t="s">
        <v>62</v>
      </c>
      <c r="H39" t="s">
        <v>67</v>
      </c>
      <c r="I39">
        <v>2713</v>
      </c>
    </row>
    <row r="40" spans="1:9" x14ac:dyDescent="0.35">
      <c r="A40" t="s">
        <v>61</v>
      </c>
      <c r="B40">
        <v>107843844</v>
      </c>
      <c r="C40" t="s">
        <v>601</v>
      </c>
      <c r="D40" t="s">
        <v>72</v>
      </c>
      <c r="E40" t="s">
        <v>70</v>
      </c>
      <c r="F40">
        <v>522</v>
      </c>
      <c r="G40" t="s">
        <v>62</v>
      </c>
      <c r="H40" t="s">
        <v>63</v>
      </c>
      <c r="I40">
        <v>616</v>
      </c>
    </row>
    <row r="41" spans="1:9" x14ac:dyDescent="0.35">
      <c r="A41" t="s">
        <v>61</v>
      </c>
      <c r="B41">
        <v>107843844</v>
      </c>
      <c r="C41" t="s">
        <v>601</v>
      </c>
      <c r="D41" t="s">
        <v>72</v>
      </c>
      <c r="E41" t="s">
        <v>70</v>
      </c>
      <c r="F41">
        <v>522</v>
      </c>
      <c r="G41" t="s">
        <v>62</v>
      </c>
      <c r="H41" t="s">
        <v>64</v>
      </c>
      <c r="I41">
        <v>2077</v>
      </c>
    </row>
    <row r="42" spans="1:9" x14ac:dyDescent="0.35">
      <c r="A42" t="s">
        <v>61</v>
      </c>
      <c r="B42">
        <v>107843844</v>
      </c>
      <c r="C42" t="s">
        <v>601</v>
      </c>
      <c r="D42" t="s">
        <v>72</v>
      </c>
      <c r="E42" t="s">
        <v>70</v>
      </c>
      <c r="F42">
        <v>522</v>
      </c>
      <c r="G42" t="s">
        <v>62</v>
      </c>
      <c r="H42" t="s">
        <v>65</v>
      </c>
      <c r="I42">
        <v>20</v>
      </c>
    </row>
    <row r="43" spans="1:9" x14ac:dyDescent="0.35">
      <c r="A43" t="s">
        <v>61</v>
      </c>
      <c r="B43">
        <v>107843844</v>
      </c>
      <c r="C43" t="s">
        <v>601</v>
      </c>
      <c r="D43" t="s">
        <v>72</v>
      </c>
      <c r="E43" t="s">
        <v>70</v>
      </c>
      <c r="F43">
        <v>522</v>
      </c>
      <c r="G43" t="s">
        <v>68</v>
      </c>
      <c r="H43" t="s">
        <v>67</v>
      </c>
      <c r="I43">
        <v>522</v>
      </c>
    </row>
    <row r="44" spans="1:9" x14ac:dyDescent="0.35">
      <c r="A44" t="s">
        <v>61</v>
      </c>
      <c r="B44">
        <v>107704604</v>
      </c>
      <c r="C44" t="s">
        <v>101</v>
      </c>
      <c r="D44" t="s">
        <v>72</v>
      </c>
      <c r="E44" t="s">
        <v>58</v>
      </c>
      <c r="F44">
        <v>607</v>
      </c>
      <c r="G44" t="s">
        <v>62</v>
      </c>
      <c r="H44" t="s">
        <v>67</v>
      </c>
      <c r="I44">
        <v>3077</v>
      </c>
    </row>
    <row r="45" spans="1:9" x14ac:dyDescent="0.35">
      <c r="A45" t="s">
        <v>61</v>
      </c>
      <c r="B45">
        <v>107704604</v>
      </c>
      <c r="C45" t="s">
        <v>101</v>
      </c>
      <c r="D45" t="s">
        <v>72</v>
      </c>
      <c r="E45" t="s">
        <v>58</v>
      </c>
      <c r="F45">
        <v>607</v>
      </c>
      <c r="G45" t="s">
        <v>62</v>
      </c>
      <c r="H45" t="s">
        <v>63</v>
      </c>
      <c r="I45">
        <v>50</v>
      </c>
    </row>
    <row r="46" spans="1:9" x14ac:dyDescent="0.35">
      <c r="A46" t="s">
        <v>61</v>
      </c>
      <c r="B46">
        <v>107704604</v>
      </c>
      <c r="C46" t="s">
        <v>101</v>
      </c>
      <c r="D46" t="s">
        <v>72</v>
      </c>
      <c r="E46" t="s">
        <v>58</v>
      </c>
      <c r="F46">
        <v>607</v>
      </c>
      <c r="G46" t="s">
        <v>62</v>
      </c>
      <c r="H46" t="s">
        <v>64</v>
      </c>
      <c r="I46">
        <v>3027</v>
      </c>
    </row>
    <row r="47" spans="1:9" x14ac:dyDescent="0.35">
      <c r="A47" t="s">
        <v>61</v>
      </c>
      <c r="B47">
        <v>107704604</v>
      </c>
      <c r="C47" t="s">
        <v>101</v>
      </c>
      <c r="D47" t="s">
        <v>72</v>
      </c>
      <c r="E47" t="s">
        <v>58</v>
      </c>
      <c r="F47">
        <v>607</v>
      </c>
      <c r="G47" t="s">
        <v>68</v>
      </c>
      <c r="H47" t="s">
        <v>67</v>
      </c>
      <c r="I47">
        <v>607</v>
      </c>
    </row>
    <row r="48" spans="1:9" x14ac:dyDescent="0.35">
      <c r="A48" t="s">
        <v>61</v>
      </c>
      <c r="B48">
        <v>103223305</v>
      </c>
      <c r="C48" t="s">
        <v>619</v>
      </c>
      <c r="D48" t="s">
        <v>72</v>
      </c>
      <c r="E48" t="s">
        <v>70</v>
      </c>
      <c r="F48">
        <v>526</v>
      </c>
      <c r="G48" t="s">
        <v>62</v>
      </c>
      <c r="H48" t="s">
        <v>67</v>
      </c>
      <c r="I48">
        <v>2888</v>
      </c>
    </row>
    <row r="49" spans="1:9" x14ac:dyDescent="0.35">
      <c r="A49" t="s">
        <v>61</v>
      </c>
      <c r="B49">
        <v>103223305</v>
      </c>
      <c r="C49" t="s">
        <v>619</v>
      </c>
      <c r="D49" t="s">
        <v>72</v>
      </c>
      <c r="E49" t="s">
        <v>70</v>
      </c>
      <c r="F49">
        <v>526</v>
      </c>
      <c r="G49" t="s">
        <v>62</v>
      </c>
      <c r="H49" t="s">
        <v>63</v>
      </c>
      <c r="I49">
        <v>448</v>
      </c>
    </row>
    <row r="50" spans="1:9" x14ac:dyDescent="0.35">
      <c r="A50" t="s">
        <v>61</v>
      </c>
      <c r="B50">
        <v>103223305</v>
      </c>
      <c r="C50" t="s">
        <v>619</v>
      </c>
      <c r="D50" t="s">
        <v>72</v>
      </c>
      <c r="E50" t="s">
        <v>70</v>
      </c>
      <c r="F50">
        <v>526</v>
      </c>
      <c r="G50" t="s">
        <v>62</v>
      </c>
      <c r="H50" t="s">
        <v>64</v>
      </c>
      <c r="I50">
        <v>2432</v>
      </c>
    </row>
    <row r="51" spans="1:9" x14ac:dyDescent="0.35">
      <c r="A51" t="s">
        <v>61</v>
      </c>
      <c r="B51">
        <v>103223305</v>
      </c>
      <c r="C51" t="s">
        <v>619</v>
      </c>
      <c r="D51" t="s">
        <v>72</v>
      </c>
      <c r="E51" t="s">
        <v>70</v>
      </c>
      <c r="F51">
        <v>526</v>
      </c>
      <c r="G51" t="s">
        <v>62</v>
      </c>
      <c r="H51" t="s">
        <v>65</v>
      </c>
      <c r="I51">
        <v>8</v>
      </c>
    </row>
    <row r="52" spans="1:9" x14ac:dyDescent="0.35">
      <c r="A52" t="s">
        <v>61</v>
      </c>
      <c r="B52">
        <v>103223305</v>
      </c>
      <c r="C52" t="s">
        <v>619</v>
      </c>
      <c r="D52" t="s">
        <v>72</v>
      </c>
      <c r="E52" t="s">
        <v>70</v>
      </c>
      <c r="F52">
        <v>526</v>
      </c>
      <c r="G52" t="s">
        <v>68</v>
      </c>
      <c r="H52" t="s">
        <v>67</v>
      </c>
      <c r="I52">
        <v>526</v>
      </c>
    </row>
    <row r="53" spans="1:9" x14ac:dyDescent="0.35">
      <c r="A53" t="s">
        <v>61</v>
      </c>
      <c r="B53">
        <v>107232917</v>
      </c>
      <c r="C53" t="s">
        <v>588</v>
      </c>
      <c r="D53" t="s">
        <v>72</v>
      </c>
      <c r="E53" t="s">
        <v>70</v>
      </c>
      <c r="F53">
        <v>511</v>
      </c>
      <c r="G53" t="s">
        <v>62</v>
      </c>
      <c r="H53" t="s">
        <v>67</v>
      </c>
      <c r="I53">
        <v>3318</v>
      </c>
    </row>
    <row r="54" spans="1:9" x14ac:dyDescent="0.35">
      <c r="A54" t="s">
        <v>61</v>
      </c>
      <c r="B54">
        <v>107232917</v>
      </c>
      <c r="C54" t="s">
        <v>588</v>
      </c>
      <c r="D54" t="s">
        <v>72</v>
      </c>
      <c r="E54" t="s">
        <v>70</v>
      </c>
      <c r="F54">
        <v>511</v>
      </c>
      <c r="G54" t="s">
        <v>62</v>
      </c>
      <c r="H54" t="s">
        <v>63</v>
      </c>
      <c r="I54">
        <v>651</v>
      </c>
    </row>
    <row r="55" spans="1:9" x14ac:dyDescent="0.35">
      <c r="A55" t="s">
        <v>61</v>
      </c>
      <c r="B55">
        <v>107232917</v>
      </c>
      <c r="C55" t="s">
        <v>588</v>
      </c>
      <c r="D55" t="s">
        <v>72</v>
      </c>
      <c r="E55" t="s">
        <v>70</v>
      </c>
      <c r="F55">
        <v>511</v>
      </c>
      <c r="G55" t="s">
        <v>62</v>
      </c>
      <c r="H55" t="s">
        <v>64</v>
      </c>
      <c r="I55">
        <v>2667</v>
      </c>
    </row>
    <row r="56" spans="1:9" x14ac:dyDescent="0.35">
      <c r="A56" t="s">
        <v>61</v>
      </c>
      <c r="B56">
        <v>107232917</v>
      </c>
      <c r="C56" t="s">
        <v>588</v>
      </c>
      <c r="D56" t="s">
        <v>72</v>
      </c>
      <c r="E56" t="s">
        <v>70</v>
      </c>
      <c r="F56">
        <v>511</v>
      </c>
      <c r="G56" t="s">
        <v>68</v>
      </c>
      <c r="H56" t="s">
        <v>67</v>
      </c>
      <c r="I56">
        <v>511</v>
      </c>
    </row>
    <row r="57" spans="1:9" x14ac:dyDescent="0.35">
      <c r="A57" t="s">
        <v>61</v>
      </c>
      <c r="B57">
        <v>107843876</v>
      </c>
      <c r="C57" t="s">
        <v>602</v>
      </c>
      <c r="D57" t="s">
        <v>72</v>
      </c>
      <c r="E57" t="s">
        <v>70</v>
      </c>
      <c r="F57">
        <v>562</v>
      </c>
      <c r="G57" t="s">
        <v>62</v>
      </c>
      <c r="H57" t="s">
        <v>67</v>
      </c>
      <c r="I57">
        <v>2385</v>
      </c>
    </row>
    <row r="58" spans="1:9" x14ac:dyDescent="0.35">
      <c r="A58" t="s">
        <v>61</v>
      </c>
      <c r="B58">
        <v>107843876</v>
      </c>
      <c r="C58" t="s">
        <v>602</v>
      </c>
      <c r="D58" t="s">
        <v>72</v>
      </c>
      <c r="E58" t="s">
        <v>70</v>
      </c>
      <c r="F58">
        <v>562</v>
      </c>
      <c r="G58" t="s">
        <v>62</v>
      </c>
      <c r="H58" t="s">
        <v>63</v>
      </c>
      <c r="I58">
        <v>147</v>
      </c>
    </row>
    <row r="59" spans="1:9" x14ac:dyDescent="0.35">
      <c r="A59" t="s">
        <v>61</v>
      </c>
      <c r="B59">
        <v>107843876</v>
      </c>
      <c r="C59" t="s">
        <v>602</v>
      </c>
      <c r="D59" t="s">
        <v>72</v>
      </c>
      <c r="E59" t="s">
        <v>70</v>
      </c>
      <c r="F59">
        <v>562</v>
      </c>
      <c r="G59" t="s">
        <v>62</v>
      </c>
      <c r="H59" t="s">
        <v>64</v>
      </c>
      <c r="I59">
        <v>2188</v>
      </c>
    </row>
    <row r="60" spans="1:9" x14ac:dyDescent="0.35">
      <c r="A60" t="s">
        <v>61</v>
      </c>
      <c r="B60">
        <v>107843876</v>
      </c>
      <c r="C60" t="s">
        <v>602</v>
      </c>
      <c r="D60" t="s">
        <v>72</v>
      </c>
      <c r="E60" t="s">
        <v>70</v>
      </c>
      <c r="F60">
        <v>562</v>
      </c>
      <c r="G60" t="s">
        <v>62</v>
      </c>
      <c r="H60" t="s">
        <v>65</v>
      </c>
      <c r="I60">
        <v>50</v>
      </c>
    </row>
    <row r="61" spans="1:9" x14ac:dyDescent="0.35">
      <c r="A61" t="s">
        <v>61</v>
      </c>
      <c r="B61">
        <v>107843876</v>
      </c>
      <c r="C61" t="s">
        <v>602</v>
      </c>
      <c r="D61" t="s">
        <v>72</v>
      </c>
      <c r="E61" t="s">
        <v>70</v>
      </c>
      <c r="F61">
        <v>562</v>
      </c>
      <c r="G61" t="s">
        <v>68</v>
      </c>
      <c r="H61" t="s">
        <v>67</v>
      </c>
      <c r="I61">
        <v>563</v>
      </c>
    </row>
    <row r="62" spans="1:9" x14ac:dyDescent="0.35">
      <c r="A62" t="s">
        <v>61</v>
      </c>
      <c r="B62">
        <v>107233197</v>
      </c>
      <c r="C62" t="s">
        <v>616</v>
      </c>
      <c r="D62" t="s">
        <v>72</v>
      </c>
      <c r="E62" t="s">
        <v>70</v>
      </c>
      <c r="F62">
        <v>174</v>
      </c>
      <c r="G62" t="s">
        <v>62</v>
      </c>
      <c r="H62" t="s">
        <v>67</v>
      </c>
      <c r="I62">
        <v>1431</v>
      </c>
    </row>
    <row r="63" spans="1:9" x14ac:dyDescent="0.35">
      <c r="A63" t="s">
        <v>61</v>
      </c>
      <c r="B63">
        <v>107233197</v>
      </c>
      <c r="C63" t="s">
        <v>616</v>
      </c>
      <c r="D63" t="s">
        <v>72</v>
      </c>
      <c r="E63" t="s">
        <v>70</v>
      </c>
      <c r="F63">
        <v>174</v>
      </c>
      <c r="G63" t="s">
        <v>62</v>
      </c>
      <c r="H63" t="s">
        <v>63</v>
      </c>
      <c r="I63">
        <v>422</v>
      </c>
    </row>
    <row r="64" spans="1:9" x14ac:dyDescent="0.35">
      <c r="A64" t="s">
        <v>61</v>
      </c>
      <c r="B64">
        <v>107233197</v>
      </c>
      <c r="C64" t="s">
        <v>616</v>
      </c>
      <c r="D64" t="s">
        <v>72</v>
      </c>
      <c r="E64" t="s">
        <v>70</v>
      </c>
      <c r="F64">
        <v>174</v>
      </c>
      <c r="G64" t="s">
        <v>62</v>
      </c>
      <c r="H64" t="s">
        <v>64</v>
      </c>
      <c r="I64">
        <v>1005</v>
      </c>
    </row>
    <row r="65" spans="1:9" x14ac:dyDescent="0.35">
      <c r="A65" t="s">
        <v>61</v>
      </c>
      <c r="B65">
        <v>107233197</v>
      </c>
      <c r="C65" t="s">
        <v>616</v>
      </c>
      <c r="D65" t="s">
        <v>72</v>
      </c>
      <c r="E65" t="s">
        <v>70</v>
      </c>
      <c r="F65">
        <v>174</v>
      </c>
      <c r="G65" t="s">
        <v>62</v>
      </c>
      <c r="H65" t="s">
        <v>65</v>
      </c>
      <c r="I65">
        <v>4</v>
      </c>
    </row>
    <row r="66" spans="1:9" x14ac:dyDescent="0.35">
      <c r="A66" t="s">
        <v>61</v>
      </c>
      <c r="B66">
        <v>107233197</v>
      </c>
      <c r="C66" t="s">
        <v>616</v>
      </c>
      <c r="D66" t="s">
        <v>72</v>
      </c>
      <c r="E66" t="s">
        <v>70</v>
      </c>
      <c r="F66">
        <v>174</v>
      </c>
      <c r="G66" t="s">
        <v>68</v>
      </c>
      <c r="H66" t="s">
        <v>67</v>
      </c>
      <c r="I66">
        <v>174</v>
      </c>
    </row>
    <row r="67" spans="1:9" x14ac:dyDescent="0.35">
      <c r="A67" t="s">
        <v>61</v>
      </c>
      <c r="B67">
        <v>100753604</v>
      </c>
      <c r="C67" t="s">
        <v>71</v>
      </c>
      <c r="D67" t="s">
        <v>72</v>
      </c>
      <c r="E67" t="s">
        <v>70</v>
      </c>
      <c r="F67">
        <v>512</v>
      </c>
      <c r="G67" t="s">
        <v>62</v>
      </c>
      <c r="H67" t="s">
        <v>67</v>
      </c>
      <c r="I67">
        <v>2336</v>
      </c>
    </row>
    <row r="68" spans="1:9" x14ac:dyDescent="0.35">
      <c r="A68" t="s">
        <v>61</v>
      </c>
      <c r="B68">
        <v>100753604</v>
      </c>
      <c r="C68" t="s">
        <v>71</v>
      </c>
      <c r="D68" t="s">
        <v>72</v>
      </c>
      <c r="E68" t="s">
        <v>70</v>
      </c>
      <c r="F68">
        <v>512</v>
      </c>
      <c r="G68" t="s">
        <v>62</v>
      </c>
      <c r="H68" t="s">
        <v>63</v>
      </c>
      <c r="I68">
        <v>282</v>
      </c>
    </row>
    <row r="69" spans="1:9" x14ac:dyDescent="0.35">
      <c r="A69" t="s">
        <v>61</v>
      </c>
      <c r="B69">
        <v>100753604</v>
      </c>
      <c r="C69" t="s">
        <v>71</v>
      </c>
      <c r="D69" t="s">
        <v>72</v>
      </c>
      <c r="E69" t="s">
        <v>70</v>
      </c>
      <c r="F69">
        <v>512</v>
      </c>
      <c r="G69" t="s">
        <v>62</v>
      </c>
      <c r="H69" t="s">
        <v>64</v>
      </c>
      <c r="I69">
        <v>2053</v>
      </c>
    </row>
    <row r="70" spans="1:9" x14ac:dyDescent="0.35">
      <c r="A70" t="s">
        <v>61</v>
      </c>
      <c r="B70">
        <v>100753604</v>
      </c>
      <c r="C70" t="s">
        <v>71</v>
      </c>
      <c r="D70" t="s">
        <v>72</v>
      </c>
      <c r="E70" t="s">
        <v>70</v>
      </c>
      <c r="F70">
        <v>512</v>
      </c>
      <c r="G70" t="s">
        <v>62</v>
      </c>
      <c r="H70" t="s">
        <v>65</v>
      </c>
      <c r="I70">
        <v>1</v>
      </c>
    </row>
    <row r="71" spans="1:9" x14ac:dyDescent="0.35">
      <c r="A71" t="s">
        <v>61</v>
      </c>
      <c r="B71">
        <v>100753604</v>
      </c>
      <c r="C71" t="s">
        <v>71</v>
      </c>
      <c r="D71" t="s">
        <v>72</v>
      </c>
      <c r="E71" t="s">
        <v>70</v>
      </c>
      <c r="F71">
        <v>512</v>
      </c>
      <c r="G71" t="s">
        <v>68</v>
      </c>
      <c r="H71" t="s">
        <v>67</v>
      </c>
      <c r="I71">
        <v>512</v>
      </c>
    </row>
    <row r="72" spans="1:9" x14ac:dyDescent="0.35">
      <c r="A72" t="s">
        <v>61</v>
      </c>
      <c r="B72">
        <v>107674648</v>
      </c>
      <c r="C72" t="s">
        <v>100</v>
      </c>
      <c r="D72" t="s">
        <v>72</v>
      </c>
      <c r="E72" t="s">
        <v>70</v>
      </c>
      <c r="F72">
        <v>421</v>
      </c>
      <c r="G72" t="s">
        <v>62</v>
      </c>
      <c r="H72" t="s">
        <v>67</v>
      </c>
      <c r="I72">
        <v>1965</v>
      </c>
    </row>
    <row r="73" spans="1:9" x14ac:dyDescent="0.35">
      <c r="A73" t="s">
        <v>61</v>
      </c>
      <c r="B73">
        <v>107674648</v>
      </c>
      <c r="C73" t="s">
        <v>100</v>
      </c>
      <c r="D73" t="s">
        <v>72</v>
      </c>
      <c r="E73" t="s">
        <v>70</v>
      </c>
      <c r="F73">
        <v>421</v>
      </c>
      <c r="G73" t="s">
        <v>62</v>
      </c>
      <c r="H73" t="s">
        <v>63</v>
      </c>
      <c r="I73">
        <v>228</v>
      </c>
    </row>
    <row r="74" spans="1:9" x14ac:dyDescent="0.35">
      <c r="A74" t="s">
        <v>61</v>
      </c>
      <c r="B74">
        <v>107674648</v>
      </c>
      <c r="C74" t="s">
        <v>100</v>
      </c>
      <c r="D74" t="s">
        <v>72</v>
      </c>
      <c r="E74" t="s">
        <v>70</v>
      </c>
      <c r="F74">
        <v>421</v>
      </c>
      <c r="G74" t="s">
        <v>62</v>
      </c>
      <c r="H74" t="s">
        <v>64</v>
      </c>
      <c r="I74">
        <v>1733</v>
      </c>
    </row>
    <row r="75" spans="1:9" x14ac:dyDescent="0.35">
      <c r="A75" t="s">
        <v>61</v>
      </c>
      <c r="B75">
        <v>107674648</v>
      </c>
      <c r="C75" t="s">
        <v>100</v>
      </c>
      <c r="D75" t="s">
        <v>72</v>
      </c>
      <c r="E75" t="s">
        <v>70</v>
      </c>
      <c r="F75">
        <v>421</v>
      </c>
      <c r="G75" t="s">
        <v>62</v>
      </c>
      <c r="H75" t="s">
        <v>65</v>
      </c>
      <c r="I75">
        <v>4</v>
      </c>
    </row>
    <row r="76" spans="1:9" x14ac:dyDescent="0.35">
      <c r="A76" t="s">
        <v>61</v>
      </c>
      <c r="B76">
        <v>107674648</v>
      </c>
      <c r="C76" t="s">
        <v>100</v>
      </c>
      <c r="D76" t="s">
        <v>72</v>
      </c>
      <c r="E76" t="s">
        <v>70</v>
      </c>
      <c r="F76">
        <v>421</v>
      </c>
      <c r="G76" t="s">
        <v>68</v>
      </c>
      <c r="H76" t="s">
        <v>67</v>
      </c>
      <c r="I76">
        <v>421</v>
      </c>
    </row>
    <row r="77" spans="1:9" x14ac:dyDescent="0.35">
      <c r="A77" t="s">
        <v>61</v>
      </c>
      <c r="B77">
        <v>107232968</v>
      </c>
      <c r="C77" t="s">
        <v>615</v>
      </c>
      <c r="D77" t="s">
        <v>72</v>
      </c>
      <c r="E77" t="s">
        <v>70</v>
      </c>
      <c r="F77">
        <v>527</v>
      </c>
      <c r="G77" t="s">
        <v>62</v>
      </c>
      <c r="H77" t="s">
        <v>67</v>
      </c>
      <c r="I77">
        <v>2264</v>
      </c>
    </row>
    <row r="78" spans="1:9" x14ac:dyDescent="0.35">
      <c r="A78" t="s">
        <v>61</v>
      </c>
      <c r="B78">
        <v>107232968</v>
      </c>
      <c r="C78" t="s">
        <v>615</v>
      </c>
      <c r="D78" t="s">
        <v>72</v>
      </c>
      <c r="E78" t="s">
        <v>70</v>
      </c>
      <c r="F78">
        <v>527</v>
      </c>
      <c r="G78" t="s">
        <v>68</v>
      </c>
      <c r="H78" t="s">
        <v>67</v>
      </c>
      <c r="I78">
        <v>527</v>
      </c>
    </row>
    <row r="79" spans="1:9" x14ac:dyDescent="0.35">
      <c r="A79" t="s">
        <v>61</v>
      </c>
      <c r="B79">
        <v>106276317</v>
      </c>
      <c r="C79" t="s">
        <v>609</v>
      </c>
      <c r="D79" t="s">
        <v>72</v>
      </c>
      <c r="E79" t="s">
        <v>70</v>
      </c>
      <c r="F79">
        <v>576</v>
      </c>
      <c r="G79" t="s">
        <v>62</v>
      </c>
      <c r="H79" t="s">
        <v>67</v>
      </c>
      <c r="I79">
        <v>3174</v>
      </c>
    </row>
    <row r="80" spans="1:9" x14ac:dyDescent="0.35">
      <c r="A80" t="s">
        <v>61</v>
      </c>
      <c r="B80">
        <v>106276317</v>
      </c>
      <c r="C80" t="s">
        <v>609</v>
      </c>
      <c r="D80" t="s">
        <v>72</v>
      </c>
      <c r="E80" t="s">
        <v>70</v>
      </c>
      <c r="F80">
        <v>576</v>
      </c>
      <c r="G80" t="s">
        <v>62</v>
      </c>
      <c r="H80" t="s">
        <v>63</v>
      </c>
      <c r="I80">
        <v>236</v>
      </c>
    </row>
    <row r="81" spans="1:9" x14ac:dyDescent="0.35">
      <c r="A81" t="s">
        <v>61</v>
      </c>
      <c r="B81">
        <v>106276317</v>
      </c>
      <c r="C81" t="s">
        <v>609</v>
      </c>
      <c r="D81" t="s">
        <v>72</v>
      </c>
      <c r="E81" t="s">
        <v>70</v>
      </c>
      <c r="F81">
        <v>576</v>
      </c>
      <c r="G81" t="s">
        <v>62</v>
      </c>
      <c r="H81" t="s">
        <v>64</v>
      </c>
      <c r="I81">
        <v>2833</v>
      </c>
    </row>
    <row r="82" spans="1:9" x14ac:dyDescent="0.35">
      <c r="A82" t="s">
        <v>61</v>
      </c>
      <c r="B82">
        <v>106276317</v>
      </c>
      <c r="C82" t="s">
        <v>609</v>
      </c>
      <c r="D82" t="s">
        <v>72</v>
      </c>
      <c r="E82" t="s">
        <v>70</v>
      </c>
      <c r="F82">
        <v>576</v>
      </c>
      <c r="G82" t="s">
        <v>62</v>
      </c>
      <c r="H82" t="s">
        <v>65</v>
      </c>
      <c r="I82">
        <v>105</v>
      </c>
    </row>
    <row r="83" spans="1:9" x14ac:dyDescent="0.35">
      <c r="A83" t="s">
        <v>61</v>
      </c>
      <c r="B83">
        <v>106276317</v>
      </c>
      <c r="C83" t="s">
        <v>609</v>
      </c>
      <c r="D83" t="s">
        <v>72</v>
      </c>
      <c r="E83" t="s">
        <v>70</v>
      </c>
      <c r="F83">
        <v>576</v>
      </c>
      <c r="G83" t="s">
        <v>68</v>
      </c>
      <c r="H83" t="s">
        <v>67</v>
      </c>
      <c r="I83">
        <v>577</v>
      </c>
    </row>
    <row r="84" spans="1:9" x14ac:dyDescent="0.35">
      <c r="A84" t="s">
        <v>61</v>
      </c>
      <c r="B84">
        <v>107775521</v>
      </c>
      <c r="C84" t="s">
        <v>107</v>
      </c>
      <c r="D84" t="s">
        <v>72</v>
      </c>
      <c r="E84" t="s">
        <v>70</v>
      </c>
      <c r="F84">
        <v>365</v>
      </c>
      <c r="G84" t="s">
        <v>62</v>
      </c>
      <c r="H84" t="s">
        <v>67</v>
      </c>
      <c r="I84">
        <v>2076</v>
      </c>
    </row>
    <row r="85" spans="1:9" x14ac:dyDescent="0.35">
      <c r="A85" t="s">
        <v>61</v>
      </c>
      <c r="B85">
        <v>107775521</v>
      </c>
      <c r="C85" t="s">
        <v>107</v>
      </c>
      <c r="D85" t="s">
        <v>72</v>
      </c>
      <c r="E85" t="s">
        <v>70</v>
      </c>
      <c r="F85">
        <v>365</v>
      </c>
      <c r="G85" t="s">
        <v>62</v>
      </c>
      <c r="H85" t="s">
        <v>63</v>
      </c>
      <c r="I85">
        <v>188</v>
      </c>
    </row>
    <row r="86" spans="1:9" x14ac:dyDescent="0.35">
      <c r="A86" t="s">
        <v>61</v>
      </c>
      <c r="B86">
        <v>107775521</v>
      </c>
      <c r="C86" t="s">
        <v>107</v>
      </c>
      <c r="D86" t="s">
        <v>72</v>
      </c>
      <c r="E86" t="s">
        <v>70</v>
      </c>
      <c r="F86">
        <v>365</v>
      </c>
      <c r="G86" t="s">
        <v>62</v>
      </c>
      <c r="H86" t="s">
        <v>64</v>
      </c>
      <c r="I86">
        <v>1876</v>
      </c>
    </row>
    <row r="87" spans="1:9" x14ac:dyDescent="0.35">
      <c r="A87" t="s">
        <v>61</v>
      </c>
      <c r="B87">
        <v>107775521</v>
      </c>
      <c r="C87" t="s">
        <v>107</v>
      </c>
      <c r="D87" t="s">
        <v>72</v>
      </c>
      <c r="E87" t="s">
        <v>70</v>
      </c>
      <c r="F87">
        <v>365</v>
      </c>
      <c r="G87" t="s">
        <v>62</v>
      </c>
      <c r="H87" t="s">
        <v>65</v>
      </c>
      <c r="I87">
        <v>12</v>
      </c>
    </row>
    <row r="88" spans="1:9" x14ac:dyDescent="0.35">
      <c r="A88" t="s">
        <v>61</v>
      </c>
      <c r="B88">
        <v>107775521</v>
      </c>
      <c r="C88" t="s">
        <v>107</v>
      </c>
      <c r="D88" t="s">
        <v>72</v>
      </c>
      <c r="E88" t="s">
        <v>70</v>
      </c>
      <c r="F88">
        <v>365</v>
      </c>
      <c r="G88" t="s">
        <v>68</v>
      </c>
      <c r="H88" t="s">
        <v>67</v>
      </c>
      <c r="I88">
        <v>366</v>
      </c>
    </row>
    <row r="89" spans="1:9" x14ac:dyDescent="0.35">
      <c r="A89" t="s">
        <v>61</v>
      </c>
      <c r="B89">
        <v>106655388</v>
      </c>
      <c r="C89" t="s">
        <v>620</v>
      </c>
      <c r="D89" t="s">
        <v>72</v>
      </c>
      <c r="E89" t="s">
        <v>58</v>
      </c>
      <c r="F89">
        <v>464</v>
      </c>
      <c r="G89" t="s">
        <v>62</v>
      </c>
      <c r="H89" t="s">
        <v>67</v>
      </c>
      <c r="I89">
        <v>2511</v>
      </c>
    </row>
    <row r="90" spans="1:9" x14ac:dyDescent="0.35">
      <c r="A90" t="s">
        <v>61</v>
      </c>
      <c r="B90">
        <v>106655388</v>
      </c>
      <c r="C90" t="s">
        <v>620</v>
      </c>
      <c r="D90" t="s">
        <v>72</v>
      </c>
      <c r="E90" t="s">
        <v>58</v>
      </c>
      <c r="F90">
        <v>464</v>
      </c>
      <c r="G90" t="s">
        <v>62</v>
      </c>
      <c r="H90" t="s">
        <v>63</v>
      </c>
      <c r="I90">
        <v>64</v>
      </c>
    </row>
    <row r="91" spans="1:9" x14ac:dyDescent="0.35">
      <c r="A91" t="s">
        <v>61</v>
      </c>
      <c r="B91">
        <v>106655388</v>
      </c>
      <c r="C91" t="s">
        <v>620</v>
      </c>
      <c r="D91" t="s">
        <v>72</v>
      </c>
      <c r="E91" t="s">
        <v>58</v>
      </c>
      <c r="F91">
        <v>464</v>
      </c>
      <c r="G91" t="s">
        <v>62</v>
      </c>
      <c r="H91" t="s">
        <v>64</v>
      </c>
      <c r="I91">
        <v>2357</v>
      </c>
    </row>
    <row r="92" spans="1:9" x14ac:dyDescent="0.35">
      <c r="A92" t="s">
        <v>61</v>
      </c>
      <c r="B92">
        <v>106655388</v>
      </c>
      <c r="C92" t="s">
        <v>620</v>
      </c>
      <c r="D92" t="s">
        <v>72</v>
      </c>
      <c r="E92" t="s">
        <v>58</v>
      </c>
      <c r="F92">
        <v>464</v>
      </c>
      <c r="G92" t="s">
        <v>62</v>
      </c>
      <c r="H92" t="s">
        <v>65</v>
      </c>
      <c r="I92">
        <v>90</v>
      </c>
    </row>
    <row r="93" spans="1:9" x14ac:dyDescent="0.35">
      <c r="A93" t="s">
        <v>61</v>
      </c>
      <c r="B93">
        <v>106655388</v>
      </c>
      <c r="C93" t="s">
        <v>620</v>
      </c>
      <c r="D93" t="s">
        <v>72</v>
      </c>
      <c r="E93" t="s">
        <v>58</v>
      </c>
      <c r="F93">
        <v>464</v>
      </c>
      <c r="G93" t="s">
        <v>68</v>
      </c>
      <c r="H93" t="s">
        <v>67</v>
      </c>
      <c r="I93">
        <v>464</v>
      </c>
    </row>
    <row r="94" spans="1:9" x14ac:dyDescent="0.35">
      <c r="A94" t="s">
        <v>61</v>
      </c>
      <c r="B94">
        <v>107775413</v>
      </c>
      <c r="C94" t="s">
        <v>106</v>
      </c>
      <c r="D94" t="s">
        <v>72</v>
      </c>
      <c r="E94" t="s">
        <v>58</v>
      </c>
      <c r="F94">
        <v>286</v>
      </c>
      <c r="G94" t="s">
        <v>62</v>
      </c>
      <c r="H94" t="s">
        <v>67</v>
      </c>
      <c r="I94">
        <v>1555</v>
      </c>
    </row>
    <row r="95" spans="1:9" x14ac:dyDescent="0.35">
      <c r="A95" t="s">
        <v>61</v>
      </c>
      <c r="B95">
        <v>107775413</v>
      </c>
      <c r="C95" t="s">
        <v>106</v>
      </c>
      <c r="D95" t="s">
        <v>72</v>
      </c>
      <c r="E95" t="s">
        <v>58</v>
      </c>
      <c r="F95">
        <v>286</v>
      </c>
      <c r="G95" t="s">
        <v>62</v>
      </c>
      <c r="H95" t="s">
        <v>63</v>
      </c>
      <c r="I95">
        <v>130</v>
      </c>
    </row>
    <row r="96" spans="1:9" x14ac:dyDescent="0.35">
      <c r="A96" t="s">
        <v>61</v>
      </c>
      <c r="B96">
        <v>107775413</v>
      </c>
      <c r="C96" t="s">
        <v>106</v>
      </c>
      <c r="D96" t="s">
        <v>72</v>
      </c>
      <c r="E96" t="s">
        <v>58</v>
      </c>
      <c r="F96">
        <v>286</v>
      </c>
      <c r="G96" t="s">
        <v>62</v>
      </c>
      <c r="H96" t="s">
        <v>64</v>
      </c>
      <c r="I96">
        <v>1425</v>
      </c>
    </row>
    <row r="97" spans="1:9" x14ac:dyDescent="0.35">
      <c r="A97" t="s">
        <v>61</v>
      </c>
      <c r="B97">
        <v>107775413</v>
      </c>
      <c r="C97" t="s">
        <v>106</v>
      </c>
      <c r="D97" t="s">
        <v>72</v>
      </c>
      <c r="E97" t="s">
        <v>58</v>
      </c>
      <c r="F97">
        <v>286</v>
      </c>
      <c r="G97" t="s">
        <v>68</v>
      </c>
      <c r="H97" t="s">
        <v>67</v>
      </c>
      <c r="I97">
        <v>286</v>
      </c>
    </row>
    <row r="98" spans="1:9" x14ac:dyDescent="0.35">
      <c r="A98" t="s">
        <v>61</v>
      </c>
      <c r="B98">
        <v>105833593</v>
      </c>
      <c r="C98" t="s">
        <v>607</v>
      </c>
      <c r="D98" t="s">
        <v>60</v>
      </c>
      <c r="E98" t="s">
        <v>70</v>
      </c>
      <c r="F98">
        <v>375</v>
      </c>
      <c r="G98" t="s">
        <v>62</v>
      </c>
      <c r="H98" t="s">
        <v>67</v>
      </c>
      <c r="I98">
        <v>1817</v>
      </c>
    </row>
    <row r="99" spans="1:9" x14ac:dyDescent="0.35">
      <c r="A99" t="s">
        <v>61</v>
      </c>
      <c r="B99">
        <v>105833593</v>
      </c>
      <c r="C99" t="s">
        <v>607</v>
      </c>
      <c r="D99" t="s">
        <v>60</v>
      </c>
      <c r="E99" t="s">
        <v>70</v>
      </c>
      <c r="F99">
        <v>375</v>
      </c>
      <c r="G99" t="s">
        <v>62</v>
      </c>
      <c r="H99" t="s">
        <v>63</v>
      </c>
      <c r="I99">
        <v>136</v>
      </c>
    </row>
    <row r="100" spans="1:9" x14ac:dyDescent="0.35">
      <c r="A100" t="s">
        <v>61</v>
      </c>
      <c r="B100">
        <v>105833593</v>
      </c>
      <c r="C100" t="s">
        <v>607</v>
      </c>
      <c r="D100" t="s">
        <v>60</v>
      </c>
      <c r="E100" t="s">
        <v>70</v>
      </c>
      <c r="F100">
        <v>375</v>
      </c>
      <c r="G100" t="s">
        <v>62</v>
      </c>
      <c r="H100" t="s">
        <v>64</v>
      </c>
      <c r="I100">
        <v>1681</v>
      </c>
    </row>
    <row r="101" spans="1:9" x14ac:dyDescent="0.35">
      <c r="A101" t="s">
        <v>61</v>
      </c>
      <c r="B101">
        <v>105833593</v>
      </c>
      <c r="C101" t="s">
        <v>607</v>
      </c>
      <c r="D101" t="s">
        <v>60</v>
      </c>
      <c r="E101" t="s">
        <v>70</v>
      </c>
      <c r="F101">
        <v>375</v>
      </c>
      <c r="G101" t="s">
        <v>68</v>
      </c>
      <c r="H101" t="s">
        <v>67</v>
      </c>
      <c r="I101">
        <v>376</v>
      </c>
    </row>
    <row r="102" spans="1:9" x14ac:dyDescent="0.35">
      <c r="A102" t="s">
        <v>61</v>
      </c>
      <c r="B102">
        <v>107233200</v>
      </c>
      <c r="C102" t="s">
        <v>591</v>
      </c>
      <c r="D102" t="s">
        <v>72</v>
      </c>
      <c r="E102" t="s">
        <v>70</v>
      </c>
      <c r="F102">
        <v>442</v>
      </c>
      <c r="G102" t="s">
        <v>62</v>
      </c>
      <c r="H102" t="s">
        <v>67</v>
      </c>
      <c r="I102">
        <v>2665</v>
      </c>
    </row>
    <row r="103" spans="1:9" x14ac:dyDescent="0.35">
      <c r="A103" t="s">
        <v>61</v>
      </c>
      <c r="B103">
        <v>107233200</v>
      </c>
      <c r="C103" t="s">
        <v>591</v>
      </c>
      <c r="D103" t="s">
        <v>72</v>
      </c>
      <c r="E103" t="s">
        <v>70</v>
      </c>
      <c r="F103">
        <v>442</v>
      </c>
      <c r="G103" t="s">
        <v>62</v>
      </c>
      <c r="H103" t="s">
        <v>63</v>
      </c>
      <c r="I103">
        <v>188</v>
      </c>
    </row>
    <row r="104" spans="1:9" x14ac:dyDescent="0.35">
      <c r="A104" t="s">
        <v>61</v>
      </c>
      <c r="B104">
        <v>107233200</v>
      </c>
      <c r="C104" t="s">
        <v>591</v>
      </c>
      <c r="D104" t="s">
        <v>72</v>
      </c>
      <c r="E104" t="s">
        <v>70</v>
      </c>
      <c r="F104">
        <v>442</v>
      </c>
      <c r="G104" t="s">
        <v>62</v>
      </c>
      <c r="H104" t="s">
        <v>64</v>
      </c>
      <c r="I104">
        <v>2437</v>
      </c>
    </row>
    <row r="105" spans="1:9" x14ac:dyDescent="0.35">
      <c r="A105" t="s">
        <v>61</v>
      </c>
      <c r="B105">
        <v>107233200</v>
      </c>
      <c r="C105" t="s">
        <v>591</v>
      </c>
      <c r="D105" t="s">
        <v>72</v>
      </c>
      <c r="E105" t="s">
        <v>70</v>
      </c>
      <c r="F105">
        <v>442</v>
      </c>
      <c r="G105" t="s">
        <v>62</v>
      </c>
      <c r="H105" t="s">
        <v>65</v>
      </c>
      <c r="I105">
        <v>40</v>
      </c>
    </row>
    <row r="106" spans="1:9" x14ac:dyDescent="0.35">
      <c r="A106" t="s">
        <v>61</v>
      </c>
      <c r="B106">
        <v>107233200</v>
      </c>
      <c r="C106" t="s">
        <v>591</v>
      </c>
      <c r="D106" t="s">
        <v>72</v>
      </c>
      <c r="E106" t="s">
        <v>70</v>
      </c>
      <c r="F106">
        <v>442</v>
      </c>
      <c r="G106" t="s">
        <v>68</v>
      </c>
      <c r="H106" t="s">
        <v>67</v>
      </c>
      <c r="I106">
        <v>442</v>
      </c>
    </row>
    <row r="107" spans="1:9" x14ac:dyDescent="0.35">
      <c r="A107" t="s">
        <v>61</v>
      </c>
      <c r="B107">
        <v>104378003</v>
      </c>
      <c r="C107" t="s">
        <v>582</v>
      </c>
      <c r="D107" t="s">
        <v>72</v>
      </c>
      <c r="E107" t="s">
        <v>70</v>
      </c>
      <c r="F107">
        <v>221</v>
      </c>
      <c r="G107" t="s">
        <v>62</v>
      </c>
      <c r="H107" t="s">
        <v>67</v>
      </c>
      <c r="I107">
        <v>1609</v>
      </c>
    </row>
    <row r="108" spans="1:9" x14ac:dyDescent="0.35">
      <c r="A108" t="s">
        <v>61</v>
      </c>
      <c r="B108">
        <v>104378003</v>
      </c>
      <c r="C108" t="s">
        <v>582</v>
      </c>
      <c r="D108" t="s">
        <v>72</v>
      </c>
      <c r="E108" t="s">
        <v>70</v>
      </c>
      <c r="F108">
        <v>221</v>
      </c>
      <c r="G108" t="s">
        <v>62</v>
      </c>
      <c r="H108" t="s">
        <v>63</v>
      </c>
      <c r="I108">
        <v>175</v>
      </c>
    </row>
    <row r="109" spans="1:9" x14ac:dyDescent="0.35">
      <c r="A109" t="s">
        <v>61</v>
      </c>
      <c r="B109">
        <v>104378003</v>
      </c>
      <c r="C109" t="s">
        <v>582</v>
      </c>
      <c r="D109" t="s">
        <v>72</v>
      </c>
      <c r="E109" t="s">
        <v>70</v>
      </c>
      <c r="F109">
        <v>221</v>
      </c>
      <c r="G109" t="s">
        <v>62</v>
      </c>
      <c r="H109" t="s">
        <v>64</v>
      </c>
      <c r="I109">
        <v>1434</v>
      </c>
    </row>
    <row r="110" spans="1:9" x14ac:dyDescent="0.35">
      <c r="A110" t="s">
        <v>61</v>
      </c>
      <c r="B110">
        <v>104378003</v>
      </c>
      <c r="C110" t="s">
        <v>582</v>
      </c>
      <c r="D110" t="s">
        <v>72</v>
      </c>
      <c r="E110" t="s">
        <v>70</v>
      </c>
      <c r="F110">
        <v>221</v>
      </c>
      <c r="G110" t="s">
        <v>68</v>
      </c>
      <c r="H110" t="s">
        <v>67</v>
      </c>
      <c r="I110">
        <v>221</v>
      </c>
    </row>
    <row r="111" spans="1:9" x14ac:dyDescent="0.35">
      <c r="A111" t="s">
        <v>61</v>
      </c>
      <c r="B111">
        <v>106556401</v>
      </c>
      <c r="C111" t="s">
        <v>613</v>
      </c>
      <c r="D111" t="s">
        <v>72</v>
      </c>
      <c r="E111" t="s">
        <v>58</v>
      </c>
      <c r="F111">
        <v>20</v>
      </c>
      <c r="G111" t="s">
        <v>62</v>
      </c>
      <c r="H111" t="s">
        <v>67</v>
      </c>
      <c r="I111">
        <v>83</v>
      </c>
    </row>
    <row r="112" spans="1:9" x14ac:dyDescent="0.35">
      <c r="A112" t="s">
        <v>61</v>
      </c>
      <c r="B112">
        <v>106556401</v>
      </c>
      <c r="C112" t="s">
        <v>613</v>
      </c>
      <c r="D112" t="s">
        <v>72</v>
      </c>
      <c r="E112" t="s">
        <v>58</v>
      </c>
      <c r="F112">
        <v>20</v>
      </c>
      <c r="G112" t="s">
        <v>68</v>
      </c>
      <c r="H112" t="s">
        <v>67</v>
      </c>
      <c r="I112">
        <v>20</v>
      </c>
    </row>
    <row r="113" spans="1:9" x14ac:dyDescent="0.35">
      <c r="A113" t="s">
        <v>61</v>
      </c>
      <c r="B113">
        <v>106517175</v>
      </c>
      <c r="C113" t="s">
        <v>84</v>
      </c>
      <c r="D113" t="s">
        <v>72</v>
      </c>
      <c r="E113" t="s">
        <v>70</v>
      </c>
      <c r="F113">
        <v>327</v>
      </c>
      <c r="G113" t="s">
        <v>62</v>
      </c>
      <c r="H113" t="s">
        <v>67</v>
      </c>
      <c r="I113">
        <v>1965</v>
      </c>
    </row>
    <row r="114" spans="1:9" x14ac:dyDescent="0.35">
      <c r="A114" t="s">
        <v>61</v>
      </c>
      <c r="B114">
        <v>106517175</v>
      </c>
      <c r="C114" t="s">
        <v>84</v>
      </c>
      <c r="D114" t="s">
        <v>72</v>
      </c>
      <c r="E114" t="s">
        <v>70</v>
      </c>
      <c r="F114">
        <v>327</v>
      </c>
      <c r="G114" t="s">
        <v>62</v>
      </c>
      <c r="H114" t="s">
        <v>63</v>
      </c>
      <c r="I114">
        <v>188</v>
      </c>
    </row>
    <row r="115" spans="1:9" x14ac:dyDescent="0.35">
      <c r="A115" t="s">
        <v>61</v>
      </c>
      <c r="B115">
        <v>106517175</v>
      </c>
      <c r="C115" t="s">
        <v>84</v>
      </c>
      <c r="D115" t="s">
        <v>72</v>
      </c>
      <c r="E115" t="s">
        <v>70</v>
      </c>
      <c r="F115">
        <v>327</v>
      </c>
      <c r="G115" t="s">
        <v>62</v>
      </c>
      <c r="H115" t="s">
        <v>64</v>
      </c>
      <c r="I115">
        <v>1752</v>
      </c>
    </row>
    <row r="116" spans="1:9" x14ac:dyDescent="0.35">
      <c r="A116" t="s">
        <v>61</v>
      </c>
      <c r="B116">
        <v>106517175</v>
      </c>
      <c r="C116" t="s">
        <v>84</v>
      </c>
      <c r="D116" t="s">
        <v>72</v>
      </c>
      <c r="E116" t="s">
        <v>70</v>
      </c>
      <c r="F116">
        <v>327</v>
      </c>
      <c r="G116" t="s">
        <v>62</v>
      </c>
      <c r="H116" t="s">
        <v>65</v>
      </c>
      <c r="I116">
        <v>25</v>
      </c>
    </row>
    <row r="117" spans="1:9" x14ac:dyDescent="0.35">
      <c r="A117" t="s">
        <v>61</v>
      </c>
      <c r="B117">
        <v>106517175</v>
      </c>
      <c r="C117" t="s">
        <v>84</v>
      </c>
      <c r="D117" t="s">
        <v>72</v>
      </c>
      <c r="E117" t="s">
        <v>70</v>
      </c>
      <c r="F117">
        <v>327</v>
      </c>
      <c r="G117" t="s">
        <v>68</v>
      </c>
      <c r="H117" t="s">
        <v>67</v>
      </c>
      <c r="I117">
        <v>327</v>
      </c>
    </row>
    <row r="118" spans="1:9" x14ac:dyDescent="0.35">
      <c r="A118" t="s">
        <v>61</v>
      </c>
      <c r="B118">
        <v>107102430</v>
      </c>
      <c r="C118" t="s">
        <v>90</v>
      </c>
      <c r="D118" t="s">
        <v>72</v>
      </c>
      <c r="E118" t="s">
        <v>70</v>
      </c>
      <c r="F118">
        <v>378</v>
      </c>
      <c r="G118" t="s">
        <v>62</v>
      </c>
      <c r="H118" t="s">
        <v>67</v>
      </c>
      <c r="I118">
        <v>1922</v>
      </c>
    </row>
    <row r="119" spans="1:9" x14ac:dyDescent="0.35">
      <c r="A119" t="s">
        <v>61</v>
      </c>
      <c r="B119">
        <v>107102430</v>
      </c>
      <c r="C119" t="s">
        <v>90</v>
      </c>
      <c r="D119" t="s">
        <v>72</v>
      </c>
      <c r="E119" t="s">
        <v>70</v>
      </c>
      <c r="F119">
        <v>378</v>
      </c>
      <c r="G119" t="s">
        <v>62</v>
      </c>
      <c r="H119" t="s">
        <v>63</v>
      </c>
      <c r="I119">
        <v>273</v>
      </c>
    </row>
    <row r="120" spans="1:9" x14ac:dyDescent="0.35">
      <c r="A120" t="s">
        <v>61</v>
      </c>
      <c r="B120">
        <v>107102430</v>
      </c>
      <c r="C120" t="s">
        <v>90</v>
      </c>
      <c r="D120" t="s">
        <v>72</v>
      </c>
      <c r="E120" t="s">
        <v>70</v>
      </c>
      <c r="F120">
        <v>378</v>
      </c>
      <c r="G120" t="s">
        <v>62</v>
      </c>
      <c r="H120" t="s">
        <v>64</v>
      </c>
      <c r="I120">
        <v>1643</v>
      </c>
    </row>
    <row r="121" spans="1:9" x14ac:dyDescent="0.35">
      <c r="A121" t="s">
        <v>61</v>
      </c>
      <c r="B121">
        <v>107102430</v>
      </c>
      <c r="C121" t="s">
        <v>90</v>
      </c>
      <c r="D121" t="s">
        <v>72</v>
      </c>
      <c r="E121" t="s">
        <v>70</v>
      </c>
      <c r="F121">
        <v>378</v>
      </c>
      <c r="G121" t="s">
        <v>62</v>
      </c>
      <c r="H121" t="s">
        <v>65</v>
      </c>
      <c r="I121">
        <v>6</v>
      </c>
    </row>
    <row r="122" spans="1:9" x14ac:dyDescent="0.35">
      <c r="A122" t="s">
        <v>61</v>
      </c>
      <c r="B122">
        <v>107102430</v>
      </c>
      <c r="C122" t="s">
        <v>90</v>
      </c>
      <c r="D122" t="s">
        <v>72</v>
      </c>
      <c r="E122" t="s">
        <v>70</v>
      </c>
      <c r="F122">
        <v>378</v>
      </c>
      <c r="G122" t="s">
        <v>68</v>
      </c>
      <c r="H122" t="s">
        <v>67</v>
      </c>
      <c r="I122">
        <v>378</v>
      </c>
    </row>
    <row r="123" spans="1:9" x14ac:dyDescent="0.35">
      <c r="A123" t="s">
        <v>61</v>
      </c>
      <c r="B123">
        <v>107264616</v>
      </c>
      <c r="C123" t="s">
        <v>592</v>
      </c>
      <c r="D123" t="s">
        <v>72</v>
      </c>
      <c r="E123" t="s">
        <v>70</v>
      </c>
      <c r="F123">
        <v>422</v>
      </c>
      <c r="G123" t="s">
        <v>62</v>
      </c>
      <c r="H123" t="s">
        <v>67</v>
      </c>
      <c r="I123">
        <v>3033</v>
      </c>
    </row>
    <row r="124" spans="1:9" x14ac:dyDescent="0.35">
      <c r="A124" t="s">
        <v>61</v>
      </c>
      <c r="B124">
        <v>107264616</v>
      </c>
      <c r="C124" t="s">
        <v>592</v>
      </c>
      <c r="D124" t="s">
        <v>72</v>
      </c>
      <c r="E124" t="s">
        <v>70</v>
      </c>
      <c r="F124">
        <v>422</v>
      </c>
      <c r="G124" t="s">
        <v>62</v>
      </c>
      <c r="H124" t="s">
        <v>63</v>
      </c>
      <c r="I124">
        <v>246</v>
      </c>
    </row>
    <row r="125" spans="1:9" x14ac:dyDescent="0.35">
      <c r="A125" t="s">
        <v>61</v>
      </c>
      <c r="B125">
        <v>107264616</v>
      </c>
      <c r="C125" t="s">
        <v>592</v>
      </c>
      <c r="D125" t="s">
        <v>72</v>
      </c>
      <c r="E125" t="s">
        <v>70</v>
      </c>
      <c r="F125">
        <v>422</v>
      </c>
      <c r="G125" t="s">
        <v>62</v>
      </c>
      <c r="H125" t="s">
        <v>64</v>
      </c>
      <c r="I125">
        <v>2773</v>
      </c>
    </row>
    <row r="126" spans="1:9" x14ac:dyDescent="0.35">
      <c r="A126" t="s">
        <v>61</v>
      </c>
      <c r="B126">
        <v>107264616</v>
      </c>
      <c r="C126" t="s">
        <v>592</v>
      </c>
      <c r="D126" t="s">
        <v>72</v>
      </c>
      <c r="E126" t="s">
        <v>70</v>
      </c>
      <c r="F126">
        <v>422</v>
      </c>
      <c r="G126" t="s">
        <v>62</v>
      </c>
      <c r="H126" t="s">
        <v>65</v>
      </c>
      <c r="I126">
        <v>14</v>
      </c>
    </row>
    <row r="127" spans="1:9" x14ac:dyDescent="0.35">
      <c r="A127" t="s">
        <v>61</v>
      </c>
      <c r="B127">
        <v>107264616</v>
      </c>
      <c r="C127" t="s">
        <v>592</v>
      </c>
      <c r="D127" t="s">
        <v>72</v>
      </c>
      <c r="E127" t="s">
        <v>70</v>
      </c>
      <c r="F127">
        <v>422</v>
      </c>
      <c r="G127" t="s">
        <v>68</v>
      </c>
      <c r="H127" t="s">
        <v>67</v>
      </c>
      <c r="I127">
        <v>422</v>
      </c>
    </row>
    <row r="128" spans="1:9" x14ac:dyDescent="0.35">
      <c r="A128" t="s">
        <v>61</v>
      </c>
      <c r="B128">
        <v>106550610</v>
      </c>
      <c r="C128" t="s">
        <v>612</v>
      </c>
      <c r="D128" t="s">
        <v>72</v>
      </c>
      <c r="E128" t="s">
        <v>70</v>
      </c>
      <c r="F128">
        <v>2</v>
      </c>
      <c r="G128" t="s">
        <v>62</v>
      </c>
      <c r="H128" t="s">
        <v>67</v>
      </c>
      <c r="I128">
        <v>11</v>
      </c>
    </row>
    <row r="129" spans="1:9" x14ac:dyDescent="0.35">
      <c r="A129" t="s">
        <v>61</v>
      </c>
      <c r="B129">
        <v>106550610</v>
      </c>
      <c r="C129" t="s">
        <v>612</v>
      </c>
      <c r="D129" t="s">
        <v>72</v>
      </c>
      <c r="E129" t="s">
        <v>70</v>
      </c>
      <c r="F129">
        <v>2</v>
      </c>
      <c r="G129" t="s">
        <v>68</v>
      </c>
      <c r="H129" t="s">
        <v>67</v>
      </c>
      <c r="I129">
        <v>2</v>
      </c>
    </row>
    <row r="130" spans="1:9" x14ac:dyDescent="0.35">
      <c r="A130" t="s">
        <v>61</v>
      </c>
      <c r="B130">
        <v>107232971</v>
      </c>
      <c r="C130" t="s">
        <v>589</v>
      </c>
      <c r="D130" t="s">
        <v>72</v>
      </c>
      <c r="E130" t="s">
        <v>70</v>
      </c>
      <c r="F130">
        <v>396</v>
      </c>
      <c r="G130" t="s">
        <v>62</v>
      </c>
      <c r="H130" t="s">
        <v>67</v>
      </c>
      <c r="I130">
        <v>2927</v>
      </c>
    </row>
    <row r="131" spans="1:9" x14ac:dyDescent="0.35">
      <c r="A131" t="s">
        <v>61</v>
      </c>
      <c r="B131">
        <v>107232971</v>
      </c>
      <c r="C131" t="s">
        <v>589</v>
      </c>
      <c r="D131" t="s">
        <v>72</v>
      </c>
      <c r="E131" t="s">
        <v>70</v>
      </c>
      <c r="F131">
        <v>396</v>
      </c>
      <c r="G131" t="s">
        <v>62</v>
      </c>
      <c r="H131" t="s">
        <v>63</v>
      </c>
      <c r="I131">
        <v>403</v>
      </c>
    </row>
    <row r="132" spans="1:9" x14ac:dyDescent="0.35">
      <c r="A132" t="s">
        <v>61</v>
      </c>
      <c r="B132">
        <v>107232971</v>
      </c>
      <c r="C132" t="s">
        <v>589</v>
      </c>
      <c r="D132" t="s">
        <v>72</v>
      </c>
      <c r="E132" t="s">
        <v>70</v>
      </c>
      <c r="F132">
        <v>396</v>
      </c>
      <c r="G132" t="s">
        <v>62</v>
      </c>
      <c r="H132" t="s">
        <v>64</v>
      </c>
      <c r="I132">
        <v>2124</v>
      </c>
    </row>
    <row r="133" spans="1:9" x14ac:dyDescent="0.35">
      <c r="A133" t="s">
        <v>61</v>
      </c>
      <c r="B133">
        <v>107232971</v>
      </c>
      <c r="C133" t="s">
        <v>589</v>
      </c>
      <c r="D133" t="s">
        <v>72</v>
      </c>
      <c r="E133" t="s">
        <v>70</v>
      </c>
      <c r="F133">
        <v>396</v>
      </c>
      <c r="G133" t="s">
        <v>62</v>
      </c>
      <c r="H133" t="s">
        <v>65</v>
      </c>
      <c r="I133">
        <v>400</v>
      </c>
    </row>
    <row r="134" spans="1:9" x14ac:dyDescent="0.35">
      <c r="A134" t="s">
        <v>61</v>
      </c>
      <c r="B134">
        <v>107232971</v>
      </c>
      <c r="C134" t="s">
        <v>589</v>
      </c>
      <c r="D134" t="s">
        <v>72</v>
      </c>
      <c r="E134" t="s">
        <v>70</v>
      </c>
      <c r="F134">
        <v>396</v>
      </c>
      <c r="G134" t="s">
        <v>68</v>
      </c>
      <c r="H134" t="s">
        <v>67</v>
      </c>
      <c r="I134">
        <v>397</v>
      </c>
    </row>
    <row r="135" spans="1:9" x14ac:dyDescent="0.35">
      <c r="A135" t="s">
        <v>61</v>
      </c>
      <c r="B135">
        <v>107221179</v>
      </c>
      <c r="C135" t="s">
        <v>91</v>
      </c>
      <c r="D135" t="s">
        <v>72</v>
      </c>
      <c r="E135" t="s">
        <v>58</v>
      </c>
      <c r="F135">
        <v>443</v>
      </c>
      <c r="G135" t="s">
        <v>62</v>
      </c>
      <c r="H135" t="s">
        <v>67</v>
      </c>
      <c r="I135">
        <v>2176</v>
      </c>
    </row>
    <row r="136" spans="1:9" x14ac:dyDescent="0.35">
      <c r="A136" t="s">
        <v>61</v>
      </c>
      <c r="B136">
        <v>107221179</v>
      </c>
      <c r="C136" t="s">
        <v>91</v>
      </c>
      <c r="D136" t="s">
        <v>72</v>
      </c>
      <c r="E136" t="s">
        <v>58</v>
      </c>
      <c r="F136">
        <v>443</v>
      </c>
      <c r="G136" t="s">
        <v>62</v>
      </c>
      <c r="H136" t="s">
        <v>63</v>
      </c>
      <c r="I136">
        <v>295</v>
      </c>
    </row>
    <row r="137" spans="1:9" x14ac:dyDescent="0.35">
      <c r="A137" t="s">
        <v>61</v>
      </c>
      <c r="B137">
        <v>107221179</v>
      </c>
      <c r="C137" t="s">
        <v>91</v>
      </c>
      <c r="D137" t="s">
        <v>72</v>
      </c>
      <c r="E137" t="s">
        <v>58</v>
      </c>
      <c r="F137">
        <v>443</v>
      </c>
      <c r="G137" t="s">
        <v>62</v>
      </c>
      <c r="H137" t="s">
        <v>64</v>
      </c>
      <c r="I137">
        <v>1721</v>
      </c>
    </row>
    <row r="138" spans="1:9" x14ac:dyDescent="0.35">
      <c r="A138" t="s">
        <v>61</v>
      </c>
      <c r="B138">
        <v>107221179</v>
      </c>
      <c r="C138" t="s">
        <v>91</v>
      </c>
      <c r="D138" t="s">
        <v>72</v>
      </c>
      <c r="E138" t="s">
        <v>58</v>
      </c>
      <c r="F138">
        <v>443</v>
      </c>
      <c r="G138" t="s">
        <v>62</v>
      </c>
      <c r="H138" t="s">
        <v>65</v>
      </c>
      <c r="I138">
        <v>160</v>
      </c>
    </row>
    <row r="139" spans="1:9" x14ac:dyDescent="0.35">
      <c r="A139" t="s">
        <v>61</v>
      </c>
      <c r="B139">
        <v>107221179</v>
      </c>
      <c r="C139" t="s">
        <v>91</v>
      </c>
      <c r="D139" t="s">
        <v>72</v>
      </c>
      <c r="E139" t="s">
        <v>58</v>
      </c>
      <c r="F139">
        <v>443</v>
      </c>
      <c r="G139" t="s">
        <v>68</v>
      </c>
      <c r="H139" t="s">
        <v>67</v>
      </c>
      <c r="I139">
        <v>443</v>
      </c>
    </row>
    <row r="140" spans="1:9" x14ac:dyDescent="0.35">
      <c r="A140" t="s">
        <v>61</v>
      </c>
      <c r="B140">
        <v>106616226</v>
      </c>
      <c r="C140" t="s">
        <v>614</v>
      </c>
      <c r="D140" t="s">
        <v>72</v>
      </c>
      <c r="E140" t="s">
        <v>70</v>
      </c>
      <c r="F140">
        <v>533</v>
      </c>
      <c r="G140" t="s">
        <v>62</v>
      </c>
      <c r="H140" t="s">
        <v>67</v>
      </c>
      <c r="I140">
        <v>3685</v>
      </c>
    </row>
    <row r="141" spans="1:9" x14ac:dyDescent="0.35">
      <c r="A141" t="s">
        <v>61</v>
      </c>
      <c r="B141">
        <v>106616226</v>
      </c>
      <c r="C141" t="s">
        <v>614</v>
      </c>
      <c r="D141" t="s">
        <v>72</v>
      </c>
      <c r="E141" t="s">
        <v>70</v>
      </c>
      <c r="F141">
        <v>533</v>
      </c>
      <c r="G141" t="s">
        <v>62</v>
      </c>
      <c r="H141" t="s">
        <v>63</v>
      </c>
      <c r="I141">
        <v>659</v>
      </c>
    </row>
    <row r="142" spans="1:9" x14ac:dyDescent="0.35">
      <c r="A142" t="s">
        <v>61</v>
      </c>
      <c r="B142">
        <v>106616226</v>
      </c>
      <c r="C142" t="s">
        <v>614</v>
      </c>
      <c r="D142" t="s">
        <v>72</v>
      </c>
      <c r="E142" t="s">
        <v>70</v>
      </c>
      <c r="F142">
        <v>533</v>
      </c>
      <c r="G142" t="s">
        <v>62</v>
      </c>
      <c r="H142" t="s">
        <v>64</v>
      </c>
      <c r="I142">
        <v>2962</v>
      </c>
    </row>
    <row r="143" spans="1:9" x14ac:dyDescent="0.35">
      <c r="A143" t="s">
        <v>61</v>
      </c>
      <c r="B143">
        <v>106616226</v>
      </c>
      <c r="C143" t="s">
        <v>614</v>
      </c>
      <c r="D143" t="s">
        <v>72</v>
      </c>
      <c r="E143" t="s">
        <v>70</v>
      </c>
      <c r="F143">
        <v>533</v>
      </c>
      <c r="G143" t="s">
        <v>62</v>
      </c>
      <c r="H143" t="s">
        <v>65</v>
      </c>
      <c r="I143">
        <v>64</v>
      </c>
    </row>
    <row r="144" spans="1:9" x14ac:dyDescent="0.35">
      <c r="A144" t="s">
        <v>61</v>
      </c>
      <c r="B144">
        <v>106616226</v>
      </c>
      <c r="C144" t="s">
        <v>614</v>
      </c>
      <c r="D144" t="s">
        <v>72</v>
      </c>
      <c r="E144" t="s">
        <v>70</v>
      </c>
      <c r="F144">
        <v>533</v>
      </c>
      <c r="G144" t="s">
        <v>68</v>
      </c>
      <c r="H144" t="s">
        <v>67</v>
      </c>
      <c r="I144">
        <v>533</v>
      </c>
    </row>
    <row r="145" spans="1:9" x14ac:dyDescent="0.35">
      <c r="A145" t="s">
        <v>61</v>
      </c>
      <c r="B145">
        <v>100865064</v>
      </c>
      <c r="C145" t="s">
        <v>581</v>
      </c>
      <c r="D145" t="s">
        <v>72</v>
      </c>
      <c r="E145" t="s">
        <v>70</v>
      </c>
      <c r="F145">
        <v>268</v>
      </c>
      <c r="G145" t="s">
        <v>62</v>
      </c>
      <c r="H145" t="s">
        <v>67</v>
      </c>
      <c r="I145">
        <v>1585</v>
      </c>
    </row>
    <row r="146" spans="1:9" x14ac:dyDescent="0.35">
      <c r="A146" t="s">
        <v>61</v>
      </c>
      <c r="B146">
        <v>100865064</v>
      </c>
      <c r="C146" t="s">
        <v>581</v>
      </c>
      <c r="D146" t="s">
        <v>72</v>
      </c>
      <c r="E146" t="s">
        <v>70</v>
      </c>
      <c r="F146">
        <v>268</v>
      </c>
      <c r="G146" t="s">
        <v>62</v>
      </c>
      <c r="H146" t="s">
        <v>63</v>
      </c>
      <c r="I146">
        <v>290</v>
      </c>
    </row>
    <row r="147" spans="1:9" x14ac:dyDescent="0.35">
      <c r="A147" t="s">
        <v>61</v>
      </c>
      <c r="B147">
        <v>100865064</v>
      </c>
      <c r="C147" t="s">
        <v>581</v>
      </c>
      <c r="D147" t="s">
        <v>72</v>
      </c>
      <c r="E147" t="s">
        <v>70</v>
      </c>
      <c r="F147">
        <v>268</v>
      </c>
      <c r="G147" t="s">
        <v>62</v>
      </c>
      <c r="H147" t="s">
        <v>64</v>
      </c>
      <c r="I147">
        <v>1295</v>
      </c>
    </row>
    <row r="148" spans="1:9" x14ac:dyDescent="0.35">
      <c r="A148" t="s">
        <v>61</v>
      </c>
      <c r="B148">
        <v>100865064</v>
      </c>
      <c r="C148" t="s">
        <v>581</v>
      </c>
      <c r="D148" t="s">
        <v>72</v>
      </c>
      <c r="E148" t="s">
        <v>70</v>
      </c>
      <c r="F148">
        <v>268</v>
      </c>
      <c r="G148" t="s">
        <v>68</v>
      </c>
      <c r="H148" t="s">
        <v>67</v>
      </c>
      <c r="I148">
        <v>268</v>
      </c>
    </row>
    <row r="149" spans="1:9" x14ac:dyDescent="0.35">
      <c r="A149" t="s">
        <v>61</v>
      </c>
      <c r="B149">
        <v>106488400</v>
      </c>
      <c r="C149" t="s">
        <v>610</v>
      </c>
      <c r="D149" t="s">
        <v>60</v>
      </c>
      <c r="E149" t="s">
        <v>70</v>
      </c>
      <c r="F149">
        <v>459</v>
      </c>
      <c r="G149" t="s">
        <v>62</v>
      </c>
      <c r="H149" t="s">
        <v>67</v>
      </c>
      <c r="I149">
        <v>2600</v>
      </c>
    </row>
    <row r="150" spans="1:9" x14ac:dyDescent="0.35">
      <c r="A150" t="s">
        <v>61</v>
      </c>
      <c r="B150">
        <v>106488400</v>
      </c>
      <c r="C150" t="s">
        <v>610</v>
      </c>
      <c r="D150" t="s">
        <v>60</v>
      </c>
      <c r="E150" t="s">
        <v>70</v>
      </c>
      <c r="F150">
        <v>459</v>
      </c>
      <c r="G150" t="s">
        <v>62</v>
      </c>
      <c r="H150" t="s">
        <v>63</v>
      </c>
      <c r="I150">
        <v>468</v>
      </c>
    </row>
    <row r="151" spans="1:9" x14ac:dyDescent="0.35">
      <c r="A151" t="s">
        <v>61</v>
      </c>
      <c r="B151">
        <v>106488400</v>
      </c>
      <c r="C151" t="s">
        <v>610</v>
      </c>
      <c r="D151" t="s">
        <v>60</v>
      </c>
      <c r="E151" t="s">
        <v>70</v>
      </c>
      <c r="F151">
        <v>459</v>
      </c>
      <c r="G151" t="s">
        <v>62</v>
      </c>
      <c r="H151" t="s">
        <v>64</v>
      </c>
      <c r="I151">
        <v>2078</v>
      </c>
    </row>
    <row r="152" spans="1:9" x14ac:dyDescent="0.35">
      <c r="A152" t="s">
        <v>61</v>
      </c>
      <c r="B152">
        <v>106488400</v>
      </c>
      <c r="C152" t="s">
        <v>610</v>
      </c>
      <c r="D152" t="s">
        <v>60</v>
      </c>
      <c r="E152" t="s">
        <v>70</v>
      </c>
      <c r="F152">
        <v>459</v>
      </c>
      <c r="G152" t="s">
        <v>62</v>
      </c>
      <c r="H152" t="s">
        <v>65</v>
      </c>
      <c r="I152">
        <v>54</v>
      </c>
    </row>
    <row r="153" spans="1:9" x14ac:dyDescent="0.35">
      <c r="A153" t="s">
        <v>61</v>
      </c>
      <c r="B153">
        <v>106488400</v>
      </c>
      <c r="C153" t="s">
        <v>610</v>
      </c>
      <c r="D153" t="s">
        <v>60</v>
      </c>
      <c r="E153" t="s">
        <v>70</v>
      </c>
      <c r="F153">
        <v>459</v>
      </c>
      <c r="G153" t="s">
        <v>68</v>
      </c>
      <c r="H153" t="s">
        <v>67</v>
      </c>
      <c r="I153">
        <v>459</v>
      </c>
    </row>
    <row r="154" spans="1:9" x14ac:dyDescent="0.35">
      <c r="A154" t="s">
        <v>61</v>
      </c>
      <c r="B154">
        <v>107844158</v>
      </c>
      <c r="C154" t="s">
        <v>605</v>
      </c>
      <c r="D154" t="s">
        <v>72</v>
      </c>
      <c r="E154" t="s">
        <v>70</v>
      </c>
      <c r="F154">
        <v>502</v>
      </c>
      <c r="G154" t="s">
        <v>62</v>
      </c>
      <c r="H154" t="s">
        <v>67</v>
      </c>
      <c r="I154">
        <v>2788</v>
      </c>
    </row>
    <row r="155" spans="1:9" x14ac:dyDescent="0.35">
      <c r="A155" t="s">
        <v>61</v>
      </c>
      <c r="B155">
        <v>107844158</v>
      </c>
      <c r="C155" t="s">
        <v>605</v>
      </c>
      <c r="D155" t="s">
        <v>72</v>
      </c>
      <c r="E155" t="s">
        <v>70</v>
      </c>
      <c r="F155">
        <v>502</v>
      </c>
      <c r="G155" t="s">
        <v>62</v>
      </c>
      <c r="H155" t="s">
        <v>63</v>
      </c>
      <c r="I155">
        <v>566</v>
      </c>
    </row>
    <row r="156" spans="1:9" x14ac:dyDescent="0.35">
      <c r="A156" t="s">
        <v>61</v>
      </c>
      <c r="B156">
        <v>107844158</v>
      </c>
      <c r="C156" t="s">
        <v>605</v>
      </c>
      <c r="D156" t="s">
        <v>72</v>
      </c>
      <c r="E156" t="s">
        <v>70</v>
      </c>
      <c r="F156">
        <v>502</v>
      </c>
      <c r="G156" t="s">
        <v>62</v>
      </c>
      <c r="H156" t="s">
        <v>64</v>
      </c>
      <c r="I156">
        <v>2201</v>
      </c>
    </row>
    <row r="157" spans="1:9" x14ac:dyDescent="0.35">
      <c r="A157" t="s">
        <v>61</v>
      </c>
      <c r="B157">
        <v>107844158</v>
      </c>
      <c r="C157" t="s">
        <v>605</v>
      </c>
      <c r="D157" t="s">
        <v>72</v>
      </c>
      <c r="E157" t="s">
        <v>70</v>
      </c>
      <c r="F157">
        <v>502</v>
      </c>
      <c r="G157" t="s">
        <v>62</v>
      </c>
      <c r="H157" t="s">
        <v>65</v>
      </c>
      <c r="I157">
        <v>21</v>
      </c>
    </row>
    <row r="158" spans="1:9" x14ac:dyDescent="0.35">
      <c r="A158" t="s">
        <v>61</v>
      </c>
      <c r="B158">
        <v>107844158</v>
      </c>
      <c r="C158" t="s">
        <v>605</v>
      </c>
      <c r="D158" t="s">
        <v>72</v>
      </c>
      <c r="E158" t="s">
        <v>70</v>
      </c>
      <c r="F158">
        <v>502</v>
      </c>
      <c r="G158" t="s">
        <v>68</v>
      </c>
      <c r="H158" t="s">
        <v>67</v>
      </c>
      <c r="I158">
        <v>502</v>
      </c>
    </row>
    <row r="159" spans="1:9" x14ac:dyDescent="0.35">
      <c r="A159" t="s">
        <v>37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I177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621</v>
      </c>
      <c r="D1" t="s">
        <v>622</v>
      </c>
      <c r="E1" t="s">
        <v>40</v>
      </c>
      <c r="F1" t="s">
        <v>623</v>
      </c>
      <c r="G1" t="s">
        <v>52</v>
      </c>
      <c r="H1" t="s">
        <v>624</v>
      </c>
      <c r="I1" t="s">
        <v>625</v>
      </c>
    </row>
    <row r="2" spans="1:9" x14ac:dyDescent="0.35">
      <c r="A2" t="s">
        <v>61</v>
      </c>
      <c r="B2">
        <v>106534472</v>
      </c>
      <c r="C2" t="s">
        <v>85</v>
      </c>
      <c r="D2" t="s">
        <v>60</v>
      </c>
      <c r="E2" t="s">
        <v>70</v>
      </c>
      <c r="F2">
        <v>253</v>
      </c>
      <c r="G2" t="s">
        <v>62</v>
      </c>
      <c r="H2" t="s">
        <v>67</v>
      </c>
      <c r="I2">
        <v>867</v>
      </c>
    </row>
    <row r="3" spans="1:9" x14ac:dyDescent="0.35">
      <c r="A3" t="s">
        <v>61</v>
      </c>
      <c r="B3">
        <v>106534472</v>
      </c>
      <c r="C3" t="s">
        <v>85</v>
      </c>
      <c r="D3" t="s">
        <v>60</v>
      </c>
      <c r="E3" t="s">
        <v>70</v>
      </c>
      <c r="F3">
        <v>253</v>
      </c>
      <c r="G3" t="s">
        <v>68</v>
      </c>
      <c r="H3" t="s">
        <v>67</v>
      </c>
      <c r="I3">
        <v>253</v>
      </c>
    </row>
    <row r="4" spans="1:9" x14ac:dyDescent="0.35">
      <c r="A4" t="s">
        <v>61</v>
      </c>
      <c r="B4">
        <v>106594105</v>
      </c>
      <c r="C4" t="s">
        <v>87</v>
      </c>
      <c r="D4" t="s">
        <v>80</v>
      </c>
      <c r="E4" t="s">
        <v>70</v>
      </c>
      <c r="F4">
        <v>259</v>
      </c>
      <c r="G4" t="s">
        <v>62</v>
      </c>
      <c r="H4" t="s">
        <v>67</v>
      </c>
      <c r="I4">
        <v>1183</v>
      </c>
    </row>
    <row r="5" spans="1:9" x14ac:dyDescent="0.35">
      <c r="A5" t="s">
        <v>61</v>
      </c>
      <c r="B5">
        <v>106594105</v>
      </c>
      <c r="C5" t="s">
        <v>87</v>
      </c>
      <c r="D5" t="s">
        <v>80</v>
      </c>
      <c r="E5" t="s">
        <v>70</v>
      </c>
      <c r="F5">
        <v>259</v>
      </c>
      <c r="G5" t="s">
        <v>62</v>
      </c>
      <c r="H5" t="s">
        <v>63</v>
      </c>
      <c r="I5">
        <v>166</v>
      </c>
    </row>
    <row r="6" spans="1:9" x14ac:dyDescent="0.35">
      <c r="A6" t="s">
        <v>61</v>
      </c>
      <c r="B6">
        <v>106594105</v>
      </c>
      <c r="C6" t="s">
        <v>87</v>
      </c>
      <c r="D6" t="s">
        <v>80</v>
      </c>
      <c r="E6" t="s">
        <v>70</v>
      </c>
      <c r="F6">
        <v>259</v>
      </c>
      <c r="G6" t="s">
        <v>62</v>
      </c>
      <c r="H6" t="s">
        <v>64</v>
      </c>
      <c r="I6">
        <v>1017</v>
      </c>
    </row>
    <row r="7" spans="1:9" x14ac:dyDescent="0.35">
      <c r="A7" t="s">
        <v>61</v>
      </c>
      <c r="B7">
        <v>106594105</v>
      </c>
      <c r="C7" t="s">
        <v>87</v>
      </c>
      <c r="D7" t="s">
        <v>80</v>
      </c>
      <c r="E7" t="s">
        <v>70</v>
      </c>
      <c r="F7">
        <v>259</v>
      </c>
      <c r="G7" t="s">
        <v>68</v>
      </c>
      <c r="H7" t="s">
        <v>67</v>
      </c>
      <c r="I7">
        <v>259</v>
      </c>
    </row>
    <row r="8" spans="1:9" x14ac:dyDescent="0.35">
      <c r="A8" t="s">
        <v>61</v>
      </c>
      <c r="B8">
        <v>103162419</v>
      </c>
      <c r="C8" t="s">
        <v>76</v>
      </c>
      <c r="D8" t="s">
        <v>72</v>
      </c>
      <c r="E8" t="s">
        <v>70</v>
      </c>
      <c r="F8">
        <v>332</v>
      </c>
      <c r="G8" t="s">
        <v>62</v>
      </c>
      <c r="H8" t="s">
        <v>67</v>
      </c>
      <c r="I8">
        <v>1226</v>
      </c>
    </row>
    <row r="9" spans="1:9" x14ac:dyDescent="0.35">
      <c r="A9" t="s">
        <v>61</v>
      </c>
      <c r="B9">
        <v>103162419</v>
      </c>
      <c r="C9" t="s">
        <v>76</v>
      </c>
      <c r="D9" t="s">
        <v>72</v>
      </c>
      <c r="E9" t="s">
        <v>70</v>
      </c>
      <c r="F9">
        <v>332</v>
      </c>
      <c r="G9" t="s">
        <v>62</v>
      </c>
      <c r="H9" t="s">
        <v>63</v>
      </c>
      <c r="I9">
        <v>120</v>
      </c>
    </row>
    <row r="10" spans="1:9" x14ac:dyDescent="0.35">
      <c r="A10" t="s">
        <v>61</v>
      </c>
      <c r="B10">
        <v>103162419</v>
      </c>
      <c r="C10" t="s">
        <v>76</v>
      </c>
      <c r="D10" t="s">
        <v>72</v>
      </c>
      <c r="E10" t="s">
        <v>70</v>
      </c>
      <c r="F10">
        <v>332</v>
      </c>
      <c r="G10" t="s">
        <v>62</v>
      </c>
      <c r="H10" t="s">
        <v>64</v>
      </c>
      <c r="I10">
        <v>1099</v>
      </c>
    </row>
    <row r="11" spans="1:9" x14ac:dyDescent="0.35">
      <c r="A11" t="s">
        <v>61</v>
      </c>
      <c r="B11">
        <v>103162419</v>
      </c>
      <c r="C11" t="s">
        <v>76</v>
      </c>
      <c r="D11" t="s">
        <v>72</v>
      </c>
      <c r="E11" t="s">
        <v>70</v>
      </c>
      <c r="F11">
        <v>332</v>
      </c>
      <c r="G11" t="s">
        <v>62</v>
      </c>
      <c r="H11" t="s">
        <v>65</v>
      </c>
      <c r="I11">
        <v>7</v>
      </c>
    </row>
    <row r="12" spans="1:9" x14ac:dyDescent="0.35">
      <c r="A12" t="s">
        <v>61</v>
      </c>
      <c r="B12">
        <v>103162419</v>
      </c>
      <c r="C12" t="s">
        <v>76</v>
      </c>
      <c r="D12" t="s">
        <v>72</v>
      </c>
      <c r="E12" t="s">
        <v>70</v>
      </c>
      <c r="F12">
        <v>332</v>
      </c>
      <c r="G12" t="s">
        <v>68</v>
      </c>
      <c r="H12" t="s">
        <v>67</v>
      </c>
      <c r="I12">
        <v>332</v>
      </c>
    </row>
    <row r="13" spans="1:9" x14ac:dyDescent="0.35">
      <c r="A13" t="s">
        <v>61</v>
      </c>
      <c r="B13">
        <v>106636925</v>
      </c>
      <c r="C13" t="s">
        <v>88</v>
      </c>
      <c r="D13" t="s">
        <v>72</v>
      </c>
      <c r="E13" t="s">
        <v>58</v>
      </c>
      <c r="F13">
        <v>466</v>
      </c>
      <c r="G13" t="s">
        <v>62</v>
      </c>
      <c r="H13" t="s">
        <v>67</v>
      </c>
      <c r="I13">
        <v>2233</v>
      </c>
    </row>
    <row r="14" spans="1:9" x14ac:dyDescent="0.35">
      <c r="A14" t="s">
        <v>61</v>
      </c>
      <c r="B14">
        <v>106636925</v>
      </c>
      <c r="C14" t="s">
        <v>88</v>
      </c>
      <c r="D14" t="s">
        <v>72</v>
      </c>
      <c r="E14" t="s">
        <v>58</v>
      </c>
      <c r="F14">
        <v>466</v>
      </c>
      <c r="G14" t="s">
        <v>62</v>
      </c>
      <c r="H14" t="s">
        <v>63</v>
      </c>
      <c r="I14">
        <v>429</v>
      </c>
    </row>
    <row r="15" spans="1:9" x14ac:dyDescent="0.35">
      <c r="A15" t="s">
        <v>61</v>
      </c>
      <c r="B15">
        <v>106636925</v>
      </c>
      <c r="C15" t="s">
        <v>88</v>
      </c>
      <c r="D15" t="s">
        <v>72</v>
      </c>
      <c r="E15" t="s">
        <v>58</v>
      </c>
      <c r="F15">
        <v>466</v>
      </c>
      <c r="G15" t="s">
        <v>62</v>
      </c>
      <c r="H15" t="s">
        <v>64</v>
      </c>
      <c r="I15">
        <v>1795</v>
      </c>
    </row>
    <row r="16" spans="1:9" x14ac:dyDescent="0.35">
      <c r="A16" t="s">
        <v>61</v>
      </c>
      <c r="B16">
        <v>106636925</v>
      </c>
      <c r="C16" t="s">
        <v>88</v>
      </c>
      <c r="D16" t="s">
        <v>72</v>
      </c>
      <c r="E16" t="s">
        <v>58</v>
      </c>
      <c r="F16">
        <v>466</v>
      </c>
      <c r="G16" t="s">
        <v>62</v>
      </c>
      <c r="H16" t="s">
        <v>65</v>
      </c>
      <c r="I16">
        <v>9</v>
      </c>
    </row>
    <row r="17" spans="1:9" x14ac:dyDescent="0.35">
      <c r="A17" t="s">
        <v>61</v>
      </c>
      <c r="B17">
        <v>106636925</v>
      </c>
      <c r="C17" t="s">
        <v>88</v>
      </c>
      <c r="D17" t="s">
        <v>72</v>
      </c>
      <c r="E17" t="s">
        <v>58</v>
      </c>
      <c r="F17">
        <v>466</v>
      </c>
      <c r="G17" t="s">
        <v>68</v>
      </c>
      <c r="H17" t="s">
        <v>67</v>
      </c>
      <c r="I17">
        <v>466</v>
      </c>
    </row>
    <row r="18" spans="1:9" x14ac:dyDescent="0.35">
      <c r="A18" t="s">
        <v>61</v>
      </c>
      <c r="B18">
        <v>105611852</v>
      </c>
      <c r="C18" t="s">
        <v>81</v>
      </c>
      <c r="D18" t="s">
        <v>72</v>
      </c>
      <c r="E18" t="s">
        <v>70</v>
      </c>
      <c r="F18">
        <v>427</v>
      </c>
      <c r="G18" t="s">
        <v>62</v>
      </c>
      <c r="H18" t="s">
        <v>67</v>
      </c>
      <c r="I18">
        <v>2597</v>
      </c>
    </row>
    <row r="19" spans="1:9" x14ac:dyDescent="0.35">
      <c r="A19" t="s">
        <v>61</v>
      </c>
      <c r="B19">
        <v>105611852</v>
      </c>
      <c r="C19" t="s">
        <v>81</v>
      </c>
      <c r="D19" t="s">
        <v>72</v>
      </c>
      <c r="E19" t="s">
        <v>70</v>
      </c>
      <c r="F19">
        <v>427</v>
      </c>
      <c r="G19" t="s">
        <v>62</v>
      </c>
      <c r="H19" t="s">
        <v>63</v>
      </c>
      <c r="I19">
        <v>329</v>
      </c>
    </row>
    <row r="20" spans="1:9" x14ac:dyDescent="0.35">
      <c r="A20" t="s">
        <v>61</v>
      </c>
      <c r="B20">
        <v>105611852</v>
      </c>
      <c r="C20" t="s">
        <v>81</v>
      </c>
      <c r="D20" t="s">
        <v>72</v>
      </c>
      <c r="E20" t="s">
        <v>70</v>
      </c>
      <c r="F20">
        <v>427</v>
      </c>
      <c r="G20" t="s">
        <v>62</v>
      </c>
      <c r="H20" t="s">
        <v>64</v>
      </c>
      <c r="I20">
        <v>2251</v>
      </c>
    </row>
    <row r="21" spans="1:9" x14ac:dyDescent="0.35">
      <c r="A21" t="s">
        <v>61</v>
      </c>
      <c r="B21">
        <v>105611852</v>
      </c>
      <c r="C21" t="s">
        <v>81</v>
      </c>
      <c r="D21" t="s">
        <v>72</v>
      </c>
      <c r="E21" t="s">
        <v>70</v>
      </c>
      <c r="F21">
        <v>427</v>
      </c>
      <c r="G21" t="s">
        <v>62</v>
      </c>
      <c r="H21" t="s">
        <v>65</v>
      </c>
      <c r="I21">
        <v>17</v>
      </c>
    </row>
    <row r="22" spans="1:9" x14ac:dyDescent="0.35">
      <c r="A22" t="s">
        <v>61</v>
      </c>
      <c r="B22">
        <v>105611852</v>
      </c>
      <c r="C22" t="s">
        <v>81</v>
      </c>
      <c r="D22" t="s">
        <v>72</v>
      </c>
      <c r="E22" t="s">
        <v>70</v>
      </c>
      <c r="F22">
        <v>427</v>
      </c>
      <c r="G22" t="s">
        <v>68</v>
      </c>
      <c r="H22" t="s">
        <v>67</v>
      </c>
      <c r="I22">
        <v>427</v>
      </c>
    </row>
    <row r="23" spans="1:9" x14ac:dyDescent="0.35">
      <c r="A23" t="s">
        <v>61</v>
      </c>
      <c r="B23">
        <v>103783504</v>
      </c>
      <c r="C23" t="s">
        <v>77</v>
      </c>
      <c r="D23" t="s">
        <v>72</v>
      </c>
      <c r="E23" t="s">
        <v>70</v>
      </c>
      <c r="F23">
        <v>278</v>
      </c>
      <c r="G23" t="s">
        <v>62</v>
      </c>
      <c r="H23" t="s">
        <v>67</v>
      </c>
      <c r="I23">
        <v>1470</v>
      </c>
    </row>
    <row r="24" spans="1:9" x14ac:dyDescent="0.35">
      <c r="A24" t="s">
        <v>61</v>
      </c>
      <c r="B24">
        <v>103783504</v>
      </c>
      <c r="C24" t="s">
        <v>77</v>
      </c>
      <c r="D24" t="s">
        <v>72</v>
      </c>
      <c r="E24" t="s">
        <v>70</v>
      </c>
      <c r="F24">
        <v>278</v>
      </c>
      <c r="G24" t="s">
        <v>62</v>
      </c>
      <c r="H24" t="s">
        <v>63</v>
      </c>
      <c r="I24">
        <v>296</v>
      </c>
    </row>
    <row r="25" spans="1:9" x14ac:dyDescent="0.35">
      <c r="A25" t="s">
        <v>61</v>
      </c>
      <c r="B25">
        <v>103783504</v>
      </c>
      <c r="C25" t="s">
        <v>77</v>
      </c>
      <c r="D25" t="s">
        <v>72</v>
      </c>
      <c r="E25" t="s">
        <v>70</v>
      </c>
      <c r="F25">
        <v>278</v>
      </c>
      <c r="G25" t="s">
        <v>62</v>
      </c>
      <c r="H25" t="s">
        <v>64</v>
      </c>
      <c r="I25">
        <v>1173</v>
      </c>
    </row>
    <row r="26" spans="1:9" x14ac:dyDescent="0.35">
      <c r="A26" t="s">
        <v>61</v>
      </c>
      <c r="B26">
        <v>103783504</v>
      </c>
      <c r="C26" t="s">
        <v>77</v>
      </c>
      <c r="D26" t="s">
        <v>72</v>
      </c>
      <c r="E26" t="s">
        <v>70</v>
      </c>
      <c r="F26">
        <v>278</v>
      </c>
      <c r="G26" t="s">
        <v>62</v>
      </c>
      <c r="H26" t="s">
        <v>65</v>
      </c>
      <c r="I26">
        <v>1</v>
      </c>
    </row>
    <row r="27" spans="1:9" x14ac:dyDescent="0.35">
      <c r="A27" t="s">
        <v>61</v>
      </c>
      <c r="B27">
        <v>103783504</v>
      </c>
      <c r="C27" t="s">
        <v>77</v>
      </c>
      <c r="D27" t="s">
        <v>72</v>
      </c>
      <c r="E27" t="s">
        <v>70</v>
      </c>
      <c r="F27">
        <v>278</v>
      </c>
      <c r="G27" t="s">
        <v>68</v>
      </c>
      <c r="H27" t="s">
        <v>67</v>
      </c>
      <c r="I27">
        <v>278</v>
      </c>
    </row>
    <row r="28" spans="1:9" x14ac:dyDescent="0.35">
      <c r="A28" t="s">
        <v>61</v>
      </c>
      <c r="B28">
        <v>106640096</v>
      </c>
      <c r="C28" t="s">
        <v>89</v>
      </c>
      <c r="D28" t="s">
        <v>72</v>
      </c>
      <c r="E28" t="s">
        <v>70</v>
      </c>
      <c r="F28">
        <v>467</v>
      </c>
      <c r="G28" t="s">
        <v>62</v>
      </c>
      <c r="H28" t="s">
        <v>67</v>
      </c>
      <c r="I28">
        <v>1752</v>
      </c>
    </row>
    <row r="29" spans="1:9" x14ac:dyDescent="0.35">
      <c r="A29" t="s">
        <v>61</v>
      </c>
      <c r="B29">
        <v>106640096</v>
      </c>
      <c r="C29" t="s">
        <v>89</v>
      </c>
      <c r="D29" t="s">
        <v>72</v>
      </c>
      <c r="E29" t="s">
        <v>70</v>
      </c>
      <c r="F29">
        <v>467</v>
      </c>
      <c r="G29" t="s">
        <v>62</v>
      </c>
      <c r="H29" t="s">
        <v>63</v>
      </c>
      <c r="I29">
        <v>254</v>
      </c>
    </row>
    <row r="30" spans="1:9" x14ac:dyDescent="0.35">
      <c r="A30" t="s">
        <v>61</v>
      </c>
      <c r="B30">
        <v>106640096</v>
      </c>
      <c r="C30" t="s">
        <v>89</v>
      </c>
      <c r="D30" t="s">
        <v>72</v>
      </c>
      <c r="E30" t="s">
        <v>70</v>
      </c>
      <c r="F30">
        <v>467</v>
      </c>
      <c r="G30" t="s">
        <v>62</v>
      </c>
      <c r="H30" t="s">
        <v>64</v>
      </c>
      <c r="I30">
        <v>1498</v>
      </c>
    </row>
    <row r="31" spans="1:9" x14ac:dyDescent="0.35">
      <c r="A31" t="s">
        <v>61</v>
      </c>
      <c r="B31">
        <v>106640096</v>
      </c>
      <c r="C31" t="s">
        <v>89</v>
      </c>
      <c r="D31" t="s">
        <v>72</v>
      </c>
      <c r="E31" t="s">
        <v>70</v>
      </c>
      <c r="F31">
        <v>467</v>
      </c>
      <c r="G31" t="s">
        <v>68</v>
      </c>
      <c r="H31" t="s">
        <v>67</v>
      </c>
      <c r="I31">
        <v>467</v>
      </c>
    </row>
    <row r="32" spans="1:9" x14ac:dyDescent="0.35">
      <c r="A32" t="s">
        <v>61</v>
      </c>
      <c r="B32">
        <v>107432433</v>
      </c>
      <c r="C32" t="s">
        <v>98</v>
      </c>
      <c r="D32" t="s">
        <v>60</v>
      </c>
      <c r="E32" t="s">
        <v>70</v>
      </c>
      <c r="F32">
        <v>399</v>
      </c>
      <c r="G32" t="s">
        <v>62</v>
      </c>
      <c r="H32" t="s">
        <v>67</v>
      </c>
      <c r="I32">
        <v>1747</v>
      </c>
    </row>
    <row r="33" spans="1:9" x14ac:dyDescent="0.35">
      <c r="A33" t="s">
        <v>61</v>
      </c>
      <c r="B33">
        <v>107432433</v>
      </c>
      <c r="C33" t="s">
        <v>98</v>
      </c>
      <c r="D33" t="s">
        <v>60</v>
      </c>
      <c r="E33" t="s">
        <v>70</v>
      </c>
      <c r="F33">
        <v>399</v>
      </c>
      <c r="G33" t="s">
        <v>62</v>
      </c>
      <c r="H33" t="s">
        <v>63</v>
      </c>
      <c r="I33">
        <v>230</v>
      </c>
    </row>
    <row r="34" spans="1:9" x14ac:dyDescent="0.35">
      <c r="A34" t="s">
        <v>61</v>
      </c>
      <c r="B34">
        <v>107432433</v>
      </c>
      <c r="C34" t="s">
        <v>98</v>
      </c>
      <c r="D34" t="s">
        <v>60</v>
      </c>
      <c r="E34" t="s">
        <v>70</v>
      </c>
      <c r="F34">
        <v>399</v>
      </c>
      <c r="G34" t="s">
        <v>62</v>
      </c>
      <c r="H34" t="s">
        <v>64</v>
      </c>
      <c r="I34">
        <v>1517</v>
      </c>
    </row>
    <row r="35" spans="1:9" x14ac:dyDescent="0.35">
      <c r="A35" t="s">
        <v>61</v>
      </c>
      <c r="B35">
        <v>107432433</v>
      </c>
      <c r="C35" t="s">
        <v>98</v>
      </c>
      <c r="D35" t="s">
        <v>60</v>
      </c>
      <c r="E35" t="s">
        <v>70</v>
      </c>
      <c r="F35">
        <v>399</v>
      </c>
      <c r="G35" t="s">
        <v>68</v>
      </c>
      <c r="H35" t="s">
        <v>67</v>
      </c>
      <c r="I35">
        <v>399</v>
      </c>
    </row>
    <row r="36" spans="1:9" x14ac:dyDescent="0.35">
      <c r="A36" t="s">
        <v>61</v>
      </c>
      <c r="B36">
        <v>107820116</v>
      </c>
      <c r="C36" t="s">
        <v>110</v>
      </c>
      <c r="D36" t="s">
        <v>60</v>
      </c>
      <c r="E36" t="s">
        <v>58</v>
      </c>
      <c r="F36">
        <v>510</v>
      </c>
      <c r="G36" t="s">
        <v>62</v>
      </c>
      <c r="H36" t="s">
        <v>67</v>
      </c>
      <c r="I36">
        <v>2088</v>
      </c>
    </row>
    <row r="37" spans="1:9" x14ac:dyDescent="0.35">
      <c r="A37" t="s">
        <v>61</v>
      </c>
      <c r="B37">
        <v>107820116</v>
      </c>
      <c r="C37" t="s">
        <v>110</v>
      </c>
      <c r="D37" t="s">
        <v>60</v>
      </c>
      <c r="E37" t="s">
        <v>58</v>
      </c>
      <c r="F37">
        <v>510</v>
      </c>
      <c r="G37" t="s">
        <v>62</v>
      </c>
      <c r="H37" t="s">
        <v>63</v>
      </c>
      <c r="I37">
        <v>260</v>
      </c>
    </row>
    <row r="38" spans="1:9" x14ac:dyDescent="0.35">
      <c r="A38" t="s">
        <v>61</v>
      </c>
      <c r="B38">
        <v>107820116</v>
      </c>
      <c r="C38" t="s">
        <v>110</v>
      </c>
      <c r="D38" t="s">
        <v>60</v>
      </c>
      <c r="E38" t="s">
        <v>58</v>
      </c>
      <c r="F38">
        <v>510</v>
      </c>
      <c r="G38" t="s">
        <v>62</v>
      </c>
      <c r="H38" t="s">
        <v>64</v>
      </c>
      <c r="I38">
        <v>1788</v>
      </c>
    </row>
    <row r="39" spans="1:9" x14ac:dyDescent="0.35">
      <c r="A39" t="s">
        <v>61</v>
      </c>
      <c r="B39">
        <v>107820116</v>
      </c>
      <c r="C39" t="s">
        <v>110</v>
      </c>
      <c r="D39" t="s">
        <v>60</v>
      </c>
      <c r="E39" t="s">
        <v>58</v>
      </c>
      <c r="F39">
        <v>510</v>
      </c>
      <c r="G39" t="s">
        <v>62</v>
      </c>
      <c r="H39" t="s">
        <v>65</v>
      </c>
      <c r="I39">
        <v>40</v>
      </c>
    </row>
    <row r="40" spans="1:9" x14ac:dyDescent="0.35">
      <c r="A40" t="s">
        <v>61</v>
      </c>
      <c r="B40">
        <v>107820116</v>
      </c>
      <c r="C40" t="s">
        <v>110</v>
      </c>
      <c r="D40" t="s">
        <v>60</v>
      </c>
      <c r="E40" t="s">
        <v>58</v>
      </c>
      <c r="F40">
        <v>510</v>
      </c>
      <c r="G40" t="s">
        <v>68</v>
      </c>
      <c r="H40" t="s">
        <v>67</v>
      </c>
      <c r="I40">
        <v>511</v>
      </c>
    </row>
    <row r="41" spans="1:9" x14ac:dyDescent="0.35">
      <c r="A41" t="s">
        <v>61</v>
      </c>
      <c r="B41">
        <v>107704699</v>
      </c>
      <c r="C41" t="s">
        <v>102</v>
      </c>
      <c r="D41" t="s">
        <v>60</v>
      </c>
      <c r="E41" t="s">
        <v>58</v>
      </c>
      <c r="F41">
        <v>369</v>
      </c>
      <c r="G41" t="s">
        <v>62</v>
      </c>
      <c r="H41" t="s">
        <v>67</v>
      </c>
      <c r="I41">
        <v>2167</v>
      </c>
    </row>
    <row r="42" spans="1:9" x14ac:dyDescent="0.35">
      <c r="A42" t="s">
        <v>61</v>
      </c>
      <c r="B42">
        <v>107704699</v>
      </c>
      <c r="C42" t="s">
        <v>102</v>
      </c>
      <c r="D42" t="s">
        <v>60</v>
      </c>
      <c r="E42" t="s">
        <v>58</v>
      </c>
      <c r="F42">
        <v>369</v>
      </c>
      <c r="G42" t="s">
        <v>62</v>
      </c>
      <c r="H42" t="s">
        <v>63</v>
      </c>
      <c r="I42">
        <v>624</v>
      </c>
    </row>
    <row r="43" spans="1:9" x14ac:dyDescent="0.35">
      <c r="A43" t="s">
        <v>61</v>
      </c>
      <c r="B43">
        <v>107704699</v>
      </c>
      <c r="C43" t="s">
        <v>102</v>
      </c>
      <c r="D43" t="s">
        <v>60</v>
      </c>
      <c r="E43" t="s">
        <v>58</v>
      </c>
      <c r="F43">
        <v>369</v>
      </c>
      <c r="G43" t="s">
        <v>62</v>
      </c>
      <c r="H43" t="s">
        <v>64</v>
      </c>
      <c r="I43">
        <v>1543</v>
      </c>
    </row>
    <row r="44" spans="1:9" x14ac:dyDescent="0.35">
      <c r="A44" t="s">
        <v>61</v>
      </c>
      <c r="B44">
        <v>107704699</v>
      </c>
      <c r="C44" t="s">
        <v>102</v>
      </c>
      <c r="D44" t="s">
        <v>60</v>
      </c>
      <c r="E44" t="s">
        <v>58</v>
      </c>
      <c r="F44">
        <v>369</v>
      </c>
      <c r="G44" t="s">
        <v>68</v>
      </c>
      <c r="H44" t="s">
        <v>67</v>
      </c>
      <c r="I44">
        <v>369</v>
      </c>
    </row>
    <row r="45" spans="1:9" x14ac:dyDescent="0.35">
      <c r="A45" t="s">
        <v>61</v>
      </c>
      <c r="B45">
        <v>106036050</v>
      </c>
      <c r="C45" t="s">
        <v>82</v>
      </c>
      <c r="D45" t="s">
        <v>60</v>
      </c>
      <c r="E45" t="s">
        <v>70</v>
      </c>
      <c r="F45">
        <v>6</v>
      </c>
      <c r="G45" t="s">
        <v>62</v>
      </c>
      <c r="H45" t="s">
        <v>67</v>
      </c>
      <c r="I45">
        <v>1101</v>
      </c>
    </row>
    <row r="46" spans="1:9" x14ac:dyDescent="0.35">
      <c r="A46" t="s">
        <v>61</v>
      </c>
      <c r="B46">
        <v>106036050</v>
      </c>
      <c r="C46" t="s">
        <v>82</v>
      </c>
      <c r="D46" t="s">
        <v>60</v>
      </c>
      <c r="E46" t="s">
        <v>70</v>
      </c>
      <c r="F46">
        <v>6</v>
      </c>
      <c r="G46" t="s">
        <v>68</v>
      </c>
      <c r="H46" t="s">
        <v>67</v>
      </c>
      <c r="I46">
        <v>214</v>
      </c>
    </row>
    <row r="47" spans="1:9" x14ac:dyDescent="0.35">
      <c r="A47" t="s">
        <v>61</v>
      </c>
      <c r="B47">
        <v>106036050</v>
      </c>
      <c r="C47" t="s">
        <v>82</v>
      </c>
      <c r="D47" t="s">
        <v>60</v>
      </c>
      <c r="E47" t="s">
        <v>70</v>
      </c>
      <c r="F47">
        <v>6</v>
      </c>
      <c r="G47" t="s">
        <v>69</v>
      </c>
      <c r="H47" t="s">
        <v>67</v>
      </c>
      <c r="I47">
        <v>6</v>
      </c>
    </row>
    <row r="48" spans="1:9" x14ac:dyDescent="0.35">
      <c r="A48" t="s">
        <v>61</v>
      </c>
      <c r="B48">
        <v>107741933</v>
      </c>
      <c r="C48" t="s">
        <v>105</v>
      </c>
      <c r="D48" t="s">
        <v>60</v>
      </c>
      <c r="E48" t="s">
        <v>58</v>
      </c>
      <c r="F48">
        <v>331</v>
      </c>
      <c r="G48" t="s">
        <v>62</v>
      </c>
      <c r="H48" t="s">
        <v>67</v>
      </c>
      <c r="I48">
        <v>2075</v>
      </c>
    </row>
    <row r="49" spans="1:9" x14ac:dyDescent="0.35">
      <c r="A49" t="s">
        <v>61</v>
      </c>
      <c r="B49">
        <v>107741933</v>
      </c>
      <c r="C49" t="s">
        <v>105</v>
      </c>
      <c r="D49" t="s">
        <v>60</v>
      </c>
      <c r="E49" t="s">
        <v>58</v>
      </c>
      <c r="F49">
        <v>331</v>
      </c>
      <c r="G49" t="s">
        <v>62</v>
      </c>
      <c r="H49" t="s">
        <v>63</v>
      </c>
      <c r="I49">
        <v>492</v>
      </c>
    </row>
    <row r="50" spans="1:9" x14ac:dyDescent="0.35">
      <c r="A50" t="s">
        <v>61</v>
      </c>
      <c r="B50">
        <v>107741933</v>
      </c>
      <c r="C50" t="s">
        <v>105</v>
      </c>
      <c r="D50" t="s">
        <v>60</v>
      </c>
      <c r="E50" t="s">
        <v>58</v>
      </c>
      <c r="F50">
        <v>331</v>
      </c>
      <c r="G50" t="s">
        <v>62</v>
      </c>
      <c r="H50" t="s">
        <v>64</v>
      </c>
      <c r="I50">
        <v>1583</v>
      </c>
    </row>
    <row r="51" spans="1:9" x14ac:dyDescent="0.35">
      <c r="A51" t="s">
        <v>61</v>
      </c>
      <c r="B51">
        <v>107741933</v>
      </c>
      <c r="C51" t="s">
        <v>105</v>
      </c>
      <c r="D51" t="s">
        <v>60</v>
      </c>
      <c r="E51" t="s">
        <v>58</v>
      </c>
      <c r="F51">
        <v>331</v>
      </c>
      <c r="G51" t="s">
        <v>68</v>
      </c>
      <c r="H51" t="s">
        <v>67</v>
      </c>
      <c r="I51">
        <v>331</v>
      </c>
    </row>
    <row r="52" spans="1:9" x14ac:dyDescent="0.35">
      <c r="A52" t="s">
        <v>61</v>
      </c>
      <c r="B52">
        <v>107221237</v>
      </c>
      <c r="C52" t="s">
        <v>97</v>
      </c>
      <c r="D52" t="s">
        <v>72</v>
      </c>
      <c r="E52" t="s">
        <v>58</v>
      </c>
      <c r="F52">
        <v>389</v>
      </c>
      <c r="G52" t="s">
        <v>62</v>
      </c>
      <c r="H52" t="s">
        <v>67</v>
      </c>
      <c r="I52">
        <v>1651</v>
      </c>
    </row>
    <row r="53" spans="1:9" x14ac:dyDescent="0.35">
      <c r="A53" t="s">
        <v>61</v>
      </c>
      <c r="B53">
        <v>107221237</v>
      </c>
      <c r="C53" t="s">
        <v>97</v>
      </c>
      <c r="D53" t="s">
        <v>72</v>
      </c>
      <c r="E53" t="s">
        <v>58</v>
      </c>
      <c r="F53">
        <v>389</v>
      </c>
      <c r="G53" t="s">
        <v>62</v>
      </c>
      <c r="H53" t="s">
        <v>63</v>
      </c>
      <c r="I53">
        <v>261</v>
      </c>
    </row>
    <row r="54" spans="1:9" x14ac:dyDescent="0.35">
      <c r="A54" t="s">
        <v>61</v>
      </c>
      <c r="B54">
        <v>107221237</v>
      </c>
      <c r="C54" t="s">
        <v>97</v>
      </c>
      <c r="D54" t="s">
        <v>72</v>
      </c>
      <c r="E54" t="s">
        <v>58</v>
      </c>
      <c r="F54">
        <v>389</v>
      </c>
      <c r="G54" t="s">
        <v>62</v>
      </c>
      <c r="H54" t="s">
        <v>64</v>
      </c>
      <c r="I54">
        <v>1376</v>
      </c>
    </row>
    <row r="55" spans="1:9" x14ac:dyDescent="0.35">
      <c r="A55" t="s">
        <v>61</v>
      </c>
      <c r="B55">
        <v>107221237</v>
      </c>
      <c r="C55" t="s">
        <v>97</v>
      </c>
      <c r="D55" t="s">
        <v>72</v>
      </c>
      <c r="E55" t="s">
        <v>58</v>
      </c>
      <c r="F55">
        <v>389</v>
      </c>
      <c r="G55" t="s">
        <v>62</v>
      </c>
      <c r="H55" t="s">
        <v>65</v>
      </c>
      <c r="I55">
        <v>14</v>
      </c>
    </row>
    <row r="56" spans="1:9" x14ac:dyDescent="0.35">
      <c r="A56" t="s">
        <v>61</v>
      </c>
      <c r="B56">
        <v>107221237</v>
      </c>
      <c r="C56" t="s">
        <v>97</v>
      </c>
      <c r="D56" t="s">
        <v>72</v>
      </c>
      <c r="E56" t="s">
        <v>58</v>
      </c>
      <c r="F56">
        <v>389</v>
      </c>
      <c r="G56" t="s">
        <v>68</v>
      </c>
      <c r="H56" t="s">
        <v>67</v>
      </c>
      <c r="I56">
        <v>389</v>
      </c>
    </row>
    <row r="57" spans="1:9" x14ac:dyDescent="0.35">
      <c r="A57" t="s">
        <v>61</v>
      </c>
      <c r="B57">
        <v>107221222</v>
      </c>
      <c r="C57" t="s">
        <v>94</v>
      </c>
      <c r="D57" t="s">
        <v>72</v>
      </c>
      <c r="E57" t="s">
        <v>70</v>
      </c>
      <c r="F57">
        <v>606</v>
      </c>
      <c r="G57" t="s">
        <v>62</v>
      </c>
      <c r="H57" t="s">
        <v>67</v>
      </c>
      <c r="I57">
        <v>2337</v>
      </c>
    </row>
    <row r="58" spans="1:9" x14ac:dyDescent="0.35">
      <c r="A58" t="s">
        <v>61</v>
      </c>
      <c r="B58">
        <v>107221222</v>
      </c>
      <c r="C58" t="s">
        <v>94</v>
      </c>
      <c r="D58" t="s">
        <v>72</v>
      </c>
      <c r="E58" t="s">
        <v>70</v>
      </c>
      <c r="F58">
        <v>606</v>
      </c>
      <c r="G58" t="s">
        <v>62</v>
      </c>
      <c r="H58" t="s">
        <v>63</v>
      </c>
      <c r="I58">
        <v>282</v>
      </c>
    </row>
    <row r="59" spans="1:9" x14ac:dyDescent="0.35">
      <c r="A59" t="s">
        <v>61</v>
      </c>
      <c r="B59">
        <v>107221222</v>
      </c>
      <c r="C59" t="s">
        <v>94</v>
      </c>
      <c r="D59" t="s">
        <v>72</v>
      </c>
      <c r="E59" t="s">
        <v>70</v>
      </c>
      <c r="F59">
        <v>606</v>
      </c>
      <c r="G59" t="s">
        <v>62</v>
      </c>
      <c r="H59" t="s">
        <v>64</v>
      </c>
      <c r="I59">
        <v>2013</v>
      </c>
    </row>
    <row r="60" spans="1:9" x14ac:dyDescent="0.35">
      <c r="A60" t="s">
        <v>61</v>
      </c>
      <c r="B60">
        <v>107221222</v>
      </c>
      <c r="C60" t="s">
        <v>94</v>
      </c>
      <c r="D60" t="s">
        <v>72</v>
      </c>
      <c r="E60" t="s">
        <v>70</v>
      </c>
      <c r="F60">
        <v>606</v>
      </c>
      <c r="G60" t="s">
        <v>62</v>
      </c>
      <c r="H60" t="s">
        <v>65</v>
      </c>
      <c r="I60">
        <v>42</v>
      </c>
    </row>
    <row r="61" spans="1:9" x14ac:dyDescent="0.35">
      <c r="A61" t="s">
        <v>61</v>
      </c>
      <c r="B61">
        <v>107221222</v>
      </c>
      <c r="C61" t="s">
        <v>94</v>
      </c>
      <c r="D61" t="s">
        <v>72</v>
      </c>
      <c r="E61" t="s">
        <v>70</v>
      </c>
      <c r="F61">
        <v>606</v>
      </c>
      <c r="G61" t="s">
        <v>68</v>
      </c>
      <c r="H61" t="s">
        <v>67</v>
      </c>
      <c r="I61">
        <v>606</v>
      </c>
    </row>
    <row r="62" spans="1:9" x14ac:dyDescent="0.35">
      <c r="A62" t="s">
        <v>61</v>
      </c>
      <c r="B62">
        <v>107704604</v>
      </c>
      <c r="C62" t="s">
        <v>101</v>
      </c>
      <c r="D62" t="s">
        <v>72</v>
      </c>
      <c r="E62" t="s">
        <v>58</v>
      </c>
      <c r="F62">
        <v>297</v>
      </c>
      <c r="G62" t="s">
        <v>62</v>
      </c>
      <c r="H62" t="s">
        <v>67</v>
      </c>
      <c r="I62">
        <v>1735</v>
      </c>
    </row>
    <row r="63" spans="1:9" x14ac:dyDescent="0.35">
      <c r="A63" t="s">
        <v>61</v>
      </c>
      <c r="B63">
        <v>107704604</v>
      </c>
      <c r="C63" t="s">
        <v>101</v>
      </c>
      <c r="D63" t="s">
        <v>72</v>
      </c>
      <c r="E63" t="s">
        <v>58</v>
      </c>
      <c r="F63">
        <v>297</v>
      </c>
      <c r="G63" t="s">
        <v>62</v>
      </c>
      <c r="H63" t="s">
        <v>63</v>
      </c>
      <c r="I63">
        <v>617</v>
      </c>
    </row>
    <row r="64" spans="1:9" x14ac:dyDescent="0.35">
      <c r="A64" t="s">
        <v>61</v>
      </c>
      <c r="B64">
        <v>107704604</v>
      </c>
      <c r="C64" t="s">
        <v>101</v>
      </c>
      <c r="D64" t="s">
        <v>72</v>
      </c>
      <c r="E64" t="s">
        <v>58</v>
      </c>
      <c r="F64">
        <v>297</v>
      </c>
      <c r="G64" t="s">
        <v>62</v>
      </c>
      <c r="H64" t="s">
        <v>64</v>
      </c>
      <c r="I64">
        <v>1030</v>
      </c>
    </row>
    <row r="65" spans="1:9" x14ac:dyDescent="0.35">
      <c r="A65" t="s">
        <v>61</v>
      </c>
      <c r="B65">
        <v>107704604</v>
      </c>
      <c r="C65" t="s">
        <v>101</v>
      </c>
      <c r="D65" t="s">
        <v>72</v>
      </c>
      <c r="E65" t="s">
        <v>58</v>
      </c>
      <c r="F65">
        <v>297</v>
      </c>
      <c r="G65" t="s">
        <v>62</v>
      </c>
      <c r="H65" t="s">
        <v>65</v>
      </c>
      <c r="I65">
        <v>88</v>
      </c>
    </row>
    <row r="66" spans="1:9" x14ac:dyDescent="0.35">
      <c r="A66" t="s">
        <v>61</v>
      </c>
      <c r="B66">
        <v>107704604</v>
      </c>
      <c r="C66" t="s">
        <v>101</v>
      </c>
      <c r="D66" t="s">
        <v>72</v>
      </c>
      <c r="E66" t="s">
        <v>58</v>
      </c>
      <c r="F66">
        <v>297</v>
      </c>
      <c r="G66" t="s">
        <v>68</v>
      </c>
      <c r="H66" t="s">
        <v>67</v>
      </c>
      <c r="I66">
        <v>297</v>
      </c>
    </row>
    <row r="67" spans="1:9" x14ac:dyDescent="0.35">
      <c r="A67" t="s">
        <v>61</v>
      </c>
      <c r="B67">
        <v>107741612</v>
      </c>
      <c r="C67" t="s">
        <v>104</v>
      </c>
      <c r="D67" t="s">
        <v>60</v>
      </c>
      <c r="E67" t="s">
        <v>70</v>
      </c>
      <c r="F67">
        <v>604</v>
      </c>
      <c r="G67" t="s">
        <v>62</v>
      </c>
      <c r="H67" t="s">
        <v>67</v>
      </c>
      <c r="I67">
        <v>2933</v>
      </c>
    </row>
    <row r="68" spans="1:9" x14ac:dyDescent="0.35">
      <c r="A68" t="s">
        <v>61</v>
      </c>
      <c r="B68">
        <v>107741612</v>
      </c>
      <c r="C68" t="s">
        <v>104</v>
      </c>
      <c r="D68" t="s">
        <v>60</v>
      </c>
      <c r="E68" t="s">
        <v>70</v>
      </c>
      <c r="F68">
        <v>604</v>
      </c>
      <c r="G68" t="s">
        <v>62</v>
      </c>
      <c r="H68" t="s">
        <v>63</v>
      </c>
      <c r="I68">
        <v>358</v>
      </c>
    </row>
    <row r="69" spans="1:9" x14ac:dyDescent="0.35">
      <c r="A69" t="s">
        <v>61</v>
      </c>
      <c r="B69">
        <v>107741612</v>
      </c>
      <c r="C69" t="s">
        <v>104</v>
      </c>
      <c r="D69" t="s">
        <v>60</v>
      </c>
      <c r="E69" t="s">
        <v>70</v>
      </c>
      <c r="F69">
        <v>604</v>
      </c>
      <c r="G69" t="s">
        <v>62</v>
      </c>
      <c r="H69" t="s">
        <v>64</v>
      </c>
      <c r="I69">
        <v>2575</v>
      </c>
    </row>
    <row r="70" spans="1:9" x14ac:dyDescent="0.35">
      <c r="A70" t="s">
        <v>61</v>
      </c>
      <c r="B70">
        <v>107741612</v>
      </c>
      <c r="C70" t="s">
        <v>104</v>
      </c>
      <c r="D70" t="s">
        <v>60</v>
      </c>
      <c r="E70" t="s">
        <v>70</v>
      </c>
      <c r="F70">
        <v>604</v>
      </c>
      <c r="G70" t="s">
        <v>68</v>
      </c>
      <c r="H70" t="s">
        <v>67</v>
      </c>
      <c r="I70">
        <v>604</v>
      </c>
    </row>
    <row r="71" spans="1:9" x14ac:dyDescent="0.35">
      <c r="A71" t="s">
        <v>61</v>
      </c>
      <c r="B71">
        <v>107221225</v>
      </c>
      <c r="C71" t="s">
        <v>95</v>
      </c>
      <c r="D71" t="s">
        <v>60</v>
      </c>
      <c r="E71" t="s">
        <v>58</v>
      </c>
      <c r="F71">
        <v>440</v>
      </c>
      <c r="G71" t="s">
        <v>62</v>
      </c>
      <c r="H71" t="s">
        <v>67</v>
      </c>
      <c r="I71">
        <v>2427</v>
      </c>
    </row>
    <row r="72" spans="1:9" x14ac:dyDescent="0.35">
      <c r="A72" t="s">
        <v>61</v>
      </c>
      <c r="B72">
        <v>107221225</v>
      </c>
      <c r="C72" t="s">
        <v>95</v>
      </c>
      <c r="D72" t="s">
        <v>60</v>
      </c>
      <c r="E72" t="s">
        <v>58</v>
      </c>
      <c r="F72">
        <v>440</v>
      </c>
      <c r="G72" t="s">
        <v>62</v>
      </c>
      <c r="H72" t="s">
        <v>63</v>
      </c>
      <c r="I72">
        <v>551</v>
      </c>
    </row>
    <row r="73" spans="1:9" x14ac:dyDescent="0.35">
      <c r="A73" t="s">
        <v>61</v>
      </c>
      <c r="B73">
        <v>107221225</v>
      </c>
      <c r="C73" t="s">
        <v>95</v>
      </c>
      <c r="D73" t="s">
        <v>60</v>
      </c>
      <c r="E73" t="s">
        <v>58</v>
      </c>
      <c r="F73">
        <v>440</v>
      </c>
      <c r="G73" t="s">
        <v>62</v>
      </c>
      <c r="H73" t="s">
        <v>64</v>
      </c>
      <c r="I73">
        <v>1876</v>
      </c>
    </row>
    <row r="74" spans="1:9" x14ac:dyDescent="0.35">
      <c r="A74" t="s">
        <v>61</v>
      </c>
      <c r="B74">
        <v>107221225</v>
      </c>
      <c r="C74" t="s">
        <v>95</v>
      </c>
      <c r="D74" t="s">
        <v>60</v>
      </c>
      <c r="E74" t="s">
        <v>58</v>
      </c>
      <c r="F74">
        <v>440</v>
      </c>
      <c r="G74" t="s">
        <v>68</v>
      </c>
      <c r="H74" t="s">
        <v>67</v>
      </c>
      <c r="I74">
        <v>440</v>
      </c>
    </row>
    <row r="75" spans="1:9" x14ac:dyDescent="0.35">
      <c r="A75" t="s">
        <v>61</v>
      </c>
      <c r="B75">
        <v>100753604</v>
      </c>
      <c r="C75" t="s">
        <v>71</v>
      </c>
      <c r="D75" t="s">
        <v>72</v>
      </c>
      <c r="E75" t="s">
        <v>70</v>
      </c>
      <c r="F75">
        <v>430</v>
      </c>
      <c r="G75" t="s">
        <v>62</v>
      </c>
      <c r="H75" t="s">
        <v>67</v>
      </c>
      <c r="I75">
        <v>1713</v>
      </c>
    </row>
    <row r="76" spans="1:9" x14ac:dyDescent="0.35">
      <c r="A76" t="s">
        <v>61</v>
      </c>
      <c r="B76">
        <v>100753604</v>
      </c>
      <c r="C76" t="s">
        <v>71</v>
      </c>
      <c r="D76" t="s">
        <v>72</v>
      </c>
      <c r="E76" t="s">
        <v>70</v>
      </c>
      <c r="F76">
        <v>430</v>
      </c>
      <c r="G76" t="s">
        <v>62</v>
      </c>
      <c r="H76" t="s">
        <v>63</v>
      </c>
      <c r="I76">
        <v>130</v>
      </c>
    </row>
    <row r="77" spans="1:9" x14ac:dyDescent="0.35">
      <c r="A77" t="s">
        <v>61</v>
      </c>
      <c r="B77">
        <v>100753604</v>
      </c>
      <c r="C77" t="s">
        <v>71</v>
      </c>
      <c r="D77" t="s">
        <v>72</v>
      </c>
      <c r="E77" t="s">
        <v>70</v>
      </c>
      <c r="F77">
        <v>430</v>
      </c>
      <c r="G77" t="s">
        <v>62</v>
      </c>
      <c r="H77" t="s">
        <v>64</v>
      </c>
      <c r="I77">
        <v>1493</v>
      </c>
    </row>
    <row r="78" spans="1:9" x14ac:dyDescent="0.35">
      <c r="A78" t="s">
        <v>61</v>
      </c>
      <c r="B78">
        <v>100753604</v>
      </c>
      <c r="C78" t="s">
        <v>71</v>
      </c>
      <c r="D78" t="s">
        <v>72</v>
      </c>
      <c r="E78" t="s">
        <v>70</v>
      </c>
      <c r="F78">
        <v>430</v>
      </c>
      <c r="G78" t="s">
        <v>62</v>
      </c>
      <c r="H78" t="s">
        <v>65</v>
      </c>
      <c r="I78">
        <v>90</v>
      </c>
    </row>
    <row r="79" spans="1:9" x14ac:dyDescent="0.35">
      <c r="A79" t="s">
        <v>61</v>
      </c>
      <c r="B79">
        <v>100753604</v>
      </c>
      <c r="C79" t="s">
        <v>71</v>
      </c>
      <c r="D79" t="s">
        <v>72</v>
      </c>
      <c r="E79" t="s">
        <v>70</v>
      </c>
      <c r="F79">
        <v>430</v>
      </c>
      <c r="G79" t="s">
        <v>68</v>
      </c>
      <c r="H79" t="s">
        <v>67</v>
      </c>
      <c r="I79">
        <v>430</v>
      </c>
    </row>
    <row r="80" spans="1:9" x14ac:dyDescent="0.35">
      <c r="A80" t="s">
        <v>61</v>
      </c>
      <c r="B80">
        <v>104441514</v>
      </c>
      <c r="C80" t="s">
        <v>79</v>
      </c>
      <c r="D80" t="s">
        <v>80</v>
      </c>
      <c r="E80" t="s">
        <v>70</v>
      </c>
      <c r="F80">
        <v>444</v>
      </c>
      <c r="G80" t="s">
        <v>62</v>
      </c>
      <c r="H80" t="s">
        <v>67</v>
      </c>
      <c r="I80">
        <v>2278</v>
      </c>
    </row>
    <row r="81" spans="1:9" x14ac:dyDescent="0.35">
      <c r="A81" t="s">
        <v>61</v>
      </c>
      <c r="B81">
        <v>104441514</v>
      </c>
      <c r="C81" t="s">
        <v>79</v>
      </c>
      <c r="D81" t="s">
        <v>80</v>
      </c>
      <c r="E81" t="s">
        <v>70</v>
      </c>
      <c r="F81">
        <v>444</v>
      </c>
      <c r="G81" t="s">
        <v>62</v>
      </c>
      <c r="H81" t="s">
        <v>63</v>
      </c>
      <c r="I81">
        <v>360</v>
      </c>
    </row>
    <row r="82" spans="1:9" x14ac:dyDescent="0.35">
      <c r="A82" t="s">
        <v>61</v>
      </c>
      <c r="B82">
        <v>104441514</v>
      </c>
      <c r="C82" t="s">
        <v>79</v>
      </c>
      <c r="D82" t="s">
        <v>80</v>
      </c>
      <c r="E82" t="s">
        <v>70</v>
      </c>
      <c r="F82">
        <v>444</v>
      </c>
      <c r="G82" t="s">
        <v>62</v>
      </c>
      <c r="H82" t="s">
        <v>64</v>
      </c>
      <c r="I82">
        <v>1870</v>
      </c>
    </row>
    <row r="83" spans="1:9" x14ac:dyDescent="0.35">
      <c r="A83" t="s">
        <v>61</v>
      </c>
      <c r="B83">
        <v>104441514</v>
      </c>
      <c r="C83" t="s">
        <v>79</v>
      </c>
      <c r="D83" t="s">
        <v>80</v>
      </c>
      <c r="E83" t="s">
        <v>70</v>
      </c>
      <c r="F83">
        <v>444</v>
      </c>
      <c r="G83" t="s">
        <v>62</v>
      </c>
      <c r="H83" t="s">
        <v>65</v>
      </c>
      <c r="I83">
        <v>48</v>
      </c>
    </row>
    <row r="84" spans="1:9" x14ac:dyDescent="0.35">
      <c r="A84" t="s">
        <v>61</v>
      </c>
      <c r="B84">
        <v>104441514</v>
      </c>
      <c r="C84" t="s">
        <v>79</v>
      </c>
      <c r="D84" t="s">
        <v>80</v>
      </c>
      <c r="E84" t="s">
        <v>70</v>
      </c>
      <c r="F84">
        <v>444</v>
      </c>
      <c r="G84" t="s">
        <v>68</v>
      </c>
      <c r="H84" t="s">
        <v>67</v>
      </c>
      <c r="I84">
        <v>444</v>
      </c>
    </row>
    <row r="85" spans="1:9" x14ac:dyDescent="0.35">
      <c r="A85" t="s">
        <v>61</v>
      </c>
      <c r="B85">
        <v>107221231</v>
      </c>
      <c r="C85" t="s">
        <v>96</v>
      </c>
      <c r="D85" t="s">
        <v>60</v>
      </c>
      <c r="E85" t="s">
        <v>70</v>
      </c>
      <c r="F85">
        <v>513</v>
      </c>
      <c r="G85" t="s">
        <v>62</v>
      </c>
      <c r="H85" t="s">
        <v>67</v>
      </c>
      <c r="I85">
        <v>2701</v>
      </c>
    </row>
    <row r="86" spans="1:9" x14ac:dyDescent="0.35">
      <c r="A86" t="s">
        <v>61</v>
      </c>
      <c r="B86">
        <v>107221231</v>
      </c>
      <c r="C86" t="s">
        <v>96</v>
      </c>
      <c r="D86" t="s">
        <v>60</v>
      </c>
      <c r="E86" t="s">
        <v>70</v>
      </c>
      <c r="F86">
        <v>513</v>
      </c>
      <c r="G86" t="s">
        <v>62</v>
      </c>
      <c r="H86" t="s">
        <v>63</v>
      </c>
      <c r="I86">
        <v>499</v>
      </c>
    </row>
    <row r="87" spans="1:9" x14ac:dyDescent="0.35">
      <c r="A87" t="s">
        <v>61</v>
      </c>
      <c r="B87">
        <v>107221231</v>
      </c>
      <c r="C87" t="s">
        <v>96</v>
      </c>
      <c r="D87" t="s">
        <v>60</v>
      </c>
      <c r="E87" t="s">
        <v>70</v>
      </c>
      <c r="F87">
        <v>513</v>
      </c>
      <c r="G87" t="s">
        <v>62</v>
      </c>
      <c r="H87" t="s">
        <v>64</v>
      </c>
      <c r="I87">
        <v>2146</v>
      </c>
    </row>
    <row r="88" spans="1:9" x14ac:dyDescent="0.35">
      <c r="A88" t="s">
        <v>61</v>
      </c>
      <c r="B88">
        <v>107221231</v>
      </c>
      <c r="C88" t="s">
        <v>96</v>
      </c>
      <c r="D88" t="s">
        <v>60</v>
      </c>
      <c r="E88" t="s">
        <v>70</v>
      </c>
      <c r="F88">
        <v>513</v>
      </c>
      <c r="G88" t="s">
        <v>62</v>
      </c>
      <c r="H88" t="s">
        <v>65</v>
      </c>
      <c r="I88">
        <v>56</v>
      </c>
    </row>
    <row r="89" spans="1:9" x14ac:dyDescent="0.35">
      <c r="A89" t="s">
        <v>61</v>
      </c>
      <c r="B89">
        <v>107221231</v>
      </c>
      <c r="C89" t="s">
        <v>96</v>
      </c>
      <c r="D89" t="s">
        <v>60</v>
      </c>
      <c r="E89" t="s">
        <v>70</v>
      </c>
      <c r="F89">
        <v>513</v>
      </c>
      <c r="G89" t="s">
        <v>68</v>
      </c>
      <c r="H89" t="s">
        <v>67</v>
      </c>
      <c r="I89">
        <v>513</v>
      </c>
    </row>
    <row r="90" spans="1:9" x14ac:dyDescent="0.35">
      <c r="A90" t="s">
        <v>61</v>
      </c>
      <c r="B90">
        <v>106513473</v>
      </c>
      <c r="C90" t="s">
        <v>83</v>
      </c>
      <c r="D90" t="s">
        <v>72</v>
      </c>
      <c r="E90" t="s">
        <v>58</v>
      </c>
      <c r="F90">
        <v>769</v>
      </c>
      <c r="G90" t="s">
        <v>62</v>
      </c>
      <c r="H90" t="s">
        <v>67</v>
      </c>
      <c r="I90">
        <v>2690</v>
      </c>
    </row>
    <row r="91" spans="1:9" x14ac:dyDescent="0.35">
      <c r="A91" t="s">
        <v>61</v>
      </c>
      <c r="B91">
        <v>106513473</v>
      </c>
      <c r="C91" t="s">
        <v>83</v>
      </c>
      <c r="D91" t="s">
        <v>72</v>
      </c>
      <c r="E91" t="s">
        <v>58</v>
      </c>
      <c r="F91">
        <v>769</v>
      </c>
      <c r="G91" t="s">
        <v>62</v>
      </c>
      <c r="H91" t="s">
        <v>63</v>
      </c>
      <c r="I91">
        <v>216</v>
      </c>
    </row>
    <row r="92" spans="1:9" x14ac:dyDescent="0.35">
      <c r="A92" t="s">
        <v>61</v>
      </c>
      <c r="B92">
        <v>106513473</v>
      </c>
      <c r="C92" t="s">
        <v>83</v>
      </c>
      <c r="D92" t="s">
        <v>72</v>
      </c>
      <c r="E92" t="s">
        <v>58</v>
      </c>
      <c r="F92">
        <v>769</v>
      </c>
      <c r="G92" t="s">
        <v>62</v>
      </c>
      <c r="H92" t="s">
        <v>64</v>
      </c>
      <c r="I92">
        <v>2460</v>
      </c>
    </row>
    <row r="93" spans="1:9" x14ac:dyDescent="0.35">
      <c r="A93" t="s">
        <v>61</v>
      </c>
      <c r="B93">
        <v>106513473</v>
      </c>
      <c r="C93" t="s">
        <v>83</v>
      </c>
      <c r="D93" t="s">
        <v>72</v>
      </c>
      <c r="E93" t="s">
        <v>58</v>
      </c>
      <c r="F93">
        <v>769</v>
      </c>
      <c r="G93" t="s">
        <v>62</v>
      </c>
      <c r="H93" t="s">
        <v>65</v>
      </c>
      <c r="I93">
        <v>14</v>
      </c>
    </row>
    <row r="94" spans="1:9" x14ac:dyDescent="0.35">
      <c r="A94" t="s">
        <v>61</v>
      </c>
      <c r="B94">
        <v>106513473</v>
      </c>
      <c r="C94" t="s">
        <v>83</v>
      </c>
      <c r="D94" t="s">
        <v>72</v>
      </c>
      <c r="E94" t="s">
        <v>58</v>
      </c>
      <c r="F94">
        <v>769</v>
      </c>
      <c r="G94" t="s">
        <v>68</v>
      </c>
      <c r="H94" t="s">
        <v>67</v>
      </c>
      <c r="I94">
        <v>769</v>
      </c>
    </row>
    <row r="95" spans="1:9" x14ac:dyDescent="0.35">
      <c r="A95" t="s">
        <v>61</v>
      </c>
      <c r="B95">
        <v>107674648</v>
      </c>
      <c r="C95" t="s">
        <v>100</v>
      </c>
      <c r="D95" t="s">
        <v>72</v>
      </c>
      <c r="E95" t="s">
        <v>70</v>
      </c>
      <c r="F95">
        <v>321</v>
      </c>
      <c r="G95" t="s">
        <v>62</v>
      </c>
      <c r="H95" t="s">
        <v>67</v>
      </c>
      <c r="I95">
        <v>1323</v>
      </c>
    </row>
    <row r="96" spans="1:9" x14ac:dyDescent="0.35">
      <c r="A96" t="s">
        <v>61</v>
      </c>
      <c r="B96">
        <v>107674648</v>
      </c>
      <c r="C96" t="s">
        <v>100</v>
      </c>
      <c r="D96" t="s">
        <v>72</v>
      </c>
      <c r="E96" t="s">
        <v>70</v>
      </c>
      <c r="F96">
        <v>321</v>
      </c>
      <c r="G96" t="s">
        <v>62</v>
      </c>
      <c r="H96" t="s">
        <v>63</v>
      </c>
      <c r="I96">
        <v>206</v>
      </c>
    </row>
    <row r="97" spans="1:9" x14ac:dyDescent="0.35">
      <c r="A97" t="s">
        <v>61</v>
      </c>
      <c r="B97">
        <v>107674648</v>
      </c>
      <c r="C97" t="s">
        <v>100</v>
      </c>
      <c r="D97" t="s">
        <v>72</v>
      </c>
      <c r="E97" t="s">
        <v>70</v>
      </c>
      <c r="F97">
        <v>321</v>
      </c>
      <c r="G97" t="s">
        <v>62</v>
      </c>
      <c r="H97" t="s">
        <v>64</v>
      </c>
      <c r="I97">
        <v>1077</v>
      </c>
    </row>
    <row r="98" spans="1:9" x14ac:dyDescent="0.35">
      <c r="A98" t="s">
        <v>61</v>
      </c>
      <c r="B98">
        <v>107674648</v>
      </c>
      <c r="C98" t="s">
        <v>100</v>
      </c>
      <c r="D98" t="s">
        <v>72</v>
      </c>
      <c r="E98" t="s">
        <v>70</v>
      </c>
      <c r="F98">
        <v>321</v>
      </c>
      <c r="G98" t="s">
        <v>62</v>
      </c>
      <c r="H98" t="s">
        <v>65</v>
      </c>
      <c r="I98">
        <v>40</v>
      </c>
    </row>
    <row r="99" spans="1:9" x14ac:dyDescent="0.35">
      <c r="A99" t="s">
        <v>61</v>
      </c>
      <c r="B99">
        <v>107674648</v>
      </c>
      <c r="C99" t="s">
        <v>100</v>
      </c>
      <c r="D99" t="s">
        <v>72</v>
      </c>
      <c r="E99" t="s">
        <v>70</v>
      </c>
      <c r="F99">
        <v>321</v>
      </c>
      <c r="G99" t="s">
        <v>68</v>
      </c>
      <c r="H99" t="s">
        <v>67</v>
      </c>
      <c r="I99">
        <v>321</v>
      </c>
    </row>
    <row r="100" spans="1:9" x14ac:dyDescent="0.35">
      <c r="A100" t="s">
        <v>61</v>
      </c>
      <c r="B100">
        <v>107221210</v>
      </c>
      <c r="C100" t="s">
        <v>92</v>
      </c>
      <c r="D100" t="s">
        <v>60</v>
      </c>
      <c r="E100" t="s">
        <v>70</v>
      </c>
      <c r="F100">
        <v>453</v>
      </c>
      <c r="G100" t="s">
        <v>62</v>
      </c>
      <c r="H100" t="s">
        <v>67</v>
      </c>
      <c r="I100">
        <v>2925</v>
      </c>
    </row>
    <row r="101" spans="1:9" x14ac:dyDescent="0.35">
      <c r="A101" t="s">
        <v>61</v>
      </c>
      <c r="B101">
        <v>107221210</v>
      </c>
      <c r="C101" t="s">
        <v>92</v>
      </c>
      <c r="D101" t="s">
        <v>60</v>
      </c>
      <c r="E101" t="s">
        <v>70</v>
      </c>
      <c r="F101">
        <v>453</v>
      </c>
      <c r="G101" t="s">
        <v>62</v>
      </c>
      <c r="H101" t="s">
        <v>63</v>
      </c>
      <c r="I101">
        <v>538</v>
      </c>
    </row>
    <row r="102" spans="1:9" x14ac:dyDescent="0.35">
      <c r="A102" t="s">
        <v>61</v>
      </c>
      <c r="B102">
        <v>107221210</v>
      </c>
      <c r="C102" t="s">
        <v>92</v>
      </c>
      <c r="D102" t="s">
        <v>60</v>
      </c>
      <c r="E102" t="s">
        <v>70</v>
      </c>
      <c r="F102">
        <v>453</v>
      </c>
      <c r="G102" t="s">
        <v>62</v>
      </c>
      <c r="H102" t="s">
        <v>64</v>
      </c>
      <c r="I102">
        <v>2387</v>
      </c>
    </row>
    <row r="103" spans="1:9" x14ac:dyDescent="0.35">
      <c r="A103" t="s">
        <v>61</v>
      </c>
      <c r="B103">
        <v>107221210</v>
      </c>
      <c r="C103" t="s">
        <v>92</v>
      </c>
      <c r="D103" t="s">
        <v>60</v>
      </c>
      <c r="E103" t="s">
        <v>70</v>
      </c>
      <c r="F103">
        <v>453</v>
      </c>
      <c r="G103" t="s">
        <v>68</v>
      </c>
      <c r="H103" t="s">
        <v>67</v>
      </c>
      <c r="I103">
        <v>453</v>
      </c>
    </row>
    <row r="104" spans="1:9" x14ac:dyDescent="0.35">
      <c r="A104" t="s">
        <v>61</v>
      </c>
      <c r="B104">
        <v>107775521</v>
      </c>
      <c r="C104" t="s">
        <v>107</v>
      </c>
      <c r="D104" t="s">
        <v>72</v>
      </c>
      <c r="E104" t="s">
        <v>70</v>
      </c>
      <c r="F104">
        <v>428</v>
      </c>
      <c r="G104" t="s">
        <v>62</v>
      </c>
      <c r="H104" t="s">
        <v>67</v>
      </c>
      <c r="I104">
        <v>1313</v>
      </c>
    </row>
    <row r="105" spans="1:9" x14ac:dyDescent="0.35">
      <c r="A105" t="s">
        <v>61</v>
      </c>
      <c r="B105">
        <v>107775521</v>
      </c>
      <c r="C105" t="s">
        <v>107</v>
      </c>
      <c r="D105" t="s">
        <v>72</v>
      </c>
      <c r="E105" t="s">
        <v>70</v>
      </c>
      <c r="F105">
        <v>428</v>
      </c>
      <c r="G105" t="s">
        <v>68</v>
      </c>
      <c r="H105" t="s">
        <v>67</v>
      </c>
      <c r="I105">
        <v>428</v>
      </c>
    </row>
    <row r="106" spans="1:9" x14ac:dyDescent="0.35">
      <c r="A106" t="s">
        <v>61</v>
      </c>
      <c r="B106">
        <v>107775986</v>
      </c>
      <c r="C106" t="s">
        <v>108</v>
      </c>
      <c r="D106" t="s">
        <v>72</v>
      </c>
      <c r="E106" t="s">
        <v>70</v>
      </c>
      <c r="F106">
        <v>594</v>
      </c>
      <c r="G106" t="s">
        <v>62</v>
      </c>
      <c r="H106" t="s">
        <v>67</v>
      </c>
      <c r="I106">
        <v>2456</v>
      </c>
    </row>
    <row r="107" spans="1:9" x14ac:dyDescent="0.35">
      <c r="A107" t="s">
        <v>61</v>
      </c>
      <c r="B107">
        <v>107775986</v>
      </c>
      <c r="C107" t="s">
        <v>108</v>
      </c>
      <c r="D107" t="s">
        <v>72</v>
      </c>
      <c r="E107" t="s">
        <v>70</v>
      </c>
      <c r="F107">
        <v>594</v>
      </c>
      <c r="G107" t="s">
        <v>62</v>
      </c>
      <c r="H107" t="s">
        <v>63</v>
      </c>
      <c r="I107">
        <v>441</v>
      </c>
    </row>
    <row r="108" spans="1:9" x14ac:dyDescent="0.35">
      <c r="A108" t="s">
        <v>61</v>
      </c>
      <c r="B108">
        <v>107775986</v>
      </c>
      <c r="C108" t="s">
        <v>108</v>
      </c>
      <c r="D108" t="s">
        <v>72</v>
      </c>
      <c r="E108" t="s">
        <v>70</v>
      </c>
      <c r="F108">
        <v>594</v>
      </c>
      <c r="G108" t="s">
        <v>62</v>
      </c>
      <c r="H108" t="s">
        <v>64</v>
      </c>
      <c r="I108">
        <v>1992</v>
      </c>
    </row>
    <row r="109" spans="1:9" x14ac:dyDescent="0.35">
      <c r="A109" t="s">
        <v>61</v>
      </c>
      <c r="B109">
        <v>107775986</v>
      </c>
      <c r="C109" t="s">
        <v>108</v>
      </c>
      <c r="D109" t="s">
        <v>72</v>
      </c>
      <c r="E109" t="s">
        <v>70</v>
      </c>
      <c r="F109">
        <v>594</v>
      </c>
      <c r="G109" t="s">
        <v>62</v>
      </c>
      <c r="H109" t="s">
        <v>65</v>
      </c>
      <c r="I109">
        <v>23</v>
      </c>
    </row>
    <row r="110" spans="1:9" x14ac:dyDescent="0.35">
      <c r="A110" t="s">
        <v>61</v>
      </c>
      <c r="B110">
        <v>107775986</v>
      </c>
      <c r="C110" t="s">
        <v>108</v>
      </c>
      <c r="D110" t="s">
        <v>72</v>
      </c>
      <c r="E110" t="s">
        <v>70</v>
      </c>
      <c r="F110">
        <v>594</v>
      </c>
      <c r="G110" t="s">
        <v>68</v>
      </c>
      <c r="H110" t="s">
        <v>67</v>
      </c>
      <c r="I110">
        <v>594</v>
      </c>
    </row>
    <row r="111" spans="1:9" x14ac:dyDescent="0.35">
      <c r="A111" t="s">
        <v>61</v>
      </c>
      <c r="B111">
        <v>102476407</v>
      </c>
      <c r="C111" t="s">
        <v>74</v>
      </c>
      <c r="D111" t="s">
        <v>75</v>
      </c>
      <c r="E111" t="s">
        <v>58</v>
      </c>
      <c r="F111">
        <v>378</v>
      </c>
      <c r="G111" t="s">
        <v>62</v>
      </c>
      <c r="H111" t="s">
        <v>67</v>
      </c>
      <c r="I111">
        <v>1712</v>
      </c>
    </row>
    <row r="112" spans="1:9" x14ac:dyDescent="0.35">
      <c r="A112" t="s">
        <v>61</v>
      </c>
      <c r="B112">
        <v>102476407</v>
      </c>
      <c r="C112" t="s">
        <v>74</v>
      </c>
      <c r="D112" t="s">
        <v>75</v>
      </c>
      <c r="E112" t="s">
        <v>58</v>
      </c>
      <c r="F112">
        <v>378</v>
      </c>
      <c r="G112" t="s">
        <v>62</v>
      </c>
      <c r="H112" t="s">
        <v>63</v>
      </c>
      <c r="I112">
        <v>362</v>
      </c>
    </row>
    <row r="113" spans="1:9" x14ac:dyDescent="0.35">
      <c r="A113" t="s">
        <v>61</v>
      </c>
      <c r="B113">
        <v>102476407</v>
      </c>
      <c r="C113" t="s">
        <v>74</v>
      </c>
      <c r="D113" t="s">
        <v>75</v>
      </c>
      <c r="E113" t="s">
        <v>58</v>
      </c>
      <c r="F113">
        <v>378</v>
      </c>
      <c r="G113" t="s">
        <v>62</v>
      </c>
      <c r="H113" t="s">
        <v>64</v>
      </c>
      <c r="I113">
        <v>1350</v>
      </c>
    </row>
    <row r="114" spans="1:9" x14ac:dyDescent="0.35">
      <c r="A114" t="s">
        <v>61</v>
      </c>
      <c r="B114">
        <v>102476407</v>
      </c>
      <c r="C114" t="s">
        <v>74</v>
      </c>
      <c r="D114" t="s">
        <v>75</v>
      </c>
      <c r="E114" t="s">
        <v>58</v>
      </c>
      <c r="F114">
        <v>378</v>
      </c>
      <c r="G114" t="s">
        <v>68</v>
      </c>
      <c r="H114" t="s">
        <v>67</v>
      </c>
      <c r="I114">
        <v>378</v>
      </c>
    </row>
    <row r="115" spans="1:9" x14ac:dyDescent="0.35">
      <c r="A115" t="s">
        <v>61</v>
      </c>
      <c r="B115">
        <v>107775413</v>
      </c>
      <c r="C115" t="s">
        <v>106</v>
      </c>
      <c r="D115" t="s">
        <v>72</v>
      </c>
      <c r="E115" t="s">
        <v>58</v>
      </c>
      <c r="F115">
        <v>246</v>
      </c>
      <c r="G115" t="s">
        <v>62</v>
      </c>
      <c r="H115" t="s">
        <v>67</v>
      </c>
      <c r="I115">
        <v>952</v>
      </c>
    </row>
    <row r="116" spans="1:9" x14ac:dyDescent="0.35">
      <c r="A116" t="s">
        <v>61</v>
      </c>
      <c r="B116">
        <v>107775413</v>
      </c>
      <c r="C116" t="s">
        <v>106</v>
      </c>
      <c r="D116" t="s">
        <v>72</v>
      </c>
      <c r="E116" t="s">
        <v>58</v>
      </c>
      <c r="F116">
        <v>246</v>
      </c>
      <c r="G116" t="s">
        <v>62</v>
      </c>
      <c r="H116" t="s">
        <v>63</v>
      </c>
      <c r="I116">
        <v>130</v>
      </c>
    </row>
    <row r="117" spans="1:9" x14ac:dyDescent="0.35">
      <c r="A117" t="s">
        <v>61</v>
      </c>
      <c r="B117">
        <v>107775413</v>
      </c>
      <c r="C117" t="s">
        <v>106</v>
      </c>
      <c r="D117" t="s">
        <v>72</v>
      </c>
      <c r="E117" t="s">
        <v>58</v>
      </c>
      <c r="F117">
        <v>246</v>
      </c>
      <c r="G117" t="s">
        <v>62</v>
      </c>
      <c r="H117" t="s">
        <v>64</v>
      </c>
      <c r="I117">
        <v>802</v>
      </c>
    </row>
    <row r="118" spans="1:9" x14ac:dyDescent="0.35">
      <c r="A118" t="s">
        <v>61</v>
      </c>
      <c r="B118">
        <v>107775413</v>
      </c>
      <c r="C118" t="s">
        <v>106</v>
      </c>
      <c r="D118" t="s">
        <v>72</v>
      </c>
      <c r="E118" t="s">
        <v>58</v>
      </c>
      <c r="F118">
        <v>246</v>
      </c>
      <c r="G118" t="s">
        <v>62</v>
      </c>
      <c r="H118" t="s">
        <v>65</v>
      </c>
      <c r="I118">
        <v>20</v>
      </c>
    </row>
    <row r="119" spans="1:9" x14ac:dyDescent="0.35">
      <c r="A119" t="s">
        <v>61</v>
      </c>
      <c r="B119">
        <v>107775413</v>
      </c>
      <c r="C119" t="s">
        <v>106</v>
      </c>
      <c r="D119" t="s">
        <v>72</v>
      </c>
      <c r="E119" t="s">
        <v>58</v>
      </c>
      <c r="F119">
        <v>246</v>
      </c>
      <c r="G119" t="s">
        <v>68</v>
      </c>
      <c r="H119" t="s">
        <v>67</v>
      </c>
      <c r="I119">
        <v>246</v>
      </c>
    </row>
    <row r="120" spans="1:9" x14ac:dyDescent="0.35">
      <c r="A120" t="s">
        <v>61</v>
      </c>
      <c r="B120">
        <v>107907397</v>
      </c>
      <c r="C120" t="s">
        <v>113</v>
      </c>
      <c r="D120" t="s">
        <v>60</v>
      </c>
      <c r="E120" t="s">
        <v>58</v>
      </c>
      <c r="F120">
        <v>429</v>
      </c>
      <c r="G120" t="s">
        <v>62</v>
      </c>
      <c r="H120" t="s">
        <v>67</v>
      </c>
      <c r="I120">
        <v>2339</v>
      </c>
    </row>
    <row r="121" spans="1:9" x14ac:dyDescent="0.35">
      <c r="A121" t="s">
        <v>61</v>
      </c>
      <c r="B121">
        <v>107907397</v>
      </c>
      <c r="C121" t="s">
        <v>113</v>
      </c>
      <c r="D121" t="s">
        <v>60</v>
      </c>
      <c r="E121" t="s">
        <v>58</v>
      </c>
      <c r="F121">
        <v>429</v>
      </c>
      <c r="G121" t="s">
        <v>62</v>
      </c>
      <c r="H121" t="s">
        <v>63</v>
      </c>
      <c r="I121">
        <v>644</v>
      </c>
    </row>
    <row r="122" spans="1:9" x14ac:dyDescent="0.35">
      <c r="A122" t="s">
        <v>61</v>
      </c>
      <c r="B122">
        <v>107907397</v>
      </c>
      <c r="C122" t="s">
        <v>113</v>
      </c>
      <c r="D122" t="s">
        <v>60</v>
      </c>
      <c r="E122" t="s">
        <v>58</v>
      </c>
      <c r="F122">
        <v>429</v>
      </c>
      <c r="G122" t="s">
        <v>62</v>
      </c>
      <c r="H122" t="s">
        <v>64</v>
      </c>
      <c r="I122">
        <v>1671</v>
      </c>
    </row>
    <row r="123" spans="1:9" x14ac:dyDescent="0.35">
      <c r="A123" t="s">
        <v>61</v>
      </c>
      <c r="B123">
        <v>107907397</v>
      </c>
      <c r="C123" t="s">
        <v>113</v>
      </c>
      <c r="D123" t="s">
        <v>60</v>
      </c>
      <c r="E123" t="s">
        <v>58</v>
      </c>
      <c r="F123">
        <v>429</v>
      </c>
      <c r="G123" t="s">
        <v>62</v>
      </c>
      <c r="H123" t="s">
        <v>65</v>
      </c>
      <c r="I123">
        <v>24</v>
      </c>
    </row>
    <row r="124" spans="1:9" x14ac:dyDescent="0.35">
      <c r="A124" t="s">
        <v>61</v>
      </c>
      <c r="B124">
        <v>107907397</v>
      </c>
      <c r="C124" t="s">
        <v>113</v>
      </c>
      <c r="D124" t="s">
        <v>60</v>
      </c>
      <c r="E124" t="s">
        <v>58</v>
      </c>
      <c r="F124">
        <v>429</v>
      </c>
      <c r="G124" t="s">
        <v>68</v>
      </c>
      <c r="H124" t="s">
        <v>67</v>
      </c>
      <c r="I124">
        <v>429</v>
      </c>
    </row>
    <row r="125" spans="1:9" x14ac:dyDescent="0.35">
      <c r="A125" t="s">
        <v>61</v>
      </c>
      <c r="B125">
        <v>107824169</v>
      </c>
      <c r="C125" t="s">
        <v>111</v>
      </c>
      <c r="D125" t="s">
        <v>60</v>
      </c>
      <c r="E125" t="s">
        <v>58</v>
      </c>
      <c r="F125">
        <v>397</v>
      </c>
      <c r="G125" t="s">
        <v>62</v>
      </c>
      <c r="H125" t="s">
        <v>67</v>
      </c>
      <c r="I125">
        <v>2647</v>
      </c>
    </row>
    <row r="126" spans="1:9" x14ac:dyDescent="0.35">
      <c r="A126" t="s">
        <v>61</v>
      </c>
      <c r="B126">
        <v>107824169</v>
      </c>
      <c r="C126" t="s">
        <v>111</v>
      </c>
      <c r="D126" t="s">
        <v>60</v>
      </c>
      <c r="E126" t="s">
        <v>58</v>
      </c>
      <c r="F126">
        <v>397</v>
      </c>
      <c r="G126" t="s">
        <v>62</v>
      </c>
      <c r="H126" t="s">
        <v>63</v>
      </c>
      <c r="I126">
        <v>458</v>
      </c>
    </row>
    <row r="127" spans="1:9" x14ac:dyDescent="0.35">
      <c r="A127" t="s">
        <v>61</v>
      </c>
      <c r="B127">
        <v>107824169</v>
      </c>
      <c r="C127" t="s">
        <v>111</v>
      </c>
      <c r="D127" t="s">
        <v>60</v>
      </c>
      <c r="E127" t="s">
        <v>58</v>
      </c>
      <c r="F127">
        <v>397</v>
      </c>
      <c r="G127" t="s">
        <v>62</v>
      </c>
      <c r="H127" t="s">
        <v>64</v>
      </c>
      <c r="I127">
        <v>2189</v>
      </c>
    </row>
    <row r="128" spans="1:9" x14ac:dyDescent="0.35">
      <c r="A128" t="s">
        <v>61</v>
      </c>
      <c r="B128">
        <v>107824169</v>
      </c>
      <c r="C128" t="s">
        <v>111</v>
      </c>
      <c r="D128" t="s">
        <v>60</v>
      </c>
      <c r="E128" t="s">
        <v>58</v>
      </c>
      <c r="F128">
        <v>397</v>
      </c>
      <c r="G128" t="s">
        <v>68</v>
      </c>
      <c r="H128" t="s">
        <v>67</v>
      </c>
      <c r="I128">
        <v>397</v>
      </c>
    </row>
    <row r="129" spans="1:9" x14ac:dyDescent="0.35">
      <c r="A129" t="s">
        <v>61</v>
      </c>
      <c r="B129">
        <v>107741579</v>
      </c>
      <c r="C129" t="s">
        <v>103</v>
      </c>
      <c r="D129" t="s">
        <v>60</v>
      </c>
      <c r="E129" t="s">
        <v>70</v>
      </c>
      <c r="F129">
        <v>607</v>
      </c>
      <c r="G129" t="s">
        <v>62</v>
      </c>
      <c r="H129" t="s">
        <v>67</v>
      </c>
      <c r="I129">
        <v>1822</v>
      </c>
    </row>
    <row r="130" spans="1:9" x14ac:dyDescent="0.35">
      <c r="A130" t="s">
        <v>61</v>
      </c>
      <c r="B130">
        <v>107741579</v>
      </c>
      <c r="C130" t="s">
        <v>103</v>
      </c>
      <c r="D130" t="s">
        <v>60</v>
      </c>
      <c r="E130" t="s">
        <v>70</v>
      </c>
      <c r="F130">
        <v>607</v>
      </c>
      <c r="G130" t="s">
        <v>62</v>
      </c>
      <c r="H130" t="s">
        <v>63</v>
      </c>
      <c r="I130">
        <v>138</v>
      </c>
    </row>
    <row r="131" spans="1:9" x14ac:dyDescent="0.35">
      <c r="A131" t="s">
        <v>61</v>
      </c>
      <c r="B131">
        <v>107741579</v>
      </c>
      <c r="C131" t="s">
        <v>103</v>
      </c>
      <c r="D131" t="s">
        <v>60</v>
      </c>
      <c r="E131" t="s">
        <v>70</v>
      </c>
      <c r="F131">
        <v>607</v>
      </c>
      <c r="G131" t="s">
        <v>62</v>
      </c>
      <c r="H131" t="s">
        <v>64</v>
      </c>
      <c r="I131">
        <v>1637</v>
      </c>
    </row>
    <row r="132" spans="1:9" x14ac:dyDescent="0.35">
      <c r="A132" t="s">
        <v>61</v>
      </c>
      <c r="B132">
        <v>107741579</v>
      </c>
      <c r="C132" t="s">
        <v>103</v>
      </c>
      <c r="D132" t="s">
        <v>60</v>
      </c>
      <c r="E132" t="s">
        <v>70</v>
      </c>
      <c r="F132">
        <v>607</v>
      </c>
      <c r="G132" t="s">
        <v>62</v>
      </c>
      <c r="H132" t="s">
        <v>65</v>
      </c>
      <c r="I132">
        <v>47</v>
      </c>
    </row>
    <row r="133" spans="1:9" x14ac:dyDescent="0.35">
      <c r="A133" t="s">
        <v>61</v>
      </c>
      <c r="B133">
        <v>107741579</v>
      </c>
      <c r="C133" t="s">
        <v>103</v>
      </c>
      <c r="D133" t="s">
        <v>60</v>
      </c>
      <c r="E133" t="s">
        <v>70</v>
      </c>
      <c r="F133">
        <v>607</v>
      </c>
      <c r="G133" t="s">
        <v>68</v>
      </c>
      <c r="H133" t="s">
        <v>67</v>
      </c>
      <c r="I133">
        <v>606</v>
      </c>
    </row>
    <row r="134" spans="1:9" x14ac:dyDescent="0.35">
      <c r="A134" t="s">
        <v>61</v>
      </c>
      <c r="B134">
        <v>106517175</v>
      </c>
      <c r="C134" t="s">
        <v>84</v>
      </c>
      <c r="D134" t="s">
        <v>72</v>
      </c>
      <c r="E134" t="s">
        <v>70</v>
      </c>
      <c r="F134">
        <v>361</v>
      </c>
      <c r="G134" t="s">
        <v>62</v>
      </c>
      <c r="H134" t="s">
        <v>67</v>
      </c>
      <c r="I134">
        <v>1800</v>
      </c>
    </row>
    <row r="135" spans="1:9" x14ac:dyDescent="0.35">
      <c r="A135" t="s">
        <v>61</v>
      </c>
      <c r="B135">
        <v>106517175</v>
      </c>
      <c r="C135" t="s">
        <v>84</v>
      </c>
      <c r="D135" t="s">
        <v>72</v>
      </c>
      <c r="E135" t="s">
        <v>70</v>
      </c>
      <c r="F135">
        <v>361</v>
      </c>
      <c r="G135" t="s">
        <v>62</v>
      </c>
      <c r="H135" t="s">
        <v>63</v>
      </c>
      <c r="I135">
        <v>568</v>
      </c>
    </row>
    <row r="136" spans="1:9" x14ac:dyDescent="0.35">
      <c r="A136" t="s">
        <v>61</v>
      </c>
      <c r="B136">
        <v>106517175</v>
      </c>
      <c r="C136" t="s">
        <v>84</v>
      </c>
      <c r="D136" t="s">
        <v>72</v>
      </c>
      <c r="E136" t="s">
        <v>70</v>
      </c>
      <c r="F136">
        <v>361</v>
      </c>
      <c r="G136" t="s">
        <v>62</v>
      </c>
      <c r="H136" t="s">
        <v>64</v>
      </c>
      <c r="I136">
        <v>1222</v>
      </c>
    </row>
    <row r="137" spans="1:9" x14ac:dyDescent="0.35">
      <c r="A137" t="s">
        <v>61</v>
      </c>
      <c r="B137">
        <v>106517175</v>
      </c>
      <c r="C137" t="s">
        <v>84</v>
      </c>
      <c r="D137" t="s">
        <v>72</v>
      </c>
      <c r="E137" t="s">
        <v>70</v>
      </c>
      <c r="F137">
        <v>361</v>
      </c>
      <c r="G137" t="s">
        <v>62</v>
      </c>
      <c r="H137" t="s">
        <v>65</v>
      </c>
      <c r="I137">
        <v>10</v>
      </c>
    </row>
    <row r="138" spans="1:9" x14ac:dyDescent="0.35">
      <c r="A138" t="s">
        <v>61</v>
      </c>
      <c r="B138">
        <v>106517175</v>
      </c>
      <c r="C138" t="s">
        <v>84</v>
      </c>
      <c r="D138" t="s">
        <v>72</v>
      </c>
      <c r="E138" t="s">
        <v>70</v>
      </c>
      <c r="F138">
        <v>361</v>
      </c>
      <c r="G138" t="s">
        <v>68</v>
      </c>
      <c r="H138" t="s">
        <v>67</v>
      </c>
      <c r="I138">
        <v>361</v>
      </c>
    </row>
    <row r="139" spans="1:9" x14ac:dyDescent="0.35">
      <c r="A139" t="s">
        <v>61</v>
      </c>
      <c r="B139">
        <v>107102430</v>
      </c>
      <c r="C139" t="s">
        <v>90</v>
      </c>
      <c r="D139" t="s">
        <v>72</v>
      </c>
      <c r="E139" t="s">
        <v>70</v>
      </c>
      <c r="F139">
        <v>492</v>
      </c>
      <c r="G139" t="s">
        <v>62</v>
      </c>
      <c r="H139" t="s">
        <v>67</v>
      </c>
      <c r="I139">
        <v>2640</v>
      </c>
    </row>
    <row r="140" spans="1:9" x14ac:dyDescent="0.35">
      <c r="A140" t="s">
        <v>61</v>
      </c>
      <c r="B140">
        <v>107102430</v>
      </c>
      <c r="C140" t="s">
        <v>90</v>
      </c>
      <c r="D140" t="s">
        <v>72</v>
      </c>
      <c r="E140" t="s">
        <v>70</v>
      </c>
      <c r="F140">
        <v>492</v>
      </c>
      <c r="G140" t="s">
        <v>62</v>
      </c>
      <c r="H140" t="s">
        <v>63</v>
      </c>
      <c r="I140">
        <v>348</v>
      </c>
    </row>
    <row r="141" spans="1:9" x14ac:dyDescent="0.35">
      <c r="A141" t="s">
        <v>61</v>
      </c>
      <c r="B141">
        <v>107102430</v>
      </c>
      <c r="C141" t="s">
        <v>90</v>
      </c>
      <c r="D141" t="s">
        <v>72</v>
      </c>
      <c r="E141" t="s">
        <v>70</v>
      </c>
      <c r="F141">
        <v>492</v>
      </c>
      <c r="G141" t="s">
        <v>62</v>
      </c>
      <c r="H141" t="s">
        <v>64</v>
      </c>
      <c r="I141">
        <v>2290</v>
      </c>
    </row>
    <row r="142" spans="1:9" x14ac:dyDescent="0.35">
      <c r="A142" t="s">
        <v>61</v>
      </c>
      <c r="B142">
        <v>107102430</v>
      </c>
      <c r="C142" t="s">
        <v>90</v>
      </c>
      <c r="D142" t="s">
        <v>72</v>
      </c>
      <c r="E142" t="s">
        <v>70</v>
      </c>
      <c r="F142">
        <v>492</v>
      </c>
      <c r="G142" t="s">
        <v>62</v>
      </c>
      <c r="H142" t="s">
        <v>65</v>
      </c>
      <c r="I142">
        <v>2</v>
      </c>
    </row>
    <row r="143" spans="1:9" x14ac:dyDescent="0.35">
      <c r="A143" t="s">
        <v>61</v>
      </c>
      <c r="B143">
        <v>107102430</v>
      </c>
      <c r="C143" t="s">
        <v>90</v>
      </c>
      <c r="D143" t="s">
        <v>72</v>
      </c>
      <c r="E143" t="s">
        <v>70</v>
      </c>
      <c r="F143">
        <v>492</v>
      </c>
      <c r="G143" t="s">
        <v>68</v>
      </c>
      <c r="H143" t="s">
        <v>67</v>
      </c>
      <c r="I143">
        <v>492</v>
      </c>
    </row>
    <row r="144" spans="1:9" x14ac:dyDescent="0.35">
      <c r="A144" t="s">
        <v>61</v>
      </c>
      <c r="B144">
        <v>101446428</v>
      </c>
      <c r="C144" t="s">
        <v>73</v>
      </c>
      <c r="D144" t="s">
        <v>60</v>
      </c>
      <c r="E144" t="s">
        <v>58</v>
      </c>
      <c r="F144">
        <v>379</v>
      </c>
      <c r="G144" t="s">
        <v>62</v>
      </c>
      <c r="H144" t="s">
        <v>67</v>
      </c>
      <c r="I144">
        <v>2276</v>
      </c>
    </row>
    <row r="145" spans="1:9" x14ac:dyDescent="0.35">
      <c r="A145" t="s">
        <v>61</v>
      </c>
      <c r="B145">
        <v>101446428</v>
      </c>
      <c r="C145" t="s">
        <v>73</v>
      </c>
      <c r="D145" t="s">
        <v>60</v>
      </c>
      <c r="E145" t="s">
        <v>58</v>
      </c>
      <c r="F145">
        <v>379</v>
      </c>
      <c r="G145" t="s">
        <v>62</v>
      </c>
      <c r="H145" t="s">
        <v>63</v>
      </c>
      <c r="I145">
        <v>504</v>
      </c>
    </row>
    <row r="146" spans="1:9" x14ac:dyDescent="0.35">
      <c r="A146" t="s">
        <v>61</v>
      </c>
      <c r="B146">
        <v>101446428</v>
      </c>
      <c r="C146" t="s">
        <v>73</v>
      </c>
      <c r="D146" t="s">
        <v>60</v>
      </c>
      <c r="E146" t="s">
        <v>58</v>
      </c>
      <c r="F146">
        <v>379</v>
      </c>
      <c r="G146" t="s">
        <v>62</v>
      </c>
      <c r="H146" t="s">
        <v>64</v>
      </c>
      <c r="I146">
        <v>1772</v>
      </c>
    </row>
    <row r="147" spans="1:9" x14ac:dyDescent="0.35">
      <c r="A147" t="s">
        <v>61</v>
      </c>
      <c r="B147">
        <v>101446428</v>
      </c>
      <c r="C147" t="s">
        <v>73</v>
      </c>
      <c r="D147" t="s">
        <v>60</v>
      </c>
      <c r="E147" t="s">
        <v>58</v>
      </c>
      <c r="F147">
        <v>379</v>
      </c>
      <c r="G147" t="s">
        <v>68</v>
      </c>
      <c r="H147" t="s">
        <v>67</v>
      </c>
      <c r="I147">
        <v>379</v>
      </c>
    </row>
    <row r="148" spans="1:9" x14ac:dyDescent="0.35">
      <c r="A148" t="s">
        <v>61</v>
      </c>
      <c r="B148">
        <v>107221213</v>
      </c>
      <c r="C148" t="s">
        <v>93</v>
      </c>
      <c r="D148" t="s">
        <v>60</v>
      </c>
      <c r="E148" t="s">
        <v>70</v>
      </c>
      <c r="F148">
        <v>564</v>
      </c>
      <c r="G148" t="s">
        <v>62</v>
      </c>
      <c r="H148" t="s">
        <v>67</v>
      </c>
      <c r="I148">
        <v>2421</v>
      </c>
    </row>
    <row r="149" spans="1:9" x14ac:dyDescent="0.35">
      <c r="A149" t="s">
        <v>61</v>
      </c>
      <c r="B149">
        <v>107221213</v>
      </c>
      <c r="C149" t="s">
        <v>93</v>
      </c>
      <c r="D149" t="s">
        <v>60</v>
      </c>
      <c r="E149" t="s">
        <v>70</v>
      </c>
      <c r="F149">
        <v>564</v>
      </c>
      <c r="G149" t="s">
        <v>62</v>
      </c>
      <c r="H149" t="s">
        <v>63</v>
      </c>
      <c r="I149">
        <v>311</v>
      </c>
    </row>
    <row r="150" spans="1:9" x14ac:dyDescent="0.35">
      <c r="A150" t="s">
        <v>61</v>
      </c>
      <c r="B150">
        <v>107221213</v>
      </c>
      <c r="C150" t="s">
        <v>93</v>
      </c>
      <c r="D150" t="s">
        <v>60</v>
      </c>
      <c r="E150" t="s">
        <v>70</v>
      </c>
      <c r="F150">
        <v>564</v>
      </c>
      <c r="G150" t="s">
        <v>62</v>
      </c>
      <c r="H150" t="s">
        <v>64</v>
      </c>
      <c r="I150">
        <v>2110</v>
      </c>
    </row>
    <row r="151" spans="1:9" x14ac:dyDescent="0.35">
      <c r="A151" t="s">
        <v>61</v>
      </c>
      <c r="B151">
        <v>107221213</v>
      </c>
      <c r="C151" t="s">
        <v>93</v>
      </c>
      <c r="D151" t="s">
        <v>60</v>
      </c>
      <c r="E151" t="s">
        <v>70</v>
      </c>
      <c r="F151">
        <v>564</v>
      </c>
      <c r="G151" t="s">
        <v>68</v>
      </c>
      <c r="H151" t="s">
        <v>67</v>
      </c>
      <c r="I151">
        <v>564</v>
      </c>
    </row>
    <row r="152" spans="1:9" x14ac:dyDescent="0.35">
      <c r="A152" t="s">
        <v>61</v>
      </c>
      <c r="B152">
        <v>100633196</v>
      </c>
      <c r="C152" t="s">
        <v>59</v>
      </c>
      <c r="D152" t="s">
        <v>60</v>
      </c>
      <c r="E152" t="s">
        <v>58</v>
      </c>
      <c r="F152">
        <v>348</v>
      </c>
      <c r="G152" t="s">
        <v>62</v>
      </c>
      <c r="H152" t="s">
        <v>67</v>
      </c>
      <c r="I152">
        <v>1997</v>
      </c>
    </row>
    <row r="153" spans="1:9" x14ac:dyDescent="0.35">
      <c r="A153" t="s">
        <v>61</v>
      </c>
      <c r="B153">
        <v>100633196</v>
      </c>
      <c r="C153" t="s">
        <v>59</v>
      </c>
      <c r="D153" t="s">
        <v>60</v>
      </c>
      <c r="E153" t="s">
        <v>58</v>
      </c>
      <c r="F153">
        <v>348</v>
      </c>
      <c r="G153" t="s">
        <v>62</v>
      </c>
      <c r="H153" t="s">
        <v>63</v>
      </c>
      <c r="I153">
        <v>209</v>
      </c>
    </row>
    <row r="154" spans="1:9" x14ac:dyDescent="0.35">
      <c r="A154" t="s">
        <v>61</v>
      </c>
      <c r="B154">
        <v>100633196</v>
      </c>
      <c r="C154" t="s">
        <v>59</v>
      </c>
      <c r="D154" t="s">
        <v>60</v>
      </c>
      <c r="E154" t="s">
        <v>58</v>
      </c>
      <c r="F154">
        <v>348</v>
      </c>
      <c r="G154" t="s">
        <v>62</v>
      </c>
      <c r="H154" t="s">
        <v>64</v>
      </c>
      <c r="I154">
        <v>1788</v>
      </c>
    </row>
    <row r="155" spans="1:9" x14ac:dyDescent="0.35">
      <c r="A155" t="s">
        <v>61</v>
      </c>
      <c r="B155">
        <v>100633196</v>
      </c>
      <c r="C155" t="s">
        <v>59</v>
      </c>
      <c r="D155" t="s">
        <v>60</v>
      </c>
      <c r="E155" t="s">
        <v>58</v>
      </c>
      <c r="F155">
        <v>348</v>
      </c>
      <c r="G155" t="s">
        <v>68</v>
      </c>
      <c r="H155" t="s">
        <v>67</v>
      </c>
      <c r="I155">
        <v>348</v>
      </c>
    </row>
    <row r="156" spans="1:9" x14ac:dyDescent="0.35">
      <c r="A156" t="s">
        <v>61</v>
      </c>
      <c r="B156">
        <v>107221179</v>
      </c>
      <c r="C156" t="s">
        <v>91</v>
      </c>
      <c r="D156" t="s">
        <v>72</v>
      </c>
      <c r="E156" t="s">
        <v>58</v>
      </c>
      <c r="F156">
        <v>281</v>
      </c>
      <c r="G156" t="s">
        <v>62</v>
      </c>
      <c r="H156" t="s">
        <v>67</v>
      </c>
      <c r="I156">
        <v>1198</v>
      </c>
    </row>
    <row r="157" spans="1:9" x14ac:dyDescent="0.35">
      <c r="A157" t="s">
        <v>61</v>
      </c>
      <c r="B157">
        <v>107221179</v>
      </c>
      <c r="C157" t="s">
        <v>91</v>
      </c>
      <c r="D157" t="s">
        <v>72</v>
      </c>
      <c r="E157" t="s">
        <v>58</v>
      </c>
      <c r="F157">
        <v>281</v>
      </c>
      <c r="G157" t="s">
        <v>68</v>
      </c>
      <c r="H157" t="s">
        <v>67</v>
      </c>
      <c r="I157">
        <v>281</v>
      </c>
    </row>
    <row r="158" spans="1:9" x14ac:dyDescent="0.35">
      <c r="A158" t="s">
        <v>61</v>
      </c>
      <c r="B158">
        <v>104385509</v>
      </c>
      <c r="C158" t="s">
        <v>78</v>
      </c>
      <c r="D158" t="s">
        <v>72</v>
      </c>
      <c r="E158" t="s">
        <v>70</v>
      </c>
      <c r="F158">
        <v>109</v>
      </c>
      <c r="G158" t="s">
        <v>62</v>
      </c>
      <c r="H158" t="s">
        <v>67</v>
      </c>
      <c r="I158">
        <v>477</v>
      </c>
    </row>
    <row r="159" spans="1:9" x14ac:dyDescent="0.35">
      <c r="A159" t="s">
        <v>61</v>
      </c>
      <c r="B159">
        <v>104385509</v>
      </c>
      <c r="C159" t="s">
        <v>78</v>
      </c>
      <c r="D159" t="s">
        <v>72</v>
      </c>
      <c r="E159" t="s">
        <v>70</v>
      </c>
      <c r="F159">
        <v>109</v>
      </c>
      <c r="G159" t="s">
        <v>68</v>
      </c>
      <c r="H159" t="s">
        <v>67</v>
      </c>
      <c r="I159">
        <v>109</v>
      </c>
    </row>
    <row r="160" spans="1:9" x14ac:dyDescent="0.35">
      <c r="A160" t="s">
        <v>61</v>
      </c>
      <c r="B160">
        <v>107868365</v>
      </c>
      <c r="C160" t="s">
        <v>112</v>
      </c>
      <c r="D160" t="s">
        <v>72</v>
      </c>
      <c r="E160" t="s">
        <v>58</v>
      </c>
      <c r="F160">
        <v>402</v>
      </c>
      <c r="G160" t="s">
        <v>62</v>
      </c>
      <c r="H160" t="s">
        <v>67</v>
      </c>
      <c r="I160">
        <v>2533</v>
      </c>
    </row>
    <row r="161" spans="1:9" x14ac:dyDescent="0.35">
      <c r="A161" t="s">
        <v>61</v>
      </c>
      <c r="B161">
        <v>107868365</v>
      </c>
      <c r="C161" t="s">
        <v>112</v>
      </c>
      <c r="D161" t="s">
        <v>72</v>
      </c>
      <c r="E161" t="s">
        <v>58</v>
      </c>
      <c r="F161">
        <v>402</v>
      </c>
      <c r="G161" t="s">
        <v>62</v>
      </c>
      <c r="H161" t="s">
        <v>63</v>
      </c>
      <c r="I161">
        <v>326</v>
      </c>
    </row>
    <row r="162" spans="1:9" x14ac:dyDescent="0.35">
      <c r="A162" t="s">
        <v>61</v>
      </c>
      <c r="B162">
        <v>107868365</v>
      </c>
      <c r="C162" t="s">
        <v>112</v>
      </c>
      <c r="D162" t="s">
        <v>72</v>
      </c>
      <c r="E162" t="s">
        <v>58</v>
      </c>
      <c r="F162">
        <v>402</v>
      </c>
      <c r="G162" t="s">
        <v>62</v>
      </c>
      <c r="H162" t="s">
        <v>64</v>
      </c>
      <c r="I162">
        <v>2187</v>
      </c>
    </row>
    <row r="163" spans="1:9" x14ac:dyDescent="0.35">
      <c r="A163" t="s">
        <v>61</v>
      </c>
      <c r="B163">
        <v>107868365</v>
      </c>
      <c r="C163" t="s">
        <v>112</v>
      </c>
      <c r="D163" t="s">
        <v>72</v>
      </c>
      <c r="E163" t="s">
        <v>58</v>
      </c>
      <c r="F163">
        <v>402</v>
      </c>
      <c r="G163" t="s">
        <v>62</v>
      </c>
      <c r="H163" t="s">
        <v>65</v>
      </c>
      <c r="I163">
        <v>20</v>
      </c>
    </row>
    <row r="164" spans="1:9" x14ac:dyDescent="0.35">
      <c r="A164" t="s">
        <v>61</v>
      </c>
      <c r="B164">
        <v>107868365</v>
      </c>
      <c r="C164" t="s">
        <v>112</v>
      </c>
      <c r="D164" t="s">
        <v>72</v>
      </c>
      <c r="E164" t="s">
        <v>58</v>
      </c>
      <c r="F164">
        <v>402</v>
      </c>
      <c r="G164" t="s">
        <v>68</v>
      </c>
      <c r="H164" t="s">
        <v>67</v>
      </c>
      <c r="I164">
        <v>402</v>
      </c>
    </row>
    <row r="165" spans="1:9" x14ac:dyDescent="0.35">
      <c r="A165" t="s">
        <v>61</v>
      </c>
      <c r="B165">
        <v>106576075</v>
      </c>
      <c r="C165" t="s">
        <v>86</v>
      </c>
      <c r="D165" t="s">
        <v>72</v>
      </c>
      <c r="E165" t="s">
        <v>70</v>
      </c>
      <c r="F165">
        <v>1</v>
      </c>
      <c r="G165" t="s">
        <v>62</v>
      </c>
      <c r="H165" t="s">
        <v>67</v>
      </c>
      <c r="I165">
        <v>855</v>
      </c>
    </row>
    <row r="166" spans="1:9" x14ac:dyDescent="0.35">
      <c r="A166" t="s">
        <v>61</v>
      </c>
      <c r="B166">
        <v>106576075</v>
      </c>
      <c r="C166" t="s">
        <v>86</v>
      </c>
      <c r="D166" t="s">
        <v>72</v>
      </c>
      <c r="E166" t="s">
        <v>70</v>
      </c>
      <c r="F166">
        <v>1</v>
      </c>
      <c r="G166" t="s">
        <v>68</v>
      </c>
      <c r="H166" t="s">
        <v>67</v>
      </c>
      <c r="I166">
        <v>173</v>
      </c>
    </row>
    <row r="167" spans="1:9" x14ac:dyDescent="0.35">
      <c r="A167" t="s">
        <v>61</v>
      </c>
      <c r="B167">
        <v>106576075</v>
      </c>
      <c r="C167" t="s">
        <v>86</v>
      </c>
      <c r="D167" t="s">
        <v>72</v>
      </c>
      <c r="E167" t="s">
        <v>70</v>
      </c>
      <c r="F167">
        <v>1</v>
      </c>
      <c r="G167" t="s">
        <v>69</v>
      </c>
      <c r="H167" t="s">
        <v>67</v>
      </c>
      <c r="I167">
        <v>1</v>
      </c>
    </row>
    <row r="168" spans="1:9" x14ac:dyDescent="0.35">
      <c r="A168" t="s">
        <v>61</v>
      </c>
      <c r="B168">
        <v>107819512</v>
      </c>
      <c r="C168" t="s">
        <v>109</v>
      </c>
      <c r="D168" t="s">
        <v>60</v>
      </c>
      <c r="E168" t="s">
        <v>58</v>
      </c>
      <c r="F168">
        <v>367</v>
      </c>
      <c r="G168" t="s">
        <v>62</v>
      </c>
      <c r="H168" t="s">
        <v>67</v>
      </c>
      <c r="I168">
        <v>1880</v>
      </c>
    </row>
    <row r="169" spans="1:9" x14ac:dyDescent="0.35">
      <c r="A169" t="s">
        <v>61</v>
      </c>
      <c r="B169">
        <v>107819512</v>
      </c>
      <c r="C169" t="s">
        <v>109</v>
      </c>
      <c r="D169" t="s">
        <v>60</v>
      </c>
      <c r="E169" t="s">
        <v>58</v>
      </c>
      <c r="F169">
        <v>367</v>
      </c>
      <c r="G169" t="s">
        <v>62</v>
      </c>
      <c r="H169" t="s">
        <v>63</v>
      </c>
      <c r="I169">
        <v>351</v>
      </c>
    </row>
    <row r="170" spans="1:9" x14ac:dyDescent="0.35">
      <c r="A170" t="s">
        <v>61</v>
      </c>
      <c r="B170">
        <v>107819512</v>
      </c>
      <c r="C170" t="s">
        <v>109</v>
      </c>
      <c r="D170" t="s">
        <v>60</v>
      </c>
      <c r="E170" t="s">
        <v>58</v>
      </c>
      <c r="F170">
        <v>367</v>
      </c>
      <c r="G170" t="s">
        <v>62</v>
      </c>
      <c r="H170" t="s">
        <v>64</v>
      </c>
      <c r="I170">
        <v>1505</v>
      </c>
    </row>
    <row r="171" spans="1:9" x14ac:dyDescent="0.35">
      <c r="A171" t="s">
        <v>61</v>
      </c>
      <c r="B171">
        <v>107819512</v>
      </c>
      <c r="C171" t="s">
        <v>109</v>
      </c>
      <c r="D171" t="s">
        <v>60</v>
      </c>
      <c r="E171" t="s">
        <v>58</v>
      </c>
      <c r="F171">
        <v>367</v>
      </c>
      <c r="G171" t="s">
        <v>62</v>
      </c>
      <c r="H171" t="s">
        <v>65</v>
      </c>
      <c r="I171">
        <v>24</v>
      </c>
    </row>
    <row r="172" spans="1:9" x14ac:dyDescent="0.35">
      <c r="A172" t="s">
        <v>61</v>
      </c>
      <c r="B172">
        <v>107819512</v>
      </c>
      <c r="C172" t="s">
        <v>109</v>
      </c>
      <c r="D172" t="s">
        <v>60</v>
      </c>
      <c r="E172" t="s">
        <v>58</v>
      </c>
      <c r="F172">
        <v>367</v>
      </c>
      <c r="G172" t="s">
        <v>68</v>
      </c>
      <c r="H172" t="s">
        <v>67</v>
      </c>
      <c r="I172">
        <v>367</v>
      </c>
    </row>
    <row r="173" spans="1:9" x14ac:dyDescent="0.35">
      <c r="A173" t="s">
        <v>61</v>
      </c>
      <c r="B173">
        <v>107463281</v>
      </c>
      <c r="C173" t="s">
        <v>99</v>
      </c>
      <c r="D173" t="s">
        <v>60</v>
      </c>
      <c r="E173" t="s">
        <v>70</v>
      </c>
      <c r="F173">
        <v>470</v>
      </c>
      <c r="G173" t="s">
        <v>62</v>
      </c>
      <c r="H173" t="s">
        <v>67</v>
      </c>
      <c r="I173">
        <v>2411</v>
      </c>
    </row>
    <row r="174" spans="1:9" x14ac:dyDescent="0.35">
      <c r="A174" t="s">
        <v>61</v>
      </c>
      <c r="B174">
        <v>107463281</v>
      </c>
      <c r="C174" t="s">
        <v>99</v>
      </c>
      <c r="D174" t="s">
        <v>60</v>
      </c>
      <c r="E174" t="s">
        <v>70</v>
      </c>
      <c r="F174">
        <v>470</v>
      </c>
      <c r="G174" t="s">
        <v>62</v>
      </c>
      <c r="H174" t="s">
        <v>63</v>
      </c>
      <c r="I174">
        <v>586</v>
      </c>
    </row>
    <row r="175" spans="1:9" x14ac:dyDescent="0.35">
      <c r="A175" t="s">
        <v>61</v>
      </c>
      <c r="B175">
        <v>107463281</v>
      </c>
      <c r="C175" t="s">
        <v>99</v>
      </c>
      <c r="D175" t="s">
        <v>60</v>
      </c>
      <c r="E175" t="s">
        <v>70</v>
      </c>
      <c r="F175">
        <v>470</v>
      </c>
      <c r="G175" t="s">
        <v>62</v>
      </c>
      <c r="H175" t="s">
        <v>64</v>
      </c>
      <c r="I175">
        <v>1825</v>
      </c>
    </row>
    <row r="176" spans="1:9" x14ac:dyDescent="0.35">
      <c r="A176" t="s">
        <v>61</v>
      </c>
      <c r="B176">
        <v>107463281</v>
      </c>
      <c r="C176" t="s">
        <v>99</v>
      </c>
      <c r="D176" t="s">
        <v>60</v>
      </c>
      <c r="E176" t="s">
        <v>70</v>
      </c>
      <c r="F176">
        <v>470</v>
      </c>
      <c r="G176" t="s">
        <v>68</v>
      </c>
      <c r="H176" t="s">
        <v>67</v>
      </c>
      <c r="I176">
        <v>470</v>
      </c>
    </row>
    <row r="177" spans="1:1" x14ac:dyDescent="0.35">
      <c r="A177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295</vt:i4>
      </vt:variant>
    </vt:vector>
  </HeadingPairs>
  <TitlesOfParts>
    <vt:vector size="333" baseType="lpstr">
      <vt:lpstr>1.19</vt:lpstr>
      <vt:lpstr>1.26</vt:lpstr>
      <vt:lpstr>2.2</vt:lpstr>
      <vt:lpstr>2.9</vt:lpstr>
      <vt:lpstr>2.16</vt:lpstr>
      <vt:lpstr>2.23</vt:lpstr>
      <vt:lpstr>3.1</vt:lpstr>
      <vt:lpstr>3.8</vt:lpstr>
      <vt:lpstr>4.26</vt:lpstr>
      <vt:lpstr>5.3</vt:lpstr>
      <vt:lpstr>5.10</vt:lpstr>
      <vt:lpstr>5.17</vt:lpstr>
      <vt:lpstr>5.24</vt:lpstr>
      <vt:lpstr>5.31</vt:lpstr>
      <vt:lpstr>6.7</vt:lpstr>
      <vt:lpstr>7.19</vt:lpstr>
      <vt:lpstr>7.26</vt:lpstr>
      <vt:lpstr>8.30</vt:lpstr>
      <vt:lpstr>9.13</vt:lpstr>
      <vt:lpstr>9.20</vt:lpstr>
      <vt:lpstr>9.27</vt:lpstr>
      <vt:lpstr>Report Generator</vt:lpstr>
      <vt:lpstr>pid1</vt:lpstr>
      <vt:lpstr>pid2</vt:lpstr>
      <vt:lpstr>pid3</vt:lpstr>
      <vt:lpstr>ppr1</vt:lpstr>
      <vt:lpstr>ppr2</vt:lpstr>
      <vt:lpstr>ppr3</vt:lpstr>
      <vt:lpstr>ppr4</vt:lpstr>
      <vt:lpstr>pid4</vt:lpstr>
      <vt:lpstr>frr1</vt:lpstr>
      <vt:lpstr>frr2</vt:lpstr>
      <vt:lpstr>frr3</vt:lpstr>
      <vt:lpstr>frr4</vt:lpstr>
      <vt:lpstr>ur1</vt:lpstr>
      <vt:lpstr>ur2</vt:lpstr>
      <vt:lpstr>ur3</vt:lpstr>
      <vt:lpstr>ur4</vt:lpstr>
      <vt:lpstr>'frr1'!website27</vt:lpstr>
      <vt:lpstr>'pid1'!website27</vt:lpstr>
      <vt:lpstr>'ppr1'!website27</vt:lpstr>
      <vt:lpstr>'ur1'!website27</vt:lpstr>
      <vt:lpstr>'frr1'!website27_1</vt:lpstr>
      <vt:lpstr>'pid1'!website27_1</vt:lpstr>
      <vt:lpstr>'ppr1'!website27_1</vt:lpstr>
      <vt:lpstr>'ur1'!website27_1</vt:lpstr>
      <vt:lpstr>'frr1'!website27_10</vt:lpstr>
      <vt:lpstr>'pid1'!website27_10</vt:lpstr>
      <vt:lpstr>'ppr1'!website27_10</vt:lpstr>
      <vt:lpstr>'ur1'!website27_10</vt:lpstr>
      <vt:lpstr>'frr1'!website27_11</vt:lpstr>
      <vt:lpstr>'pid1'!website27_11</vt:lpstr>
      <vt:lpstr>'ppr1'!website27_11</vt:lpstr>
      <vt:lpstr>'ur1'!website27_11</vt:lpstr>
      <vt:lpstr>'frr1'!website27_12</vt:lpstr>
      <vt:lpstr>'pid1'!website27_12</vt:lpstr>
      <vt:lpstr>'ppr1'!website27_12</vt:lpstr>
      <vt:lpstr>'ur1'!website27_12</vt:lpstr>
      <vt:lpstr>'frr1'!website27_13</vt:lpstr>
      <vt:lpstr>'pid1'!website27_13</vt:lpstr>
      <vt:lpstr>'ppr1'!website27_13</vt:lpstr>
      <vt:lpstr>'frr1'!website27_14</vt:lpstr>
      <vt:lpstr>'pid1'!website27_14</vt:lpstr>
      <vt:lpstr>'ppr1'!website27_14</vt:lpstr>
      <vt:lpstr>'frr1'!website27_15</vt:lpstr>
      <vt:lpstr>'pid1'!website27_15</vt:lpstr>
      <vt:lpstr>'ppr1'!website27_15</vt:lpstr>
      <vt:lpstr>'frr1'!website27_16</vt:lpstr>
      <vt:lpstr>'pid1'!website27_16</vt:lpstr>
      <vt:lpstr>'ppr1'!website27_16</vt:lpstr>
      <vt:lpstr>'pid1'!website27_17</vt:lpstr>
      <vt:lpstr>'ppr1'!website27_17</vt:lpstr>
      <vt:lpstr>'pid1'!website27_18</vt:lpstr>
      <vt:lpstr>'ppr1'!website27_18</vt:lpstr>
      <vt:lpstr>'pid1'!website27_19</vt:lpstr>
      <vt:lpstr>'ppr1'!website27_19</vt:lpstr>
      <vt:lpstr>'frr1'!website27_2</vt:lpstr>
      <vt:lpstr>'pid1'!website27_2</vt:lpstr>
      <vt:lpstr>'ppr1'!website27_2</vt:lpstr>
      <vt:lpstr>'ur1'!website27_2</vt:lpstr>
      <vt:lpstr>'pid1'!website27_20</vt:lpstr>
      <vt:lpstr>'ppr1'!website27_20</vt:lpstr>
      <vt:lpstr>'pid1'!website27_21</vt:lpstr>
      <vt:lpstr>'ppr1'!website27_21</vt:lpstr>
      <vt:lpstr>'frr1'!website27_3</vt:lpstr>
      <vt:lpstr>'pid1'!website27_3</vt:lpstr>
      <vt:lpstr>'ppr1'!website27_3</vt:lpstr>
      <vt:lpstr>'ur1'!website27_3</vt:lpstr>
      <vt:lpstr>'frr1'!website27_4</vt:lpstr>
      <vt:lpstr>'pid1'!website27_4</vt:lpstr>
      <vt:lpstr>'ppr1'!website27_4</vt:lpstr>
      <vt:lpstr>'ur1'!website27_4</vt:lpstr>
      <vt:lpstr>'frr1'!website27_5</vt:lpstr>
      <vt:lpstr>'pid1'!website27_5</vt:lpstr>
      <vt:lpstr>'ppr1'!website27_5</vt:lpstr>
      <vt:lpstr>'ur1'!website27_5</vt:lpstr>
      <vt:lpstr>'frr1'!website27_6</vt:lpstr>
      <vt:lpstr>'pid1'!website27_6</vt:lpstr>
      <vt:lpstr>'ppr1'!website27_6</vt:lpstr>
      <vt:lpstr>'ur1'!website27_6</vt:lpstr>
      <vt:lpstr>'frr1'!website27_7</vt:lpstr>
      <vt:lpstr>'pid1'!website27_7</vt:lpstr>
      <vt:lpstr>'ppr1'!website27_7</vt:lpstr>
      <vt:lpstr>'ur1'!website27_7</vt:lpstr>
      <vt:lpstr>'frr1'!website27_8</vt:lpstr>
      <vt:lpstr>'pid1'!website27_8</vt:lpstr>
      <vt:lpstr>'ppr1'!website27_8</vt:lpstr>
      <vt:lpstr>'ur1'!website27_8</vt:lpstr>
      <vt:lpstr>'frr1'!website27_9</vt:lpstr>
      <vt:lpstr>'pid1'!website27_9</vt:lpstr>
      <vt:lpstr>'ppr1'!website27_9</vt:lpstr>
      <vt:lpstr>'ur1'!website27_9</vt:lpstr>
      <vt:lpstr>'frr2'!website28</vt:lpstr>
      <vt:lpstr>'pid2'!website28</vt:lpstr>
      <vt:lpstr>'ppr2'!website28</vt:lpstr>
      <vt:lpstr>'ur2'!website28</vt:lpstr>
      <vt:lpstr>'frr2'!website28_1</vt:lpstr>
      <vt:lpstr>'pid2'!website28_1</vt:lpstr>
      <vt:lpstr>'ppr2'!website28_1</vt:lpstr>
      <vt:lpstr>'ur2'!website28_1</vt:lpstr>
      <vt:lpstr>'frr2'!website28_10</vt:lpstr>
      <vt:lpstr>'pid2'!website28_10</vt:lpstr>
      <vt:lpstr>'ppr2'!website28_10</vt:lpstr>
      <vt:lpstr>'ur2'!website28_10</vt:lpstr>
      <vt:lpstr>'frr2'!website28_11</vt:lpstr>
      <vt:lpstr>'pid2'!website28_11</vt:lpstr>
      <vt:lpstr>'ppr2'!website28_11</vt:lpstr>
      <vt:lpstr>'ur2'!website28_11</vt:lpstr>
      <vt:lpstr>'frr2'!website28_12</vt:lpstr>
      <vt:lpstr>'pid2'!website28_12</vt:lpstr>
      <vt:lpstr>'ppr2'!website28_12</vt:lpstr>
      <vt:lpstr>'ur2'!website28_12</vt:lpstr>
      <vt:lpstr>'frr2'!website28_13</vt:lpstr>
      <vt:lpstr>'pid2'!website28_13</vt:lpstr>
      <vt:lpstr>'ppr2'!website28_13</vt:lpstr>
      <vt:lpstr>'frr2'!website28_14</vt:lpstr>
      <vt:lpstr>'pid2'!website28_14</vt:lpstr>
      <vt:lpstr>'ppr2'!website28_14</vt:lpstr>
      <vt:lpstr>'frr2'!website28_15</vt:lpstr>
      <vt:lpstr>'pid2'!website28_15</vt:lpstr>
      <vt:lpstr>'ppr2'!website28_15</vt:lpstr>
      <vt:lpstr>'frr2'!website28_16</vt:lpstr>
      <vt:lpstr>'pid2'!website28_16</vt:lpstr>
      <vt:lpstr>'ppr2'!website28_16</vt:lpstr>
      <vt:lpstr>'pid2'!website28_17</vt:lpstr>
      <vt:lpstr>'ppr2'!website28_17</vt:lpstr>
      <vt:lpstr>'pid2'!website28_18</vt:lpstr>
      <vt:lpstr>'ppr2'!website28_18</vt:lpstr>
      <vt:lpstr>'pid2'!website28_19</vt:lpstr>
      <vt:lpstr>'ppr2'!website28_19</vt:lpstr>
      <vt:lpstr>'frr2'!website28_2</vt:lpstr>
      <vt:lpstr>'pid2'!website28_2</vt:lpstr>
      <vt:lpstr>'ppr2'!website28_2</vt:lpstr>
      <vt:lpstr>'ur2'!website28_2</vt:lpstr>
      <vt:lpstr>'pid2'!website28_20</vt:lpstr>
      <vt:lpstr>'ppr2'!website28_20</vt:lpstr>
      <vt:lpstr>'pid2'!website28_21</vt:lpstr>
      <vt:lpstr>'ppr2'!website28_21</vt:lpstr>
      <vt:lpstr>'frr2'!website28_3</vt:lpstr>
      <vt:lpstr>'pid2'!website28_3</vt:lpstr>
      <vt:lpstr>'ppr2'!website28_3</vt:lpstr>
      <vt:lpstr>'ur2'!website28_3</vt:lpstr>
      <vt:lpstr>'frr2'!website28_4</vt:lpstr>
      <vt:lpstr>'pid2'!website28_4</vt:lpstr>
      <vt:lpstr>'ppr2'!website28_4</vt:lpstr>
      <vt:lpstr>'ur2'!website28_4</vt:lpstr>
      <vt:lpstr>'frr2'!website28_5</vt:lpstr>
      <vt:lpstr>'pid2'!website28_5</vt:lpstr>
      <vt:lpstr>'ppr2'!website28_5</vt:lpstr>
      <vt:lpstr>'ur2'!website28_5</vt:lpstr>
      <vt:lpstr>'frr2'!website28_6</vt:lpstr>
      <vt:lpstr>'pid2'!website28_6</vt:lpstr>
      <vt:lpstr>'ppr2'!website28_6</vt:lpstr>
      <vt:lpstr>'ur2'!website28_6</vt:lpstr>
      <vt:lpstr>'frr2'!website28_7</vt:lpstr>
      <vt:lpstr>'pid2'!website28_7</vt:lpstr>
      <vt:lpstr>'ppr2'!website28_7</vt:lpstr>
      <vt:lpstr>'ur2'!website28_7</vt:lpstr>
      <vt:lpstr>'frr2'!website28_8</vt:lpstr>
      <vt:lpstr>'pid2'!website28_8</vt:lpstr>
      <vt:lpstr>'ppr2'!website28_8</vt:lpstr>
      <vt:lpstr>'ur2'!website28_8</vt:lpstr>
      <vt:lpstr>'frr2'!website28_9</vt:lpstr>
      <vt:lpstr>'pid2'!website28_9</vt:lpstr>
      <vt:lpstr>'ppr2'!website28_9</vt:lpstr>
      <vt:lpstr>'ur2'!website28_9</vt:lpstr>
      <vt:lpstr>'frr3'!website29</vt:lpstr>
      <vt:lpstr>'pid3'!website29</vt:lpstr>
      <vt:lpstr>'ppr3'!website29</vt:lpstr>
      <vt:lpstr>'ur3'!website29</vt:lpstr>
      <vt:lpstr>'frr3'!website29_1</vt:lpstr>
      <vt:lpstr>'pid3'!website29_1</vt:lpstr>
      <vt:lpstr>'ppr3'!website29_1</vt:lpstr>
      <vt:lpstr>'ur3'!website29_1</vt:lpstr>
      <vt:lpstr>'frr3'!website29_10</vt:lpstr>
      <vt:lpstr>'pid3'!website29_10</vt:lpstr>
      <vt:lpstr>'ppr3'!website29_10</vt:lpstr>
      <vt:lpstr>'ur3'!website29_10</vt:lpstr>
      <vt:lpstr>'frr3'!website29_11</vt:lpstr>
      <vt:lpstr>'pid3'!website29_11</vt:lpstr>
      <vt:lpstr>'ppr3'!website29_11</vt:lpstr>
      <vt:lpstr>'ur3'!website29_11</vt:lpstr>
      <vt:lpstr>'frr3'!website29_12</vt:lpstr>
      <vt:lpstr>'pid3'!website29_12</vt:lpstr>
      <vt:lpstr>'ppr3'!website29_12</vt:lpstr>
      <vt:lpstr>'ur3'!website29_12</vt:lpstr>
      <vt:lpstr>'frr3'!website29_13</vt:lpstr>
      <vt:lpstr>'pid3'!website29_13</vt:lpstr>
      <vt:lpstr>'ppr3'!website29_13</vt:lpstr>
      <vt:lpstr>'frr3'!website29_14</vt:lpstr>
      <vt:lpstr>'pid3'!website29_14</vt:lpstr>
      <vt:lpstr>'ppr3'!website29_14</vt:lpstr>
      <vt:lpstr>'frr3'!website29_15</vt:lpstr>
      <vt:lpstr>'pid3'!website29_15</vt:lpstr>
      <vt:lpstr>'ppr3'!website29_15</vt:lpstr>
      <vt:lpstr>'frr3'!website29_16</vt:lpstr>
      <vt:lpstr>'pid3'!website29_16</vt:lpstr>
      <vt:lpstr>'ppr3'!website29_16</vt:lpstr>
      <vt:lpstr>'pid3'!website29_17</vt:lpstr>
      <vt:lpstr>'ppr3'!website29_17</vt:lpstr>
      <vt:lpstr>'pid3'!website29_18</vt:lpstr>
      <vt:lpstr>'ppr3'!website29_18</vt:lpstr>
      <vt:lpstr>'pid3'!website29_19</vt:lpstr>
      <vt:lpstr>'ppr3'!website29_19</vt:lpstr>
      <vt:lpstr>'frr3'!website29_2</vt:lpstr>
      <vt:lpstr>'pid3'!website29_2</vt:lpstr>
      <vt:lpstr>'ppr3'!website29_2</vt:lpstr>
      <vt:lpstr>'ur3'!website29_2</vt:lpstr>
      <vt:lpstr>'pid3'!website29_20</vt:lpstr>
      <vt:lpstr>'ppr3'!website29_20</vt:lpstr>
      <vt:lpstr>'pid3'!website29_21</vt:lpstr>
      <vt:lpstr>'ppr3'!website29_21</vt:lpstr>
      <vt:lpstr>'frr3'!website29_3</vt:lpstr>
      <vt:lpstr>'pid3'!website29_3</vt:lpstr>
      <vt:lpstr>'ppr3'!website29_3</vt:lpstr>
      <vt:lpstr>'ur3'!website29_3</vt:lpstr>
      <vt:lpstr>'frr3'!website29_4</vt:lpstr>
      <vt:lpstr>'pid3'!website29_4</vt:lpstr>
      <vt:lpstr>'ppr3'!website29_4</vt:lpstr>
      <vt:lpstr>'ur3'!website29_4</vt:lpstr>
      <vt:lpstr>'frr3'!website29_5</vt:lpstr>
      <vt:lpstr>'pid3'!website29_5</vt:lpstr>
      <vt:lpstr>'ppr3'!website29_5</vt:lpstr>
      <vt:lpstr>'ur3'!website29_5</vt:lpstr>
      <vt:lpstr>'frr3'!website29_6</vt:lpstr>
      <vt:lpstr>'pid3'!website29_6</vt:lpstr>
      <vt:lpstr>'ppr3'!website29_6</vt:lpstr>
      <vt:lpstr>'ur3'!website29_6</vt:lpstr>
      <vt:lpstr>'frr3'!website29_7</vt:lpstr>
      <vt:lpstr>'pid3'!website29_7</vt:lpstr>
      <vt:lpstr>'ppr3'!website29_7</vt:lpstr>
      <vt:lpstr>'ur3'!website29_7</vt:lpstr>
      <vt:lpstr>'frr3'!website29_8</vt:lpstr>
      <vt:lpstr>'pid3'!website29_8</vt:lpstr>
      <vt:lpstr>'ppr3'!website29_8</vt:lpstr>
      <vt:lpstr>'ur3'!website29_8</vt:lpstr>
      <vt:lpstr>'frr3'!website29_9</vt:lpstr>
      <vt:lpstr>'pid3'!website29_9</vt:lpstr>
      <vt:lpstr>'ppr3'!website29_9</vt:lpstr>
      <vt:lpstr>'ur3'!website29_9</vt:lpstr>
      <vt:lpstr>'frr4'!website30</vt:lpstr>
      <vt:lpstr>'pid4'!website30</vt:lpstr>
      <vt:lpstr>'ppr4'!website30</vt:lpstr>
      <vt:lpstr>'ur4'!website30</vt:lpstr>
      <vt:lpstr>'frr4'!website30_1</vt:lpstr>
      <vt:lpstr>'pid4'!website30_1</vt:lpstr>
      <vt:lpstr>'ppr4'!website30_1</vt:lpstr>
      <vt:lpstr>'ur4'!website30_1</vt:lpstr>
      <vt:lpstr>'frr4'!website30_10</vt:lpstr>
      <vt:lpstr>'pid4'!website30_10</vt:lpstr>
      <vt:lpstr>'ppr4'!website30_10</vt:lpstr>
      <vt:lpstr>'ur4'!website30_10</vt:lpstr>
      <vt:lpstr>'frr4'!website30_11</vt:lpstr>
      <vt:lpstr>'pid4'!website30_11</vt:lpstr>
      <vt:lpstr>'ppr4'!website30_11</vt:lpstr>
      <vt:lpstr>'ur4'!website30_11</vt:lpstr>
      <vt:lpstr>'frr4'!website30_12</vt:lpstr>
      <vt:lpstr>'pid4'!website30_12</vt:lpstr>
      <vt:lpstr>'ppr4'!website30_12</vt:lpstr>
      <vt:lpstr>'ur4'!website30_12</vt:lpstr>
      <vt:lpstr>'frr4'!website30_13</vt:lpstr>
      <vt:lpstr>'pid4'!website30_13</vt:lpstr>
      <vt:lpstr>'ppr4'!website30_13</vt:lpstr>
      <vt:lpstr>'frr4'!website30_14</vt:lpstr>
      <vt:lpstr>'pid4'!website30_14</vt:lpstr>
      <vt:lpstr>'ppr4'!website30_14</vt:lpstr>
      <vt:lpstr>'frr4'!website30_15</vt:lpstr>
      <vt:lpstr>'pid4'!website30_15</vt:lpstr>
      <vt:lpstr>'ppr4'!website30_15</vt:lpstr>
      <vt:lpstr>'frr4'!website30_16</vt:lpstr>
      <vt:lpstr>'pid4'!website30_16</vt:lpstr>
      <vt:lpstr>'ppr4'!website30_16</vt:lpstr>
      <vt:lpstr>'pid4'!website30_17</vt:lpstr>
      <vt:lpstr>'ppr4'!website30_17</vt:lpstr>
      <vt:lpstr>'pid4'!website30_18</vt:lpstr>
      <vt:lpstr>'ppr4'!website30_18</vt:lpstr>
      <vt:lpstr>'pid4'!website30_19</vt:lpstr>
      <vt:lpstr>'ppr4'!website30_19</vt:lpstr>
      <vt:lpstr>'frr4'!website30_2</vt:lpstr>
      <vt:lpstr>'pid4'!website30_2</vt:lpstr>
      <vt:lpstr>'ppr4'!website30_2</vt:lpstr>
      <vt:lpstr>'ur4'!website30_2</vt:lpstr>
      <vt:lpstr>'pid4'!website30_20</vt:lpstr>
      <vt:lpstr>'ppr4'!website30_20</vt:lpstr>
      <vt:lpstr>'ppr4'!website30_21</vt:lpstr>
      <vt:lpstr>'frr4'!website30_3</vt:lpstr>
      <vt:lpstr>'pid4'!website30_3</vt:lpstr>
      <vt:lpstr>'ppr4'!website30_3</vt:lpstr>
      <vt:lpstr>'ur4'!website30_3</vt:lpstr>
      <vt:lpstr>'frr4'!website30_4</vt:lpstr>
      <vt:lpstr>'pid4'!website30_4</vt:lpstr>
      <vt:lpstr>'ppr4'!website30_4</vt:lpstr>
      <vt:lpstr>'ur4'!website30_4</vt:lpstr>
      <vt:lpstr>'frr4'!website30_5</vt:lpstr>
      <vt:lpstr>'pid4'!website30_5</vt:lpstr>
      <vt:lpstr>'ppr4'!website30_5</vt:lpstr>
      <vt:lpstr>'ur4'!website30_5</vt:lpstr>
      <vt:lpstr>'frr4'!website30_6</vt:lpstr>
      <vt:lpstr>'pid4'!website30_6</vt:lpstr>
      <vt:lpstr>'ppr4'!website30_6</vt:lpstr>
      <vt:lpstr>'ur4'!website30_6</vt:lpstr>
      <vt:lpstr>'frr4'!website30_7</vt:lpstr>
      <vt:lpstr>'pid4'!website30_7</vt:lpstr>
      <vt:lpstr>'ppr4'!website30_7</vt:lpstr>
      <vt:lpstr>'ur4'!website30_7</vt:lpstr>
      <vt:lpstr>'frr4'!website30_8</vt:lpstr>
      <vt:lpstr>'pid4'!website30_8</vt:lpstr>
      <vt:lpstr>'ppr4'!website30_8</vt:lpstr>
      <vt:lpstr>'ur4'!website30_8</vt:lpstr>
      <vt:lpstr>'frr4'!website30_9</vt:lpstr>
      <vt:lpstr>'pid4'!website30_9</vt:lpstr>
      <vt:lpstr>'ppr4'!website30_9</vt:lpstr>
      <vt:lpstr>'ur4'!website30_9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2020-10-13T00:26:17Z</dcterms:modified>
</cp:coreProperties>
</file>