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50" windowHeight="360" tabRatio="910" firstSheet="19" activeTab="21"/>
  </bookViews>
  <sheets>
    <sheet name="1.19" sheetId="1" r:id="rId1"/>
    <sheet name="1.26" sheetId="3" r:id="rId2"/>
    <sheet name="2.2" sheetId="6" r:id="rId3"/>
    <sheet name="2.9" sheetId="7" r:id="rId4"/>
    <sheet name="2.16" sheetId="9" r:id="rId5"/>
    <sheet name="2.23" sheetId="10" r:id="rId6"/>
    <sheet name="3.1" sheetId="11" r:id="rId7"/>
    <sheet name="3.8" sheetId="12" r:id="rId8"/>
    <sheet name="4.26" sheetId="14" r:id="rId9"/>
    <sheet name="5.3" sheetId="15" r:id="rId10"/>
    <sheet name="5.10" sheetId="17" r:id="rId11"/>
    <sheet name="5.17" sheetId="18" r:id="rId12"/>
    <sheet name="5.24" sheetId="19" r:id="rId13"/>
    <sheet name="5.31" sheetId="20" r:id="rId14"/>
    <sheet name="6.7" sheetId="21" r:id="rId15"/>
    <sheet name="7.19" sheetId="22" r:id="rId16"/>
    <sheet name="7.26" sheetId="24" r:id="rId17"/>
    <sheet name="8.30" sheetId="27" r:id="rId18"/>
    <sheet name="9.13" sheetId="41" r:id="rId19"/>
    <sheet name="9.20" sheetId="43" r:id="rId20"/>
    <sheet name="9.27" sheetId="44" r:id="rId21"/>
    <sheet name="Report Generator" sheetId="35" r:id="rId22"/>
    <sheet name="pid1" sheetId="156" r:id="rId23"/>
    <sheet name="pid2" sheetId="157" r:id="rId24"/>
    <sheet name="pid3" sheetId="158" r:id="rId25"/>
    <sheet name="ppr1" sheetId="159" r:id="rId26"/>
    <sheet name="ppr2" sheetId="160" r:id="rId27"/>
    <sheet name="ppr3" sheetId="161" r:id="rId28"/>
    <sheet name="ppr4" sheetId="162" r:id="rId29"/>
    <sheet name="pid4" sheetId="163" r:id="rId30"/>
    <sheet name="frr1" sheetId="168" r:id="rId31"/>
    <sheet name="frr2" sheetId="169" r:id="rId32"/>
    <sheet name="frr3" sheetId="170" r:id="rId33"/>
    <sheet name="frr4" sheetId="171" r:id="rId34"/>
    <sheet name="ur1" sheetId="172" r:id="rId35"/>
    <sheet name="ur2" sheetId="173" r:id="rId36"/>
    <sheet name="ur3" sheetId="174" r:id="rId37"/>
    <sheet name="ur4" sheetId="175" r:id="rId38"/>
    <sheet name="ppr5" sheetId="176" r:id="rId39"/>
    <sheet name="pid5" sheetId="177" r:id="rId40"/>
    <sheet name="frr5" sheetId="178" r:id="rId41"/>
    <sheet name="ur5" sheetId="179" r:id="rId42"/>
    <sheet name="ppr6" sheetId="180" r:id="rId43"/>
    <sheet name="pid6" sheetId="181" r:id="rId44"/>
    <sheet name="frr6" sheetId="182" r:id="rId45"/>
    <sheet name="ur6" sheetId="183" r:id="rId46"/>
    <sheet name="ppr7" sheetId="184" r:id="rId47"/>
    <sheet name="pid7" sheetId="185" r:id="rId48"/>
    <sheet name="frr7" sheetId="186" r:id="rId49"/>
    <sheet name="ur7" sheetId="187" r:id="rId50"/>
  </sheets>
  <functionGroups builtInGroupCount="18"/>
  <definedNames>
    <definedName name="website1" localSheetId="40">'frr5'!$A$1:$A$289</definedName>
    <definedName name="website1" localSheetId="39">'pid5'!$A$1:$A$18</definedName>
    <definedName name="website1" localSheetId="38">'ppr5'!$A$1:$A$186</definedName>
    <definedName name="website1" localSheetId="41">'ur5'!$A$1:$A$188</definedName>
    <definedName name="website1_1" localSheetId="40">'frr5'!$A$1:$A$289</definedName>
    <definedName name="website1_1" localSheetId="39">'pid5'!$A$1:$A$18</definedName>
    <definedName name="website1_1" localSheetId="38">'ppr5'!$A$1:$A$186</definedName>
    <definedName name="website1_1" localSheetId="41">'ur5'!$A$1:$A$188</definedName>
    <definedName name="website10" localSheetId="48">'frr7'!$A$1:$A$218</definedName>
    <definedName name="website10" localSheetId="47">'pid7'!$A$1:$A$18</definedName>
    <definedName name="website10" localSheetId="46">'ppr7'!$A$1:$A$186</definedName>
    <definedName name="website10" localSheetId="49">'ur7'!$A$1:$A$144</definedName>
    <definedName name="website10_1" localSheetId="48">'frr7'!$A$1:$A$218</definedName>
    <definedName name="website10_1" localSheetId="47">'pid7'!$A$1:$A$18</definedName>
    <definedName name="website10_1" localSheetId="46">'ppr7'!$A$1:$A$186</definedName>
    <definedName name="website10_1" localSheetId="49">'ur7'!$A$1:$A$144</definedName>
    <definedName name="website10_2" localSheetId="48">'frr7'!$A$1</definedName>
    <definedName name="website10_2" localSheetId="47">'pid7'!$A$1:$A$18</definedName>
    <definedName name="website10_2" localSheetId="46">'ppr7'!$A$1</definedName>
    <definedName name="website10_2" localSheetId="49">'ur7'!$A$1</definedName>
    <definedName name="website10_3" localSheetId="48">'frr7'!$A$1:$A$218</definedName>
    <definedName name="website10_3" localSheetId="47">'pid7'!$A$1:$A$18</definedName>
    <definedName name="website10_3" localSheetId="46">'ppr7'!$A$1:$A$186</definedName>
    <definedName name="website10_3" localSheetId="49">'ur7'!$A$1:$A$144</definedName>
    <definedName name="website2" localSheetId="44">'frr6'!$A$1:$A$303</definedName>
    <definedName name="website2" localSheetId="43">'pid6'!$A$1:$A$18</definedName>
    <definedName name="website2" localSheetId="42">'ppr6'!$A$1:$A$186</definedName>
    <definedName name="website2" localSheetId="45">'ur6'!$A$1:$A$204</definedName>
    <definedName name="website2_1" localSheetId="44">'frr6'!$A$1:$A$303</definedName>
    <definedName name="website2_1" localSheetId="43">'pid6'!$A$1:$A$18</definedName>
    <definedName name="website2_1" localSheetId="42">'ppr6'!$A$1:$A$186</definedName>
    <definedName name="website2_1" localSheetId="45">'ur6'!$A$1:$A$204</definedName>
    <definedName name="website20" localSheetId="30">'frr1'!$A$1:$A$275</definedName>
    <definedName name="website20" localSheetId="22">'pid1'!$A$1:$A$18</definedName>
    <definedName name="website20" localSheetId="25">'ppr1'!$A$1:$A$186</definedName>
    <definedName name="website20" localSheetId="34">'ur1'!$A$1:$A$169</definedName>
    <definedName name="website20_1" localSheetId="30">'frr1'!$A$1</definedName>
    <definedName name="website20_1" localSheetId="22">'pid1'!$A$1:$A$18</definedName>
    <definedName name="website20_1" localSheetId="25">'ppr1'!$A$1</definedName>
    <definedName name="website20_1" localSheetId="34">'ur1'!$A$1</definedName>
    <definedName name="website20_2" localSheetId="30">'frr1'!$A$1:$A$275</definedName>
    <definedName name="website20_2" localSheetId="22">'pid1'!$A$1:$A$18</definedName>
    <definedName name="website20_2" localSheetId="25">'ppr1'!$A$1:$A$186</definedName>
    <definedName name="website20_2" localSheetId="34">'ur1'!$A$1:$A$169</definedName>
    <definedName name="website21" localSheetId="31">'frr2'!$A$1:$A$261</definedName>
    <definedName name="website21" localSheetId="23">'pid2'!$A$1:$A$18</definedName>
    <definedName name="website21" localSheetId="26">'ppr2'!$A$1:$A$186</definedName>
    <definedName name="website21" localSheetId="35">'ur2'!$A$1:$A$157</definedName>
    <definedName name="website21_1" localSheetId="31">'frr2'!$A$1</definedName>
    <definedName name="website21_1" localSheetId="23">'pid2'!$A$1:$A$18</definedName>
    <definedName name="website21_1" localSheetId="26">'ppr2'!$A$1</definedName>
    <definedName name="website21_1" localSheetId="35">'ur2'!$A$1</definedName>
    <definedName name="website21_2" localSheetId="31">'frr2'!$A$1:$A$261</definedName>
    <definedName name="website21_2" localSheetId="23">'pid2'!$A$1:$A$18</definedName>
    <definedName name="website21_2" localSheetId="26">'ppr2'!$A$1:$A$186</definedName>
    <definedName name="website21_2" localSheetId="35">'ur2'!$A$1:$A$157</definedName>
    <definedName name="website22" localSheetId="32">'frr3'!$A$1:$A$206</definedName>
    <definedName name="website22" localSheetId="24">'pid3'!$A$1:$A$18</definedName>
    <definedName name="website22" localSheetId="27">'ppr3'!$A$1:$A$186</definedName>
    <definedName name="website22" localSheetId="36">'ur3'!$A$1:$A$139</definedName>
    <definedName name="website22_1" localSheetId="32">'frr3'!$A$1</definedName>
    <definedName name="website22_1" localSheetId="24">'pid3'!$A$1:$A$18</definedName>
    <definedName name="website22_1" localSheetId="27">'ppr3'!$A$1</definedName>
    <definedName name="website22_1" localSheetId="36">'ur3'!$A$1</definedName>
    <definedName name="website22_2" localSheetId="32">'frr3'!$A$1:$A$206</definedName>
    <definedName name="website22_2" localSheetId="24">'pid3'!$A$1:$A$18</definedName>
    <definedName name="website22_2" localSheetId="27">'ppr3'!$A$1:$A$186</definedName>
    <definedName name="website22_2" localSheetId="36">'ur3'!$A$1:$A$139</definedName>
    <definedName name="website23" localSheetId="33">'frr4'!$A$1:$A$254</definedName>
    <definedName name="website23" localSheetId="29">'pid4'!$A$1:$A$18</definedName>
    <definedName name="website23" localSheetId="28">'ppr4'!$A$1:$A$186</definedName>
    <definedName name="website23" localSheetId="37">'ur4'!$A$1:$A$159</definedName>
    <definedName name="website23_1" localSheetId="33">'frr4'!$A$1</definedName>
    <definedName name="website23_1" localSheetId="29">'pid4'!$A$1:$A$18</definedName>
    <definedName name="website23_1" localSheetId="28">'ppr4'!$A$1</definedName>
    <definedName name="website23_1" localSheetId="37">'ur4'!$A$1</definedName>
    <definedName name="website23_2" localSheetId="33">'frr4'!$A$1:$A$254</definedName>
    <definedName name="website23_2" localSheetId="29">'pid4'!$A$1:$A$18</definedName>
    <definedName name="website23_2" localSheetId="28">'ppr4'!$A$1:$A$186</definedName>
    <definedName name="website23_2" localSheetId="37">'ur4'!$A$1:$A$159</definedName>
    <definedName name="website24" localSheetId="40">'frr5'!$A$1:$A$268</definedName>
    <definedName name="website24" localSheetId="39">'pid5'!$A$1:$A$18</definedName>
    <definedName name="website24" localSheetId="38">'ppr5'!$A$1:$A$186</definedName>
    <definedName name="website24" localSheetId="41">'ur5'!$A$1:$A$164</definedName>
    <definedName name="website24_1" localSheetId="40">'frr5'!$A$1</definedName>
    <definedName name="website24_1" localSheetId="39">'pid5'!$A$1:$A$18</definedName>
    <definedName name="website24_1" localSheetId="38">'ppr5'!$A$1</definedName>
    <definedName name="website24_1" localSheetId="41">'ur5'!$A$1</definedName>
    <definedName name="website24_2" localSheetId="40">'frr5'!$A$1:$A$268</definedName>
    <definedName name="website24_2" localSheetId="39">'pid5'!$A$1:$A$18</definedName>
    <definedName name="website24_2" localSheetId="38">'ppr5'!$A$1:$A$186</definedName>
    <definedName name="website24_2" localSheetId="41">'ur5'!$A$1:$A$164</definedName>
    <definedName name="website25" localSheetId="44">'frr6'!$A$1:$A$345</definedName>
    <definedName name="website25" localSheetId="43">'pid6'!$A$1:$A$18</definedName>
    <definedName name="website25" localSheetId="42">'ppr6'!$A$1:$A$186</definedName>
    <definedName name="website25" localSheetId="45">'ur6'!$A$1</definedName>
    <definedName name="website25_1" localSheetId="44">'frr6'!$A$1</definedName>
    <definedName name="website25_1" localSheetId="43">'pid6'!$A$1:$A$18</definedName>
    <definedName name="website25_1" localSheetId="42">'ppr6'!$A$1</definedName>
    <definedName name="website25_1" localSheetId="45">'ur6'!$A$1</definedName>
    <definedName name="website25_2" localSheetId="44">'frr6'!$A$1:$A$345</definedName>
    <definedName name="website25_2" localSheetId="43">'pid6'!$A$1:$A$18</definedName>
    <definedName name="website25_2" localSheetId="42">'ppr6'!$A$1:$A$186</definedName>
    <definedName name="website25_2" localSheetId="45">'ur6'!$A$1:$A$200</definedName>
    <definedName name="website26" localSheetId="48">'frr7'!$A$1</definedName>
    <definedName name="website26" localSheetId="47">'pid7'!$A$1:$A$18</definedName>
    <definedName name="website26" localSheetId="46">'ppr7'!$A$1:$A$186</definedName>
    <definedName name="website26" localSheetId="49">'ur7'!$A$1</definedName>
    <definedName name="website26_1" localSheetId="48">'frr7'!$A$1</definedName>
    <definedName name="website26_1" localSheetId="47">'pid7'!$A$1:$A$18</definedName>
    <definedName name="website26_1" localSheetId="46">'ppr7'!$A$1</definedName>
    <definedName name="website26_1" localSheetId="49">'ur7'!$A$1</definedName>
    <definedName name="website26_2" localSheetId="48">'frr7'!$A$1:$A$289</definedName>
    <definedName name="website26_2" localSheetId="47">'pid7'!$A$1:$A$18</definedName>
    <definedName name="website26_2" localSheetId="46">'ppr7'!$A$1:$A$186</definedName>
    <definedName name="website26_2" localSheetId="49">'ur7'!$A$1:$A$168</definedName>
    <definedName name="website27" localSheetId="30">'frr1'!$A$1:$A$289</definedName>
    <definedName name="website27" localSheetId="22">'pid1'!$A$1:$A$18</definedName>
    <definedName name="website27" localSheetId="25">'ppr1'!$A$1:$A$186</definedName>
    <definedName name="website27" localSheetId="34">'ur1'!$A$1</definedName>
    <definedName name="website27_1" localSheetId="30">'frr1'!$A$1:$A$289</definedName>
    <definedName name="website27_1" localSheetId="22">'pid1'!$A$1:$A$18</definedName>
    <definedName name="website27_1" localSheetId="25">'ppr1'!$A$1:$A$186</definedName>
    <definedName name="website27_1" localSheetId="34">'ur1'!$A$1:$A$177</definedName>
    <definedName name="website27_10" localSheetId="30">'frr1'!$A$1:$A$282</definedName>
    <definedName name="website27_10" localSheetId="22">'pid1'!$A$1:$A$18</definedName>
    <definedName name="website27_10" localSheetId="25">'ppr1'!$A$1:$A$186</definedName>
    <definedName name="website27_10" localSheetId="34">'ur1'!$A$1:$A$177</definedName>
    <definedName name="website27_11" localSheetId="30">'frr1'!$A$1:$A$282</definedName>
    <definedName name="website27_11" localSheetId="22">'pid1'!$A$1:$A$18</definedName>
    <definedName name="website27_11" localSheetId="25">'ppr1'!$A$1:$A$186</definedName>
    <definedName name="website27_11" localSheetId="34">'ur1'!$A$1:$A$170</definedName>
    <definedName name="website27_12" localSheetId="30">'frr1'!$A$1:$A$282</definedName>
    <definedName name="website27_12" localSheetId="22">'pid1'!$A$1:$A$18</definedName>
    <definedName name="website27_12" localSheetId="25">'ppr1'!$A$1:$A$186</definedName>
    <definedName name="website27_12" localSheetId="34">'ur1'!$A$1:$A$170</definedName>
    <definedName name="website27_13" localSheetId="30">'frr1'!$A$1:$A$282</definedName>
    <definedName name="website27_13" localSheetId="22">'pid1'!$A$1:$A$18</definedName>
    <definedName name="website27_13" localSheetId="25">'ppr1'!$A$1:$A$186</definedName>
    <definedName name="website27_13" localSheetId="34">'ur1'!$A$1:$A$170</definedName>
    <definedName name="website27_14" localSheetId="30">'frr1'!$A$1:$A$282</definedName>
    <definedName name="website27_14" localSheetId="22">'pid1'!$A$1:$A$18</definedName>
    <definedName name="website27_14" localSheetId="25">'ppr1'!$A$1:$A$186</definedName>
    <definedName name="website27_14" localSheetId="34">'ur1'!$A$1:$A$170</definedName>
    <definedName name="website27_15" localSheetId="30">'frr1'!$A$1:$A$282</definedName>
    <definedName name="website27_15" localSheetId="22">'pid1'!$A$1:$A$18</definedName>
    <definedName name="website27_15" localSheetId="25">'ppr1'!$A$1:$A$186</definedName>
    <definedName name="website27_16" localSheetId="30">'frr1'!$A$1:$A$282</definedName>
    <definedName name="website27_16" localSheetId="22">'pid1'!$A$1:$A$18</definedName>
    <definedName name="website27_16" localSheetId="25">'ppr1'!$A$1:$A$186</definedName>
    <definedName name="website27_17" localSheetId="30">'frr1'!$A$1:$A$282</definedName>
    <definedName name="website27_17" localSheetId="22">'pid1'!$A$1:$A$18</definedName>
    <definedName name="website27_17" localSheetId="25">'ppr1'!$A$1:$A$186</definedName>
    <definedName name="website27_18" localSheetId="30">'frr1'!$A$1:$A$282</definedName>
    <definedName name="website27_18" localSheetId="22">'pid1'!$A$1:$A$18</definedName>
    <definedName name="website27_18" localSheetId="25">'ppr1'!$A$1:$A$186</definedName>
    <definedName name="website27_19" localSheetId="22">'pid1'!$A$1:$A$18</definedName>
    <definedName name="website27_19" localSheetId="25">'ppr1'!$A$1:$A$186</definedName>
    <definedName name="website27_2" localSheetId="30">'frr1'!$A$1:$A$282</definedName>
    <definedName name="website27_2" localSheetId="22">'pid1'!$A$1:$A$18</definedName>
    <definedName name="website27_2" localSheetId="25">'ppr1'!$A$1:$A$186</definedName>
    <definedName name="website27_2" localSheetId="34">'ur1'!$A$1:$A$177</definedName>
    <definedName name="website27_20" localSheetId="22">'pid1'!$A$1:$A$18</definedName>
    <definedName name="website27_20" localSheetId="25">'ppr1'!$A$1:$A$186</definedName>
    <definedName name="website27_21" localSheetId="22">'pid1'!$A$1:$A$18</definedName>
    <definedName name="website27_21" localSheetId="25">'ppr1'!$A$1:$A$186</definedName>
    <definedName name="website27_22" localSheetId="22">'pid1'!$A$1:$A$18</definedName>
    <definedName name="website27_22" localSheetId="25">'ppr1'!$A$1:$A$186</definedName>
    <definedName name="website27_23" localSheetId="22">'pid1'!$A$1:$A$18</definedName>
    <definedName name="website27_23" localSheetId="25">'ppr1'!$A$1:$A$186</definedName>
    <definedName name="website27_3" localSheetId="30">'frr1'!$A$1:$A$282</definedName>
    <definedName name="website27_3" localSheetId="22">'pid1'!$A$1:$A$18</definedName>
    <definedName name="website27_3" localSheetId="25">'ppr1'!$A$1:$A$289</definedName>
    <definedName name="website27_3" localSheetId="34">'ur1'!$A$1</definedName>
    <definedName name="website27_4" localSheetId="30">'frr1'!$A$1:$A$282</definedName>
    <definedName name="website27_4" localSheetId="22">'pid1'!$A$1:$A$18</definedName>
    <definedName name="website27_4" localSheetId="25">'ppr1'!$A$1:$A$186</definedName>
    <definedName name="website27_4" localSheetId="34">'ur1'!$A$1:$A$177</definedName>
    <definedName name="website27_5" localSheetId="30">'frr1'!$A$1:$A$282</definedName>
    <definedName name="website27_5" localSheetId="22">'pid1'!$A$1:$A$18</definedName>
    <definedName name="website27_5" localSheetId="25">'ppr1'!$A$1:$A$186</definedName>
    <definedName name="website27_5" localSheetId="34">'ur1'!$A$1:$A$177</definedName>
    <definedName name="website27_6" localSheetId="30">'frr1'!$A$1:$A$282</definedName>
    <definedName name="website27_6" localSheetId="22">'pid1'!$A$1:$A$18</definedName>
    <definedName name="website27_6" localSheetId="25">'ppr1'!$A$1:$A$186</definedName>
    <definedName name="website27_6" localSheetId="34">'ur1'!$A$1:$A$177</definedName>
    <definedName name="website27_7" localSheetId="30">'frr1'!$A$1:$A$282</definedName>
    <definedName name="website27_7" localSheetId="22">'pid1'!$A$1:$A$18</definedName>
    <definedName name="website27_7" localSheetId="25">'ppr1'!$A$1:$A$186</definedName>
    <definedName name="website27_7" localSheetId="34">'ur1'!$A$1:$A$177</definedName>
    <definedName name="website27_8" localSheetId="30">'frr1'!$A$1:$A$282</definedName>
    <definedName name="website27_8" localSheetId="22">'pid1'!$A$1:$A$18</definedName>
    <definedName name="website27_8" localSheetId="25">'ppr1'!$A$1:$A$186</definedName>
    <definedName name="website27_8" localSheetId="34">'ur1'!$A$1:$A$177</definedName>
    <definedName name="website27_9" localSheetId="30">'frr1'!$A$1:$A$282</definedName>
    <definedName name="website27_9" localSheetId="22">'pid1'!$A$1:$A$18</definedName>
    <definedName name="website27_9" localSheetId="25">'ppr1'!$A$1</definedName>
    <definedName name="website27_9" localSheetId="34">'ur1'!$A$1:$A$177</definedName>
    <definedName name="website28" localSheetId="31">'frr2'!$A$1:$A$289</definedName>
    <definedName name="website28" localSheetId="23">'pid2'!$A$1:$A$18</definedName>
    <definedName name="website28" localSheetId="26">'ppr2'!$A$1:$A$186</definedName>
    <definedName name="website28" localSheetId="35">'ur2'!$A$1</definedName>
    <definedName name="website28_1" localSheetId="31">'frr2'!$A$1:$A$289</definedName>
    <definedName name="website28_1" localSheetId="23">'pid2'!$A$1:$A$18</definedName>
    <definedName name="website28_1" localSheetId="26">'ppr2'!$A$1:$A$186</definedName>
    <definedName name="website28_1" localSheetId="35">'ur2'!$A$1:$A$177</definedName>
    <definedName name="website28_10" localSheetId="31">'frr2'!$A$1:$A$254</definedName>
    <definedName name="website28_10" localSheetId="23">'pid2'!$A$1:$A$18</definedName>
    <definedName name="website28_10" localSheetId="26">'ppr2'!$A$1:$A$186</definedName>
    <definedName name="website28_10" localSheetId="35">'ur2'!$A$1:$A$177</definedName>
    <definedName name="website28_11" localSheetId="31">'frr2'!$A$1:$A$254</definedName>
    <definedName name="website28_11" localSheetId="23">'pid2'!$A$1:$A$18</definedName>
    <definedName name="website28_11" localSheetId="26">'ppr2'!$A$1:$A$186</definedName>
    <definedName name="website28_11" localSheetId="35">'ur2'!$A$1:$A$170</definedName>
    <definedName name="website28_12" localSheetId="31">'frr2'!$A$1:$A$254</definedName>
    <definedName name="website28_12" localSheetId="23">'pid2'!$A$1:$A$18</definedName>
    <definedName name="website28_12" localSheetId="26">'ppr2'!$A$1:$A$186</definedName>
    <definedName name="website28_12" localSheetId="35">'ur2'!$A$1:$A$174</definedName>
    <definedName name="website28_13" localSheetId="31">'frr2'!$A$1:$A$254</definedName>
    <definedName name="website28_13" localSheetId="23">'pid2'!$A$1:$A$18</definedName>
    <definedName name="website28_13" localSheetId="26">'ppr2'!$A$1:$A$186</definedName>
    <definedName name="website28_13" localSheetId="35">'ur2'!$A$1:$A$174</definedName>
    <definedName name="website28_14" localSheetId="31">'frr2'!$A$1:$A$254</definedName>
    <definedName name="website28_14" localSheetId="23">'pid2'!$A$1:$A$18</definedName>
    <definedName name="website28_14" localSheetId="26">'ppr2'!$A$1:$A$186</definedName>
    <definedName name="website28_14" localSheetId="35">'ur2'!$A$1:$A$174</definedName>
    <definedName name="website28_15" localSheetId="31">'frr2'!$A$1:$A$254</definedName>
    <definedName name="website28_15" localSheetId="23">'pid2'!$A$1:$A$18</definedName>
    <definedName name="website28_15" localSheetId="26">'ppr2'!$A$1:$A$186</definedName>
    <definedName name="website28_16" localSheetId="31">'frr2'!$A$1:$A$254</definedName>
    <definedName name="website28_16" localSheetId="23">'pid2'!$A$1:$A$18</definedName>
    <definedName name="website28_16" localSheetId="26">'ppr2'!$A$1:$A$186</definedName>
    <definedName name="website28_17" localSheetId="31">'frr2'!$A$1:$A$254</definedName>
    <definedName name="website28_17" localSheetId="23">'pid2'!$A$1:$A$18</definedName>
    <definedName name="website28_17" localSheetId="26">'ppr2'!$A$1:$A$186</definedName>
    <definedName name="website28_18" localSheetId="31">'frr2'!$A$1:$A$254</definedName>
    <definedName name="website28_18" localSheetId="23">'pid2'!$A$1:$A$18</definedName>
    <definedName name="website28_18" localSheetId="26">'ppr2'!$A$1:$A$186</definedName>
    <definedName name="website28_19" localSheetId="23">'pid2'!$A$1:$A$18</definedName>
    <definedName name="website28_19" localSheetId="26">'ppr2'!$A$1:$A$186</definedName>
    <definedName name="website28_2" localSheetId="31">'frr2'!$A$1</definedName>
    <definedName name="website28_2" localSheetId="23">'pid2'!$A$1:$A$18</definedName>
    <definedName name="website28_2" localSheetId="26">'ppr2'!$A$1:$A$186</definedName>
    <definedName name="website28_2" localSheetId="35">'ur2'!$A$1:$A$177</definedName>
    <definedName name="website28_20" localSheetId="23">'pid2'!$A$1:$A$18</definedName>
    <definedName name="website28_20" localSheetId="26">'ppr2'!$A$1:$A$186</definedName>
    <definedName name="website28_21" localSheetId="23">'pid2'!$A$1:$A$18</definedName>
    <definedName name="website28_21" localSheetId="26">'ppr2'!$A$1:$A$186</definedName>
    <definedName name="website28_22" localSheetId="23">'pid2'!$A$1:$A$18</definedName>
    <definedName name="website28_22" localSheetId="26">'ppr2'!$A$1:$A$186</definedName>
    <definedName name="website28_23" localSheetId="23">'pid2'!$A$1:$A$18</definedName>
    <definedName name="website28_23" localSheetId="26">'ppr2'!$A$1:$A$186</definedName>
    <definedName name="website28_3" localSheetId="31">'frr2'!$A$1:$A$254</definedName>
    <definedName name="website28_3" localSheetId="23">'pid2'!$A$1:$A$18</definedName>
    <definedName name="website28_3" localSheetId="26">'ppr2'!$A$1:$A$289</definedName>
    <definedName name="website28_3" localSheetId="35">'ur2'!$A$1</definedName>
    <definedName name="website28_4" localSheetId="31">'frr2'!$A$1:$A$254</definedName>
    <definedName name="website28_4" localSheetId="23">'pid2'!$A$1:$A$18</definedName>
    <definedName name="website28_4" localSheetId="26">'ppr2'!$A$1:$A$186</definedName>
    <definedName name="website28_4" localSheetId="35">'ur2'!$A$1:$A$177</definedName>
    <definedName name="website28_5" localSheetId="31">'frr2'!$A$1</definedName>
    <definedName name="website28_5" localSheetId="23">'pid2'!$A$1:$A$18</definedName>
    <definedName name="website28_5" localSheetId="26">'ppr2'!$A$1:$A$186</definedName>
    <definedName name="website28_5" localSheetId="35">'ur2'!$A$1:$A$177</definedName>
    <definedName name="website28_6" localSheetId="31">'frr2'!$A$1:$A$254</definedName>
    <definedName name="website28_6" localSheetId="23">'pid2'!$A$1:$A$18</definedName>
    <definedName name="website28_6" localSheetId="26">'ppr2'!$A$1</definedName>
    <definedName name="website28_6" localSheetId="35">'ur2'!$A$1:$A$177</definedName>
    <definedName name="website28_7" localSheetId="31">'frr2'!$A$1:$A$254</definedName>
    <definedName name="website28_7" localSheetId="23">'pid2'!$A$1:$A$18</definedName>
    <definedName name="website28_7" localSheetId="26">'ppr2'!$A$1:$A$186</definedName>
    <definedName name="website28_7" localSheetId="35">'ur2'!$A$1:$A$177</definedName>
    <definedName name="website28_8" localSheetId="31">'frr2'!$A$1:$A$254</definedName>
    <definedName name="website28_8" localSheetId="23">'pid2'!$A$1:$A$18</definedName>
    <definedName name="website28_8" localSheetId="26">'ppr2'!$A$1:$A$186</definedName>
    <definedName name="website28_8" localSheetId="35">'ur2'!$A$1:$A$177</definedName>
    <definedName name="website28_9" localSheetId="31">'frr2'!$A$1:$A$254</definedName>
    <definedName name="website28_9" localSheetId="23">'pid2'!$A$1:$A$18</definedName>
    <definedName name="website28_9" localSheetId="26">'ppr2'!$A$1</definedName>
    <definedName name="website28_9" localSheetId="35">'ur2'!$A$1:$A$177</definedName>
    <definedName name="website29" localSheetId="32">'frr3'!$A$1:$A$289</definedName>
    <definedName name="website29" localSheetId="24">'pid3'!$A$1:$A$18</definedName>
    <definedName name="website29" localSheetId="27">'ppr3'!$A$1:$A$186</definedName>
    <definedName name="website29" localSheetId="36">'ur3'!$A$1</definedName>
    <definedName name="website29_1" localSheetId="32">'frr3'!$A$1:$A$289</definedName>
    <definedName name="website29_1" localSheetId="24">'pid3'!$A$1:$A$18</definedName>
    <definedName name="website29_1" localSheetId="27">'ppr3'!$A$1:$A$186</definedName>
    <definedName name="website29_1" localSheetId="36">'ur3'!$A$1:$A$177</definedName>
    <definedName name="website29_10" localSheetId="32">'frr3'!$A$1:$A$212</definedName>
    <definedName name="website29_10" localSheetId="24">'pid3'!$A$1:$A$18</definedName>
    <definedName name="website29_10" localSheetId="27">'ppr3'!$A$1:$A$186</definedName>
    <definedName name="website29_10" localSheetId="36">'ur3'!$A$1:$A$177</definedName>
    <definedName name="website29_11" localSheetId="32">'frr3'!$A$1:$A$212</definedName>
    <definedName name="website29_11" localSheetId="24">'pid3'!$A$1:$A$18</definedName>
    <definedName name="website29_11" localSheetId="27">'ppr3'!$A$1:$A$186</definedName>
    <definedName name="website29_11" localSheetId="36">'ur3'!$A$1:$A$170</definedName>
    <definedName name="website29_12" localSheetId="32">'frr3'!$A$1:$A$212</definedName>
    <definedName name="website29_12" localSheetId="24">'pid3'!$A$1:$A$18</definedName>
    <definedName name="website29_12" localSheetId="27">'ppr3'!$A$1:$A$186</definedName>
    <definedName name="website29_12" localSheetId="36">'ur3'!$A$1:$A$159</definedName>
    <definedName name="website29_13" localSheetId="32">'frr3'!$A$1:$A$212</definedName>
    <definedName name="website29_13" localSheetId="24">'pid3'!$A$1:$A$18</definedName>
    <definedName name="website29_13" localSheetId="27">'ppr3'!$A$1:$A$186</definedName>
    <definedName name="website29_13" localSheetId="36">'ur3'!$A$1:$A$159</definedName>
    <definedName name="website29_14" localSheetId="32">'frr3'!$A$1:$A$212</definedName>
    <definedName name="website29_14" localSheetId="24">'pid3'!$A$1:$A$18</definedName>
    <definedName name="website29_14" localSheetId="27">'ppr3'!$A$1:$A$186</definedName>
    <definedName name="website29_14" localSheetId="36">'ur3'!$A$1:$A$159</definedName>
    <definedName name="website29_15" localSheetId="32">'frr3'!$A$1:$A$212</definedName>
    <definedName name="website29_15" localSheetId="24">'pid3'!$A$1:$A$18</definedName>
    <definedName name="website29_15" localSheetId="27">'ppr3'!$A$1:$A$186</definedName>
    <definedName name="website29_16" localSheetId="32">'frr3'!$A$1:$A$212</definedName>
    <definedName name="website29_16" localSheetId="24">'pid3'!$A$1:$A$18</definedName>
    <definedName name="website29_16" localSheetId="27">'ppr3'!$A$1:$A$186</definedName>
    <definedName name="website29_17" localSheetId="32">'frr3'!$A$1:$A$212</definedName>
    <definedName name="website29_17" localSheetId="24">'pid3'!$A$1:$A$18</definedName>
    <definedName name="website29_17" localSheetId="27">'ppr3'!$A$1:$A$186</definedName>
    <definedName name="website29_18" localSheetId="32">'frr3'!$A$1:$A$212</definedName>
    <definedName name="website29_18" localSheetId="24">'pid3'!$A$1:$A$18</definedName>
    <definedName name="website29_18" localSheetId="27">'ppr3'!$A$1:$A$186</definedName>
    <definedName name="website29_19" localSheetId="24">'pid3'!$A$1:$A$18</definedName>
    <definedName name="website29_19" localSheetId="27">'ppr3'!$A$1:$A$186</definedName>
    <definedName name="website29_2" localSheetId="32">'frr3'!$A$1</definedName>
    <definedName name="website29_2" localSheetId="24">'pid3'!$A$1:$A$18</definedName>
    <definedName name="website29_2" localSheetId="27">'ppr3'!$A$1:$A$186</definedName>
    <definedName name="website29_2" localSheetId="36">'ur3'!$A$1:$A$177</definedName>
    <definedName name="website29_20" localSheetId="24">'pid3'!$A$1:$A$18</definedName>
    <definedName name="website29_20" localSheetId="27">'ppr3'!$A$1:$A$186</definedName>
    <definedName name="website29_21" localSheetId="24">'pid3'!$A$1:$A$18</definedName>
    <definedName name="website29_21" localSheetId="27">'ppr3'!$A$1:$A$186</definedName>
    <definedName name="website29_22" localSheetId="24">'pid3'!$A$1:$A$18</definedName>
    <definedName name="website29_22" localSheetId="27">'ppr3'!$A$1:$A$186</definedName>
    <definedName name="website29_23" localSheetId="24">'pid3'!$A$1:$A$18</definedName>
    <definedName name="website29_23" localSheetId="27">'ppr3'!$A$1:$A$186</definedName>
    <definedName name="website29_3" localSheetId="32">'frr3'!$A$1:$A$212</definedName>
    <definedName name="website29_3" localSheetId="24">'pid3'!$A$1:$A$18</definedName>
    <definedName name="website29_3" localSheetId="27">'ppr3'!$A$1:$A$289</definedName>
    <definedName name="website29_3" localSheetId="36">'ur3'!$A$1</definedName>
    <definedName name="website29_4" localSheetId="32">'frr3'!$A$1:$A$212</definedName>
    <definedName name="website29_4" localSheetId="24">'pid3'!$A$1:$A$18</definedName>
    <definedName name="website29_4" localSheetId="27">'ppr3'!$A$1:$A$186</definedName>
    <definedName name="website29_4" localSheetId="36">'ur3'!$A$1:$A$177</definedName>
    <definedName name="website29_5" localSheetId="32">'frr3'!$A$1</definedName>
    <definedName name="website29_5" localSheetId="24">'pid3'!$A$1:$A$18</definedName>
    <definedName name="website29_5" localSheetId="27">'ppr3'!$A$1:$A$186</definedName>
    <definedName name="website29_5" localSheetId="36">'ur3'!$A$1:$A$177</definedName>
    <definedName name="website29_6" localSheetId="32">'frr3'!$A$1:$A$212</definedName>
    <definedName name="website29_6" localSheetId="24">'pid3'!$A$1:$A$18</definedName>
    <definedName name="website29_6" localSheetId="27">'ppr3'!$A$1</definedName>
    <definedName name="website29_6" localSheetId="36">'ur3'!$A$1:$A$177</definedName>
    <definedName name="website29_7" localSheetId="32">'frr3'!$A$1:$A$212</definedName>
    <definedName name="website29_7" localSheetId="24">'pid3'!$A$1:$A$18</definedName>
    <definedName name="website29_7" localSheetId="27">'ppr3'!$A$1:$A$186</definedName>
    <definedName name="website29_7" localSheetId="36">'ur3'!$A$1:$A$177</definedName>
    <definedName name="website29_8" localSheetId="32">'frr3'!$A$1:$A$212</definedName>
    <definedName name="website29_8" localSheetId="24">'pid3'!$A$1:$A$18</definedName>
    <definedName name="website29_8" localSheetId="27">'ppr3'!$A$1:$A$186</definedName>
    <definedName name="website29_8" localSheetId="36">'ur3'!$A$1:$A$177</definedName>
    <definedName name="website29_9" localSheetId="32">'frr3'!$A$1:$A$212</definedName>
    <definedName name="website29_9" localSheetId="24">'pid3'!$A$1:$A$18</definedName>
    <definedName name="website29_9" localSheetId="27">'ppr3'!$A$1</definedName>
    <definedName name="website29_9" localSheetId="36">'ur3'!$A$1:$A$177</definedName>
    <definedName name="website3" localSheetId="48">'frr7'!$A$1:$A$310</definedName>
    <definedName name="website3" localSheetId="47">'pid7'!$A$1:$A$18</definedName>
    <definedName name="website3" localSheetId="46">'ppr7'!$A$1:$A$186</definedName>
    <definedName name="website3" localSheetId="49">'ur7'!$A$1:$A$198</definedName>
    <definedName name="website3_1" localSheetId="48">'frr7'!$A$1:$A$310</definedName>
    <definedName name="website3_1" localSheetId="47">'pid7'!$A$1:$A$18</definedName>
    <definedName name="website3_1" localSheetId="46">'ppr7'!$A$1:$A$186</definedName>
    <definedName name="website3_1" localSheetId="49">'ur7'!$A$1:$A$198</definedName>
    <definedName name="website30" localSheetId="33">'frr4'!$A$1:$A$289</definedName>
    <definedName name="website30" localSheetId="29">'pid4'!$A$1:$A$18</definedName>
    <definedName name="website30" localSheetId="28">'ppr4'!$A$1:$A$186</definedName>
    <definedName name="website30" localSheetId="37">'ur4'!$A$1</definedName>
    <definedName name="website30_1" localSheetId="33">'frr4'!$A$1:$A$289</definedName>
    <definedName name="website30_1" localSheetId="29">'pid4'!$A$1:$A$18</definedName>
    <definedName name="website30_1" localSheetId="28">'ppr4'!$A$1:$A$186</definedName>
    <definedName name="website30_1" localSheetId="37">'ur4'!$A$1:$A$177</definedName>
    <definedName name="website30_10" localSheetId="33">'frr4'!$A$1:$A$289</definedName>
    <definedName name="website30_10" localSheetId="29">'pid4'!$A$1:$A$18</definedName>
    <definedName name="website30_10" localSheetId="28">'ppr4'!$A$1:$A$186</definedName>
    <definedName name="website30_10" localSheetId="37">'ur4'!$A$1:$A$177</definedName>
    <definedName name="website30_11" localSheetId="33">'frr4'!$A$1:$A$289</definedName>
    <definedName name="website30_11" localSheetId="29">'pid4'!$A$1:$A$18</definedName>
    <definedName name="website30_11" localSheetId="28">'ppr4'!$A$1:$A$186</definedName>
    <definedName name="website30_11" localSheetId="37">'ur4'!$A$1:$A$170</definedName>
    <definedName name="website30_12" localSheetId="33">'frr4'!$A$1:$A$289</definedName>
    <definedName name="website30_12" localSheetId="29">'pid4'!$A$1:$A$18</definedName>
    <definedName name="website30_12" localSheetId="28">'ppr4'!$A$1:$A$186</definedName>
    <definedName name="website30_12" localSheetId="37">'ur4'!$A$1:$A$177</definedName>
    <definedName name="website30_13" localSheetId="33">'frr4'!$A$1:$A$289</definedName>
    <definedName name="website30_13" localSheetId="29">'pid4'!$A$1:$A$18</definedName>
    <definedName name="website30_13" localSheetId="28">'ppr4'!$A$1:$A$186</definedName>
    <definedName name="website30_13" localSheetId="37">'ur4'!$A$1:$A$177</definedName>
    <definedName name="website30_14" localSheetId="33">'frr4'!$A$1:$A$289</definedName>
    <definedName name="website30_14" localSheetId="29">'pid4'!$A$1:$A$18</definedName>
    <definedName name="website30_14" localSheetId="28">'ppr4'!$A$1:$A$186</definedName>
    <definedName name="website30_14" localSheetId="37">'ur4'!$A$1:$A$177</definedName>
    <definedName name="website30_15" localSheetId="33">'frr4'!$A$1:$A$289</definedName>
    <definedName name="website30_15" localSheetId="29">'pid4'!$A$1:$A$18</definedName>
    <definedName name="website30_15" localSheetId="28">'ppr4'!$A$1:$A$186</definedName>
    <definedName name="website30_16" localSheetId="33">'frr4'!$A$1:$A$289</definedName>
    <definedName name="website30_16" localSheetId="29">'pid4'!$A$1:$A$18</definedName>
    <definedName name="website30_16" localSheetId="28">'ppr4'!$A$1:$A$186</definedName>
    <definedName name="website30_17" localSheetId="33">'frr4'!$A$1:$A$289</definedName>
    <definedName name="website30_17" localSheetId="29">'pid4'!$A$1:$A$18</definedName>
    <definedName name="website30_17" localSheetId="28">'ppr4'!$A$1:$A$186</definedName>
    <definedName name="website30_18" localSheetId="33">'frr4'!$A$1:$A$289</definedName>
    <definedName name="website30_18" localSheetId="29">'pid4'!$A$1:$A$18</definedName>
    <definedName name="website30_18" localSheetId="28">'ppr4'!$A$1:$A$186</definedName>
    <definedName name="website30_19" localSheetId="29">'pid4'!$A$1:$A$18</definedName>
    <definedName name="website30_19" localSheetId="28">'ppr4'!$A$1:$A$186</definedName>
    <definedName name="website30_2" localSheetId="33">'frr4'!$A$1</definedName>
    <definedName name="website30_2" localSheetId="29">'pid4'!$A$1:$A$18</definedName>
    <definedName name="website30_2" localSheetId="28">'ppr4'!$A$1:$A$186</definedName>
    <definedName name="website30_2" localSheetId="37">'ur4'!$A$1:$A$177</definedName>
    <definedName name="website30_20" localSheetId="29">'pid4'!$A$1:$A$18</definedName>
    <definedName name="website30_20" localSheetId="28">'ppr4'!$A$1:$A$186</definedName>
    <definedName name="website30_21" localSheetId="29">'pid4'!$A$1:$A$18</definedName>
    <definedName name="website30_21" localSheetId="28">'ppr4'!$A$1:$A$186</definedName>
    <definedName name="website30_22" localSheetId="29">'pid4'!$A$1:$A$18</definedName>
    <definedName name="website30_22" localSheetId="28">'ppr4'!$A$1:$A$186</definedName>
    <definedName name="website30_23" localSheetId="28">'ppr4'!$A$1:$A$186</definedName>
    <definedName name="website30_3" localSheetId="33">'frr4'!$A$1:$A$289</definedName>
    <definedName name="website30_3" localSheetId="29">'pid4'!$A$1:$A$18</definedName>
    <definedName name="website30_3" localSheetId="28">'ppr4'!$A$1:$A$289</definedName>
    <definedName name="website30_3" localSheetId="37">'ur4'!$A$1</definedName>
    <definedName name="website30_4" localSheetId="33">'frr4'!$A$1:$A$289</definedName>
    <definedName name="website30_4" localSheetId="29">'pid4'!$A$1:$A$18</definedName>
    <definedName name="website30_4" localSheetId="28">'ppr4'!$A$1:$A$186</definedName>
    <definedName name="website30_4" localSheetId="37">'ur4'!$A$1:$A$177</definedName>
    <definedName name="website30_5" localSheetId="33">'frr4'!$A$1</definedName>
    <definedName name="website30_5" localSheetId="29">'pid4'!$A$1:$A$18</definedName>
    <definedName name="website30_5" localSheetId="28">'ppr4'!$A$1:$A$186</definedName>
    <definedName name="website30_5" localSheetId="37">'ur4'!$A$1:$A$177</definedName>
    <definedName name="website30_6" localSheetId="33">'frr4'!$A$1:$A$289</definedName>
    <definedName name="website30_6" localSheetId="29">'pid4'!$A$1:$A$18</definedName>
    <definedName name="website30_6" localSheetId="28">'ppr4'!$A$1</definedName>
    <definedName name="website30_6" localSheetId="37">'ur4'!$A$1:$A$177</definedName>
    <definedName name="website30_7" localSheetId="33">'frr4'!$A$1:$A$289</definedName>
    <definedName name="website30_7" localSheetId="29">'pid4'!$A$1:$A$18</definedName>
    <definedName name="website30_7" localSheetId="28">'ppr4'!$A$1:$A$186</definedName>
    <definedName name="website30_7" localSheetId="37">'ur4'!$A$1:$A$177</definedName>
    <definedName name="website30_8" localSheetId="33">'frr4'!$A$1:$A$289</definedName>
    <definedName name="website30_8" localSheetId="29">'pid4'!$A$1:$A$18</definedName>
    <definedName name="website30_8" localSheetId="28">'ppr4'!$A$1:$A$186</definedName>
    <definedName name="website30_8" localSheetId="37">'ur4'!$A$1:$A$177</definedName>
    <definedName name="website30_9" localSheetId="33">'frr4'!$A$1:$A$289</definedName>
    <definedName name="website30_9" localSheetId="29">'pid4'!$A$1:$A$18</definedName>
    <definedName name="website30_9" localSheetId="28">'ppr4'!$A$1</definedName>
    <definedName name="website30_9" localSheetId="37">'ur4'!$A$1:$A$177</definedName>
    <definedName name="website4" localSheetId="30">'frr1'!$A$1:$A$254</definedName>
    <definedName name="website4" localSheetId="22">'pid1'!$A$1:$A$18</definedName>
    <definedName name="website4" localSheetId="25">'ppr1'!$A$1:$A$186</definedName>
    <definedName name="website4" localSheetId="34">'ur1'!$A$1:$A$199</definedName>
    <definedName name="website4_1" localSheetId="30">'frr1'!$A$1:$A$254</definedName>
    <definedName name="website4_1" localSheetId="22">'pid1'!$A$1:$A$18</definedName>
    <definedName name="website4_1" localSheetId="25">'ppr1'!$A$1:$A$186</definedName>
    <definedName name="website4_1" localSheetId="34">'ur1'!$A$1:$A$199</definedName>
    <definedName name="website4_2" localSheetId="30">'frr1'!$A$1:$A$254</definedName>
    <definedName name="website4_2" localSheetId="22">'pid1'!$A$1:$A$18</definedName>
    <definedName name="website4_2" localSheetId="25">'ppr1'!$A$1:$A$186</definedName>
    <definedName name="website4_2" localSheetId="34">'ur1'!$A$1:$A$199</definedName>
    <definedName name="website4_3" localSheetId="30">'frr1'!$A$1:$A$254</definedName>
    <definedName name="website4_3" localSheetId="22">'pid1'!$A$1:$A$18</definedName>
    <definedName name="website4_3" localSheetId="25">'ppr1'!$A$1:$A$186</definedName>
    <definedName name="website4_3" localSheetId="34">'ur1'!$A$1:$A$199</definedName>
    <definedName name="website5" localSheetId="31">'frr2'!$A$1:$A$218</definedName>
    <definedName name="website5" localSheetId="23">'pid2'!$A$1:$A$18</definedName>
    <definedName name="website5" localSheetId="26">'ppr2'!$A$1:$A$186</definedName>
    <definedName name="website5" localSheetId="35">'ur2'!$A$1:$A$169</definedName>
    <definedName name="website5_1" localSheetId="31">'frr2'!$A$1:$A$218</definedName>
    <definedName name="website5_1" localSheetId="23">'pid2'!$A$1:$A$18</definedName>
    <definedName name="website5_1" localSheetId="26">'ppr2'!$A$1:$A$186</definedName>
    <definedName name="website5_1" localSheetId="35">'ur2'!$A$1:$A$169</definedName>
    <definedName name="website5_2" localSheetId="31">'frr2'!$A$1:$A$218</definedName>
    <definedName name="website5_2" localSheetId="23">'pid2'!$A$1:$A$18</definedName>
    <definedName name="website5_2" localSheetId="26">'ppr2'!$A$1:$A$186</definedName>
    <definedName name="website5_2" localSheetId="35">'ur2'!$A$1:$A$169</definedName>
    <definedName name="website5_3" localSheetId="31">'frr2'!$A$1:$A$218</definedName>
    <definedName name="website5_3" localSheetId="23">'pid2'!$A$1:$A$18</definedName>
    <definedName name="website5_3" localSheetId="26">'ppr2'!$A$1:$A$186</definedName>
    <definedName name="website5_3" localSheetId="35">'ur2'!$A$1:$A$169</definedName>
    <definedName name="website6" localSheetId="32">'frr3'!$A$1:$A$248</definedName>
    <definedName name="website6" localSheetId="24">'pid3'!$A$1:$A$18</definedName>
    <definedName name="website6" localSheetId="27">'ppr3'!$A$1:$A$186</definedName>
    <definedName name="website6" localSheetId="36">'ur3'!$A$1:$A$180</definedName>
    <definedName name="website6_1" localSheetId="32">'frr3'!$A$1:$A$248</definedName>
    <definedName name="website6_1" localSheetId="24">'pid3'!$A$1:$A$18</definedName>
    <definedName name="website6_1" localSheetId="27">'ppr3'!$A$1:$A$186</definedName>
    <definedName name="website6_1" localSheetId="36">'ur3'!$A$1:$A$180</definedName>
    <definedName name="website6_2" localSheetId="32">'frr3'!$A$1</definedName>
    <definedName name="website6_2" localSheetId="24">'pid3'!$A$1:$A$18</definedName>
    <definedName name="website6_2" localSheetId="27">'ppr3'!$A$1</definedName>
    <definedName name="website6_2" localSheetId="36">'ur3'!$A$1</definedName>
    <definedName name="website6_3" localSheetId="32">'frr3'!$A$1:$A$248</definedName>
    <definedName name="website6_3" localSheetId="24">'pid3'!$A$1:$A$18</definedName>
    <definedName name="website6_3" localSheetId="27">'ppr3'!$A$1:$A$186</definedName>
    <definedName name="website6_3" localSheetId="36">'ur3'!$A$1:$A$180</definedName>
    <definedName name="website7" localSheetId="33">'frr4'!$A$1:$A$247</definedName>
    <definedName name="website7" localSheetId="29">'pid4'!$A$1:$A$18</definedName>
    <definedName name="website7" localSheetId="28">'ppr4'!$A$1:$A$186</definedName>
    <definedName name="website7" localSheetId="37">'ur4'!$A$1:$A$160</definedName>
    <definedName name="website7_1" localSheetId="33">'frr4'!$A$1:$A$247</definedName>
    <definedName name="website7_1" localSheetId="29">'pid4'!$A$1:$A$18</definedName>
    <definedName name="website7_1" localSheetId="28">'ppr4'!$A$1:$A$186</definedName>
    <definedName name="website7_1" localSheetId="37">'ur4'!$A$1:$A$160</definedName>
    <definedName name="website7_2" localSheetId="33">'frr4'!$A$1</definedName>
    <definedName name="website7_2" localSheetId="29">'pid4'!$A$1:$A$18</definedName>
    <definedName name="website7_2" localSheetId="28">'ppr4'!$A$1</definedName>
    <definedName name="website7_2" localSheetId="37">'ur4'!$A$1</definedName>
    <definedName name="website7_3" localSheetId="33">'frr4'!$A$1:$A$247</definedName>
    <definedName name="website7_3" localSheetId="29">'pid4'!$A$1:$A$18</definedName>
    <definedName name="website7_3" localSheetId="28">'ppr4'!$A$1:$A$186</definedName>
    <definedName name="website7_3" localSheetId="37">'ur4'!$A$1:$A$160</definedName>
    <definedName name="website8" localSheetId="40">'frr5'!$A$1:$A$275</definedName>
    <definedName name="website8" localSheetId="39">'pid5'!$A$1:$A$18</definedName>
    <definedName name="website8" localSheetId="38">'ppr5'!$A$1:$A$186</definedName>
    <definedName name="website8" localSheetId="41">'ur5'!$A$1:$A$191</definedName>
    <definedName name="website8_1" localSheetId="40">'frr5'!$A$1:$A$275</definedName>
    <definedName name="website8_1" localSheetId="39">'pid5'!$A$1:$A$18</definedName>
    <definedName name="website8_1" localSheetId="38">'ppr5'!$A$1:$A$186</definedName>
    <definedName name="website8_1" localSheetId="41">'ur5'!$A$1:$A$191</definedName>
    <definedName name="website8_2" localSheetId="40">'frr5'!$A$1</definedName>
    <definedName name="website8_2" localSheetId="39">'pid5'!$A$1:$A$18</definedName>
    <definedName name="website8_2" localSheetId="38">'ppr5'!$A$1</definedName>
    <definedName name="website8_2" localSheetId="41">'ur5'!$A$1</definedName>
    <definedName name="website8_3" localSheetId="40">'frr5'!$A$1:$A$275</definedName>
    <definedName name="website8_3" localSheetId="39">'pid5'!$A$1:$A$18</definedName>
    <definedName name="website8_3" localSheetId="38">'ppr5'!$A$1:$A$186</definedName>
    <definedName name="website8_3" localSheetId="41">'ur5'!$A$1:$A$191</definedName>
    <definedName name="website9" localSheetId="44">'frr6'!$A$1:$A$275</definedName>
    <definedName name="website9" localSheetId="43">'pid6'!$A$1:$A$18</definedName>
    <definedName name="website9" localSheetId="42">'ppr6'!$A$1:$A$186</definedName>
    <definedName name="website9" localSheetId="45">'ur6'!$A$1:$A$171</definedName>
    <definedName name="website9_1" localSheetId="44">'frr6'!$A$1:$A$275</definedName>
    <definedName name="website9_1" localSheetId="43">'pid6'!$A$1:$A$18</definedName>
    <definedName name="website9_1" localSheetId="42">'ppr6'!$A$1:$A$186</definedName>
    <definedName name="website9_1" localSheetId="45">'ur6'!$A$1:$A$171</definedName>
    <definedName name="website9_2" localSheetId="44">'frr6'!$A$1</definedName>
    <definedName name="website9_2" localSheetId="43">'pid6'!$A$1:$A$18</definedName>
    <definedName name="website9_2" localSheetId="42">'ppr6'!$A$1</definedName>
    <definedName name="website9_2" localSheetId="45">'ur6'!$A$1</definedName>
    <definedName name="website9_3" localSheetId="44">'frr6'!$A$1:$A$275</definedName>
    <definedName name="website9_3" localSheetId="43">'pid6'!$A$1:$A$18</definedName>
    <definedName name="website9_3" localSheetId="42">'ppr6'!$A$1:$A$186</definedName>
    <definedName name="website9_3" localSheetId="45">'ur6'!$A$1:$A$171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" name="Connection1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" name="Connection101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6" name="Connection102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" name="Connection103" type="4" refreshedVersion="0" background="1" saveData="1">
    <webPr sourceData="1" parsePre="1" consecutive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1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" name="Connection105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0" name="Connection106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" name="Connection107" type="4" refreshedVersion="0" background="1" saveData="1">
    <webPr sourceData="1" parsePre="1" consecutive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1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" name="Connection10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4" name="Connection1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" name="Connection110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" name="Connection11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" name="Connection1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" name="Connection1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9" name="Connection11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0" name="Connection11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" name="Connection1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" name="Connection1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3" name="Connection11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4" name="Connection11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" name="Connection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" name="Connection1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" name="Connection1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8" name="Connection12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9" name="Connection12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" name="Connection1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" name="Connection1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2" name="Connection12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3" name="Connection12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" name="Connection1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" name="Connection1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36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" name="Connection13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8" name="Connection13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" name="Connection1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" name="Connection1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41" name="Connection13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42" name="Connection13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" name="Connection1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" name="Connection1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45" name="Connection13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46" name="Connection13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" name="Connection1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" name="Connection1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" name="Connection1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0" name="Connection14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51" name="Connection14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" name="Connection1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" name="Connection1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4" name="Connection146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55" name="Connection14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6" name="Connection1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7" name="Connection1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8" name="Connection1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9" name="Connection150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0" name="Connection15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1" name="Connection1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2" name="Connection1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63" name="Connection154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4" name="Connection155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5" name="Connection1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66" name="Connection1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67" name="Connection158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27&amp;endHour=18&amp;endMinute=0" htmlTables="1">
      <tables count="1">
        <x v="2"/>
      </tables>
    </webPr>
  </connection>
  <connection id="68" name="Connection15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9" name="Connection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0" name="Connection1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1" name="Connection1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72" name="Connection16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3" name="Connection16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4" name="Connection1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5" name="Connection1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76" name="Connection16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77" name="Connection16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8" name="Connection1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79" name="Connection1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80" name="Connection1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1" name="Connection17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82" name="Connection17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3" name="Connection1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4" name="Connection1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85" name="Connection17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86" name="Connection17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7" name="Connection1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88" name="Connection1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89" name="Connection17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0" name="Connection17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1" name="Connection1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2" name="Connection1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3" name="Connection1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94" name="Connection18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5" name="Connection18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6" name="Connection1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97" name="Connection1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98" name="Connection18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99" name="Connection18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0" name="Connection1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1" name="Connection18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02" name="Connection1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3" name="Connection19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04" name="Connection19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5" name="Connection1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06" name="Connection19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07" name="Connection19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08" name="Connection19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9" name="Connection1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0" name="Connection1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11" name="Connection19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2" name="Connection19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3" name="Connection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4" name="Connection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5" name="Connection2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16" name="Connection20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17" name="Connection20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18" name="Connection20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9" name="Connection2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0" name="Connection20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21" name="Connection20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22" name="Connection20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3" name="Connection2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4" name="Connection20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25" name="Connection2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6" name="Connection21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27" name="Connection21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8" name="Connection2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29" name="Connection2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30" name="Connection21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31" name="Connection21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2" name="Connection2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3" name="Connection2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34" name="Connection21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35" name="Connection21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6" name="Connection2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7" name="Connection2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38" name="Connection2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39" name="Connection22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0" name="Connection22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1" name="Connection22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2" name="Connection22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3" name="Connection22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4" name="Connection22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5" name="Connection22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6" name="Connection22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7" name="Connection2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8" name="Connection23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49" name="Connection23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0" name="Connection2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1" name="Connection2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52" name="Connection23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53" name="Connection23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4" name="Connection2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5" name="Connection2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56" name="Connection23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57" name="Connection23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8" name="Connection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59" name="Connection2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0" name="Connection2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61" name="Connection24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2" name="Connection24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3" name="Connection2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4" name="Connection2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65" name="Connection246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66" name="Connection24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7" name="Connection2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68" name="Connection2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69" name="Connection2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0" name="Connection25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1" name="Connection25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2" name="Connection2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3" name="Connection2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74" name="Connection25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5" name="Connection255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6" name="Connection2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77" name="Connection2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78" name="Connection258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79" name="Connection25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0" name="Connection2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1" name="Connection2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2" name="Connection2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183" name="Connection262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184" name="Connection26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5" name="Connection2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86" name="Connection2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187" name="Connection266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88" name="Connection267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9" name="Connection2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0" name="Connection2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191" name="Connection2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2" name="Connection270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93" name="Connection27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4" name="Connection2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5" name="Connection2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196" name="Connection274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197" name="Connection275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8" name="Connection2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199" name="Connection2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00" name="Connection278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01" name="Connection27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2" name="Connection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3" name="Connection2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4" name="Connection2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05" name="Connection282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06" name="Connection283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7" name="Connection2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08" name="Connection2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09" name="Connection286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210" name="Connection28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1" name="Connection2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12" name="Connection28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13" name="Connection29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4" name="Connection290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215" name="Connection291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6" name="Connection2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17" name="Connection29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18" name="Connection294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19" name="Connection29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0" name="Connection2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1" name="Connection2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222" name="Connection298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223" name="Connection29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4" name="Connection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5" name="Connection3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6" name="Connection3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27" name="Connection30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228" name="Connection302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229" name="Connection30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0" name="Connection3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1" name="Connection30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232" name="Connection306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233" name="Connection30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4" name="Connection3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5" name="Connection30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36" name="Connection3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37" name="Connection31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238" name="Connection311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39" name="Connection3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1T14%3A00%3A00Z&amp;EndTime1=2020-10-0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0" name="Connection3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1&amp;maxIntradayDays=1&amp;startHourIntraday=0&amp;startMinuteIntraday=0&amp;endHourIntraday=0&amp;endMinuteIntraday=0" htmlTables="1">
      <tables count="1">
        <x v="2"/>
      </tables>
    </webPr>
  </connection>
  <connection id="241" name="Connection314" type="4" refreshedVersion="6" background="1" saveData="1">
    <webPr sourceData="1" parsePre="1" consecutive="1" xl2000="1" url="https://fclm-portal.amazon.com/reports/unitsRollup?reportFormat=CSV&amp;warehouseId=KRB1&amp;jobAction=ItemPicked&amp;startDate=2020%2F10%2F01&amp;startHour=7&amp;startMinute=0&amp;endDate=2020%2F10%2F01&amp;endHour=18&amp;endMinute=0" htmlTables="1">
      <tables count="1">
        <x v="2"/>
      </tables>
    </webPr>
  </connection>
  <connection id="242" name="Connection315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3" name="Connection3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2T14%3A00%3A00Z&amp;EndTime1=2020-10-0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4" name="Connection3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2&amp;maxIntradayDays=1&amp;startHourIntraday=0&amp;startMinuteIntraday=0&amp;endHourIntraday=0&amp;endMinuteIntraday=0" htmlTables="1">
      <tables count="1">
        <x v="2"/>
      </tables>
    </webPr>
  </connection>
  <connection id="245" name="Connection318" type="4" refreshedVersion="6" background="1" saveData="1">
    <webPr sourceData="1" parsePre="1" consecutive="1" xl2000="1" url="https://fclm-portal.amazon.com/reports/unitsRollup?reportFormat=CSV&amp;warehouseId=KRB1&amp;jobAction=ItemPicked&amp;startDate=2020%2F10%2F02&amp;startHour=7&amp;startMinute=0&amp;endDate=2020%2F10%2F02&amp;endHour=18&amp;endMinute=0" htmlTables="1">
      <tables count="1">
        <x v="2"/>
      </tables>
    </webPr>
  </connection>
  <connection id="246" name="Connection319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47" name="Connection3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48" name="Connection3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3T14%3A00%3A00Z&amp;EndTime1=2020-10-0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9" name="Connection3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3&amp;maxIntradayDays=1&amp;startHourIntraday=0&amp;startMinuteIntraday=0&amp;endHourIntraday=0&amp;endMinuteIntraday=0" htmlTables="1">
      <tables count="1">
        <x v="2"/>
      </tables>
    </webPr>
  </connection>
  <connection id="250" name="Connection322" type="4" refreshedVersion="6" background="1" saveData="1">
    <webPr sourceData="1" parsePre="1" consecutive="1" xl2000="1" url="https://fclm-portal.amazon.com/reports/unitsRollup?reportFormat=CSV&amp;warehouseId=KRB1&amp;jobAction=ItemPicked&amp;startDate=2020%2F10%2F03&amp;startHour=7&amp;startMinute=0&amp;endDate=2020%2F10%2F03&amp;endHour=18&amp;endMinute=0" htmlTables="1">
      <tables count="1">
        <x v="2"/>
      </tables>
    </webPr>
  </connection>
  <connection id="251" name="Connection323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2" name="Connection3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53" name="Connection3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254" name="Connection326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255" name="Connection327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6" name="Connection3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57" name="Connection3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258" name="Connection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59" name="Connection330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260" name="Connection331" type="4" refreshedVersion="6" background="1" saveData="1">
    <webPr sourceData="1" parsePre="1" consecutive="1" xl2000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1" name="Connection3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2" name="Connection3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263" name="Connection334" type="4" refreshedVersion="6" background="1" saveData="1">
    <webPr sourceData="1" parsePre="1" consecutive="1" xl2000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264" name="Connection335" type="4" refreshedVersion="6" background="1" saveData="1">
    <webPr sourceData="1" parsePre="1" consecutive="1" xl2000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5" name="Connection3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6" name="Connection3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267" name="Connection338" type="4" refreshedVersion="6" background="1" saveData="1">
    <webPr sourceData="1" parsePre="1" consecutive="1" xl2000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268" name="Connection339" type="4" refreshedVersion="6" background="1" saveData="1">
    <webPr sourceData="1" parsePre="1" consecutive="1" xl2000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69" name="Connection34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270" name="Connection3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1" name="Connection3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272" name="Connection342" type="4" refreshedVersion="6" background="1" saveData="1">
    <webPr sourceData="1" parsePre="1" consecutive="1" xl2000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273" name="Connection343" type="4" refreshedVersion="6" background="1" saveData="1">
    <webPr sourceData="1" parsePre="1" consecutive="1" xl2000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4" name="Connection3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5" name="Connection3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276" name="Connection346" type="4" refreshedVersion="6" background="1" saveData="1">
    <webPr sourceData="1" parsePre="1" consecutive="1" xl2000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277" name="Connection347" type="4" refreshedVersion="6" background="1" saveData="1">
    <webPr sourceData="1" parsePre="1" consecutive="1" xl2000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78" name="Connection3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9" name="Connection3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280" name="Connection3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1" name="Connection350" type="4" refreshedVersion="6" background="1" saveData="1">
    <webPr sourceData="1" parsePre="1" consecutive="1" xl2000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282" name="Connection351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3" name="Connection3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4" name="Connection3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285" name="Connection354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286" name="Connection355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87" name="Connection3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8" name="Connection3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289" name="Connection358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290" name="Connection359" type="4" refreshedVersion="6" background="1" saveData="1">
    <webPr sourceData="1" parsePre="1" consecutive="1" xl2000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1" name="Connection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2" name="Connection3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3" name="Connection3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294" name="Connection362" type="4" refreshedVersion="6" background="1" saveData="1">
    <webPr sourceData="1" parsePre="1" consecutive="1" xl2000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295" name="Connection363" type="4" refreshedVersion="6" background="1" saveData="1">
    <webPr sourceData="1" parsePre="1" consecutive="1" xl2000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96" name="Connection3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7" name="Connection3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298" name="Connection366" type="4" refreshedVersion="6" background="1" saveData="1">
    <webPr sourceData="1" parsePre="1" consecutive="1" xl2000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299" name="Connection367" type="4" refreshedVersion="6" background="1" saveData="1">
    <webPr sourceData="1" parsePre="1" consecutive="1" xl2000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0" name="Connection3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01" name="Connection3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302" name="Connection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03" name="Connection370" type="4" refreshedVersion="6" background="1" saveData="1">
    <webPr sourceData="1" parsePre="1" consecutive="1" xl2000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304" name="Connection371" type="4" refreshedVersion="6" background="1" saveData="1">
    <webPr sourceData="1" parsePre="1" consecutive="1" xl2000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5" name="Connection3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06" name="Connection3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307" name="Connection374" type="4" refreshedVersion="6" background="1" saveData="1">
    <webPr sourceData="1" parsePre="1" consecutive="1" xl2000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308" name="Connection375" type="4" refreshedVersion="6" background="1" saveData="1">
    <webPr sourceData="1" parsePre="1" consecutive="1" xl2000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09" name="Connection3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0" name="Connection3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311" name="Connection378" type="4" refreshedVersion="6" background="1" saveData="1">
    <webPr sourceData="1" parsePre="1" consecutive="1" xl2000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312" name="Connection379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3" name="Connection38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4" name="Connection3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5" name="Connection3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316" name="Connection382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317" name="Connection383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8" name="Connection3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19" name="Connection3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320" name="Connection386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321" name="Connection387" type="4" refreshedVersion="0" background="1" saveData="1">
    <webPr sourceData="1" parsePre="1" consecutive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22" name="Connection3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23" name="Connection389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324" name="Connection3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25" name="Connection390" type="4" refreshedVersion="0" background="1" saveData="1">
    <webPr sourceData="1" parsePre="1" consecutive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326" name="Connection391" type="4" refreshedVersion="0" background="1" saveData="1">
    <webPr sourceData="1" parsePre="1" consecutive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27" name="Connection3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28" name="Connection393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329" name="Connection394" type="4" refreshedVersion="0" background="1" saveData="1">
    <webPr sourceData="1" parsePre="1" consecutive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330" name="Connection395" type="4" refreshedVersion="0" background="1" saveData="1">
    <webPr sourceData="1" parsePre="1" consecutive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31" name="Connection3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32" name="Connection397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333" name="Connection398" type="4" refreshedVersion="0" background="1" saveData="1">
    <webPr sourceData="1" parsePre="1" consecutive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334" name="Connection399" type="4" refreshedVersion="0" background="1" saveData="1">
    <webPr sourceData="1" parsePre="1" consecutive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35" name="Connection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36" name="Connection40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37" name="Connection4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38" name="Connection401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339" name="Connection402" type="4" refreshedVersion="0" background="1" saveData="1">
    <webPr sourceData="1" parsePre="1" consecutive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340" name="Connection403" type="4" refreshedVersion="0" background="1" saveData="1">
    <webPr sourceData="1" parsePre="1" consecutive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1" name="Connection4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42" name="Connection405" type="4" refreshedVersion="0" background="1" saveData="1">
    <webPr sourceData="1" parsePre="1" consecutive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343" name="Connection406" type="4" refreshedVersion="0" background="1" saveData="1">
    <webPr sourceData="1" parsePre="1" consecutive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344" name="Connection407" type="4" refreshedVersion="6" background="1" saveData="1">
    <webPr sourceData="1" parsePre="1" consecutive="1" xl2000="1" url="https://fclm-portal.amazon.com/reports/processPathRollup?reportFormat=CSV&amp;warehouseId=KRB1&amp;spanType=Day&amp;startDateDay=2020%2F10%2F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5" name="Connection4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4T14%3A00%3A00Z&amp;EndTime1=2020-10-0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46" name="Connection40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4&amp;maxIntradayDays=1&amp;startHourIntraday=0&amp;startMinuteIntraday=0&amp;endHourIntraday=0&amp;endMinuteIntraday=0" htmlTables="1">
      <tables count="1">
        <x v="2"/>
      </tables>
    </webPr>
  </connection>
  <connection id="347" name="Connection41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8" name="Connection410" type="4" refreshedVersion="6" background="1" saveData="1">
    <webPr sourceData="1" parsePre="1" consecutive="1" xl2000="1" url="https://fclm-portal.amazon.com/reports/unitsRollup?reportFormat=CSV&amp;warehouseId=KRB1&amp;jobAction=ItemPicked&amp;startDate=2020%2F10%2F04&amp;startHour=7&amp;startMinute=0&amp;endDate=2020%2F10%2F04&amp;endHour=18&amp;endMinute=0" htmlTables="1">
      <tables count="1">
        <x v="2"/>
      </tables>
    </webPr>
  </connection>
  <connection id="349" name="Connection411" type="4" refreshedVersion="6" background="1" saveData="1">
    <webPr sourceData="1" parsePre="1" consecutive="1" xl2000="1" url="https://fclm-portal.amazon.com/reports/processPathRollup?reportFormat=CSV&amp;warehouseId=KRB1&amp;spanType=Day&amp;startDateDay=2020%2F10%2F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0" name="Connection4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5T14%3A00%3A00Z&amp;EndTime1=2020-10-0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1" name="Connection41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5&amp;maxIntradayDays=1&amp;startHourIntraday=0&amp;startMinuteIntraday=0&amp;endHourIntraday=0&amp;endMinuteIntraday=0" htmlTables="1">
      <tables count="1">
        <x v="2"/>
      </tables>
    </webPr>
  </connection>
  <connection id="352" name="Connection414" type="4" refreshedVersion="6" background="1" saveData="1">
    <webPr sourceData="1" parsePre="1" consecutive="1" xl2000="1" url="https://fclm-portal.amazon.com/reports/unitsRollup?reportFormat=CSV&amp;warehouseId=KRB1&amp;jobAction=ItemPicked&amp;startDate=2020%2F10%2F05&amp;startHour=7&amp;startMinute=0&amp;endDate=2020%2F10%2F05&amp;endHour=18&amp;endMinute=0" htmlTables="1">
      <tables count="1">
        <x v="2"/>
      </tables>
    </webPr>
  </connection>
  <connection id="353" name="Connection415" type="4" refreshedVersion="6" background="1" saveData="1">
    <webPr sourceData="1" parsePre="1" consecutive="1" xl2000="1" url="https://fclm-portal.amazon.com/reports/processPathRollup?reportFormat=CSV&amp;warehouseId=KRB1&amp;spanType=Day&amp;startDateDay=2020%2F10%2F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4" name="Connection4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6T14%3A00%3A00Z&amp;EndTime1=2020-10-0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5" name="Connection41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6&amp;maxIntradayDays=1&amp;startHourIntraday=0&amp;startMinuteIntraday=0&amp;endHourIntraday=0&amp;endMinuteIntraday=0" htmlTables="1">
      <tables count="1">
        <x v="2"/>
      </tables>
    </webPr>
  </connection>
  <connection id="356" name="Connection418" type="4" refreshedVersion="6" background="1" saveData="1">
    <webPr sourceData="1" parsePre="1" consecutive="1" xl2000="1" url="https://fclm-portal.amazon.com/reports/unitsRollup?reportFormat=CSV&amp;warehouseId=KRB1&amp;jobAction=ItemPicked&amp;startDate=2020%2F10%2F06&amp;startHour=7&amp;startMinute=0&amp;endDate=2020%2F10%2F06&amp;endHour=18&amp;endMinute=0" htmlTables="1">
      <tables count="1">
        <x v="2"/>
      </tables>
    </webPr>
  </connection>
  <connection id="357" name="Connection419" type="4" refreshedVersion="6" background="1" saveData="1">
    <webPr sourceData="1" parsePre="1" consecutive="1" xl2000="1" url="https://fclm-portal.amazon.com/reports/processPathRollup?reportFormat=CSV&amp;warehouseId=KRB1&amp;spanType=Day&amp;startDateDay=2020%2F10%2F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8" name="Connection4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59" name="Connection4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7T14%3A00%3A00Z&amp;EndTime1=2020-10-0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60" name="Connection4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7&amp;maxIntradayDays=1&amp;startHourIntraday=0&amp;startMinuteIntraday=0&amp;endHourIntraday=0&amp;endMinuteIntraday=0" htmlTables="1">
      <tables count="1">
        <x v="2"/>
      </tables>
    </webPr>
  </connection>
  <connection id="361" name="Connection422" type="4" refreshedVersion="6" background="1" saveData="1">
    <webPr sourceData="1" parsePre="1" consecutive="1" xl2000="1" url="https://fclm-portal.amazon.com/reports/unitsRollup?reportFormat=CSV&amp;warehouseId=KRB1&amp;jobAction=ItemPicked&amp;startDate=2020%2F10%2F07&amp;startHour=7&amp;startMinute=0&amp;endDate=2020%2F10%2F07&amp;endHour=18&amp;endMinute=0" htmlTables="1">
      <tables count="1">
        <x v="2"/>
      </tables>
    </webPr>
  </connection>
  <connection id="362" name="Connection423" type="4" refreshedVersion="6" background="1" saveData="1">
    <webPr sourceData="1" parsePre="1" consecutive="1" xl2000="1" url="https://fclm-portal.amazon.com/reports/processPathRollup?reportFormat=CSV&amp;warehouseId=KRB1&amp;spanType=Day&amp;startDateDay=2020%2F10%2F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63" name="Connection4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8T14%3A00%3A00Z&amp;EndTime1=2020-10-0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64" name="Connection4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8&amp;maxIntradayDays=1&amp;startHourIntraday=0&amp;startMinuteIntraday=0&amp;endHourIntraday=0&amp;endMinuteIntraday=0" htmlTables="1">
      <tables count="1">
        <x v="2"/>
      </tables>
    </webPr>
  </connection>
  <connection id="365" name="Connection426" type="4" refreshedVersion="6" background="1" saveData="1">
    <webPr sourceData="1" parsePre="1" consecutive="1" xl2000="1" url="https://fclm-portal.amazon.com/reports/unitsRollup?reportFormat=CSV&amp;warehouseId=KRB1&amp;jobAction=ItemPicked&amp;startDate=2020%2F10%2F08&amp;startHour=7&amp;startMinute=0&amp;endDate=2020%2F10%2F08&amp;endHour=18&amp;endMinute=0" htmlTables="1">
      <tables count="1">
        <x v="2"/>
      </tables>
    </webPr>
  </connection>
  <connection id="366" name="Connection427" type="4" refreshedVersion="6" background="1" saveData="1">
    <webPr sourceData="1" parsePre="1" consecutive="1" xl2000="1" url="https://fclm-portal.amazon.com/reports/processPathRollup?reportFormat=CSV&amp;warehouseId=KRB1&amp;spanType=Day&amp;startDateDay=2020%2F10%2F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67" name="Connection4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9T14%3A00%3A00Z&amp;EndTime1=2020-10-1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68" name="Connection4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9&amp;maxIntradayDays=1&amp;startHourIntraday=0&amp;startMinuteIntraday=0&amp;endHourIntraday=0&amp;endMinuteIntraday=0" htmlTables="1">
      <tables count="1">
        <x v="2"/>
      </tables>
    </webPr>
  </connection>
  <connection id="369" name="Connection4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70" name="Connection430" type="4" refreshedVersion="6" background="1" saveData="1">
    <webPr sourceData="1" parsePre="1" consecutive="1" xl2000="1" url="https://fclm-portal.amazon.com/reports/unitsRollup?reportFormat=CSV&amp;warehouseId=KRB1&amp;jobAction=ItemPicked&amp;startDate=2020%2F10%2F09&amp;startHour=7&amp;startMinute=0&amp;endDate=2020%2F10%2F09&amp;endHour=18&amp;endMinute=0" htmlTables="1">
      <tables count="1">
        <x v="2"/>
      </tables>
    </webPr>
  </connection>
  <connection id="371" name="Connection431" type="4" refreshedVersion="6" background="1" saveData="1">
    <webPr sourceData="1" parsePre="1" consecutive="1" xl2000="1" url="https://fclm-portal.amazon.com/reports/processPathRollup?reportFormat=CSV&amp;warehouseId=KRB1&amp;spanType=Day&amp;startDateDay=2020%2F10%2F1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2" name="Connection4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10T14%3A00%3A00Z&amp;EndTime1=2020-10-1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73" name="Connection4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10&amp;maxIntradayDays=1&amp;startHourIntraday=0&amp;startMinuteIntraday=0&amp;endHourIntraday=0&amp;endMinuteIntraday=0" htmlTables="1">
      <tables count="1">
        <x v="2"/>
      </tables>
    </webPr>
  </connection>
  <connection id="374" name="Connection434" type="4" refreshedVersion="6" background="1" saveData="1">
    <webPr sourceData="1" parsePre="1" consecutive="1" xl2000="1" url="https://fclm-portal.amazon.com/reports/unitsRollup?reportFormat=CSV&amp;warehouseId=KRB1&amp;jobAction=ItemPicked&amp;startDate=2020%2F10%2F10&amp;startHour=7&amp;startMinute=0&amp;endDate=2020%2F10%2F10&amp;endHour=18&amp;endMinute=0" htmlTables="1">
      <tables count="1">
        <x v="2"/>
      </tables>
    </webPr>
  </connection>
  <connection id="375" name="Connection435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76" name="Connection4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77" name="Connection4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378" name="Connection438" type="4" refreshedVersion="6" background="1" saveData="1">
    <webPr sourceData="1" parsePre="1" consecutive="1" xl2000="1" url="https://fclm-portal.amazon.com/reports/unitsRollup?reportFormat=CSV&amp;warehouseId=KRB1&amp;jobAction=ItemPicked&amp;startDate=2020%2F09%2F27&amp;startHour=7&amp;startMinute=0&amp;endDate=2020%2F09%2F27&amp;endHour=18&amp;endMinute=0" htmlTables="1">
      <tables count="1">
        <x v="2"/>
      </tables>
    </webPr>
  </connection>
  <connection id="379" name="Connection43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0" name="Connection4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1" name="Connection4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82" name="Connection4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383" name="Connection442" type="4" refreshedVersion="6" background="1" saveData="1">
    <webPr sourceData="1" parsePre="1" consecutive="1" xl2000="1" url="https://fclm-portal.amazon.com/reports/unitsRollup?reportFormat=CSV&amp;warehouseId=KRB1&amp;jobAction=ItemPicked&amp;startDate=2020%2F09%2F28&amp;startHour=7&amp;startMinute=0&amp;endDate=2020%2F09%2F28&amp;endHour=18&amp;endMinute=0" htmlTables="1">
      <tables count="1">
        <x v="2"/>
      </tables>
    </webPr>
  </connection>
  <connection id="384" name="Connection44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5" name="Connection4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86" name="Connection4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387" name="Connection446" type="4" refreshedVersion="6" background="1" saveData="1">
    <webPr sourceData="1" parsePre="1" consecutive="1" xl2000="1" url="https://fclm-portal.amazon.com/reports/unitsRollup?reportFormat=CSV&amp;warehouseId=KRB1&amp;jobAction=ItemPicked&amp;startDate=2020%2F09%2F29&amp;startHour=7&amp;startMinute=0&amp;endDate=2020%2F09%2F29&amp;endHour=18&amp;endMinute=0" htmlTables="1">
      <tables count="1">
        <x v="2"/>
      </tables>
    </webPr>
  </connection>
  <connection id="388" name="Connection44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89" name="Connection4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0" name="Connection4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391" name="Connection4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2" name="Connection450" type="4" refreshedVersion="6" background="1" saveData="1">
    <webPr sourceData="1" parsePre="1" consecutive="1" xl2000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393" name="Connection451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4" name="Connection45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1T14%3A00%3A00Z&amp;EndTime1=2020-10-0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5" name="Connection45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1&amp;maxIntradayDays=1&amp;startHourIntraday=0&amp;startMinuteIntraday=0&amp;endHourIntraday=0&amp;endMinuteIntraday=0" htmlTables="1">
      <tables count="1">
        <x v="2"/>
      </tables>
    </webPr>
  </connection>
  <connection id="396" name="Connection454" type="4" refreshedVersion="6" background="1" saveData="1">
    <webPr sourceData="1" parsePre="1" consecutive="1" xl2000="1" url="https://fclm-portal.amazon.com/reports/unitsRollup?reportFormat=CSV&amp;warehouseId=KRB1&amp;jobAction=ItemPicked&amp;startDate=2020%2F10%2F01&amp;startHour=7&amp;startMinute=0&amp;endDate=2020%2F10%2F01&amp;endHour=18&amp;endMinute=0" htmlTables="1">
      <tables count="1">
        <x v="2"/>
      </tables>
    </webPr>
  </connection>
  <connection id="397" name="Connection455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98" name="Connection45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2T14%3A00%3A00Z&amp;EndTime1=2020-10-0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99" name="Connection45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2&amp;maxIntradayDays=1&amp;startHourIntraday=0&amp;startMinuteIntraday=0&amp;endHourIntraday=0&amp;endMinuteIntraday=0" htmlTables="1">
      <tables count="1">
        <x v="2"/>
      </tables>
    </webPr>
  </connection>
  <connection id="400" name="Connection458" type="4" refreshedVersion="6" background="1" saveData="1">
    <webPr sourceData="1" parsePre="1" consecutive="1" xl2000="1" url="https://fclm-portal.amazon.com/reports/unitsRollup?reportFormat=CSV&amp;warehouseId=KRB1&amp;jobAction=ItemPicked&amp;startDate=2020%2F10%2F02&amp;startHour=7&amp;startMinute=0&amp;endDate=2020%2F10%2F02&amp;endHour=18&amp;endMinute=0" htmlTables="1">
      <tables count="1">
        <x v="2"/>
      </tables>
    </webPr>
  </connection>
  <connection id="401" name="Connection459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02" name="Connection46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403" name="Connection4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10-03T14%3A00%3A00Z&amp;EndTime1=2020-10-0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4" name="Connection4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10%2F03&amp;maxIntradayDays=1&amp;startHourIntraday=0&amp;startMinuteIntraday=0&amp;endHourIntraday=0&amp;endMinuteIntraday=0" htmlTables="1">
      <tables count="1">
        <x v="2"/>
      </tables>
    </webPr>
  </connection>
  <connection id="405" name="Connection462" type="4" refreshedVersion="6" background="1" saveData="1">
    <webPr sourceData="1" parsePre="1" consecutive="1" xl2000="1" url="https://fclm-portal.amazon.com/reports/unitsRollup?reportFormat=CSV&amp;warehouseId=KRB1&amp;jobAction=ItemPicked&amp;startDate=2020%2F10%2F03&amp;startHour=7&amp;startMinute=0&amp;endDate=2020%2F10%2F03&amp;endHour=18&amp;endMinute=0" htmlTables="1">
      <tables count="1">
        <x v="2"/>
      </tables>
    </webPr>
  </connection>
  <connection id="406" name="Connection463" type="4" refreshedVersion="6" background="1" saveData="1">
    <webPr sourceData="1" parsePre="1" consecutive="1" xl2000="1" url="https://fclm-portal.amazon.com/reports/processPathRollup?reportFormat=CSV&amp;warehouseId=KRB1&amp;spanType=Day&amp;startDateDay=2020%2F9%2F2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07" name="Connection46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0T14%3A00%3A00Z&amp;EndTime1=2020-09-2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08" name="Connection46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0&amp;maxIntradayDays=1&amp;startHourIntraday=0&amp;startMinuteIntraday=0&amp;endHourIntraday=0&amp;endMinuteIntraday=0" htmlTables="1">
      <tables count="1">
        <x v="2"/>
      </tables>
    </webPr>
  </connection>
  <connection id="409" name="Connection466" type="4" refreshedVersion="6" background="1" saveData="1">
    <webPr sourceData="1" parsePre="1" consecutive="1" xl2000="1" url="https://fclm-portal.amazon.com/reports/unitsRollup?reportFormat=CSV&amp;warehouseId=KRB1&amp;jobAction=ItemPicked&amp;startDate=2020%2F09%2F20&amp;startHour=7&amp;startMinute=0&amp;endDate=2020%2F09%2F20&amp;endHour=18&amp;endMinute=0" htmlTables="1">
      <tables count="1">
        <x v="2"/>
      </tables>
    </webPr>
  </connection>
  <connection id="410" name="Connection467" type="4" refreshedVersion="6" background="1" saveData="1">
    <webPr sourceData="1" parsePre="1" consecutive="1" xl2000="1" url="https://fclm-portal.amazon.com/reports/processPathRollup?reportFormat=CSV&amp;warehouseId=KRB1&amp;spanType=Day&amp;startDateDay=2020%2F9%2F2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11" name="Connection46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1T14%3A00%3A00Z&amp;EndTime1=2020-09-2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12" name="Connection46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1&amp;maxIntradayDays=1&amp;startHourIntraday=0&amp;startMinuteIntraday=0&amp;endHourIntraday=0&amp;endMinuteIntraday=0" htmlTables="1">
      <tables count="1">
        <x v="2"/>
      </tables>
    </webPr>
  </connection>
  <connection id="413" name="Connection4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14" name="Connection470" type="4" refreshedVersion="6" background="1" saveData="1">
    <webPr sourceData="1" parsePre="1" consecutive="1" xl2000="1" url="https://fclm-portal.amazon.com/reports/unitsRollup?reportFormat=CSV&amp;warehouseId=KRB1&amp;jobAction=ItemPicked&amp;startDate=2020%2F09%2F21&amp;startHour=7&amp;startMinute=0&amp;endDate=2020%2F09%2F21&amp;endHour=18&amp;endMinute=0" htmlTables="1">
      <tables count="1">
        <x v="2"/>
      </tables>
    </webPr>
  </connection>
  <connection id="415" name="Connection471" type="4" refreshedVersion="6" background="1" saveData="1">
    <webPr sourceData="1" parsePre="1" consecutive="1" xl2000="1" url="https://fclm-portal.amazon.com/reports/processPathRollup?reportFormat=CSV&amp;warehouseId=KRB1&amp;spanType=Day&amp;startDateDay=2020%2F9%2F2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16" name="Connection4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2T14%3A00%3A00Z&amp;EndTime1=2020-09-2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17" name="Connection4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2&amp;maxIntradayDays=1&amp;startHourIntraday=0&amp;startMinuteIntraday=0&amp;endHourIntraday=0&amp;endMinuteIntraday=0" htmlTables="1">
      <tables count="1">
        <x v="2"/>
      </tables>
    </webPr>
  </connection>
  <connection id="418" name="Connection474" type="4" refreshedVersion="6" background="1" saveData="1">
    <webPr sourceData="1" parsePre="1" consecutive="1" xl2000="1" url="https://fclm-portal.amazon.com/reports/unitsRollup?reportFormat=CSV&amp;warehouseId=KRB1&amp;jobAction=ItemPicked&amp;startDate=2020%2F09%2F22&amp;startHour=7&amp;startMinute=0&amp;endDate=2020%2F09%2F22&amp;endHour=18&amp;endMinute=0" htmlTables="1">
      <tables count="1">
        <x v="2"/>
      </tables>
    </webPr>
  </connection>
  <connection id="419" name="Connection475" type="4" refreshedVersion="6" background="1" saveData="1">
    <webPr sourceData="1" parsePre="1" consecutive="1" xl2000="1" url="https://fclm-portal.amazon.com/reports/processPathRollup?reportFormat=CSV&amp;warehouseId=KRB1&amp;spanType=Day&amp;startDateDay=2020%2F9%2F2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0" name="Connection47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3T14%3A00%3A00Z&amp;EndTime1=2020-09-2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21" name="Connection47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3&amp;maxIntradayDays=1&amp;startHourIntraday=0&amp;startMinuteIntraday=0&amp;endHourIntraday=0&amp;endMinuteIntraday=0" htmlTables="1">
      <tables count="1">
        <x v="2"/>
      </tables>
    </webPr>
  </connection>
  <connection id="422" name="Connection478" type="4" refreshedVersion="6" background="1" saveData="1">
    <webPr sourceData="1" parsePre="1" consecutive="1" xl2000="1" url="https://fclm-portal.amazon.com/reports/unitsRollup?reportFormat=CSV&amp;warehouseId=KRB1&amp;jobAction=ItemPicked&amp;startDate=2020%2F09%2F23&amp;startHour=7&amp;startMinute=0&amp;endDate=2020%2F09%2F23&amp;endHour=18&amp;endMinute=0" htmlTables="1">
      <tables count="1">
        <x v="2"/>
      </tables>
    </webPr>
  </connection>
  <connection id="423" name="Connection479" type="4" refreshedVersion="6" background="1" saveData="1">
    <webPr sourceData="1" parsePre="1" consecutive="1" xl2000="1" url="https://fclm-portal.amazon.com/reports/processPathRollup?reportFormat=CSV&amp;warehouseId=KRB1&amp;spanType=Day&amp;startDateDay=2020%2F9%2F2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4" name="Connection4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25" name="Connection48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4T14%3A00%3A00Z&amp;EndTime1=2020-09-2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26" name="Connection48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4&amp;maxIntradayDays=1&amp;startHourIntraday=0&amp;startMinuteIntraday=0&amp;endHourIntraday=0&amp;endMinuteIntraday=0" htmlTables="1">
      <tables count="1">
        <x v="2"/>
      </tables>
    </webPr>
  </connection>
  <connection id="427" name="Connection482" type="4" refreshedVersion="6" background="1" saveData="1">
    <webPr sourceData="1" parsePre="1" consecutive="1" xl2000="1" url="https://fclm-portal.amazon.com/reports/unitsRollup?reportFormat=CSV&amp;warehouseId=KRB1&amp;jobAction=ItemPicked&amp;startDate=2020%2F09%2F24&amp;startHour=7&amp;startMinute=0&amp;endDate=2020%2F09%2F24&amp;endHour=18&amp;endMinute=0" htmlTables="1">
      <tables count="1">
        <x v="2"/>
      </tables>
    </webPr>
  </connection>
  <connection id="428" name="Connection483" type="4" refreshedVersion="6" background="1" saveData="1">
    <webPr sourceData="1" parsePre="1" consecutive="1" xl2000="1" url="https://fclm-portal.amazon.com/reports/processPathRollup?reportFormat=CSV&amp;warehouseId=KRB1&amp;spanType=Day&amp;startDateDay=2020%2F9%2F2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29" name="Connection4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5T14%3A00%3A00Z&amp;EndTime1=2020-09-2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30" name="Connection4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5&amp;maxIntradayDays=1&amp;startHourIntraday=0&amp;startMinuteIntraday=0&amp;endHourIntraday=0&amp;endMinuteIntraday=0" htmlTables="1">
      <tables count="1">
        <x v="2"/>
      </tables>
    </webPr>
  </connection>
  <connection id="431" name="Connection486" type="4" refreshedVersion="0" background="1" saveData="1">
    <webPr sourceData="1" parsePre="1" consecutive="1" url="https://fclm-portal.amazon.com/reports/unitsRollup?reportFormat=CSV&amp;warehouseId=KRB1&amp;jobAction=ItemPicked&amp;startDate=2020%2F09%2F25&amp;startHour=7&amp;startMinute=0&amp;endDate=2020%2F09%2F25&amp;endHour=18&amp;endMinute=0" htmlTables="1">
      <tables count="1">
        <x v="2"/>
      </tables>
    </webPr>
  </connection>
  <connection id="432" name="Connection487" type="4" refreshedVersion="6" background="1" saveData="1">
    <webPr sourceData="1" parsePre="1" consecutive="1" xl2000="1" url="https://fclm-portal.amazon.com/reports/processPathRollup?reportFormat=CSV&amp;warehouseId=KRB1&amp;spanType=Day&amp;startDateDay=2020%2F9%2F2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3" name="Connection48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6T14%3A00%3A00Z&amp;EndTime1=2020-09-2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34" name="Connection48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6&amp;maxIntradayDays=1&amp;startHourIntraday=0&amp;startMinuteIntraday=0&amp;endHourIntraday=0&amp;endMinuteIntraday=0" htmlTables="1">
      <tables count="1">
        <x v="2"/>
      </tables>
    </webPr>
  </connection>
  <connection id="435" name="Connection4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436" name="Connection490" type="4" refreshedVersion="0" background="1" saveData="1">
    <webPr sourceData="1" parsePre="1" consecutive="1" url="https://fclm-portal.amazon.com/reports/unitsRollup?reportFormat=CSV&amp;warehouseId=KRB1&amp;jobAction=ItemPicked&amp;startDate=2020%2F09%2F26&amp;startHour=7&amp;startMinute=0&amp;endDate=2020%2F09%2F26&amp;endHour=18&amp;endMinute=0" htmlTables="1">
      <tables count="1">
        <x v="2"/>
      </tables>
    </webPr>
  </connection>
  <connection id="437" name="Connection491" type="4" refreshedVersion="0" background="1" saveData="1">
    <webPr sourceData="1" parsePre="1" consecutive="1" url="https://fclm-portal.amazon.com/reports/processPathRollup?reportFormat=CSV&amp;warehouseId=KRB1&amp;spanType=Day&amp;startDateDay=2020%2F9%2F2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38" name="Connection49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0T14%3A00%3A00Z&amp;EndTime1=2020-09-2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39" name="Connection493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0&amp;maxIntradayDays=1&amp;startHourIntraday=0&amp;startMinuteIntraday=0&amp;endHourIntraday=0&amp;endMinuteIntraday=0" htmlTables="1">
      <tables count="1">
        <x v="2"/>
      </tables>
    </webPr>
  </connection>
  <connection id="440" name="Connection494" type="4" refreshedVersion="0" background="1" saveData="1">
    <webPr sourceData="1" parsePre="1" consecutive="1" url="https://fclm-portal.amazon.com/reports/unitsRollup?reportFormat=CSV&amp;warehouseId=KRB1&amp;jobAction=ItemPicked&amp;startDate=2020%2F09%2F20&amp;startHour=7&amp;startMinute=0&amp;endDate=2020%2F09%2F20&amp;endHour=18&amp;endMinute=0" htmlTables="1">
      <tables count="1">
        <x v="2"/>
      </tables>
    </webPr>
  </connection>
  <connection id="441" name="Connection495" type="4" refreshedVersion="0" background="1" saveData="1">
    <webPr sourceData="1" parsePre="1" consecutive="1" url="https://fclm-portal.amazon.com/reports/processPathRollup?reportFormat=CSV&amp;warehouseId=KRB1&amp;spanType=Day&amp;startDateDay=2020%2F9%2F2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2" name="Connection4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1T14%3A00%3A00Z&amp;EndTime1=2020-09-2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3" name="Connection49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1&amp;maxIntradayDays=1&amp;startHourIntraday=0&amp;startMinuteIntraday=0&amp;endHourIntraday=0&amp;endMinuteIntraday=0" htmlTables="1">
      <tables count="1">
        <x v="2"/>
      </tables>
    </webPr>
  </connection>
  <connection id="444" name="Connection498" type="4" refreshedVersion="0" background="1" saveData="1">
    <webPr sourceData="1" parsePre="1" consecutive="1" url="https://fclm-portal.amazon.com/reports/unitsRollup?reportFormat=CSV&amp;warehouseId=KRB1&amp;jobAction=ItemPicked&amp;startDate=2020%2F09%2F21&amp;startHour=7&amp;startMinute=0&amp;endDate=2020%2F09%2F21&amp;endHour=18&amp;endMinute=0" htmlTables="1">
      <tables count="1">
        <x v="2"/>
      </tables>
    </webPr>
  </connection>
  <connection id="445" name="Connection499" type="4" refreshedVersion="0" background="1" saveData="1">
    <webPr sourceData="1" parsePre="1" consecutive="1" url="https://fclm-portal.amazon.com/reports/processPathRollup?reportFormat=CSV&amp;warehouseId=KRB1&amp;spanType=Day&amp;startDateDay=2020%2F9%2F2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6" name="Connection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7" name="Connection50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48" name="Connection50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2T14%3A00%3A00Z&amp;EndTime1=2020-09-2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49" name="Connection501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2&amp;maxIntradayDays=1&amp;startHourIntraday=0&amp;startMinuteIntraday=0&amp;endHourIntraday=0&amp;endMinuteIntraday=0" htmlTables="1">
      <tables count="1">
        <x v="2"/>
      </tables>
    </webPr>
  </connection>
  <connection id="450" name="Connection502" type="4" refreshedVersion="0" background="1" saveData="1">
    <webPr sourceData="1" parsePre="1" consecutive="1" url="https://fclm-portal.amazon.com/reports/unitsRollup?reportFormat=CSV&amp;warehouseId=KRB1&amp;jobAction=ItemPicked&amp;startDate=2020%2F09%2F22&amp;startHour=7&amp;startMinute=0&amp;endDate=2020%2F09%2F22&amp;endHour=18&amp;endMinute=0" htmlTables="1">
      <tables count="1">
        <x v="2"/>
      </tables>
    </webPr>
  </connection>
  <connection id="451" name="Connection503" type="4" refreshedVersion="0" background="1" saveData="1">
    <webPr sourceData="1" parsePre="1" consecutive="1" url="https://fclm-portal.amazon.com/reports/processPathRollup?reportFormat=CSV&amp;warehouseId=KRB1&amp;spanType=Day&amp;startDateDay=2020%2F9%2F2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52" name="Connection50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3T14%3A00%3A00Z&amp;EndTime1=2020-09-2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53" name="Connection505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3&amp;maxIntradayDays=1&amp;startHourIntraday=0&amp;startMinuteIntraday=0&amp;endHourIntraday=0&amp;endMinuteIntraday=0" htmlTables="1">
      <tables count="1">
        <x v="2"/>
      </tables>
    </webPr>
  </connection>
  <connection id="454" name="Connection506" type="4" refreshedVersion="0" background="1" saveData="1">
    <webPr sourceData="1" parsePre="1" consecutive="1" url="https://fclm-portal.amazon.com/reports/unitsRollup?reportFormat=CSV&amp;warehouseId=KRB1&amp;jobAction=ItemPicked&amp;startDate=2020%2F09%2F23&amp;startHour=7&amp;startMinute=0&amp;endDate=2020%2F09%2F23&amp;endHour=18&amp;endMinute=0" htmlTables="1">
      <tables count="1">
        <x v="2"/>
      </tables>
    </webPr>
  </connection>
  <connection id="455" name="Connection507" type="4" refreshedVersion="0" background="1" saveData="1">
    <webPr sourceData="1" parsePre="1" consecutive="1" url="https://fclm-portal.amazon.com/reports/processPathRollup?reportFormat=CSV&amp;warehouseId=KRB1&amp;spanType=Day&amp;startDateDay=2020%2F9%2F2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56" name="Connection50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4T14%3A00%3A00Z&amp;EndTime1=2020-09-2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57" name="Connection509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4&amp;maxIntradayDays=1&amp;startHourIntraday=0&amp;startMinuteIntraday=0&amp;endHourIntraday=0&amp;endMinuteIntraday=0" htmlTables="1">
      <tables count="1">
        <x v="2"/>
      </tables>
    </webPr>
  </connection>
  <connection id="458" name="Connection5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59" name="Connection510" type="4" refreshedVersion="0" background="1" saveData="1">
    <webPr sourceData="1" parsePre="1" consecutive="1" url="https://fclm-portal.amazon.com/reports/unitsRollup?reportFormat=CSV&amp;warehouseId=KRB1&amp;jobAction=ItemPicked&amp;startDate=2020%2F09%2F24&amp;startHour=7&amp;startMinute=0&amp;endDate=2020%2F09%2F24&amp;endHour=18&amp;endMinute=0" htmlTables="1">
      <tables count="1">
        <x v="2"/>
      </tables>
    </webPr>
  </connection>
  <connection id="460" name="Connection511" type="4" refreshedVersion="0" background="1" saveData="1">
    <webPr sourceData="1" parsePre="1" consecutive="1" url="https://fclm-portal.amazon.com/reports/processPathRollup?reportFormat=CSV&amp;warehouseId=KRB1&amp;spanType=Day&amp;startDateDay=2020%2F9%2F2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1" name="Connection51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5T14%3A00%3A00Z&amp;EndTime1=2020-09-2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62" name="Connection513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5&amp;maxIntradayDays=1&amp;startHourIntraday=0&amp;startMinuteIntraday=0&amp;endHourIntraday=0&amp;endMinuteIntraday=0" htmlTables="1">
      <tables count="1">
        <x v="2"/>
      </tables>
    </webPr>
  </connection>
  <connection id="463" name="Connection514" type="4" refreshedVersion="0" background="1" saveData="1">
    <webPr sourceData="1" parsePre="1" consecutive="1" url="https://fclm-portal.amazon.com/reports/unitsRollup?reportFormat=CSV&amp;warehouseId=KRB1&amp;jobAction=ItemPicked&amp;startDate=2020%2F09%2F25&amp;startHour=7&amp;startMinute=0&amp;endDate=2020%2F09%2F25&amp;endHour=18&amp;endMinute=0" htmlTables="1">
      <tables count="1">
        <x v="2"/>
      </tables>
    </webPr>
  </connection>
  <connection id="464" name="Connection515" type="4" refreshedVersion="0" background="1" saveData="1">
    <webPr sourceData="1" parsePre="1" consecutive="1" url="https://fclm-portal.amazon.com/reports/processPathRollup?reportFormat=CSV&amp;warehouseId=KRB1&amp;spanType=Day&amp;startDateDay=2020%2F9%2F2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5" name="Connection51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6T14%3A00%3A00Z&amp;EndTime1=2020-09-2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66" name="Connection51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6&amp;maxIntradayDays=1&amp;startHourIntraday=0&amp;startMinuteIntraday=0&amp;endHourIntraday=0&amp;endMinuteIntraday=0" htmlTables="1">
      <tables count="1">
        <x v="2"/>
      </tables>
    </webPr>
  </connection>
  <connection id="467" name="Connection518" type="4" refreshedVersion="0" background="1" saveData="1">
    <webPr sourceData="1" parsePre="1" consecutive="1" url="https://fclm-portal.amazon.com/reports/unitsRollup?reportFormat=CSV&amp;warehouseId=KRB1&amp;jobAction=ItemPicked&amp;startDate=2020%2F09%2F26&amp;startHour=7&amp;startMinute=0&amp;endDate=2020%2F09%2F26&amp;endHour=18&amp;endMinute=0" htmlTables="1">
      <tables count="1">
        <x v="2"/>
      </tables>
    </webPr>
  </connection>
  <connection id="468" name="Connection519" type="4" refreshedVersion="6" background="1" saveData="1">
    <webPr sourceData="1" parsePre="1" consecutive="1" xl2000="1" url="https://fclm-portal.amazon.com/reports/processPathRollup?reportFormat=CSV&amp;warehouseId=KRB1&amp;spanType=Day&amp;startDateDay=2020%2F9%2F2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69" name="Connection5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470" name="Connection52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0T14%3A00%3A00Z&amp;EndTime1=2020-09-2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71" name="Connection52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0&amp;maxIntradayDays=1&amp;startHourIntraday=0&amp;startMinuteIntraday=0&amp;endHourIntraday=0&amp;endMinuteIntraday=0" htmlTables="1">
      <tables count="1">
        <x v="2"/>
      </tables>
    </webPr>
  </connection>
  <connection id="472" name="Connection522" type="4" refreshedVersion="6" background="1" saveData="1">
    <webPr sourceData="1" parsePre="1" consecutive="1" xl2000="1" url="https://fclm-portal.amazon.com/reports/unitsRollup?reportFormat=CSV&amp;warehouseId=KRB1&amp;jobAction=ItemPicked&amp;startDate=2020%2F09%2F20&amp;startHour=7&amp;startMinute=0&amp;endDate=2020%2F09%2F20&amp;endHour=18&amp;endMinute=0" htmlTables="1">
      <tables count="1">
        <x v="2"/>
      </tables>
    </webPr>
  </connection>
  <connection id="473" name="Connection523" type="4" refreshedVersion="6" background="1" saveData="1">
    <webPr sourceData="1" parsePre="1" consecutive="1" xl2000="1" url="https://fclm-portal.amazon.com/reports/processPathRollup?reportFormat=CSV&amp;warehouseId=KRB1&amp;spanType=Day&amp;startDateDay=2020%2F9%2F2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4" name="Connection52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1T14%3A00%3A00Z&amp;EndTime1=2020-09-22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75" name="Connection52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1&amp;maxIntradayDays=1&amp;startHourIntraday=0&amp;startMinuteIntraday=0&amp;endHourIntraday=0&amp;endMinuteIntraday=0" htmlTables="1">
      <tables count="1">
        <x v="2"/>
      </tables>
    </webPr>
  </connection>
  <connection id="476" name="Connection526" type="4" refreshedVersion="6" background="1" saveData="1">
    <webPr sourceData="1" parsePre="1" consecutive="1" xl2000="1" url="https://fclm-portal.amazon.com/reports/unitsRollup?reportFormat=CSV&amp;warehouseId=KRB1&amp;jobAction=ItemPicked&amp;startDate=2020%2F09%2F21&amp;startHour=7&amp;startMinute=0&amp;endDate=2020%2F09%2F21&amp;endHour=18&amp;endMinute=0" htmlTables="1">
      <tables count="1">
        <x v="2"/>
      </tables>
    </webPr>
  </connection>
  <connection id="477" name="Connection527" type="4" refreshedVersion="6" background="1" saveData="1">
    <webPr sourceData="1" parsePre="1" consecutive="1" xl2000="1" url="https://fclm-portal.amazon.com/reports/processPathRollup?reportFormat=CSV&amp;warehouseId=KRB1&amp;spanType=Day&amp;startDateDay=2020%2F9%2F2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78" name="Connection5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2T14%3A00%3A00Z&amp;EndTime1=2020-09-23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79" name="Connection52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2&amp;maxIntradayDays=1&amp;startHourIntraday=0&amp;startMinuteIntraday=0&amp;endHourIntraday=0&amp;endMinuteIntraday=0" htmlTables="1">
      <tables count="1">
        <x v="2"/>
      </tables>
    </webPr>
  </connection>
  <connection id="480" name="Connection5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81" name="Connection530" type="4" refreshedVersion="6" background="1" saveData="1">
    <webPr sourceData="1" parsePre="1" consecutive="1" xl2000="1" url="https://fclm-portal.amazon.com/reports/unitsRollup?reportFormat=CSV&amp;warehouseId=KRB1&amp;jobAction=ItemPicked&amp;startDate=2020%2F09%2F22&amp;startHour=7&amp;startMinute=0&amp;endDate=2020%2F09%2F22&amp;endHour=18&amp;endMinute=0" htmlTables="1">
      <tables count="1">
        <x v="2"/>
      </tables>
    </webPr>
  </connection>
  <connection id="482" name="Connection531" type="4" refreshedVersion="6" background="1" saveData="1">
    <webPr sourceData="1" parsePre="1" consecutive="1" xl2000="1" url="https://fclm-portal.amazon.com/reports/processPathRollup?reportFormat=CSV&amp;warehouseId=KRB1&amp;spanType=Day&amp;startDateDay=2020%2F9%2F2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83" name="Connection5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3T14%3A00%3A00Z&amp;EndTime1=2020-09-24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4" name="Connection53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3&amp;maxIntradayDays=1&amp;startHourIntraday=0&amp;startMinuteIntraday=0&amp;endHourIntraday=0&amp;endMinuteIntraday=0" htmlTables="1">
      <tables count="1">
        <x v="2"/>
      </tables>
    </webPr>
  </connection>
  <connection id="485" name="Connection534" type="4" refreshedVersion="6" background="1" saveData="1">
    <webPr sourceData="1" parsePre="1" consecutive="1" xl2000="1" url="https://fclm-portal.amazon.com/reports/unitsRollup?reportFormat=CSV&amp;warehouseId=KRB1&amp;jobAction=ItemPicked&amp;startDate=2020%2F09%2F23&amp;startHour=7&amp;startMinute=0&amp;endDate=2020%2F09%2F23&amp;endHour=18&amp;endMinute=0" htmlTables="1">
      <tables count="1">
        <x v="2"/>
      </tables>
    </webPr>
  </connection>
  <connection id="486" name="Connection535" type="4" refreshedVersion="6" background="1" saveData="1">
    <webPr sourceData="1" parsePre="1" consecutive="1" xl2000="1" url="https://fclm-portal.amazon.com/reports/processPathRollup?reportFormat=CSV&amp;warehouseId=KRB1&amp;spanType=Day&amp;startDateDay=2020%2F9%2F24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87" name="Connection53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4T14%3A00%3A00Z&amp;EndTime1=2020-09-25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88" name="Connection53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4&amp;maxIntradayDays=1&amp;startHourIntraday=0&amp;startMinuteIntraday=0&amp;endHourIntraday=0&amp;endMinuteIntraday=0" htmlTables="1">
      <tables count="1">
        <x v="2"/>
      </tables>
    </webPr>
  </connection>
  <connection id="489" name="Connection538" type="4" refreshedVersion="6" background="1" saveData="1">
    <webPr sourceData="1" parsePre="1" consecutive="1" xl2000="1" url="https://fclm-portal.amazon.com/reports/unitsRollup?reportFormat=CSV&amp;warehouseId=KRB1&amp;jobAction=ItemPicked&amp;startDate=2020%2F09%2F24&amp;startHour=7&amp;startMinute=0&amp;endDate=2020%2F09%2F24&amp;endHour=18&amp;endMinute=0" htmlTables="1">
      <tables count="1">
        <x v="2"/>
      </tables>
    </webPr>
  </connection>
  <connection id="490" name="Connection539" type="4" refreshedVersion="6" background="1" saveData="1">
    <webPr sourceData="1" parsePre="1" consecutive="1" xl2000="1" url="https://fclm-portal.amazon.com/reports/processPathRollup?reportFormat=CSV&amp;warehouseId=KRB1&amp;spanType=Day&amp;startDateDay=2020%2F9%2F25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91" name="Connection5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2" name="Connection54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5T14%3A00%3A00Z&amp;EndTime1=2020-09-26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3" name="Connection54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5&amp;maxIntradayDays=1&amp;startHourIntraday=0&amp;startMinuteIntraday=0&amp;endHourIntraday=0&amp;endMinuteIntraday=0" htmlTables="1">
      <tables count="1">
        <x v="2"/>
      </tables>
    </webPr>
  </connection>
  <connection id="494" name="Connection542" type="4" refreshedVersion="6" background="1" saveData="1">
    <webPr sourceData="1" parsePre="1" consecutive="1" xl2000="1" url="https://fclm-portal.amazon.com/reports/unitsRollup?reportFormat=CSV&amp;warehouseId=KRB1&amp;jobAction=ItemPicked&amp;startDate=2020%2F09%2F25&amp;startHour=7&amp;startMinute=0&amp;endDate=2020%2F09%2F25&amp;endHour=18&amp;endMinute=0" htmlTables="1">
      <tables count="1">
        <x v="2"/>
      </tables>
    </webPr>
  </connection>
  <connection id="495" name="Connection543" type="4" refreshedVersion="6" background="1" saveData="1">
    <webPr sourceData="1" parsePre="1" consecutive="1" xl2000="1" url="https://fclm-portal.amazon.com/reports/processPathRollup?reportFormat=CSV&amp;warehouseId=KRB1&amp;spanType=Day&amp;startDateDay=2020%2F9%2F26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96" name="Connection54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6T14%3A00%3A00Z&amp;EndTime1=2020-09-27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497" name="Connection54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6&amp;maxIntradayDays=1&amp;startHourIntraday=0&amp;startMinuteIntraday=0&amp;endHourIntraday=0&amp;endMinuteIntraday=0" htmlTables="1">
      <tables count="1">
        <x v="2"/>
      </tables>
    </webPr>
  </connection>
  <connection id="498" name="Connection546" type="4" refreshedVersion="6" background="1" saveData="1">
    <webPr sourceData="1" parsePre="1" consecutive="1" xl2000="1" url="https://fclm-portal.amazon.com/reports/unitsRollup?reportFormat=CSV&amp;warehouseId=KRB1&amp;jobAction=ItemPicked&amp;startDate=2020%2F09%2F26&amp;startHour=7&amp;startMinute=0&amp;endDate=2020%2F09%2F26&amp;endHour=18&amp;endMinute=0" htmlTables="1">
      <tables count="1">
        <x v="2"/>
      </tables>
    </webPr>
  </connection>
  <connection id="499" name="Connection5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00" name="Connection56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01" name="Connection5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2" name="Connection58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03" name="Connection59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04" name="Connection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5" name="Connection6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6" name="Connection6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07" name="Connection62" type="4" refreshedVersion="0" background="1" saveData="1">
    <webPr sourceData="1" parsePre="1" consecutive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08" name="Connection6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09" name="Connection64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10" name="Connection65" type="4" refreshedVersion="0" background="1" saveData="1">
    <webPr sourceData="1" parsePre="1" consecutive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1" name="Connection6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12" name="Connection67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513" name="Connection68" type="4" refreshedVersion="0" background="1" saveData="1">
    <webPr sourceData="1" parsePre="1" consecutive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4" name="Connection6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15" name="Connection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6" name="Connection70" type="4" refreshedVersion="0" background="1" saveData="1">
    <webPr sourceData="1" parsePre="1" consecutive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17" name="Connection7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18" name="Connection7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19" name="Connection73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20" name="Connection74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1" name="Connection75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2" name="Connection76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23" name="Connection77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4" name="Connection7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5" name="Connection79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526" name="Connection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7" name="Connection80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28" name="Connection8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29" name="Connection82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30" name="Connection83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1" name="Connection8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2" name="Connection85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33" name="Connection86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4" name="Connection87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8T14%3A00%3A00Z&amp;EndTime1=2020-09-29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5" name="Connection88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8&amp;maxIntradayDays=1&amp;startHourIntraday=0&amp;startMinuteIntraday=0&amp;endHourIntraday=0&amp;endMinuteIntraday=0" htmlTables="1">
      <tables count="1">
        <x v="2"/>
      </tables>
    </webPr>
  </connection>
  <connection id="536" name="Connection8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7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38" name="Connection9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9T14%3A00%3A00Z&amp;EndTime1=2020-09-30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39" name="Connection91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9&amp;maxIntradayDays=1&amp;startHourIntraday=0&amp;startMinuteIntraday=0&amp;endHourIntraday=0&amp;endMinuteIntraday=0" htmlTables="1">
      <tables count="1">
        <x v="2"/>
      </tables>
    </webPr>
  </connection>
  <connection id="540" name="Connection92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41" name="Connection9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42" name="Connection94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30&amp;maxIntradayDays=1&amp;startHourIntraday=0&amp;startMinuteIntraday=0&amp;endHourIntraday=0&amp;endMinuteIntraday=0" htmlTables="1">
      <tables count="1">
        <x v="2"/>
      </tables>
    </webPr>
  </connection>
  <connection id="543" name="Connection95" type="4" refreshedVersion="0" background="1" saveData="1">
    <webPr sourceData="1" parsePre="1" consecutive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44" name="Connection96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27T14%3A00%3A00Z&amp;EndTime1=2020-09-28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545" name="Connection97" type="4" refreshedVersion="6" background="1" saveData="1">
    <webPr sourceData="1" parsePre="1" consecutive="1" xl2000="1" url="https://fclm-portal.amazon.com/reports/functionRollup?reportFormat=CSV&amp;warehouseId=KRB1&amp;processId=1003065&amp;spanType=Day&amp;startDateDay=2020%2F09%2F27&amp;maxIntradayDays=1&amp;startHourIntraday=0&amp;startMinuteIntraday=0&amp;endHourIntraday=0&amp;endMinuteIntraday=0" htmlTables="1">
      <tables count="1">
        <x v="2"/>
      </tables>
    </webPr>
  </connection>
  <connection id="546" name="Connection98" type="4" refreshedVersion="0" background="1" saveData="1">
    <webPr sourceData="1" parsePre="1" consecutive="1" url="https://fclm-portal.amazon.com/reports/unitsRollup?reportFormat=CSV&amp;warehouseId=KRB1&amp;jobAction=ItemPicked&amp;startDate=2020%2F09%2F30&amp;startHour=7&amp;startMinute=0&amp;endDate=2020%2F09%2F30&amp;endHour=18&amp;endMinute=0" htmlTables="1">
      <tables count="1">
        <x v="2"/>
      </tables>
    </webPr>
  </connection>
  <connection id="547" name="Connection99" type="4" refreshedVersion="0" background="1" saveData="1">
    <webPr sourceData="1" parsePre="1" consecutive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<sst xmlns="http://schemas.openxmlformats.org/spreadsheetml/2006/main" count="30701" uniqueCount="678">
  <si>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</si>
  <si>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</si>
  <si>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</si>
  <si>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</si>
  <si>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</si>
  <si>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</si>
  <si>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</si>
  <si>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</si>
  <si>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</si>
  <si>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</si>
  <si>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</si>
  <si>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</si>
  <si>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</si>
  <si>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</si>
  <si>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</si>
  <si>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</si>
  <si>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</si>
  <si>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</si>
  <si>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</si>
  <si>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</si>
  <si>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</si>
  <si>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</si>
  <si>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</si>
  <si>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</si>
  <si>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</si>
  <si>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</si>
  <si>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</si>
  <si>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</si>
  <si>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</si>
  <si>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</si>
  <si>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</si>
  <si>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</si>
  <si>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</si>
  <si>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>Inputs</t>
  </si>
  <si>
    <t>Start date for report</t>
  </si>
  <si>
    <t>*Wednesday is considered to be Back Half (BH) this week</t>
  </si>
  <si>
    <t>* Wednesday is considered to be Front Half (FH) this week</t>
  </si>
  <si>
    <t xml:space="preserve"> 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</si>
  <si>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</si>
  <si>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</si>
  <si>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</si>
  <si>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</si>
  <si>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</si>
  <si>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</si>
  <si>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</si>
  <si>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</si>
  <si>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</si>
  <si>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</si>
  <si>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</si>
  <si>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</si>
  <si>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</si>
  <si>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</si>
  <si>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</si>
  <si>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Size</t>
  </si>
  <si>
    <t>Units</t>
  </si>
  <si>
    <t>UPH</t>
  </si>
  <si>
    <t>Transfer Out Pick</t>
  </si>
  <si>
    <t>RF Pick Transship</t>
  </si>
  <si>
    <t>TEMP</t>
  </si>
  <si>
    <t>Tuiasosopo,Erika D</t>
  </si>
  <si>
    <t>Villalobos Jr,Ricky</t>
  </si>
  <si>
    <t>ItemPicked</t>
  </si>
  <si>
    <t>EACH</t>
  </si>
  <si>
    <t>Small</t>
  </si>
  <si>
    <t>Medium</t>
  </si>
  <si>
    <t>Large</t>
  </si>
  <si>
    <t>HeavyBulky</t>
  </si>
  <si>
    <t>Total</t>
  </si>
  <si>
    <t>Case</t>
  </si>
  <si>
    <t>Pallet</t>
  </si>
  <si>
    <t>AMZN</t>
  </si>
  <si>
    <t>McGee,Dezzy</t>
  </si>
  <si>
    <t>Padilla,Erik Eliseo</t>
  </si>
  <si>
    <t>Tarbet,Mark Mark</t>
  </si>
  <si>
    <t>Ramirez,Monica</t>
  </si>
  <si>
    <t>Masterfield,Heidi</t>
  </si>
  <si>
    <t>Bansode,Mayur</t>
  </si>
  <si>
    <t>Medina,Tanya</t>
  </si>
  <si>
    <t>Wilson,Lorenza</t>
  </si>
  <si>
    <t>Duenas,Angel</t>
  </si>
  <si>
    <t>Moreno,Annette</t>
  </si>
  <si>
    <t>Alarid,Marissa Marie</t>
  </si>
  <si>
    <t>Burrows,Shevion J</t>
  </si>
  <si>
    <t>Velasquez,Cristhian</t>
  </si>
  <si>
    <t>Palafox,Araceli A</t>
  </si>
  <si>
    <t>Trejo,Tais</t>
  </si>
  <si>
    <t>Hangyal,Christine Sotto</t>
  </si>
  <si>
    <t>Lauder,Kay N</t>
  </si>
  <si>
    <t>Mena,Francisco Angel</t>
  </si>
  <si>
    <t>Garcia,Perla</t>
  </si>
  <si>
    <t>Camacho,Danny</t>
  </si>
  <si>
    <t>macias,luca</t>
  </si>
  <si>
    <t>Napierala,Vanessa Joyce</t>
  </si>
  <si>
    <t>Haughton,Jurrien Leslie-Lee</t>
  </si>
  <si>
    <t>Curiel,Alyssa</t>
  </si>
  <si>
    <t>Sanico,Jason</t>
  </si>
  <si>
    <t>Jimenez,Guadalupe</t>
  </si>
  <si>
    <t>Gambino,Giovanni Giuseppe</t>
  </si>
  <si>
    <t>Ramirez,Yasmin Jade</t>
  </si>
  <si>
    <t>Pham,Kelly</t>
  </si>
  <si>
    <t>REYNA,BRYANT JONATHAN</t>
  </si>
  <si>
    <t>gomez,nicholas</t>
  </si>
  <si>
    <t>Clark,Christopher Luke</t>
  </si>
  <si>
    <t>Sanchez Ceron,Diana M</t>
  </si>
  <si>
    <t>arellano,adam</t>
  </si>
  <si>
    <t>Rodriguez,Moises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</si>
  <si>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</si>
  <si>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</si>
  <si>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</si>
  <si>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</si>
  <si>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</si>
  <si>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</si>
  <si>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</si>
  <si>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</si>
  <si>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</si>
  <si>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</si>
  <si>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</si>
  <si>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</si>
  <si>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</si>
  <si>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</si>
  <si>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</si>
  <si>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</si>
  <si>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</si>
  <si>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</si>
  <si>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</si>
  <si>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</si>
  <si>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</si>
  <si>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</si>
  <si>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</si>
  <si>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</si>
  <si>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</si>
  <si>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</si>
  <si>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</si>
  <si>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</si>
  <si>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</si>
  <si>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</si>
  <si>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</si>
  <si>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</si>
  <si>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</si>
  <si>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</si>
  <si>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</si>
  <si>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</si>
  <si>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</si>
  <si>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</si>
  <si>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</si>
  <si>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</si>
  <si>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</si>
  <si>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</si>
  <si>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</si>
  <si>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</si>
  <si>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ppr.detail.inbound.receive.lpReceive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</si>
  <si>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</si>
  <si>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</si>
  <si>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</si>
  <si>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</si>
  <si>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</si>
  <si>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</si>
  <si>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</si>
  <si>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</si>
  <si>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</si>
  <si>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</si>
  <si>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</si>
  <si>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</si>
  <si>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</si>
  <si>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</si>
  <si>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</si>
  <si>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</si>
  <si>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</si>
  <si>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</si>
  <si>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</si>
  <si>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</si>
  <si>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</si>
  <si>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</si>
  <si>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</si>
  <si>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</si>
  <si>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</si>
  <si>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</si>
  <si>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</si>
  <si>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</si>
  <si>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</si>
  <si>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</si>
  <si>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</si>
  <si>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</si>
  <si>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</si>
  <si>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</si>
  <si>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</si>
  <si>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</si>
  <si>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</si>
  <si>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</si>
  <si>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</si>
  <si>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</si>
  <si>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</si>
  <si>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</si>
  <si>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</si>
  <si>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</si>
  <si>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</si>
  <si>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</si>
  <si>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</si>
  <si>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</si>
  <si>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</si>
  <si>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</si>
  <si>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</si>
  <si>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</si>
  <si>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</si>
  <si>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</si>
  <si>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</si>
  <si>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</si>
  <si>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</si>
  <si>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</si>
  <si>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</si>
  <si>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</si>
  <si>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</si>
  <si>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</si>
  <si>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</si>
  <si>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</si>
  <si>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</si>
  <si>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</si>
  <si>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</si>
  <si>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</si>
  <si>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</si>
  <si>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</si>
  <si>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</si>
  <si>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</si>
  <si>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</si>
  <si>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</si>
  <si>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</si>
  <si>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</si>
  <si>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</si>
  <si>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</si>
  <si>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</si>
  <si>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</si>
  <si>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</si>
  <si>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</si>
  <si>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</si>
  <si>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</si>
  <si>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</si>
  <si>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</si>
  <si>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</si>
  <si>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</si>
  <si>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</si>
  <si>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</si>
  <si>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</si>
  <si>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</si>
  <si>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</si>
  <si>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</si>
  <si>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</si>
  <si>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</si>
  <si>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</si>
  <si>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</si>
  <si>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</si>
  <si>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</si>
  <si>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</si>
  <si>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</si>
  <si>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</si>
  <si>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</si>
  <si>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</si>
  <si>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</si>
  <si>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</si>
  <si>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</si>
  <si>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</si>
  <si>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</si>
  <si>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</si>
  <si>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</si>
  <si>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</si>
  <si>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</si>
  <si>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</si>
  <si>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</si>
  <si>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</si>
  <si>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</si>
  <si>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</si>
  <si>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</si>
  <si>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</si>
  <si>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</si>
  <si>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</si>
  <si>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</si>
  <si>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</si>
  <si>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</si>
  <si>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</si>
  <si>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</si>
  <si>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</si>
  <si>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</si>
  <si>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</si>
  <si>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</si>
  <si>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</si>
  <si>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</si>
  <si>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</si>
  <si>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</si>
  <si>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</si>
  <si>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</si>
  <si>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</si>
  <si>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</si>
  <si>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</si>
  <si>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</si>
  <si>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</si>
  <si>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</si>
  <si>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</si>
  <si>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</si>
  <si>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</si>
  <si>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</si>
  <si>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</si>
  <si>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</si>
  <si>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</si>
  <si>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</si>
  <si>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</si>
  <si>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</si>
  <si>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</si>
  <si>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</si>
  <si>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</si>
  <si>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</si>
  <si>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</si>
  <si>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</si>
  <si>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</si>
  <si>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</si>
  <si>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</si>
  <si>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</si>
  <si>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</si>
  <si>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</si>
  <si>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</si>
  <si>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</si>
  <si>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</si>
  <si>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</si>
  <si>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</si>
  <si>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</si>
  <si>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</si>
  <si>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</si>
  <si>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</si>
  <si>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</si>
  <si>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</si>
  <si>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</si>
  <si>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</si>
  <si>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</si>
  <si>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</si>
  <si>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</si>
  <si>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</si>
  <si>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</si>
  <si>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</si>
  <si>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</si>
  <si>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</si>
  <si>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</si>
  <si>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</si>
  <si>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</si>
  <si>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</si>
  <si>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</si>
  <si>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</si>
  <si>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</si>
  <si>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</si>
  <si>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</si>
  <si>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</si>
  <si>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</si>
  <si>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</si>
  <si>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</si>
  <si>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</si>
  <si>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</si>
  <si>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</si>
  <si>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</si>
  <si>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</si>
  <si>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</si>
  <si>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</si>
  <si>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</si>
  <si>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</si>
  <si>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</si>
  <si>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</si>
  <si>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</si>
  <si>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</si>
  <si>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</si>
  <si>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</si>
  <si>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</si>
  <si>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</si>
  <si>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</si>
  <si>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</si>
  <si>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</si>
  <si>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</si>
  <si>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</si>
  <si>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</si>
  <si>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</si>
  <si>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</si>
  <si>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</si>
  <si>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</si>
  <si>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</si>
  <si>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</si>
  <si>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</si>
  <si>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</si>
  <si>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</si>
  <si>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</si>
  <si>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</si>
  <si>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</si>
  <si>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</si>
  <si>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</si>
  <si>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</si>
  <si>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</si>
  <si>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</si>
  <si>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</si>
  <si>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</si>
  <si>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</si>
  <si>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</si>
  <si>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</si>
  <si>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</si>
  <si>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</si>
  <si>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</si>
  <si>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</si>
  <si>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</si>
  <si>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</si>
  <si>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</si>
  <si>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</si>
  <si>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</si>
  <si>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</si>
  <si>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</si>
  <si>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</si>
  <si>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</si>
  <si>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</si>
  <si>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</si>
  <si>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</si>
  <si>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</si>
  <si>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</si>
  <si>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</si>
  <si>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</si>
  <si>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</si>
  <si>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</si>
  <si>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</si>
  <si>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</si>
  <si>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</si>
  <si>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</si>
  <si>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</si>
  <si>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</si>
  <si>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</si>
  <si>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</si>
  <si>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</si>
  <si>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</si>
  <si>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</si>
  <si>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</si>
  <si>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</si>
  <si>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</si>
  <si>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</si>
  <si>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</si>
  <si>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</si>
  <si>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</si>
  <si>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</si>
  <si>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</si>
  <si>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</si>
  <si>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</si>
  <si>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</si>
  <si>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</si>
  <si>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</si>
  <si>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</si>
  <si>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</si>
  <si>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</si>
  <si>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</si>
  <si>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</si>
  <si>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</si>
  <si>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</si>
  <si>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</si>
  <si>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</si>
  <si>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</si>
  <si>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</si>
  <si>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</si>
  <si>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</si>
  <si>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</si>
  <si>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</si>
  <si>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</si>
  <si>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</si>
  <si>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</si>
  <si>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</si>
  <si>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</si>
  <si>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</si>
  <si>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</si>
  <si>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</si>
  <si>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</si>
  <si>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</si>
  <si>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</si>
  <si>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</si>
  <si>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</si>
  <si>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</si>
  <si>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</si>
  <si>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</si>
  <si>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</si>
  <si>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</si>
  <si>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</si>
  <si>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</si>
  <si>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</si>
  <si>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</si>
  <si>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</si>
  <si>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</si>
  <si>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</si>
  <si>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</si>
  <si>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</si>
  <si>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</si>
  <si>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</si>
  <si>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</si>
  <si>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</si>
  <si>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</si>
  <si>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</si>
  <si>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</si>
  <si>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</si>
  <si>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</si>
  <si>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</si>
  <si>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</si>
  <si>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</si>
  <si>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</si>
  <si>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</si>
  <si>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</si>
  <si>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</si>
  <si>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</si>
  <si>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</si>
  <si>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</si>
  <si>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</si>
  <si>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</si>
  <si>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</si>
  <si>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</si>
  <si>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</si>
  <si>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</si>
  <si>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</si>
  <si>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</si>
  <si>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</si>
  <si>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</si>
  <si>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</si>
  <si>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</si>
  <si>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</si>
  <si>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</si>
  <si>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</si>
  <si>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</si>
  <si>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Result</t>
  </si>
  <si>
    <t>MetricData</t>
  </si>
  <si>
    <t>Min</t>
  </si>
  <si>
    <t>Avg</t>
  </si>
  <si>
    <t>Max</t>
  </si>
  <si>
    <t>felix,cecelia</t>
  </si>
  <si>
    <t>Rivas,Brian</t>
  </si>
  <si>
    <t>Espinoza,Frank</t>
  </si>
  <si>
    <t>Howard,Breland Ronniece</t>
  </si>
  <si>
    <t>De Haro,Jennifer</t>
  </si>
  <si>
    <t>Johnson,Jakil Gregory</t>
  </si>
  <si>
    <t>Vargas,Cameron L</t>
  </si>
  <si>
    <t>Castellanos,Celine Silva</t>
  </si>
  <si>
    <t>Reddic,Jordyn</t>
  </si>
  <si>
    <t>Uisetiawan,Reza</t>
  </si>
  <si>
    <t>ringenberg,maryna</t>
  </si>
  <si>
    <t>Ramirez,Roberto Elian</t>
  </si>
  <si>
    <t>Vazquez,Luis</t>
  </si>
  <si>
    <t>Sanchez,Beronica</t>
  </si>
  <si>
    <t>Murillo,Felipe</t>
  </si>
  <si>
    <t>Epley,Katelyn</t>
  </si>
  <si>
    <t>creek,brittney delaney</t>
  </si>
  <si>
    <t>Hanson,Lindsey Jo</t>
  </si>
  <si>
    <t>Johnson,Kyle Thomas</t>
  </si>
  <si>
    <t>Erickson,Carver</t>
  </si>
  <si>
    <t>Cooper,Audrey Hope-sailau</t>
  </si>
  <si>
    <t>james,larissa lynn</t>
  </si>
  <si>
    <t>Roque,Melvin Nuguid</t>
  </si>
  <si>
    <t>Pajares,Roberto</t>
  </si>
  <si>
    <t>flores,bianca stephanie</t>
  </si>
  <si>
    <t>Rodriguez,Gerardo</t>
  </si>
  <si>
    <t>Villalobos,Jake W</t>
  </si>
  <si>
    <t>Nubes,Julio Cesar</t>
  </si>
  <si>
    <t>Jones,Xavier</t>
  </si>
  <si>
    <t>Gertsch,Jessica</t>
  </si>
  <si>
    <t>Employee Name</t>
  </si>
  <si>
    <t>Employee Manager</t>
  </si>
  <si>
    <t>Job Count</t>
  </si>
  <si>
    <t>Category</t>
  </si>
  <si>
    <t>Unit Count</t>
  </si>
  <si>
    <t>Cardenas,Liliana</t>
  </si>
  <si>
    <t>Nacpil,Edward</t>
  </si>
  <si>
    <t>Lopez,Jonathan</t>
  </si>
  <si>
    <t>Rincon,Jasmine</t>
  </si>
  <si>
    <t>Anderson,Briggette Janelle</t>
  </si>
  <si>
    <t>Huerta Romero,Martin A</t>
  </si>
  <si>
    <t>BANOOB,MAIKEL</t>
  </si>
  <si>
    <t>Gonzalez,Reyna</t>
  </si>
  <si>
    <t>Wagner,Michael</t>
  </si>
  <si>
    <t>Marquez,Bryan Aaron</t>
  </si>
  <si>
    <t>Valiente,Luis Marcelo</t>
  </si>
  <si>
    <t>Kilioni,Debra</t>
  </si>
  <si>
    <t>Valencia Garcia,Alfonso</t>
  </si>
  <si>
    <t>Jackson,James</t>
  </si>
  <si>
    <t>Yarber,Danny</t>
  </si>
  <si>
    <t>Barrera,Melissa Elizabeth</t>
  </si>
  <si>
    <t>Valetina,Kasandra Helena</t>
  </si>
  <si>
    <t>santamaria,gustavo</t>
  </si>
  <si>
    <t>Dominguez,Brandon</t>
  </si>
  <si>
    <t>Cassadas,Christopher Adrian</t>
  </si>
  <si>
    <t>Ruiz,Kylee</t>
  </si>
  <si>
    <t>Hernandez,Gabriela</t>
  </si>
  <si>
    <t>AVG (avg: 666.36)</t>
  </si>
  <si>
    <t>2020/09/20 07:00 PDT</t>
  </si>
  <si>
    <t>2020/09/20 08:00 PDT</t>
  </si>
  <si>
    <t>2020/09/20 09:00 PDT</t>
  </si>
  <si>
    <t>2020/09/20 10:00 PDT</t>
  </si>
  <si>
    <t>2020/09/20 11:00 PDT</t>
  </si>
  <si>
    <t>2020/09/20 12:00 PDT</t>
  </si>
  <si>
    <t>2020/09/20 13:00 PDT</t>
  </si>
  <si>
    <t>2020/09/20 14:00 PDT</t>
  </si>
  <si>
    <t>2020/09/20 15:00 PDT</t>
  </si>
  <si>
    <t>2020/09/20 16:00 PDT</t>
  </si>
  <si>
    <t>2020/09/20 17:00 PDT</t>
  </si>
  <si>
    <t>AVG (avg: 706.82)</t>
  </si>
  <si>
    <t>2020/09/21 07:00 PDT</t>
  </si>
  <si>
    <t>2020/09/21 08:00 PDT</t>
  </si>
  <si>
    <t>2020/09/21 09:00 PDT</t>
  </si>
  <si>
    <t>2020/09/21 10:00 PDT</t>
  </si>
  <si>
    <t>2020/09/21 11:00 PDT</t>
  </si>
  <si>
    <t>2020/09/21 12:00 PDT</t>
  </si>
  <si>
    <t>2020/09/21 13:00 PDT</t>
  </si>
  <si>
    <t>2020/09/21 14:00 PDT</t>
  </si>
  <si>
    <t>2020/09/21 15:00 PDT</t>
  </si>
  <si>
    <t>2020/09/21 16:00 PDT</t>
  </si>
  <si>
    <t>2020/09/21 17:00 PDT</t>
  </si>
  <si>
    <t>AVG (avg: 1,207.64)</t>
  </si>
  <si>
    <t>2020/09/22 07:00 PDT</t>
  </si>
  <si>
    <t>2020/09/22 08:00 PDT</t>
  </si>
  <si>
    <t>2020/09/22 09:00 PDT</t>
  </si>
  <si>
    <t>2020/09/22 10:00 PDT</t>
  </si>
  <si>
    <t>2020/09/22 11:00 PDT</t>
  </si>
  <si>
    <t>2020/09/22 12:00 PDT</t>
  </si>
  <si>
    <t>2020/09/22 13:00 PDT</t>
  </si>
  <si>
    <t>2020/09/22 14:00 PDT</t>
  </si>
  <si>
    <t>2020/09/22 15:00 PDT</t>
  </si>
  <si>
    <t>2020/09/22 16:00 PDT</t>
  </si>
  <si>
    <t>2020/09/22 17:00 PDT</t>
  </si>
  <si>
    <t>AVG (avg: 1,405.18)</t>
  </si>
  <si>
    <t>2020/09/23 07:00 PDT</t>
  </si>
  <si>
    <t>2020/09/23 08:00 PDT</t>
  </si>
  <si>
    <t>2020/09/23 09:00 PDT</t>
  </si>
  <si>
    <t>2020/09/23 10:00 PDT</t>
  </si>
  <si>
    <t>2020/09/23 11:00 PDT</t>
  </si>
  <si>
    <t>2020/09/23 12:00 PDT</t>
  </si>
  <si>
    <t>2020/09/23 13:00 PDT</t>
  </si>
  <si>
    <t>2020/09/23 14:00 PDT</t>
  </si>
  <si>
    <t>2020/09/23 15:00 PDT</t>
  </si>
  <si>
    <t>2020/09/23 16:00 PDT</t>
  </si>
  <si>
    <t>2020/09/23 17:00 PDT</t>
  </si>
  <si>
    <t>AVG (avg: 832.45)</t>
  </si>
  <si>
    <t>2020/09/24 07:00 PDT</t>
  </si>
  <si>
    <t>2020/09/24 08:00 PDT</t>
  </si>
  <si>
    <t>2020/09/24 09:00 PDT</t>
  </si>
  <si>
    <t>2020/09/24 10:00 PDT</t>
  </si>
  <si>
    <t>2020/09/24 11:00 PDT</t>
  </si>
  <si>
    <t>2020/09/24 12:00 PDT</t>
  </si>
  <si>
    <t>2020/09/24 13:00 PDT</t>
  </si>
  <si>
    <t>2020/09/24 14:00 PDT</t>
  </si>
  <si>
    <t>2020/09/24 15:00 PDT</t>
  </si>
  <si>
    <t>2020/09/24 16:00 PDT</t>
  </si>
  <si>
    <t>2020/09/24 17:00 PDT</t>
  </si>
  <si>
    <t>AVG (avg: 422.86)</t>
  </si>
  <si>
    <t>2020/09/25 07:00 PDT</t>
  </si>
  <si>
    <t>2020/09/25 08:00 PDT</t>
  </si>
  <si>
    <t>2020/09/25 09:00 PDT</t>
  </si>
  <si>
    <t>2020/09/25 10:00 PDT</t>
  </si>
  <si>
    <t>2020/09/25 11:00 PDT</t>
  </si>
  <si>
    <t>2020/09/25 12:00 PDT</t>
  </si>
  <si>
    <t>2020/09/25 13:00 PDT</t>
  </si>
  <si>
    <t>2020/09/25 14:00 PDT</t>
  </si>
  <si>
    <t>2020/09/25 15:00 PDT</t>
  </si>
  <si>
    <t>2020/09/25 16:00 PDT</t>
  </si>
  <si>
    <t>2020/09/25 17:00 PDT</t>
  </si>
  <si>
    <t>AVG (avg: 560.18)</t>
  </si>
  <si>
    <t>2020/09/26 07:00 PDT</t>
  </si>
  <si>
    <t>2020/09/26 08:00 PDT</t>
  </si>
  <si>
    <t>2020/09/26 09:00 PDT</t>
  </si>
  <si>
    <t>2020/09/26 10:00 PDT</t>
  </si>
  <si>
    <t>2020/09/26 11:00 PDT</t>
  </si>
  <si>
    <t>2020/09/26 12:00 PDT</t>
  </si>
  <si>
    <t>2020/09/26 13:00 PDT</t>
  </si>
  <si>
    <t>2020/09/26 14:00 PDT</t>
  </si>
  <si>
    <t>2020/09/26 15:00 PDT</t>
  </si>
  <si>
    <t>2020/09/26 16:00 PDT</t>
  </si>
  <si>
    <t>2020/09/26 17:00 PDT</t>
  </si>
  <si>
    <t>West,Nathaniel</t>
  </si>
  <si>
    <t>Jones,Alexa A</t>
  </si>
  <si>
    <t>Llamas,Yared</t>
  </si>
  <si>
    <t>metcalf,lance</t>
  </si>
  <si>
    <t>Hupe,Ron</t>
  </si>
  <si>
    <t>Gallegos,Viviana Ruby</t>
  </si>
  <si>
    <t>Guzman,Sheila Abigail</t>
  </si>
  <si>
    <t>Guerrero,Angel Caspar</t>
  </si>
  <si>
    <t>ortiz,Juan</t>
  </si>
  <si>
    <t>Wilson,Delfia LaRee</t>
  </si>
  <si>
    <t>Romero,Elizabeth</t>
  </si>
  <si>
    <t>*before pressing, wait for imports to complete (&lt;2 min depending on wifi)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</si>
</sst>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164" fontId="4" fillId="18" borderId="1" xfId="3" applyNumberFormat="1" applyFont="1" applyFill="1" applyBorder="1" applyAlignment="1">
      <alignment horizontal="center"/>
    </xf>
    <xf numFmtId="0" fontId="2" fillId="12" borderId="0" xfId="3" applyFont="1" applyFill="1" applyBorder="1" applyAlignment="1">
      <alignment horizontal="right"/>
    </xf>
    <xf numFmtId="166" fontId="2" fillId="12" borderId="0" xfId="3" applyNumberFormat="1" applyFont="1" applyFill="1" applyBorder="1" applyAlignment="1">
      <alignment horizontal="right"/>
    </xf>
    <xf numFmtId="0" fontId="2" fillId="12" borderId="0" xfId="3" applyFont="1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9" fillId="12" borderId="0" xfId="4" applyFill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3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397125"/>
          <a:ext cx="337343" cy="1301750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4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625929</xdr:colOff>
      <xdr:row>0</xdr:row>
      <xdr:rowOff>108291</xdr:rowOff>
    </xdr:from>
    <xdr:to>
      <xdr:col>20</xdr:col>
      <xdr:colOff>212611</xdr:colOff>
      <xdr:row>3</xdr:row>
      <xdr:rowOff>117928</xdr:rowOff>
    </xdr:to>
    <xdr:sp macro="[0]!openWebsites" textlink="">
      <xdr:nvSpPr>
        <xdr:cNvPr id="11" name="Rectangle 10"/>
        <xdr:cNvSpPr/>
      </xdr:nvSpPr>
      <xdr:spPr>
        <a:xfrm>
          <a:off x="14478000" y="108291"/>
          <a:ext cx="1709397" cy="57206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192837"/>
          <a:ext cx="337344" cy="1276349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1440658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8" y="2516189"/>
          <a:ext cx="337342" cy="1301751"/>
          <a:chOff x="1428751" y="6369844"/>
          <a:chExt cx="259530" cy="1512094"/>
        </a:xfrm>
      </xdr:grpSpPr>
      <xdr:sp macro="" textlink="">
        <xdr:nvSpPr>
          <xdr:cNvPr id="29" name="Rectangle 28"/>
          <xdr:cNvSpPr/>
        </xdr:nvSpPr>
        <xdr:spPr>
          <a:xfrm>
            <a:off x="1431802" y="7229932"/>
            <a:ext cx="256478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234950</xdr:colOff>
          <xdr:row>3</xdr:row>
          <xdr:rowOff>38100</xdr:rowOff>
        </xdr:from>
        <xdr:to>
          <xdr:col>4</xdr:col>
          <xdr:colOff>704850</xdr:colOff>
          <xdr:row>4</xdr:row>
          <xdr:rowOff>206375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563563</xdr:colOff>
          <xdr:row>0</xdr:row>
          <xdr:rowOff>87312</xdr:rowOff>
        </xdr:from>
        <xdr:to>
          <xdr:col>15</xdr:col>
          <xdr:colOff>414337</xdr:colOff>
          <xdr:row>2</xdr:row>
          <xdr:rowOff>92074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557213</xdr:colOff>
          <xdr:row>3</xdr:row>
          <xdr:rowOff>96838</xdr:rowOff>
        </xdr:from>
        <xdr:to>
          <xdr:col>15</xdr:col>
          <xdr:colOff>407987</xdr:colOff>
          <xdr:row>4</xdr:row>
          <xdr:rowOff>279400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20_2" growShrinkType="overwriteClear" connectionId="47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0_1" growShrinkType="overwriteClear" connectionId="43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0" growShrinkType="overwriteClear" connectionId="40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7_23" growShrinkType="overwriteClear" connectionId="3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_7" growShrinkType="overwriteClear" connectionId="50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7_13" growShrinkType="overwriteClear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7_4" growShrinkType="overwriteClear" connectionId="15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7_15" growShrinkType="overwriteClear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7_5" growShrinkType="overwriteClear" connectionId="29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7_11" growShrinkType="overwriteClear" connectionId="1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4" growShrinkType="overwriteClear" connectionId="25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7_3" growShrinkType="overwriteClear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7_6" growShrinkType="overwriteClear" connectionId="42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7_17" growShrinkType="overwriteClear" connectionId="12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27_22" growShrinkType="overwriteClear" connectionId="22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27_1" growShrinkType="overwriteClear" connectionId="22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27_18" growShrinkType="overwriteClear" connectionId="1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27_2" growShrinkType="overwriteClear" connectionId="52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4_3" growShrinkType="overwriteClear" connectionId="34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27_10" growShrinkType="overwriteClear" connectionId="54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27_12" growShrinkType="overwriteClear" connectionId="3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4_2" growShrinkType="overwriteClear" connectionId="31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27_9" growShrinkType="overwriteClear" connectionId="5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27_16" growShrinkType="overwriteClear" connectionId="10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7_14" growShrinkType="overwriteClear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7_8" growShrinkType="overwriteClear" connectionId="5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7_20" growShrinkType="overwriteClear" connectionId="18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4_1" growShrinkType="overwriteClear" connectionId="28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7_19" growShrinkType="overwriteClear" connectionId="16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27_21" growShrinkType="overwriteClear" connectionId="20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21_2" growShrinkType="overwriteClear" connectionId="47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21_1" growShrinkType="overwriteClear" connectionId="44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1" growShrinkType="overwriteClear" connectionId="41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28_23" growShrinkType="overwriteClear" connectionId="38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8_4" growShrinkType="overwriteClear" connectionId="18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8_13" growShrinkType="overwriteClear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5_1" growShrinkType="overwriteClear" connectionId="28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28_20" growShrinkType="overwriteClear" connectionId="18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28_9" growShrinkType="overwriteClear" connectionId="5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28_15" growShrinkType="overwriteClear" connectionId="9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28_10" growShrinkType="overwriteClear" connectionId="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28_6" growShrinkType="overwriteClear" connectionId="45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8_16" growShrinkType="overwriteClear" connectionId="10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28_1" growShrinkType="overwriteClear" connectionId="33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28_19" growShrinkType="overwriteClear" connectionId="17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5" growShrinkType="overwriteClear" connectionId="2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28_7" growShrinkType="overwriteClear" connectionId="50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28" growShrinkType="overwriteClear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8_21" growShrinkType="overwriteClear" connectionId="20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28_3" growShrinkType="overwriteClear" connectionId="9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28_22" growShrinkType="overwriteClear" connectionId="22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28_5" growShrinkType="overwriteClear" connectionId="32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28_8" growShrinkType="overwriteClear" connectionId="5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28_2" growShrinkType="overwriteClear" connectionId="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5_3" growShrinkType="overwriteClear" connectionId="35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28_17" growShrinkType="overwriteClear" connectionId="12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28_18" growShrinkType="overwriteClear" connectionId="1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5_2" growShrinkType="overwriteClear" connectionId="3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28_12" growShrinkType="overwriteClear" connectionId="3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28_11" growShrinkType="overwriteClear" connectionId="2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28_14" growShrinkType="overwriteClear" connectionId="7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22_2" growShrinkType="overwriteClear" connectionId="47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2_1" growShrinkType="overwriteClear" connectionId="4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22" growShrinkType="overwriteClear" connectionId="41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29_23" growShrinkType="overwriteClear" connectionId="38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29_14" growShrinkType="overwriteClear" connectionId="7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6_2" growShrinkType="overwriteClear" connectionId="3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29_17" growShrinkType="overwriteClear" connectionId="13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9_11" growShrinkType="overwriteClear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29_1" growShrinkType="overwriteClear" connectionId="44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29_7" growShrinkType="overwriteClear" connectionId="5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29_18" growShrinkType="overwriteClear" connectionId="15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6_1" growShrinkType="overwriteClear" connectionId="29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9_15" growShrinkType="overwriteClear" connectionId="9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9_6" growShrinkType="overwriteClear" connectionId="49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29_12" growShrinkType="overwriteClear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29_13" growShrinkType="overwriteClear" connectionId="6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29_16" growShrinkType="overwriteClear" connectionId="11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29_2" growShrinkType="overwriteClear" connectionId="2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29_19" growShrinkType="overwriteClear" connectionId="17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29_20" growShrinkType="overwriteClear" connectionId="19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6" growShrinkType="overwriteClear" connectionId="26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29_3" growShrinkType="overwriteClear" connectionId="11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29" growShrinkType="overwriteClear" connectionId="11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29_10" growShrinkType="overwriteClear" connectionId="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29_8" growShrinkType="overwriteClear" connectionId="52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29_22" growShrinkType="overwriteClear" connectionId="2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29_9" growShrinkType="overwriteClear" connectionId="53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29_4" growShrinkType="overwriteClear" connectionId="20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29_21" growShrinkType="overwriteClear" connectionId="2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6_3" growShrinkType="overwriteClear" connectionId="35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29_5" growShrinkType="overwriteClear" connectionId="358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20_2" growShrinkType="overwriteClear" connectionId="46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20_1" firstBackgroundRefresh="1" growShrinkType="overwriteClear" connectionId="43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27_23" growShrinkType="overwriteClear" connectionId="37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27_7" growShrinkType="overwriteClear" connectionId="51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27" growShrinkType="overwriteClear" connectionId="51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27_12" growShrinkType="overwriteClear" connectionId="5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27_17" growShrinkType="overwriteClear" connectionId="14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27_13" growShrinkType="overwriteClear" connectionId="6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4" growShrinkType="overwriteClear" connectionId="25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27_6" growShrinkType="overwriteClear" connectionId="50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27_18" growShrinkType="overwriteClear" connectionId="14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27_15" growShrinkType="overwriteClear" connectionId="10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27_8" growShrinkType="overwriteClear" connectionId="530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27_22" growShrinkType="overwriteClear" connectionId="21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27_4" growShrinkType="overwriteClear" connectionId="28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27_1" growShrinkType="overwriteClear" connectionId="5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27_14" growShrinkType="overwriteClear" connectionId="8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4_3" growShrinkType="overwriteClear" connectionId="34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27_20" growShrinkType="overwriteClear" connectionId="18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27_16" growShrinkType="overwriteClear" connectionId="12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4_2" growShrinkType="overwriteClear" connectionId="31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27_19" growShrinkType="overwriteClear" connectionId="166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27_21" growShrinkType="overwriteClear" connectionId="20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27_3" growShrinkType="overwriteClear" connectionId="23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27_9" firstBackgroundRefresh="1" growShrinkType="overwriteClear" connectionId="54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27_11" growShrinkType="overwriteClear" connectionId="3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4_1" growShrinkType="overwriteClear" connectionId="28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27_5" growShrinkType="overwriteClear" connectionId="41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27_10" growShrinkType="overwriteClear" connectionId="1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27_2" growShrinkType="overwriteClear" connectionId="147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21_2" growShrinkType="overwriteClear" connectionId="47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21_1" firstBackgroundRefresh="1" growShrinkType="overwriteClear" connectionId="44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28_23" growShrinkType="overwriteClear" connectionId="37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8_16" growShrinkType="overwriteClear" connectionId="12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5_1" growShrinkType="overwriteClear" connectionId="28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28_12" growShrinkType="overwriteClear" connectionId="5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28_3" growShrinkType="overwriteClear" connectionId="24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28_13" growShrinkType="overwriteClear" connectionId="7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28_19" growShrinkType="overwriteClear" connectionId="17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28_9" firstBackgroundRefresh="1" growShrinkType="overwriteClear" connectionId="54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28_21" growShrinkType="overwriteClear" connectionId="20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28" growShrinkType="overwriteClear" connectionId="53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28_2" growShrinkType="overwriteClear" connectionId="16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5" growShrinkType="overwriteClear" connectionId="25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28_17" growShrinkType="overwriteClear" connectionId="14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28_14" growShrinkType="overwriteClear" connectionId="9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28_1" growShrinkType="overwriteClear" connectionId="8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28_18" growShrinkType="overwriteClear" connectionId="15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28_22" growShrinkType="overwriteClear" connectionId="22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28_8" growShrinkType="overwriteClear" connectionId="53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28_5" growShrinkType="overwriteClear" connectionId="44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28_15" growShrinkType="overwriteClear" connectionId="108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5_3" growShrinkType="overwriteClear" connectionId="34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8_4" growShrinkType="overwriteClear" connectionId="31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28_7" growShrinkType="overwriteClear" connectionId="52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5_2" growShrinkType="overwriteClear" connectionId="31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28_20" growShrinkType="overwriteClear" connectionId="18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28_10" growShrinkType="overwriteClear" connectionId="2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28_11" growShrinkType="overwriteClear" connectionId="3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28_6" firstBackgroundRefresh="1" growShrinkType="overwriteClear" connectionId="50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22_2" growShrinkType="overwriteClear" connectionId="47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22_1" firstBackgroundRefresh="1" growShrinkType="overwriteClear" connectionId="44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29_23" growShrinkType="overwriteClear" connectionId="38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6_2" firstBackgroundRefresh="1" growShrinkType="overwriteClear" connectionId="32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29_6" firstBackgroundRefresh="1" growShrinkType="overwriteClear" connectionId="51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29_12" growShrinkType="overwriteClear" connectionId="6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29_8" growShrinkType="overwriteClear" connectionId="536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29_4" growShrinkType="overwriteClear" connectionId="34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29_13" growShrinkType="overwriteClear" connectionId="7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6_1" growShrinkType="overwriteClear" connectionId="29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29_16" growShrinkType="overwriteClear" connectionId="13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9_2" growShrinkType="overwriteClear" connectionId="19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29_19" growShrinkType="overwriteClear" connectionId="17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29_20" growShrinkType="overwriteClear" connectionId="19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29_21" growShrinkType="overwriteClear" connectionId="210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29_14" growShrinkType="overwriteClear" connectionId="9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29_9" firstBackgroundRefresh="1" growShrinkType="overwriteClear" connectionId="7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6" growShrinkType="overwriteClear" connectionId="26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29_7" growShrinkType="overwriteClear" connectionId="52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29_11" growShrinkType="overwriteClear" connectionId="4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29_10" growShrinkType="overwriteClear" connectionId="2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29_5" growShrinkType="overwriteClear" connectionId="48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29_22" growShrinkType="overwriteClear" connectionId="22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29_17" growShrinkType="overwriteClear" connectionId="14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29_15" growShrinkType="overwriteClear" connectionId="11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29_3" growShrinkType="overwriteClear" connectionId="258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6_3" growShrinkType="overwriteClear" connectionId="35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29_18" growShrinkType="overwriteClear" connectionId="15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29_1" growShrinkType="overwriteClear" connectionId="102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23_2" growShrinkType="overwriteClear" connectionId="48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23_1" firstBackgroundRefresh="1" growShrinkType="overwriteClear" connectionId="45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30_23" growShrinkType="overwriteClear" connectionId="38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30_14" growShrinkType="overwriteClear" connectionId="9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30_15" growShrinkType="overwriteClear" connectionId="11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30_8" growShrinkType="overwriteClear" connectionId="54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30_18" growShrinkType="overwriteClear" connectionId="16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7" growShrinkType="overwriteClear" connectionId="26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30_20" growShrinkType="overwriteClear" connectionId="197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30_1" growShrinkType="overwriteClear" connectionId="12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30_4" growShrinkType="overwriteClear" connectionId="38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30_16" growShrinkType="overwriteClear" connectionId="135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30_22" growShrinkType="overwriteClear" connectionId="23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30_19" growShrinkType="overwriteClear" connectionId="17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30_3" growShrinkType="overwriteClear" connectionId="26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30_9" firstBackgroundRefresh="1" growShrinkType="overwriteClear" connectionId="1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7_3" growShrinkType="overwriteClear" connectionId="35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30_11" growShrinkType="overwriteClear" connectionId="46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30_21" growShrinkType="overwriteClear" connectionId="21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7_2" firstBackgroundRefresh="1" growShrinkType="overwriteClear" connectionId="326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30_5" growShrinkType="overwriteClear" connectionId="50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30_10" growShrinkType="overwriteClear" connectionId="2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30_2" growShrinkType="overwriteClear" connectionId="21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30_7" growShrinkType="overwriteClear" connectionId="52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30_12" growShrinkType="overwriteClear" connectionId="6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7_1" growShrinkType="overwriteClear" connectionId="29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30_6" firstBackgroundRefresh="1" growShrinkType="overwriteClear" connectionId="51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30_17" growShrinkType="overwriteClear" connectionId="146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30_13" growShrinkType="overwriteClear" connectionId="8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23_2" growShrinkType="overwriteClear" connectionId="48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23_1" growShrinkType="overwriteClear" connectionId="45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23" growShrinkType="overwriteClear" connectionId="42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30_22" growShrinkType="overwriteClear" connectionId="389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7_1" growShrinkType="overwriteClear" connectionId="29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30_5" growShrinkType="overwriteClear" connectionId="50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30_9" growShrinkType="overwriteClear" connectionId="1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30_17" growShrinkType="overwriteClear" connectionId="16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30_7" growShrinkType="overwriteClear" connectionId="52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30_12" growShrinkType="overwriteClear" connectionId="6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30_3" growShrinkType="overwriteClear" connectionId="225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30_13" growShrinkType="overwriteClear" connectionId="83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7" growShrinkType="overwriteClear" connectionId="265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30_15" growShrinkType="overwriteClear" connectionId="11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30_2" growShrinkType="overwriteClear" connectionId="13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30_19" growShrinkType="overwriteClear" connectionId="198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30_4" growShrinkType="overwriteClear" connectionId="39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30_21" growShrinkType="overwriteClear" connectionId="23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30" growShrinkType="overwriteClear" connectionId="504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30_1" growShrinkType="overwriteClear" connectionId="4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30_11" growShrinkType="overwriteClear" connectionId="4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7_3" growShrinkType="overwriteClear" connectionId="35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30_20" growShrinkType="overwriteClear" connectionId="21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30_8" growShrinkType="overwriteClear" connectionId="54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7_2" growShrinkType="overwriteClear" connectionId="32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30_14" growShrinkType="overwriteClear" connectionId="10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30_16" growShrinkType="overwriteClear" connectionId="137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30_10" growShrinkType="overwriteClear" connectionId="30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30_18" growShrinkType="overwriteClear" connectionId="18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30_6" growShrinkType="overwriteClear" connectionId="51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20_2" growShrinkType="overwriteClear" connectionId="47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20_1" firstBackgroundRefresh="1" growShrinkType="overwriteClear" connectionId="43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20" growShrinkType="overwriteClear" connectionId="40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27_18" growShrinkType="overwriteClear" connectionId="37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27_10" growShrinkType="overwriteClear" connectionId="8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4_2" growShrinkType="overwriteClear" connectionId="31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27_7" growShrinkType="overwriteClear" connectionId="35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27_3" growShrinkType="overwriteClear" connectionId="519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27_16" growShrinkType="overwriteClear" connectionId="20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27_12" growShrinkType="overwriteClear" connectionId="12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4_1" growShrinkType="overwriteClear" connectionId="28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27_13" growShrinkType="overwriteClear" connectionId="15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27_14" growShrinkType="overwriteClear" connectionId="168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27_4" growShrinkType="overwriteClear" connectionId="53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27_6" growShrinkType="overwriteClear" connectionId="1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27_5" growShrinkType="overwriteClear" connectionId="545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27_15" growShrinkType="overwriteClear" connectionId="18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4" growShrinkType="overwriteClear" connectionId="253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27_1" growShrinkType="overwriteClear" connectionId="43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27_8" growShrinkType="overwriteClear" connectionId="5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27_2" growShrinkType="overwriteClear" connectionId="50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27_17" growShrinkType="overwriteClear" connectionId="22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27" growShrinkType="overwriteClear" connectionId="30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27_11" growShrinkType="overwriteClear" connectionId="10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4_3" growShrinkType="overwriteClear" connectionId="34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27_9" growShrinkType="overwriteClear" connectionId="7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21_2" growShrinkType="overwriteClear" connectionId="47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21_1" firstBackgroundRefresh="1" growShrinkType="overwriteClear" connectionId="443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21" growShrinkType="overwriteClear" connectionId="41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28_18" growShrinkType="overwriteClear" connectionId="38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28_17" growShrinkType="overwriteClear" connectionId="22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8_11" growShrinkType="overwriteClear" connectionId="110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28_13" growShrinkType="overwriteClear" connectionId="15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5_3" growShrinkType="overwriteClear" connectionId="35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28_10" growShrinkType="overwriteClear" connectionId="93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28_3" growShrinkType="overwriteClear" connectionId="522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5_2" growShrinkType="overwriteClear" connectionId="319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28_5" firstBackgroundRefresh="1" growShrinkType="overwriteClear" connectionId="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28_16" growShrinkType="overwriteClear" connectionId="20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28_4" growShrinkType="overwriteClear" connectionId="535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28_7" growShrinkType="overwriteClear" connectionId="4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5_1" growShrinkType="overwriteClear" connectionId="288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28_14" growShrinkType="overwriteClear" connectionId="17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28_6" growShrinkType="overwriteClear" connectionId="2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28_1" growShrinkType="overwriteClear" connectionId="469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28_9" growShrinkType="overwriteClear" connectionId="7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28_15" growShrinkType="overwriteClear" connectionId="190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28_12" growShrinkType="overwriteClear" connectionId="129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5" growShrinkType="overwriteClear" connectionId="25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28_2" firstBackgroundRefresh="1" growShrinkType="overwriteClear" connectionId="50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28_8" growShrinkType="overwriteClear" connectionId="5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28" growShrinkType="overwriteClear" connectionId="33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22_2" growShrinkType="overwriteClear" connectionId="47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22_1" firstBackgroundRefresh="1" growShrinkType="overwriteClear" connectionId="44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22" growShrinkType="overwriteClear" connectionId="41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29_18" growShrinkType="overwriteClear" connectionId="38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6_1" growShrinkType="overwriteClear" connectionId="29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29_16" growShrinkType="overwriteClear" connectionId="21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29_6" growShrinkType="overwriteClear" connectionId="2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29_10" growShrinkType="overwriteClear" connectionId="9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29_5" firstBackgroundRefresh="1" growShrinkType="overwriteClear" connectionId="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29_4" growShrinkType="overwriteClear" connectionId="53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29_7" growShrinkType="overwriteClear" connectionId="4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6" growShrinkType="overwriteClear" connectionId="26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29_8" growShrinkType="overwriteClear" connectionId="62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29_9" growShrinkType="overwriteClear" connectionId="79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29_12" growShrinkType="overwriteClear" connectionId="13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29_17" growShrinkType="overwriteClear" connectionId="23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29_1" growShrinkType="overwriteClear" connectionId="499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29_2" firstBackgroundRefresh="1" growShrinkType="overwriteClear" connectionId="51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6_3" growShrinkType="overwriteClear" connectionId="355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29_15" growShrinkType="overwriteClear" connectionId="195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29" growShrinkType="overwriteClear" connectionId="369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6_2" firstBackgroundRefresh="1" growShrinkType="overwriteClear" connectionId="32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29_11" growShrinkType="overwriteClear" connectionId="116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29_13" growShrinkType="overwriteClear" connectionId="16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29_14" growShrinkType="overwriteClear" connectionId="17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29_3" growShrinkType="overwriteClear" connectionId="52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23_2" growShrinkType="overwriteClear" connectionId="48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23_1" firstBackgroundRefresh="1" growShrinkType="overwriteClear" connectionId="45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23" growShrinkType="overwriteClear" connectionId="42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30_18" growShrinkType="overwriteClear" connectionId="39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7_2" firstBackgroundRefresh="1" growShrinkType="overwriteClear" connectionId="32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30_13" growShrinkType="overwriteClear" connectionId="16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30_14" growShrinkType="overwriteClear" connectionId="182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30" growShrinkType="overwriteClear" connectionId="40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30_3" growShrinkType="overwriteClear" connectionId="52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7_1" growShrinkType="overwriteClear" connectionId="29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30_8" growShrinkType="overwriteClear" connectionId="6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30_7" growShrinkType="overwriteClear" connectionId="4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30_15" growShrinkType="overwriteClear" connectionId="199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30_11" growShrinkType="overwriteClear" connectionId="12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30_9" growShrinkType="overwriteClear" connectionId="84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30_5" firstBackgroundRefresh="1" growShrinkType="overwriteClear" connectionId="1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7" growShrinkType="overwriteClear" connectionId="26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30_6" growShrinkType="overwriteClear" connectionId="3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30_2" firstBackgroundRefresh="1" growShrinkType="overwriteClear" connectionId="51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30_1" growShrinkType="overwriteClear" connectionId="502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30_17" growShrinkType="overwriteClear" connectionId="23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30_10" growShrinkType="overwriteClear" connectionId="10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30_16" growShrinkType="overwriteClear" connectionId="217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7_3" growShrinkType="overwriteClear" connectionId="360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30_12" growShrinkType="overwriteClear" connectionId="138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30_4" growShrinkType="overwriteClear" connectionId="54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20_2" growShrinkType="overwriteClear" connectionId="47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20_1" firstBackgroundRefresh="1" growShrinkType="overwriteClear" connectionId="44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20" growShrinkType="overwriteClear" connectionId="409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27_14" growShrinkType="overwriteClear" connectionId="378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27_10" growShrinkType="overwriteClear" connectionId="17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27_13" growShrinkType="overwriteClear" connectionId="22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27_12" growShrinkType="overwriteClear" connectionId="20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27_9" growShrinkType="overwriteClear" connectionId="152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4_3" growShrinkType="overwriteClear" connectionId="34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27_1" growShrinkType="overwriteClear" connectionId="19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4_2" growShrinkType="overwriteClear" connectionId="31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27" firstBackgroundRefresh="1" growShrinkType="overwriteClear" connectionId="54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27_11" growShrinkType="overwriteClear" connectionId="187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27_4" growShrinkType="overwriteClear" connectionId="7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4_1" growShrinkType="overwriteClear" connectionId="285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27_5" growShrinkType="overwriteClear" connectionId="8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27_2" growShrinkType="overwriteClear" connectionId="37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27_8" growShrinkType="overwriteClear" connectionId="14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27_6" growShrinkType="overwriteClear" connectionId="10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27_3" firstBackgroundRefresh="1" growShrinkType="overwriteClear" connectionId="5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4" growShrinkType="overwriteClear" connectionId="25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27_7" growShrinkType="overwriteClear" connectionId="12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21_2" growShrinkType="overwriteClear" connectionId="476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21_1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21" growShrinkType="overwriteClear" connectionId="41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28_14" growShrinkType="overwriteClear" connectionId="383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28_1" growShrinkType="overwriteClear" connectionId="2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28_4" growShrinkType="overwriteClear" connectionId="7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28_5" growShrinkType="overwriteClear" connectionId="9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28_3" firstBackgroundRefresh="1" growShrinkType="overwriteClear" connectionId="5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28_7" growShrinkType="overwriteClear" connectionId="130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5_1" growShrinkType="overwriteClear" connectionId="28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28_8" growShrinkType="overwriteClear" connectionId="14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28_11" growShrinkType="overwriteClear" connectionId="192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28_10" growShrinkType="overwriteClear" connectionId="17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5" growShrinkType="overwriteClear" connectionId="259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28" firstBackgroundRefresh="1" growShrinkType="overwriteClear" connectionId="6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28_13" growShrinkType="overwriteClear" connectionId="228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28_2" growShrinkType="overwriteClear" connectionId="4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5_3" growShrinkType="overwriteClear" connectionId="35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28_9" growShrinkType="overwriteClear" connectionId="15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28_6" growShrinkType="overwriteClear" connectionId="111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28_12" growShrinkType="overwriteClear" connectionId="209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5_2" growShrinkType="overwriteClear" connectionId="320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22_2" growShrinkType="overwriteClear" connectionId="48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22_1" firstBackgroundRefresh="1" growShrinkType="overwriteClear" connectionId="450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22" growShrinkType="overwriteClear" connectionId="41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29_14" growShrinkType="overwriteClear" connectionId="387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6_2" firstBackgroundRefresh="1" growShrinkType="overwriteClear" connectionId="32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29_2" growShrinkType="overwriteClear" connectionId="45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29_10" growShrinkType="overwriteClear" connectionId="17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29_7" growShrinkType="overwriteClear" connectionId="13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6_1" growShrinkType="overwriteClear" connectionId="294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29_8" growShrinkType="overwriteClear" connectionId="14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29_5" growShrinkType="overwriteClear" connectionId="9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29_12" growShrinkType="overwriteClear" connectionId="21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29_4" growShrinkType="overwriteClear" connectionId="81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29_11" growShrinkType="overwriteClear" connectionId="196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6" growShrinkType="overwriteClear" connectionId="26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29" firstBackgroundRefresh="1" growShrinkType="overwriteClear" connectionId="10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29_3" firstBackgroundRefresh="1" growShrinkType="overwriteClear" connectionId="63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29_13" growShrinkType="overwriteClear" connectionId="23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29_6" growShrinkType="overwriteClear" connectionId="117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29_1" growShrinkType="overwriteClear" connectionId="2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6_3" growShrinkType="overwriteClear" connectionId="356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29_9" growShrinkType="overwriteClear" connectionId="16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23_2" growShrinkType="overwriteClear" connectionId="485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23_1" firstBackgroundRefresh="1" growShrinkType="overwriteClear" connectionId="45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23" growShrinkType="overwriteClear" connectionId="42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30_14" growShrinkType="overwriteClear" connectionId="39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30_13" growShrinkType="overwriteClear" connectionId="23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30" firstBackgroundRefresh="1" growShrinkType="overwriteClear" connectionId="1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30_3" firstBackgroundRefresh="1" growShrinkType="overwriteClear" connectionId="6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7_3" growShrinkType="overwriteClear" connectionId="36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30_6" growShrinkType="overwriteClear" connectionId="12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7_2" firstBackgroundRefresh="1" growShrinkType="overwriteClear" connectionId="329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30_10" growShrinkType="overwriteClear" connectionId="18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30_7" growShrinkType="overwriteClear" connectionId="139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30_2" growShrinkType="overwriteClear" connectionId="5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7_1" growShrinkType="overwriteClear" connectionId="29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30_4" growShrinkType="overwriteClear" connectionId="8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30_12" growShrinkType="overwriteClear" connectionId="21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30_9" growShrinkType="overwriteClear" connectionId="16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30_11" growShrinkType="overwriteClear" connectionId="20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30_1" growShrinkType="overwriteClear" connectionId="3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7" growShrinkType="overwriteClear" connectionId="267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30_8" growShrinkType="overwriteClear" connectionId="14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30_5" growShrinkType="overwriteClear" connectionId="103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24_2" growShrinkType="overwriteClear" connectionId="486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24_1" firstBackgroundRefresh="1" growShrinkType="overwriteClear" connectionId="45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24" growShrinkType="overwriteClear" connectionId="423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1_1" growShrinkType="overwriteClear" connectionId="393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8_2" firstBackgroundRefresh="1" growShrinkType="overwriteClear" connectionId="330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8_1" growShrinkType="overwriteClear" connectionId="299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8" growShrinkType="overwriteClear" connectionId="268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1" growShrinkType="overwriteClear" connectionId="23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8_3" growShrinkType="overwriteClear" connectionId="36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24_2" growShrinkType="overwriteClear" connectionId="487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24_1" growShrinkType="overwriteClear" connectionId="45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24" growShrinkType="overwriteClear" connectionId="42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1_1" growShrinkType="overwriteClear" connectionId="39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8_2" growShrinkType="overwriteClear" connectionId="33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8_1" growShrinkType="overwriteClear" connectionId="30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8" growShrinkType="overwriteClear" connectionId="27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1" growShrinkType="overwriteClear" connectionId="23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8_3" growShrinkType="overwriteClear" connectionId="363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24_2" growShrinkType="overwriteClear" connectionId="48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24_1" firstBackgroundRefresh="1" growShrinkType="overwriteClear" connectionId="45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24" growShrinkType="overwriteClear" connectionId="42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1_1" growShrinkType="overwriteClear" connectionId="39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8_2" firstBackgroundRefresh="1" growShrinkType="overwriteClear" connectionId="33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8_1" growShrinkType="overwriteClear" connectionId="301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8" growShrinkType="overwriteClear" connectionId="27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1" growShrinkType="overwriteClear" connectionId="24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8_3" growShrinkType="overwriteClear" connectionId="36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24_2" growShrinkType="overwriteClear" connectionId="489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24_1" firstBackgroundRefresh="1" growShrinkType="overwriteClear" connectionId="45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24" growShrinkType="overwriteClear" connectionId="42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1_1" growShrinkType="overwriteClear" connectionId="396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8_2" firstBackgroundRefresh="1" growShrinkType="overwriteClear" connectionId="333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8_1" growShrinkType="overwriteClear" connectionId="30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8" growShrinkType="overwriteClear" connectionId="272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" growShrinkType="overwriteClear" connectionId="241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8_3" growShrinkType="overwriteClear" connectionId="36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25_2" growShrinkType="overwriteClear" connectionId="490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25_1" firstBackgroundRefresh="1" growShrinkType="overwriteClear" connectionId="460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25" growShrinkType="overwriteClear" connectionId="428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2_1" growShrinkType="overwriteClear" connectionId="397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9_2" firstBackgroundRefresh="1" growShrinkType="overwriteClear" connectionId="33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9_1" growShrinkType="overwriteClear" connectionId="30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9" growShrinkType="overwriteClear" connectionId="27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2" growShrinkType="overwriteClear" connectionId="24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9_3" growShrinkType="overwriteClear" connectionId="36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25_2" growShrinkType="overwriteClear" connectionId="492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25_1" growShrinkType="overwriteClear" connectionId="461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25" growShrinkType="overwriteClear" connectionId="429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2_1" growShrinkType="overwriteClear" connectionId="398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9_2" growShrinkType="overwriteClear" connectionId="337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9_1" growShrinkType="overwriteClear" connectionId="305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9" growShrinkType="overwriteClear" connectionId="27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2" growShrinkType="overwriteClear" connectionId="24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9_3" growShrinkType="overwriteClear" connectionId="367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25_2" growShrinkType="overwriteClear" connectionId="493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25_1" firstBackgroundRefresh="1" growShrinkType="overwriteClear" connectionId="462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25" growShrinkType="overwriteClear" connectionId="430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2_1" growShrinkType="overwriteClear" connectionId="399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9_2" firstBackgroundRefresh="1" growShrinkType="overwriteClear" connectionId="338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9_1" growShrinkType="overwriteClear" connectionId="306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9" growShrinkType="overwriteClear" connectionId="275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2" growShrinkType="overwriteClear" connectionId="244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9_3" growShrinkType="overwriteClear" connectionId="36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25_2" growShrinkType="overwriteClear" connectionId="49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25_1" firstBackgroundRefresh="1" growShrinkType="overwriteClear" connectionId="46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25" firstBackgroundRefresh="1" growShrinkType="overwriteClear" connectionId="43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2_1" growShrinkType="overwriteClear" connectionId="400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9_2" firstBackgroundRefresh="1" growShrinkType="overwriteClear" connectionId="339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9_1" growShrinkType="overwriteClear" connectionId="307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9" growShrinkType="overwriteClear" connectionId="276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2" growShrinkType="overwriteClear" connectionId="24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9_3" growShrinkType="overwriteClear" connectionId="37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26_2" growShrinkType="overwriteClear" connectionId="49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26_1" firstBackgroundRefresh="1" growShrinkType="overwriteClear" connectionId="46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26" growShrinkType="overwriteClear" connectionId="43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3_1" growShrinkType="overwriteClear" connectionId="401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10_2" firstBackgroundRefresh="1" growShrinkType="overwriteClear" connectionId="34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10_1" growShrinkType="overwriteClear" connectionId="308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10" growShrinkType="overwriteClear" connectionId="277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3" growShrinkType="overwriteClear" connectionId="246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10_3" growShrinkType="overwriteClear" connectionId="37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26_2" growShrinkType="overwriteClear" connectionId="496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26_1" growShrinkType="overwriteClear" connectionId="465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26" growShrinkType="overwriteClear" connectionId="433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3_1" growShrinkType="overwriteClear" connectionId="403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0_2" growShrinkType="overwriteClear" connectionId="341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10_1" growShrinkType="overwriteClear" connectionId="309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10" growShrinkType="overwriteClear" connectionId="278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3" growShrinkType="overwriteClear" connectionId="24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10_3" growShrinkType="overwriteClear" connectionId="37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26_2" growShrinkType="overwriteClear" connectionId="497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26_1" firstBackgroundRefresh="1" growShrinkType="overwriteClear" connectionId="46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26" firstBackgroundRefresh="1" growShrinkType="overwriteClear" connectionId="434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3_1" growShrinkType="overwriteClear" connectionId="40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10_2" firstBackgroundRefresh="1" growShrinkType="overwriteClear" connectionId="34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10_1" growShrinkType="overwriteClear" connectionId="310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10" growShrinkType="overwriteClear" connectionId="279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3" growShrinkType="overwriteClear" connectionId="249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10_3" growShrinkType="overwriteClear" connectionId="373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26_2" growShrinkType="overwriteClear" connectionId="49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26_1" firstBackgroundRefresh="1" growShrinkType="overwriteClear" connectionId="46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26" firstBackgroundRefresh="1" growShrinkType="overwriteClear" connectionId="43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3_1" growShrinkType="overwriteClear" connectionId="405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10_2" firstBackgroundRefresh="1" growShrinkType="overwriteClear" connectionId="343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10_1" growShrinkType="overwriteClear" connectionId="311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10" growShrinkType="overwriteClear" connectionId="281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3" growShrinkType="overwriteClear" connectionId="250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10_3" growShrinkType="overwriteClear" connectionId="37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9.xml"/><Relationship Id="rId13" Type="http://schemas.openxmlformats.org/officeDocument/2006/relationships/queryTable" Target="../queryTables/queryTable44.xml"/><Relationship Id="rId18" Type="http://schemas.openxmlformats.org/officeDocument/2006/relationships/queryTable" Target="../queryTables/queryTable49.xml"/><Relationship Id="rId26" Type="http://schemas.openxmlformats.org/officeDocument/2006/relationships/queryTable" Target="../queryTables/queryTable57.xml"/><Relationship Id="rId3" Type="http://schemas.openxmlformats.org/officeDocument/2006/relationships/queryTable" Target="../queryTables/queryTable34.xml"/><Relationship Id="rId21" Type="http://schemas.openxmlformats.org/officeDocument/2006/relationships/queryTable" Target="../queryTables/queryTable52.xml"/><Relationship Id="rId7" Type="http://schemas.openxmlformats.org/officeDocument/2006/relationships/queryTable" Target="../queryTables/queryTable38.xml"/><Relationship Id="rId12" Type="http://schemas.openxmlformats.org/officeDocument/2006/relationships/queryTable" Target="../queryTables/queryTable43.xml"/><Relationship Id="rId17" Type="http://schemas.openxmlformats.org/officeDocument/2006/relationships/queryTable" Target="../queryTables/queryTable48.xml"/><Relationship Id="rId25" Type="http://schemas.openxmlformats.org/officeDocument/2006/relationships/queryTable" Target="../queryTables/queryTable56.xml"/><Relationship Id="rId2" Type="http://schemas.openxmlformats.org/officeDocument/2006/relationships/queryTable" Target="../queryTables/queryTable33.xml"/><Relationship Id="rId16" Type="http://schemas.openxmlformats.org/officeDocument/2006/relationships/queryTable" Target="../queryTables/queryTable47.xml"/><Relationship Id="rId20" Type="http://schemas.openxmlformats.org/officeDocument/2006/relationships/queryTable" Target="../queryTables/queryTable51.xml"/><Relationship Id="rId29" Type="http://schemas.openxmlformats.org/officeDocument/2006/relationships/queryTable" Target="../queryTables/queryTable60.xml"/><Relationship Id="rId1" Type="http://schemas.openxmlformats.org/officeDocument/2006/relationships/queryTable" Target="../queryTables/queryTable32.xml"/><Relationship Id="rId6" Type="http://schemas.openxmlformats.org/officeDocument/2006/relationships/queryTable" Target="../queryTables/queryTable37.xml"/><Relationship Id="rId11" Type="http://schemas.openxmlformats.org/officeDocument/2006/relationships/queryTable" Target="../queryTables/queryTable42.xml"/><Relationship Id="rId24" Type="http://schemas.openxmlformats.org/officeDocument/2006/relationships/queryTable" Target="../queryTables/queryTable55.xml"/><Relationship Id="rId5" Type="http://schemas.openxmlformats.org/officeDocument/2006/relationships/queryTable" Target="../queryTables/queryTable36.xml"/><Relationship Id="rId15" Type="http://schemas.openxmlformats.org/officeDocument/2006/relationships/queryTable" Target="../queryTables/queryTable46.xml"/><Relationship Id="rId23" Type="http://schemas.openxmlformats.org/officeDocument/2006/relationships/queryTable" Target="../queryTables/queryTable54.xml"/><Relationship Id="rId28" Type="http://schemas.openxmlformats.org/officeDocument/2006/relationships/queryTable" Target="../queryTables/queryTable59.xml"/><Relationship Id="rId10" Type="http://schemas.openxmlformats.org/officeDocument/2006/relationships/queryTable" Target="../queryTables/queryTable41.xml"/><Relationship Id="rId19" Type="http://schemas.openxmlformats.org/officeDocument/2006/relationships/queryTable" Target="../queryTables/queryTable50.xml"/><Relationship Id="rId31" Type="http://schemas.openxmlformats.org/officeDocument/2006/relationships/queryTable" Target="../queryTables/queryTable62.xml"/><Relationship Id="rId4" Type="http://schemas.openxmlformats.org/officeDocument/2006/relationships/queryTable" Target="../queryTables/queryTable35.xml"/><Relationship Id="rId9" Type="http://schemas.openxmlformats.org/officeDocument/2006/relationships/queryTable" Target="../queryTables/queryTable40.xml"/><Relationship Id="rId14" Type="http://schemas.openxmlformats.org/officeDocument/2006/relationships/queryTable" Target="../queryTables/queryTable45.xml"/><Relationship Id="rId22" Type="http://schemas.openxmlformats.org/officeDocument/2006/relationships/queryTable" Target="../queryTables/queryTable53.xml"/><Relationship Id="rId27" Type="http://schemas.openxmlformats.org/officeDocument/2006/relationships/queryTable" Target="../queryTables/queryTable58.xml"/><Relationship Id="rId30" Type="http://schemas.openxmlformats.org/officeDocument/2006/relationships/queryTable" Target="../queryTables/queryTable6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0.xml"/><Relationship Id="rId13" Type="http://schemas.openxmlformats.org/officeDocument/2006/relationships/queryTable" Target="../queryTables/queryTable75.xml"/><Relationship Id="rId18" Type="http://schemas.openxmlformats.org/officeDocument/2006/relationships/queryTable" Target="../queryTables/queryTable80.xml"/><Relationship Id="rId26" Type="http://schemas.openxmlformats.org/officeDocument/2006/relationships/queryTable" Target="../queryTables/queryTable88.xml"/><Relationship Id="rId3" Type="http://schemas.openxmlformats.org/officeDocument/2006/relationships/queryTable" Target="../queryTables/queryTable65.xml"/><Relationship Id="rId21" Type="http://schemas.openxmlformats.org/officeDocument/2006/relationships/queryTable" Target="../queryTables/queryTable83.xml"/><Relationship Id="rId7" Type="http://schemas.openxmlformats.org/officeDocument/2006/relationships/queryTable" Target="../queryTables/queryTable69.xml"/><Relationship Id="rId12" Type="http://schemas.openxmlformats.org/officeDocument/2006/relationships/queryTable" Target="../queryTables/queryTable74.xml"/><Relationship Id="rId17" Type="http://schemas.openxmlformats.org/officeDocument/2006/relationships/queryTable" Target="../queryTables/queryTable79.xml"/><Relationship Id="rId25" Type="http://schemas.openxmlformats.org/officeDocument/2006/relationships/queryTable" Target="../queryTables/queryTable87.xml"/><Relationship Id="rId2" Type="http://schemas.openxmlformats.org/officeDocument/2006/relationships/queryTable" Target="../queryTables/queryTable64.xml"/><Relationship Id="rId16" Type="http://schemas.openxmlformats.org/officeDocument/2006/relationships/queryTable" Target="../queryTables/queryTable78.xml"/><Relationship Id="rId20" Type="http://schemas.openxmlformats.org/officeDocument/2006/relationships/queryTable" Target="../queryTables/queryTable82.xml"/><Relationship Id="rId29" Type="http://schemas.openxmlformats.org/officeDocument/2006/relationships/queryTable" Target="../queryTables/queryTable91.xml"/><Relationship Id="rId1" Type="http://schemas.openxmlformats.org/officeDocument/2006/relationships/queryTable" Target="../queryTables/queryTable63.xml"/><Relationship Id="rId6" Type="http://schemas.openxmlformats.org/officeDocument/2006/relationships/queryTable" Target="../queryTables/queryTable68.xml"/><Relationship Id="rId11" Type="http://schemas.openxmlformats.org/officeDocument/2006/relationships/queryTable" Target="../queryTables/queryTable73.xml"/><Relationship Id="rId24" Type="http://schemas.openxmlformats.org/officeDocument/2006/relationships/queryTable" Target="../queryTables/queryTable86.xml"/><Relationship Id="rId5" Type="http://schemas.openxmlformats.org/officeDocument/2006/relationships/queryTable" Target="../queryTables/queryTable67.xml"/><Relationship Id="rId15" Type="http://schemas.openxmlformats.org/officeDocument/2006/relationships/queryTable" Target="../queryTables/queryTable77.xml"/><Relationship Id="rId23" Type="http://schemas.openxmlformats.org/officeDocument/2006/relationships/queryTable" Target="../queryTables/queryTable85.xml"/><Relationship Id="rId28" Type="http://schemas.openxmlformats.org/officeDocument/2006/relationships/queryTable" Target="../queryTables/queryTable90.xml"/><Relationship Id="rId10" Type="http://schemas.openxmlformats.org/officeDocument/2006/relationships/queryTable" Target="../queryTables/queryTable72.xml"/><Relationship Id="rId19" Type="http://schemas.openxmlformats.org/officeDocument/2006/relationships/queryTable" Target="../queryTables/queryTable81.xml"/><Relationship Id="rId31" Type="http://schemas.openxmlformats.org/officeDocument/2006/relationships/queryTable" Target="../queryTables/queryTable93.xml"/><Relationship Id="rId4" Type="http://schemas.openxmlformats.org/officeDocument/2006/relationships/queryTable" Target="../queryTables/queryTable66.xml"/><Relationship Id="rId9" Type="http://schemas.openxmlformats.org/officeDocument/2006/relationships/queryTable" Target="../queryTables/queryTable71.xml"/><Relationship Id="rId14" Type="http://schemas.openxmlformats.org/officeDocument/2006/relationships/queryTable" Target="../queryTables/queryTable76.xml"/><Relationship Id="rId22" Type="http://schemas.openxmlformats.org/officeDocument/2006/relationships/queryTable" Target="../queryTables/queryTable84.xml"/><Relationship Id="rId27" Type="http://schemas.openxmlformats.org/officeDocument/2006/relationships/queryTable" Target="../queryTables/queryTable89.xml"/><Relationship Id="rId30" Type="http://schemas.openxmlformats.org/officeDocument/2006/relationships/queryTable" Target="../queryTables/queryTable9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1.xml"/><Relationship Id="rId13" Type="http://schemas.openxmlformats.org/officeDocument/2006/relationships/queryTable" Target="../queryTables/queryTable106.xml"/><Relationship Id="rId18" Type="http://schemas.openxmlformats.org/officeDocument/2006/relationships/queryTable" Target="../queryTables/queryTable111.xml"/><Relationship Id="rId26" Type="http://schemas.openxmlformats.org/officeDocument/2006/relationships/queryTable" Target="../queryTables/queryTable119.xml"/><Relationship Id="rId3" Type="http://schemas.openxmlformats.org/officeDocument/2006/relationships/queryTable" Target="../queryTables/queryTable96.xml"/><Relationship Id="rId21" Type="http://schemas.openxmlformats.org/officeDocument/2006/relationships/queryTable" Target="../queryTables/queryTable114.xml"/><Relationship Id="rId7" Type="http://schemas.openxmlformats.org/officeDocument/2006/relationships/queryTable" Target="../queryTables/queryTable100.xml"/><Relationship Id="rId12" Type="http://schemas.openxmlformats.org/officeDocument/2006/relationships/queryTable" Target="../queryTables/queryTable105.xml"/><Relationship Id="rId17" Type="http://schemas.openxmlformats.org/officeDocument/2006/relationships/queryTable" Target="../queryTables/queryTable110.xml"/><Relationship Id="rId25" Type="http://schemas.openxmlformats.org/officeDocument/2006/relationships/queryTable" Target="../queryTables/queryTable118.xml"/><Relationship Id="rId2" Type="http://schemas.openxmlformats.org/officeDocument/2006/relationships/queryTable" Target="../queryTables/queryTable95.xml"/><Relationship Id="rId16" Type="http://schemas.openxmlformats.org/officeDocument/2006/relationships/queryTable" Target="../queryTables/queryTable109.xml"/><Relationship Id="rId20" Type="http://schemas.openxmlformats.org/officeDocument/2006/relationships/queryTable" Target="../queryTables/queryTable113.xml"/><Relationship Id="rId29" Type="http://schemas.openxmlformats.org/officeDocument/2006/relationships/queryTable" Target="../queryTables/queryTable122.xml"/><Relationship Id="rId1" Type="http://schemas.openxmlformats.org/officeDocument/2006/relationships/queryTable" Target="../queryTables/queryTable94.xml"/><Relationship Id="rId6" Type="http://schemas.openxmlformats.org/officeDocument/2006/relationships/queryTable" Target="../queryTables/queryTable99.xml"/><Relationship Id="rId11" Type="http://schemas.openxmlformats.org/officeDocument/2006/relationships/queryTable" Target="../queryTables/queryTable104.xml"/><Relationship Id="rId24" Type="http://schemas.openxmlformats.org/officeDocument/2006/relationships/queryTable" Target="../queryTables/queryTable117.xml"/><Relationship Id="rId5" Type="http://schemas.openxmlformats.org/officeDocument/2006/relationships/queryTable" Target="../queryTables/queryTable98.xml"/><Relationship Id="rId15" Type="http://schemas.openxmlformats.org/officeDocument/2006/relationships/queryTable" Target="../queryTables/queryTable108.xml"/><Relationship Id="rId23" Type="http://schemas.openxmlformats.org/officeDocument/2006/relationships/queryTable" Target="../queryTables/queryTable116.xml"/><Relationship Id="rId28" Type="http://schemas.openxmlformats.org/officeDocument/2006/relationships/queryTable" Target="../queryTables/queryTable121.xml"/><Relationship Id="rId10" Type="http://schemas.openxmlformats.org/officeDocument/2006/relationships/queryTable" Target="../queryTables/queryTable103.xml"/><Relationship Id="rId19" Type="http://schemas.openxmlformats.org/officeDocument/2006/relationships/queryTable" Target="../queryTables/queryTable112.xml"/><Relationship Id="rId31" Type="http://schemas.openxmlformats.org/officeDocument/2006/relationships/queryTable" Target="../queryTables/queryTable124.xml"/><Relationship Id="rId4" Type="http://schemas.openxmlformats.org/officeDocument/2006/relationships/queryTable" Target="../queryTables/queryTable97.xml"/><Relationship Id="rId9" Type="http://schemas.openxmlformats.org/officeDocument/2006/relationships/queryTable" Target="../queryTables/queryTable102.xml"/><Relationship Id="rId14" Type="http://schemas.openxmlformats.org/officeDocument/2006/relationships/queryTable" Target="../queryTables/queryTable107.xml"/><Relationship Id="rId22" Type="http://schemas.openxmlformats.org/officeDocument/2006/relationships/queryTable" Target="../queryTables/queryTable115.xml"/><Relationship Id="rId27" Type="http://schemas.openxmlformats.org/officeDocument/2006/relationships/queryTable" Target="../queryTables/queryTable120.xml"/><Relationship Id="rId30" Type="http://schemas.openxmlformats.org/officeDocument/2006/relationships/queryTable" Target="../queryTables/queryTable12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13" Type="http://schemas.openxmlformats.org/officeDocument/2006/relationships/queryTable" Target="../queryTables/queryTable137.xml"/><Relationship Id="rId18" Type="http://schemas.openxmlformats.org/officeDocument/2006/relationships/queryTable" Target="../queryTables/queryTable142.xml"/><Relationship Id="rId26" Type="http://schemas.openxmlformats.org/officeDocument/2006/relationships/queryTable" Target="../queryTables/queryTable150.xml"/><Relationship Id="rId3" Type="http://schemas.openxmlformats.org/officeDocument/2006/relationships/queryTable" Target="../queryTables/queryTable127.xml"/><Relationship Id="rId21" Type="http://schemas.openxmlformats.org/officeDocument/2006/relationships/queryTable" Target="../queryTables/queryTable145.xml"/><Relationship Id="rId7" Type="http://schemas.openxmlformats.org/officeDocument/2006/relationships/queryTable" Target="../queryTables/queryTable131.xml"/><Relationship Id="rId12" Type="http://schemas.openxmlformats.org/officeDocument/2006/relationships/queryTable" Target="../queryTables/queryTable136.xml"/><Relationship Id="rId17" Type="http://schemas.openxmlformats.org/officeDocument/2006/relationships/queryTable" Target="../queryTables/queryTable141.xml"/><Relationship Id="rId25" Type="http://schemas.openxmlformats.org/officeDocument/2006/relationships/queryTable" Target="../queryTables/queryTable149.xml"/><Relationship Id="rId2" Type="http://schemas.openxmlformats.org/officeDocument/2006/relationships/queryTable" Target="../queryTables/queryTable126.xml"/><Relationship Id="rId16" Type="http://schemas.openxmlformats.org/officeDocument/2006/relationships/queryTable" Target="../queryTables/queryTable140.xml"/><Relationship Id="rId20" Type="http://schemas.openxmlformats.org/officeDocument/2006/relationships/queryTable" Target="../queryTables/queryTable144.xml"/><Relationship Id="rId29" Type="http://schemas.openxmlformats.org/officeDocument/2006/relationships/queryTable" Target="../queryTables/queryTable153.xml"/><Relationship Id="rId1" Type="http://schemas.openxmlformats.org/officeDocument/2006/relationships/queryTable" Target="../queryTables/queryTable125.xml"/><Relationship Id="rId6" Type="http://schemas.openxmlformats.org/officeDocument/2006/relationships/queryTable" Target="../queryTables/queryTable130.xml"/><Relationship Id="rId11" Type="http://schemas.openxmlformats.org/officeDocument/2006/relationships/queryTable" Target="../queryTables/queryTable135.xml"/><Relationship Id="rId24" Type="http://schemas.openxmlformats.org/officeDocument/2006/relationships/queryTable" Target="../queryTables/queryTable148.xml"/><Relationship Id="rId5" Type="http://schemas.openxmlformats.org/officeDocument/2006/relationships/queryTable" Target="../queryTables/queryTable129.xml"/><Relationship Id="rId15" Type="http://schemas.openxmlformats.org/officeDocument/2006/relationships/queryTable" Target="../queryTables/queryTable139.xml"/><Relationship Id="rId23" Type="http://schemas.openxmlformats.org/officeDocument/2006/relationships/queryTable" Target="../queryTables/queryTable147.xml"/><Relationship Id="rId28" Type="http://schemas.openxmlformats.org/officeDocument/2006/relationships/queryTable" Target="../queryTables/queryTable152.xml"/><Relationship Id="rId10" Type="http://schemas.openxmlformats.org/officeDocument/2006/relationships/queryTable" Target="../queryTables/queryTable134.xml"/><Relationship Id="rId19" Type="http://schemas.openxmlformats.org/officeDocument/2006/relationships/queryTable" Target="../queryTables/queryTable143.xml"/><Relationship Id="rId31" Type="http://schemas.openxmlformats.org/officeDocument/2006/relationships/queryTable" Target="../queryTables/queryTable155.xml"/><Relationship Id="rId4" Type="http://schemas.openxmlformats.org/officeDocument/2006/relationships/queryTable" Target="../queryTables/queryTable128.xml"/><Relationship Id="rId9" Type="http://schemas.openxmlformats.org/officeDocument/2006/relationships/queryTable" Target="../queryTables/queryTable133.xml"/><Relationship Id="rId14" Type="http://schemas.openxmlformats.org/officeDocument/2006/relationships/queryTable" Target="../queryTables/queryTable138.xml"/><Relationship Id="rId22" Type="http://schemas.openxmlformats.org/officeDocument/2006/relationships/queryTable" Target="../queryTables/queryTable146.xml"/><Relationship Id="rId27" Type="http://schemas.openxmlformats.org/officeDocument/2006/relationships/queryTable" Target="../queryTables/queryTable151.xml"/><Relationship Id="rId30" Type="http://schemas.openxmlformats.org/officeDocument/2006/relationships/queryTable" Target="../queryTables/queryTable15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3.xml"/><Relationship Id="rId13" Type="http://schemas.openxmlformats.org/officeDocument/2006/relationships/queryTable" Target="../queryTables/queryTable168.xml"/><Relationship Id="rId18" Type="http://schemas.openxmlformats.org/officeDocument/2006/relationships/queryTable" Target="../queryTables/queryTable173.xml"/><Relationship Id="rId26" Type="http://schemas.openxmlformats.org/officeDocument/2006/relationships/queryTable" Target="../queryTables/queryTable181.xml"/><Relationship Id="rId3" Type="http://schemas.openxmlformats.org/officeDocument/2006/relationships/queryTable" Target="../queryTables/queryTable158.xml"/><Relationship Id="rId21" Type="http://schemas.openxmlformats.org/officeDocument/2006/relationships/queryTable" Target="../queryTables/queryTable176.xml"/><Relationship Id="rId7" Type="http://schemas.openxmlformats.org/officeDocument/2006/relationships/queryTable" Target="../queryTables/queryTable162.xml"/><Relationship Id="rId12" Type="http://schemas.openxmlformats.org/officeDocument/2006/relationships/queryTable" Target="../queryTables/queryTable167.xml"/><Relationship Id="rId17" Type="http://schemas.openxmlformats.org/officeDocument/2006/relationships/queryTable" Target="../queryTables/queryTable172.xml"/><Relationship Id="rId25" Type="http://schemas.openxmlformats.org/officeDocument/2006/relationships/queryTable" Target="../queryTables/queryTable180.xml"/><Relationship Id="rId2" Type="http://schemas.openxmlformats.org/officeDocument/2006/relationships/queryTable" Target="../queryTables/queryTable157.xml"/><Relationship Id="rId16" Type="http://schemas.openxmlformats.org/officeDocument/2006/relationships/queryTable" Target="../queryTables/queryTable171.xml"/><Relationship Id="rId20" Type="http://schemas.openxmlformats.org/officeDocument/2006/relationships/queryTable" Target="../queryTables/queryTable175.xml"/><Relationship Id="rId29" Type="http://schemas.openxmlformats.org/officeDocument/2006/relationships/queryTable" Target="../queryTables/queryTable184.xml"/><Relationship Id="rId1" Type="http://schemas.openxmlformats.org/officeDocument/2006/relationships/queryTable" Target="../queryTables/queryTable156.xml"/><Relationship Id="rId6" Type="http://schemas.openxmlformats.org/officeDocument/2006/relationships/queryTable" Target="../queryTables/queryTable161.xml"/><Relationship Id="rId11" Type="http://schemas.openxmlformats.org/officeDocument/2006/relationships/queryTable" Target="../queryTables/queryTable166.xml"/><Relationship Id="rId24" Type="http://schemas.openxmlformats.org/officeDocument/2006/relationships/queryTable" Target="../queryTables/queryTable179.xml"/><Relationship Id="rId5" Type="http://schemas.openxmlformats.org/officeDocument/2006/relationships/queryTable" Target="../queryTables/queryTable160.xml"/><Relationship Id="rId15" Type="http://schemas.openxmlformats.org/officeDocument/2006/relationships/queryTable" Target="../queryTables/queryTable170.xml"/><Relationship Id="rId23" Type="http://schemas.openxmlformats.org/officeDocument/2006/relationships/queryTable" Target="../queryTables/queryTable178.xml"/><Relationship Id="rId28" Type="http://schemas.openxmlformats.org/officeDocument/2006/relationships/queryTable" Target="../queryTables/queryTable183.xml"/><Relationship Id="rId10" Type="http://schemas.openxmlformats.org/officeDocument/2006/relationships/queryTable" Target="../queryTables/queryTable165.xml"/><Relationship Id="rId19" Type="http://schemas.openxmlformats.org/officeDocument/2006/relationships/queryTable" Target="../queryTables/queryTable174.xml"/><Relationship Id="rId31" Type="http://schemas.openxmlformats.org/officeDocument/2006/relationships/queryTable" Target="../queryTables/queryTable186.xml"/><Relationship Id="rId4" Type="http://schemas.openxmlformats.org/officeDocument/2006/relationships/queryTable" Target="../queryTables/queryTable159.xml"/><Relationship Id="rId9" Type="http://schemas.openxmlformats.org/officeDocument/2006/relationships/queryTable" Target="../queryTables/queryTable164.xml"/><Relationship Id="rId14" Type="http://schemas.openxmlformats.org/officeDocument/2006/relationships/queryTable" Target="../queryTables/queryTable169.xml"/><Relationship Id="rId22" Type="http://schemas.openxmlformats.org/officeDocument/2006/relationships/queryTable" Target="../queryTables/queryTable177.xml"/><Relationship Id="rId27" Type="http://schemas.openxmlformats.org/officeDocument/2006/relationships/queryTable" Target="../queryTables/queryTable182.xml"/><Relationship Id="rId30" Type="http://schemas.openxmlformats.org/officeDocument/2006/relationships/queryTable" Target="../queryTables/queryTable185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94.xml"/><Relationship Id="rId13" Type="http://schemas.openxmlformats.org/officeDocument/2006/relationships/queryTable" Target="../queryTables/queryTable199.xml"/><Relationship Id="rId18" Type="http://schemas.openxmlformats.org/officeDocument/2006/relationships/queryTable" Target="../queryTables/queryTable204.xml"/><Relationship Id="rId26" Type="http://schemas.openxmlformats.org/officeDocument/2006/relationships/queryTable" Target="../queryTables/queryTable212.xml"/><Relationship Id="rId3" Type="http://schemas.openxmlformats.org/officeDocument/2006/relationships/queryTable" Target="../queryTables/queryTable189.xml"/><Relationship Id="rId21" Type="http://schemas.openxmlformats.org/officeDocument/2006/relationships/queryTable" Target="../queryTables/queryTable207.xml"/><Relationship Id="rId7" Type="http://schemas.openxmlformats.org/officeDocument/2006/relationships/queryTable" Target="../queryTables/queryTable193.xml"/><Relationship Id="rId12" Type="http://schemas.openxmlformats.org/officeDocument/2006/relationships/queryTable" Target="../queryTables/queryTable198.xml"/><Relationship Id="rId17" Type="http://schemas.openxmlformats.org/officeDocument/2006/relationships/queryTable" Target="../queryTables/queryTable203.xml"/><Relationship Id="rId25" Type="http://schemas.openxmlformats.org/officeDocument/2006/relationships/queryTable" Target="../queryTables/queryTable211.xml"/><Relationship Id="rId2" Type="http://schemas.openxmlformats.org/officeDocument/2006/relationships/queryTable" Target="../queryTables/queryTable188.xml"/><Relationship Id="rId16" Type="http://schemas.openxmlformats.org/officeDocument/2006/relationships/queryTable" Target="../queryTables/queryTable202.xml"/><Relationship Id="rId20" Type="http://schemas.openxmlformats.org/officeDocument/2006/relationships/queryTable" Target="../queryTables/queryTable206.xml"/><Relationship Id="rId29" Type="http://schemas.openxmlformats.org/officeDocument/2006/relationships/queryTable" Target="../queryTables/queryTable215.xml"/><Relationship Id="rId1" Type="http://schemas.openxmlformats.org/officeDocument/2006/relationships/queryTable" Target="../queryTables/queryTable187.xml"/><Relationship Id="rId6" Type="http://schemas.openxmlformats.org/officeDocument/2006/relationships/queryTable" Target="../queryTables/queryTable192.xml"/><Relationship Id="rId11" Type="http://schemas.openxmlformats.org/officeDocument/2006/relationships/queryTable" Target="../queryTables/queryTable197.xml"/><Relationship Id="rId24" Type="http://schemas.openxmlformats.org/officeDocument/2006/relationships/queryTable" Target="../queryTables/queryTable210.xml"/><Relationship Id="rId5" Type="http://schemas.openxmlformats.org/officeDocument/2006/relationships/queryTable" Target="../queryTables/queryTable191.xml"/><Relationship Id="rId15" Type="http://schemas.openxmlformats.org/officeDocument/2006/relationships/queryTable" Target="../queryTables/queryTable201.xml"/><Relationship Id="rId23" Type="http://schemas.openxmlformats.org/officeDocument/2006/relationships/queryTable" Target="../queryTables/queryTable209.xml"/><Relationship Id="rId28" Type="http://schemas.openxmlformats.org/officeDocument/2006/relationships/queryTable" Target="../queryTables/queryTable214.xml"/><Relationship Id="rId10" Type="http://schemas.openxmlformats.org/officeDocument/2006/relationships/queryTable" Target="../queryTables/queryTable196.xml"/><Relationship Id="rId19" Type="http://schemas.openxmlformats.org/officeDocument/2006/relationships/queryTable" Target="../queryTables/queryTable205.xml"/><Relationship Id="rId31" Type="http://schemas.openxmlformats.org/officeDocument/2006/relationships/queryTable" Target="../queryTables/queryTable217.xml"/><Relationship Id="rId4" Type="http://schemas.openxmlformats.org/officeDocument/2006/relationships/queryTable" Target="../queryTables/queryTable190.xml"/><Relationship Id="rId9" Type="http://schemas.openxmlformats.org/officeDocument/2006/relationships/queryTable" Target="../queryTables/queryTable195.xml"/><Relationship Id="rId14" Type="http://schemas.openxmlformats.org/officeDocument/2006/relationships/queryTable" Target="../queryTables/queryTable200.xml"/><Relationship Id="rId22" Type="http://schemas.openxmlformats.org/officeDocument/2006/relationships/queryTable" Target="../queryTables/queryTable208.xml"/><Relationship Id="rId27" Type="http://schemas.openxmlformats.org/officeDocument/2006/relationships/queryTable" Target="../queryTables/queryTable213.xml"/><Relationship Id="rId30" Type="http://schemas.openxmlformats.org/officeDocument/2006/relationships/queryTable" Target="../queryTables/queryTable21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5.xml"/><Relationship Id="rId13" Type="http://schemas.openxmlformats.org/officeDocument/2006/relationships/queryTable" Target="../queryTables/queryTable230.xml"/><Relationship Id="rId18" Type="http://schemas.openxmlformats.org/officeDocument/2006/relationships/queryTable" Target="../queryTables/queryTable235.xml"/><Relationship Id="rId26" Type="http://schemas.openxmlformats.org/officeDocument/2006/relationships/queryTable" Target="../queryTables/queryTable243.xml"/><Relationship Id="rId3" Type="http://schemas.openxmlformats.org/officeDocument/2006/relationships/queryTable" Target="../queryTables/queryTable220.xml"/><Relationship Id="rId21" Type="http://schemas.openxmlformats.org/officeDocument/2006/relationships/queryTable" Target="../queryTables/queryTable238.xml"/><Relationship Id="rId7" Type="http://schemas.openxmlformats.org/officeDocument/2006/relationships/queryTable" Target="../queryTables/queryTable224.xml"/><Relationship Id="rId12" Type="http://schemas.openxmlformats.org/officeDocument/2006/relationships/queryTable" Target="../queryTables/queryTable229.xml"/><Relationship Id="rId17" Type="http://schemas.openxmlformats.org/officeDocument/2006/relationships/queryTable" Target="../queryTables/queryTable234.xml"/><Relationship Id="rId25" Type="http://schemas.openxmlformats.org/officeDocument/2006/relationships/queryTable" Target="../queryTables/queryTable242.xml"/><Relationship Id="rId2" Type="http://schemas.openxmlformats.org/officeDocument/2006/relationships/queryTable" Target="../queryTables/queryTable219.xml"/><Relationship Id="rId16" Type="http://schemas.openxmlformats.org/officeDocument/2006/relationships/queryTable" Target="../queryTables/queryTable233.xml"/><Relationship Id="rId20" Type="http://schemas.openxmlformats.org/officeDocument/2006/relationships/queryTable" Target="../queryTables/queryTable237.xml"/><Relationship Id="rId29" Type="http://schemas.openxmlformats.org/officeDocument/2006/relationships/queryTable" Target="../queryTables/queryTable246.xml"/><Relationship Id="rId1" Type="http://schemas.openxmlformats.org/officeDocument/2006/relationships/queryTable" Target="../queryTables/queryTable218.xml"/><Relationship Id="rId6" Type="http://schemas.openxmlformats.org/officeDocument/2006/relationships/queryTable" Target="../queryTables/queryTable223.xml"/><Relationship Id="rId11" Type="http://schemas.openxmlformats.org/officeDocument/2006/relationships/queryTable" Target="../queryTables/queryTable228.xml"/><Relationship Id="rId24" Type="http://schemas.openxmlformats.org/officeDocument/2006/relationships/queryTable" Target="../queryTables/queryTable241.xml"/><Relationship Id="rId5" Type="http://schemas.openxmlformats.org/officeDocument/2006/relationships/queryTable" Target="../queryTables/queryTable222.xml"/><Relationship Id="rId15" Type="http://schemas.openxmlformats.org/officeDocument/2006/relationships/queryTable" Target="../queryTables/queryTable232.xml"/><Relationship Id="rId23" Type="http://schemas.openxmlformats.org/officeDocument/2006/relationships/queryTable" Target="../queryTables/queryTable240.xml"/><Relationship Id="rId28" Type="http://schemas.openxmlformats.org/officeDocument/2006/relationships/queryTable" Target="../queryTables/queryTable245.xml"/><Relationship Id="rId10" Type="http://schemas.openxmlformats.org/officeDocument/2006/relationships/queryTable" Target="../queryTables/queryTable227.xml"/><Relationship Id="rId19" Type="http://schemas.openxmlformats.org/officeDocument/2006/relationships/queryTable" Target="../queryTables/queryTable236.xml"/><Relationship Id="rId4" Type="http://schemas.openxmlformats.org/officeDocument/2006/relationships/queryTable" Target="../queryTables/queryTable221.xml"/><Relationship Id="rId9" Type="http://schemas.openxmlformats.org/officeDocument/2006/relationships/queryTable" Target="../queryTables/queryTable226.xml"/><Relationship Id="rId14" Type="http://schemas.openxmlformats.org/officeDocument/2006/relationships/queryTable" Target="../queryTables/queryTable231.xml"/><Relationship Id="rId22" Type="http://schemas.openxmlformats.org/officeDocument/2006/relationships/queryTable" Target="../queryTables/queryTable239.xml"/><Relationship Id="rId27" Type="http://schemas.openxmlformats.org/officeDocument/2006/relationships/queryTable" Target="../queryTables/queryTable244.xml"/><Relationship Id="rId30" Type="http://schemas.openxmlformats.org/officeDocument/2006/relationships/queryTable" Target="../queryTables/queryTable24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55.xml"/><Relationship Id="rId13" Type="http://schemas.openxmlformats.org/officeDocument/2006/relationships/queryTable" Target="../queryTables/queryTable260.xml"/><Relationship Id="rId18" Type="http://schemas.openxmlformats.org/officeDocument/2006/relationships/queryTable" Target="../queryTables/queryTable265.xml"/><Relationship Id="rId26" Type="http://schemas.openxmlformats.org/officeDocument/2006/relationships/queryTable" Target="../queryTables/queryTable273.xml"/><Relationship Id="rId3" Type="http://schemas.openxmlformats.org/officeDocument/2006/relationships/queryTable" Target="../queryTables/queryTable250.xml"/><Relationship Id="rId21" Type="http://schemas.openxmlformats.org/officeDocument/2006/relationships/queryTable" Target="../queryTables/queryTable268.xml"/><Relationship Id="rId7" Type="http://schemas.openxmlformats.org/officeDocument/2006/relationships/queryTable" Target="../queryTables/queryTable254.xml"/><Relationship Id="rId12" Type="http://schemas.openxmlformats.org/officeDocument/2006/relationships/queryTable" Target="../queryTables/queryTable259.xml"/><Relationship Id="rId17" Type="http://schemas.openxmlformats.org/officeDocument/2006/relationships/queryTable" Target="../queryTables/queryTable264.xml"/><Relationship Id="rId25" Type="http://schemas.openxmlformats.org/officeDocument/2006/relationships/queryTable" Target="../queryTables/queryTable272.xml"/><Relationship Id="rId2" Type="http://schemas.openxmlformats.org/officeDocument/2006/relationships/queryTable" Target="../queryTables/queryTable249.xml"/><Relationship Id="rId16" Type="http://schemas.openxmlformats.org/officeDocument/2006/relationships/queryTable" Target="../queryTables/queryTable263.xml"/><Relationship Id="rId20" Type="http://schemas.openxmlformats.org/officeDocument/2006/relationships/queryTable" Target="../queryTables/queryTable267.xml"/><Relationship Id="rId1" Type="http://schemas.openxmlformats.org/officeDocument/2006/relationships/queryTable" Target="../queryTables/queryTable248.xml"/><Relationship Id="rId6" Type="http://schemas.openxmlformats.org/officeDocument/2006/relationships/queryTable" Target="../queryTables/queryTable253.xml"/><Relationship Id="rId11" Type="http://schemas.openxmlformats.org/officeDocument/2006/relationships/queryTable" Target="../queryTables/queryTable258.xml"/><Relationship Id="rId24" Type="http://schemas.openxmlformats.org/officeDocument/2006/relationships/queryTable" Target="../queryTables/queryTable271.xml"/><Relationship Id="rId5" Type="http://schemas.openxmlformats.org/officeDocument/2006/relationships/queryTable" Target="../queryTables/queryTable252.xml"/><Relationship Id="rId15" Type="http://schemas.openxmlformats.org/officeDocument/2006/relationships/queryTable" Target="../queryTables/queryTable262.xml"/><Relationship Id="rId23" Type="http://schemas.openxmlformats.org/officeDocument/2006/relationships/queryTable" Target="../queryTables/queryTable270.xml"/><Relationship Id="rId10" Type="http://schemas.openxmlformats.org/officeDocument/2006/relationships/queryTable" Target="../queryTables/queryTable257.xml"/><Relationship Id="rId19" Type="http://schemas.openxmlformats.org/officeDocument/2006/relationships/queryTable" Target="../queryTables/queryTable266.xml"/><Relationship Id="rId4" Type="http://schemas.openxmlformats.org/officeDocument/2006/relationships/queryTable" Target="../queryTables/queryTable251.xml"/><Relationship Id="rId9" Type="http://schemas.openxmlformats.org/officeDocument/2006/relationships/queryTable" Target="../queryTables/queryTable256.xml"/><Relationship Id="rId14" Type="http://schemas.openxmlformats.org/officeDocument/2006/relationships/queryTable" Target="../queryTables/queryTable261.xml"/><Relationship Id="rId22" Type="http://schemas.openxmlformats.org/officeDocument/2006/relationships/queryTable" Target="../queryTables/queryTable26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1.xml"/><Relationship Id="rId13" Type="http://schemas.openxmlformats.org/officeDocument/2006/relationships/queryTable" Target="../queryTables/queryTable286.xml"/><Relationship Id="rId18" Type="http://schemas.openxmlformats.org/officeDocument/2006/relationships/queryTable" Target="../queryTables/queryTable291.xml"/><Relationship Id="rId26" Type="http://schemas.openxmlformats.org/officeDocument/2006/relationships/queryTable" Target="../queryTables/queryTable299.xml"/><Relationship Id="rId3" Type="http://schemas.openxmlformats.org/officeDocument/2006/relationships/queryTable" Target="../queryTables/queryTable276.xml"/><Relationship Id="rId21" Type="http://schemas.openxmlformats.org/officeDocument/2006/relationships/queryTable" Target="../queryTables/queryTable294.xml"/><Relationship Id="rId7" Type="http://schemas.openxmlformats.org/officeDocument/2006/relationships/queryTable" Target="../queryTables/queryTable280.xml"/><Relationship Id="rId12" Type="http://schemas.openxmlformats.org/officeDocument/2006/relationships/queryTable" Target="../queryTables/queryTable285.xml"/><Relationship Id="rId17" Type="http://schemas.openxmlformats.org/officeDocument/2006/relationships/queryTable" Target="../queryTables/queryTable290.xml"/><Relationship Id="rId25" Type="http://schemas.openxmlformats.org/officeDocument/2006/relationships/queryTable" Target="../queryTables/queryTable298.xml"/><Relationship Id="rId2" Type="http://schemas.openxmlformats.org/officeDocument/2006/relationships/queryTable" Target="../queryTables/queryTable275.xml"/><Relationship Id="rId16" Type="http://schemas.openxmlformats.org/officeDocument/2006/relationships/queryTable" Target="../queryTables/queryTable289.xml"/><Relationship Id="rId20" Type="http://schemas.openxmlformats.org/officeDocument/2006/relationships/queryTable" Target="../queryTables/queryTable293.xml"/><Relationship Id="rId1" Type="http://schemas.openxmlformats.org/officeDocument/2006/relationships/queryTable" Target="../queryTables/queryTable274.xml"/><Relationship Id="rId6" Type="http://schemas.openxmlformats.org/officeDocument/2006/relationships/queryTable" Target="../queryTables/queryTable279.xml"/><Relationship Id="rId11" Type="http://schemas.openxmlformats.org/officeDocument/2006/relationships/queryTable" Target="../queryTables/queryTable284.xml"/><Relationship Id="rId24" Type="http://schemas.openxmlformats.org/officeDocument/2006/relationships/queryTable" Target="../queryTables/queryTable297.xml"/><Relationship Id="rId5" Type="http://schemas.openxmlformats.org/officeDocument/2006/relationships/queryTable" Target="../queryTables/queryTable278.xml"/><Relationship Id="rId15" Type="http://schemas.openxmlformats.org/officeDocument/2006/relationships/queryTable" Target="../queryTables/queryTable288.xml"/><Relationship Id="rId23" Type="http://schemas.openxmlformats.org/officeDocument/2006/relationships/queryTable" Target="../queryTables/queryTable296.xml"/><Relationship Id="rId10" Type="http://schemas.openxmlformats.org/officeDocument/2006/relationships/queryTable" Target="../queryTables/queryTable283.xml"/><Relationship Id="rId19" Type="http://schemas.openxmlformats.org/officeDocument/2006/relationships/queryTable" Target="../queryTables/queryTable292.xml"/><Relationship Id="rId4" Type="http://schemas.openxmlformats.org/officeDocument/2006/relationships/queryTable" Target="../queryTables/queryTable277.xml"/><Relationship Id="rId9" Type="http://schemas.openxmlformats.org/officeDocument/2006/relationships/queryTable" Target="../queryTables/queryTable282.xml"/><Relationship Id="rId14" Type="http://schemas.openxmlformats.org/officeDocument/2006/relationships/queryTable" Target="../queryTables/queryTable287.xml"/><Relationship Id="rId22" Type="http://schemas.openxmlformats.org/officeDocument/2006/relationships/queryTable" Target="../queryTables/queryTable29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07.xml"/><Relationship Id="rId13" Type="http://schemas.openxmlformats.org/officeDocument/2006/relationships/queryTable" Target="../queryTables/queryTable312.xml"/><Relationship Id="rId18" Type="http://schemas.openxmlformats.org/officeDocument/2006/relationships/queryTable" Target="../queryTables/queryTable317.xml"/><Relationship Id="rId26" Type="http://schemas.openxmlformats.org/officeDocument/2006/relationships/queryTable" Target="../queryTables/queryTable325.xml"/><Relationship Id="rId3" Type="http://schemas.openxmlformats.org/officeDocument/2006/relationships/queryTable" Target="../queryTables/queryTable302.xml"/><Relationship Id="rId21" Type="http://schemas.openxmlformats.org/officeDocument/2006/relationships/queryTable" Target="../queryTables/queryTable320.xml"/><Relationship Id="rId7" Type="http://schemas.openxmlformats.org/officeDocument/2006/relationships/queryTable" Target="../queryTables/queryTable306.xml"/><Relationship Id="rId12" Type="http://schemas.openxmlformats.org/officeDocument/2006/relationships/queryTable" Target="../queryTables/queryTable311.xml"/><Relationship Id="rId17" Type="http://schemas.openxmlformats.org/officeDocument/2006/relationships/queryTable" Target="../queryTables/queryTable316.xml"/><Relationship Id="rId25" Type="http://schemas.openxmlformats.org/officeDocument/2006/relationships/queryTable" Target="../queryTables/queryTable324.xml"/><Relationship Id="rId2" Type="http://schemas.openxmlformats.org/officeDocument/2006/relationships/queryTable" Target="../queryTables/queryTable301.xml"/><Relationship Id="rId16" Type="http://schemas.openxmlformats.org/officeDocument/2006/relationships/queryTable" Target="../queryTables/queryTable315.xml"/><Relationship Id="rId20" Type="http://schemas.openxmlformats.org/officeDocument/2006/relationships/queryTable" Target="../queryTables/queryTable319.xml"/><Relationship Id="rId1" Type="http://schemas.openxmlformats.org/officeDocument/2006/relationships/queryTable" Target="../queryTables/queryTable300.xml"/><Relationship Id="rId6" Type="http://schemas.openxmlformats.org/officeDocument/2006/relationships/queryTable" Target="../queryTables/queryTable305.xml"/><Relationship Id="rId11" Type="http://schemas.openxmlformats.org/officeDocument/2006/relationships/queryTable" Target="../queryTables/queryTable310.xml"/><Relationship Id="rId24" Type="http://schemas.openxmlformats.org/officeDocument/2006/relationships/queryTable" Target="../queryTables/queryTable323.xml"/><Relationship Id="rId5" Type="http://schemas.openxmlformats.org/officeDocument/2006/relationships/queryTable" Target="../queryTables/queryTable304.xml"/><Relationship Id="rId15" Type="http://schemas.openxmlformats.org/officeDocument/2006/relationships/queryTable" Target="../queryTables/queryTable314.xml"/><Relationship Id="rId23" Type="http://schemas.openxmlformats.org/officeDocument/2006/relationships/queryTable" Target="../queryTables/queryTable322.xml"/><Relationship Id="rId10" Type="http://schemas.openxmlformats.org/officeDocument/2006/relationships/queryTable" Target="../queryTables/queryTable309.xml"/><Relationship Id="rId19" Type="http://schemas.openxmlformats.org/officeDocument/2006/relationships/queryTable" Target="../queryTables/queryTable318.xml"/><Relationship Id="rId4" Type="http://schemas.openxmlformats.org/officeDocument/2006/relationships/queryTable" Target="../queryTables/queryTable303.xml"/><Relationship Id="rId9" Type="http://schemas.openxmlformats.org/officeDocument/2006/relationships/queryTable" Target="../queryTables/queryTable308.xml"/><Relationship Id="rId14" Type="http://schemas.openxmlformats.org/officeDocument/2006/relationships/queryTable" Target="../queryTables/queryTable313.xml"/><Relationship Id="rId22" Type="http://schemas.openxmlformats.org/officeDocument/2006/relationships/queryTable" Target="../queryTables/queryTable32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33.xml"/><Relationship Id="rId13" Type="http://schemas.openxmlformats.org/officeDocument/2006/relationships/queryTable" Target="../queryTables/queryTable338.xml"/><Relationship Id="rId18" Type="http://schemas.openxmlformats.org/officeDocument/2006/relationships/queryTable" Target="../queryTables/queryTable343.xml"/><Relationship Id="rId26" Type="http://schemas.openxmlformats.org/officeDocument/2006/relationships/queryTable" Target="../queryTables/queryTable351.xml"/><Relationship Id="rId3" Type="http://schemas.openxmlformats.org/officeDocument/2006/relationships/queryTable" Target="../queryTables/queryTable328.xml"/><Relationship Id="rId21" Type="http://schemas.openxmlformats.org/officeDocument/2006/relationships/queryTable" Target="../queryTables/queryTable346.xml"/><Relationship Id="rId7" Type="http://schemas.openxmlformats.org/officeDocument/2006/relationships/queryTable" Target="../queryTables/queryTable332.xml"/><Relationship Id="rId12" Type="http://schemas.openxmlformats.org/officeDocument/2006/relationships/queryTable" Target="../queryTables/queryTable337.xml"/><Relationship Id="rId17" Type="http://schemas.openxmlformats.org/officeDocument/2006/relationships/queryTable" Target="../queryTables/queryTable342.xml"/><Relationship Id="rId25" Type="http://schemas.openxmlformats.org/officeDocument/2006/relationships/queryTable" Target="../queryTables/queryTable350.xml"/><Relationship Id="rId2" Type="http://schemas.openxmlformats.org/officeDocument/2006/relationships/queryTable" Target="../queryTables/queryTable327.xml"/><Relationship Id="rId16" Type="http://schemas.openxmlformats.org/officeDocument/2006/relationships/queryTable" Target="../queryTables/queryTable341.xml"/><Relationship Id="rId20" Type="http://schemas.openxmlformats.org/officeDocument/2006/relationships/queryTable" Target="../queryTables/queryTable345.xml"/><Relationship Id="rId1" Type="http://schemas.openxmlformats.org/officeDocument/2006/relationships/queryTable" Target="../queryTables/queryTable326.xml"/><Relationship Id="rId6" Type="http://schemas.openxmlformats.org/officeDocument/2006/relationships/queryTable" Target="../queryTables/queryTable331.xml"/><Relationship Id="rId11" Type="http://schemas.openxmlformats.org/officeDocument/2006/relationships/queryTable" Target="../queryTables/queryTable336.xml"/><Relationship Id="rId24" Type="http://schemas.openxmlformats.org/officeDocument/2006/relationships/queryTable" Target="../queryTables/queryTable349.xml"/><Relationship Id="rId5" Type="http://schemas.openxmlformats.org/officeDocument/2006/relationships/queryTable" Target="../queryTables/queryTable330.xml"/><Relationship Id="rId15" Type="http://schemas.openxmlformats.org/officeDocument/2006/relationships/queryTable" Target="../queryTables/queryTable340.xml"/><Relationship Id="rId23" Type="http://schemas.openxmlformats.org/officeDocument/2006/relationships/queryTable" Target="../queryTables/queryTable348.xml"/><Relationship Id="rId10" Type="http://schemas.openxmlformats.org/officeDocument/2006/relationships/queryTable" Target="../queryTables/queryTable335.xml"/><Relationship Id="rId19" Type="http://schemas.openxmlformats.org/officeDocument/2006/relationships/queryTable" Target="../queryTables/queryTable344.xml"/><Relationship Id="rId4" Type="http://schemas.openxmlformats.org/officeDocument/2006/relationships/queryTable" Target="../queryTables/queryTable329.xml"/><Relationship Id="rId9" Type="http://schemas.openxmlformats.org/officeDocument/2006/relationships/queryTable" Target="../queryTables/queryTable334.xml"/><Relationship Id="rId14" Type="http://schemas.openxmlformats.org/officeDocument/2006/relationships/queryTable" Target="../queryTables/queryTable339.xml"/><Relationship Id="rId22" Type="http://schemas.openxmlformats.org/officeDocument/2006/relationships/queryTable" Target="../queryTables/queryTable347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59.xml"/><Relationship Id="rId13" Type="http://schemas.openxmlformats.org/officeDocument/2006/relationships/queryTable" Target="../queryTables/queryTable364.xml"/><Relationship Id="rId18" Type="http://schemas.openxmlformats.org/officeDocument/2006/relationships/queryTable" Target="../queryTables/queryTable369.xml"/><Relationship Id="rId3" Type="http://schemas.openxmlformats.org/officeDocument/2006/relationships/queryTable" Target="../queryTables/queryTable354.xml"/><Relationship Id="rId21" Type="http://schemas.openxmlformats.org/officeDocument/2006/relationships/queryTable" Target="../queryTables/queryTable372.xml"/><Relationship Id="rId7" Type="http://schemas.openxmlformats.org/officeDocument/2006/relationships/queryTable" Target="../queryTables/queryTable358.xml"/><Relationship Id="rId12" Type="http://schemas.openxmlformats.org/officeDocument/2006/relationships/queryTable" Target="../queryTables/queryTable363.xml"/><Relationship Id="rId17" Type="http://schemas.openxmlformats.org/officeDocument/2006/relationships/queryTable" Target="../queryTables/queryTable368.xml"/><Relationship Id="rId2" Type="http://schemas.openxmlformats.org/officeDocument/2006/relationships/queryTable" Target="../queryTables/queryTable353.xml"/><Relationship Id="rId16" Type="http://schemas.openxmlformats.org/officeDocument/2006/relationships/queryTable" Target="../queryTables/queryTable367.xml"/><Relationship Id="rId20" Type="http://schemas.openxmlformats.org/officeDocument/2006/relationships/queryTable" Target="../queryTables/queryTable371.xml"/><Relationship Id="rId1" Type="http://schemas.openxmlformats.org/officeDocument/2006/relationships/queryTable" Target="../queryTables/queryTable352.xml"/><Relationship Id="rId6" Type="http://schemas.openxmlformats.org/officeDocument/2006/relationships/queryTable" Target="../queryTables/queryTable357.xml"/><Relationship Id="rId11" Type="http://schemas.openxmlformats.org/officeDocument/2006/relationships/queryTable" Target="../queryTables/queryTable362.xml"/><Relationship Id="rId5" Type="http://schemas.openxmlformats.org/officeDocument/2006/relationships/queryTable" Target="../queryTables/queryTable356.xml"/><Relationship Id="rId15" Type="http://schemas.openxmlformats.org/officeDocument/2006/relationships/queryTable" Target="../queryTables/queryTable366.xml"/><Relationship Id="rId10" Type="http://schemas.openxmlformats.org/officeDocument/2006/relationships/queryTable" Target="../queryTables/queryTable361.xml"/><Relationship Id="rId19" Type="http://schemas.openxmlformats.org/officeDocument/2006/relationships/queryTable" Target="../queryTables/queryTable370.xml"/><Relationship Id="rId4" Type="http://schemas.openxmlformats.org/officeDocument/2006/relationships/queryTable" Target="../queryTables/queryTable355.xml"/><Relationship Id="rId9" Type="http://schemas.openxmlformats.org/officeDocument/2006/relationships/queryTable" Target="../queryTables/queryTable360.xml"/><Relationship Id="rId14" Type="http://schemas.openxmlformats.org/officeDocument/2006/relationships/queryTable" Target="../queryTables/queryTable365.xml"/><Relationship Id="rId22" Type="http://schemas.openxmlformats.org/officeDocument/2006/relationships/queryTable" Target="../queryTables/queryTable373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80.xml"/><Relationship Id="rId13" Type="http://schemas.openxmlformats.org/officeDocument/2006/relationships/queryTable" Target="../queryTables/queryTable385.xml"/><Relationship Id="rId18" Type="http://schemas.openxmlformats.org/officeDocument/2006/relationships/queryTable" Target="../queryTables/queryTable390.xml"/><Relationship Id="rId3" Type="http://schemas.openxmlformats.org/officeDocument/2006/relationships/queryTable" Target="../queryTables/queryTable375.xml"/><Relationship Id="rId21" Type="http://schemas.openxmlformats.org/officeDocument/2006/relationships/queryTable" Target="../queryTables/queryTable393.xml"/><Relationship Id="rId7" Type="http://schemas.openxmlformats.org/officeDocument/2006/relationships/queryTable" Target="../queryTables/queryTable379.xml"/><Relationship Id="rId12" Type="http://schemas.openxmlformats.org/officeDocument/2006/relationships/queryTable" Target="../queryTables/queryTable384.xml"/><Relationship Id="rId17" Type="http://schemas.openxmlformats.org/officeDocument/2006/relationships/queryTable" Target="../queryTables/queryTable389.xml"/><Relationship Id="rId2" Type="http://schemas.openxmlformats.org/officeDocument/2006/relationships/queryTable" Target="../queryTables/queryTable374.xml"/><Relationship Id="rId16" Type="http://schemas.openxmlformats.org/officeDocument/2006/relationships/queryTable" Target="../queryTables/queryTable388.xml"/><Relationship Id="rId20" Type="http://schemas.openxmlformats.org/officeDocument/2006/relationships/queryTable" Target="../queryTables/queryTable392.xml"/><Relationship Id="rId1" Type="http://schemas.openxmlformats.org/officeDocument/2006/relationships/printerSettings" Target="../printerSettings/printerSettings15.bin"/><Relationship Id="rId6" Type="http://schemas.openxmlformats.org/officeDocument/2006/relationships/queryTable" Target="../queryTables/queryTable378.xml"/><Relationship Id="rId11" Type="http://schemas.openxmlformats.org/officeDocument/2006/relationships/queryTable" Target="../queryTables/queryTable383.xml"/><Relationship Id="rId5" Type="http://schemas.openxmlformats.org/officeDocument/2006/relationships/queryTable" Target="../queryTables/queryTable377.xml"/><Relationship Id="rId15" Type="http://schemas.openxmlformats.org/officeDocument/2006/relationships/queryTable" Target="../queryTables/queryTable387.xml"/><Relationship Id="rId23" Type="http://schemas.openxmlformats.org/officeDocument/2006/relationships/queryTable" Target="../queryTables/queryTable395.xml"/><Relationship Id="rId10" Type="http://schemas.openxmlformats.org/officeDocument/2006/relationships/queryTable" Target="../queryTables/queryTable382.xml"/><Relationship Id="rId19" Type="http://schemas.openxmlformats.org/officeDocument/2006/relationships/queryTable" Target="../queryTables/queryTable391.xml"/><Relationship Id="rId4" Type="http://schemas.openxmlformats.org/officeDocument/2006/relationships/queryTable" Target="../queryTables/queryTable376.xml"/><Relationship Id="rId9" Type="http://schemas.openxmlformats.org/officeDocument/2006/relationships/queryTable" Target="../queryTables/queryTable381.xml"/><Relationship Id="rId14" Type="http://schemas.openxmlformats.org/officeDocument/2006/relationships/queryTable" Target="../queryTables/queryTable386.xml"/><Relationship Id="rId22" Type="http://schemas.openxmlformats.org/officeDocument/2006/relationships/queryTable" Target="../queryTables/queryTable394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3.xml"/><Relationship Id="rId13" Type="http://schemas.openxmlformats.org/officeDocument/2006/relationships/queryTable" Target="../queryTables/queryTable408.xml"/><Relationship Id="rId18" Type="http://schemas.openxmlformats.org/officeDocument/2006/relationships/queryTable" Target="../queryTables/queryTable413.xml"/><Relationship Id="rId3" Type="http://schemas.openxmlformats.org/officeDocument/2006/relationships/queryTable" Target="../queryTables/queryTable398.xml"/><Relationship Id="rId21" Type="http://schemas.openxmlformats.org/officeDocument/2006/relationships/queryTable" Target="../queryTables/queryTable416.xml"/><Relationship Id="rId7" Type="http://schemas.openxmlformats.org/officeDocument/2006/relationships/queryTable" Target="../queryTables/queryTable402.xml"/><Relationship Id="rId12" Type="http://schemas.openxmlformats.org/officeDocument/2006/relationships/queryTable" Target="../queryTables/queryTable407.xml"/><Relationship Id="rId17" Type="http://schemas.openxmlformats.org/officeDocument/2006/relationships/queryTable" Target="../queryTables/queryTable412.xml"/><Relationship Id="rId2" Type="http://schemas.openxmlformats.org/officeDocument/2006/relationships/queryTable" Target="../queryTables/queryTable397.xml"/><Relationship Id="rId16" Type="http://schemas.openxmlformats.org/officeDocument/2006/relationships/queryTable" Target="../queryTables/queryTable411.xml"/><Relationship Id="rId20" Type="http://schemas.openxmlformats.org/officeDocument/2006/relationships/queryTable" Target="../queryTables/queryTable415.xml"/><Relationship Id="rId1" Type="http://schemas.openxmlformats.org/officeDocument/2006/relationships/queryTable" Target="../queryTables/queryTable396.xml"/><Relationship Id="rId6" Type="http://schemas.openxmlformats.org/officeDocument/2006/relationships/queryTable" Target="../queryTables/queryTable401.xml"/><Relationship Id="rId11" Type="http://schemas.openxmlformats.org/officeDocument/2006/relationships/queryTable" Target="../queryTables/queryTable406.xml"/><Relationship Id="rId5" Type="http://schemas.openxmlformats.org/officeDocument/2006/relationships/queryTable" Target="../queryTables/queryTable400.xml"/><Relationship Id="rId15" Type="http://schemas.openxmlformats.org/officeDocument/2006/relationships/queryTable" Target="../queryTables/queryTable410.xml"/><Relationship Id="rId10" Type="http://schemas.openxmlformats.org/officeDocument/2006/relationships/queryTable" Target="../queryTables/queryTable405.xml"/><Relationship Id="rId19" Type="http://schemas.openxmlformats.org/officeDocument/2006/relationships/queryTable" Target="../queryTables/queryTable414.xml"/><Relationship Id="rId4" Type="http://schemas.openxmlformats.org/officeDocument/2006/relationships/queryTable" Target="../queryTables/queryTable399.xml"/><Relationship Id="rId9" Type="http://schemas.openxmlformats.org/officeDocument/2006/relationships/queryTable" Target="../queryTables/queryTable404.xml"/><Relationship Id="rId14" Type="http://schemas.openxmlformats.org/officeDocument/2006/relationships/queryTable" Target="../queryTables/queryTable409.xml"/><Relationship Id="rId22" Type="http://schemas.openxmlformats.org/officeDocument/2006/relationships/queryTable" Target="../queryTables/queryTable417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25.xml"/><Relationship Id="rId13" Type="http://schemas.openxmlformats.org/officeDocument/2006/relationships/queryTable" Target="../queryTables/queryTable430.xml"/><Relationship Id="rId18" Type="http://schemas.openxmlformats.org/officeDocument/2006/relationships/queryTable" Target="../queryTables/queryTable435.xml"/><Relationship Id="rId3" Type="http://schemas.openxmlformats.org/officeDocument/2006/relationships/queryTable" Target="../queryTables/queryTable420.xml"/><Relationship Id="rId21" Type="http://schemas.openxmlformats.org/officeDocument/2006/relationships/queryTable" Target="../queryTables/queryTable438.xml"/><Relationship Id="rId7" Type="http://schemas.openxmlformats.org/officeDocument/2006/relationships/queryTable" Target="../queryTables/queryTable424.xml"/><Relationship Id="rId12" Type="http://schemas.openxmlformats.org/officeDocument/2006/relationships/queryTable" Target="../queryTables/queryTable429.xml"/><Relationship Id="rId17" Type="http://schemas.openxmlformats.org/officeDocument/2006/relationships/queryTable" Target="../queryTables/queryTable434.xml"/><Relationship Id="rId2" Type="http://schemas.openxmlformats.org/officeDocument/2006/relationships/queryTable" Target="../queryTables/queryTable419.xml"/><Relationship Id="rId16" Type="http://schemas.openxmlformats.org/officeDocument/2006/relationships/queryTable" Target="../queryTables/queryTable433.xml"/><Relationship Id="rId20" Type="http://schemas.openxmlformats.org/officeDocument/2006/relationships/queryTable" Target="../queryTables/queryTable437.xml"/><Relationship Id="rId1" Type="http://schemas.openxmlformats.org/officeDocument/2006/relationships/queryTable" Target="../queryTables/queryTable418.xml"/><Relationship Id="rId6" Type="http://schemas.openxmlformats.org/officeDocument/2006/relationships/queryTable" Target="../queryTables/queryTable423.xml"/><Relationship Id="rId11" Type="http://schemas.openxmlformats.org/officeDocument/2006/relationships/queryTable" Target="../queryTables/queryTable428.xml"/><Relationship Id="rId5" Type="http://schemas.openxmlformats.org/officeDocument/2006/relationships/queryTable" Target="../queryTables/queryTable422.xml"/><Relationship Id="rId15" Type="http://schemas.openxmlformats.org/officeDocument/2006/relationships/queryTable" Target="../queryTables/queryTable432.xml"/><Relationship Id="rId10" Type="http://schemas.openxmlformats.org/officeDocument/2006/relationships/queryTable" Target="../queryTables/queryTable427.xml"/><Relationship Id="rId19" Type="http://schemas.openxmlformats.org/officeDocument/2006/relationships/queryTable" Target="../queryTables/queryTable436.xml"/><Relationship Id="rId4" Type="http://schemas.openxmlformats.org/officeDocument/2006/relationships/queryTable" Target="../queryTables/queryTable421.xml"/><Relationship Id="rId9" Type="http://schemas.openxmlformats.org/officeDocument/2006/relationships/queryTable" Target="../queryTables/queryTable426.xml"/><Relationship Id="rId14" Type="http://schemas.openxmlformats.org/officeDocument/2006/relationships/queryTable" Target="../queryTables/queryTable431.xml"/><Relationship Id="rId22" Type="http://schemas.openxmlformats.org/officeDocument/2006/relationships/queryTable" Target="../queryTables/queryTable439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7.xml"/><Relationship Id="rId3" Type="http://schemas.openxmlformats.org/officeDocument/2006/relationships/queryTable" Target="../queryTables/queryTable442.xml"/><Relationship Id="rId7" Type="http://schemas.openxmlformats.org/officeDocument/2006/relationships/queryTable" Target="../queryTables/queryTable446.xml"/><Relationship Id="rId2" Type="http://schemas.openxmlformats.org/officeDocument/2006/relationships/queryTable" Target="../queryTables/queryTable441.xml"/><Relationship Id="rId1" Type="http://schemas.openxmlformats.org/officeDocument/2006/relationships/queryTable" Target="../queryTables/queryTable440.xml"/><Relationship Id="rId6" Type="http://schemas.openxmlformats.org/officeDocument/2006/relationships/queryTable" Target="../queryTables/queryTable445.xml"/><Relationship Id="rId5" Type="http://schemas.openxmlformats.org/officeDocument/2006/relationships/queryTable" Target="../queryTables/queryTable444.xml"/><Relationship Id="rId4" Type="http://schemas.openxmlformats.org/officeDocument/2006/relationships/queryTable" Target="../queryTables/queryTable443.xml"/><Relationship Id="rId9" Type="http://schemas.openxmlformats.org/officeDocument/2006/relationships/queryTable" Target="../queryTables/queryTable448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56.xml"/><Relationship Id="rId3" Type="http://schemas.openxmlformats.org/officeDocument/2006/relationships/queryTable" Target="../queryTables/queryTable451.xml"/><Relationship Id="rId7" Type="http://schemas.openxmlformats.org/officeDocument/2006/relationships/queryTable" Target="../queryTables/queryTable455.xml"/><Relationship Id="rId2" Type="http://schemas.openxmlformats.org/officeDocument/2006/relationships/queryTable" Target="../queryTables/queryTable450.xml"/><Relationship Id="rId1" Type="http://schemas.openxmlformats.org/officeDocument/2006/relationships/queryTable" Target="../queryTables/queryTable449.xml"/><Relationship Id="rId6" Type="http://schemas.openxmlformats.org/officeDocument/2006/relationships/queryTable" Target="../queryTables/queryTable454.xml"/><Relationship Id="rId5" Type="http://schemas.openxmlformats.org/officeDocument/2006/relationships/queryTable" Target="../queryTables/queryTable453.xml"/><Relationship Id="rId4" Type="http://schemas.openxmlformats.org/officeDocument/2006/relationships/queryTable" Target="../queryTables/queryTable452.xml"/><Relationship Id="rId9" Type="http://schemas.openxmlformats.org/officeDocument/2006/relationships/queryTable" Target="../queryTables/queryTable457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65.xml"/><Relationship Id="rId3" Type="http://schemas.openxmlformats.org/officeDocument/2006/relationships/queryTable" Target="../queryTables/queryTable460.xml"/><Relationship Id="rId7" Type="http://schemas.openxmlformats.org/officeDocument/2006/relationships/queryTable" Target="../queryTables/queryTable464.xml"/><Relationship Id="rId2" Type="http://schemas.openxmlformats.org/officeDocument/2006/relationships/queryTable" Target="../queryTables/queryTable459.xml"/><Relationship Id="rId1" Type="http://schemas.openxmlformats.org/officeDocument/2006/relationships/queryTable" Target="../queryTables/queryTable458.xml"/><Relationship Id="rId6" Type="http://schemas.openxmlformats.org/officeDocument/2006/relationships/queryTable" Target="../queryTables/queryTable463.xml"/><Relationship Id="rId5" Type="http://schemas.openxmlformats.org/officeDocument/2006/relationships/queryTable" Target="../queryTables/queryTable462.xml"/><Relationship Id="rId4" Type="http://schemas.openxmlformats.org/officeDocument/2006/relationships/queryTable" Target="../queryTables/queryTable461.xml"/><Relationship Id="rId9" Type="http://schemas.openxmlformats.org/officeDocument/2006/relationships/queryTable" Target="../queryTables/queryTable46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74.xml"/><Relationship Id="rId3" Type="http://schemas.openxmlformats.org/officeDocument/2006/relationships/queryTable" Target="../queryTables/queryTable469.xml"/><Relationship Id="rId7" Type="http://schemas.openxmlformats.org/officeDocument/2006/relationships/queryTable" Target="../queryTables/queryTable473.xml"/><Relationship Id="rId2" Type="http://schemas.openxmlformats.org/officeDocument/2006/relationships/queryTable" Target="../queryTables/queryTable468.xml"/><Relationship Id="rId1" Type="http://schemas.openxmlformats.org/officeDocument/2006/relationships/queryTable" Target="../queryTables/queryTable467.xml"/><Relationship Id="rId6" Type="http://schemas.openxmlformats.org/officeDocument/2006/relationships/queryTable" Target="../queryTables/queryTable472.xml"/><Relationship Id="rId5" Type="http://schemas.openxmlformats.org/officeDocument/2006/relationships/queryTable" Target="../queryTables/queryTable471.xml"/><Relationship Id="rId4" Type="http://schemas.openxmlformats.org/officeDocument/2006/relationships/queryTable" Target="../queryTables/queryTable470.xml"/><Relationship Id="rId9" Type="http://schemas.openxmlformats.org/officeDocument/2006/relationships/queryTable" Target="../queryTables/queryTable4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83.xml"/><Relationship Id="rId3" Type="http://schemas.openxmlformats.org/officeDocument/2006/relationships/queryTable" Target="../queryTables/queryTable478.xml"/><Relationship Id="rId7" Type="http://schemas.openxmlformats.org/officeDocument/2006/relationships/queryTable" Target="../queryTables/queryTable482.xml"/><Relationship Id="rId2" Type="http://schemas.openxmlformats.org/officeDocument/2006/relationships/queryTable" Target="../queryTables/queryTable477.xml"/><Relationship Id="rId1" Type="http://schemas.openxmlformats.org/officeDocument/2006/relationships/queryTable" Target="../queryTables/queryTable476.xml"/><Relationship Id="rId6" Type="http://schemas.openxmlformats.org/officeDocument/2006/relationships/queryTable" Target="../queryTables/queryTable481.xml"/><Relationship Id="rId5" Type="http://schemas.openxmlformats.org/officeDocument/2006/relationships/queryTable" Target="../queryTables/queryTable480.xml"/><Relationship Id="rId4" Type="http://schemas.openxmlformats.org/officeDocument/2006/relationships/queryTable" Target="../queryTables/queryTable479.xml"/><Relationship Id="rId9" Type="http://schemas.openxmlformats.org/officeDocument/2006/relationships/queryTable" Target="../queryTables/queryTable484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92.xml"/><Relationship Id="rId3" Type="http://schemas.openxmlformats.org/officeDocument/2006/relationships/queryTable" Target="../queryTables/queryTable487.xml"/><Relationship Id="rId7" Type="http://schemas.openxmlformats.org/officeDocument/2006/relationships/queryTable" Target="../queryTables/queryTable491.xml"/><Relationship Id="rId2" Type="http://schemas.openxmlformats.org/officeDocument/2006/relationships/queryTable" Target="../queryTables/queryTable486.xml"/><Relationship Id="rId1" Type="http://schemas.openxmlformats.org/officeDocument/2006/relationships/queryTable" Target="../queryTables/queryTable485.xml"/><Relationship Id="rId6" Type="http://schemas.openxmlformats.org/officeDocument/2006/relationships/queryTable" Target="../queryTables/queryTable490.xml"/><Relationship Id="rId5" Type="http://schemas.openxmlformats.org/officeDocument/2006/relationships/queryTable" Target="../queryTables/queryTable489.xml"/><Relationship Id="rId4" Type="http://schemas.openxmlformats.org/officeDocument/2006/relationships/queryTable" Target="../queryTables/queryTable488.xml"/><Relationship Id="rId9" Type="http://schemas.openxmlformats.org/officeDocument/2006/relationships/queryTable" Target="../queryTables/queryTable493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01.xml"/><Relationship Id="rId3" Type="http://schemas.openxmlformats.org/officeDocument/2006/relationships/queryTable" Target="../queryTables/queryTable496.xml"/><Relationship Id="rId7" Type="http://schemas.openxmlformats.org/officeDocument/2006/relationships/queryTable" Target="../queryTables/queryTable500.xml"/><Relationship Id="rId2" Type="http://schemas.openxmlformats.org/officeDocument/2006/relationships/queryTable" Target="../queryTables/queryTable495.xml"/><Relationship Id="rId1" Type="http://schemas.openxmlformats.org/officeDocument/2006/relationships/queryTable" Target="../queryTables/queryTable494.xml"/><Relationship Id="rId6" Type="http://schemas.openxmlformats.org/officeDocument/2006/relationships/queryTable" Target="../queryTables/queryTable499.xml"/><Relationship Id="rId5" Type="http://schemas.openxmlformats.org/officeDocument/2006/relationships/queryTable" Target="../queryTables/queryTable498.xml"/><Relationship Id="rId4" Type="http://schemas.openxmlformats.org/officeDocument/2006/relationships/queryTable" Target="../queryTables/queryTable497.xml"/><Relationship Id="rId9" Type="http://schemas.openxmlformats.org/officeDocument/2006/relationships/queryTable" Target="../queryTables/queryTable50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10.xml"/><Relationship Id="rId3" Type="http://schemas.openxmlformats.org/officeDocument/2006/relationships/queryTable" Target="../queryTables/queryTable505.xml"/><Relationship Id="rId7" Type="http://schemas.openxmlformats.org/officeDocument/2006/relationships/queryTable" Target="../queryTables/queryTable509.xml"/><Relationship Id="rId2" Type="http://schemas.openxmlformats.org/officeDocument/2006/relationships/queryTable" Target="../queryTables/queryTable504.xml"/><Relationship Id="rId1" Type="http://schemas.openxmlformats.org/officeDocument/2006/relationships/queryTable" Target="../queryTables/queryTable503.xml"/><Relationship Id="rId6" Type="http://schemas.openxmlformats.org/officeDocument/2006/relationships/queryTable" Target="../queryTables/queryTable508.xml"/><Relationship Id="rId5" Type="http://schemas.openxmlformats.org/officeDocument/2006/relationships/queryTable" Target="../queryTables/queryTable507.xml"/><Relationship Id="rId4" Type="http://schemas.openxmlformats.org/officeDocument/2006/relationships/queryTable" Target="../queryTables/queryTable506.xml"/><Relationship Id="rId9" Type="http://schemas.openxmlformats.org/officeDocument/2006/relationships/queryTable" Target="../queryTables/queryTable511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19.xml"/><Relationship Id="rId3" Type="http://schemas.openxmlformats.org/officeDocument/2006/relationships/queryTable" Target="../queryTables/queryTable514.xml"/><Relationship Id="rId7" Type="http://schemas.openxmlformats.org/officeDocument/2006/relationships/queryTable" Target="../queryTables/queryTable518.xml"/><Relationship Id="rId2" Type="http://schemas.openxmlformats.org/officeDocument/2006/relationships/queryTable" Target="../queryTables/queryTable513.xml"/><Relationship Id="rId1" Type="http://schemas.openxmlformats.org/officeDocument/2006/relationships/queryTable" Target="../queryTables/queryTable512.xml"/><Relationship Id="rId6" Type="http://schemas.openxmlformats.org/officeDocument/2006/relationships/queryTable" Target="../queryTables/queryTable517.xml"/><Relationship Id="rId5" Type="http://schemas.openxmlformats.org/officeDocument/2006/relationships/queryTable" Target="../queryTables/queryTable516.xml"/><Relationship Id="rId4" Type="http://schemas.openxmlformats.org/officeDocument/2006/relationships/queryTable" Target="../queryTables/queryTable515.xml"/><Relationship Id="rId9" Type="http://schemas.openxmlformats.org/officeDocument/2006/relationships/queryTable" Target="../queryTables/queryTable520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28.xml"/><Relationship Id="rId3" Type="http://schemas.openxmlformats.org/officeDocument/2006/relationships/queryTable" Target="../queryTables/queryTable523.xml"/><Relationship Id="rId7" Type="http://schemas.openxmlformats.org/officeDocument/2006/relationships/queryTable" Target="../queryTables/queryTable527.xml"/><Relationship Id="rId2" Type="http://schemas.openxmlformats.org/officeDocument/2006/relationships/queryTable" Target="../queryTables/queryTable522.xml"/><Relationship Id="rId1" Type="http://schemas.openxmlformats.org/officeDocument/2006/relationships/queryTable" Target="../queryTables/queryTable521.xml"/><Relationship Id="rId6" Type="http://schemas.openxmlformats.org/officeDocument/2006/relationships/queryTable" Target="../queryTables/queryTable526.xml"/><Relationship Id="rId5" Type="http://schemas.openxmlformats.org/officeDocument/2006/relationships/queryTable" Target="../queryTables/queryTable525.xml"/><Relationship Id="rId4" Type="http://schemas.openxmlformats.org/officeDocument/2006/relationships/queryTable" Target="../queryTables/queryTable524.xml"/><Relationship Id="rId9" Type="http://schemas.openxmlformats.org/officeDocument/2006/relationships/queryTable" Target="../queryTables/queryTable529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7.xml"/><Relationship Id="rId3" Type="http://schemas.openxmlformats.org/officeDocument/2006/relationships/queryTable" Target="../queryTables/queryTable532.xml"/><Relationship Id="rId7" Type="http://schemas.openxmlformats.org/officeDocument/2006/relationships/queryTable" Target="../queryTables/queryTable536.xml"/><Relationship Id="rId2" Type="http://schemas.openxmlformats.org/officeDocument/2006/relationships/queryTable" Target="../queryTables/queryTable531.xml"/><Relationship Id="rId1" Type="http://schemas.openxmlformats.org/officeDocument/2006/relationships/queryTable" Target="../queryTables/queryTable530.xml"/><Relationship Id="rId6" Type="http://schemas.openxmlformats.org/officeDocument/2006/relationships/queryTable" Target="../queryTables/queryTable535.xml"/><Relationship Id="rId5" Type="http://schemas.openxmlformats.org/officeDocument/2006/relationships/queryTable" Target="../queryTables/queryTable534.xml"/><Relationship Id="rId4" Type="http://schemas.openxmlformats.org/officeDocument/2006/relationships/queryTable" Target="../queryTables/queryTable533.xml"/><Relationship Id="rId9" Type="http://schemas.openxmlformats.org/officeDocument/2006/relationships/queryTable" Target="../queryTables/queryTable538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46.xml"/><Relationship Id="rId3" Type="http://schemas.openxmlformats.org/officeDocument/2006/relationships/queryTable" Target="../queryTables/queryTable541.xml"/><Relationship Id="rId7" Type="http://schemas.openxmlformats.org/officeDocument/2006/relationships/queryTable" Target="../queryTables/queryTable545.xml"/><Relationship Id="rId2" Type="http://schemas.openxmlformats.org/officeDocument/2006/relationships/queryTable" Target="../queryTables/queryTable540.xml"/><Relationship Id="rId1" Type="http://schemas.openxmlformats.org/officeDocument/2006/relationships/queryTable" Target="../queryTables/queryTable539.xml"/><Relationship Id="rId6" Type="http://schemas.openxmlformats.org/officeDocument/2006/relationships/queryTable" Target="../queryTables/queryTable544.xml"/><Relationship Id="rId5" Type="http://schemas.openxmlformats.org/officeDocument/2006/relationships/queryTable" Target="../queryTables/queryTable543.xml"/><Relationship Id="rId4" Type="http://schemas.openxmlformats.org/officeDocument/2006/relationships/queryTable" Target="../queryTables/queryTable542.xml"/><Relationship Id="rId9" Type="http://schemas.openxmlformats.org/officeDocument/2006/relationships/queryTable" Target="../queryTables/queryTable5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0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0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3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3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3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3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3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3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3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3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3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3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3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3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3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3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3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3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3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5" customHeight="1" x14ac:dyDescent="0.3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89"/>
      <c r="M12" s="89"/>
      <c r="N12" s="89"/>
      <c r="O12" s="89"/>
      <c r="P12" s="89"/>
    </row>
    <row r="13" spans="1:16" x14ac:dyDescent="0.3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3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3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3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3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3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5" customHeight="1" x14ac:dyDescent="0.3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89"/>
      <c r="M12" s="89"/>
      <c r="N12" s="89"/>
      <c r="O12" s="89"/>
      <c r="P12" s="89"/>
    </row>
    <row r="13" spans="1:16" x14ac:dyDescent="0.3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86" t="s">
        <v>13</v>
      </c>
      <c r="C1" s="87"/>
      <c r="D1" s="87"/>
      <c r="E1" s="87"/>
      <c r="F1" s="88"/>
      <c r="G1" s="85" t="s">
        <v>14</v>
      </c>
      <c r="H1" s="85"/>
      <c r="I1" s="85"/>
      <c r="J1" s="85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3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3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3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3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3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5" customHeight="1" x14ac:dyDescent="0.3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89" t="s">
        <v>16</v>
      </c>
      <c r="M11" s="89"/>
      <c r="N11" s="89"/>
      <c r="O11" s="89"/>
      <c r="P11" s="89"/>
    </row>
    <row r="12" spans="1:16" x14ac:dyDescent="0.3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89"/>
      <c r="M12" s="89"/>
      <c r="N12" s="89"/>
      <c r="O12" s="89"/>
      <c r="P12" s="89"/>
    </row>
    <row r="13" spans="1:16" x14ac:dyDescent="0.3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89"/>
      <c r="M13" s="89"/>
      <c r="N13" s="89"/>
      <c r="O13" s="89"/>
      <c r="P13" s="89"/>
    </row>
    <row r="14" spans="1:16" ht="14.5" customHeight="1" x14ac:dyDescent="0.35">
      <c r="L14" s="89"/>
      <c r="M14" s="89"/>
      <c r="N14" s="89"/>
      <c r="O14" s="89"/>
      <c r="P14" s="89"/>
    </row>
    <row r="15" spans="1:16" x14ac:dyDescent="0.3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89"/>
      <c r="M15" s="89"/>
      <c r="N15" s="89"/>
      <c r="O15" s="89"/>
      <c r="P15" s="89"/>
    </row>
    <row r="16" spans="1:16" x14ac:dyDescent="0.3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89"/>
      <c r="M16" s="89"/>
      <c r="N16" s="89"/>
      <c r="O16" s="89"/>
      <c r="P16" s="89"/>
    </row>
    <row r="17" spans="1:10" x14ac:dyDescent="0.3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3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35">
      <c r="F6" s="22"/>
      <c r="I6" s="22"/>
    </row>
    <row r="7" spans="1:18" x14ac:dyDescent="0.3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3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3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3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5" customHeight="1" x14ac:dyDescent="0.3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89"/>
      <c r="O12" s="89"/>
      <c r="P12" s="89"/>
      <c r="Q12" s="89"/>
      <c r="R12" s="89"/>
    </row>
    <row r="13" spans="1:18" x14ac:dyDescent="0.3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3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35">
      <c r="F6" s="22"/>
      <c r="I6" s="22"/>
    </row>
    <row r="7" spans="1:18" x14ac:dyDescent="0.3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3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3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3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5" customHeight="1" x14ac:dyDescent="0.3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89"/>
      <c r="O12" s="89"/>
      <c r="P12" s="89"/>
      <c r="Q12" s="89"/>
      <c r="R12" s="89"/>
    </row>
    <row r="13" spans="1:18" x14ac:dyDescent="0.3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3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35">
      <c r="F6" s="22"/>
      <c r="I6" s="22"/>
    </row>
    <row r="7" spans="1:18" x14ac:dyDescent="0.3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3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3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3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5" customHeight="1" x14ac:dyDescent="0.3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89"/>
      <c r="O12" s="89"/>
      <c r="P12" s="89"/>
      <c r="Q12" s="89"/>
      <c r="R12" s="89"/>
    </row>
    <row r="13" spans="1:18" x14ac:dyDescent="0.3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3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35">
      <c r="F6" s="22"/>
      <c r="I6" s="22"/>
    </row>
    <row r="7" spans="1:18" x14ac:dyDescent="0.3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3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3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3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5" customHeight="1" x14ac:dyDescent="0.3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89" t="s">
        <v>16</v>
      </c>
      <c r="O11" s="89"/>
      <c r="P11" s="89"/>
      <c r="Q11" s="89"/>
      <c r="R11" s="89"/>
    </row>
    <row r="12" spans="1:18" x14ac:dyDescent="0.3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89"/>
      <c r="O12" s="89"/>
      <c r="P12" s="89"/>
      <c r="Q12" s="89"/>
      <c r="R12" s="89"/>
    </row>
    <row r="13" spans="1:18" x14ac:dyDescent="0.3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3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35">
      <c r="F6" s="22"/>
      <c r="I6" s="22"/>
    </row>
    <row r="7" spans="1:18" x14ac:dyDescent="0.3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3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3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3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5" customHeight="1" x14ac:dyDescent="0.3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89"/>
      <c r="O12" s="89"/>
      <c r="P12" s="89"/>
      <c r="Q12" s="89"/>
      <c r="R12" s="89"/>
    </row>
    <row r="13" spans="1:18" x14ac:dyDescent="0.3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3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35">
      <c r="F6" s="22"/>
      <c r="I6" s="22"/>
    </row>
    <row r="7" spans="1:18" x14ac:dyDescent="0.3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3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3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3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5" customHeight="1" x14ac:dyDescent="0.3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89"/>
      <c r="O12" s="89"/>
      <c r="P12" s="89"/>
      <c r="Q12" s="89"/>
      <c r="R12" s="89"/>
    </row>
    <row r="13" spans="1:18" x14ac:dyDescent="0.3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3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35">
      <c r="F6" s="22"/>
      <c r="I6" s="22"/>
    </row>
    <row r="7" spans="1:18" x14ac:dyDescent="0.3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3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3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3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5" customHeight="1" x14ac:dyDescent="0.3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89"/>
      <c r="O12" s="89"/>
      <c r="P12" s="89"/>
      <c r="Q12" s="89"/>
      <c r="R12" s="89"/>
    </row>
    <row r="13" spans="1:18" x14ac:dyDescent="0.3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3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35">
      <c r="F6" s="22"/>
      <c r="I6" s="22"/>
    </row>
    <row r="7" spans="1:18" x14ac:dyDescent="0.3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3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3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3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5" customHeight="1" x14ac:dyDescent="0.3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89"/>
      <c r="O12" s="89"/>
      <c r="P12" s="89"/>
      <c r="Q12" s="89"/>
      <c r="R12" s="89"/>
    </row>
    <row r="13" spans="1:18" x14ac:dyDescent="0.3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3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35">
      <c r="F6" s="22"/>
      <c r="I6" s="22"/>
    </row>
    <row r="7" spans="1:18" x14ac:dyDescent="0.3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3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3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3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5" customHeight="1" x14ac:dyDescent="0.3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89"/>
      <c r="O12" s="89"/>
      <c r="P12" s="89"/>
      <c r="Q12" s="89"/>
      <c r="R12" s="89"/>
    </row>
    <row r="13" spans="1:18" x14ac:dyDescent="0.3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3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35">
      <c r="F6" s="22"/>
      <c r="I6" s="22"/>
    </row>
    <row r="7" spans="1:18" x14ac:dyDescent="0.3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3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3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3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5" customHeight="1" x14ac:dyDescent="0.3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89"/>
      <c r="O12" s="89"/>
      <c r="P12" s="89"/>
      <c r="Q12" s="89"/>
      <c r="R12" s="89"/>
    </row>
    <row r="13" spans="1:18" x14ac:dyDescent="0.3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85" t="s">
        <v>14</v>
      </c>
      <c r="I1" s="85"/>
      <c r="J1" s="85"/>
      <c r="K1" s="85"/>
      <c r="L1" s="85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3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35">
      <c r="F6" s="22"/>
      <c r="I6" s="22"/>
    </row>
    <row r="7" spans="1:18" x14ac:dyDescent="0.3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3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3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3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5" customHeight="1" x14ac:dyDescent="0.3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89"/>
      <c r="O12" s="89"/>
      <c r="P12" s="89"/>
      <c r="Q12" s="89"/>
      <c r="R12" s="89"/>
    </row>
    <row r="13" spans="1:18" x14ac:dyDescent="0.3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89"/>
      <c r="O16" s="89"/>
      <c r="P16" s="89"/>
      <c r="Q16" s="89"/>
      <c r="R16" s="89"/>
    </row>
    <row r="17" spans="1:12" x14ac:dyDescent="0.3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4.5" x14ac:dyDescent="0.35"/>
  <cols>
    <col min="1" max="1" width="23.54296875" customWidth="1"/>
    <col min="6" max="6" width="10.1796875" bestFit="1" customWidth="1"/>
    <col min="9" max="9" width="10.1796875" bestFit="1" customWidth="1"/>
  </cols>
  <sheetData>
    <row r="4" spans="1:12" x14ac:dyDescent="0.35">
      <c r="A4" s="1"/>
      <c r="B4" s="86" t="s">
        <v>13</v>
      </c>
      <c r="C4" s="87"/>
      <c r="D4" s="87"/>
      <c r="E4" s="87"/>
      <c r="F4" s="87"/>
      <c r="G4" s="88"/>
      <c r="H4" s="90" t="s">
        <v>14</v>
      </c>
      <c r="I4" s="91"/>
      <c r="J4" s="91"/>
      <c r="K4" s="91"/>
      <c r="L4" s="92"/>
    </row>
    <row r="5" spans="1:12" x14ac:dyDescent="0.3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3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3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3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35">
      <c r="F9" s="22"/>
      <c r="I9" s="22"/>
    </row>
    <row r="10" spans="1:12" x14ac:dyDescent="0.3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3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3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3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3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3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3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35">
      <c r="F17" s="22"/>
      <c r="I17" s="22"/>
    </row>
    <row r="18" spans="1:12" x14ac:dyDescent="0.3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3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3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86" t="s">
        <v>13</v>
      </c>
      <c r="C1" s="87"/>
      <c r="D1" s="87"/>
      <c r="E1" s="87"/>
      <c r="F1" s="87"/>
      <c r="G1" s="88"/>
      <c r="H1" s="90" t="s">
        <v>14</v>
      </c>
      <c r="I1" s="91"/>
      <c r="J1" s="91"/>
      <c r="K1" s="91"/>
      <c r="L1" s="92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3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35">
      <c r="F6" s="22"/>
      <c r="I6" s="22"/>
    </row>
    <row r="7" spans="1:18" x14ac:dyDescent="0.3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3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3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3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5" customHeight="1" x14ac:dyDescent="0.3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89" t="s">
        <v>16</v>
      </c>
      <c r="O11" s="89"/>
      <c r="P11" s="89"/>
      <c r="Q11" s="89"/>
      <c r="R11" s="89"/>
    </row>
    <row r="12" spans="1:18" x14ac:dyDescent="0.3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89"/>
      <c r="O12" s="89"/>
      <c r="P12" s="89"/>
      <c r="Q12" s="89"/>
      <c r="R12" s="89"/>
    </row>
    <row r="13" spans="1:18" x14ac:dyDescent="0.3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89"/>
      <c r="O13" s="89"/>
      <c r="P13" s="89"/>
      <c r="Q13" s="89"/>
      <c r="R13" s="89"/>
    </row>
    <row r="14" spans="1:18" ht="14.5" customHeight="1" x14ac:dyDescent="0.35">
      <c r="F14" s="22"/>
      <c r="I14" s="22"/>
      <c r="N14" s="89"/>
      <c r="O14" s="89"/>
      <c r="P14" s="89"/>
      <c r="Q14" s="89"/>
      <c r="R14" s="89"/>
    </row>
    <row r="15" spans="1:18" x14ac:dyDescent="0.3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89"/>
      <c r="O15" s="89"/>
      <c r="P15" s="89"/>
      <c r="Q15" s="89"/>
      <c r="R15" s="89"/>
    </row>
    <row r="16" spans="1:18" x14ac:dyDescent="0.3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89"/>
      <c r="O16" s="89"/>
      <c r="P16" s="89"/>
      <c r="Q16" s="89"/>
      <c r="R16" s="89"/>
    </row>
    <row r="17" spans="1:14" x14ac:dyDescent="0.3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4" max="4" width="7.54296875" customWidth="1"/>
    <col min="5" max="5" width="7.1796875" bestFit="1" customWidth="1"/>
    <col min="6" max="6" width="14" bestFit="1" customWidth="1"/>
    <col min="7" max="7" width="7.81640625" customWidth="1"/>
    <col min="9" max="9" width="7.26953125" customWidth="1"/>
    <col min="10" max="10" width="8.1796875" bestFit="1" customWidth="1"/>
    <col min="11" max="11" width="11.26953125" bestFit="1" customWidth="1"/>
    <col min="12" max="12" width="7.81640625" bestFit="1" customWidth="1"/>
  </cols>
  <sheetData>
    <row r="4" spans="1:16" x14ac:dyDescent="0.35">
      <c r="A4" s="1"/>
      <c r="B4" s="86" t="s">
        <v>13</v>
      </c>
      <c r="C4" s="87"/>
      <c r="D4" s="87"/>
      <c r="E4" s="87"/>
      <c r="F4" s="87"/>
      <c r="G4" s="87"/>
      <c r="H4" s="88"/>
      <c r="I4" s="28"/>
      <c r="J4" s="90" t="s">
        <v>14</v>
      </c>
      <c r="K4" s="91"/>
      <c r="L4" s="91"/>
      <c r="M4" s="91"/>
      <c r="N4" s="91"/>
      <c r="O4" s="91"/>
      <c r="P4" s="92"/>
    </row>
    <row r="5" spans="1:16" x14ac:dyDescent="0.3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3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3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3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35">
      <c r="F9" s="22"/>
      <c r="G9" s="22"/>
      <c r="K9" s="22"/>
      <c r="L9" s="22"/>
    </row>
    <row r="10" spans="1:16" x14ac:dyDescent="0.3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3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3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3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3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3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3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35">
      <c r="F17" s="22"/>
      <c r="G17" s="22"/>
      <c r="K17" s="22"/>
      <c r="L17" s="22"/>
    </row>
    <row r="18" spans="1:16" x14ac:dyDescent="0.3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3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3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M17" sqref="M17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99"/>
      <c r="T1" s="99"/>
      <c r="U1" s="99"/>
      <c r="V1" s="99"/>
    </row>
    <row r="3" spans="1:23" ht="16" x14ac:dyDescent="0.4">
      <c r="Q3" s="74"/>
    </row>
    <row r="5" spans="1:23" x14ac:dyDescent="0.35">
      <c r="B5" s="100"/>
      <c r="C5" s="100"/>
      <c r="D5" s="100"/>
    </row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3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3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80" zoomScaleNormal="80" workbookViewId="0">
      <selection activeCell="R5" sqref="R5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6.36328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B1" s="84" t="s">
        <v>33</v>
      </c>
      <c r="S1" s="99"/>
      <c r="T1" s="99"/>
      <c r="U1" s="99"/>
      <c r="V1" s="99"/>
    </row>
    <row r="2" spans="1:23" x14ac:dyDescent="0.35">
      <c r="A2" s="82" t="s">
        <v>34</v>
      </c>
      <c r="B2" s="79">
        <v>44094</v>
      </c>
    </row>
    <row r="3" spans="1:23" ht="16" x14ac:dyDescent="0.4">
      <c r="A3" s="83" t="s">
        <v>32</v>
      </c>
      <c r="B3" s="80" t="s">
        <v>31</v>
      </c>
      <c r="Q3" s="74" t="s">
        <v>30</v>
      </c>
    </row>
    <row r="5" spans="1:23" ht="29" customHeight="1" x14ac:dyDescent="0.35">
      <c r="B5" s="100"/>
      <c r="C5" s="100"/>
      <c r="D5" s="100"/>
      <c r="F5" s="33" t="s">
        <v>677</v>
      </c>
    </row>
    <row r="6" spans="1:23" ht="9.5" customHeight="1" x14ac:dyDescent="0.35"/>
    <row r="7" spans="1:23" x14ac:dyDescent="0.35">
      <c r="A7" s="32"/>
      <c r="B7" s="93" t="s">
        <v>13</v>
      </c>
      <c r="C7" s="94"/>
      <c r="D7" s="94"/>
      <c r="E7" s="94"/>
      <c r="F7" s="94"/>
      <c r="G7" s="94"/>
      <c r="H7" s="94"/>
      <c r="I7" s="94"/>
      <c r="J7" s="96" t="s">
        <v>14</v>
      </c>
      <c r="K7" s="97"/>
      <c r="L7" s="97"/>
      <c r="M7" s="97"/>
      <c r="N7" s="97"/>
      <c r="O7" s="97"/>
      <c r="P7" s="98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99"/>
      <c r="T9" s="99"/>
      <c r="U9" s="99"/>
      <c r="V9" s="99"/>
      <c r="W9" s="99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 t="str">
        <f t="shared" si="0"/>
        <v/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 t="str">
        <f t="shared" si="0"/>
        <v/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 t="str">
        <f t="shared" si="1"/>
        <v/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 t="str">
        <f t="shared" si="1"/>
        <v/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 t="str">
        <f t="shared" si="2"/>
        <v/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 t="str">
        <f t="shared" si="2"/>
        <v/>
      </c>
      <c r="Q12" s="69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f>B2</f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/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/>
      <c r="Q14" s="34"/>
      <c r="U14" s="38"/>
    </row>
    <row r="15" spans="1:23" x14ac:dyDescent="0.35">
      <c r="A15" s="51">
        <f t="shared" ref="A15:A20" si="3">A14+1</f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/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/>
      <c r="Q15" s="34"/>
      <c r="R15" s="38"/>
      <c r="U15" s="38"/>
    </row>
    <row r="16" spans="1:23" x14ac:dyDescent="0.35">
      <c r="A16" s="51">
        <f t="shared" si="3"/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/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/>
      <c r="Q16" s="34"/>
      <c r="R16" s="38"/>
      <c r="U16" s="38"/>
    </row>
    <row r="17" spans="1:21" ht="15.75" customHeight="1" x14ac:dyDescent="0.35">
      <c r="A17" s="51">
        <f t="shared" si="3"/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/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/>
      <c r="Q17" s="34"/>
      <c r="R17" s="38"/>
      <c r="U17" s="38"/>
    </row>
    <row r="18" spans="1:21" ht="15" customHeight="1" x14ac:dyDescent="0.35">
      <c r="A18" s="51">
        <f t="shared" si="3"/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/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/>
      <c r="Q18" s="34"/>
      <c r="R18" s="38"/>
      <c r="U18" s="38"/>
    </row>
    <row r="19" spans="1:21" x14ac:dyDescent="0.35">
      <c r="A19" s="51">
        <f t="shared" si="3"/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/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/>
      <c r="Q19" s="34"/>
      <c r="R19" s="38"/>
      <c r="U19" s="38"/>
    </row>
    <row r="20" spans="1:21" x14ac:dyDescent="0.35">
      <c r="A20" s="51">
        <f t="shared" si="3"/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/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/>
      <c r="Q20" s="34"/>
      <c r="R20" s="38"/>
      <c r="U20" s="38"/>
    </row>
    <row r="21" spans="1:21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x14ac:dyDescent="0.35">
      <c r="A23" s="35" t="s">
        <v>4</v>
      </c>
      <c r="B23" s="48">
        <f t="shared" ref="B23:N23" si="4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4"/>
        <v>80956.428571428565</v>
      </c>
      <c r="G23" s="48">
        <f t="shared" si="4"/>
        <v>25.028571428571428</v>
      </c>
      <c r="H23" s="48">
        <f t="shared" si="4"/>
        <v>10.042857142857143</v>
      </c>
      <c r="I23" s="62" t="str">
        <f t="shared" si="4"/>
        <v/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4"/>
        <v>1688.6571428571428</v>
      </c>
      <c r="O23" s="48">
        <f>IFERROR(AVERAGE(O14:O20),"")</f>
        <v>224.02857142857144</v>
      </c>
      <c r="P23" s="48" t="str">
        <f>IFERROR(AVERAGE(P14:P20),"")</f>
        <v/>
      </c>
      <c r="Q23" s="34"/>
    </row>
    <row r="24" spans="1:21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35">
      <c r="B25" s="73" t="s">
        <v>36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3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35">
      <c r="A27" s="32"/>
      <c r="B27" s="93" t="s">
        <v>13</v>
      </c>
      <c r="C27" s="94"/>
      <c r="D27" s="94"/>
      <c r="E27" s="94"/>
      <c r="F27" s="94"/>
      <c r="G27" s="94"/>
      <c r="H27" s="94"/>
      <c r="I27" s="95"/>
      <c r="J27" s="96" t="s">
        <v>14</v>
      </c>
      <c r="K27" s="97"/>
      <c r="L27" s="97"/>
      <c r="M27" s="97"/>
      <c r="N27" s="97"/>
      <c r="O27" s="97"/>
      <c r="P27" s="98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6">IFERROR(AVERAGE(B$34:B$36),"")</f>
        <v>1452.1666666666667</v>
      </c>
      <c r="C30" s="40">
        <f t="shared" si="6"/>
        <v>860.26666666666654</v>
      </c>
      <c r="D30" s="40">
        <f t="shared" si="6"/>
        <v>62.866666666666674</v>
      </c>
      <c r="E30" s="40">
        <f t="shared" si="6"/>
        <v>273.39999999999998</v>
      </c>
      <c r="F30" s="40">
        <f t="shared" si="6"/>
        <v>102659.66666666667</v>
      </c>
      <c r="G30" s="40">
        <f t="shared" si="6"/>
        <v>24.066666666666663</v>
      </c>
      <c r="H30" s="40">
        <f t="shared" si="6"/>
        <v>12.066666666666668</v>
      </c>
      <c r="I30" s="53" t="str">
        <f t="shared" si="6"/>
        <v/>
      </c>
      <c r="J30" s="55">
        <f t="shared" si="6"/>
        <v>44.066666666666663</v>
      </c>
      <c r="K30" s="40">
        <f t="shared" si="6"/>
        <v>103969.33333333333</v>
      </c>
      <c r="L30" s="40">
        <f t="shared" si="6"/>
        <v>32.266666666666673</v>
      </c>
      <c r="M30" s="40">
        <f t="shared" si="6"/>
        <v>7.5666666666666664</v>
      </c>
      <c r="N30" s="40">
        <f t="shared" si="6"/>
        <v>1822.8666666666668</v>
      </c>
      <c r="O30" s="40">
        <f t="shared" si="6"/>
        <v>246.56666666666669</v>
      </c>
      <c r="P30" s="40" t="str">
        <f t="shared" si="6"/>
        <v/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7">IFERROR(AVERAGE(C$37:C$40),"")</f>
        <v>805.2</v>
      </c>
      <c r="D31" s="40">
        <f t="shared" si="7"/>
        <v>67.724999999999994</v>
      </c>
      <c r="E31" s="40">
        <f t="shared" si="7"/>
        <v>190.02500000000001</v>
      </c>
      <c r="F31" s="40">
        <f t="shared" si="7"/>
        <v>64679</v>
      </c>
      <c r="G31" s="40">
        <f t="shared" si="7"/>
        <v>25.749999999999996</v>
      </c>
      <c r="H31" s="40">
        <f t="shared" si="7"/>
        <v>8.5250000000000004</v>
      </c>
      <c r="I31" s="53" t="str">
        <f t="shared" si="7"/>
        <v/>
      </c>
      <c r="J31" s="55">
        <f t="shared" si="7"/>
        <v>37.524999999999999</v>
      </c>
      <c r="K31" s="40">
        <f t="shared" si="7"/>
        <v>99706.5</v>
      </c>
      <c r="L31" s="40">
        <f t="shared" si="7"/>
        <v>27.625000000000004</v>
      </c>
      <c r="M31" s="40">
        <f t="shared" si="7"/>
        <v>7.625</v>
      </c>
      <c r="N31" s="40">
        <f t="shared" si="7"/>
        <v>1588.0000000000002</v>
      </c>
      <c r="O31" s="40">
        <f t="shared" si="7"/>
        <v>207.125</v>
      </c>
      <c r="P31" s="40" t="str">
        <f t="shared" si="7"/>
        <v/>
      </c>
      <c r="Q31" s="34"/>
    </row>
    <row r="32" spans="1:21" x14ac:dyDescent="0.35">
      <c r="A32" s="35" t="s">
        <v>27</v>
      </c>
      <c r="B32" s="48">
        <f t="shared" ref="B32:P32" si="8">IFERROR(ABS(B$31-B$30), "")</f>
        <v>330.58333333333326</v>
      </c>
      <c r="C32" s="48">
        <f t="shared" si="8"/>
        <v>55.066666666666492</v>
      </c>
      <c r="D32" s="48">
        <f t="shared" si="8"/>
        <v>4.8583333333333201</v>
      </c>
      <c r="E32" s="48">
        <f t="shared" si="8"/>
        <v>83.374999999999972</v>
      </c>
      <c r="F32" s="48">
        <f t="shared" si="8"/>
        <v>37980.666666666672</v>
      </c>
      <c r="G32" s="48">
        <f t="shared" si="8"/>
        <v>1.6833333333333336</v>
      </c>
      <c r="H32" s="48">
        <f t="shared" si="8"/>
        <v>3.5416666666666679</v>
      </c>
      <c r="I32" s="62" t="str">
        <f t="shared" si="8"/>
        <v/>
      </c>
      <c r="J32" s="64">
        <f t="shared" si="8"/>
        <v>6.5416666666666643</v>
      </c>
      <c r="K32" s="48">
        <f t="shared" si="8"/>
        <v>4262.8333333333285</v>
      </c>
      <c r="L32" s="48">
        <f t="shared" si="8"/>
        <v>4.6416666666666693</v>
      </c>
      <c r="M32" s="48">
        <f t="shared" si="8"/>
        <v>5.833333333333357E-2</v>
      </c>
      <c r="N32" s="48">
        <f t="shared" si="8"/>
        <v>234.86666666666656</v>
      </c>
      <c r="O32" s="48">
        <f t="shared" si="8"/>
        <v>39.441666666666691</v>
      </c>
      <c r="P32" s="48" t="str">
        <f t="shared" si="8"/>
        <v/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f t="shared" ref="A34:A40" si="9">A14</f>
        <v>44094</v>
      </c>
      <c r="B34" s="42">
        <f>IF(B14=0, "", B14)</f>
        <v>1614.6</v>
      </c>
      <c r="C34" s="42">
        <f>IF(C14=0, "", C14)</f>
        <v>666.4</v>
      </c>
      <c r="D34" s="42">
        <f t="shared" ref="D34:P34" si="10">IF(D14=0, "", D14)</f>
        <v>62.7</v>
      </c>
      <c r="E34" s="42">
        <f t="shared" si="10"/>
        <v>313.89999999999998</v>
      </c>
      <c r="F34" s="42">
        <f t="shared" si="10"/>
        <v>109106</v>
      </c>
      <c r="G34" s="42">
        <f t="shared" si="10"/>
        <v>22.3</v>
      </c>
      <c r="H34" s="42">
        <f t="shared" si="10"/>
        <v>15.2</v>
      </c>
      <c r="I34" s="42" t="str">
        <f t="shared" si="10"/>
        <v/>
      </c>
      <c r="J34" s="42">
        <f t="shared" si="10"/>
        <v>37.9</v>
      </c>
      <c r="K34" s="42">
        <f t="shared" si="10"/>
        <v>106027</v>
      </c>
      <c r="L34" s="42">
        <f t="shared" si="10"/>
        <v>28.6</v>
      </c>
      <c r="M34" s="42">
        <f t="shared" si="10"/>
        <v>8</v>
      </c>
      <c r="N34" s="42">
        <f t="shared" si="10"/>
        <v>1720.6</v>
      </c>
      <c r="O34" s="42">
        <f t="shared" si="10"/>
        <v>228.3</v>
      </c>
      <c r="P34" s="42" t="str">
        <f t="shared" si="10"/>
        <v/>
      </c>
      <c r="Q34" s="34"/>
    </row>
    <row r="35" spans="1:18" x14ac:dyDescent="0.35">
      <c r="A35" s="51">
        <f t="shared" si="9"/>
        <v>44095</v>
      </c>
      <c r="B35" s="42">
        <f>IF(B15=0, "", B15)</f>
        <v>1468.5</v>
      </c>
      <c r="C35" s="42">
        <f t="shared" ref="C35:P35" si="11">IF(C15=0, "", C15)</f>
        <v>706.8</v>
      </c>
      <c r="D35" s="42">
        <f t="shared" si="11"/>
        <v>50</v>
      </c>
      <c r="E35" s="42">
        <f t="shared" si="11"/>
        <v>279.39999999999998</v>
      </c>
      <c r="F35" s="42">
        <f t="shared" si="11"/>
        <v>100155</v>
      </c>
      <c r="G35" s="42">
        <f t="shared" si="11"/>
        <v>21.5</v>
      </c>
      <c r="H35" s="42">
        <f t="shared" si="11"/>
        <v>13.3</v>
      </c>
      <c r="I35" s="42" t="str">
        <f t="shared" si="11"/>
        <v/>
      </c>
      <c r="J35" s="42">
        <f t="shared" si="11"/>
        <v>43.9</v>
      </c>
      <c r="K35" s="42">
        <f t="shared" si="11"/>
        <v>106117</v>
      </c>
      <c r="L35" s="42">
        <f t="shared" si="11"/>
        <v>31.6</v>
      </c>
      <c r="M35" s="42">
        <f t="shared" si="11"/>
        <v>7.4</v>
      </c>
      <c r="N35" s="42">
        <f t="shared" si="11"/>
        <v>1638.5</v>
      </c>
      <c r="O35" s="42">
        <f t="shared" si="11"/>
        <v>232.4</v>
      </c>
      <c r="P35" s="42" t="str">
        <f t="shared" si="11"/>
        <v/>
      </c>
      <c r="Q35" s="34"/>
    </row>
    <row r="36" spans="1:18" x14ac:dyDescent="0.35">
      <c r="A36" s="51">
        <f t="shared" si="9"/>
        <v>44096</v>
      </c>
      <c r="B36" s="42">
        <f t="shared" ref="B36:P40" si="12">IF(B16=0, "", B16)</f>
        <v>1273.4000000000001</v>
      </c>
      <c r="C36" s="42">
        <f t="shared" si="12"/>
        <v>1207.5999999999999</v>
      </c>
      <c r="D36" s="42">
        <f t="shared" si="12"/>
        <v>75.900000000000006</v>
      </c>
      <c r="E36" s="42">
        <f t="shared" si="12"/>
        <v>226.9</v>
      </c>
      <c r="F36" s="42">
        <f t="shared" si="12"/>
        <v>98718</v>
      </c>
      <c r="G36" s="42">
        <f t="shared" si="12"/>
        <v>28.4</v>
      </c>
      <c r="H36" s="42">
        <f t="shared" si="12"/>
        <v>7.7</v>
      </c>
      <c r="I36" s="42" t="str">
        <f t="shared" si="12"/>
        <v/>
      </c>
      <c r="J36" s="42">
        <f t="shared" si="12"/>
        <v>50.4</v>
      </c>
      <c r="K36" s="42">
        <f t="shared" si="12"/>
        <v>99764</v>
      </c>
      <c r="L36" s="42">
        <f t="shared" si="12"/>
        <v>36.6</v>
      </c>
      <c r="M36" s="42">
        <f t="shared" si="12"/>
        <v>7.3</v>
      </c>
      <c r="N36" s="42">
        <f t="shared" si="12"/>
        <v>2109.5</v>
      </c>
      <c r="O36" s="42">
        <f t="shared" si="12"/>
        <v>279</v>
      </c>
      <c r="P36" s="42" t="str">
        <f t="shared" si="12"/>
        <v/>
      </c>
      <c r="Q36" s="34"/>
    </row>
    <row r="37" spans="1:18" x14ac:dyDescent="0.35">
      <c r="A37" s="51">
        <f t="shared" si="9"/>
        <v>44097</v>
      </c>
      <c r="B37" s="81">
        <f t="shared" si="12"/>
        <v>1719.1</v>
      </c>
      <c r="C37" s="81">
        <f t="shared" si="12"/>
        <v>1405.2</v>
      </c>
      <c r="D37" s="81">
        <f t="shared" si="12"/>
        <v>90.1</v>
      </c>
      <c r="E37" s="81">
        <f t="shared" si="12"/>
        <v>259.5</v>
      </c>
      <c r="F37" s="81">
        <f t="shared" si="12"/>
        <v>109452</v>
      </c>
      <c r="G37" s="81">
        <f t="shared" si="12"/>
        <v>37.799999999999997</v>
      </c>
      <c r="H37" s="81">
        <f t="shared" si="12"/>
        <v>7.3</v>
      </c>
      <c r="I37" s="81" t="str">
        <f t="shared" si="12"/>
        <v/>
      </c>
      <c r="J37" s="81">
        <f t="shared" si="12"/>
        <v>41.9</v>
      </c>
      <c r="K37" s="81">
        <f t="shared" si="12"/>
        <v>99718</v>
      </c>
      <c r="L37" s="81">
        <f t="shared" si="12"/>
        <v>31.6</v>
      </c>
      <c r="M37" s="81">
        <f t="shared" si="12"/>
        <v>7.4</v>
      </c>
      <c r="N37" s="81">
        <f t="shared" si="12"/>
        <v>1539.6</v>
      </c>
      <c r="O37" s="81">
        <f t="shared" si="12"/>
        <v>227.9</v>
      </c>
      <c r="P37" s="81" t="str">
        <f t="shared" si="12"/>
        <v/>
      </c>
      <c r="Q37" s="34"/>
    </row>
    <row r="38" spans="1:18" x14ac:dyDescent="0.35">
      <c r="A38" s="51">
        <f t="shared" si="9"/>
        <v>44098</v>
      </c>
      <c r="B38" s="44">
        <f t="shared" si="12"/>
        <v>1062.5999999999999</v>
      </c>
      <c r="C38" s="44">
        <f t="shared" si="12"/>
        <v>832.5</v>
      </c>
      <c r="D38" s="44">
        <f t="shared" si="12"/>
        <v>81.8</v>
      </c>
      <c r="E38" s="44">
        <f t="shared" si="12"/>
        <v>153.5</v>
      </c>
      <c r="F38" s="44">
        <f t="shared" si="12"/>
        <v>49321</v>
      </c>
      <c r="G38" s="44">
        <f t="shared" si="12"/>
        <v>28.9</v>
      </c>
      <c r="H38" s="44">
        <f t="shared" si="12"/>
        <v>5.5</v>
      </c>
      <c r="I38" s="44" t="str">
        <f t="shared" si="12"/>
        <v/>
      </c>
      <c r="J38" s="44">
        <f t="shared" si="12"/>
        <v>34.4</v>
      </c>
      <c r="K38" s="44">
        <f t="shared" si="12"/>
        <v>100026</v>
      </c>
      <c r="L38" s="44">
        <f t="shared" si="12"/>
        <v>26.3</v>
      </c>
      <c r="M38" s="44">
        <f t="shared" si="12"/>
        <v>8.3000000000000007</v>
      </c>
      <c r="N38" s="44">
        <f t="shared" si="12"/>
        <v>1737.2</v>
      </c>
      <c r="O38" s="44">
        <f t="shared" si="12"/>
        <v>213.7</v>
      </c>
      <c r="P38" s="44" t="str">
        <f t="shared" si="12"/>
        <v/>
      </c>
      <c r="Q38" s="34"/>
    </row>
    <row r="39" spans="1:18" x14ac:dyDescent="0.35">
      <c r="A39" s="51">
        <f t="shared" si="9"/>
        <v>44099</v>
      </c>
      <c r="B39" s="44">
        <f t="shared" si="12"/>
        <v>956.3</v>
      </c>
      <c r="C39" s="44">
        <f t="shared" si="12"/>
        <v>422.9</v>
      </c>
      <c r="D39" s="44">
        <f t="shared" si="12"/>
        <v>45.7</v>
      </c>
      <c r="E39" s="44">
        <f t="shared" si="12"/>
        <v>94.7</v>
      </c>
      <c r="F39" s="44">
        <f t="shared" si="12"/>
        <v>19754</v>
      </c>
      <c r="G39" s="44">
        <f t="shared" si="12"/>
        <v>17</v>
      </c>
      <c r="H39" s="44">
        <f t="shared" si="12"/>
        <v>7.8</v>
      </c>
      <c r="I39" s="44" t="str">
        <f t="shared" si="12"/>
        <v/>
      </c>
      <c r="J39" s="44">
        <f t="shared" si="12"/>
        <v>36</v>
      </c>
      <c r="K39" s="44">
        <f t="shared" si="12"/>
        <v>108529</v>
      </c>
      <c r="L39" s="44">
        <f t="shared" si="12"/>
        <v>25.9</v>
      </c>
      <c r="M39" s="44">
        <f t="shared" si="12"/>
        <v>7.7</v>
      </c>
      <c r="N39" s="44">
        <f t="shared" si="12"/>
        <v>1420.4</v>
      </c>
      <c r="O39" s="44">
        <f t="shared" si="12"/>
        <v>197.5</v>
      </c>
      <c r="P39" s="44" t="str">
        <f t="shared" si="12"/>
        <v/>
      </c>
      <c r="Q39" s="34"/>
    </row>
    <row r="40" spans="1:18" x14ac:dyDescent="0.35">
      <c r="A40" s="51">
        <f t="shared" si="9"/>
        <v>44100</v>
      </c>
      <c r="B40" s="44">
        <f t="shared" si="12"/>
        <v>3393</v>
      </c>
      <c r="C40" s="44">
        <f t="shared" si="12"/>
        <v>560.20000000000005</v>
      </c>
      <c r="D40" s="44">
        <f t="shared" si="12"/>
        <v>53.3</v>
      </c>
      <c r="E40" s="44">
        <f t="shared" si="12"/>
        <v>252.4</v>
      </c>
      <c r="F40" s="44">
        <f t="shared" si="12"/>
        <v>80189</v>
      </c>
      <c r="G40" s="44">
        <f t="shared" si="12"/>
        <v>19.3</v>
      </c>
      <c r="H40" s="44">
        <f t="shared" si="12"/>
        <v>13.5</v>
      </c>
      <c r="I40" s="44" t="str">
        <f t="shared" si="12"/>
        <v/>
      </c>
      <c r="J40" s="44">
        <f t="shared" si="12"/>
        <v>37.799999999999997</v>
      </c>
      <c r="K40" s="44">
        <f t="shared" si="12"/>
        <v>90553</v>
      </c>
      <c r="L40" s="44">
        <f t="shared" si="12"/>
        <v>26.7</v>
      </c>
      <c r="M40" s="44">
        <f t="shared" si="12"/>
        <v>7.1</v>
      </c>
      <c r="N40" s="44">
        <f t="shared" si="12"/>
        <v>1654.8</v>
      </c>
      <c r="O40" s="44">
        <f t="shared" si="12"/>
        <v>189.4</v>
      </c>
      <c r="P40" s="44" t="str">
        <f t="shared" si="12"/>
        <v/>
      </c>
      <c r="Q40" s="34"/>
    </row>
    <row r="41" spans="1:18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13">IFERROR(AVERAGE(F34:F40),"")</f>
        <v>80956.428571428565</v>
      </c>
      <c r="G43" s="48">
        <f t="shared" si="13"/>
        <v>25.028571428571428</v>
      </c>
      <c r="H43" s="48">
        <f t="shared" si="13"/>
        <v>10.042857142857143</v>
      </c>
      <c r="I43" s="62" t="str">
        <f t="shared" si="13"/>
        <v/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13"/>
        <v>1688.6571428571428</v>
      </c>
      <c r="O43" s="48">
        <f>IFERROR(AVERAGE(O34:O40),"")</f>
        <v>224.02857142857144</v>
      </c>
      <c r="P43" s="48" t="str">
        <f>IFERROR(AVERAGE(P34:P40),"")</f>
        <v/>
      </c>
      <c r="Q43" s="34"/>
    </row>
    <row r="44" spans="1:18" x14ac:dyDescent="0.35">
      <c r="A44" s="35" t="s">
        <v>5</v>
      </c>
      <c r="B44" s="41" t="str">
        <f>IFERROR((B43-B42)/B42,"")</f>
        <v/>
      </c>
      <c r="C44" s="41" t="str">
        <f t="shared" ref="C44:P44" si="14">IFERROR(-(C42-C43)/C42,"")</f>
        <v/>
      </c>
      <c r="D44" s="41" t="str">
        <f t="shared" si="14"/>
        <v/>
      </c>
      <c r="E44" s="41" t="str">
        <f t="shared" si="14"/>
        <v/>
      </c>
      <c r="F44" s="41" t="str">
        <f t="shared" si="14"/>
        <v/>
      </c>
      <c r="G44" s="41" t="str">
        <f t="shared" si="14"/>
        <v/>
      </c>
      <c r="H44" s="41" t="str">
        <f t="shared" si="14"/>
        <v/>
      </c>
      <c r="I44" s="63" t="str">
        <f t="shared" si="14"/>
        <v/>
      </c>
      <c r="J44" s="65" t="str">
        <f t="shared" si="14"/>
        <v/>
      </c>
      <c r="K44" s="41" t="str">
        <f t="shared" si="14"/>
        <v/>
      </c>
      <c r="L44" s="41" t="str">
        <f t="shared" si="14"/>
        <v/>
      </c>
      <c r="M44" s="41" t="str">
        <f t="shared" si="14"/>
        <v/>
      </c>
      <c r="N44" s="41" t="str">
        <f t="shared" si="14"/>
        <v/>
      </c>
      <c r="O44" s="41" t="str">
        <f t="shared" si="14"/>
        <v/>
      </c>
      <c r="P44" s="41" t="str">
        <f t="shared" si="14"/>
        <v/>
      </c>
    </row>
    <row r="45" spans="1:18" x14ac:dyDescent="0.35">
      <c r="B45" s="33" t="s">
        <v>35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2</xdr:col>
                    <xdr:colOff>234950</xdr:colOff>
                    <xdr:row>3</xdr:row>
                    <xdr:rowOff>38100</xdr:rowOff>
                  </from>
                  <to>
                    <xdr:col>4</xdr:col>
                    <xdr:colOff>704850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opy_report.copy_report">
                <anchor moveWithCells="1" sizeWithCells="1">
                  <from>
                    <xdr:col>11</xdr:col>
                    <xdr:colOff>558800</xdr:colOff>
                    <xdr:row>3</xdr:row>
                    <xdr:rowOff>95250</xdr:rowOff>
                  </from>
                  <to>
                    <xdr:col>15</xdr:col>
                    <xdr:colOff>406400</xdr:colOff>
                    <xdr:row>4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582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229</v>
      </c>
    </row>
    <row r="5" spans="1:2" x14ac:dyDescent="0.35">
      <c r="A5" t="s">
        <v>523</v>
      </c>
      <c r="B5">
        <v>666.36363636363603</v>
      </c>
    </row>
    <row r="6" spans="1:2" x14ac:dyDescent="0.35">
      <c r="A6" t="s">
        <v>524</v>
      </c>
      <c r="B6">
        <v>1138</v>
      </c>
    </row>
    <row r="7" spans="1:2" x14ac:dyDescent="0.35">
      <c r="A7" t="s">
        <v>583</v>
      </c>
      <c r="B7">
        <v>826</v>
      </c>
    </row>
    <row r="8" spans="1:2" x14ac:dyDescent="0.35">
      <c r="A8" t="s">
        <v>584</v>
      </c>
      <c r="B8">
        <v>963</v>
      </c>
    </row>
    <row r="9" spans="1:2" x14ac:dyDescent="0.35">
      <c r="A9" t="s">
        <v>585</v>
      </c>
      <c r="B9">
        <v>229</v>
      </c>
    </row>
    <row r="10" spans="1:2" x14ac:dyDescent="0.35">
      <c r="A10" t="s">
        <v>586</v>
      </c>
      <c r="B10">
        <v>435</v>
      </c>
    </row>
    <row r="11" spans="1:2" x14ac:dyDescent="0.35">
      <c r="A11" t="s">
        <v>587</v>
      </c>
      <c r="B11">
        <v>364</v>
      </c>
    </row>
    <row r="12" spans="1:2" x14ac:dyDescent="0.35">
      <c r="A12" t="s">
        <v>588</v>
      </c>
      <c r="B12">
        <v>674</v>
      </c>
    </row>
    <row r="13" spans="1:2" x14ac:dyDescent="0.35">
      <c r="A13" t="s">
        <v>589</v>
      </c>
      <c r="B13">
        <v>826</v>
      </c>
    </row>
    <row r="14" spans="1:2" x14ac:dyDescent="0.35">
      <c r="A14" t="s">
        <v>590</v>
      </c>
      <c r="B14">
        <v>721</v>
      </c>
    </row>
    <row r="15" spans="1:2" x14ac:dyDescent="0.35">
      <c r="A15" t="s">
        <v>591</v>
      </c>
      <c r="B15">
        <v>1138</v>
      </c>
    </row>
    <row r="16" spans="1:2" x14ac:dyDescent="0.35">
      <c r="A16" t="s">
        <v>592</v>
      </c>
      <c r="B16">
        <v>811</v>
      </c>
    </row>
    <row r="17" spans="1:2" x14ac:dyDescent="0.35">
      <c r="A17" t="s">
        <v>593</v>
      </c>
      <c r="B17">
        <v>343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594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456</v>
      </c>
    </row>
    <row r="5" spans="1:2" x14ac:dyDescent="0.35">
      <c r="A5" t="s">
        <v>523</v>
      </c>
      <c r="B5">
        <v>706.81818181818096</v>
      </c>
    </row>
    <row r="6" spans="1:2" x14ac:dyDescent="0.35">
      <c r="A6" t="s">
        <v>524</v>
      </c>
      <c r="B6">
        <v>1173</v>
      </c>
    </row>
    <row r="7" spans="1:2" x14ac:dyDescent="0.35">
      <c r="A7" t="s">
        <v>595</v>
      </c>
      <c r="B7">
        <v>836</v>
      </c>
    </row>
    <row r="8" spans="1:2" x14ac:dyDescent="0.35">
      <c r="A8" t="s">
        <v>596</v>
      </c>
      <c r="B8">
        <v>683</v>
      </c>
    </row>
    <row r="9" spans="1:2" x14ac:dyDescent="0.35">
      <c r="A9" t="s">
        <v>597</v>
      </c>
      <c r="B9">
        <v>456</v>
      </c>
    </row>
    <row r="10" spans="1:2" x14ac:dyDescent="0.35">
      <c r="A10" t="s">
        <v>598</v>
      </c>
      <c r="B10">
        <v>1173</v>
      </c>
    </row>
    <row r="11" spans="1:2" x14ac:dyDescent="0.35">
      <c r="A11" t="s">
        <v>599</v>
      </c>
      <c r="B11">
        <v>467</v>
      </c>
    </row>
    <row r="12" spans="1:2" x14ac:dyDescent="0.35">
      <c r="A12" t="s">
        <v>600</v>
      </c>
      <c r="B12">
        <v>854</v>
      </c>
    </row>
    <row r="13" spans="1:2" x14ac:dyDescent="0.35">
      <c r="A13" t="s">
        <v>601</v>
      </c>
      <c r="B13">
        <v>786</v>
      </c>
    </row>
    <row r="14" spans="1:2" x14ac:dyDescent="0.35">
      <c r="A14" t="s">
        <v>602</v>
      </c>
      <c r="B14">
        <v>540</v>
      </c>
    </row>
    <row r="15" spans="1:2" x14ac:dyDescent="0.35">
      <c r="A15" t="s">
        <v>603</v>
      </c>
      <c r="B15">
        <v>790</v>
      </c>
    </row>
    <row r="16" spans="1:2" x14ac:dyDescent="0.35">
      <c r="A16" t="s">
        <v>604</v>
      </c>
      <c r="B16">
        <v>678</v>
      </c>
    </row>
    <row r="17" spans="1:2" x14ac:dyDescent="0.35">
      <c r="A17" t="s">
        <v>605</v>
      </c>
      <c r="B17">
        <v>512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606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582</v>
      </c>
    </row>
    <row r="5" spans="1:2" x14ac:dyDescent="0.35">
      <c r="A5" t="s">
        <v>523</v>
      </c>
      <c r="B5">
        <v>1207.6363636363601</v>
      </c>
    </row>
    <row r="6" spans="1:2" x14ac:dyDescent="0.35">
      <c r="A6" t="s">
        <v>524</v>
      </c>
      <c r="B6">
        <v>2193</v>
      </c>
    </row>
    <row r="7" spans="1:2" x14ac:dyDescent="0.35">
      <c r="A7" t="s">
        <v>607</v>
      </c>
      <c r="B7">
        <v>694</v>
      </c>
    </row>
    <row r="8" spans="1:2" x14ac:dyDescent="0.35">
      <c r="A8" t="s">
        <v>608</v>
      </c>
      <c r="B8">
        <v>766</v>
      </c>
    </row>
    <row r="9" spans="1:2" x14ac:dyDescent="0.35">
      <c r="A9" t="s">
        <v>609</v>
      </c>
      <c r="B9">
        <v>715</v>
      </c>
    </row>
    <row r="10" spans="1:2" x14ac:dyDescent="0.35">
      <c r="A10" t="s">
        <v>610</v>
      </c>
      <c r="B10">
        <v>1237</v>
      </c>
    </row>
    <row r="11" spans="1:2" x14ac:dyDescent="0.35">
      <c r="A11" t="s">
        <v>611</v>
      </c>
      <c r="B11">
        <v>582</v>
      </c>
    </row>
    <row r="12" spans="1:2" x14ac:dyDescent="0.35">
      <c r="A12" t="s">
        <v>612</v>
      </c>
      <c r="B12">
        <v>764</v>
      </c>
    </row>
    <row r="13" spans="1:2" x14ac:dyDescent="0.35">
      <c r="A13" t="s">
        <v>613</v>
      </c>
      <c r="B13">
        <v>1308</v>
      </c>
    </row>
    <row r="14" spans="1:2" x14ac:dyDescent="0.35">
      <c r="A14" t="s">
        <v>614</v>
      </c>
      <c r="B14">
        <v>978</v>
      </c>
    </row>
    <row r="15" spans="1:2" x14ac:dyDescent="0.35">
      <c r="A15" t="s">
        <v>615</v>
      </c>
      <c r="B15">
        <v>1932</v>
      </c>
    </row>
    <row r="16" spans="1:2" x14ac:dyDescent="0.35">
      <c r="A16" t="s">
        <v>616</v>
      </c>
      <c r="B16">
        <v>2193</v>
      </c>
    </row>
    <row r="17" spans="1:2" x14ac:dyDescent="0.35">
      <c r="A17" t="s">
        <v>617</v>
      </c>
      <c r="B17">
        <v>2115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186"/>
  <sheetViews>
    <sheetView topLeftCell="A154"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109106</v>
      </c>
      <c r="I2">
        <v>67.573333333333295</v>
      </c>
      <c r="J2">
        <v>1614.6310181531101</v>
      </c>
      <c r="K2">
        <v>995.00000399999999</v>
      </c>
      <c r="L2">
        <v>109.654270915962</v>
      </c>
      <c r="M2">
        <v>42.080937582629304</v>
      </c>
      <c r="N2">
        <v>1.62274473533883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3977</v>
      </c>
      <c r="I3">
        <v>1.39777777777777</v>
      </c>
      <c r="J3">
        <v>2845.2305246422802</v>
      </c>
      <c r="K3">
        <v>275.00000399999999</v>
      </c>
      <c r="L3">
        <v>14.4618179714644</v>
      </c>
      <c r="M3">
        <v>13.0640401936866</v>
      </c>
      <c r="N3">
        <v>10.3462926663895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3460</v>
      </c>
      <c r="I4">
        <v>14.922222222222199</v>
      </c>
      <c r="J4">
        <v>231.86895011169</v>
      </c>
      <c r="K4">
        <v>101.999988</v>
      </c>
      <c r="L4">
        <v>33.921572618224197</v>
      </c>
      <c r="M4">
        <v>18.999350396002001</v>
      </c>
      <c r="N4">
        <v>2.2732252685332601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11</v>
      </c>
      <c r="I5">
        <v>0.15083333333333299</v>
      </c>
      <c r="J5">
        <v>72.9281767955801</v>
      </c>
      <c r="K5">
        <v>52.999991999999999</v>
      </c>
      <c r="L5">
        <v>0.2075472011392</v>
      </c>
      <c r="M5">
        <v>5.6713867805866798E-2</v>
      </c>
      <c r="N5">
        <v>1.3760035434643101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7448</v>
      </c>
      <c r="I7">
        <v>16.470833333333299</v>
      </c>
      <c r="J7">
        <v>452.193270933468</v>
      </c>
      <c r="K7">
        <v>153.279610121167</v>
      </c>
      <c r="L7">
        <v>48.590937790827802</v>
      </c>
      <c r="M7">
        <v>32.120104457494499</v>
      </c>
      <c r="N7">
        <v>2.95012017955949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7178</v>
      </c>
      <c r="I14">
        <v>6.7691666666666599</v>
      </c>
      <c r="J14">
        <v>1060.3964052689801</v>
      </c>
      <c r="K14">
        <v>524.99998800000003</v>
      </c>
      <c r="L14">
        <v>13.6723812648925</v>
      </c>
      <c r="M14">
        <v>6.9032145982258504</v>
      </c>
      <c r="N14">
        <v>2.0198027228697502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49</v>
      </c>
      <c r="I15">
        <v>9.3422222222222207</v>
      </c>
      <c r="J15">
        <v>5.2450047573739296</v>
      </c>
      <c r="K15">
        <v>11.999988</v>
      </c>
      <c r="L15">
        <v>4.0833374166707497</v>
      </c>
      <c r="M15">
        <v>-5.2588848055514701</v>
      </c>
      <c r="N15">
        <v>0.43708416686532697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109106</v>
      </c>
      <c r="I16">
        <v>44.000833333333297</v>
      </c>
      <c r="J16">
        <v>2479.6348554004599</v>
      </c>
      <c r="K16">
        <v>2000.00001599999</v>
      </c>
      <c r="L16">
        <v>54.552999563576002</v>
      </c>
      <c r="M16">
        <v>10.5521662302426</v>
      </c>
      <c r="N16">
        <v>1.2398174177816901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109106</v>
      </c>
      <c r="I17">
        <v>144.15638888888799</v>
      </c>
      <c r="J17">
        <v>756.85858144029498</v>
      </c>
      <c r="K17">
        <v>473.23418621600098</v>
      </c>
      <c r="L17">
        <v>230.55392695192899</v>
      </c>
      <c r="M17">
        <v>86.397538063040997</v>
      </c>
      <c r="N17">
        <v>1.5993320083068401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1380</v>
      </c>
      <c r="I30">
        <v>1.85527777777777</v>
      </c>
      <c r="J30">
        <v>743.82392573738503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1233</v>
      </c>
      <c r="I31">
        <v>4.7294444444444403</v>
      </c>
      <c r="J31">
        <v>260.70715376483003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19</v>
      </c>
      <c r="I32">
        <v>0.32305555555555499</v>
      </c>
      <c r="J32">
        <v>58.8134135855545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2632</v>
      </c>
      <c r="I34">
        <v>6.9077777777777696</v>
      </c>
      <c r="J34">
        <v>381.01978446195898</v>
      </c>
      <c r="K34">
        <v>0</v>
      </c>
      <c r="L34">
        <v>0</v>
      </c>
      <c r="M34">
        <v>-6.9077777777777696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2632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2632</v>
      </c>
      <c r="I36">
        <v>6.9077777777777696</v>
      </c>
      <c r="J36">
        <v>381.01978446195898</v>
      </c>
      <c r="K36">
        <v>0</v>
      </c>
      <c r="L36">
        <v>0</v>
      </c>
      <c r="M36">
        <v>-6.9077777777777696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7761</v>
      </c>
      <c r="I46">
        <v>123.783888888888</v>
      </c>
      <c r="J46">
        <v>62.697981697492402</v>
      </c>
      <c r="K46">
        <v>86.000004000000004</v>
      </c>
      <c r="L46">
        <v>90.244181849107804</v>
      </c>
      <c r="M46">
        <v>-33.539707039781</v>
      </c>
      <c r="N46">
        <v>0.72904626489892299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48</v>
      </c>
      <c r="I48">
        <v>10.1694444444444</v>
      </c>
      <c r="J48">
        <v>4.7200218519530104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214653</v>
      </c>
      <c r="I50">
        <v>41.646944444444401</v>
      </c>
      <c r="J50">
        <v>5154.11161283007</v>
      </c>
      <c r="K50">
        <v>15000.0000119999</v>
      </c>
      <c r="L50">
        <v>14.310199988551799</v>
      </c>
      <c r="M50">
        <v>-27.3367444558926</v>
      </c>
      <c r="N50">
        <v>0.34360744058045201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214653</v>
      </c>
      <c r="I51">
        <v>175.60027777777699</v>
      </c>
      <c r="J51">
        <v>1222.39556062458</v>
      </c>
      <c r="K51">
        <v>2053.0272976343399</v>
      </c>
      <c r="L51">
        <v>104.55438183765899</v>
      </c>
      <c r="M51">
        <v>-71.0458959401181</v>
      </c>
      <c r="N51">
        <v>0.595411255385218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109106</v>
      </c>
      <c r="I52">
        <v>18.733333333333299</v>
      </c>
      <c r="J52">
        <v>5824.1637010676104</v>
      </c>
      <c r="K52">
        <v>4500</v>
      </c>
      <c r="L52">
        <v>24.2457777777777</v>
      </c>
      <c r="M52">
        <v>5.5124444444444398</v>
      </c>
      <c r="N52">
        <v>1.29425860023724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109106</v>
      </c>
      <c r="I53">
        <v>2.1522222222222198</v>
      </c>
      <c r="J53">
        <v>50694.579246257097</v>
      </c>
      <c r="K53">
        <v>1850.000004</v>
      </c>
      <c r="L53">
        <v>58.976216088699999</v>
      </c>
      <c r="M53">
        <v>56.823993866477799</v>
      </c>
      <c r="N53">
        <v>27.4024752089984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109106</v>
      </c>
      <c r="I54">
        <v>347.55</v>
      </c>
      <c r="J54">
        <v>313.92893108905099</v>
      </c>
      <c r="K54">
        <v>260.81304487688999</v>
      </c>
      <c r="L54">
        <v>418.33030265606698</v>
      </c>
      <c r="M54">
        <v>70.780302656067406</v>
      </c>
      <c r="N54">
        <v>1.20365502130935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1.20444444444444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22552</v>
      </c>
      <c r="I65">
        <v>18.238611111111101</v>
      </c>
      <c r="J65">
        <v>1236.4976621635999</v>
      </c>
      <c r="K65">
        <v>1244.000016</v>
      </c>
      <c r="L65">
        <v>18.128617130178501</v>
      </c>
      <c r="M65">
        <v>-0.109993980932552</v>
      </c>
      <c r="N65">
        <v>0.99396916901936905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83309</v>
      </c>
      <c r="I66">
        <v>330.11805555555497</v>
      </c>
      <c r="J66">
        <v>252.361234406883</v>
      </c>
      <c r="K66">
        <v>288</v>
      </c>
      <c r="L66">
        <v>289.26736111111097</v>
      </c>
      <c r="M66">
        <v>-40.8506944444444</v>
      </c>
      <c r="N66">
        <v>0.87625428613501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166</v>
      </c>
      <c r="I67">
        <v>0.718055555555555</v>
      </c>
      <c r="J67">
        <v>231.179883945841</v>
      </c>
      <c r="K67">
        <v>117</v>
      </c>
      <c r="L67">
        <v>1.41880341880341</v>
      </c>
      <c r="M67">
        <v>0.70074786324786298</v>
      </c>
      <c r="N67">
        <v>1.9758964439815501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106027</v>
      </c>
      <c r="I69">
        <v>349.07472222222202</v>
      </c>
      <c r="J69">
        <v>303.73726096529703</v>
      </c>
      <c r="K69">
        <v>343.33524914199802</v>
      </c>
      <c r="L69">
        <v>308.81478166009299</v>
      </c>
      <c r="M69">
        <v>-40.259940562129103</v>
      </c>
      <c r="N69">
        <v>0.88466669741700799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105547</v>
      </c>
      <c r="I70">
        <v>17.6444444444444</v>
      </c>
      <c r="J70">
        <v>5981.8828715365198</v>
      </c>
      <c r="K70">
        <v>3465</v>
      </c>
      <c r="L70">
        <v>30.460894660894599</v>
      </c>
      <c r="M70">
        <v>12.8164502164502</v>
      </c>
      <c r="N70">
        <v>1.7263731230985599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105547</v>
      </c>
      <c r="I71">
        <v>61.344166666666602</v>
      </c>
      <c r="J71">
        <v>1720.57109477945</v>
      </c>
      <c r="K71">
        <v>1524.999996</v>
      </c>
      <c r="L71">
        <v>69.211147722521005</v>
      </c>
      <c r="M71">
        <v>7.86698105585437</v>
      </c>
      <c r="N71">
        <v>1.1282433437983099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105547</v>
      </c>
      <c r="I72">
        <v>15.645</v>
      </c>
      <c r="J72">
        <v>6746.3726430169299</v>
      </c>
      <c r="K72">
        <v>3499.999992</v>
      </c>
      <c r="L72">
        <v>30.156285783214301</v>
      </c>
      <c r="M72">
        <v>14.5112857832143</v>
      </c>
      <c r="N72">
        <v>1.92753504526777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105547</v>
      </c>
      <c r="I73">
        <v>17.4925</v>
      </c>
      <c r="J73">
        <v>6033.8430756038297</v>
      </c>
      <c r="K73">
        <v>5000.0000040000004</v>
      </c>
      <c r="L73">
        <v>21.1093999831124</v>
      </c>
      <c r="M73">
        <v>3.61689998311248</v>
      </c>
      <c r="N73">
        <v>1.20676861415535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105547</v>
      </c>
      <c r="I74">
        <v>462.40527777777697</v>
      </c>
      <c r="J74">
        <v>228.256477753101</v>
      </c>
      <c r="K74">
        <v>229.573515637047</v>
      </c>
      <c r="L74">
        <v>459.75250980983498</v>
      </c>
      <c r="M74">
        <v>-2.6527679679421099</v>
      </c>
      <c r="N74">
        <v>0.99426311053219196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106027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105547</v>
      </c>
      <c r="I161">
        <v>121.348888888888</v>
      </c>
      <c r="J161">
        <v>869.78134671379098</v>
      </c>
      <c r="K161">
        <v>1280.4440131020201</v>
      </c>
      <c r="L161">
        <v>82.43</v>
      </c>
      <c r="M161">
        <v>-38.918888888888802</v>
      </c>
      <c r="N161">
        <v>0.67928104455472704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105547</v>
      </c>
      <c r="I162">
        <v>9.8375000000000004</v>
      </c>
      <c r="J162">
        <v>10729.047013977101</v>
      </c>
      <c r="K162">
        <v>7835.7089829250099</v>
      </c>
      <c r="L162">
        <v>13.47</v>
      </c>
      <c r="M162">
        <v>3.6324999999999998</v>
      </c>
      <c r="N162">
        <v>1.3692503176619999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105547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105547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214653</v>
      </c>
      <c r="I165">
        <v>40.933333333333302</v>
      </c>
      <c r="J165">
        <v>5243.9657980456004</v>
      </c>
      <c r="K165">
        <v>2499.999984</v>
      </c>
      <c r="L165">
        <v>85.861200549511594</v>
      </c>
      <c r="M165">
        <v>44.927867216178299</v>
      </c>
      <c r="N165">
        <v>2.0975863326427899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105547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109106</v>
      </c>
      <c r="I170">
        <v>347.55</v>
      </c>
      <c r="J170">
        <v>313.92893108905099</v>
      </c>
      <c r="K170">
        <v>260.81304487688999</v>
      </c>
      <c r="L170">
        <v>418.33030265606698</v>
      </c>
      <c r="M170">
        <v>70.780302656067406</v>
      </c>
      <c r="N170">
        <v>1.20365502130935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109106</v>
      </c>
      <c r="I172">
        <v>347.55</v>
      </c>
      <c r="J172">
        <v>313.92893108905099</v>
      </c>
      <c r="K172">
        <v>260.81304487688999</v>
      </c>
      <c r="L172">
        <v>418.33030265606698</v>
      </c>
      <c r="M172">
        <v>70.780302656067406</v>
      </c>
      <c r="N172">
        <v>1.20365502130935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105547</v>
      </c>
      <c r="I174">
        <v>462.40527777777697</v>
      </c>
      <c r="J174">
        <v>228.256477753101</v>
      </c>
      <c r="K174">
        <v>229.573515637047</v>
      </c>
      <c r="L174">
        <v>459.75250980983498</v>
      </c>
      <c r="M174">
        <v>-2.6527679679421099</v>
      </c>
      <c r="N174">
        <v>0.99426311053219196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105547</v>
      </c>
      <c r="I177">
        <v>172.11972222222201</v>
      </c>
      <c r="J177">
        <v>613.21851230813104</v>
      </c>
      <c r="K177">
        <v>580.69048664348497</v>
      </c>
      <c r="L177">
        <v>181.76120054951099</v>
      </c>
      <c r="M177">
        <v>9.64147832728945</v>
      </c>
      <c r="N177">
        <v>1.05601611600814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214653</v>
      </c>
      <c r="I179">
        <v>982.07500000000005</v>
      </c>
      <c r="J179">
        <v>218.570883079194</v>
      </c>
      <c r="K179">
        <v>202.532634391432</v>
      </c>
      <c r="L179">
        <v>1059.8440130154099</v>
      </c>
      <c r="M179">
        <v>77.769013015414799</v>
      </c>
      <c r="N179">
        <v>1.07918846627336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109106</v>
      </c>
      <c r="I180">
        <v>347.55</v>
      </c>
      <c r="J180">
        <v>313.92893108905099</v>
      </c>
      <c r="K180">
        <v>260.81304487688999</v>
      </c>
      <c r="L180">
        <v>418.33030265606698</v>
      </c>
      <c r="M180">
        <v>70.780302656067406</v>
      </c>
      <c r="N180">
        <v>1.20365502130935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105547</v>
      </c>
      <c r="I181">
        <v>462.40527777777697</v>
      </c>
      <c r="J181">
        <v>228.256477753101</v>
      </c>
      <c r="K181">
        <v>229.573515637047</v>
      </c>
      <c r="L181">
        <v>459.75250980983498</v>
      </c>
      <c r="M181">
        <v>-2.6527679679421099</v>
      </c>
      <c r="N181">
        <v>0.99426311053219196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105547</v>
      </c>
      <c r="I183">
        <v>172.11972222222201</v>
      </c>
      <c r="J183">
        <v>613.21851230813104</v>
      </c>
      <c r="K183">
        <v>580.69048664348497</v>
      </c>
      <c r="L183">
        <v>181.76120054951099</v>
      </c>
      <c r="M183">
        <v>9.64147832728945</v>
      </c>
      <c r="N183">
        <v>1.05601611600814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214653</v>
      </c>
      <c r="I185">
        <v>982.07500000000005</v>
      </c>
      <c r="J185">
        <v>218.570883079194</v>
      </c>
      <c r="K185">
        <v>202.532634391432</v>
      </c>
      <c r="L185">
        <v>1059.8440130154099</v>
      </c>
      <c r="M185">
        <v>77.769013015414799</v>
      </c>
      <c r="N185">
        <v>1.07918846627336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100155</v>
      </c>
      <c r="I2">
        <v>68.202222222222204</v>
      </c>
      <c r="J2">
        <v>1468.5005376168899</v>
      </c>
      <c r="K2">
        <v>995.00000399999999</v>
      </c>
      <c r="L2">
        <v>100.658291052629</v>
      </c>
      <c r="M2">
        <v>32.456068830407702</v>
      </c>
      <c r="N2">
        <v>1.47587993137022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260</v>
      </c>
      <c r="I3">
        <v>0.147222222222222</v>
      </c>
      <c r="J3">
        <v>1766.03773584905</v>
      </c>
      <c r="K3">
        <v>275.00000399999999</v>
      </c>
      <c r="L3">
        <v>0.94545453170247895</v>
      </c>
      <c r="M3">
        <v>0.79823230948025703</v>
      </c>
      <c r="N3">
        <v>6.4219553096772097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968</v>
      </c>
      <c r="I4">
        <v>3.5069444444444402</v>
      </c>
      <c r="J4">
        <v>276.02376237623702</v>
      </c>
      <c r="K4">
        <v>101.999988</v>
      </c>
      <c r="L4">
        <v>9.49019719492515</v>
      </c>
      <c r="M4">
        <v>5.9832527504807098</v>
      </c>
      <c r="N4">
        <v>2.70611563578063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61</v>
      </c>
      <c r="I5">
        <v>1.3216666666666601</v>
      </c>
      <c r="J5">
        <v>46.153846153846096</v>
      </c>
      <c r="K5">
        <v>52.999991999999999</v>
      </c>
      <c r="L5">
        <v>1.15094356995374</v>
      </c>
      <c r="M5">
        <v>-0.17072309671291999</v>
      </c>
      <c r="N5">
        <v>0.87082741736727298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1289</v>
      </c>
      <c r="I7">
        <v>4.9758333333333304</v>
      </c>
      <c r="J7">
        <v>259.05208507787597</v>
      </c>
      <c r="K7">
        <v>111.24924682407</v>
      </c>
      <c r="L7">
        <v>11.586595296581301</v>
      </c>
      <c r="M7">
        <v>6.6107619632480503</v>
      </c>
      <c r="N7">
        <v>2.3285738328416699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7507</v>
      </c>
      <c r="I14">
        <v>8.5183333333333309</v>
      </c>
      <c r="J14">
        <v>881.27567990608497</v>
      </c>
      <c r="K14">
        <v>524.99998800000003</v>
      </c>
      <c r="L14">
        <v>14.299047945883</v>
      </c>
      <c r="M14">
        <v>5.7807146125496596</v>
      </c>
      <c r="N14">
        <v>1.67862038104672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67</v>
      </c>
      <c r="I15">
        <v>8.7216666666666605</v>
      </c>
      <c r="J15">
        <v>7.6820179629275698</v>
      </c>
      <c r="K15">
        <v>11.999988</v>
      </c>
      <c r="L15">
        <v>5.5833389166722496</v>
      </c>
      <c r="M15">
        <v>-3.13832774999441</v>
      </c>
      <c r="N15">
        <v>0.64016880374610097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100155</v>
      </c>
      <c r="I16">
        <v>46.655833333333298</v>
      </c>
      <c r="J16">
        <v>2146.67690713915</v>
      </c>
      <c r="K16">
        <v>2000.00001599999</v>
      </c>
      <c r="L16">
        <v>50.077499599379998</v>
      </c>
      <c r="M16">
        <v>3.4216662660466701</v>
      </c>
      <c r="N16">
        <v>1.07333844498287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100155</v>
      </c>
      <c r="I17">
        <v>137.07388888888801</v>
      </c>
      <c r="J17">
        <v>730.66432135141997</v>
      </c>
      <c r="K17">
        <v>549.68373470550898</v>
      </c>
      <c r="L17">
        <v>182.204772811146</v>
      </c>
      <c r="M17">
        <v>45.130883922257702</v>
      </c>
      <c r="N17">
        <v>1.32924493707799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17</v>
      </c>
      <c r="I31">
        <v>4.4999999999999998E-2</v>
      </c>
      <c r="J31">
        <v>377.77777777777698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2</v>
      </c>
      <c r="I32">
        <v>2.02777777777777E-2</v>
      </c>
      <c r="J32">
        <v>98.630136986301295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19</v>
      </c>
      <c r="I34">
        <v>6.5277777777777699E-2</v>
      </c>
      <c r="J34">
        <v>291.063829787234</v>
      </c>
      <c r="K34">
        <v>0</v>
      </c>
      <c r="L34">
        <v>0</v>
      </c>
      <c r="M34">
        <v>-6.5277777777777699E-2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19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19</v>
      </c>
      <c r="I36">
        <v>6.5277777777777699E-2</v>
      </c>
      <c r="J36">
        <v>291.063829787234</v>
      </c>
      <c r="K36">
        <v>0</v>
      </c>
      <c r="L36">
        <v>0</v>
      </c>
      <c r="M36">
        <v>-6.5277777777777699E-2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7706</v>
      </c>
      <c r="I46">
        <v>154.16249999999999</v>
      </c>
      <c r="J46">
        <v>49.986215843671403</v>
      </c>
      <c r="K46">
        <v>86.000004000000004</v>
      </c>
      <c r="L46">
        <v>89.604646995132697</v>
      </c>
      <c r="M46">
        <v>-64.557853004867297</v>
      </c>
      <c r="N46">
        <v>0.58123504091547995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60</v>
      </c>
      <c r="I48">
        <v>10.327222222222201</v>
      </c>
      <c r="J48">
        <v>5.8098875679165101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205643</v>
      </c>
      <c r="I50">
        <v>27.482777777777699</v>
      </c>
      <c r="J50">
        <v>7482.61335381754</v>
      </c>
      <c r="K50">
        <v>15000.0000119999</v>
      </c>
      <c r="L50">
        <v>13.709533322365701</v>
      </c>
      <c r="M50">
        <v>-13.773244455412</v>
      </c>
      <c r="N50">
        <v>0.49884088985543001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205643</v>
      </c>
      <c r="I51">
        <v>191.9725</v>
      </c>
      <c r="J51">
        <v>1071.21072028545</v>
      </c>
      <c r="K51">
        <v>1990.4624841239699</v>
      </c>
      <c r="L51">
        <v>103.314180317498</v>
      </c>
      <c r="M51">
        <v>-88.658319682501599</v>
      </c>
      <c r="N51">
        <v>0.53817177104792802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100155</v>
      </c>
      <c r="I52">
        <v>21.516666666666602</v>
      </c>
      <c r="J52">
        <v>4654.7637490317502</v>
      </c>
      <c r="K52">
        <v>4500</v>
      </c>
      <c r="L52">
        <v>22.2566666666666</v>
      </c>
      <c r="M52">
        <v>0.74</v>
      </c>
      <c r="N52">
        <v>1.0343919442292699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100155</v>
      </c>
      <c r="I53">
        <v>7.8588888888888802</v>
      </c>
      <c r="J53">
        <v>12744.167962674899</v>
      </c>
      <c r="K53">
        <v>1850.000004</v>
      </c>
      <c r="L53">
        <v>54.137837720782997</v>
      </c>
      <c r="M53">
        <v>46.278948831894098</v>
      </c>
      <c r="N53">
        <v>6.8887394243891897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100155</v>
      </c>
      <c r="I54">
        <v>358.48722222222199</v>
      </c>
      <c r="J54">
        <v>279.38234277682199</v>
      </c>
      <c r="K54">
        <v>276.73742968108797</v>
      </c>
      <c r="L54">
        <v>361.91345751609401</v>
      </c>
      <c r="M54">
        <v>3.42623529387249</v>
      </c>
      <c r="N54">
        <v>1.0095574823354401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36434</v>
      </c>
      <c r="I65">
        <v>33.191388888888802</v>
      </c>
      <c r="J65">
        <v>1097.6943484337401</v>
      </c>
      <c r="K65">
        <v>1244.000016</v>
      </c>
      <c r="L65">
        <v>29.2877809737906</v>
      </c>
      <c r="M65">
        <v>-3.9036079150982799</v>
      </c>
      <c r="N65">
        <v>0.88239094398351403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69657</v>
      </c>
      <c r="I66">
        <v>294.21472222222201</v>
      </c>
      <c r="J66">
        <v>236.755657479939</v>
      </c>
      <c r="K66">
        <v>288</v>
      </c>
      <c r="L66">
        <v>241.864583333333</v>
      </c>
      <c r="M66">
        <v>-52.3501388888888</v>
      </c>
      <c r="N66">
        <v>0.82206825513867898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26</v>
      </c>
      <c r="I67">
        <v>0.116944444444444</v>
      </c>
      <c r="J67">
        <v>222.327790973871</v>
      </c>
      <c r="K67">
        <v>117</v>
      </c>
      <c r="L67">
        <v>0.22222222222222199</v>
      </c>
      <c r="M67">
        <v>0.105277777777777</v>
      </c>
      <c r="N67">
        <v>1.90023752969121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106117</v>
      </c>
      <c r="I69">
        <v>327.523055555555</v>
      </c>
      <c r="J69">
        <v>323.998564986519</v>
      </c>
      <c r="K69">
        <v>391.03514207850998</v>
      </c>
      <c r="L69">
        <v>271.374586529346</v>
      </c>
      <c r="M69">
        <v>-56.148469026209398</v>
      </c>
      <c r="N69">
        <v>0.82856636174522502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105488</v>
      </c>
      <c r="I70">
        <v>22.986944444444401</v>
      </c>
      <c r="J70">
        <v>4589.0396722777396</v>
      </c>
      <c r="K70">
        <v>3465</v>
      </c>
      <c r="L70">
        <v>30.443867243867199</v>
      </c>
      <c r="M70">
        <v>7.4569227994227996</v>
      </c>
      <c r="N70">
        <v>1.3243981738175299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105488</v>
      </c>
      <c r="I71">
        <v>64.381666666666604</v>
      </c>
      <c r="J71">
        <v>1638.4788630303599</v>
      </c>
      <c r="K71">
        <v>1524.999996</v>
      </c>
      <c r="L71">
        <v>69.172459197829397</v>
      </c>
      <c r="M71">
        <v>4.7907925311627304</v>
      </c>
      <c r="N71">
        <v>1.07441237201837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105488</v>
      </c>
      <c r="I72">
        <v>19.6727777777777</v>
      </c>
      <c r="J72">
        <v>5362.1304114540599</v>
      </c>
      <c r="K72">
        <v>3499.999992</v>
      </c>
      <c r="L72">
        <v>30.139428640318599</v>
      </c>
      <c r="M72">
        <v>10.4666508625409</v>
      </c>
      <c r="N72">
        <v>1.5320372639172399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105488</v>
      </c>
      <c r="I73">
        <v>19.41</v>
      </c>
      <c r="J73">
        <v>5434.7243688820199</v>
      </c>
      <c r="K73">
        <v>5000.0000040000004</v>
      </c>
      <c r="L73">
        <v>21.097599983121899</v>
      </c>
      <c r="M73">
        <v>1.6875999831219199</v>
      </c>
      <c r="N73">
        <v>1.0869448729068401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105488</v>
      </c>
      <c r="I74">
        <v>453.97444444444398</v>
      </c>
      <c r="J74">
        <v>232.36550270817901</v>
      </c>
      <c r="K74">
        <v>249.83661574276601</v>
      </c>
      <c r="L74">
        <v>422.22794159448301</v>
      </c>
      <c r="M74">
        <v>-31.746502849961001</v>
      </c>
      <c r="N74">
        <v>0.93006984591652198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106117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105488</v>
      </c>
      <c r="I161">
        <v>126.39444444444401</v>
      </c>
      <c r="J161">
        <v>834.59364423541797</v>
      </c>
      <c r="K161">
        <v>1279.7282542763501</v>
      </c>
      <c r="L161">
        <v>82.43</v>
      </c>
      <c r="M161">
        <v>-43.964444444444403</v>
      </c>
      <c r="N161">
        <v>0.65216474001142799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105488</v>
      </c>
      <c r="I162">
        <v>0.88055555555555498</v>
      </c>
      <c r="J162">
        <v>119797.09779179801</v>
      </c>
      <c r="K162">
        <v>7831.3288789903399</v>
      </c>
      <c r="L162">
        <v>13.47</v>
      </c>
      <c r="M162">
        <v>12.5894444444444</v>
      </c>
      <c r="N162">
        <v>15.2971608832807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105488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105488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205643</v>
      </c>
      <c r="I165">
        <v>47.733333333333299</v>
      </c>
      <c r="J165">
        <v>4308.1634078212201</v>
      </c>
      <c r="K165">
        <v>2499.999984</v>
      </c>
      <c r="L165">
        <v>82.257200526445999</v>
      </c>
      <c r="M165">
        <v>34.5238671931127</v>
      </c>
      <c r="N165">
        <v>1.72326537415738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105488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100155</v>
      </c>
      <c r="I170">
        <v>358.48722222222199</v>
      </c>
      <c r="J170">
        <v>279.38234277682199</v>
      </c>
      <c r="K170">
        <v>276.73742968108797</v>
      </c>
      <c r="L170">
        <v>361.91345751609401</v>
      </c>
      <c r="M170">
        <v>3.42623529387249</v>
      </c>
      <c r="N170">
        <v>1.0095574823354401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100155</v>
      </c>
      <c r="I172">
        <v>358.48722222222199</v>
      </c>
      <c r="J172">
        <v>279.38234277682199</v>
      </c>
      <c r="K172">
        <v>276.73742968108797</v>
      </c>
      <c r="L172">
        <v>361.91345751609401</v>
      </c>
      <c r="M172">
        <v>3.42623529387249</v>
      </c>
      <c r="N172">
        <v>1.0095574823354401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105488</v>
      </c>
      <c r="I174">
        <v>453.97444444444398</v>
      </c>
      <c r="J174">
        <v>232.36550270817901</v>
      </c>
      <c r="K174">
        <v>249.83661574276601</v>
      </c>
      <c r="L174">
        <v>422.22794159448301</v>
      </c>
      <c r="M174">
        <v>-31.746502849961001</v>
      </c>
      <c r="N174">
        <v>0.93006984591652198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105488</v>
      </c>
      <c r="I177">
        <v>175.00833333333301</v>
      </c>
      <c r="J177">
        <v>602.75986857768601</v>
      </c>
      <c r="K177">
        <v>592.10629538569196</v>
      </c>
      <c r="L177">
        <v>178.15720052644599</v>
      </c>
      <c r="M177">
        <v>3.1488671931127299</v>
      </c>
      <c r="N177">
        <v>1.0179926700239701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205643</v>
      </c>
      <c r="I179">
        <v>987.47</v>
      </c>
      <c r="J179">
        <v>208.25240260463599</v>
      </c>
      <c r="K179">
        <v>213.699781000998</v>
      </c>
      <c r="L179">
        <v>962.29859963702404</v>
      </c>
      <c r="M179">
        <v>-25.171400362975699</v>
      </c>
      <c r="N179">
        <v>0.97450919991191998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100155</v>
      </c>
      <c r="I180">
        <v>358.48722222222199</v>
      </c>
      <c r="J180">
        <v>279.38234277682199</v>
      </c>
      <c r="K180">
        <v>276.73742968108797</v>
      </c>
      <c r="L180">
        <v>361.91345751609401</v>
      </c>
      <c r="M180">
        <v>3.42623529387249</v>
      </c>
      <c r="N180">
        <v>1.0095574823354401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105488</v>
      </c>
      <c r="I181">
        <v>453.97444444444398</v>
      </c>
      <c r="J181">
        <v>232.36550270817901</v>
      </c>
      <c r="K181">
        <v>249.83661574276601</v>
      </c>
      <c r="L181">
        <v>422.22794159448301</v>
      </c>
      <c r="M181">
        <v>-31.746502849961001</v>
      </c>
      <c r="N181">
        <v>0.93006984591652198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105488</v>
      </c>
      <c r="I183">
        <v>175.00833333333301</v>
      </c>
      <c r="J183">
        <v>602.75986857768601</v>
      </c>
      <c r="K183">
        <v>592.10629538569196</v>
      </c>
      <c r="L183">
        <v>178.15720052644599</v>
      </c>
      <c r="M183">
        <v>3.1488671931127299</v>
      </c>
      <c r="N183">
        <v>1.0179926700239701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205643</v>
      </c>
      <c r="I185">
        <v>987.47</v>
      </c>
      <c r="J185">
        <v>208.25240260463599</v>
      </c>
      <c r="K185">
        <v>213.699781000998</v>
      </c>
      <c r="L185">
        <v>962.29859963702404</v>
      </c>
      <c r="M185">
        <v>-25.171400362975699</v>
      </c>
      <c r="N185">
        <v>0.97450919991191998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98718</v>
      </c>
      <c r="I2">
        <v>77.523611111111094</v>
      </c>
      <c r="J2">
        <v>1273.3926939821199</v>
      </c>
      <c r="K2">
        <v>995.00000399999999</v>
      </c>
      <c r="L2">
        <v>99.214069952908204</v>
      </c>
      <c r="M2">
        <v>21.690458841797099</v>
      </c>
      <c r="N2">
        <v>1.2797916470984401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946</v>
      </c>
      <c r="I3">
        <v>0.67861111111111105</v>
      </c>
      <c r="J3">
        <v>1394.02374130167</v>
      </c>
      <c r="K3">
        <v>275.00000399999999</v>
      </c>
      <c r="L3">
        <v>3.4399999499636298</v>
      </c>
      <c r="M3">
        <v>2.7613888388525201</v>
      </c>
      <c r="N3">
        <v>5.0691771673635202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2862</v>
      </c>
      <c r="I4">
        <v>10.865</v>
      </c>
      <c r="J4">
        <v>263.41463414634097</v>
      </c>
      <c r="K4">
        <v>101.999988</v>
      </c>
      <c r="L4">
        <v>28.058826830450201</v>
      </c>
      <c r="M4">
        <v>17.193826830450199</v>
      </c>
      <c r="N4">
        <v>2.5824967170225599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51</v>
      </c>
      <c r="I5">
        <v>0.65916666666666601</v>
      </c>
      <c r="J5">
        <v>77.370417193425993</v>
      </c>
      <c r="K5">
        <v>52.999991999999999</v>
      </c>
      <c r="L5">
        <v>0.96226429619083698</v>
      </c>
      <c r="M5">
        <v>0.30309762952417002</v>
      </c>
      <c r="N5">
        <v>1.4598194126788899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3859</v>
      </c>
      <c r="I7">
        <v>12.202777777777699</v>
      </c>
      <c r="J7">
        <v>316.23947188709298</v>
      </c>
      <c r="K7">
        <v>118.88078533445299</v>
      </c>
      <c r="L7">
        <v>32.461091076604603</v>
      </c>
      <c r="M7">
        <v>20.258313298826899</v>
      </c>
      <c r="N7">
        <v>2.6601394918228198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12882</v>
      </c>
      <c r="I14">
        <v>7.6794444444444396</v>
      </c>
      <c r="J14">
        <v>1677.4650944078701</v>
      </c>
      <c r="K14">
        <v>524.99998800000003</v>
      </c>
      <c r="L14">
        <v>24.5371434179918</v>
      </c>
      <c r="M14">
        <v>16.8576989735474</v>
      </c>
      <c r="N14">
        <v>3.1951716814284401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39</v>
      </c>
      <c r="I15">
        <v>2.60361111111111</v>
      </c>
      <c r="J15">
        <v>14.9791955617198</v>
      </c>
      <c r="K15">
        <v>11.999988</v>
      </c>
      <c r="L15">
        <v>3.2500032500032501</v>
      </c>
      <c r="M15">
        <v>0.64639213889213898</v>
      </c>
      <c r="N15">
        <v>1.24826754507753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98718</v>
      </c>
      <c r="I16">
        <v>47.363055555555498</v>
      </c>
      <c r="J16">
        <v>2084.28275671966</v>
      </c>
      <c r="K16">
        <v>2000.00001599999</v>
      </c>
      <c r="L16">
        <v>49.358999605127998</v>
      </c>
      <c r="M16">
        <v>1.9959440495724501</v>
      </c>
      <c r="N16">
        <v>1.0421413700227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98718</v>
      </c>
      <c r="I17">
        <v>147.3725</v>
      </c>
      <c r="J17">
        <v>669.85360226636499</v>
      </c>
      <c r="K17">
        <v>472.73911496460499</v>
      </c>
      <c r="L17">
        <v>208.821307302636</v>
      </c>
      <c r="M17">
        <v>61.448807302635998</v>
      </c>
      <c r="N17">
        <v>1.4169625086270199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30</v>
      </c>
      <c r="I30">
        <v>0.111944444444444</v>
      </c>
      <c r="J30">
        <v>267.990074441687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48</v>
      </c>
      <c r="I31">
        <v>0.54249999999999998</v>
      </c>
      <c r="J31">
        <v>88.479262672811004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1</v>
      </c>
      <c r="I32">
        <v>4.1944444444444402E-2</v>
      </c>
      <c r="J32">
        <v>23.841059602649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79</v>
      </c>
      <c r="I34">
        <v>0.69638888888888795</v>
      </c>
      <c r="J34">
        <v>113.442361388113</v>
      </c>
      <c r="K34">
        <v>0</v>
      </c>
      <c r="L34">
        <v>0</v>
      </c>
      <c r="M34">
        <v>-0.69638888888888795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79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79</v>
      </c>
      <c r="I36">
        <v>0.69638888888888795</v>
      </c>
      <c r="J36">
        <v>113.442361388113</v>
      </c>
      <c r="K36">
        <v>0</v>
      </c>
      <c r="L36">
        <v>0</v>
      </c>
      <c r="M36">
        <v>-0.69638888888888795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12346</v>
      </c>
      <c r="I46">
        <v>162.565277777777</v>
      </c>
      <c r="J46">
        <v>75.944876844344506</v>
      </c>
      <c r="K46">
        <v>86.000004000000004</v>
      </c>
      <c r="L46">
        <v>143.558132857761</v>
      </c>
      <c r="M46">
        <v>-19.007144920016501</v>
      </c>
      <c r="N46">
        <v>0.88307992223284704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49</v>
      </c>
      <c r="I48">
        <v>9.6494444444444394</v>
      </c>
      <c r="J48">
        <v>5.07801255109678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203353</v>
      </c>
      <c r="I50">
        <v>85.018055555555506</v>
      </c>
      <c r="J50">
        <v>2391.8801561759701</v>
      </c>
      <c r="K50">
        <v>15000.0000119999</v>
      </c>
      <c r="L50">
        <v>13.5568666558211</v>
      </c>
      <c r="M50">
        <v>-71.461188899734296</v>
      </c>
      <c r="N50">
        <v>0.15945867695083099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203353</v>
      </c>
      <c r="I51">
        <v>257.23277777777702</v>
      </c>
      <c r="J51">
        <v>790.54077694435796</v>
      </c>
      <c r="K51">
        <v>1294.2939924868199</v>
      </c>
      <c r="L51">
        <v>157.11499951358201</v>
      </c>
      <c r="M51">
        <v>-100.117778264195</v>
      </c>
      <c r="N51">
        <v>0.61078918818547001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98718</v>
      </c>
      <c r="I52">
        <v>22.066666666666599</v>
      </c>
      <c r="J52">
        <v>4473.6253776434996</v>
      </c>
      <c r="K52">
        <v>4500</v>
      </c>
      <c r="L52">
        <v>21.937333333333299</v>
      </c>
      <c r="M52">
        <v>-0.12933333333333399</v>
      </c>
      <c r="N52">
        <v>0.99413897280966701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98718</v>
      </c>
      <c r="I53">
        <v>7.7547222222222203</v>
      </c>
      <c r="J53">
        <v>12730.049790450201</v>
      </c>
      <c r="K53">
        <v>1850.000004</v>
      </c>
      <c r="L53">
        <v>53.361080965705703</v>
      </c>
      <c r="M53">
        <v>45.606358743483497</v>
      </c>
      <c r="N53">
        <v>6.8811079799599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98718</v>
      </c>
      <c r="I54">
        <v>435.12305555555503</v>
      </c>
      <c r="J54">
        <v>226.87375155048699</v>
      </c>
      <c r="K54">
        <v>223.73125974873801</v>
      </c>
      <c r="L54">
        <v>441.234721115257</v>
      </c>
      <c r="M54">
        <v>6.1116655597020202</v>
      </c>
      <c r="N54">
        <v>1.0140458325102899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37462</v>
      </c>
      <c r="I65">
        <v>26.968611111111102</v>
      </c>
      <c r="J65">
        <v>1389.09637747587</v>
      </c>
      <c r="K65">
        <v>1244.000016</v>
      </c>
      <c r="L65">
        <v>30.114147522647599</v>
      </c>
      <c r="M65">
        <v>3.1455364115365101</v>
      </c>
      <c r="N65">
        <v>1.11663694502385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62189</v>
      </c>
      <c r="I66">
        <v>244.82777777777699</v>
      </c>
      <c r="J66">
        <v>254.01120969388899</v>
      </c>
      <c r="K66">
        <v>288</v>
      </c>
      <c r="L66">
        <v>215.934027777777</v>
      </c>
      <c r="M66">
        <v>-28.893750000000001</v>
      </c>
      <c r="N66">
        <v>0.88198336699266999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113</v>
      </c>
      <c r="I67">
        <v>0.39722222222222198</v>
      </c>
      <c r="J67">
        <v>284.47552447552403</v>
      </c>
      <c r="K67">
        <v>117</v>
      </c>
      <c r="L67">
        <v>0.96581196581196505</v>
      </c>
      <c r="M67">
        <v>0.56858974358974301</v>
      </c>
      <c r="N67">
        <v>2.4314147391070402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99764</v>
      </c>
      <c r="I69">
        <v>272.19361111111101</v>
      </c>
      <c r="J69">
        <v>366.51852184464201</v>
      </c>
      <c r="K69">
        <v>403.87996284790103</v>
      </c>
      <c r="L69">
        <v>247.013987266237</v>
      </c>
      <c r="M69">
        <v>-25.179623844873699</v>
      </c>
      <c r="N69">
        <v>0.90749370000975005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104635</v>
      </c>
      <c r="I70">
        <v>24.087222222222199</v>
      </c>
      <c r="J70">
        <v>4344.0044283506604</v>
      </c>
      <c r="K70">
        <v>3465</v>
      </c>
      <c r="L70">
        <v>30.197691197691199</v>
      </c>
      <c r="M70">
        <v>6.1104689754689696</v>
      </c>
      <c r="N70">
        <v>1.25368093170293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104635</v>
      </c>
      <c r="I71">
        <v>49.602222222222203</v>
      </c>
      <c r="J71">
        <v>2109.48210205635</v>
      </c>
      <c r="K71">
        <v>1524.999996</v>
      </c>
      <c r="L71">
        <v>68.613114934067099</v>
      </c>
      <c r="M71">
        <v>19.0108927118449</v>
      </c>
      <c r="N71">
        <v>1.38326695579634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104635</v>
      </c>
      <c r="I72">
        <v>15.375</v>
      </c>
      <c r="J72">
        <v>6805.5284552845496</v>
      </c>
      <c r="K72">
        <v>3499.999992</v>
      </c>
      <c r="L72">
        <v>29.8957143540473</v>
      </c>
      <c r="M72">
        <v>14.5207143540473</v>
      </c>
      <c r="N72">
        <v>1.94443670595429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104635</v>
      </c>
      <c r="I73">
        <v>13.75</v>
      </c>
      <c r="J73">
        <v>7609.8181818181802</v>
      </c>
      <c r="K73">
        <v>5000.0000040000004</v>
      </c>
      <c r="L73">
        <v>20.926999983258401</v>
      </c>
      <c r="M73">
        <v>7.1769999832584004</v>
      </c>
      <c r="N73">
        <v>1.5219636351460599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104635</v>
      </c>
      <c r="I74">
        <v>375.00805555555502</v>
      </c>
      <c r="J74">
        <v>279.020672889249</v>
      </c>
      <c r="K74">
        <v>263.79845570548002</v>
      </c>
      <c r="L74">
        <v>396.64750773530102</v>
      </c>
      <c r="M74">
        <v>21.639452179745899</v>
      </c>
      <c r="N74">
        <v>1.05770396624597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99764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104635</v>
      </c>
      <c r="I161">
        <v>111.161944444444</v>
      </c>
      <c r="J161">
        <v>941.28436240420001</v>
      </c>
      <c r="K161">
        <v>1269.3800800679301</v>
      </c>
      <c r="L161">
        <v>82.43</v>
      </c>
      <c r="M161">
        <v>-28.731944444444402</v>
      </c>
      <c r="N161">
        <v>0.74153074968202004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104635</v>
      </c>
      <c r="I162">
        <v>0</v>
      </c>
      <c r="J162">
        <v>0</v>
      </c>
      <c r="K162">
        <v>7768.0029695619796</v>
      </c>
      <c r="L162">
        <v>13.47</v>
      </c>
      <c r="M162">
        <v>13.47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104635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104635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203353</v>
      </c>
      <c r="I165">
        <v>49.2</v>
      </c>
      <c r="J165">
        <v>4133.1910569105603</v>
      </c>
      <c r="K165">
        <v>2499.999984</v>
      </c>
      <c r="L165">
        <v>81.341200520583598</v>
      </c>
      <c r="M165">
        <v>32.141200520583602</v>
      </c>
      <c r="N165">
        <v>1.6532764333451899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104635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98718</v>
      </c>
      <c r="I170">
        <v>435.12305555555503</v>
      </c>
      <c r="J170">
        <v>226.87375155048699</v>
      </c>
      <c r="K170">
        <v>223.73125974873801</v>
      </c>
      <c r="L170">
        <v>441.234721115257</v>
      </c>
      <c r="M170">
        <v>6.1116655597020202</v>
      </c>
      <c r="N170">
        <v>1.0140458325102899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98718</v>
      </c>
      <c r="I172">
        <v>435.12305555555503</v>
      </c>
      <c r="J172">
        <v>226.87375155048699</v>
      </c>
      <c r="K172">
        <v>223.73125974873801</v>
      </c>
      <c r="L172">
        <v>441.234721115257</v>
      </c>
      <c r="M172">
        <v>6.1116655597020202</v>
      </c>
      <c r="N172">
        <v>1.0140458325102899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104635</v>
      </c>
      <c r="I174">
        <v>375.00805555555502</v>
      </c>
      <c r="J174">
        <v>279.020672889249</v>
      </c>
      <c r="K174">
        <v>263.79845570548002</v>
      </c>
      <c r="L174">
        <v>396.64750773530102</v>
      </c>
      <c r="M174">
        <v>21.639452179745899</v>
      </c>
      <c r="N174">
        <v>1.05770396624597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104635</v>
      </c>
      <c r="I177">
        <v>160.36194444444399</v>
      </c>
      <c r="J177">
        <v>652.492711799522</v>
      </c>
      <c r="K177">
        <v>590.353708351509</v>
      </c>
      <c r="L177">
        <v>177.24120052058299</v>
      </c>
      <c r="M177">
        <v>16.8792560761392</v>
      </c>
      <c r="N177">
        <v>1.1052572425123299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203353</v>
      </c>
      <c r="I179">
        <v>970.49305555555497</v>
      </c>
      <c r="J179">
        <v>209.53576003033899</v>
      </c>
      <c r="K179">
        <v>200.32342286294599</v>
      </c>
      <c r="L179">
        <v>1015.12342937114</v>
      </c>
      <c r="M179">
        <v>44.630373815587099</v>
      </c>
      <c r="N179">
        <v>1.04598731908497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98718</v>
      </c>
      <c r="I180">
        <v>435.12305555555503</v>
      </c>
      <c r="J180">
        <v>226.87375155048699</v>
      </c>
      <c r="K180">
        <v>223.73125974873801</v>
      </c>
      <c r="L180">
        <v>441.234721115257</v>
      </c>
      <c r="M180">
        <v>6.1116655597020202</v>
      </c>
      <c r="N180">
        <v>1.0140458325102899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104635</v>
      </c>
      <c r="I181">
        <v>375.00805555555502</v>
      </c>
      <c r="J181">
        <v>279.020672889249</v>
      </c>
      <c r="K181">
        <v>263.79845570548002</v>
      </c>
      <c r="L181">
        <v>396.64750773530102</v>
      </c>
      <c r="M181">
        <v>21.639452179745899</v>
      </c>
      <c r="N181">
        <v>1.05770396624597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104635</v>
      </c>
      <c r="I183">
        <v>160.36194444444399</v>
      </c>
      <c r="J183">
        <v>652.492711799522</v>
      </c>
      <c r="K183">
        <v>590.353708351509</v>
      </c>
      <c r="L183">
        <v>177.24120052058299</v>
      </c>
      <c r="M183">
        <v>16.8792560761392</v>
      </c>
      <c r="N183">
        <v>1.1052572425123299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203353</v>
      </c>
      <c r="I185">
        <v>970.49305555555497</v>
      </c>
      <c r="J185">
        <v>209.53576003033899</v>
      </c>
      <c r="K185">
        <v>200.32342286294599</v>
      </c>
      <c r="L185">
        <v>1015.12342937114</v>
      </c>
      <c r="M185">
        <v>44.630373815587099</v>
      </c>
      <c r="N185">
        <v>1.04598731908497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109452</v>
      </c>
      <c r="I2">
        <v>63.669166666666598</v>
      </c>
      <c r="J2">
        <v>1719.07385835634</v>
      </c>
      <c r="K2">
        <v>995.00000399999999</v>
      </c>
      <c r="L2">
        <v>110.002009608032</v>
      </c>
      <c r="M2">
        <v>46.332842941365399</v>
      </c>
      <c r="N2">
        <v>1.7277124135130599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1295</v>
      </c>
      <c r="I3">
        <v>0.793333333333333</v>
      </c>
      <c r="J3">
        <v>1632.35294117647</v>
      </c>
      <c r="K3">
        <v>275.00000399999999</v>
      </c>
      <c r="L3">
        <v>4.7090908405950396</v>
      </c>
      <c r="M3">
        <v>3.9157575072616999</v>
      </c>
      <c r="N3">
        <v>5.9358287906660196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2531</v>
      </c>
      <c r="I4">
        <v>7.9497222222222197</v>
      </c>
      <c r="J4">
        <v>318.37590411963998</v>
      </c>
      <c r="K4">
        <v>101.999988</v>
      </c>
      <c r="L4">
        <v>24.8137284094582</v>
      </c>
      <c r="M4">
        <v>16.864006187236001</v>
      </c>
      <c r="N4">
        <v>3.12133276054543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3</v>
      </c>
      <c r="I5">
        <v>0</v>
      </c>
      <c r="J5">
        <v>0</v>
      </c>
      <c r="K5">
        <v>52.999991999999999</v>
      </c>
      <c r="L5">
        <v>5.6603782128872702E-2</v>
      </c>
      <c r="M5">
        <v>5.6603782128872702E-2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3829</v>
      </c>
      <c r="I7">
        <v>8.74305555555555</v>
      </c>
      <c r="J7">
        <v>437.947577442414</v>
      </c>
      <c r="K7">
        <v>129.44809626050099</v>
      </c>
      <c r="L7">
        <v>29.579423032182099</v>
      </c>
      <c r="M7">
        <v>20.836367476626599</v>
      </c>
      <c r="N7">
        <v>3.3831905612662601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14947</v>
      </c>
      <c r="I14">
        <v>7.9536111111111101</v>
      </c>
      <c r="J14">
        <v>1879.2721684769299</v>
      </c>
      <c r="K14">
        <v>524.99998800000003</v>
      </c>
      <c r="L14">
        <v>28.4704768412299</v>
      </c>
      <c r="M14">
        <v>20.516865730118798</v>
      </c>
      <c r="N14">
        <v>3.5795661170128099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29</v>
      </c>
      <c r="I15">
        <v>0.8175</v>
      </c>
      <c r="J15">
        <v>35.474006116207903</v>
      </c>
      <c r="K15">
        <v>11.999988</v>
      </c>
      <c r="L15">
        <v>2.41666908333575</v>
      </c>
      <c r="M15">
        <v>1.5991690833357499</v>
      </c>
      <c r="N15">
        <v>2.9561701325207901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109452</v>
      </c>
      <c r="I16">
        <v>75.277500000000003</v>
      </c>
      <c r="J16">
        <v>1453.98027298993</v>
      </c>
      <c r="K16">
        <v>2000.00001599999</v>
      </c>
      <c r="L16">
        <v>54.725999562192001</v>
      </c>
      <c r="M16">
        <v>-20.551500437807899</v>
      </c>
      <c r="N16">
        <v>0.72699013067904705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109452</v>
      </c>
      <c r="I17">
        <v>156.460833333333</v>
      </c>
      <c r="J17">
        <v>699.548875384148</v>
      </c>
      <c r="K17">
        <v>486.03301602708802</v>
      </c>
      <c r="L17">
        <v>225.194578126972</v>
      </c>
      <c r="M17">
        <v>68.733744793638607</v>
      </c>
      <c r="N17">
        <v>1.4393032002277799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15937</v>
      </c>
      <c r="I46">
        <v>176.961388888888</v>
      </c>
      <c r="J46">
        <v>90.059193703585606</v>
      </c>
      <c r="K46">
        <v>86.000004000000004</v>
      </c>
      <c r="L46">
        <v>185.31394486911799</v>
      </c>
      <c r="M46">
        <v>8.3525559802299707</v>
      </c>
      <c r="N46">
        <v>1.0471998780789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29</v>
      </c>
      <c r="I48">
        <v>2.94</v>
      </c>
      <c r="J48">
        <v>9.8639455782312897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206745</v>
      </c>
      <c r="I50">
        <v>57.996111111111098</v>
      </c>
      <c r="J50">
        <v>3564.8079852097298</v>
      </c>
      <c r="K50">
        <v>15000.0000119999</v>
      </c>
      <c r="L50">
        <v>13.7829999889736</v>
      </c>
      <c r="M50">
        <v>-44.213111122137498</v>
      </c>
      <c r="N50">
        <v>0.237653865490526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206745</v>
      </c>
      <c r="I51">
        <v>237.89750000000001</v>
      </c>
      <c r="J51">
        <v>869.050746645088</v>
      </c>
      <c r="K51">
        <v>1038.41372426562</v>
      </c>
      <c r="L51">
        <v>199.096944858092</v>
      </c>
      <c r="M51">
        <v>-38.800555141907502</v>
      </c>
      <c r="N51">
        <v>0.83690221569412204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109452</v>
      </c>
      <c r="I52">
        <v>21.0833333333333</v>
      </c>
      <c r="J52">
        <v>5191.3992094861596</v>
      </c>
      <c r="K52">
        <v>4500</v>
      </c>
      <c r="L52">
        <v>24.322666666666599</v>
      </c>
      <c r="M52">
        <v>3.2393333333333301</v>
      </c>
      <c r="N52">
        <v>1.1536442687746999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109452</v>
      </c>
      <c r="I53">
        <v>6.3583333333333298</v>
      </c>
      <c r="J53">
        <v>17213.944954128401</v>
      </c>
      <c r="K53">
        <v>1850.000004</v>
      </c>
      <c r="L53">
        <v>59.1632431153227</v>
      </c>
      <c r="M53">
        <v>52.804909781989302</v>
      </c>
      <c r="N53">
        <v>9.3048350902211308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109452</v>
      </c>
      <c r="I54">
        <v>421.8</v>
      </c>
      <c r="J54">
        <v>259.48790896159301</v>
      </c>
      <c r="K54">
        <v>215.55113113940101</v>
      </c>
      <c r="L54">
        <v>507.77743276705303</v>
      </c>
      <c r="M54">
        <v>85.977432767053799</v>
      </c>
      <c r="N54">
        <v>1.2038345964131101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30857</v>
      </c>
      <c r="I65">
        <v>23.210833333333301</v>
      </c>
      <c r="J65">
        <v>1329.4223243456699</v>
      </c>
      <c r="K65">
        <v>1244.000016</v>
      </c>
      <c r="L65">
        <v>24.8046620603902</v>
      </c>
      <c r="M65">
        <v>1.5938287270568601</v>
      </c>
      <c r="N65">
        <v>1.06866744955546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68782</v>
      </c>
      <c r="I66">
        <v>298.19222222222197</v>
      </c>
      <c r="J66">
        <v>230.663293252301</v>
      </c>
      <c r="K66">
        <v>288</v>
      </c>
      <c r="L66">
        <v>238.826388888888</v>
      </c>
      <c r="M66">
        <v>-59.365833333333299</v>
      </c>
      <c r="N66">
        <v>0.80091421268160301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79</v>
      </c>
      <c r="I67">
        <v>0.51</v>
      </c>
      <c r="J67">
        <v>154.90196078431299</v>
      </c>
      <c r="K67">
        <v>117</v>
      </c>
      <c r="L67">
        <v>0.67521367521367504</v>
      </c>
      <c r="M67">
        <v>0.165213675213675</v>
      </c>
      <c r="N67">
        <v>1.3239483827719101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99718</v>
      </c>
      <c r="I69">
        <v>321.91305555555499</v>
      </c>
      <c r="J69">
        <v>309.76687114446798</v>
      </c>
      <c r="K69">
        <v>377.28201464188498</v>
      </c>
      <c r="L69">
        <v>264.30626462449197</v>
      </c>
      <c r="M69">
        <v>-57.606790931062697</v>
      </c>
      <c r="N69">
        <v>0.82104860322721196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97293</v>
      </c>
      <c r="I70">
        <v>19.45</v>
      </c>
      <c r="J70">
        <v>5002.2107969151602</v>
      </c>
      <c r="K70">
        <v>3465</v>
      </c>
      <c r="L70">
        <v>28.0787878787878</v>
      </c>
      <c r="M70">
        <v>8.6287878787878807</v>
      </c>
      <c r="N70">
        <v>1.44363947962919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97293</v>
      </c>
      <c r="I71">
        <v>63.1944444444444</v>
      </c>
      <c r="J71">
        <v>1539.58153846153</v>
      </c>
      <c r="K71">
        <v>1524.999996</v>
      </c>
      <c r="L71">
        <v>63.798688691930899</v>
      </c>
      <c r="M71">
        <v>0.60424424748654304</v>
      </c>
      <c r="N71">
        <v>1.0095616672129699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97293</v>
      </c>
      <c r="I72">
        <v>10.85</v>
      </c>
      <c r="J72">
        <v>8967.0967741935401</v>
      </c>
      <c r="K72">
        <v>3499.999992</v>
      </c>
      <c r="L72">
        <v>27.798000063538201</v>
      </c>
      <c r="M72">
        <v>16.948000063538199</v>
      </c>
      <c r="N72">
        <v>2.5620276556256401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97293</v>
      </c>
      <c r="I73">
        <v>11.421111111111101</v>
      </c>
      <c r="J73">
        <v>8518.6983169568994</v>
      </c>
      <c r="K73">
        <v>5000.0000040000004</v>
      </c>
      <c r="L73">
        <v>19.4585999844331</v>
      </c>
      <c r="M73">
        <v>8.0374888733219993</v>
      </c>
      <c r="N73">
        <v>1.70373966202838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97293</v>
      </c>
      <c r="I74">
        <v>426.828611111111</v>
      </c>
      <c r="J74">
        <v>227.94395096132101</v>
      </c>
      <c r="K74">
        <v>241.15833260549999</v>
      </c>
      <c r="L74">
        <v>403.44034124318301</v>
      </c>
      <c r="M74">
        <v>-23.388269867927999</v>
      </c>
      <c r="N74">
        <v>0.94520454051324199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99718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97293</v>
      </c>
      <c r="I161">
        <v>141.17555555555501</v>
      </c>
      <c r="J161">
        <v>689.16321679862699</v>
      </c>
      <c r="K161">
        <v>1180.3105665413</v>
      </c>
      <c r="L161">
        <v>82.43</v>
      </c>
      <c r="M161">
        <v>-58.745555555555498</v>
      </c>
      <c r="N161">
        <v>0.58388295109320099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97293</v>
      </c>
      <c r="I162">
        <v>10.556944444444399</v>
      </c>
      <c r="J162">
        <v>9216.0189448756701</v>
      </c>
      <c r="K162">
        <v>7222.9398663697102</v>
      </c>
      <c r="L162">
        <v>13.47</v>
      </c>
      <c r="M162">
        <v>2.91305555555555</v>
      </c>
      <c r="N162">
        <v>1.2759373766609601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97293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97293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206745</v>
      </c>
      <c r="I165">
        <v>48.848055555555497</v>
      </c>
      <c r="J165">
        <v>4232.4100242816403</v>
      </c>
      <c r="K165">
        <v>2499.999984</v>
      </c>
      <c r="L165">
        <v>82.698000529267205</v>
      </c>
      <c r="M165">
        <v>33.849944973711601</v>
      </c>
      <c r="N165">
        <v>1.69296402054762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97293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109452</v>
      </c>
      <c r="I170">
        <v>421.8</v>
      </c>
      <c r="J170">
        <v>259.48790896159301</v>
      </c>
      <c r="K170">
        <v>215.55113113940101</v>
      </c>
      <c r="L170">
        <v>507.77743276705303</v>
      </c>
      <c r="M170">
        <v>85.977432767053799</v>
      </c>
      <c r="N170">
        <v>1.2038345964131101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109452</v>
      </c>
      <c r="I172">
        <v>421.8</v>
      </c>
      <c r="J172">
        <v>259.48790896159301</v>
      </c>
      <c r="K172">
        <v>215.55113113940101</v>
      </c>
      <c r="L172">
        <v>507.77743276705303</v>
      </c>
      <c r="M172">
        <v>85.977432767053799</v>
      </c>
      <c r="N172">
        <v>1.2038345964131101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97293</v>
      </c>
      <c r="I174">
        <v>426.828611111111</v>
      </c>
      <c r="J174">
        <v>227.94395096132101</v>
      </c>
      <c r="K174">
        <v>241.15833260549999</v>
      </c>
      <c r="L174">
        <v>403.44034124318301</v>
      </c>
      <c r="M174">
        <v>-23.388269867927999</v>
      </c>
      <c r="N174">
        <v>0.94520454051324199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97293</v>
      </c>
      <c r="I177">
        <v>200.58055555555501</v>
      </c>
      <c r="J177">
        <v>485.05698735614601</v>
      </c>
      <c r="K177">
        <v>544.75973813635301</v>
      </c>
      <c r="L177">
        <v>178.59800052926701</v>
      </c>
      <c r="M177">
        <v>-21.982555026288299</v>
      </c>
      <c r="N177">
        <v>0.89040535377219099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206745</v>
      </c>
      <c r="I179">
        <v>1049.2091666666599</v>
      </c>
      <c r="J179">
        <v>197.04841185940799</v>
      </c>
      <c r="K179">
        <v>189.706374994763</v>
      </c>
      <c r="L179">
        <v>1089.8157745394999</v>
      </c>
      <c r="M179">
        <v>40.606607872837401</v>
      </c>
      <c r="N179">
        <v>1.03870210932472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109452</v>
      </c>
      <c r="I180">
        <v>421.8</v>
      </c>
      <c r="J180">
        <v>259.48790896159301</v>
      </c>
      <c r="K180">
        <v>215.55113113940101</v>
      </c>
      <c r="L180">
        <v>507.77743276705303</v>
      </c>
      <c r="M180">
        <v>85.977432767053799</v>
      </c>
      <c r="N180">
        <v>1.2038345964131101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97293</v>
      </c>
      <c r="I181">
        <v>426.828611111111</v>
      </c>
      <c r="J181">
        <v>227.94395096132101</v>
      </c>
      <c r="K181">
        <v>241.15833260549999</v>
      </c>
      <c r="L181">
        <v>403.44034124318301</v>
      </c>
      <c r="M181">
        <v>-23.388269867927999</v>
      </c>
      <c r="N181">
        <v>0.94520454051324199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97293</v>
      </c>
      <c r="I183">
        <v>200.58055555555501</v>
      </c>
      <c r="J183">
        <v>485.05698735614601</v>
      </c>
      <c r="K183">
        <v>544.75973813635301</v>
      </c>
      <c r="L183">
        <v>178.59800052926701</v>
      </c>
      <c r="M183">
        <v>-21.982555026288299</v>
      </c>
      <c r="N183">
        <v>0.89040535377219099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206745</v>
      </c>
      <c r="I185">
        <v>1049.2091666666599</v>
      </c>
      <c r="J185">
        <v>197.04841185940799</v>
      </c>
      <c r="K185">
        <v>189.706374994763</v>
      </c>
      <c r="L185">
        <v>1089.8157745394999</v>
      </c>
      <c r="M185">
        <v>40.606607872837401</v>
      </c>
      <c r="N185">
        <v>1.03870210932472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618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401</v>
      </c>
    </row>
    <row r="5" spans="1:2" x14ac:dyDescent="0.35">
      <c r="A5" t="s">
        <v>523</v>
      </c>
      <c r="B5">
        <v>1405.1818181818101</v>
      </c>
    </row>
    <row r="6" spans="1:2" x14ac:dyDescent="0.35">
      <c r="A6" t="s">
        <v>524</v>
      </c>
      <c r="B6">
        <v>2604</v>
      </c>
    </row>
    <row r="7" spans="1:2" x14ac:dyDescent="0.35">
      <c r="A7" t="s">
        <v>619</v>
      </c>
      <c r="B7">
        <v>1516</v>
      </c>
    </row>
    <row r="8" spans="1:2" x14ac:dyDescent="0.35">
      <c r="A8" t="s">
        <v>620</v>
      </c>
      <c r="B8">
        <v>2604</v>
      </c>
    </row>
    <row r="9" spans="1:2" x14ac:dyDescent="0.35">
      <c r="A9" t="s">
        <v>621</v>
      </c>
      <c r="B9">
        <v>1570</v>
      </c>
    </row>
    <row r="10" spans="1:2" x14ac:dyDescent="0.35">
      <c r="A10" t="s">
        <v>622</v>
      </c>
      <c r="B10">
        <v>1697</v>
      </c>
    </row>
    <row r="11" spans="1:2" x14ac:dyDescent="0.35">
      <c r="A11" t="s">
        <v>623</v>
      </c>
      <c r="B11">
        <v>1179</v>
      </c>
    </row>
    <row r="12" spans="1:2" x14ac:dyDescent="0.35">
      <c r="A12" t="s">
        <v>624</v>
      </c>
      <c r="B12">
        <v>847</v>
      </c>
    </row>
    <row r="13" spans="1:2" x14ac:dyDescent="0.35">
      <c r="A13" t="s">
        <v>625</v>
      </c>
      <c r="B13">
        <v>1412</v>
      </c>
    </row>
    <row r="14" spans="1:2" x14ac:dyDescent="0.35">
      <c r="A14" t="s">
        <v>626</v>
      </c>
      <c r="B14">
        <v>1047</v>
      </c>
    </row>
    <row r="15" spans="1:2" x14ac:dyDescent="0.35">
      <c r="A15" t="s">
        <v>627</v>
      </c>
      <c r="B15">
        <v>1607</v>
      </c>
    </row>
    <row r="16" spans="1:2" x14ac:dyDescent="0.35">
      <c r="A16" t="s">
        <v>628</v>
      </c>
      <c r="B16">
        <v>1577</v>
      </c>
    </row>
    <row r="17" spans="1:2" x14ac:dyDescent="0.35">
      <c r="A17" t="s">
        <v>629</v>
      </c>
      <c r="B17">
        <v>401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R275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100414680</v>
      </c>
      <c r="E2" t="s">
        <v>576</v>
      </c>
      <c r="F2" t="s">
        <v>60</v>
      </c>
      <c r="G2">
        <v>0.35</v>
      </c>
      <c r="H2">
        <v>7.35</v>
      </c>
      <c r="I2">
        <v>0.05</v>
      </c>
      <c r="J2">
        <v>0</v>
      </c>
      <c r="K2">
        <v>7.76</v>
      </c>
      <c r="L2" t="s">
        <v>61</v>
      </c>
      <c r="M2">
        <v>323</v>
      </c>
      <c r="N2">
        <v>41.63</v>
      </c>
      <c r="O2" t="s">
        <v>62</v>
      </c>
      <c r="P2" t="s">
        <v>63</v>
      </c>
      <c r="Q2">
        <v>453</v>
      </c>
      <c r="R2">
        <v>1292.23</v>
      </c>
    </row>
    <row r="3" spans="1:18" x14ac:dyDescent="0.35">
      <c r="A3" t="s">
        <v>56</v>
      </c>
      <c r="B3" t="s">
        <v>57</v>
      </c>
      <c r="C3" t="s">
        <v>70</v>
      </c>
      <c r="D3">
        <v>100414680</v>
      </c>
      <c r="E3" t="s">
        <v>576</v>
      </c>
      <c r="F3" t="s">
        <v>60</v>
      </c>
      <c r="G3">
        <v>0.35</v>
      </c>
      <c r="H3">
        <v>7.35</v>
      </c>
      <c r="I3">
        <v>0.05</v>
      </c>
      <c r="J3">
        <v>0</v>
      </c>
      <c r="K3">
        <v>7.76</v>
      </c>
      <c r="L3" t="s">
        <v>61</v>
      </c>
      <c r="M3">
        <v>323</v>
      </c>
      <c r="N3">
        <v>41.63</v>
      </c>
      <c r="O3" t="s">
        <v>62</v>
      </c>
      <c r="P3" t="s">
        <v>64</v>
      </c>
      <c r="Q3">
        <v>1939</v>
      </c>
      <c r="R3">
        <v>263.64999999999998</v>
      </c>
    </row>
    <row r="4" spans="1:18" x14ac:dyDescent="0.35">
      <c r="A4" t="s">
        <v>56</v>
      </c>
      <c r="B4" t="s">
        <v>57</v>
      </c>
      <c r="C4" t="s">
        <v>70</v>
      </c>
      <c r="D4">
        <v>100414680</v>
      </c>
      <c r="E4" t="s">
        <v>576</v>
      </c>
      <c r="F4" t="s">
        <v>60</v>
      </c>
      <c r="G4">
        <v>0.35</v>
      </c>
      <c r="H4">
        <v>7.35</v>
      </c>
      <c r="I4">
        <v>0.05</v>
      </c>
      <c r="J4">
        <v>0</v>
      </c>
      <c r="K4">
        <v>7.76</v>
      </c>
      <c r="L4" t="s">
        <v>61</v>
      </c>
      <c r="M4">
        <v>323</v>
      </c>
      <c r="N4">
        <v>41.63</v>
      </c>
      <c r="O4" t="s">
        <v>62</v>
      </c>
      <c r="P4" t="s">
        <v>65</v>
      </c>
      <c r="Q4">
        <v>13</v>
      </c>
      <c r="R4">
        <v>242.49</v>
      </c>
    </row>
    <row r="5" spans="1:18" x14ac:dyDescent="0.35">
      <c r="A5" t="s">
        <v>56</v>
      </c>
      <c r="B5" t="s">
        <v>57</v>
      </c>
      <c r="C5" t="s">
        <v>70</v>
      </c>
      <c r="D5">
        <v>100414680</v>
      </c>
      <c r="E5" t="s">
        <v>576</v>
      </c>
      <c r="F5" t="s">
        <v>60</v>
      </c>
      <c r="G5">
        <v>0.35</v>
      </c>
      <c r="H5">
        <v>7.35</v>
      </c>
      <c r="I5">
        <v>0.05</v>
      </c>
      <c r="J5">
        <v>0</v>
      </c>
      <c r="K5">
        <v>7.76</v>
      </c>
      <c r="L5" t="s">
        <v>61</v>
      </c>
      <c r="M5">
        <v>323</v>
      </c>
      <c r="N5">
        <v>41.63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100414680</v>
      </c>
      <c r="E6" t="s">
        <v>576</v>
      </c>
      <c r="F6" t="s">
        <v>60</v>
      </c>
      <c r="G6">
        <v>0.35</v>
      </c>
      <c r="H6">
        <v>7.35</v>
      </c>
      <c r="I6">
        <v>0.05</v>
      </c>
      <c r="J6">
        <v>0</v>
      </c>
      <c r="K6">
        <v>7.76</v>
      </c>
      <c r="L6" t="s">
        <v>61</v>
      </c>
      <c r="M6">
        <v>323</v>
      </c>
      <c r="N6">
        <v>41.63</v>
      </c>
      <c r="O6" t="s">
        <v>62</v>
      </c>
      <c r="P6" t="s">
        <v>67</v>
      </c>
      <c r="Q6">
        <v>2405</v>
      </c>
      <c r="R6">
        <v>309.95999999999998</v>
      </c>
    </row>
    <row r="7" spans="1:18" x14ac:dyDescent="0.35">
      <c r="A7" t="s">
        <v>56</v>
      </c>
      <c r="B7" t="s">
        <v>57</v>
      </c>
      <c r="C7" t="s">
        <v>70</v>
      </c>
      <c r="D7">
        <v>100414680</v>
      </c>
      <c r="E7" t="s">
        <v>576</v>
      </c>
      <c r="F7" t="s">
        <v>60</v>
      </c>
      <c r="G7">
        <v>0.35</v>
      </c>
      <c r="H7">
        <v>7.35</v>
      </c>
      <c r="I7">
        <v>0.05</v>
      </c>
      <c r="J7">
        <v>0</v>
      </c>
      <c r="K7">
        <v>7.76</v>
      </c>
      <c r="L7" t="s">
        <v>61</v>
      </c>
      <c r="M7">
        <v>323</v>
      </c>
      <c r="N7">
        <v>41.63</v>
      </c>
      <c r="O7" t="s">
        <v>68</v>
      </c>
      <c r="P7" t="s">
        <v>67</v>
      </c>
      <c r="Q7">
        <v>323</v>
      </c>
      <c r="R7">
        <v>41.63</v>
      </c>
    </row>
    <row r="8" spans="1:18" x14ac:dyDescent="0.35">
      <c r="A8" t="s">
        <v>56</v>
      </c>
      <c r="B8" t="s">
        <v>57</v>
      </c>
      <c r="C8" t="s">
        <v>70</v>
      </c>
      <c r="D8">
        <v>100414680</v>
      </c>
      <c r="E8" t="s">
        <v>576</v>
      </c>
      <c r="F8" t="s">
        <v>60</v>
      </c>
      <c r="G8">
        <v>0.35</v>
      </c>
      <c r="H8">
        <v>7.35</v>
      </c>
      <c r="I8">
        <v>0.05</v>
      </c>
      <c r="J8">
        <v>0</v>
      </c>
      <c r="K8">
        <v>7.76</v>
      </c>
      <c r="L8" t="s">
        <v>61</v>
      </c>
      <c r="M8">
        <v>323</v>
      </c>
      <c r="N8">
        <v>41.63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70</v>
      </c>
      <c r="D9">
        <v>100753604</v>
      </c>
      <c r="E9" t="s">
        <v>71</v>
      </c>
      <c r="F9" t="s">
        <v>72</v>
      </c>
      <c r="G9">
        <v>1.08</v>
      </c>
      <c r="H9">
        <v>8.89</v>
      </c>
      <c r="I9">
        <v>0.02</v>
      </c>
      <c r="J9">
        <v>0</v>
      </c>
      <c r="K9">
        <v>10</v>
      </c>
      <c r="L9" t="s">
        <v>61</v>
      </c>
      <c r="M9">
        <v>365</v>
      </c>
      <c r="N9">
        <v>36.5</v>
      </c>
      <c r="O9" t="s">
        <v>62</v>
      </c>
      <c r="P9" t="s">
        <v>63</v>
      </c>
      <c r="Q9">
        <v>1582</v>
      </c>
      <c r="R9">
        <v>1458.44</v>
      </c>
    </row>
    <row r="10" spans="1:18" x14ac:dyDescent="0.35">
      <c r="A10" t="s">
        <v>56</v>
      </c>
      <c r="B10" t="s">
        <v>57</v>
      </c>
      <c r="C10" t="s">
        <v>70</v>
      </c>
      <c r="D10">
        <v>100753604</v>
      </c>
      <c r="E10" t="s">
        <v>71</v>
      </c>
      <c r="F10" t="s">
        <v>72</v>
      </c>
      <c r="G10">
        <v>1.08</v>
      </c>
      <c r="H10">
        <v>8.89</v>
      </c>
      <c r="I10">
        <v>0.02</v>
      </c>
      <c r="J10">
        <v>0</v>
      </c>
      <c r="K10">
        <v>10</v>
      </c>
      <c r="L10" t="s">
        <v>61</v>
      </c>
      <c r="M10">
        <v>365</v>
      </c>
      <c r="N10">
        <v>36.5</v>
      </c>
      <c r="O10" t="s">
        <v>62</v>
      </c>
      <c r="P10" t="s">
        <v>64</v>
      </c>
      <c r="Q10">
        <v>2647</v>
      </c>
      <c r="R10">
        <v>297.64999999999998</v>
      </c>
    </row>
    <row r="11" spans="1:18" x14ac:dyDescent="0.35">
      <c r="A11" t="s">
        <v>56</v>
      </c>
      <c r="B11" t="s">
        <v>57</v>
      </c>
      <c r="C11" t="s">
        <v>70</v>
      </c>
      <c r="D11">
        <v>100753604</v>
      </c>
      <c r="E11" t="s">
        <v>71</v>
      </c>
      <c r="F11" t="s">
        <v>72</v>
      </c>
      <c r="G11">
        <v>1.08</v>
      </c>
      <c r="H11">
        <v>8.89</v>
      </c>
      <c r="I11">
        <v>0.02</v>
      </c>
      <c r="J11">
        <v>0</v>
      </c>
      <c r="K11">
        <v>10</v>
      </c>
      <c r="L11" t="s">
        <v>61</v>
      </c>
      <c r="M11">
        <v>365</v>
      </c>
      <c r="N11">
        <v>36.5</v>
      </c>
      <c r="O11" t="s">
        <v>62</v>
      </c>
      <c r="P11" t="s">
        <v>65</v>
      </c>
      <c r="Q11">
        <v>6</v>
      </c>
      <c r="R11">
        <v>273.42</v>
      </c>
    </row>
    <row r="12" spans="1:18" x14ac:dyDescent="0.35">
      <c r="A12" t="s">
        <v>56</v>
      </c>
      <c r="B12" t="s">
        <v>57</v>
      </c>
      <c r="C12" t="s">
        <v>70</v>
      </c>
      <c r="D12">
        <v>100753604</v>
      </c>
      <c r="E12" t="s">
        <v>71</v>
      </c>
      <c r="F12" t="s">
        <v>72</v>
      </c>
      <c r="G12">
        <v>1.08</v>
      </c>
      <c r="H12">
        <v>8.89</v>
      </c>
      <c r="I12">
        <v>0.02</v>
      </c>
      <c r="J12">
        <v>0</v>
      </c>
      <c r="K12">
        <v>10</v>
      </c>
      <c r="L12" t="s">
        <v>61</v>
      </c>
      <c r="M12">
        <v>365</v>
      </c>
      <c r="N12">
        <v>36.5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70</v>
      </c>
      <c r="D13">
        <v>100753604</v>
      </c>
      <c r="E13" t="s">
        <v>71</v>
      </c>
      <c r="F13" t="s">
        <v>72</v>
      </c>
      <c r="G13">
        <v>1.08</v>
      </c>
      <c r="H13">
        <v>8.89</v>
      </c>
      <c r="I13">
        <v>0.02</v>
      </c>
      <c r="J13">
        <v>0</v>
      </c>
      <c r="K13">
        <v>10</v>
      </c>
      <c r="L13" t="s">
        <v>61</v>
      </c>
      <c r="M13">
        <v>365</v>
      </c>
      <c r="N13">
        <v>36.5</v>
      </c>
      <c r="O13" t="s">
        <v>62</v>
      </c>
      <c r="P13" t="s">
        <v>67</v>
      </c>
      <c r="Q13">
        <v>4235</v>
      </c>
      <c r="R13">
        <v>423.5</v>
      </c>
    </row>
    <row r="14" spans="1:18" x14ac:dyDescent="0.35">
      <c r="A14" t="s">
        <v>56</v>
      </c>
      <c r="B14" t="s">
        <v>57</v>
      </c>
      <c r="C14" t="s">
        <v>70</v>
      </c>
      <c r="D14">
        <v>100753604</v>
      </c>
      <c r="E14" t="s">
        <v>71</v>
      </c>
      <c r="F14" t="s">
        <v>72</v>
      </c>
      <c r="G14">
        <v>1.08</v>
      </c>
      <c r="H14">
        <v>8.89</v>
      </c>
      <c r="I14">
        <v>0.02</v>
      </c>
      <c r="J14">
        <v>0</v>
      </c>
      <c r="K14">
        <v>10</v>
      </c>
      <c r="L14" t="s">
        <v>61</v>
      </c>
      <c r="M14">
        <v>365</v>
      </c>
      <c r="N14">
        <v>36.5</v>
      </c>
      <c r="O14" t="s">
        <v>68</v>
      </c>
      <c r="P14" t="s">
        <v>67</v>
      </c>
      <c r="Q14">
        <v>365</v>
      </c>
      <c r="R14">
        <v>36.5</v>
      </c>
    </row>
    <row r="15" spans="1:18" x14ac:dyDescent="0.35">
      <c r="A15" t="s">
        <v>56</v>
      </c>
      <c r="B15" t="s">
        <v>57</v>
      </c>
      <c r="C15" t="s">
        <v>70</v>
      </c>
      <c r="D15">
        <v>100753604</v>
      </c>
      <c r="E15" t="s">
        <v>71</v>
      </c>
      <c r="F15" t="s">
        <v>72</v>
      </c>
      <c r="G15">
        <v>1.08</v>
      </c>
      <c r="H15">
        <v>8.89</v>
      </c>
      <c r="I15">
        <v>0.02</v>
      </c>
      <c r="J15">
        <v>0</v>
      </c>
      <c r="K15">
        <v>10</v>
      </c>
      <c r="L15" t="s">
        <v>61</v>
      </c>
      <c r="M15">
        <v>365</v>
      </c>
      <c r="N15">
        <v>36.5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70</v>
      </c>
      <c r="D16">
        <v>100865064</v>
      </c>
      <c r="E16" t="s">
        <v>525</v>
      </c>
      <c r="F16" t="s">
        <v>72</v>
      </c>
      <c r="G16">
        <v>0.65</v>
      </c>
      <c r="H16">
        <v>9.35</v>
      </c>
      <c r="I16">
        <v>0</v>
      </c>
      <c r="J16">
        <v>0</v>
      </c>
      <c r="K16">
        <v>10</v>
      </c>
      <c r="L16" t="s">
        <v>61</v>
      </c>
      <c r="M16">
        <v>338</v>
      </c>
      <c r="N16">
        <v>33.799999999999997</v>
      </c>
      <c r="O16" t="s">
        <v>62</v>
      </c>
      <c r="P16" t="s">
        <v>63</v>
      </c>
      <c r="Q16">
        <v>600</v>
      </c>
      <c r="R16">
        <v>927.04</v>
      </c>
    </row>
    <row r="17" spans="1:18" x14ac:dyDescent="0.35">
      <c r="A17" t="s">
        <v>56</v>
      </c>
      <c r="B17" t="s">
        <v>57</v>
      </c>
      <c r="C17" t="s">
        <v>70</v>
      </c>
      <c r="D17">
        <v>100865064</v>
      </c>
      <c r="E17" t="s">
        <v>525</v>
      </c>
      <c r="F17" t="s">
        <v>72</v>
      </c>
      <c r="G17">
        <v>0.65</v>
      </c>
      <c r="H17">
        <v>9.35</v>
      </c>
      <c r="I17">
        <v>0</v>
      </c>
      <c r="J17">
        <v>0</v>
      </c>
      <c r="K17">
        <v>10</v>
      </c>
      <c r="L17" t="s">
        <v>61</v>
      </c>
      <c r="M17">
        <v>338</v>
      </c>
      <c r="N17">
        <v>33.799999999999997</v>
      </c>
      <c r="O17" t="s">
        <v>62</v>
      </c>
      <c r="P17" t="s">
        <v>64</v>
      </c>
      <c r="Q17">
        <v>1769</v>
      </c>
      <c r="R17">
        <v>189.15</v>
      </c>
    </row>
    <row r="18" spans="1:18" x14ac:dyDescent="0.35">
      <c r="A18" t="s">
        <v>56</v>
      </c>
      <c r="B18" t="s">
        <v>57</v>
      </c>
      <c r="C18" t="s">
        <v>70</v>
      </c>
      <c r="D18">
        <v>100865064</v>
      </c>
      <c r="E18" t="s">
        <v>525</v>
      </c>
      <c r="F18" t="s">
        <v>72</v>
      </c>
      <c r="G18">
        <v>0.65</v>
      </c>
      <c r="H18">
        <v>9.35</v>
      </c>
      <c r="I18">
        <v>0</v>
      </c>
      <c r="J18">
        <v>0</v>
      </c>
      <c r="K18">
        <v>10</v>
      </c>
      <c r="L18" t="s">
        <v>61</v>
      </c>
      <c r="M18">
        <v>338</v>
      </c>
      <c r="N18">
        <v>33.799999999999997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70</v>
      </c>
      <c r="D19">
        <v>100865064</v>
      </c>
      <c r="E19" t="s">
        <v>525</v>
      </c>
      <c r="F19" t="s">
        <v>72</v>
      </c>
      <c r="G19">
        <v>0.65</v>
      </c>
      <c r="H19">
        <v>9.35</v>
      </c>
      <c r="I19">
        <v>0</v>
      </c>
      <c r="J19">
        <v>0</v>
      </c>
      <c r="K19">
        <v>10</v>
      </c>
      <c r="L19" t="s">
        <v>61</v>
      </c>
      <c r="M19">
        <v>338</v>
      </c>
      <c r="N19">
        <v>33.799999999999997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70</v>
      </c>
      <c r="D20">
        <v>100865064</v>
      </c>
      <c r="E20" t="s">
        <v>525</v>
      </c>
      <c r="F20" t="s">
        <v>72</v>
      </c>
      <c r="G20">
        <v>0.65</v>
      </c>
      <c r="H20">
        <v>9.35</v>
      </c>
      <c r="I20">
        <v>0</v>
      </c>
      <c r="J20">
        <v>0</v>
      </c>
      <c r="K20">
        <v>10</v>
      </c>
      <c r="L20" t="s">
        <v>61</v>
      </c>
      <c r="M20">
        <v>338</v>
      </c>
      <c r="N20">
        <v>33.799999999999997</v>
      </c>
      <c r="O20" t="s">
        <v>62</v>
      </c>
      <c r="P20" t="s">
        <v>67</v>
      </c>
      <c r="Q20">
        <v>2369</v>
      </c>
      <c r="R20">
        <v>236.9</v>
      </c>
    </row>
    <row r="21" spans="1:18" x14ac:dyDescent="0.35">
      <c r="A21" t="s">
        <v>56</v>
      </c>
      <c r="B21" t="s">
        <v>57</v>
      </c>
      <c r="C21" t="s">
        <v>70</v>
      </c>
      <c r="D21">
        <v>100865064</v>
      </c>
      <c r="E21" t="s">
        <v>525</v>
      </c>
      <c r="F21" t="s">
        <v>72</v>
      </c>
      <c r="G21">
        <v>0.65</v>
      </c>
      <c r="H21">
        <v>9.35</v>
      </c>
      <c r="I21">
        <v>0</v>
      </c>
      <c r="J21">
        <v>0</v>
      </c>
      <c r="K21">
        <v>10</v>
      </c>
      <c r="L21" t="s">
        <v>61</v>
      </c>
      <c r="M21">
        <v>338</v>
      </c>
      <c r="N21">
        <v>33.799999999999997</v>
      </c>
      <c r="O21" t="s">
        <v>68</v>
      </c>
      <c r="P21" t="s">
        <v>67</v>
      </c>
      <c r="Q21">
        <v>338</v>
      </c>
      <c r="R21">
        <v>33.799999999999997</v>
      </c>
    </row>
    <row r="22" spans="1:18" x14ac:dyDescent="0.35">
      <c r="A22" t="s">
        <v>56</v>
      </c>
      <c r="B22" t="s">
        <v>57</v>
      </c>
      <c r="C22" t="s">
        <v>70</v>
      </c>
      <c r="D22">
        <v>100865064</v>
      </c>
      <c r="E22" t="s">
        <v>525</v>
      </c>
      <c r="F22" t="s">
        <v>72</v>
      </c>
      <c r="G22">
        <v>0.65</v>
      </c>
      <c r="H22">
        <v>9.35</v>
      </c>
      <c r="I22">
        <v>0</v>
      </c>
      <c r="J22">
        <v>0</v>
      </c>
      <c r="K22">
        <v>10</v>
      </c>
      <c r="L22" t="s">
        <v>61</v>
      </c>
      <c r="M22">
        <v>338</v>
      </c>
      <c r="N22">
        <v>33.799999999999997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103162419</v>
      </c>
      <c r="E23" t="s">
        <v>76</v>
      </c>
      <c r="F23" t="s">
        <v>72</v>
      </c>
      <c r="G23">
        <v>0.03</v>
      </c>
      <c r="H23">
        <v>8.32</v>
      </c>
      <c r="I23">
        <v>0</v>
      </c>
      <c r="J23">
        <v>0</v>
      </c>
      <c r="K23">
        <v>8.35</v>
      </c>
      <c r="L23" t="s">
        <v>61</v>
      </c>
      <c r="M23">
        <v>292</v>
      </c>
      <c r="N23">
        <v>34.97</v>
      </c>
      <c r="O23" t="s">
        <v>62</v>
      </c>
      <c r="P23" t="s">
        <v>63</v>
      </c>
      <c r="Q23">
        <v>34</v>
      </c>
      <c r="R23">
        <v>1302.1300000000001</v>
      </c>
    </row>
    <row r="24" spans="1:18" x14ac:dyDescent="0.35">
      <c r="A24" t="s">
        <v>56</v>
      </c>
      <c r="B24" t="s">
        <v>57</v>
      </c>
      <c r="C24" t="s">
        <v>70</v>
      </c>
      <c r="D24">
        <v>103162419</v>
      </c>
      <c r="E24" t="s">
        <v>76</v>
      </c>
      <c r="F24" t="s">
        <v>72</v>
      </c>
      <c r="G24">
        <v>0.03</v>
      </c>
      <c r="H24">
        <v>8.32</v>
      </c>
      <c r="I24">
        <v>0</v>
      </c>
      <c r="J24">
        <v>0</v>
      </c>
      <c r="K24">
        <v>8.35</v>
      </c>
      <c r="L24" t="s">
        <v>61</v>
      </c>
      <c r="M24">
        <v>292</v>
      </c>
      <c r="N24">
        <v>34.97</v>
      </c>
      <c r="O24" t="s">
        <v>62</v>
      </c>
      <c r="P24" t="s">
        <v>64</v>
      </c>
      <c r="Q24">
        <v>2206</v>
      </c>
      <c r="R24">
        <v>265.02999999999997</v>
      </c>
    </row>
    <row r="25" spans="1:18" x14ac:dyDescent="0.35">
      <c r="A25" t="s">
        <v>56</v>
      </c>
      <c r="B25" t="s">
        <v>57</v>
      </c>
      <c r="C25" t="s">
        <v>70</v>
      </c>
      <c r="D25">
        <v>103162419</v>
      </c>
      <c r="E25" t="s">
        <v>76</v>
      </c>
      <c r="F25" t="s">
        <v>72</v>
      </c>
      <c r="G25">
        <v>0.03</v>
      </c>
      <c r="H25">
        <v>8.32</v>
      </c>
      <c r="I25">
        <v>0</v>
      </c>
      <c r="J25">
        <v>0</v>
      </c>
      <c r="K25">
        <v>8.35</v>
      </c>
      <c r="L25" t="s">
        <v>61</v>
      </c>
      <c r="M25">
        <v>292</v>
      </c>
      <c r="N25">
        <v>34.97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103162419</v>
      </c>
      <c r="E26" t="s">
        <v>76</v>
      </c>
      <c r="F26" t="s">
        <v>72</v>
      </c>
      <c r="G26">
        <v>0.03</v>
      </c>
      <c r="H26">
        <v>8.32</v>
      </c>
      <c r="I26">
        <v>0</v>
      </c>
      <c r="J26">
        <v>0</v>
      </c>
      <c r="K26">
        <v>8.35</v>
      </c>
      <c r="L26" t="s">
        <v>61</v>
      </c>
      <c r="M26">
        <v>292</v>
      </c>
      <c r="N26">
        <v>34.97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103162419</v>
      </c>
      <c r="E27" t="s">
        <v>76</v>
      </c>
      <c r="F27" t="s">
        <v>72</v>
      </c>
      <c r="G27">
        <v>0.03</v>
      </c>
      <c r="H27">
        <v>8.32</v>
      </c>
      <c r="I27">
        <v>0</v>
      </c>
      <c r="J27">
        <v>0</v>
      </c>
      <c r="K27">
        <v>8.35</v>
      </c>
      <c r="L27" t="s">
        <v>61</v>
      </c>
      <c r="M27">
        <v>292</v>
      </c>
      <c r="N27">
        <v>34.97</v>
      </c>
      <c r="O27" t="s">
        <v>62</v>
      </c>
      <c r="P27" t="s">
        <v>67</v>
      </c>
      <c r="Q27">
        <v>2240</v>
      </c>
      <c r="R27">
        <v>268.26</v>
      </c>
    </row>
    <row r="28" spans="1:18" x14ac:dyDescent="0.35">
      <c r="A28" t="s">
        <v>56</v>
      </c>
      <c r="B28" t="s">
        <v>57</v>
      </c>
      <c r="C28" t="s">
        <v>70</v>
      </c>
      <c r="D28">
        <v>103162419</v>
      </c>
      <c r="E28" t="s">
        <v>76</v>
      </c>
      <c r="F28" t="s">
        <v>72</v>
      </c>
      <c r="G28">
        <v>0.03</v>
      </c>
      <c r="H28">
        <v>8.32</v>
      </c>
      <c r="I28">
        <v>0</v>
      </c>
      <c r="J28">
        <v>0</v>
      </c>
      <c r="K28">
        <v>8.35</v>
      </c>
      <c r="L28" t="s">
        <v>61</v>
      </c>
      <c r="M28">
        <v>292</v>
      </c>
      <c r="N28">
        <v>34.97</v>
      </c>
      <c r="O28" t="s">
        <v>68</v>
      </c>
      <c r="P28" t="s">
        <v>67</v>
      </c>
      <c r="Q28">
        <v>292</v>
      </c>
      <c r="R28">
        <v>34.97</v>
      </c>
    </row>
    <row r="29" spans="1:18" x14ac:dyDescent="0.35">
      <c r="A29" t="s">
        <v>56</v>
      </c>
      <c r="B29" t="s">
        <v>57</v>
      </c>
      <c r="C29" t="s">
        <v>70</v>
      </c>
      <c r="D29">
        <v>103162419</v>
      </c>
      <c r="E29" t="s">
        <v>76</v>
      </c>
      <c r="F29" t="s">
        <v>72</v>
      </c>
      <c r="G29">
        <v>0.03</v>
      </c>
      <c r="H29">
        <v>8.32</v>
      </c>
      <c r="I29">
        <v>0</v>
      </c>
      <c r="J29">
        <v>0</v>
      </c>
      <c r="K29">
        <v>8.35</v>
      </c>
      <c r="L29" t="s">
        <v>61</v>
      </c>
      <c r="M29">
        <v>292</v>
      </c>
      <c r="N29">
        <v>34.97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104378003</v>
      </c>
      <c r="E30" t="s">
        <v>526</v>
      </c>
      <c r="F30" t="s">
        <v>72</v>
      </c>
      <c r="G30">
        <v>0.19</v>
      </c>
      <c r="H30">
        <v>9.91</v>
      </c>
      <c r="I30">
        <v>0</v>
      </c>
      <c r="J30">
        <v>0</v>
      </c>
      <c r="K30">
        <v>10.1</v>
      </c>
      <c r="L30" t="s">
        <v>61</v>
      </c>
      <c r="M30">
        <v>401</v>
      </c>
      <c r="N30">
        <v>39.700000000000003</v>
      </c>
      <c r="O30" t="s">
        <v>62</v>
      </c>
      <c r="P30" t="s">
        <v>63</v>
      </c>
      <c r="Q30">
        <v>176</v>
      </c>
      <c r="R30">
        <v>922.27</v>
      </c>
    </row>
    <row r="31" spans="1:18" x14ac:dyDescent="0.35">
      <c r="A31" t="s">
        <v>56</v>
      </c>
      <c r="B31" t="s">
        <v>57</v>
      </c>
      <c r="C31" t="s">
        <v>70</v>
      </c>
      <c r="D31">
        <v>104378003</v>
      </c>
      <c r="E31" t="s">
        <v>526</v>
      </c>
      <c r="F31" t="s">
        <v>72</v>
      </c>
      <c r="G31">
        <v>0.19</v>
      </c>
      <c r="H31">
        <v>9.91</v>
      </c>
      <c r="I31">
        <v>0</v>
      </c>
      <c r="J31">
        <v>0</v>
      </c>
      <c r="K31">
        <v>10.1</v>
      </c>
      <c r="L31" t="s">
        <v>61</v>
      </c>
      <c r="M31">
        <v>401</v>
      </c>
      <c r="N31">
        <v>39.700000000000003</v>
      </c>
      <c r="O31" t="s">
        <v>62</v>
      </c>
      <c r="P31" t="s">
        <v>64</v>
      </c>
      <c r="Q31">
        <v>1863</v>
      </c>
      <c r="R31">
        <v>188.01</v>
      </c>
    </row>
    <row r="32" spans="1:18" x14ac:dyDescent="0.35">
      <c r="A32" t="s">
        <v>56</v>
      </c>
      <c r="B32" t="s">
        <v>57</v>
      </c>
      <c r="C32" t="s">
        <v>70</v>
      </c>
      <c r="D32">
        <v>104378003</v>
      </c>
      <c r="E32" t="s">
        <v>526</v>
      </c>
      <c r="F32" t="s">
        <v>72</v>
      </c>
      <c r="G32">
        <v>0.19</v>
      </c>
      <c r="H32">
        <v>9.91</v>
      </c>
      <c r="I32">
        <v>0</v>
      </c>
      <c r="J32">
        <v>0</v>
      </c>
      <c r="K32">
        <v>10.1</v>
      </c>
      <c r="L32" t="s">
        <v>61</v>
      </c>
      <c r="M32">
        <v>401</v>
      </c>
      <c r="N32">
        <v>39.700000000000003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104378003</v>
      </c>
      <c r="E33" t="s">
        <v>526</v>
      </c>
      <c r="F33" t="s">
        <v>72</v>
      </c>
      <c r="G33">
        <v>0.19</v>
      </c>
      <c r="H33">
        <v>9.91</v>
      </c>
      <c r="I33">
        <v>0</v>
      </c>
      <c r="J33">
        <v>0</v>
      </c>
      <c r="K33">
        <v>10.1</v>
      </c>
      <c r="L33" t="s">
        <v>61</v>
      </c>
      <c r="M33">
        <v>401</v>
      </c>
      <c r="N33">
        <v>39.700000000000003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104378003</v>
      </c>
      <c r="E34" t="s">
        <v>526</v>
      </c>
      <c r="F34" t="s">
        <v>72</v>
      </c>
      <c r="G34">
        <v>0.19</v>
      </c>
      <c r="H34">
        <v>9.91</v>
      </c>
      <c r="I34">
        <v>0</v>
      </c>
      <c r="J34">
        <v>0</v>
      </c>
      <c r="K34">
        <v>10.1</v>
      </c>
      <c r="L34" t="s">
        <v>61</v>
      </c>
      <c r="M34">
        <v>401</v>
      </c>
      <c r="N34">
        <v>39.700000000000003</v>
      </c>
      <c r="O34" t="s">
        <v>62</v>
      </c>
      <c r="P34" t="s">
        <v>67</v>
      </c>
      <c r="Q34">
        <v>2039</v>
      </c>
      <c r="R34">
        <v>201.88</v>
      </c>
    </row>
    <row r="35" spans="1:18" x14ac:dyDescent="0.35">
      <c r="A35" t="s">
        <v>56</v>
      </c>
      <c r="B35" t="s">
        <v>57</v>
      </c>
      <c r="C35" t="s">
        <v>70</v>
      </c>
      <c r="D35">
        <v>104378003</v>
      </c>
      <c r="E35" t="s">
        <v>526</v>
      </c>
      <c r="F35" t="s">
        <v>72</v>
      </c>
      <c r="G35">
        <v>0.19</v>
      </c>
      <c r="H35">
        <v>9.91</v>
      </c>
      <c r="I35">
        <v>0</v>
      </c>
      <c r="J35">
        <v>0</v>
      </c>
      <c r="K35">
        <v>10.1</v>
      </c>
      <c r="L35" t="s">
        <v>61</v>
      </c>
      <c r="M35">
        <v>401</v>
      </c>
      <c r="N35">
        <v>39.700000000000003</v>
      </c>
      <c r="O35" t="s">
        <v>68</v>
      </c>
      <c r="P35" t="s">
        <v>67</v>
      </c>
      <c r="Q35">
        <v>400</v>
      </c>
      <c r="R35">
        <v>39.6</v>
      </c>
    </row>
    <row r="36" spans="1:18" x14ac:dyDescent="0.35">
      <c r="A36" t="s">
        <v>56</v>
      </c>
      <c r="B36" t="s">
        <v>57</v>
      </c>
      <c r="C36" t="s">
        <v>70</v>
      </c>
      <c r="D36">
        <v>104378003</v>
      </c>
      <c r="E36" t="s">
        <v>526</v>
      </c>
      <c r="F36" t="s">
        <v>72</v>
      </c>
      <c r="G36">
        <v>0.19</v>
      </c>
      <c r="H36">
        <v>9.91</v>
      </c>
      <c r="I36">
        <v>0</v>
      </c>
      <c r="J36">
        <v>0</v>
      </c>
      <c r="K36">
        <v>10.1</v>
      </c>
      <c r="L36" t="s">
        <v>61</v>
      </c>
      <c r="M36">
        <v>401</v>
      </c>
      <c r="N36">
        <v>39.700000000000003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105611852</v>
      </c>
      <c r="E37" t="s">
        <v>575</v>
      </c>
      <c r="F37" t="s">
        <v>72</v>
      </c>
      <c r="G37">
        <v>0.27</v>
      </c>
      <c r="H37">
        <v>2.92</v>
      </c>
      <c r="I37">
        <v>0.13</v>
      </c>
      <c r="J37">
        <v>0</v>
      </c>
      <c r="K37">
        <v>3.33</v>
      </c>
      <c r="L37" t="s">
        <v>61</v>
      </c>
      <c r="M37">
        <v>92</v>
      </c>
      <c r="N37">
        <v>27.66</v>
      </c>
      <c r="O37" t="s">
        <v>62</v>
      </c>
      <c r="P37" t="s">
        <v>63</v>
      </c>
      <c r="Q37">
        <v>346</v>
      </c>
      <c r="R37">
        <v>1260.73</v>
      </c>
    </row>
    <row r="38" spans="1:18" x14ac:dyDescent="0.35">
      <c r="A38" t="s">
        <v>56</v>
      </c>
      <c r="B38" t="s">
        <v>57</v>
      </c>
      <c r="C38" t="s">
        <v>70</v>
      </c>
      <c r="D38">
        <v>105611852</v>
      </c>
      <c r="E38" t="s">
        <v>575</v>
      </c>
      <c r="F38" t="s">
        <v>72</v>
      </c>
      <c r="G38">
        <v>0.27</v>
      </c>
      <c r="H38">
        <v>2.92</v>
      </c>
      <c r="I38">
        <v>0.13</v>
      </c>
      <c r="J38">
        <v>0</v>
      </c>
      <c r="K38">
        <v>3.33</v>
      </c>
      <c r="L38" t="s">
        <v>61</v>
      </c>
      <c r="M38">
        <v>92</v>
      </c>
      <c r="N38">
        <v>27.66</v>
      </c>
      <c r="O38" t="s">
        <v>62</v>
      </c>
      <c r="P38" t="s">
        <v>64</v>
      </c>
      <c r="Q38">
        <v>752</v>
      </c>
      <c r="R38">
        <v>257.17</v>
      </c>
    </row>
    <row r="39" spans="1:18" x14ac:dyDescent="0.35">
      <c r="A39" t="s">
        <v>56</v>
      </c>
      <c r="B39" t="s">
        <v>57</v>
      </c>
      <c r="C39" t="s">
        <v>70</v>
      </c>
      <c r="D39">
        <v>105611852</v>
      </c>
      <c r="E39" t="s">
        <v>575</v>
      </c>
      <c r="F39" t="s">
        <v>72</v>
      </c>
      <c r="G39">
        <v>0.27</v>
      </c>
      <c r="H39">
        <v>2.92</v>
      </c>
      <c r="I39">
        <v>0.13</v>
      </c>
      <c r="J39">
        <v>0</v>
      </c>
      <c r="K39">
        <v>3.33</v>
      </c>
      <c r="L39" t="s">
        <v>61</v>
      </c>
      <c r="M39">
        <v>92</v>
      </c>
      <c r="N39">
        <v>27.66</v>
      </c>
      <c r="O39" t="s">
        <v>62</v>
      </c>
      <c r="P39" t="s">
        <v>65</v>
      </c>
      <c r="Q39">
        <v>30</v>
      </c>
      <c r="R39">
        <v>235.81</v>
      </c>
    </row>
    <row r="40" spans="1:18" x14ac:dyDescent="0.35">
      <c r="A40" t="s">
        <v>56</v>
      </c>
      <c r="B40" t="s">
        <v>57</v>
      </c>
      <c r="C40" t="s">
        <v>70</v>
      </c>
      <c r="D40">
        <v>105611852</v>
      </c>
      <c r="E40" t="s">
        <v>575</v>
      </c>
      <c r="F40" t="s">
        <v>72</v>
      </c>
      <c r="G40">
        <v>0.27</v>
      </c>
      <c r="H40">
        <v>2.92</v>
      </c>
      <c r="I40">
        <v>0.13</v>
      </c>
      <c r="J40">
        <v>0</v>
      </c>
      <c r="K40">
        <v>3.33</v>
      </c>
      <c r="L40" t="s">
        <v>61</v>
      </c>
      <c r="M40">
        <v>92</v>
      </c>
      <c r="N40">
        <v>27.66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105611852</v>
      </c>
      <c r="E41" t="s">
        <v>575</v>
      </c>
      <c r="F41" t="s">
        <v>72</v>
      </c>
      <c r="G41">
        <v>0.27</v>
      </c>
      <c r="H41">
        <v>2.92</v>
      </c>
      <c r="I41">
        <v>0.13</v>
      </c>
      <c r="J41">
        <v>0</v>
      </c>
      <c r="K41">
        <v>3.33</v>
      </c>
      <c r="L41" t="s">
        <v>61</v>
      </c>
      <c r="M41">
        <v>92</v>
      </c>
      <c r="N41">
        <v>27.66</v>
      </c>
      <c r="O41" t="s">
        <v>62</v>
      </c>
      <c r="P41" t="s">
        <v>67</v>
      </c>
      <c r="Q41">
        <v>1128</v>
      </c>
      <c r="R41">
        <v>339.13</v>
      </c>
    </row>
    <row r="42" spans="1:18" x14ac:dyDescent="0.35">
      <c r="A42" t="s">
        <v>56</v>
      </c>
      <c r="B42" t="s">
        <v>57</v>
      </c>
      <c r="C42" t="s">
        <v>70</v>
      </c>
      <c r="D42">
        <v>105611852</v>
      </c>
      <c r="E42" t="s">
        <v>575</v>
      </c>
      <c r="F42" t="s">
        <v>72</v>
      </c>
      <c r="G42">
        <v>0.27</v>
      </c>
      <c r="H42">
        <v>2.92</v>
      </c>
      <c r="I42">
        <v>0.13</v>
      </c>
      <c r="J42">
        <v>0</v>
      </c>
      <c r="K42">
        <v>3.33</v>
      </c>
      <c r="L42" t="s">
        <v>61</v>
      </c>
      <c r="M42">
        <v>92</v>
      </c>
      <c r="N42">
        <v>27.66</v>
      </c>
      <c r="O42" t="s">
        <v>68</v>
      </c>
      <c r="P42" t="s">
        <v>67</v>
      </c>
      <c r="Q42">
        <v>92</v>
      </c>
      <c r="R42">
        <v>27.66</v>
      </c>
    </row>
    <row r="43" spans="1:18" x14ac:dyDescent="0.35">
      <c r="A43" t="s">
        <v>56</v>
      </c>
      <c r="B43" t="s">
        <v>57</v>
      </c>
      <c r="C43" t="s">
        <v>70</v>
      </c>
      <c r="D43">
        <v>105611852</v>
      </c>
      <c r="E43" t="s">
        <v>575</v>
      </c>
      <c r="F43" t="s">
        <v>72</v>
      </c>
      <c r="G43">
        <v>0.27</v>
      </c>
      <c r="H43">
        <v>2.92</v>
      </c>
      <c r="I43">
        <v>0.13</v>
      </c>
      <c r="J43">
        <v>0</v>
      </c>
      <c r="K43">
        <v>3.33</v>
      </c>
      <c r="L43" t="s">
        <v>61</v>
      </c>
      <c r="M43">
        <v>92</v>
      </c>
      <c r="N43">
        <v>27.66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105749066</v>
      </c>
      <c r="E44" t="s">
        <v>666</v>
      </c>
      <c r="F44" t="s">
        <v>72</v>
      </c>
      <c r="G44">
        <v>7.0000000000000007E-2</v>
      </c>
      <c r="H44">
        <v>4.05</v>
      </c>
      <c r="I44">
        <v>0</v>
      </c>
      <c r="J44">
        <v>0</v>
      </c>
      <c r="K44">
        <v>4.12</v>
      </c>
      <c r="L44" t="s">
        <v>61</v>
      </c>
      <c r="M44">
        <v>94</v>
      </c>
      <c r="N44">
        <v>22.8</v>
      </c>
      <c r="O44" t="s">
        <v>62</v>
      </c>
      <c r="P44" t="s">
        <v>63</v>
      </c>
      <c r="Q44">
        <v>60</v>
      </c>
      <c r="R44">
        <v>815.09</v>
      </c>
    </row>
    <row r="45" spans="1:18" x14ac:dyDescent="0.35">
      <c r="A45" t="s">
        <v>56</v>
      </c>
      <c r="B45" t="s">
        <v>57</v>
      </c>
      <c r="C45" t="s">
        <v>70</v>
      </c>
      <c r="D45">
        <v>105749066</v>
      </c>
      <c r="E45" t="s">
        <v>666</v>
      </c>
      <c r="F45" t="s">
        <v>72</v>
      </c>
      <c r="G45">
        <v>7.0000000000000007E-2</v>
      </c>
      <c r="H45">
        <v>4.05</v>
      </c>
      <c r="I45">
        <v>0</v>
      </c>
      <c r="J45">
        <v>0</v>
      </c>
      <c r="K45">
        <v>4.12</v>
      </c>
      <c r="L45" t="s">
        <v>61</v>
      </c>
      <c r="M45">
        <v>94</v>
      </c>
      <c r="N45">
        <v>22.8</v>
      </c>
      <c r="O45" t="s">
        <v>62</v>
      </c>
      <c r="P45" t="s">
        <v>64</v>
      </c>
      <c r="Q45">
        <v>673</v>
      </c>
      <c r="R45">
        <v>166.23</v>
      </c>
    </row>
    <row r="46" spans="1:18" x14ac:dyDescent="0.35">
      <c r="A46" t="s">
        <v>56</v>
      </c>
      <c r="B46" t="s">
        <v>57</v>
      </c>
      <c r="C46" t="s">
        <v>70</v>
      </c>
      <c r="D46">
        <v>105749066</v>
      </c>
      <c r="E46" t="s">
        <v>666</v>
      </c>
      <c r="F46" t="s">
        <v>72</v>
      </c>
      <c r="G46">
        <v>7.0000000000000007E-2</v>
      </c>
      <c r="H46">
        <v>4.05</v>
      </c>
      <c r="I46">
        <v>0</v>
      </c>
      <c r="J46">
        <v>0</v>
      </c>
      <c r="K46">
        <v>4.12</v>
      </c>
      <c r="L46" t="s">
        <v>61</v>
      </c>
      <c r="M46">
        <v>94</v>
      </c>
      <c r="N46">
        <v>22.8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105749066</v>
      </c>
      <c r="E47" t="s">
        <v>666</v>
      </c>
      <c r="F47" t="s">
        <v>72</v>
      </c>
      <c r="G47">
        <v>7.0000000000000007E-2</v>
      </c>
      <c r="H47">
        <v>4.05</v>
      </c>
      <c r="I47">
        <v>0</v>
      </c>
      <c r="J47">
        <v>0</v>
      </c>
      <c r="K47">
        <v>4.12</v>
      </c>
      <c r="L47" t="s">
        <v>61</v>
      </c>
      <c r="M47">
        <v>94</v>
      </c>
      <c r="N47">
        <v>22.8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105749066</v>
      </c>
      <c r="E48" t="s">
        <v>666</v>
      </c>
      <c r="F48" t="s">
        <v>72</v>
      </c>
      <c r="G48">
        <v>7.0000000000000007E-2</v>
      </c>
      <c r="H48">
        <v>4.05</v>
      </c>
      <c r="I48">
        <v>0</v>
      </c>
      <c r="J48">
        <v>0</v>
      </c>
      <c r="K48">
        <v>4.12</v>
      </c>
      <c r="L48" t="s">
        <v>61</v>
      </c>
      <c r="M48">
        <v>94</v>
      </c>
      <c r="N48">
        <v>22.8</v>
      </c>
      <c r="O48" t="s">
        <v>62</v>
      </c>
      <c r="P48" t="s">
        <v>67</v>
      </c>
      <c r="Q48">
        <v>733</v>
      </c>
      <c r="R48">
        <v>177.8</v>
      </c>
    </row>
    <row r="49" spans="1:18" x14ac:dyDescent="0.35">
      <c r="A49" t="s">
        <v>56</v>
      </c>
      <c r="B49" t="s">
        <v>57</v>
      </c>
      <c r="C49" t="s">
        <v>70</v>
      </c>
      <c r="D49">
        <v>105749066</v>
      </c>
      <c r="E49" t="s">
        <v>666</v>
      </c>
      <c r="F49" t="s">
        <v>72</v>
      </c>
      <c r="G49">
        <v>7.0000000000000007E-2</v>
      </c>
      <c r="H49">
        <v>4.05</v>
      </c>
      <c r="I49">
        <v>0</v>
      </c>
      <c r="J49">
        <v>0</v>
      </c>
      <c r="K49">
        <v>4.12</v>
      </c>
      <c r="L49" t="s">
        <v>61</v>
      </c>
      <c r="M49">
        <v>94</v>
      </c>
      <c r="N49">
        <v>22.8</v>
      </c>
      <c r="O49" t="s">
        <v>68</v>
      </c>
      <c r="P49" t="s">
        <v>67</v>
      </c>
      <c r="Q49">
        <v>94</v>
      </c>
      <c r="R49">
        <v>22.8</v>
      </c>
    </row>
    <row r="50" spans="1:18" x14ac:dyDescent="0.35">
      <c r="A50" t="s">
        <v>56</v>
      </c>
      <c r="B50" t="s">
        <v>57</v>
      </c>
      <c r="C50" t="s">
        <v>70</v>
      </c>
      <c r="D50">
        <v>105749066</v>
      </c>
      <c r="E50" t="s">
        <v>666</v>
      </c>
      <c r="F50" t="s">
        <v>72</v>
      </c>
      <c r="G50">
        <v>7.0000000000000007E-2</v>
      </c>
      <c r="H50">
        <v>4.05</v>
      </c>
      <c r="I50">
        <v>0</v>
      </c>
      <c r="J50">
        <v>0</v>
      </c>
      <c r="K50">
        <v>4.12</v>
      </c>
      <c r="L50" t="s">
        <v>61</v>
      </c>
      <c r="M50">
        <v>94</v>
      </c>
      <c r="N50">
        <v>22.8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58</v>
      </c>
      <c r="D51">
        <v>106513473</v>
      </c>
      <c r="E51" t="s">
        <v>80</v>
      </c>
      <c r="F51" t="s">
        <v>72</v>
      </c>
      <c r="G51">
        <v>0.3</v>
      </c>
      <c r="H51">
        <v>6.76</v>
      </c>
      <c r="I51">
        <v>0.02</v>
      </c>
      <c r="J51">
        <v>0</v>
      </c>
      <c r="K51">
        <v>7.08</v>
      </c>
      <c r="L51" t="s">
        <v>61</v>
      </c>
      <c r="M51">
        <v>305</v>
      </c>
      <c r="N51">
        <v>43.08</v>
      </c>
      <c r="O51" t="s">
        <v>62</v>
      </c>
      <c r="P51" t="s">
        <v>63</v>
      </c>
      <c r="Q51">
        <v>429</v>
      </c>
      <c r="R51">
        <v>1426.04</v>
      </c>
    </row>
    <row r="52" spans="1:18" x14ac:dyDescent="0.35">
      <c r="A52" t="s">
        <v>56</v>
      </c>
      <c r="B52" t="s">
        <v>57</v>
      </c>
      <c r="C52" t="s">
        <v>58</v>
      </c>
      <c r="D52">
        <v>106513473</v>
      </c>
      <c r="E52" t="s">
        <v>80</v>
      </c>
      <c r="F52" t="s">
        <v>72</v>
      </c>
      <c r="G52">
        <v>0.3</v>
      </c>
      <c r="H52">
        <v>6.76</v>
      </c>
      <c r="I52">
        <v>0.02</v>
      </c>
      <c r="J52">
        <v>0</v>
      </c>
      <c r="K52">
        <v>7.08</v>
      </c>
      <c r="L52" t="s">
        <v>61</v>
      </c>
      <c r="M52">
        <v>305</v>
      </c>
      <c r="N52">
        <v>43.08</v>
      </c>
      <c r="O52" t="s">
        <v>62</v>
      </c>
      <c r="P52" t="s">
        <v>64</v>
      </c>
      <c r="Q52">
        <v>1966</v>
      </c>
      <c r="R52">
        <v>291</v>
      </c>
    </row>
    <row r="53" spans="1:18" x14ac:dyDescent="0.35">
      <c r="A53" t="s">
        <v>56</v>
      </c>
      <c r="B53" t="s">
        <v>57</v>
      </c>
      <c r="C53" t="s">
        <v>58</v>
      </c>
      <c r="D53">
        <v>106513473</v>
      </c>
      <c r="E53" t="s">
        <v>80</v>
      </c>
      <c r="F53" t="s">
        <v>72</v>
      </c>
      <c r="G53">
        <v>0.3</v>
      </c>
      <c r="H53">
        <v>6.76</v>
      </c>
      <c r="I53">
        <v>0.02</v>
      </c>
      <c r="J53">
        <v>0</v>
      </c>
      <c r="K53">
        <v>7.08</v>
      </c>
      <c r="L53" t="s">
        <v>61</v>
      </c>
      <c r="M53">
        <v>305</v>
      </c>
      <c r="N53">
        <v>43.08</v>
      </c>
      <c r="O53" t="s">
        <v>62</v>
      </c>
      <c r="P53" t="s">
        <v>65</v>
      </c>
      <c r="Q53">
        <v>6</v>
      </c>
      <c r="R53">
        <v>266.67</v>
      </c>
    </row>
    <row r="54" spans="1:18" x14ac:dyDescent="0.35">
      <c r="A54" t="s">
        <v>56</v>
      </c>
      <c r="B54" t="s">
        <v>57</v>
      </c>
      <c r="C54" t="s">
        <v>58</v>
      </c>
      <c r="D54">
        <v>106513473</v>
      </c>
      <c r="E54" t="s">
        <v>80</v>
      </c>
      <c r="F54" t="s">
        <v>72</v>
      </c>
      <c r="G54">
        <v>0.3</v>
      </c>
      <c r="H54">
        <v>6.76</v>
      </c>
      <c r="I54">
        <v>0.02</v>
      </c>
      <c r="J54">
        <v>0</v>
      </c>
      <c r="K54">
        <v>7.08</v>
      </c>
      <c r="L54" t="s">
        <v>61</v>
      </c>
      <c r="M54">
        <v>305</v>
      </c>
      <c r="N54">
        <v>43.08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58</v>
      </c>
      <c r="D55">
        <v>106513473</v>
      </c>
      <c r="E55" t="s">
        <v>80</v>
      </c>
      <c r="F55" t="s">
        <v>72</v>
      </c>
      <c r="G55">
        <v>0.3</v>
      </c>
      <c r="H55">
        <v>6.76</v>
      </c>
      <c r="I55">
        <v>0.02</v>
      </c>
      <c r="J55">
        <v>0</v>
      </c>
      <c r="K55">
        <v>7.08</v>
      </c>
      <c r="L55" t="s">
        <v>61</v>
      </c>
      <c r="M55">
        <v>305</v>
      </c>
      <c r="N55">
        <v>43.08</v>
      </c>
      <c r="O55" t="s">
        <v>62</v>
      </c>
      <c r="P55" t="s">
        <v>67</v>
      </c>
      <c r="Q55">
        <v>2401</v>
      </c>
      <c r="R55">
        <v>339.14</v>
      </c>
    </row>
    <row r="56" spans="1:18" x14ac:dyDescent="0.35">
      <c r="A56" t="s">
        <v>56</v>
      </c>
      <c r="B56" t="s">
        <v>57</v>
      </c>
      <c r="C56" t="s">
        <v>58</v>
      </c>
      <c r="D56">
        <v>106513473</v>
      </c>
      <c r="E56" t="s">
        <v>80</v>
      </c>
      <c r="F56" t="s">
        <v>72</v>
      </c>
      <c r="G56">
        <v>0.3</v>
      </c>
      <c r="H56">
        <v>6.76</v>
      </c>
      <c r="I56">
        <v>0.02</v>
      </c>
      <c r="J56">
        <v>0</v>
      </c>
      <c r="K56">
        <v>7.08</v>
      </c>
      <c r="L56" t="s">
        <v>61</v>
      </c>
      <c r="M56">
        <v>305</v>
      </c>
      <c r="N56">
        <v>43.08</v>
      </c>
      <c r="O56" t="s">
        <v>68</v>
      </c>
      <c r="P56" t="s">
        <v>67</v>
      </c>
      <c r="Q56">
        <v>305</v>
      </c>
      <c r="R56">
        <v>43.08</v>
      </c>
    </row>
    <row r="57" spans="1:18" x14ac:dyDescent="0.35">
      <c r="A57" t="s">
        <v>56</v>
      </c>
      <c r="B57" t="s">
        <v>57</v>
      </c>
      <c r="C57" t="s">
        <v>58</v>
      </c>
      <c r="D57">
        <v>106513473</v>
      </c>
      <c r="E57" t="s">
        <v>80</v>
      </c>
      <c r="F57" t="s">
        <v>72</v>
      </c>
      <c r="G57">
        <v>0.3</v>
      </c>
      <c r="H57">
        <v>6.76</v>
      </c>
      <c r="I57">
        <v>0.02</v>
      </c>
      <c r="J57">
        <v>0</v>
      </c>
      <c r="K57">
        <v>7.08</v>
      </c>
      <c r="L57" t="s">
        <v>61</v>
      </c>
      <c r="M57">
        <v>305</v>
      </c>
      <c r="N57">
        <v>43.08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58</v>
      </c>
      <c r="D58">
        <v>106550554</v>
      </c>
      <c r="E58" t="s">
        <v>527</v>
      </c>
      <c r="F58" t="s">
        <v>60</v>
      </c>
      <c r="G58">
        <v>0.23</v>
      </c>
      <c r="H58">
        <v>9.77</v>
      </c>
      <c r="I58">
        <v>0.02</v>
      </c>
      <c r="J58">
        <v>0</v>
      </c>
      <c r="K58">
        <v>10.02</v>
      </c>
      <c r="L58" t="s">
        <v>61</v>
      </c>
      <c r="M58">
        <v>449</v>
      </c>
      <c r="N58">
        <v>44.83</v>
      </c>
      <c r="O58" t="s">
        <v>62</v>
      </c>
      <c r="P58" t="s">
        <v>63</v>
      </c>
      <c r="Q58">
        <v>323</v>
      </c>
      <c r="R58">
        <v>1406.05</v>
      </c>
    </row>
    <row r="59" spans="1:18" x14ac:dyDescent="0.35">
      <c r="A59" t="s">
        <v>56</v>
      </c>
      <c r="B59" t="s">
        <v>57</v>
      </c>
      <c r="C59" t="s">
        <v>58</v>
      </c>
      <c r="D59">
        <v>106550554</v>
      </c>
      <c r="E59" t="s">
        <v>527</v>
      </c>
      <c r="F59" t="s">
        <v>60</v>
      </c>
      <c r="G59">
        <v>0.23</v>
      </c>
      <c r="H59">
        <v>9.77</v>
      </c>
      <c r="I59">
        <v>0.02</v>
      </c>
      <c r="J59">
        <v>0</v>
      </c>
      <c r="K59">
        <v>10.02</v>
      </c>
      <c r="L59" t="s">
        <v>61</v>
      </c>
      <c r="M59">
        <v>449</v>
      </c>
      <c r="N59">
        <v>44.83</v>
      </c>
      <c r="O59" t="s">
        <v>62</v>
      </c>
      <c r="P59" t="s">
        <v>64</v>
      </c>
      <c r="Q59">
        <v>2803</v>
      </c>
      <c r="R59">
        <v>286.95999999999998</v>
      </c>
    </row>
    <row r="60" spans="1:18" x14ac:dyDescent="0.35">
      <c r="A60" t="s">
        <v>56</v>
      </c>
      <c r="B60" t="s">
        <v>57</v>
      </c>
      <c r="C60" t="s">
        <v>58</v>
      </c>
      <c r="D60">
        <v>106550554</v>
      </c>
      <c r="E60" t="s">
        <v>527</v>
      </c>
      <c r="F60" t="s">
        <v>60</v>
      </c>
      <c r="G60">
        <v>0.23</v>
      </c>
      <c r="H60">
        <v>9.77</v>
      </c>
      <c r="I60">
        <v>0.02</v>
      </c>
      <c r="J60">
        <v>0</v>
      </c>
      <c r="K60">
        <v>10.02</v>
      </c>
      <c r="L60" t="s">
        <v>61</v>
      </c>
      <c r="M60">
        <v>449</v>
      </c>
      <c r="N60">
        <v>44.83</v>
      </c>
      <c r="O60" t="s">
        <v>62</v>
      </c>
      <c r="P60" t="s">
        <v>65</v>
      </c>
      <c r="Q60">
        <v>5</v>
      </c>
      <c r="R60">
        <v>264.70999999999998</v>
      </c>
    </row>
    <row r="61" spans="1:18" x14ac:dyDescent="0.35">
      <c r="A61" t="s">
        <v>56</v>
      </c>
      <c r="B61" t="s">
        <v>57</v>
      </c>
      <c r="C61" t="s">
        <v>58</v>
      </c>
      <c r="D61">
        <v>106550554</v>
      </c>
      <c r="E61" t="s">
        <v>527</v>
      </c>
      <c r="F61" t="s">
        <v>60</v>
      </c>
      <c r="G61">
        <v>0.23</v>
      </c>
      <c r="H61">
        <v>9.77</v>
      </c>
      <c r="I61">
        <v>0.02</v>
      </c>
      <c r="J61">
        <v>0</v>
      </c>
      <c r="K61">
        <v>10.02</v>
      </c>
      <c r="L61" t="s">
        <v>61</v>
      </c>
      <c r="M61">
        <v>449</v>
      </c>
      <c r="N61">
        <v>44.83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58</v>
      </c>
      <c r="D62">
        <v>106550554</v>
      </c>
      <c r="E62" t="s">
        <v>527</v>
      </c>
      <c r="F62" t="s">
        <v>60</v>
      </c>
      <c r="G62">
        <v>0.23</v>
      </c>
      <c r="H62">
        <v>9.77</v>
      </c>
      <c r="I62">
        <v>0.02</v>
      </c>
      <c r="J62">
        <v>0</v>
      </c>
      <c r="K62">
        <v>10.02</v>
      </c>
      <c r="L62" t="s">
        <v>61</v>
      </c>
      <c r="M62">
        <v>449</v>
      </c>
      <c r="N62">
        <v>44.83</v>
      </c>
      <c r="O62" t="s">
        <v>62</v>
      </c>
      <c r="P62" t="s">
        <v>67</v>
      </c>
      <c r="Q62">
        <v>3131</v>
      </c>
      <c r="R62">
        <v>312.58</v>
      </c>
    </row>
    <row r="63" spans="1:18" x14ac:dyDescent="0.35">
      <c r="A63" t="s">
        <v>56</v>
      </c>
      <c r="B63" t="s">
        <v>57</v>
      </c>
      <c r="C63" t="s">
        <v>58</v>
      </c>
      <c r="D63">
        <v>106550554</v>
      </c>
      <c r="E63" t="s">
        <v>527</v>
      </c>
      <c r="F63" t="s">
        <v>60</v>
      </c>
      <c r="G63">
        <v>0.23</v>
      </c>
      <c r="H63">
        <v>9.77</v>
      </c>
      <c r="I63">
        <v>0.02</v>
      </c>
      <c r="J63">
        <v>0</v>
      </c>
      <c r="K63">
        <v>10.02</v>
      </c>
      <c r="L63" t="s">
        <v>61</v>
      </c>
      <c r="M63">
        <v>449</v>
      </c>
      <c r="N63">
        <v>44.83</v>
      </c>
      <c r="O63" t="s">
        <v>68</v>
      </c>
      <c r="P63" t="s">
        <v>67</v>
      </c>
      <c r="Q63">
        <v>449</v>
      </c>
      <c r="R63">
        <v>44.83</v>
      </c>
    </row>
    <row r="64" spans="1:18" x14ac:dyDescent="0.35">
      <c r="A64" t="s">
        <v>56</v>
      </c>
      <c r="B64" t="s">
        <v>57</v>
      </c>
      <c r="C64" t="s">
        <v>58</v>
      </c>
      <c r="D64">
        <v>106550554</v>
      </c>
      <c r="E64" t="s">
        <v>527</v>
      </c>
      <c r="F64" t="s">
        <v>60</v>
      </c>
      <c r="G64">
        <v>0.23</v>
      </c>
      <c r="H64">
        <v>9.77</v>
      </c>
      <c r="I64">
        <v>0.02</v>
      </c>
      <c r="J64">
        <v>0</v>
      </c>
      <c r="K64">
        <v>10.02</v>
      </c>
      <c r="L64" t="s">
        <v>61</v>
      </c>
      <c r="M64">
        <v>449</v>
      </c>
      <c r="N64">
        <v>44.83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58</v>
      </c>
      <c r="D65">
        <v>106556401</v>
      </c>
      <c r="E65" t="s">
        <v>550</v>
      </c>
      <c r="F65" t="s">
        <v>72</v>
      </c>
      <c r="G65">
        <v>0</v>
      </c>
      <c r="H65">
        <v>9.82</v>
      </c>
      <c r="I65">
        <v>0</v>
      </c>
      <c r="J65">
        <v>0</v>
      </c>
      <c r="K65">
        <v>9.82</v>
      </c>
      <c r="L65" t="s">
        <v>61</v>
      </c>
      <c r="M65">
        <v>663</v>
      </c>
      <c r="N65">
        <v>67.5</v>
      </c>
      <c r="O65" t="s">
        <v>62</v>
      </c>
      <c r="P65" t="s">
        <v>63</v>
      </c>
      <c r="Q65">
        <v>0</v>
      </c>
      <c r="R65">
        <v>0</v>
      </c>
    </row>
    <row r="66" spans="1:18" x14ac:dyDescent="0.35">
      <c r="A66" t="s">
        <v>56</v>
      </c>
      <c r="B66" t="s">
        <v>57</v>
      </c>
      <c r="C66" t="s">
        <v>58</v>
      </c>
      <c r="D66">
        <v>106556401</v>
      </c>
      <c r="E66" t="s">
        <v>550</v>
      </c>
      <c r="F66" t="s">
        <v>72</v>
      </c>
      <c r="G66">
        <v>0</v>
      </c>
      <c r="H66">
        <v>9.82</v>
      </c>
      <c r="I66">
        <v>0</v>
      </c>
      <c r="J66">
        <v>0</v>
      </c>
      <c r="K66">
        <v>9.82</v>
      </c>
      <c r="L66" t="s">
        <v>61</v>
      </c>
      <c r="M66">
        <v>663</v>
      </c>
      <c r="N66">
        <v>67.5</v>
      </c>
      <c r="O66" t="s">
        <v>62</v>
      </c>
      <c r="P66" t="s">
        <v>64</v>
      </c>
      <c r="Q66">
        <v>5401</v>
      </c>
      <c r="R66">
        <v>549.86</v>
      </c>
    </row>
    <row r="67" spans="1:18" x14ac:dyDescent="0.35">
      <c r="A67" t="s">
        <v>56</v>
      </c>
      <c r="B67" t="s">
        <v>57</v>
      </c>
      <c r="C67" t="s">
        <v>58</v>
      </c>
      <c r="D67">
        <v>106556401</v>
      </c>
      <c r="E67" t="s">
        <v>550</v>
      </c>
      <c r="F67" t="s">
        <v>72</v>
      </c>
      <c r="G67">
        <v>0</v>
      </c>
      <c r="H67">
        <v>9.82</v>
      </c>
      <c r="I67">
        <v>0</v>
      </c>
      <c r="J67">
        <v>0</v>
      </c>
      <c r="K67">
        <v>9.82</v>
      </c>
      <c r="L67" t="s">
        <v>61</v>
      </c>
      <c r="M67">
        <v>663</v>
      </c>
      <c r="N67">
        <v>67.5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58</v>
      </c>
      <c r="D68">
        <v>106556401</v>
      </c>
      <c r="E68" t="s">
        <v>550</v>
      </c>
      <c r="F68" t="s">
        <v>72</v>
      </c>
      <c r="G68">
        <v>0</v>
      </c>
      <c r="H68">
        <v>9.82</v>
      </c>
      <c r="I68">
        <v>0</v>
      </c>
      <c r="J68">
        <v>0</v>
      </c>
      <c r="K68">
        <v>9.82</v>
      </c>
      <c r="L68" t="s">
        <v>61</v>
      </c>
      <c r="M68">
        <v>663</v>
      </c>
      <c r="N68">
        <v>67.5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58</v>
      </c>
      <c r="D69">
        <v>106556401</v>
      </c>
      <c r="E69" t="s">
        <v>550</v>
      </c>
      <c r="F69" t="s">
        <v>72</v>
      </c>
      <c r="G69">
        <v>0</v>
      </c>
      <c r="H69">
        <v>9.82</v>
      </c>
      <c r="I69">
        <v>0</v>
      </c>
      <c r="J69">
        <v>0</v>
      </c>
      <c r="K69">
        <v>9.82</v>
      </c>
      <c r="L69" t="s">
        <v>61</v>
      </c>
      <c r="M69">
        <v>663</v>
      </c>
      <c r="N69">
        <v>67.5</v>
      </c>
      <c r="O69" t="s">
        <v>62</v>
      </c>
      <c r="P69" t="s">
        <v>67</v>
      </c>
      <c r="Q69">
        <v>5401</v>
      </c>
      <c r="R69">
        <v>549.86</v>
      </c>
    </row>
    <row r="70" spans="1:18" x14ac:dyDescent="0.35">
      <c r="A70" t="s">
        <v>56</v>
      </c>
      <c r="B70" t="s">
        <v>57</v>
      </c>
      <c r="C70" t="s">
        <v>58</v>
      </c>
      <c r="D70">
        <v>106556401</v>
      </c>
      <c r="E70" t="s">
        <v>550</v>
      </c>
      <c r="F70" t="s">
        <v>72</v>
      </c>
      <c r="G70">
        <v>0</v>
      </c>
      <c r="H70">
        <v>9.82</v>
      </c>
      <c r="I70">
        <v>0</v>
      </c>
      <c r="J70">
        <v>0</v>
      </c>
      <c r="K70">
        <v>9.82</v>
      </c>
      <c r="L70" t="s">
        <v>61</v>
      </c>
      <c r="M70">
        <v>663</v>
      </c>
      <c r="N70">
        <v>67.5</v>
      </c>
      <c r="O70" t="s">
        <v>68</v>
      </c>
      <c r="P70" t="s">
        <v>67</v>
      </c>
      <c r="Q70">
        <v>663</v>
      </c>
      <c r="R70">
        <v>67.5</v>
      </c>
    </row>
    <row r="71" spans="1:18" x14ac:dyDescent="0.35">
      <c r="A71" t="s">
        <v>56</v>
      </c>
      <c r="B71" t="s">
        <v>57</v>
      </c>
      <c r="C71" t="s">
        <v>58</v>
      </c>
      <c r="D71">
        <v>106556401</v>
      </c>
      <c r="E71" t="s">
        <v>550</v>
      </c>
      <c r="F71" t="s">
        <v>72</v>
      </c>
      <c r="G71">
        <v>0</v>
      </c>
      <c r="H71">
        <v>9.82</v>
      </c>
      <c r="I71">
        <v>0</v>
      </c>
      <c r="J71">
        <v>0</v>
      </c>
      <c r="K71">
        <v>9.82</v>
      </c>
      <c r="L71" t="s">
        <v>61</v>
      </c>
      <c r="M71">
        <v>663</v>
      </c>
      <c r="N71">
        <v>67.5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58</v>
      </c>
      <c r="D72">
        <v>106677842</v>
      </c>
      <c r="E72" t="s">
        <v>564</v>
      </c>
      <c r="F72" t="s">
        <v>60</v>
      </c>
      <c r="G72">
        <v>0.93</v>
      </c>
      <c r="H72">
        <v>7.63</v>
      </c>
      <c r="I72">
        <v>0.02</v>
      </c>
      <c r="J72">
        <v>0</v>
      </c>
      <c r="K72">
        <v>8.58</v>
      </c>
      <c r="L72" t="s">
        <v>61</v>
      </c>
      <c r="M72">
        <v>273</v>
      </c>
      <c r="N72">
        <v>31.81</v>
      </c>
      <c r="O72" t="s">
        <v>62</v>
      </c>
      <c r="P72" t="s">
        <v>63</v>
      </c>
      <c r="Q72">
        <v>1023</v>
      </c>
      <c r="R72">
        <v>1098.03</v>
      </c>
    </row>
    <row r="73" spans="1:18" x14ac:dyDescent="0.35">
      <c r="A73" t="s">
        <v>56</v>
      </c>
      <c r="B73" t="s">
        <v>57</v>
      </c>
      <c r="C73" t="s">
        <v>58</v>
      </c>
      <c r="D73">
        <v>106677842</v>
      </c>
      <c r="E73" t="s">
        <v>564</v>
      </c>
      <c r="F73" t="s">
        <v>60</v>
      </c>
      <c r="G73">
        <v>0.93</v>
      </c>
      <c r="H73">
        <v>7.63</v>
      </c>
      <c r="I73">
        <v>0.02</v>
      </c>
      <c r="J73">
        <v>0</v>
      </c>
      <c r="K73">
        <v>8.58</v>
      </c>
      <c r="L73" t="s">
        <v>61</v>
      </c>
      <c r="M73">
        <v>273</v>
      </c>
      <c r="N73">
        <v>31.81</v>
      </c>
      <c r="O73" t="s">
        <v>62</v>
      </c>
      <c r="P73" t="s">
        <v>64</v>
      </c>
      <c r="Q73">
        <v>1709</v>
      </c>
      <c r="R73">
        <v>224.07</v>
      </c>
    </row>
    <row r="74" spans="1:18" x14ac:dyDescent="0.35">
      <c r="A74" t="s">
        <v>56</v>
      </c>
      <c r="B74" t="s">
        <v>57</v>
      </c>
      <c r="C74" t="s">
        <v>58</v>
      </c>
      <c r="D74">
        <v>106677842</v>
      </c>
      <c r="E74" t="s">
        <v>564</v>
      </c>
      <c r="F74" t="s">
        <v>60</v>
      </c>
      <c r="G74">
        <v>0.93</v>
      </c>
      <c r="H74">
        <v>7.63</v>
      </c>
      <c r="I74">
        <v>0.02</v>
      </c>
      <c r="J74">
        <v>0</v>
      </c>
      <c r="K74">
        <v>8.58</v>
      </c>
      <c r="L74" t="s">
        <v>61</v>
      </c>
      <c r="M74">
        <v>273</v>
      </c>
      <c r="N74">
        <v>31.81</v>
      </c>
      <c r="O74" t="s">
        <v>62</v>
      </c>
      <c r="P74" t="s">
        <v>65</v>
      </c>
      <c r="Q74">
        <v>5</v>
      </c>
      <c r="R74">
        <v>206.9</v>
      </c>
    </row>
    <row r="75" spans="1:18" x14ac:dyDescent="0.35">
      <c r="A75" t="s">
        <v>56</v>
      </c>
      <c r="B75" t="s">
        <v>57</v>
      </c>
      <c r="C75" t="s">
        <v>58</v>
      </c>
      <c r="D75">
        <v>106677842</v>
      </c>
      <c r="E75" t="s">
        <v>564</v>
      </c>
      <c r="F75" t="s">
        <v>60</v>
      </c>
      <c r="G75">
        <v>0.93</v>
      </c>
      <c r="H75">
        <v>7.63</v>
      </c>
      <c r="I75">
        <v>0.02</v>
      </c>
      <c r="J75">
        <v>0</v>
      </c>
      <c r="K75">
        <v>8.58</v>
      </c>
      <c r="L75" t="s">
        <v>61</v>
      </c>
      <c r="M75">
        <v>273</v>
      </c>
      <c r="N75">
        <v>31.81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58</v>
      </c>
      <c r="D76">
        <v>106677842</v>
      </c>
      <c r="E76" t="s">
        <v>564</v>
      </c>
      <c r="F76" t="s">
        <v>60</v>
      </c>
      <c r="G76">
        <v>0.93</v>
      </c>
      <c r="H76">
        <v>7.63</v>
      </c>
      <c r="I76">
        <v>0.02</v>
      </c>
      <c r="J76">
        <v>0</v>
      </c>
      <c r="K76">
        <v>8.58</v>
      </c>
      <c r="L76" t="s">
        <v>61</v>
      </c>
      <c r="M76">
        <v>273</v>
      </c>
      <c r="N76">
        <v>31.81</v>
      </c>
      <c r="O76" t="s">
        <v>62</v>
      </c>
      <c r="P76" t="s">
        <v>67</v>
      </c>
      <c r="Q76">
        <v>2737</v>
      </c>
      <c r="R76">
        <v>318.87</v>
      </c>
    </row>
    <row r="77" spans="1:18" x14ac:dyDescent="0.35">
      <c r="A77" t="s">
        <v>56</v>
      </c>
      <c r="B77" t="s">
        <v>57</v>
      </c>
      <c r="C77" t="s">
        <v>58</v>
      </c>
      <c r="D77">
        <v>106677842</v>
      </c>
      <c r="E77" t="s">
        <v>564</v>
      </c>
      <c r="F77" t="s">
        <v>60</v>
      </c>
      <c r="G77">
        <v>0.93</v>
      </c>
      <c r="H77">
        <v>7.63</v>
      </c>
      <c r="I77">
        <v>0.02</v>
      </c>
      <c r="J77">
        <v>0</v>
      </c>
      <c r="K77">
        <v>8.58</v>
      </c>
      <c r="L77" t="s">
        <v>61</v>
      </c>
      <c r="M77">
        <v>273</v>
      </c>
      <c r="N77">
        <v>31.81</v>
      </c>
      <c r="O77" t="s">
        <v>68</v>
      </c>
      <c r="P77" t="s">
        <v>67</v>
      </c>
      <c r="Q77">
        <v>273</v>
      </c>
      <c r="R77">
        <v>31.81</v>
      </c>
    </row>
    <row r="78" spans="1:18" x14ac:dyDescent="0.35">
      <c r="A78" t="s">
        <v>56</v>
      </c>
      <c r="B78" t="s">
        <v>57</v>
      </c>
      <c r="C78" t="s">
        <v>58</v>
      </c>
      <c r="D78">
        <v>106677842</v>
      </c>
      <c r="E78" t="s">
        <v>564</v>
      </c>
      <c r="F78" t="s">
        <v>60</v>
      </c>
      <c r="G78">
        <v>0.93</v>
      </c>
      <c r="H78">
        <v>7.63</v>
      </c>
      <c r="I78">
        <v>0.02</v>
      </c>
      <c r="J78">
        <v>0</v>
      </c>
      <c r="K78">
        <v>8.58</v>
      </c>
      <c r="L78" t="s">
        <v>61</v>
      </c>
      <c r="M78">
        <v>273</v>
      </c>
      <c r="N78">
        <v>31.81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58</v>
      </c>
      <c r="D79">
        <v>107065561</v>
      </c>
      <c r="E79" t="s">
        <v>528</v>
      </c>
      <c r="F79" t="s">
        <v>78</v>
      </c>
      <c r="G79">
        <v>0.13</v>
      </c>
      <c r="H79">
        <v>4.9800000000000004</v>
      </c>
      <c r="I79">
        <v>0</v>
      </c>
      <c r="J79">
        <v>0</v>
      </c>
      <c r="K79">
        <v>5.12</v>
      </c>
      <c r="L79" t="s">
        <v>61</v>
      </c>
      <c r="M79">
        <v>102</v>
      </c>
      <c r="N79">
        <v>19.940000000000001</v>
      </c>
      <c r="O79" t="s">
        <v>62</v>
      </c>
      <c r="P79" t="s">
        <v>63</v>
      </c>
      <c r="Q79">
        <v>100</v>
      </c>
      <c r="R79">
        <v>756.3</v>
      </c>
    </row>
    <row r="80" spans="1:18" x14ac:dyDescent="0.35">
      <c r="A80" t="s">
        <v>56</v>
      </c>
      <c r="B80" t="s">
        <v>57</v>
      </c>
      <c r="C80" t="s">
        <v>58</v>
      </c>
      <c r="D80">
        <v>107065561</v>
      </c>
      <c r="E80" t="s">
        <v>528</v>
      </c>
      <c r="F80" t="s">
        <v>78</v>
      </c>
      <c r="G80">
        <v>0.13</v>
      </c>
      <c r="H80">
        <v>4.9800000000000004</v>
      </c>
      <c r="I80">
        <v>0</v>
      </c>
      <c r="J80">
        <v>0</v>
      </c>
      <c r="K80">
        <v>5.12</v>
      </c>
      <c r="L80" t="s">
        <v>61</v>
      </c>
      <c r="M80">
        <v>102</v>
      </c>
      <c r="N80">
        <v>19.940000000000001</v>
      </c>
      <c r="O80" t="s">
        <v>62</v>
      </c>
      <c r="P80" t="s">
        <v>64</v>
      </c>
      <c r="Q80">
        <v>769</v>
      </c>
      <c r="R80">
        <v>154.34</v>
      </c>
    </row>
    <row r="81" spans="1:18" x14ac:dyDescent="0.35">
      <c r="A81" t="s">
        <v>56</v>
      </c>
      <c r="B81" t="s">
        <v>57</v>
      </c>
      <c r="C81" t="s">
        <v>58</v>
      </c>
      <c r="D81">
        <v>107065561</v>
      </c>
      <c r="E81" t="s">
        <v>528</v>
      </c>
      <c r="F81" t="s">
        <v>78</v>
      </c>
      <c r="G81">
        <v>0.13</v>
      </c>
      <c r="H81">
        <v>4.9800000000000004</v>
      </c>
      <c r="I81">
        <v>0</v>
      </c>
      <c r="J81">
        <v>0</v>
      </c>
      <c r="K81">
        <v>5.12</v>
      </c>
      <c r="L81" t="s">
        <v>61</v>
      </c>
      <c r="M81">
        <v>102</v>
      </c>
      <c r="N81">
        <v>19.940000000000001</v>
      </c>
      <c r="O81" t="s">
        <v>62</v>
      </c>
      <c r="P81" t="s">
        <v>65</v>
      </c>
      <c r="Q81">
        <v>0</v>
      </c>
      <c r="R81">
        <v>0</v>
      </c>
    </row>
    <row r="82" spans="1:18" x14ac:dyDescent="0.35">
      <c r="A82" t="s">
        <v>56</v>
      </c>
      <c r="B82" t="s">
        <v>57</v>
      </c>
      <c r="C82" t="s">
        <v>58</v>
      </c>
      <c r="D82">
        <v>107065561</v>
      </c>
      <c r="E82" t="s">
        <v>528</v>
      </c>
      <c r="F82" t="s">
        <v>78</v>
      </c>
      <c r="G82">
        <v>0.13</v>
      </c>
      <c r="H82">
        <v>4.9800000000000004</v>
      </c>
      <c r="I82">
        <v>0</v>
      </c>
      <c r="J82">
        <v>0</v>
      </c>
      <c r="K82">
        <v>5.12</v>
      </c>
      <c r="L82" t="s">
        <v>61</v>
      </c>
      <c r="M82">
        <v>102</v>
      </c>
      <c r="N82">
        <v>19.940000000000001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58</v>
      </c>
      <c r="D83">
        <v>107065561</v>
      </c>
      <c r="E83" t="s">
        <v>528</v>
      </c>
      <c r="F83" t="s">
        <v>78</v>
      </c>
      <c r="G83">
        <v>0.13</v>
      </c>
      <c r="H83">
        <v>4.9800000000000004</v>
      </c>
      <c r="I83">
        <v>0</v>
      </c>
      <c r="J83">
        <v>0</v>
      </c>
      <c r="K83">
        <v>5.12</v>
      </c>
      <c r="L83" t="s">
        <v>61</v>
      </c>
      <c r="M83">
        <v>102</v>
      </c>
      <c r="N83">
        <v>19.940000000000001</v>
      </c>
      <c r="O83" t="s">
        <v>62</v>
      </c>
      <c r="P83" t="s">
        <v>67</v>
      </c>
      <c r="Q83">
        <v>869</v>
      </c>
      <c r="R83">
        <v>169.89</v>
      </c>
    </row>
    <row r="84" spans="1:18" x14ac:dyDescent="0.35">
      <c r="A84" t="s">
        <v>56</v>
      </c>
      <c r="B84" t="s">
        <v>57</v>
      </c>
      <c r="C84" t="s">
        <v>58</v>
      </c>
      <c r="D84">
        <v>107065561</v>
      </c>
      <c r="E84" t="s">
        <v>528</v>
      </c>
      <c r="F84" t="s">
        <v>78</v>
      </c>
      <c r="G84">
        <v>0.13</v>
      </c>
      <c r="H84">
        <v>4.9800000000000004</v>
      </c>
      <c r="I84">
        <v>0</v>
      </c>
      <c r="J84">
        <v>0</v>
      </c>
      <c r="K84">
        <v>5.12</v>
      </c>
      <c r="L84" t="s">
        <v>61</v>
      </c>
      <c r="M84">
        <v>102</v>
      </c>
      <c r="N84">
        <v>19.940000000000001</v>
      </c>
      <c r="O84" t="s">
        <v>68</v>
      </c>
      <c r="P84" t="s">
        <v>67</v>
      </c>
      <c r="Q84">
        <v>102</v>
      </c>
      <c r="R84">
        <v>19.940000000000001</v>
      </c>
    </row>
    <row r="85" spans="1:18" x14ac:dyDescent="0.35">
      <c r="A85" t="s">
        <v>56</v>
      </c>
      <c r="B85" t="s">
        <v>57</v>
      </c>
      <c r="C85" t="s">
        <v>58</v>
      </c>
      <c r="D85">
        <v>107065561</v>
      </c>
      <c r="E85" t="s">
        <v>528</v>
      </c>
      <c r="F85" t="s">
        <v>78</v>
      </c>
      <c r="G85">
        <v>0.13</v>
      </c>
      <c r="H85">
        <v>4.9800000000000004</v>
      </c>
      <c r="I85">
        <v>0</v>
      </c>
      <c r="J85">
        <v>0</v>
      </c>
      <c r="K85">
        <v>5.12</v>
      </c>
      <c r="L85" t="s">
        <v>61</v>
      </c>
      <c r="M85">
        <v>102</v>
      </c>
      <c r="N85">
        <v>19.940000000000001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58</v>
      </c>
      <c r="D86">
        <v>107221179</v>
      </c>
      <c r="E86" t="s">
        <v>83</v>
      </c>
      <c r="F86" t="s">
        <v>72</v>
      </c>
      <c r="G86">
        <v>0.25</v>
      </c>
      <c r="H86">
        <v>9.65</v>
      </c>
      <c r="I86">
        <v>0</v>
      </c>
      <c r="J86">
        <v>0</v>
      </c>
      <c r="K86">
        <v>9.9</v>
      </c>
      <c r="L86" t="s">
        <v>61</v>
      </c>
      <c r="M86">
        <v>289</v>
      </c>
      <c r="N86">
        <v>29.19</v>
      </c>
      <c r="O86" t="s">
        <v>62</v>
      </c>
      <c r="P86" t="s">
        <v>63</v>
      </c>
      <c r="Q86">
        <v>224</v>
      </c>
      <c r="R86">
        <v>905.05</v>
      </c>
    </row>
    <row r="87" spans="1:18" x14ac:dyDescent="0.35">
      <c r="A87" t="s">
        <v>56</v>
      </c>
      <c r="B87" t="s">
        <v>57</v>
      </c>
      <c r="C87" t="s">
        <v>58</v>
      </c>
      <c r="D87">
        <v>107221179</v>
      </c>
      <c r="E87" t="s">
        <v>83</v>
      </c>
      <c r="F87" t="s">
        <v>72</v>
      </c>
      <c r="G87">
        <v>0.25</v>
      </c>
      <c r="H87">
        <v>9.65</v>
      </c>
      <c r="I87">
        <v>0</v>
      </c>
      <c r="J87">
        <v>0</v>
      </c>
      <c r="K87">
        <v>9.9</v>
      </c>
      <c r="L87" t="s">
        <v>61</v>
      </c>
      <c r="M87">
        <v>289</v>
      </c>
      <c r="N87">
        <v>29.19</v>
      </c>
      <c r="O87" t="s">
        <v>62</v>
      </c>
      <c r="P87" t="s">
        <v>64</v>
      </c>
      <c r="Q87">
        <v>1782</v>
      </c>
      <c r="R87">
        <v>184.62</v>
      </c>
    </row>
    <row r="88" spans="1:18" x14ac:dyDescent="0.35">
      <c r="A88" t="s">
        <v>56</v>
      </c>
      <c r="B88" t="s">
        <v>57</v>
      </c>
      <c r="C88" t="s">
        <v>58</v>
      </c>
      <c r="D88">
        <v>107221179</v>
      </c>
      <c r="E88" t="s">
        <v>83</v>
      </c>
      <c r="F88" t="s">
        <v>72</v>
      </c>
      <c r="G88">
        <v>0.25</v>
      </c>
      <c r="H88">
        <v>9.65</v>
      </c>
      <c r="I88">
        <v>0</v>
      </c>
      <c r="J88">
        <v>0</v>
      </c>
      <c r="K88">
        <v>9.9</v>
      </c>
      <c r="L88" t="s">
        <v>61</v>
      </c>
      <c r="M88">
        <v>289</v>
      </c>
      <c r="N88">
        <v>29.19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58</v>
      </c>
      <c r="D89">
        <v>107221179</v>
      </c>
      <c r="E89" t="s">
        <v>83</v>
      </c>
      <c r="F89" t="s">
        <v>72</v>
      </c>
      <c r="G89">
        <v>0.25</v>
      </c>
      <c r="H89">
        <v>9.65</v>
      </c>
      <c r="I89">
        <v>0</v>
      </c>
      <c r="J89">
        <v>0</v>
      </c>
      <c r="K89">
        <v>9.9</v>
      </c>
      <c r="L89" t="s">
        <v>61</v>
      </c>
      <c r="M89">
        <v>289</v>
      </c>
      <c r="N89">
        <v>29.19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58</v>
      </c>
      <c r="D90">
        <v>107221179</v>
      </c>
      <c r="E90" t="s">
        <v>83</v>
      </c>
      <c r="F90" t="s">
        <v>72</v>
      </c>
      <c r="G90">
        <v>0.25</v>
      </c>
      <c r="H90">
        <v>9.65</v>
      </c>
      <c r="I90">
        <v>0</v>
      </c>
      <c r="J90">
        <v>0</v>
      </c>
      <c r="K90">
        <v>9.9</v>
      </c>
      <c r="L90" t="s">
        <v>61</v>
      </c>
      <c r="M90">
        <v>289</v>
      </c>
      <c r="N90">
        <v>29.19</v>
      </c>
      <c r="O90" t="s">
        <v>62</v>
      </c>
      <c r="P90" t="s">
        <v>67</v>
      </c>
      <c r="Q90">
        <v>2006</v>
      </c>
      <c r="R90">
        <v>202.63</v>
      </c>
    </row>
    <row r="91" spans="1:18" x14ac:dyDescent="0.35">
      <c r="A91" t="s">
        <v>56</v>
      </c>
      <c r="B91" t="s">
        <v>57</v>
      </c>
      <c r="C91" t="s">
        <v>58</v>
      </c>
      <c r="D91">
        <v>107221179</v>
      </c>
      <c r="E91" t="s">
        <v>83</v>
      </c>
      <c r="F91" t="s">
        <v>72</v>
      </c>
      <c r="G91">
        <v>0.25</v>
      </c>
      <c r="H91">
        <v>9.65</v>
      </c>
      <c r="I91">
        <v>0</v>
      </c>
      <c r="J91">
        <v>0</v>
      </c>
      <c r="K91">
        <v>9.9</v>
      </c>
      <c r="L91" t="s">
        <v>61</v>
      </c>
      <c r="M91">
        <v>289</v>
      </c>
      <c r="N91">
        <v>29.19</v>
      </c>
      <c r="O91" t="s">
        <v>68</v>
      </c>
      <c r="P91" t="s">
        <v>67</v>
      </c>
      <c r="Q91">
        <v>289</v>
      </c>
      <c r="R91">
        <v>29.19</v>
      </c>
    </row>
    <row r="92" spans="1:18" x14ac:dyDescent="0.35">
      <c r="A92" t="s">
        <v>56</v>
      </c>
      <c r="B92" t="s">
        <v>57</v>
      </c>
      <c r="C92" t="s">
        <v>58</v>
      </c>
      <c r="D92">
        <v>107221179</v>
      </c>
      <c r="E92" t="s">
        <v>83</v>
      </c>
      <c r="F92" t="s">
        <v>72</v>
      </c>
      <c r="G92">
        <v>0.25</v>
      </c>
      <c r="H92">
        <v>9.65</v>
      </c>
      <c r="I92">
        <v>0</v>
      </c>
      <c r="J92">
        <v>0</v>
      </c>
      <c r="K92">
        <v>9.9</v>
      </c>
      <c r="L92" t="s">
        <v>61</v>
      </c>
      <c r="M92">
        <v>289</v>
      </c>
      <c r="N92">
        <v>29.19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107221222</v>
      </c>
      <c r="E93" t="s">
        <v>86</v>
      </c>
      <c r="F93" t="s">
        <v>72</v>
      </c>
      <c r="G93">
        <v>0.45</v>
      </c>
      <c r="H93">
        <v>9.65</v>
      </c>
      <c r="I93">
        <v>0</v>
      </c>
      <c r="J93">
        <v>0</v>
      </c>
      <c r="K93">
        <v>10.1</v>
      </c>
      <c r="L93" t="s">
        <v>61</v>
      </c>
      <c r="M93">
        <v>370</v>
      </c>
      <c r="N93">
        <v>36.630000000000003</v>
      </c>
      <c r="O93" t="s">
        <v>62</v>
      </c>
      <c r="P93" t="s">
        <v>63</v>
      </c>
      <c r="Q93">
        <v>651</v>
      </c>
      <c r="R93">
        <v>1462.92</v>
      </c>
    </row>
    <row r="94" spans="1:18" x14ac:dyDescent="0.35">
      <c r="A94" t="s">
        <v>56</v>
      </c>
      <c r="B94" t="s">
        <v>57</v>
      </c>
      <c r="C94" t="s">
        <v>70</v>
      </c>
      <c r="D94">
        <v>107221222</v>
      </c>
      <c r="E94" t="s">
        <v>86</v>
      </c>
      <c r="F94" t="s">
        <v>72</v>
      </c>
      <c r="G94">
        <v>0.45</v>
      </c>
      <c r="H94">
        <v>9.65</v>
      </c>
      <c r="I94">
        <v>0</v>
      </c>
      <c r="J94">
        <v>0</v>
      </c>
      <c r="K94">
        <v>10.1</v>
      </c>
      <c r="L94" t="s">
        <v>61</v>
      </c>
      <c r="M94">
        <v>370</v>
      </c>
      <c r="N94">
        <v>36.630000000000003</v>
      </c>
      <c r="O94" t="s">
        <v>62</v>
      </c>
      <c r="P94" t="s">
        <v>64</v>
      </c>
      <c r="Q94">
        <v>2882</v>
      </c>
      <c r="R94">
        <v>298.51</v>
      </c>
    </row>
    <row r="95" spans="1:18" x14ac:dyDescent="0.35">
      <c r="A95" t="s">
        <v>56</v>
      </c>
      <c r="B95" t="s">
        <v>57</v>
      </c>
      <c r="C95" t="s">
        <v>70</v>
      </c>
      <c r="D95">
        <v>107221222</v>
      </c>
      <c r="E95" t="s">
        <v>86</v>
      </c>
      <c r="F95" t="s">
        <v>72</v>
      </c>
      <c r="G95">
        <v>0.45</v>
      </c>
      <c r="H95">
        <v>9.65</v>
      </c>
      <c r="I95">
        <v>0</v>
      </c>
      <c r="J95">
        <v>0</v>
      </c>
      <c r="K95">
        <v>10.1</v>
      </c>
      <c r="L95" t="s">
        <v>61</v>
      </c>
      <c r="M95">
        <v>370</v>
      </c>
      <c r="N95">
        <v>36.630000000000003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107221222</v>
      </c>
      <c r="E96" t="s">
        <v>86</v>
      </c>
      <c r="F96" t="s">
        <v>72</v>
      </c>
      <c r="G96">
        <v>0.45</v>
      </c>
      <c r="H96">
        <v>9.65</v>
      </c>
      <c r="I96">
        <v>0</v>
      </c>
      <c r="J96">
        <v>0</v>
      </c>
      <c r="K96">
        <v>10.1</v>
      </c>
      <c r="L96" t="s">
        <v>61</v>
      </c>
      <c r="M96">
        <v>370</v>
      </c>
      <c r="N96">
        <v>36.630000000000003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107221222</v>
      </c>
      <c r="E97" t="s">
        <v>86</v>
      </c>
      <c r="F97" t="s">
        <v>72</v>
      </c>
      <c r="G97">
        <v>0.45</v>
      </c>
      <c r="H97">
        <v>9.65</v>
      </c>
      <c r="I97">
        <v>0</v>
      </c>
      <c r="J97">
        <v>0</v>
      </c>
      <c r="K97">
        <v>10.1</v>
      </c>
      <c r="L97" t="s">
        <v>61</v>
      </c>
      <c r="M97">
        <v>370</v>
      </c>
      <c r="N97">
        <v>36.630000000000003</v>
      </c>
      <c r="O97" t="s">
        <v>62</v>
      </c>
      <c r="P97" t="s">
        <v>67</v>
      </c>
      <c r="Q97">
        <v>3533</v>
      </c>
      <c r="R97">
        <v>349.8</v>
      </c>
    </row>
    <row r="98" spans="1:18" x14ac:dyDescent="0.35">
      <c r="A98" t="s">
        <v>56</v>
      </c>
      <c r="B98" t="s">
        <v>57</v>
      </c>
      <c r="C98" t="s">
        <v>70</v>
      </c>
      <c r="D98">
        <v>107221222</v>
      </c>
      <c r="E98" t="s">
        <v>86</v>
      </c>
      <c r="F98" t="s">
        <v>72</v>
      </c>
      <c r="G98">
        <v>0.45</v>
      </c>
      <c r="H98">
        <v>9.65</v>
      </c>
      <c r="I98">
        <v>0</v>
      </c>
      <c r="J98">
        <v>0</v>
      </c>
      <c r="K98">
        <v>10.1</v>
      </c>
      <c r="L98" t="s">
        <v>61</v>
      </c>
      <c r="M98">
        <v>370</v>
      </c>
      <c r="N98">
        <v>36.630000000000003</v>
      </c>
      <c r="O98" t="s">
        <v>68</v>
      </c>
      <c r="P98" t="s">
        <v>67</v>
      </c>
      <c r="Q98">
        <v>370</v>
      </c>
      <c r="R98">
        <v>36.630000000000003</v>
      </c>
    </row>
    <row r="99" spans="1:18" x14ac:dyDescent="0.35">
      <c r="A99" t="s">
        <v>56</v>
      </c>
      <c r="B99" t="s">
        <v>57</v>
      </c>
      <c r="C99" t="s">
        <v>70</v>
      </c>
      <c r="D99">
        <v>107221222</v>
      </c>
      <c r="E99" t="s">
        <v>86</v>
      </c>
      <c r="F99" t="s">
        <v>72</v>
      </c>
      <c r="G99">
        <v>0.45</v>
      </c>
      <c r="H99">
        <v>9.65</v>
      </c>
      <c r="I99">
        <v>0</v>
      </c>
      <c r="J99">
        <v>0</v>
      </c>
      <c r="K99">
        <v>10.1</v>
      </c>
      <c r="L99" t="s">
        <v>61</v>
      </c>
      <c r="M99">
        <v>370</v>
      </c>
      <c r="N99">
        <v>36.630000000000003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58</v>
      </c>
      <c r="D100">
        <v>107221237</v>
      </c>
      <c r="E100" t="s">
        <v>89</v>
      </c>
      <c r="F100" t="s">
        <v>72</v>
      </c>
      <c r="G100">
        <v>0.59</v>
      </c>
      <c r="H100">
        <v>7.97</v>
      </c>
      <c r="I100">
        <v>0.03</v>
      </c>
      <c r="J100">
        <v>0</v>
      </c>
      <c r="K100">
        <v>8.59</v>
      </c>
      <c r="L100" t="s">
        <v>61</v>
      </c>
      <c r="M100">
        <v>265</v>
      </c>
      <c r="N100">
        <v>30.86</v>
      </c>
      <c r="O100" t="s">
        <v>62</v>
      </c>
      <c r="P100" t="s">
        <v>63</v>
      </c>
      <c r="Q100">
        <v>696</v>
      </c>
      <c r="R100">
        <v>1178</v>
      </c>
    </row>
    <row r="101" spans="1:18" x14ac:dyDescent="0.35">
      <c r="A101" t="s">
        <v>56</v>
      </c>
      <c r="B101" t="s">
        <v>57</v>
      </c>
      <c r="C101" t="s">
        <v>58</v>
      </c>
      <c r="D101">
        <v>107221237</v>
      </c>
      <c r="E101" t="s">
        <v>89</v>
      </c>
      <c r="F101" t="s">
        <v>72</v>
      </c>
      <c r="G101">
        <v>0.59</v>
      </c>
      <c r="H101">
        <v>7.97</v>
      </c>
      <c r="I101">
        <v>0.03</v>
      </c>
      <c r="J101">
        <v>0</v>
      </c>
      <c r="K101">
        <v>8.59</v>
      </c>
      <c r="L101" t="s">
        <v>61</v>
      </c>
      <c r="M101">
        <v>265</v>
      </c>
      <c r="N101">
        <v>30.86</v>
      </c>
      <c r="O101" t="s">
        <v>62</v>
      </c>
      <c r="P101" t="s">
        <v>64</v>
      </c>
      <c r="Q101">
        <v>1915</v>
      </c>
      <c r="R101">
        <v>240.33</v>
      </c>
    </row>
    <row r="102" spans="1:18" x14ac:dyDescent="0.35">
      <c r="A102" t="s">
        <v>56</v>
      </c>
      <c r="B102" t="s">
        <v>57</v>
      </c>
      <c r="C102" t="s">
        <v>58</v>
      </c>
      <c r="D102">
        <v>107221237</v>
      </c>
      <c r="E102" t="s">
        <v>89</v>
      </c>
      <c r="F102" t="s">
        <v>72</v>
      </c>
      <c r="G102">
        <v>0.59</v>
      </c>
      <c r="H102">
        <v>7.97</v>
      </c>
      <c r="I102">
        <v>0.03</v>
      </c>
      <c r="J102">
        <v>0</v>
      </c>
      <c r="K102">
        <v>8.59</v>
      </c>
      <c r="L102" t="s">
        <v>61</v>
      </c>
      <c r="M102">
        <v>265</v>
      </c>
      <c r="N102">
        <v>30.86</v>
      </c>
      <c r="O102" t="s">
        <v>62</v>
      </c>
      <c r="P102" t="s">
        <v>65</v>
      </c>
      <c r="Q102">
        <v>6</v>
      </c>
      <c r="R102">
        <v>220.41</v>
      </c>
    </row>
    <row r="103" spans="1:18" x14ac:dyDescent="0.35">
      <c r="A103" t="s">
        <v>56</v>
      </c>
      <c r="B103" t="s">
        <v>57</v>
      </c>
      <c r="C103" t="s">
        <v>58</v>
      </c>
      <c r="D103">
        <v>107221237</v>
      </c>
      <c r="E103" t="s">
        <v>89</v>
      </c>
      <c r="F103" t="s">
        <v>72</v>
      </c>
      <c r="G103">
        <v>0.59</v>
      </c>
      <c r="H103">
        <v>7.97</v>
      </c>
      <c r="I103">
        <v>0.03</v>
      </c>
      <c r="J103">
        <v>0</v>
      </c>
      <c r="K103">
        <v>8.59</v>
      </c>
      <c r="L103" t="s">
        <v>61</v>
      </c>
      <c r="M103">
        <v>265</v>
      </c>
      <c r="N103">
        <v>30.86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58</v>
      </c>
      <c r="D104">
        <v>107221237</v>
      </c>
      <c r="E104" t="s">
        <v>89</v>
      </c>
      <c r="F104" t="s">
        <v>72</v>
      </c>
      <c r="G104">
        <v>0.59</v>
      </c>
      <c r="H104">
        <v>7.97</v>
      </c>
      <c r="I104">
        <v>0.03</v>
      </c>
      <c r="J104">
        <v>0</v>
      </c>
      <c r="K104">
        <v>8.59</v>
      </c>
      <c r="L104" t="s">
        <v>61</v>
      </c>
      <c r="M104">
        <v>265</v>
      </c>
      <c r="N104">
        <v>30.86</v>
      </c>
      <c r="O104" t="s">
        <v>62</v>
      </c>
      <c r="P104" t="s">
        <v>67</v>
      </c>
      <c r="Q104">
        <v>2617</v>
      </c>
      <c r="R104">
        <v>304.77999999999997</v>
      </c>
    </row>
    <row r="105" spans="1:18" x14ac:dyDescent="0.35">
      <c r="A105" t="s">
        <v>56</v>
      </c>
      <c r="B105" t="s">
        <v>57</v>
      </c>
      <c r="C105" t="s">
        <v>58</v>
      </c>
      <c r="D105">
        <v>107221237</v>
      </c>
      <c r="E105" t="s">
        <v>89</v>
      </c>
      <c r="F105" t="s">
        <v>72</v>
      </c>
      <c r="G105">
        <v>0.59</v>
      </c>
      <c r="H105">
        <v>7.97</v>
      </c>
      <c r="I105">
        <v>0.03</v>
      </c>
      <c r="J105">
        <v>0</v>
      </c>
      <c r="K105">
        <v>8.59</v>
      </c>
      <c r="L105" t="s">
        <v>61</v>
      </c>
      <c r="M105">
        <v>265</v>
      </c>
      <c r="N105">
        <v>30.86</v>
      </c>
      <c r="O105" t="s">
        <v>68</v>
      </c>
      <c r="P105" t="s">
        <v>67</v>
      </c>
      <c r="Q105">
        <v>265</v>
      </c>
      <c r="R105">
        <v>30.86</v>
      </c>
    </row>
    <row r="106" spans="1:18" x14ac:dyDescent="0.35">
      <c r="A106" t="s">
        <v>56</v>
      </c>
      <c r="B106" t="s">
        <v>57</v>
      </c>
      <c r="C106" t="s">
        <v>58</v>
      </c>
      <c r="D106">
        <v>107221237</v>
      </c>
      <c r="E106" t="s">
        <v>89</v>
      </c>
      <c r="F106" t="s">
        <v>72</v>
      </c>
      <c r="G106">
        <v>0.59</v>
      </c>
      <c r="H106">
        <v>7.97</v>
      </c>
      <c r="I106">
        <v>0.03</v>
      </c>
      <c r="J106">
        <v>0</v>
      </c>
      <c r="K106">
        <v>8.59</v>
      </c>
      <c r="L106" t="s">
        <v>61</v>
      </c>
      <c r="M106">
        <v>265</v>
      </c>
      <c r="N106">
        <v>30.86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107228984</v>
      </c>
      <c r="E107" t="s">
        <v>529</v>
      </c>
      <c r="F107" t="s">
        <v>60</v>
      </c>
      <c r="G107">
        <v>0.34</v>
      </c>
      <c r="H107">
        <v>9.6</v>
      </c>
      <c r="I107">
        <v>0.06</v>
      </c>
      <c r="J107">
        <v>0</v>
      </c>
      <c r="K107">
        <v>10</v>
      </c>
      <c r="L107" t="s">
        <v>61</v>
      </c>
      <c r="M107">
        <v>424</v>
      </c>
      <c r="N107">
        <v>42.4</v>
      </c>
      <c r="O107" t="s">
        <v>62</v>
      </c>
      <c r="P107" t="s">
        <v>63</v>
      </c>
      <c r="Q107">
        <v>562</v>
      </c>
      <c r="R107">
        <v>1665.19</v>
      </c>
    </row>
    <row r="108" spans="1:18" x14ac:dyDescent="0.35">
      <c r="A108" t="s">
        <v>56</v>
      </c>
      <c r="B108" t="s">
        <v>57</v>
      </c>
      <c r="C108" t="s">
        <v>70</v>
      </c>
      <c r="D108">
        <v>107228984</v>
      </c>
      <c r="E108" t="s">
        <v>529</v>
      </c>
      <c r="F108" t="s">
        <v>60</v>
      </c>
      <c r="G108">
        <v>0.34</v>
      </c>
      <c r="H108">
        <v>9.6</v>
      </c>
      <c r="I108">
        <v>0.06</v>
      </c>
      <c r="J108">
        <v>0</v>
      </c>
      <c r="K108">
        <v>10</v>
      </c>
      <c r="L108" t="s">
        <v>61</v>
      </c>
      <c r="M108">
        <v>424</v>
      </c>
      <c r="N108">
        <v>42.4</v>
      </c>
      <c r="O108" t="s">
        <v>62</v>
      </c>
      <c r="P108" t="s">
        <v>64</v>
      </c>
      <c r="Q108">
        <v>3262</v>
      </c>
      <c r="R108">
        <v>339.64</v>
      </c>
    </row>
    <row r="109" spans="1:18" x14ac:dyDescent="0.35">
      <c r="A109" t="s">
        <v>56</v>
      </c>
      <c r="B109" t="s">
        <v>57</v>
      </c>
      <c r="C109" t="s">
        <v>70</v>
      </c>
      <c r="D109">
        <v>107228984</v>
      </c>
      <c r="E109" t="s">
        <v>529</v>
      </c>
      <c r="F109" t="s">
        <v>60</v>
      </c>
      <c r="G109">
        <v>0.34</v>
      </c>
      <c r="H109">
        <v>9.6</v>
      </c>
      <c r="I109">
        <v>0.06</v>
      </c>
      <c r="J109">
        <v>0</v>
      </c>
      <c r="K109">
        <v>10</v>
      </c>
      <c r="L109" t="s">
        <v>61</v>
      </c>
      <c r="M109">
        <v>424</v>
      </c>
      <c r="N109">
        <v>42.4</v>
      </c>
      <c r="O109" t="s">
        <v>62</v>
      </c>
      <c r="P109" t="s">
        <v>65</v>
      </c>
      <c r="Q109">
        <v>18</v>
      </c>
      <c r="R109">
        <v>311.54000000000002</v>
      </c>
    </row>
    <row r="110" spans="1:18" x14ac:dyDescent="0.35">
      <c r="A110" t="s">
        <v>56</v>
      </c>
      <c r="B110" t="s">
        <v>57</v>
      </c>
      <c r="C110" t="s">
        <v>70</v>
      </c>
      <c r="D110">
        <v>107228984</v>
      </c>
      <c r="E110" t="s">
        <v>529</v>
      </c>
      <c r="F110" t="s">
        <v>60</v>
      </c>
      <c r="G110">
        <v>0.34</v>
      </c>
      <c r="H110">
        <v>9.6</v>
      </c>
      <c r="I110">
        <v>0.06</v>
      </c>
      <c r="J110">
        <v>0</v>
      </c>
      <c r="K110">
        <v>10</v>
      </c>
      <c r="L110" t="s">
        <v>61</v>
      </c>
      <c r="M110">
        <v>424</v>
      </c>
      <c r="N110">
        <v>42.4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107228984</v>
      </c>
      <c r="E111" t="s">
        <v>529</v>
      </c>
      <c r="F111" t="s">
        <v>60</v>
      </c>
      <c r="G111">
        <v>0.34</v>
      </c>
      <c r="H111">
        <v>9.6</v>
      </c>
      <c r="I111">
        <v>0.06</v>
      </c>
      <c r="J111">
        <v>0</v>
      </c>
      <c r="K111">
        <v>10</v>
      </c>
      <c r="L111" t="s">
        <v>61</v>
      </c>
      <c r="M111">
        <v>424</v>
      </c>
      <c r="N111">
        <v>42.4</v>
      </c>
      <c r="O111" t="s">
        <v>62</v>
      </c>
      <c r="P111" t="s">
        <v>67</v>
      </c>
      <c r="Q111">
        <v>3842</v>
      </c>
      <c r="R111">
        <v>384.2</v>
      </c>
    </row>
    <row r="112" spans="1:18" x14ac:dyDescent="0.35">
      <c r="A112" t="s">
        <v>56</v>
      </c>
      <c r="B112" t="s">
        <v>57</v>
      </c>
      <c r="C112" t="s">
        <v>70</v>
      </c>
      <c r="D112">
        <v>107228984</v>
      </c>
      <c r="E112" t="s">
        <v>529</v>
      </c>
      <c r="F112" t="s">
        <v>60</v>
      </c>
      <c r="G112">
        <v>0.34</v>
      </c>
      <c r="H112">
        <v>9.6</v>
      </c>
      <c r="I112">
        <v>0.06</v>
      </c>
      <c r="J112">
        <v>0</v>
      </c>
      <c r="K112">
        <v>10</v>
      </c>
      <c r="L112" t="s">
        <v>61</v>
      </c>
      <c r="M112">
        <v>424</v>
      </c>
      <c r="N112">
        <v>42.4</v>
      </c>
      <c r="O112" t="s">
        <v>68</v>
      </c>
      <c r="P112" t="s">
        <v>67</v>
      </c>
      <c r="Q112">
        <v>424</v>
      </c>
      <c r="R112">
        <v>42.4</v>
      </c>
    </row>
    <row r="113" spans="1:18" x14ac:dyDescent="0.35">
      <c r="A113" t="s">
        <v>56</v>
      </c>
      <c r="B113" t="s">
        <v>57</v>
      </c>
      <c r="C113" t="s">
        <v>70</v>
      </c>
      <c r="D113">
        <v>107228984</v>
      </c>
      <c r="E113" t="s">
        <v>529</v>
      </c>
      <c r="F113" t="s">
        <v>60</v>
      </c>
      <c r="G113">
        <v>0.34</v>
      </c>
      <c r="H113">
        <v>9.6</v>
      </c>
      <c r="I113">
        <v>0.06</v>
      </c>
      <c r="J113">
        <v>0</v>
      </c>
      <c r="K113">
        <v>10</v>
      </c>
      <c r="L113" t="s">
        <v>61</v>
      </c>
      <c r="M113">
        <v>424</v>
      </c>
      <c r="N113">
        <v>42.4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107229417</v>
      </c>
      <c r="E114" t="s">
        <v>565</v>
      </c>
      <c r="F114" t="s">
        <v>60</v>
      </c>
      <c r="G114">
        <v>1.07</v>
      </c>
      <c r="H114">
        <v>8.8699999999999992</v>
      </c>
      <c r="I114">
        <v>0.06</v>
      </c>
      <c r="J114">
        <v>0</v>
      </c>
      <c r="K114">
        <v>10</v>
      </c>
      <c r="L114" t="s">
        <v>61</v>
      </c>
      <c r="M114">
        <v>383</v>
      </c>
      <c r="N114">
        <v>38.299999999999997</v>
      </c>
      <c r="O114" t="s">
        <v>62</v>
      </c>
      <c r="P114" t="s">
        <v>63</v>
      </c>
      <c r="Q114">
        <v>1572</v>
      </c>
      <c r="R114">
        <v>1467.63</v>
      </c>
    </row>
    <row r="115" spans="1:18" x14ac:dyDescent="0.35">
      <c r="A115" t="s">
        <v>56</v>
      </c>
      <c r="B115" t="s">
        <v>57</v>
      </c>
      <c r="C115" t="s">
        <v>70</v>
      </c>
      <c r="D115">
        <v>107229417</v>
      </c>
      <c r="E115" t="s">
        <v>565</v>
      </c>
      <c r="F115" t="s">
        <v>60</v>
      </c>
      <c r="G115">
        <v>1.07</v>
      </c>
      <c r="H115">
        <v>8.8699999999999992</v>
      </c>
      <c r="I115">
        <v>0.06</v>
      </c>
      <c r="J115">
        <v>0</v>
      </c>
      <c r="K115">
        <v>10</v>
      </c>
      <c r="L115" t="s">
        <v>61</v>
      </c>
      <c r="M115">
        <v>383</v>
      </c>
      <c r="N115">
        <v>38.299999999999997</v>
      </c>
      <c r="O115" t="s">
        <v>62</v>
      </c>
      <c r="P115" t="s">
        <v>64</v>
      </c>
      <c r="Q115">
        <v>2657</v>
      </c>
      <c r="R115">
        <v>299.54000000000002</v>
      </c>
    </row>
    <row r="116" spans="1:18" x14ac:dyDescent="0.35">
      <c r="A116" t="s">
        <v>56</v>
      </c>
      <c r="B116" t="s">
        <v>57</v>
      </c>
      <c r="C116" t="s">
        <v>70</v>
      </c>
      <c r="D116">
        <v>107229417</v>
      </c>
      <c r="E116" t="s">
        <v>565</v>
      </c>
      <c r="F116" t="s">
        <v>60</v>
      </c>
      <c r="G116">
        <v>1.07</v>
      </c>
      <c r="H116">
        <v>8.8699999999999992</v>
      </c>
      <c r="I116">
        <v>0.06</v>
      </c>
      <c r="J116">
        <v>0</v>
      </c>
      <c r="K116">
        <v>10</v>
      </c>
      <c r="L116" t="s">
        <v>61</v>
      </c>
      <c r="M116">
        <v>383</v>
      </c>
      <c r="N116">
        <v>38.299999999999997</v>
      </c>
      <c r="O116" t="s">
        <v>62</v>
      </c>
      <c r="P116" t="s">
        <v>65</v>
      </c>
      <c r="Q116">
        <v>16</v>
      </c>
      <c r="R116">
        <v>275.60000000000002</v>
      </c>
    </row>
    <row r="117" spans="1:18" x14ac:dyDescent="0.35">
      <c r="A117" t="s">
        <v>56</v>
      </c>
      <c r="B117" t="s">
        <v>57</v>
      </c>
      <c r="C117" t="s">
        <v>70</v>
      </c>
      <c r="D117">
        <v>107229417</v>
      </c>
      <c r="E117" t="s">
        <v>565</v>
      </c>
      <c r="F117" t="s">
        <v>60</v>
      </c>
      <c r="G117">
        <v>1.07</v>
      </c>
      <c r="H117">
        <v>8.8699999999999992</v>
      </c>
      <c r="I117">
        <v>0.06</v>
      </c>
      <c r="J117">
        <v>0</v>
      </c>
      <c r="K117">
        <v>10</v>
      </c>
      <c r="L117" t="s">
        <v>61</v>
      </c>
      <c r="M117">
        <v>383</v>
      </c>
      <c r="N117">
        <v>38.299999999999997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70</v>
      </c>
      <c r="D118">
        <v>107229417</v>
      </c>
      <c r="E118" t="s">
        <v>565</v>
      </c>
      <c r="F118" t="s">
        <v>60</v>
      </c>
      <c r="G118">
        <v>1.07</v>
      </c>
      <c r="H118">
        <v>8.8699999999999992</v>
      </c>
      <c r="I118">
        <v>0.06</v>
      </c>
      <c r="J118">
        <v>0</v>
      </c>
      <c r="K118">
        <v>10</v>
      </c>
      <c r="L118" t="s">
        <v>61</v>
      </c>
      <c r="M118">
        <v>383</v>
      </c>
      <c r="N118">
        <v>38.299999999999997</v>
      </c>
      <c r="O118" t="s">
        <v>62</v>
      </c>
      <c r="P118" t="s">
        <v>67</v>
      </c>
      <c r="Q118">
        <v>4245</v>
      </c>
      <c r="R118">
        <v>424.5</v>
      </c>
    </row>
    <row r="119" spans="1:18" x14ac:dyDescent="0.35">
      <c r="A119" t="s">
        <v>56</v>
      </c>
      <c r="B119" t="s">
        <v>57</v>
      </c>
      <c r="C119" t="s">
        <v>70</v>
      </c>
      <c r="D119">
        <v>107229417</v>
      </c>
      <c r="E119" t="s">
        <v>565</v>
      </c>
      <c r="F119" t="s">
        <v>60</v>
      </c>
      <c r="G119">
        <v>1.07</v>
      </c>
      <c r="H119">
        <v>8.8699999999999992</v>
      </c>
      <c r="I119">
        <v>0.06</v>
      </c>
      <c r="J119">
        <v>0</v>
      </c>
      <c r="K119">
        <v>10</v>
      </c>
      <c r="L119" t="s">
        <v>61</v>
      </c>
      <c r="M119">
        <v>383</v>
      </c>
      <c r="N119">
        <v>38.299999999999997</v>
      </c>
      <c r="O119" t="s">
        <v>68</v>
      </c>
      <c r="P119" t="s">
        <v>67</v>
      </c>
      <c r="Q119">
        <v>383</v>
      </c>
      <c r="R119">
        <v>38.299999999999997</v>
      </c>
    </row>
    <row r="120" spans="1:18" x14ac:dyDescent="0.35">
      <c r="A120" t="s">
        <v>56</v>
      </c>
      <c r="B120" t="s">
        <v>57</v>
      </c>
      <c r="C120" t="s">
        <v>70</v>
      </c>
      <c r="D120">
        <v>107229417</v>
      </c>
      <c r="E120" t="s">
        <v>565</v>
      </c>
      <c r="F120" t="s">
        <v>60</v>
      </c>
      <c r="G120">
        <v>1.07</v>
      </c>
      <c r="H120">
        <v>8.8699999999999992</v>
      </c>
      <c r="I120">
        <v>0.06</v>
      </c>
      <c r="J120">
        <v>0</v>
      </c>
      <c r="K120">
        <v>10</v>
      </c>
      <c r="L120" t="s">
        <v>61</v>
      </c>
      <c r="M120">
        <v>383</v>
      </c>
      <c r="N120">
        <v>38.299999999999997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107232917</v>
      </c>
      <c r="E121" t="s">
        <v>530</v>
      </c>
      <c r="F121" t="s">
        <v>72</v>
      </c>
      <c r="G121">
        <v>0.28000000000000003</v>
      </c>
      <c r="H121">
        <v>7.93</v>
      </c>
      <c r="I121">
        <v>0</v>
      </c>
      <c r="J121">
        <v>0</v>
      </c>
      <c r="K121">
        <v>8.2100000000000009</v>
      </c>
      <c r="L121" t="s">
        <v>61</v>
      </c>
      <c r="M121">
        <v>350</v>
      </c>
      <c r="N121">
        <v>42.64</v>
      </c>
      <c r="O121" t="s">
        <v>62</v>
      </c>
      <c r="P121" t="s">
        <v>63</v>
      </c>
      <c r="Q121">
        <v>496</v>
      </c>
      <c r="R121">
        <v>1776.72</v>
      </c>
    </row>
    <row r="122" spans="1:18" x14ac:dyDescent="0.35">
      <c r="A122" t="s">
        <v>56</v>
      </c>
      <c r="B122" t="s">
        <v>57</v>
      </c>
      <c r="C122" t="s">
        <v>70</v>
      </c>
      <c r="D122">
        <v>107232917</v>
      </c>
      <c r="E122" t="s">
        <v>530</v>
      </c>
      <c r="F122" t="s">
        <v>72</v>
      </c>
      <c r="G122">
        <v>0.28000000000000003</v>
      </c>
      <c r="H122">
        <v>7.93</v>
      </c>
      <c r="I122">
        <v>0</v>
      </c>
      <c r="J122">
        <v>0</v>
      </c>
      <c r="K122">
        <v>8.2100000000000009</v>
      </c>
      <c r="L122" t="s">
        <v>61</v>
      </c>
      <c r="M122">
        <v>350</v>
      </c>
      <c r="N122">
        <v>42.64</v>
      </c>
      <c r="O122" t="s">
        <v>62</v>
      </c>
      <c r="P122" t="s">
        <v>64</v>
      </c>
      <c r="Q122">
        <v>2874</v>
      </c>
      <c r="R122">
        <v>362.51</v>
      </c>
    </row>
    <row r="123" spans="1:18" x14ac:dyDescent="0.35">
      <c r="A123" t="s">
        <v>56</v>
      </c>
      <c r="B123" t="s">
        <v>57</v>
      </c>
      <c r="C123" t="s">
        <v>70</v>
      </c>
      <c r="D123">
        <v>107232917</v>
      </c>
      <c r="E123" t="s">
        <v>530</v>
      </c>
      <c r="F123" t="s">
        <v>72</v>
      </c>
      <c r="G123">
        <v>0.28000000000000003</v>
      </c>
      <c r="H123">
        <v>7.93</v>
      </c>
      <c r="I123">
        <v>0</v>
      </c>
      <c r="J123">
        <v>0</v>
      </c>
      <c r="K123">
        <v>8.2100000000000009</v>
      </c>
      <c r="L123" t="s">
        <v>61</v>
      </c>
      <c r="M123">
        <v>350</v>
      </c>
      <c r="N123">
        <v>42.64</v>
      </c>
      <c r="O123" t="s">
        <v>62</v>
      </c>
      <c r="P123" t="s">
        <v>65</v>
      </c>
      <c r="Q123">
        <v>0</v>
      </c>
      <c r="R123">
        <v>0</v>
      </c>
    </row>
    <row r="124" spans="1:18" x14ac:dyDescent="0.35">
      <c r="A124" t="s">
        <v>56</v>
      </c>
      <c r="B124" t="s">
        <v>57</v>
      </c>
      <c r="C124" t="s">
        <v>70</v>
      </c>
      <c r="D124">
        <v>107232917</v>
      </c>
      <c r="E124" t="s">
        <v>530</v>
      </c>
      <c r="F124" t="s">
        <v>72</v>
      </c>
      <c r="G124">
        <v>0.28000000000000003</v>
      </c>
      <c r="H124">
        <v>7.93</v>
      </c>
      <c r="I124">
        <v>0</v>
      </c>
      <c r="J124">
        <v>0</v>
      </c>
      <c r="K124">
        <v>8.2100000000000009</v>
      </c>
      <c r="L124" t="s">
        <v>61</v>
      </c>
      <c r="M124">
        <v>350</v>
      </c>
      <c r="N124">
        <v>42.64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107232917</v>
      </c>
      <c r="E125" t="s">
        <v>530</v>
      </c>
      <c r="F125" t="s">
        <v>72</v>
      </c>
      <c r="G125">
        <v>0.28000000000000003</v>
      </c>
      <c r="H125">
        <v>7.93</v>
      </c>
      <c r="I125">
        <v>0</v>
      </c>
      <c r="J125">
        <v>0</v>
      </c>
      <c r="K125">
        <v>8.2100000000000009</v>
      </c>
      <c r="L125" t="s">
        <v>61</v>
      </c>
      <c r="M125">
        <v>350</v>
      </c>
      <c r="N125">
        <v>42.64</v>
      </c>
      <c r="O125" t="s">
        <v>62</v>
      </c>
      <c r="P125" t="s">
        <v>67</v>
      </c>
      <c r="Q125">
        <v>3370</v>
      </c>
      <c r="R125">
        <v>410.6</v>
      </c>
    </row>
    <row r="126" spans="1:18" x14ac:dyDescent="0.35">
      <c r="A126" t="s">
        <v>56</v>
      </c>
      <c r="B126" t="s">
        <v>57</v>
      </c>
      <c r="C126" t="s">
        <v>70</v>
      </c>
      <c r="D126">
        <v>107232917</v>
      </c>
      <c r="E126" t="s">
        <v>530</v>
      </c>
      <c r="F126" t="s">
        <v>72</v>
      </c>
      <c r="G126">
        <v>0.28000000000000003</v>
      </c>
      <c r="H126">
        <v>7.93</v>
      </c>
      <c r="I126">
        <v>0</v>
      </c>
      <c r="J126">
        <v>0</v>
      </c>
      <c r="K126">
        <v>8.2100000000000009</v>
      </c>
      <c r="L126" t="s">
        <v>61</v>
      </c>
      <c r="M126">
        <v>350</v>
      </c>
      <c r="N126">
        <v>42.64</v>
      </c>
      <c r="O126" t="s">
        <v>68</v>
      </c>
      <c r="P126" t="s">
        <v>67</v>
      </c>
      <c r="Q126">
        <v>346</v>
      </c>
      <c r="R126">
        <v>42.16</v>
      </c>
    </row>
    <row r="127" spans="1:18" x14ac:dyDescent="0.35">
      <c r="A127" t="s">
        <v>56</v>
      </c>
      <c r="B127" t="s">
        <v>57</v>
      </c>
      <c r="C127" t="s">
        <v>70</v>
      </c>
      <c r="D127">
        <v>107232917</v>
      </c>
      <c r="E127" t="s">
        <v>530</v>
      </c>
      <c r="F127" t="s">
        <v>72</v>
      </c>
      <c r="G127">
        <v>0.28000000000000003</v>
      </c>
      <c r="H127">
        <v>7.93</v>
      </c>
      <c r="I127">
        <v>0</v>
      </c>
      <c r="J127">
        <v>0</v>
      </c>
      <c r="K127">
        <v>8.2100000000000009</v>
      </c>
      <c r="L127" t="s">
        <v>61</v>
      </c>
      <c r="M127">
        <v>350</v>
      </c>
      <c r="N127">
        <v>42.64</v>
      </c>
      <c r="O127" t="s">
        <v>69</v>
      </c>
      <c r="P127" t="s">
        <v>67</v>
      </c>
      <c r="Q127">
        <v>4</v>
      </c>
      <c r="R127">
        <v>0.49</v>
      </c>
    </row>
    <row r="128" spans="1:18" x14ac:dyDescent="0.35">
      <c r="A128" t="s">
        <v>56</v>
      </c>
      <c r="B128" t="s">
        <v>57</v>
      </c>
      <c r="C128" t="s">
        <v>70</v>
      </c>
      <c r="D128">
        <v>107232968</v>
      </c>
      <c r="E128" t="s">
        <v>552</v>
      </c>
      <c r="F128" t="s">
        <v>72</v>
      </c>
      <c r="G128">
        <v>0.09</v>
      </c>
      <c r="H128">
        <v>9.5</v>
      </c>
      <c r="I128">
        <v>0</v>
      </c>
      <c r="J128">
        <v>0</v>
      </c>
      <c r="K128">
        <v>9.59</v>
      </c>
      <c r="L128" t="s">
        <v>61</v>
      </c>
      <c r="M128">
        <v>602</v>
      </c>
      <c r="N128">
        <v>62.79</v>
      </c>
      <c r="O128" t="s">
        <v>62</v>
      </c>
      <c r="P128" t="s">
        <v>63</v>
      </c>
      <c r="Q128">
        <v>194</v>
      </c>
      <c r="R128">
        <v>2274.92</v>
      </c>
    </row>
    <row r="129" spans="1:18" x14ac:dyDescent="0.35">
      <c r="A129" t="s">
        <v>56</v>
      </c>
      <c r="B129" t="s">
        <v>57</v>
      </c>
      <c r="C129" t="s">
        <v>70</v>
      </c>
      <c r="D129">
        <v>107232968</v>
      </c>
      <c r="E129" t="s">
        <v>552</v>
      </c>
      <c r="F129" t="s">
        <v>72</v>
      </c>
      <c r="G129">
        <v>0.09</v>
      </c>
      <c r="H129">
        <v>9.5</v>
      </c>
      <c r="I129">
        <v>0</v>
      </c>
      <c r="J129">
        <v>0</v>
      </c>
      <c r="K129">
        <v>9.59</v>
      </c>
      <c r="L129" t="s">
        <v>61</v>
      </c>
      <c r="M129">
        <v>602</v>
      </c>
      <c r="N129">
        <v>62.79</v>
      </c>
      <c r="O129" t="s">
        <v>62</v>
      </c>
      <c r="P129" t="s">
        <v>64</v>
      </c>
      <c r="Q129">
        <v>4410</v>
      </c>
      <c r="R129">
        <v>464.1</v>
      </c>
    </row>
    <row r="130" spans="1:18" x14ac:dyDescent="0.35">
      <c r="A130" t="s">
        <v>56</v>
      </c>
      <c r="B130" t="s">
        <v>57</v>
      </c>
      <c r="C130" t="s">
        <v>70</v>
      </c>
      <c r="D130">
        <v>107232968</v>
      </c>
      <c r="E130" t="s">
        <v>552</v>
      </c>
      <c r="F130" t="s">
        <v>72</v>
      </c>
      <c r="G130">
        <v>0.09</v>
      </c>
      <c r="H130">
        <v>9.5</v>
      </c>
      <c r="I130">
        <v>0</v>
      </c>
      <c r="J130">
        <v>0</v>
      </c>
      <c r="K130">
        <v>9.59</v>
      </c>
      <c r="L130" t="s">
        <v>61</v>
      </c>
      <c r="M130">
        <v>602</v>
      </c>
      <c r="N130">
        <v>62.79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107232968</v>
      </c>
      <c r="E131" t="s">
        <v>552</v>
      </c>
      <c r="F131" t="s">
        <v>72</v>
      </c>
      <c r="G131">
        <v>0.09</v>
      </c>
      <c r="H131">
        <v>9.5</v>
      </c>
      <c r="I131">
        <v>0</v>
      </c>
      <c r="J131">
        <v>0</v>
      </c>
      <c r="K131">
        <v>9.59</v>
      </c>
      <c r="L131" t="s">
        <v>61</v>
      </c>
      <c r="M131">
        <v>602</v>
      </c>
      <c r="N131">
        <v>62.79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107232968</v>
      </c>
      <c r="E132" t="s">
        <v>552</v>
      </c>
      <c r="F132" t="s">
        <v>72</v>
      </c>
      <c r="G132">
        <v>0.09</v>
      </c>
      <c r="H132">
        <v>9.5</v>
      </c>
      <c r="I132">
        <v>0</v>
      </c>
      <c r="J132">
        <v>0</v>
      </c>
      <c r="K132">
        <v>9.59</v>
      </c>
      <c r="L132" t="s">
        <v>61</v>
      </c>
      <c r="M132">
        <v>602</v>
      </c>
      <c r="N132">
        <v>62.79</v>
      </c>
      <c r="O132" t="s">
        <v>62</v>
      </c>
      <c r="P132" t="s">
        <v>67</v>
      </c>
      <c r="Q132">
        <v>4604</v>
      </c>
      <c r="R132">
        <v>480.19</v>
      </c>
    </row>
    <row r="133" spans="1:18" x14ac:dyDescent="0.35">
      <c r="A133" t="s">
        <v>56</v>
      </c>
      <c r="B133" t="s">
        <v>57</v>
      </c>
      <c r="C133" t="s">
        <v>70</v>
      </c>
      <c r="D133">
        <v>107232968</v>
      </c>
      <c r="E133" t="s">
        <v>552</v>
      </c>
      <c r="F133" t="s">
        <v>72</v>
      </c>
      <c r="G133">
        <v>0.09</v>
      </c>
      <c r="H133">
        <v>9.5</v>
      </c>
      <c r="I133">
        <v>0</v>
      </c>
      <c r="J133">
        <v>0</v>
      </c>
      <c r="K133">
        <v>9.59</v>
      </c>
      <c r="L133" t="s">
        <v>61</v>
      </c>
      <c r="M133">
        <v>602</v>
      </c>
      <c r="N133">
        <v>62.79</v>
      </c>
      <c r="O133" t="s">
        <v>68</v>
      </c>
      <c r="P133" t="s">
        <v>67</v>
      </c>
      <c r="Q133">
        <v>602</v>
      </c>
      <c r="R133">
        <v>62.79</v>
      </c>
    </row>
    <row r="134" spans="1:18" x14ac:dyDescent="0.35">
      <c r="A134" t="s">
        <v>56</v>
      </c>
      <c r="B134" t="s">
        <v>57</v>
      </c>
      <c r="C134" t="s">
        <v>70</v>
      </c>
      <c r="D134">
        <v>107232968</v>
      </c>
      <c r="E134" t="s">
        <v>552</v>
      </c>
      <c r="F134" t="s">
        <v>72</v>
      </c>
      <c r="G134">
        <v>0.09</v>
      </c>
      <c r="H134">
        <v>9.5</v>
      </c>
      <c r="I134">
        <v>0</v>
      </c>
      <c r="J134">
        <v>0</v>
      </c>
      <c r="K134">
        <v>9.59</v>
      </c>
      <c r="L134" t="s">
        <v>61</v>
      </c>
      <c r="M134">
        <v>602</v>
      </c>
      <c r="N134">
        <v>62.79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107232971</v>
      </c>
      <c r="E135" t="s">
        <v>531</v>
      </c>
      <c r="F135" t="s">
        <v>72</v>
      </c>
      <c r="G135">
        <v>0.3</v>
      </c>
      <c r="H135">
        <v>9.52</v>
      </c>
      <c r="I135">
        <v>0</v>
      </c>
      <c r="J135">
        <v>0</v>
      </c>
      <c r="K135">
        <v>9.82</v>
      </c>
      <c r="L135" t="s">
        <v>61</v>
      </c>
      <c r="M135">
        <v>457</v>
      </c>
      <c r="N135">
        <v>46.54</v>
      </c>
      <c r="O135" t="s">
        <v>62</v>
      </c>
      <c r="P135" t="s">
        <v>63</v>
      </c>
      <c r="Q135">
        <v>389</v>
      </c>
      <c r="R135">
        <v>1295.47</v>
      </c>
    </row>
    <row r="136" spans="1:18" x14ac:dyDescent="0.35">
      <c r="A136" t="s">
        <v>56</v>
      </c>
      <c r="B136" t="s">
        <v>57</v>
      </c>
      <c r="C136" t="s">
        <v>70</v>
      </c>
      <c r="D136">
        <v>107232971</v>
      </c>
      <c r="E136" t="s">
        <v>531</v>
      </c>
      <c r="F136" t="s">
        <v>72</v>
      </c>
      <c r="G136">
        <v>0.3</v>
      </c>
      <c r="H136">
        <v>9.52</v>
      </c>
      <c r="I136">
        <v>0</v>
      </c>
      <c r="J136">
        <v>0</v>
      </c>
      <c r="K136">
        <v>9.82</v>
      </c>
      <c r="L136" t="s">
        <v>61</v>
      </c>
      <c r="M136">
        <v>457</v>
      </c>
      <c r="N136">
        <v>46.54</v>
      </c>
      <c r="O136" t="s">
        <v>62</v>
      </c>
      <c r="P136" t="s">
        <v>64</v>
      </c>
      <c r="Q136">
        <v>2516</v>
      </c>
      <c r="R136">
        <v>264.31</v>
      </c>
    </row>
    <row r="137" spans="1:18" x14ac:dyDescent="0.35">
      <c r="A137" t="s">
        <v>56</v>
      </c>
      <c r="B137" t="s">
        <v>57</v>
      </c>
      <c r="C137" t="s">
        <v>70</v>
      </c>
      <c r="D137">
        <v>107232971</v>
      </c>
      <c r="E137" t="s">
        <v>531</v>
      </c>
      <c r="F137" t="s">
        <v>72</v>
      </c>
      <c r="G137">
        <v>0.3</v>
      </c>
      <c r="H137">
        <v>9.52</v>
      </c>
      <c r="I137">
        <v>0</v>
      </c>
      <c r="J137">
        <v>0</v>
      </c>
      <c r="K137">
        <v>9.82</v>
      </c>
      <c r="L137" t="s">
        <v>61</v>
      </c>
      <c r="M137">
        <v>457</v>
      </c>
      <c r="N137">
        <v>46.54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107232971</v>
      </c>
      <c r="E138" t="s">
        <v>531</v>
      </c>
      <c r="F138" t="s">
        <v>72</v>
      </c>
      <c r="G138">
        <v>0.3</v>
      </c>
      <c r="H138">
        <v>9.52</v>
      </c>
      <c r="I138">
        <v>0</v>
      </c>
      <c r="J138">
        <v>0</v>
      </c>
      <c r="K138">
        <v>9.82</v>
      </c>
      <c r="L138" t="s">
        <v>61</v>
      </c>
      <c r="M138">
        <v>457</v>
      </c>
      <c r="N138">
        <v>46.54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107232971</v>
      </c>
      <c r="E139" t="s">
        <v>531</v>
      </c>
      <c r="F139" t="s">
        <v>72</v>
      </c>
      <c r="G139">
        <v>0.3</v>
      </c>
      <c r="H139">
        <v>9.52</v>
      </c>
      <c r="I139">
        <v>0</v>
      </c>
      <c r="J139">
        <v>0</v>
      </c>
      <c r="K139">
        <v>9.82</v>
      </c>
      <c r="L139" t="s">
        <v>61</v>
      </c>
      <c r="M139">
        <v>457</v>
      </c>
      <c r="N139">
        <v>46.54</v>
      </c>
      <c r="O139" t="s">
        <v>62</v>
      </c>
      <c r="P139" t="s">
        <v>67</v>
      </c>
      <c r="Q139">
        <v>2905</v>
      </c>
      <c r="R139">
        <v>295.83</v>
      </c>
    </row>
    <row r="140" spans="1:18" x14ac:dyDescent="0.35">
      <c r="A140" t="s">
        <v>56</v>
      </c>
      <c r="B140" t="s">
        <v>57</v>
      </c>
      <c r="C140" t="s">
        <v>70</v>
      </c>
      <c r="D140">
        <v>107232971</v>
      </c>
      <c r="E140" t="s">
        <v>531</v>
      </c>
      <c r="F140" t="s">
        <v>72</v>
      </c>
      <c r="G140">
        <v>0.3</v>
      </c>
      <c r="H140">
        <v>9.52</v>
      </c>
      <c r="I140">
        <v>0</v>
      </c>
      <c r="J140">
        <v>0</v>
      </c>
      <c r="K140">
        <v>9.82</v>
      </c>
      <c r="L140" t="s">
        <v>61</v>
      </c>
      <c r="M140">
        <v>457</v>
      </c>
      <c r="N140">
        <v>46.54</v>
      </c>
      <c r="O140" t="s">
        <v>68</v>
      </c>
      <c r="P140" t="s">
        <v>67</v>
      </c>
      <c r="Q140">
        <v>457</v>
      </c>
      <c r="R140">
        <v>46.54</v>
      </c>
    </row>
    <row r="141" spans="1:18" x14ac:dyDescent="0.35">
      <c r="A141" t="s">
        <v>56</v>
      </c>
      <c r="B141" t="s">
        <v>57</v>
      </c>
      <c r="C141" t="s">
        <v>70</v>
      </c>
      <c r="D141">
        <v>107232971</v>
      </c>
      <c r="E141" t="s">
        <v>531</v>
      </c>
      <c r="F141" t="s">
        <v>72</v>
      </c>
      <c r="G141">
        <v>0.3</v>
      </c>
      <c r="H141">
        <v>9.52</v>
      </c>
      <c r="I141">
        <v>0</v>
      </c>
      <c r="J141">
        <v>0</v>
      </c>
      <c r="K141">
        <v>9.82</v>
      </c>
      <c r="L141" t="s">
        <v>61</v>
      </c>
      <c r="M141">
        <v>457</v>
      </c>
      <c r="N141">
        <v>46.54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107233183</v>
      </c>
      <c r="E142" t="s">
        <v>532</v>
      </c>
      <c r="F142" t="s">
        <v>72</v>
      </c>
      <c r="G142">
        <v>0.73</v>
      </c>
      <c r="H142">
        <v>7.69</v>
      </c>
      <c r="I142">
        <v>0.08</v>
      </c>
      <c r="J142">
        <v>0</v>
      </c>
      <c r="K142">
        <v>8.5</v>
      </c>
      <c r="L142" t="s">
        <v>61</v>
      </c>
      <c r="M142">
        <v>244</v>
      </c>
      <c r="N142">
        <v>28.71</v>
      </c>
      <c r="O142" t="s">
        <v>62</v>
      </c>
      <c r="P142" t="s">
        <v>63</v>
      </c>
      <c r="Q142">
        <v>830</v>
      </c>
      <c r="R142">
        <v>1133.54</v>
      </c>
    </row>
    <row r="143" spans="1:18" x14ac:dyDescent="0.35">
      <c r="A143" t="s">
        <v>56</v>
      </c>
      <c r="B143" t="s">
        <v>57</v>
      </c>
      <c r="C143" t="s">
        <v>70</v>
      </c>
      <c r="D143">
        <v>107233183</v>
      </c>
      <c r="E143" t="s">
        <v>532</v>
      </c>
      <c r="F143" t="s">
        <v>72</v>
      </c>
      <c r="G143">
        <v>0.73</v>
      </c>
      <c r="H143">
        <v>7.69</v>
      </c>
      <c r="I143">
        <v>0.08</v>
      </c>
      <c r="J143">
        <v>0</v>
      </c>
      <c r="K143">
        <v>8.5</v>
      </c>
      <c r="L143" t="s">
        <v>61</v>
      </c>
      <c r="M143">
        <v>244</v>
      </c>
      <c r="N143">
        <v>28.71</v>
      </c>
      <c r="O143" t="s">
        <v>62</v>
      </c>
      <c r="P143" t="s">
        <v>64</v>
      </c>
      <c r="Q143">
        <v>1779</v>
      </c>
      <c r="R143">
        <v>231.28</v>
      </c>
    </row>
    <row r="144" spans="1:18" x14ac:dyDescent="0.35">
      <c r="A144" t="s">
        <v>56</v>
      </c>
      <c r="B144" t="s">
        <v>57</v>
      </c>
      <c r="C144" t="s">
        <v>70</v>
      </c>
      <c r="D144">
        <v>107233183</v>
      </c>
      <c r="E144" t="s">
        <v>532</v>
      </c>
      <c r="F144" t="s">
        <v>72</v>
      </c>
      <c r="G144">
        <v>0.73</v>
      </c>
      <c r="H144">
        <v>7.69</v>
      </c>
      <c r="I144">
        <v>0.08</v>
      </c>
      <c r="J144">
        <v>0</v>
      </c>
      <c r="K144">
        <v>8.5</v>
      </c>
      <c r="L144" t="s">
        <v>61</v>
      </c>
      <c r="M144">
        <v>244</v>
      </c>
      <c r="N144">
        <v>28.71</v>
      </c>
      <c r="O144" t="s">
        <v>62</v>
      </c>
      <c r="P144" t="s">
        <v>65</v>
      </c>
      <c r="Q144">
        <v>16</v>
      </c>
      <c r="R144">
        <v>212.55</v>
      </c>
    </row>
    <row r="145" spans="1:18" x14ac:dyDescent="0.35">
      <c r="A145" t="s">
        <v>56</v>
      </c>
      <c r="B145" t="s">
        <v>57</v>
      </c>
      <c r="C145" t="s">
        <v>70</v>
      </c>
      <c r="D145">
        <v>107233183</v>
      </c>
      <c r="E145" t="s">
        <v>532</v>
      </c>
      <c r="F145" t="s">
        <v>72</v>
      </c>
      <c r="G145">
        <v>0.73</v>
      </c>
      <c r="H145">
        <v>7.69</v>
      </c>
      <c r="I145">
        <v>0.08</v>
      </c>
      <c r="J145">
        <v>0</v>
      </c>
      <c r="K145">
        <v>8.5</v>
      </c>
      <c r="L145" t="s">
        <v>61</v>
      </c>
      <c r="M145">
        <v>244</v>
      </c>
      <c r="N145">
        <v>28.71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107233183</v>
      </c>
      <c r="E146" t="s">
        <v>532</v>
      </c>
      <c r="F146" t="s">
        <v>72</v>
      </c>
      <c r="G146">
        <v>0.73</v>
      </c>
      <c r="H146">
        <v>7.69</v>
      </c>
      <c r="I146">
        <v>0.08</v>
      </c>
      <c r="J146">
        <v>0</v>
      </c>
      <c r="K146">
        <v>8.5</v>
      </c>
      <c r="L146" t="s">
        <v>61</v>
      </c>
      <c r="M146">
        <v>244</v>
      </c>
      <c r="N146">
        <v>28.71</v>
      </c>
      <c r="O146" t="s">
        <v>62</v>
      </c>
      <c r="P146" t="s">
        <v>67</v>
      </c>
      <c r="Q146">
        <v>2625</v>
      </c>
      <c r="R146">
        <v>308.82</v>
      </c>
    </row>
    <row r="147" spans="1:18" x14ac:dyDescent="0.35">
      <c r="A147" t="s">
        <v>56</v>
      </c>
      <c r="B147" t="s">
        <v>57</v>
      </c>
      <c r="C147" t="s">
        <v>70</v>
      </c>
      <c r="D147">
        <v>107233183</v>
      </c>
      <c r="E147" t="s">
        <v>532</v>
      </c>
      <c r="F147" t="s">
        <v>72</v>
      </c>
      <c r="G147">
        <v>0.73</v>
      </c>
      <c r="H147">
        <v>7.69</v>
      </c>
      <c r="I147">
        <v>0.08</v>
      </c>
      <c r="J147">
        <v>0</v>
      </c>
      <c r="K147">
        <v>8.5</v>
      </c>
      <c r="L147" t="s">
        <v>61</v>
      </c>
      <c r="M147">
        <v>244</v>
      </c>
      <c r="N147">
        <v>28.71</v>
      </c>
      <c r="O147" t="s">
        <v>68</v>
      </c>
      <c r="P147" t="s">
        <v>67</v>
      </c>
      <c r="Q147">
        <v>244</v>
      </c>
      <c r="R147">
        <v>28.71</v>
      </c>
    </row>
    <row r="148" spans="1:18" x14ac:dyDescent="0.35">
      <c r="A148" t="s">
        <v>56</v>
      </c>
      <c r="B148" t="s">
        <v>57</v>
      </c>
      <c r="C148" t="s">
        <v>70</v>
      </c>
      <c r="D148">
        <v>107233183</v>
      </c>
      <c r="E148" t="s">
        <v>532</v>
      </c>
      <c r="F148" t="s">
        <v>72</v>
      </c>
      <c r="G148">
        <v>0.73</v>
      </c>
      <c r="H148">
        <v>7.69</v>
      </c>
      <c r="I148">
        <v>0.08</v>
      </c>
      <c r="J148">
        <v>0</v>
      </c>
      <c r="K148">
        <v>8.5</v>
      </c>
      <c r="L148" t="s">
        <v>61</v>
      </c>
      <c r="M148">
        <v>244</v>
      </c>
      <c r="N148">
        <v>28.71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107233197</v>
      </c>
      <c r="E149" t="s">
        <v>553</v>
      </c>
      <c r="F149" t="s">
        <v>72</v>
      </c>
      <c r="G149">
        <v>0.67</v>
      </c>
      <c r="H149">
        <v>4.5</v>
      </c>
      <c r="I149">
        <v>0.14000000000000001</v>
      </c>
      <c r="J149">
        <v>0</v>
      </c>
      <c r="K149">
        <v>5.31</v>
      </c>
      <c r="L149" t="s">
        <v>61</v>
      </c>
      <c r="M149">
        <v>182</v>
      </c>
      <c r="N149">
        <v>34.299999999999997</v>
      </c>
      <c r="O149" t="s">
        <v>62</v>
      </c>
      <c r="P149" t="s">
        <v>63</v>
      </c>
      <c r="Q149">
        <v>768</v>
      </c>
      <c r="R149">
        <v>1140.1199999999999</v>
      </c>
    </row>
    <row r="150" spans="1:18" x14ac:dyDescent="0.35">
      <c r="A150" t="s">
        <v>56</v>
      </c>
      <c r="B150" t="s">
        <v>57</v>
      </c>
      <c r="C150" t="s">
        <v>70</v>
      </c>
      <c r="D150">
        <v>107233197</v>
      </c>
      <c r="E150" t="s">
        <v>553</v>
      </c>
      <c r="F150" t="s">
        <v>72</v>
      </c>
      <c r="G150">
        <v>0.67</v>
      </c>
      <c r="H150">
        <v>4.5</v>
      </c>
      <c r="I150">
        <v>0.14000000000000001</v>
      </c>
      <c r="J150">
        <v>0</v>
      </c>
      <c r="K150">
        <v>5.31</v>
      </c>
      <c r="L150" t="s">
        <v>61</v>
      </c>
      <c r="M150">
        <v>182</v>
      </c>
      <c r="N150">
        <v>34.299999999999997</v>
      </c>
      <c r="O150" t="s">
        <v>62</v>
      </c>
      <c r="P150" t="s">
        <v>64</v>
      </c>
      <c r="Q150">
        <v>1046</v>
      </c>
      <c r="R150">
        <v>232.63</v>
      </c>
    </row>
    <row r="151" spans="1:18" x14ac:dyDescent="0.35">
      <c r="A151" t="s">
        <v>56</v>
      </c>
      <c r="B151" t="s">
        <v>57</v>
      </c>
      <c r="C151" t="s">
        <v>70</v>
      </c>
      <c r="D151">
        <v>107233197</v>
      </c>
      <c r="E151" t="s">
        <v>553</v>
      </c>
      <c r="F151" t="s">
        <v>72</v>
      </c>
      <c r="G151">
        <v>0.67</v>
      </c>
      <c r="H151">
        <v>4.5</v>
      </c>
      <c r="I151">
        <v>0.14000000000000001</v>
      </c>
      <c r="J151">
        <v>0</v>
      </c>
      <c r="K151">
        <v>5.31</v>
      </c>
      <c r="L151" t="s">
        <v>61</v>
      </c>
      <c r="M151">
        <v>182</v>
      </c>
      <c r="N151">
        <v>34.299999999999997</v>
      </c>
      <c r="O151" t="s">
        <v>62</v>
      </c>
      <c r="P151" t="s">
        <v>65</v>
      </c>
      <c r="Q151">
        <v>29</v>
      </c>
      <c r="R151">
        <v>213.5</v>
      </c>
    </row>
    <row r="152" spans="1:18" x14ac:dyDescent="0.35">
      <c r="A152" t="s">
        <v>56</v>
      </c>
      <c r="B152" t="s">
        <v>57</v>
      </c>
      <c r="C152" t="s">
        <v>70</v>
      </c>
      <c r="D152">
        <v>107233197</v>
      </c>
      <c r="E152" t="s">
        <v>553</v>
      </c>
      <c r="F152" t="s">
        <v>72</v>
      </c>
      <c r="G152">
        <v>0.67</v>
      </c>
      <c r="H152">
        <v>4.5</v>
      </c>
      <c r="I152">
        <v>0.14000000000000001</v>
      </c>
      <c r="J152">
        <v>0</v>
      </c>
      <c r="K152">
        <v>5.31</v>
      </c>
      <c r="L152" t="s">
        <v>61</v>
      </c>
      <c r="M152">
        <v>182</v>
      </c>
      <c r="N152">
        <v>34.299999999999997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107233197</v>
      </c>
      <c r="E153" t="s">
        <v>553</v>
      </c>
      <c r="F153" t="s">
        <v>72</v>
      </c>
      <c r="G153">
        <v>0.67</v>
      </c>
      <c r="H153">
        <v>4.5</v>
      </c>
      <c r="I153">
        <v>0.14000000000000001</v>
      </c>
      <c r="J153">
        <v>0</v>
      </c>
      <c r="K153">
        <v>5.31</v>
      </c>
      <c r="L153" t="s">
        <v>61</v>
      </c>
      <c r="M153">
        <v>182</v>
      </c>
      <c r="N153">
        <v>34.299999999999997</v>
      </c>
      <c r="O153" t="s">
        <v>62</v>
      </c>
      <c r="P153" t="s">
        <v>67</v>
      </c>
      <c r="Q153">
        <v>1843</v>
      </c>
      <c r="R153">
        <v>347.32</v>
      </c>
    </row>
    <row r="154" spans="1:18" x14ac:dyDescent="0.35">
      <c r="A154" t="s">
        <v>56</v>
      </c>
      <c r="B154" t="s">
        <v>57</v>
      </c>
      <c r="C154" t="s">
        <v>70</v>
      </c>
      <c r="D154">
        <v>107233197</v>
      </c>
      <c r="E154" t="s">
        <v>553</v>
      </c>
      <c r="F154" t="s">
        <v>72</v>
      </c>
      <c r="G154">
        <v>0.67</v>
      </c>
      <c r="H154">
        <v>4.5</v>
      </c>
      <c r="I154">
        <v>0.14000000000000001</v>
      </c>
      <c r="J154">
        <v>0</v>
      </c>
      <c r="K154">
        <v>5.31</v>
      </c>
      <c r="L154" t="s">
        <v>61</v>
      </c>
      <c r="M154">
        <v>182</v>
      </c>
      <c r="N154">
        <v>34.299999999999997</v>
      </c>
      <c r="O154" t="s">
        <v>68</v>
      </c>
      <c r="P154" t="s">
        <v>67</v>
      </c>
      <c r="Q154">
        <v>182</v>
      </c>
      <c r="R154">
        <v>34.299999999999997</v>
      </c>
    </row>
    <row r="155" spans="1:18" x14ac:dyDescent="0.35">
      <c r="A155" t="s">
        <v>56</v>
      </c>
      <c r="B155" t="s">
        <v>57</v>
      </c>
      <c r="C155" t="s">
        <v>70</v>
      </c>
      <c r="D155">
        <v>107233197</v>
      </c>
      <c r="E155" t="s">
        <v>553</v>
      </c>
      <c r="F155" t="s">
        <v>72</v>
      </c>
      <c r="G155">
        <v>0.67</v>
      </c>
      <c r="H155">
        <v>4.5</v>
      </c>
      <c r="I155">
        <v>0.14000000000000001</v>
      </c>
      <c r="J155">
        <v>0</v>
      </c>
      <c r="K155">
        <v>5.31</v>
      </c>
      <c r="L155" t="s">
        <v>61</v>
      </c>
      <c r="M155">
        <v>182</v>
      </c>
      <c r="N155">
        <v>34.299999999999997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107233200</v>
      </c>
      <c r="E156" t="s">
        <v>533</v>
      </c>
      <c r="F156" t="s">
        <v>72</v>
      </c>
      <c r="G156">
        <v>0.37</v>
      </c>
      <c r="H156">
        <v>9.4</v>
      </c>
      <c r="I156">
        <v>0</v>
      </c>
      <c r="J156">
        <v>0</v>
      </c>
      <c r="K156">
        <v>9.77</v>
      </c>
      <c r="L156" t="s">
        <v>61</v>
      </c>
      <c r="M156">
        <v>438</v>
      </c>
      <c r="N156">
        <v>44.82</v>
      </c>
      <c r="O156" t="s">
        <v>62</v>
      </c>
      <c r="P156" t="s">
        <v>63</v>
      </c>
      <c r="Q156">
        <v>679</v>
      </c>
      <c r="R156">
        <v>1828.27</v>
      </c>
    </row>
    <row r="157" spans="1:18" x14ac:dyDescent="0.35">
      <c r="A157" t="s">
        <v>56</v>
      </c>
      <c r="B157" t="s">
        <v>57</v>
      </c>
      <c r="C157" t="s">
        <v>70</v>
      </c>
      <c r="D157">
        <v>107233200</v>
      </c>
      <c r="E157" t="s">
        <v>533</v>
      </c>
      <c r="F157" t="s">
        <v>72</v>
      </c>
      <c r="G157">
        <v>0.37</v>
      </c>
      <c r="H157">
        <v>9.4</v>
      </c>
      <c r="I157">
        <v>0</v>
      </c>
      <c r="J157">
        <v>0</v>
      </c>
      <c r="K157">
        <v>9.77</v>
      </c>
      <c r="L157" t="s">
        <v>61</v>
      </c>
      <c r="M157">
        <v>438</v>
      </c>
      <c r="N157">
        <v>44.82</v>
      </c>
      <c r="O157" t="s">
        <v>62</v>
      </c>
      <c r="P157" t="s">
        <v>64</v>
      </c>
      <c r="Q157">
        <v>3507</v>
      </c>
      <c r="R157">
        <v>373.04</v>
      </c>
    </row>
    <row r="158" spans="1:18" x14ac:dyDescent="0.35">
      <c r="A158" t="s">
        <v>56</v>
      </c>
      <c r="B158" t="s">
        <v>57</v>
      </c>
      <c r="C158" t="s">
        <v>70</v>
      </c>
      <c r="D158">
        <v>107233200</v>
      </c>
      <c r="E158" t="s">
        <v>533</v>
      </c>
      <c r="F158" t="s">
        <v>72</v>
      </c>
      <c r="G158">
        <v>0.37</v>
      </c>
      <c r="H158">
        <v>9.4</v>
      </c>
      <c r="I158">
        <v>0</v>
      </c>
      <c r="J158">
        <v>0</v>
      </c>
      <c r="K158">
        <v>9.77</v>
      </c>
      <c r="L158" t="s">
        <v>61</v>
      </c>
      <c r="M158">
        <v>438</v>
      </c>
      <c r="N158">
        <v>44.82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107233200</v>
      </c>
      <c r="E159" t="s">
        <v>533</v>
      </c>
      <c r="F159" t="s">
        <v>72</v>
      </c>
      <c r="G159">
        <v>0.37</v>
      </c>
      <c r="H159">
        <v>9.4</v>
      </c>
      <c r="I159">
        <v>0</v>
      </c>
      <c r="J159">
        <v>0</v>
      </c>
      <c r="K159">
        <v>9.77</v>
      </c>
      <c r="L159" t="s">
        <v>61</v>
      </c>
      <c r="M159">
        <v>438</v>
      </c>
      <c r="N159">
        <v>44.82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107233200</v>
      </c>
      <c r="E160" t="s">
        <v>533</v>
      </c>
      <c r="F160" t="s">
        <v>72</v>
      </c>
      <c r="G160">
        <v>0.37</v>
      </c>
      <c r="H160">
        <v>9.4</v>
      </c>
      <c r="I160">
        <v>0</v>
      </c>
      <c r="J160">
        <v>0</v>
      </c>
      <c r="K160">
        <v>9.77</v>
      </c>
      <c r="L160" t="s">
        <v>61</v>
      </c>
      <c r="M160">
        <v>438</v>
      </c>
      <c r="N160">
        <v>44.82</v>
      </c>
      <c r="O160" t="s">
        <v>62</v>
      </c>
      <c r="P160" t="s">
        <v>67</v>
      </c>
      <c r="Q160">
        <v>4186</v>
      </c>
      <c r="R160">
        <v>428.33</v>
      </c>
    </row>
    <row r="161" spans="1:18" x14ac:dyDescent="0.35">
      <c r="A161" t="s">
        <v>56</v>
      </c>
      <c r="B161" t="s">
        <v>57</v>
      </c>
      <c r="C161" t="s">
        <v>70</v>
      </c>
      <c r="D161">
        <v>107233200</v>
      </c>
      <c r="E161" t="s">
        <v>533</v>
      </c>
      <c r="F161" t="s">
        <v>72</v>
      </c>
      <c r="G161">
        <v>0.37</v>
      </c>
      <c r="H161">
        <v>9.4</v>
      </c>
      <c r="I161">
        <v>0</v>
      </c>
      <c r="J161">
        <v>0</v>
      </c>
      <c r="K161">
        <v>9.77</v>
      </c>
      <c r="L161" t="s">
        <v>61</v>
      </c>
      <c r="M161">
        <v>438</v>
      </c>
      <c r="N161">
        <v>44.82</v>
      </c>
      <c r="O161" t="s">
        <v>68</v>
      </c>
      <c r="P161" t="s">
        <v>67</v>
      </c>
      <c r="Q161">
        <v>438</v>
      </c>
      <c r="R161">
        <v>44.82</v>
      </c>
    </row>
    <row r="162" spans="1:18" x14ac:dyDescent="0.35">
      <c r="A162" t="s">
        <v>56</v>
      </c>
      <c r="B162" t="s">
        <v>57</v>
      </c>
      <c r="C162" t="s">
        <v>70</v>
      </c>
      <c r="D162">
        <v>107233200</v>
      </c>
      <c r="E162" t="s">
        <v>533</v>
      </c>
      <c r="F162" t="s">
        <v>72</v>
      </c>
      <c r="G162">
        <v>0.37</v>
      </c>
      <c r="H162">
        <v>9.4</v>
      </c>
      <c r="I162">
        <v>0</v>
      </c>
      <c r="J162">
        <v>0</v>
      </c>
      <c r="K162">
        <v>9.77</v>
      </c>
      <c r="L162" t="s">
        <v>61</v>
      </c>
      <c r="M162">
        <v>438</v>
      </c>
      <c r="N162">
        <v>44.82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70</v>
      </c>
      <c r="D163">
        <v>107264616</v>
      </c>
      <c r="E163" t="s">
        <v>534</v>
      </c>
      <c r="F163" t="s">
        <v>72</v>
      </c>
      <c r="G163">
        <v>0.7</v>
      </c>
      <c r="H163">
        <v>8.5299999999999994</v>
      </c>
      <c r="I163">
        <v>0</v>
      </c>
      <c r="J163">
        <v>0</v>
      </c>
      <c r="K163">
        <v>9.24</v>
      </c>
      <c r="L163" t="s">
        <v>61</v>
      </c>
      <c r="M163">
        <v>366</v>
      </c>
      <c r="N163">
        <v>39.619999999999997</v>
      </c>
      <c r="O163" t="s">
        <v>62</v>
      </c>
      <c r="P163" t="s">
        <v>63</v>
      </c>
      <c r="Q163">
        <v>852</v>
      </c>
      <c r="R163">
        <v>1208.99</v>
      </c>
    </row>
    <row r="164" spans="1:18" x14ac:dyDescent="0.35">
      <c r="A164" t="s">
        <v>56</v>
      </c>
      <c r="B164" t="s">
        <v>57</v>
      </c>
      <c r="C164" t="s">
        <v>70</v>
      </c>
      <c r="D164">
        <v>107264616</v>
      </c>
      <c r="E164" t="s">
        <v>534</v>
      </c>
      <c r="F164" t="s">
        <v>72</v>
      </c>
      <c r="G164">
        <v>0.7</v>
      </c>
      <c r="H164">
        <v>8.5299999999999994</v>
      </c>
      <c r="I164">
        <v>0</v>
      </c>
      <c r="J164">
        <v>0</v>
      </c>
      <c r="K164">
        <v>9.24</v>
      </c>
      <c r="L164" t="s">
        <v>61</v>
      </c>
      <c r="M164">
        <v>366</v>
      </c>
      <c r="N164">
        <v>39.619999999999997</v>
      </c>
      <c r="O164" t="s">
        <v>62</v>
      </c>
      <c r="P164" t="s">
        <v>64</v>
      </c>
      <c r="Q164">
        <v>2105</v>
      </c>
      <c r="R164">
        <v>246.71</v>
      </c>
    </row>
    <row r="165" spans="1:18" x14ac:dyDescent="0.35">
      <c r="A165" t="s">
        <v>56</v>
      </c>
      <c r="B165" t="s">
        <v>57</v>
      </c>
      <c r="C165" t="s">
        <v>70</v>
      </c>
      <c r="D165">
        <v>107264616</v>
      </c>
      <c r="E165" t="s">
        <v>534</v>
      </c>
      <c r="F165" t="s">
        <v>72</v>
      </c>
      <c r="G165">
        <v>0.7</v>
      </c>
      <c r="H165">
        <v>8.5299999999999994</v>
      </c>
      <c r="I165">
        <v>0</v>
      </c>
      <c r="J165">
        <v>0</v>
      </c>
      <c r="K165">
        <v>9.24</v>
      </c>
      <c r="L165" t="s">
        <v>61</v>
      </c>
      <c r="M165">
        <v>366</v>
      </c>
      <c r="N165">
        <v>39.619999999999997</v>
      </c>
      <c r="O165" t="s">
        <v>62</v>
      </c>
      <c r="P165" t="s">
        <v>65</v>
      </c>
      <c r="Q165">
        <v>0</v>
      </c>
      <c r="R165">
        <v>0</v>
      </c>
    </row>
    <row r="166" spans="1:18" x14ac:dyDescent="0.35">
      <c r="A166" t="s">
        <v>56</v>
      </c>
      <c r="B166" t="s">
        <v>57</v>
      </c>
      <c r="C166" t="s">
        <v>70</v>
      </c>
      <c r="D166">
        <v>107264616</v>
      </c>
      <c r="E166" t="s">
        <v>534</v>
      </c>
      <c r="F166" t="s">
        <v>72</v>
      </c>
      <c r="G166">
        <v>0.7</v>
      </c>
      <c r="H166">
        <v>8.5299999999999994</v>
      </c>
      <c r="I166">
        <v>0</v>
      </c>
      <c r="J166">
        <v>0</v>
      </c>
      <c r="K166">
        <v>9.24</v>
      </c>
      <c r="L166" t="s">
        <v>61</v>
      </c>
      <c r="M166">
        <v>366</v>
      </c>
      <c r="N166">
        <v>39.619999999999997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107264616</v>
      </c>
      <c r="E167" t="s">
        <v>534</v>
      </c>
      <c r="F167" t="s">
        <v>72</v>
      </c>
      <c r="G167">
        <v>0.7</v>
      </c>
      <c r="H167">
        <v>8.5299999999999994</v>
      </c>
      <c r="I167">
        <v>0</v>
      </c>
      <c r="J167">
        <v>0</v>
      </c>
      <c r="K167">
        <v>9.24</v>
      </c>
      <c r="L167" t="s">
        <v>61</v>
      </c>
      <c r="M167">
        <v>366</v>
      </c>
      <c r="N167">
        <v>39.619999999999997</v>
      </c>
      <c r="O167" t="s">
        <v>62</v>
      </c>
      <c r="P167" t="s">
        <v>67</v>
      </c>
      <c r="Q167">
        <v>2957</v>
      </c>
      <c r="R167">
        <v>320.12</v>
      </c>
    </row>
    <row r="168" spans="1:18" x14ac:dyDescent="0.35">
      <c r="A168" t="s">
        <v>56</v>
      </c>
      <c r="B168" t="s">
        <v>57</v>
      </c>
      <c r="C168" t="s">
        <v>70</v>
      </c>
      <c r="D168">
        <v>107264616</v>
      </c>
      <c r="E168" t="s">
        <v>534</v>
      </c>
      <c r="F168" t="s">
        <v>72</v>
      </c>
      <c r="G168">
        <v>0.7</v>
      </c>
      <c r="H168">
        <v>8.5299999999999994</v>
      </c>
      <c r="I168">
        <v>0</v>
      </c>
      <c r="J168">
        <v>0</v>
      </c>
      <c r="K168">
        <v>9.24</v>
      </c>
      <c r="L168" t="s">
        <v>61</v>
      </c>
      <c r="M168">
        <v>366</v>
      </c>
      <c r="N168">
        <v>39.619999999999997</v>
      </c>
      <c r="O168" t="s">
        <v>68</v>
      </c>
      <c r="P168" t="s">
        <v>67</v>
      </c>
      <c r="Q168">
        <v>366</v>
      </c>
      <c r="R168">
        <v>39.619999999999997</v>
      </c>
    </row>
    <row r="169" spans="1:18" x14ac:dyDescent="0.35">
      <c r="A169" t="s">
        <v>56</v>
      </c>
      <c r="B169" t="s">
        <v>57</v>
      </c>
      <c r="C169" t="s">
        <v>70</v>
      </c>
      <c r="D169">
        <v>107264616</v>
      </c>
      <c r="E169" t="s">
        <v>534</v>
      </c>
      <c r="F169" t="s">
        <v>72</v>
      </c>
      <c r="G169">
        <v>0.7</v>
      </c>
      <c r="H169">
        <v>8.5299999999999994</v>
      </c>
      <c r="I169">
        <v>0</v>
      </c>
      <c r="J169">
        <v>0</v>
      </c>
      <c r="K169">
        <v>9.24</v>
      </c>
      <c r="L169" t="s">
        <v>61</v>
      </c>
      <c r="M169">
        <v>366</v>
      </c>
      <c r="N169">
        <v>39.619999999999997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70</v>
      </c>
      <c r="D170">
        <v>107674648</v>
      </c>
      <c r="E170" t="s">
        <v>92</v>
      </c>
      <c r="F170" t="s">
        <v>72</v>
      </c>
      <c r="G170">
        <v>0.53</v>
      </c>
      <c r="H170">
        <v>9.4700000000000006</v>
      </c>
      <c r="I170">
        <v>0</v>
      </c>
      <c r="J170">
        <v>0</v>
      </c>
      <c r="K170">
        <v>10</v>
      </c>
      <c r="L170" t="s">
        <v>61</v>
      </c>
      <c r="M170">
        <v>361</v>
      </c>
      <c r="N170">
        <v>36.1</v>
      </c>
      <c r="O170" t="s">
        <v>62</v>
      </c>
      <c r="P170" t="s">
        <v>63</v>
      </c>
      <c r="Q170">
        <v>592</v>
      </c>
      <c r="R170">
        <v>1110.58</v>
      </c>
    </row>
    <row r="171" spans="1:18" x14ac:dyDescent="0.35">
      <c r="A171" t="s">
        <v>56</v>
      </c>
      <c r="B171" t="s">
        <v>57</v>
      </c>
      <c r="C171" t="s">
        <v>70</v>
      </c>
      <c r="D171">
        <v>107674648</v>
      </c>
      <c r="E171" t="s">
        <v>92</v>
      </c>
      <c r="F171" t="s">
        <v>72</v>
      </c>
      <c r="G171">
        <v>0.53</v>
      </c>
      <c r="H171">
        <v>9.4700000000000006</v>
      </c>
      <c r="I171">
        <v>0</v>
      </c>
      <c r="J171">
        <v>0</v>
      </c>
      <c r="K171">
        <v>10</v>
      </c>
      <c r="L171" t="s">
        <v>61</v>
      </c>
      <c r="M171">
        <v>361</v>
      </c>
      <c r="N171">
        <v>36.1</v>
      </c>
      <c r="O171" t="s">
        <v>62</v>
      </c>
      <c r="P171" t="s">
        <v>64</v>
      </c>
      <c r="Q171">
        <v>2145</v>
      </c>
      <c r="R171">
        <v>226.58</v>
      </c>
    </row>
    <row r="172" spans="1:18" x14ac:dyDescent="0.35">
      <c r="A172" t="s">
        <v>56</v>
      </c>
      <c r="B172" t="s">
        <v>57</v>
      </c>
      <c r="C172" t="s">
        <v>70</v>
      </c>
      <c r="D172">
        <v>107674648</v>
      </c>
      <c r="E172" t="s">
        <v>92</v>
      </c>
      <c r="F172" t="s">
        <v>72</v>
      </c>
      <c r="G172">
        <v>0.53</v>
      </c>
      <c r="H172">
        <v>9.4700000000000006</v>
      </c>
      <c r="I172">
        <v>0</v>
      </c>
      <c r="J172">
        <v>0</v>
      </c>
      <c r="K172">
        <v>10</v>
      </c>
      <c r="L172" t="s">
        <v>61</v>
      </c>
      <c r="M172">
        <v>361</v>
      </c>
      <c r="N172">
        <v>36.1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107674648</v>
      </c>
      <c r="E173" t="s">
        <v>92</v>
      </c>
      <c r="F173" t="s">
        <v>72</v>
      </c>
      <c r="G173">
        <v>0.53</v>
      </c>
      <c r="H173">
        <v>9.4700000000000006</v>
      </c>
      <c r="I173">
        <v>0</v>
      </c>
      <c r="J173">
        <v>0</v>
      </c>
      <c r="K173">
        <v>10</v>
      </c>
      <c r="L173" t="s">
        <v>61</v>
      </c>
      <c r="M173">
        <v>361</v>
      </c>
      <c r="N173">
        <v>36.1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107674648</v>
      </c>
      <c r="E174" t="s">
        <v>92</v>
      </c>
      <c r="F174" t="s">
        <v>72</v>
      </c>
      <c r="G174">
        <v>0.53</v>
      </c>
      <c r="H174">
        <v>9.4700000000000006</v>
      </c>
      <c r="I174">
        <v>0</v>
      </c>
      <c r="J174">
        <v>0</v>
      </c>
      <c r="K174">
        <v>10</v>
      </c>
      <c r="L174" t="s">
        <v>61</v>
      </c>
      <c r="M174">
        <v>361</v>
      </c>
      <c r="N174">
        <v>36.1</v>
      </c>
      <c r="O174" t="s">
        <v>62</v>
      </c>
      <c r="P174" t="s">
        <v>67</v>
      </c>
      <c r="Q174">
        <v>2737</v>
      </c>
      <c r="R174">
        <v>273.7</v>
      </c>
    </row>
    <row r="175" spans="1:18" x14ac:dyDescent="0.35">
      <c r="A175" t="s">
        <v>56</v>
      </c>
      <c r="B175" t="s">
        <v>57</v>
      </c>
      <c r="C175" t="s">
        <v>70</v>
      </c>
      <c r="D175">
        <v>107674648</v>
      </c>
      <c r="E175" t="s">
        <v>92</v>
      </c>
      <c r="F175" t="s">
        <v>72</v>
      </c>
      <c r="G175">
        <v>0.53</v>
      </c>
      <c r="H175">
        <v>9.4700000000000006</v>
      </c>
      <c r="I175">
        <v>0</v>
      </c>
      <c r="J175">
        <v>0</v>
      </c>
      <c r="K175">
        <v>10</v>
      </c>
      <c r="L175" t="s">
        <v>61</v>
      </c>
      <c r="M175">
        <v>361</v>
      </c>
      <c r="N175">
        <v>36.1</v>
      </c>
      <c r="O175" t="s">
        <v>68</v>
      </c>
      <c r="P175" t="s">
        <v>67</v>
      </c>
      <c r="Q175">
        <v>361</v>
      </c>
      <c r="R175">
        <v>36.1</v>
      </c>
    </row>
    <row r="176" spans="1:18" x14ac:dyDescent="0.35">
      <c r="A176" t="s">
        <v>56</v>
      </c>
      <c r="B176" t="s">
        <v>57</v>
      </c>
      <c r="C176" t="s">
        <v>70</v>
      </c>
      <c r="D176">
        <v>107674648</v>
      </c>
      <c r="E176" t="s">
        <v>92</v>
      </c>
      <c r="F176" t="s">
        <v>72</v>
      </c>
      <c r="G176">
        <v>0.53</v>
      </c>
      <c r="H176">
        <v>9.4700000000000006</v>
      </c>
      <c r="I176">
        <v>0</v>
      </c>
      <c r="J176">
        <v>0</v>
      </c>
      <c r="K176">
        <v>10</v>
      </c>
      <c r="L176" t="s">
        <v>61</v>
      </c>
      <c r="M176">
        <v>361</v>
      </c>
      <c r="N176">
        <v>36.1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58</v>
      </c>
      <c r="D177">
        <v>107704604</v>
      </c>
      <c r="E177" t="s">
        <v>93</v>
      </c>
      <c r="F177" t="s">
        <v>72</v>
      </c>
      <c r="G177">
        <v>1.1299999999999999</v>
      </c>
      <c r="H177">
        <v>8.8699999999999992</v>
      </c>
      <c r="I177">
        <v>0</v>
      </c>
      <c r="J177">
        <v>0</v>
      </c>
      <c r="K177">
        <v>10</v>
      </c>
      <c r="L177" t="s">
        <v>61</v>
      </c>
      <c r="M177">
        <v>377</v>
      </c>
      <c r="N177">
        <v>37.700000000000003</v>
      </c>
      <c r="O177" t="s">
        <v>62</v>
      </c>
      <c r="P177" t="s">
        <v>63</v>
      </c>
      <c r="Q177">
        <v>1533</v>
      </c>
      <c r="R177">
        <v>1355.3</v>
      </c>
    </row>
    <row r="178" spans="1:18" x14ac:dyDescent="0.35">
      <c r="A178" t="s">
        <v>56</v>
      </c>
      <c r="B178" t="s">
        <v>57</v>
      </c>
      <c r="C178" t="s">
        <v>58</v>
      </c>
      <c r="D178">
        <v>107704604</v>
      </c>
      <c r="E178" t="s">
        <v>93</v>
      </c>
      <c r="F178" t="s">
        <v>72</v>
      </c>
      <c r="G178">
        <v>1.1299999999999999</v>
      </c>
      <c r="H178">
        <v>8.8699999999999992</v>
      </c>
      <c r="I178">
        <v>0</v>
      </c>
      <c r="J178">
        <v>0</v>
      </c>
      <c r="K178">
        <v>10</v>
      </c>
      <c r="L178" t="s">
        <v>61</v>
      </c>
      <c r="M178">
        <v>377</v>
      </c>
      <c r="N178">
        <v>37.700000000000003</v>
      </c>
      <c r="O178" t="s">
        <v>62</v>
      </c>
      <c r="P178" t="s">
        <v>64</v>
      </c>
      <c r="Q178">
        <v>2453</v>
      </c>
      <c r="R178">
        <v>276.58999999999997</v>
      </c>
    </row>
    <row r="179" spans="1:18" x14ac:dyDescent="0.35">
      <c r="A179" t="s">
        <v>56</v>
      </c>
      <c r="B179" t="s">
        <v>57</v>
      </c>
      <c r="C179" t="s">
        <v>58</v>
      </c>
      <c r="D179">
        <v>107704604</v>
      </c>
      <c r="E179" t="s">
        <v>93</v>
      </c>
      <c r="F179" t="s">
        <v>72</v>
      </c>
      <c r="G179">
        <v>1.1299999999999999</v>
      </c>
      <c r="H179">
        <v>8.8699999999999992</v>
      </c>
      <c r="I179">
        <v>0</v>
      </c>
      <c r="J179">
        <v>0</v>
      </c>
      <c r="K179">
        <v>10</v>
      </c>
      <c r="L179" t="s">
        <v>61</v>
      </c>
      <c r="M179">
        <v>377</v>
      </c>
      <c r="N179">
        <v>37.700000000000003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58</v>
      </c>
      <c r="D180">
        <v>107704604</v>
      </c>
      <c r="E180" t="s">
        <v>93</v>
      </c>
      <c r="F180" t="s">
        <v>72</v>
      </c>
      <c r="G180">
        <v>1.1299999999999999</v>
      </c>
      <c r="H180">
        <v>8.8699999999999992</v>
      </c>
      <c r="I180">
        <v>0</v>
      </c>
      <c r="J180">
        <v>0</v>
      </c>
      <c r="K180">
        <v>10</v>
      </c>
      <c r="L180" t="s">
        <v>61</v>
      </c>
      <c r="M180">
        <v>377</v>
      </c>
      <c r="N180">
        <v>37.700000000000003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58</v>
      </c>
      <c r="D181">
        <v>107704604</v>
      </c>
      <c r="E181" t="s">
        <v>93</v>
      </c>
      <c r="F181" t="s">
        <v>72</v>
      </c>
      <c r="G181">
        <v>1.1299999999999999</v>
      </c>
      <c r="H181">
        <v>8.8699999999999992</v>
      </c>
      <c r="I181">
        <v>0</v>
      </c>
      <c r="J181">
        <v>0</v>
      </c>
      <c r="K181">
        <v>10</v>
      </c>
      <c r="L181" t="s">
        <v>61</v>
      </c>
      <c r="M181">
        <v>377</v>
      </c>
      <c r="N181">
        <v>37.700000000000003</v>
      </c>
      <c r="O181" t="s">
        <v>62</v>
      </c>
      <c r="P181" t="s">
        <v>67</v>
      </c>
      <c r="Q181">
        <v>3986</v>
      </c>
      <c r="R181">
        <v>398.6</v>
      </c>
    </row>
    <row r="182" spans="1:18" x14ac:dyDescent="0.35">
      <c r="A182" t="s">
        <v>56</v>
      </c>
      <c r="B182" t="s">
        <v>57</v>
      </c>
      <c r="C182" t="s">
        <v>58</v>
      </c>
      <c r="D182">
        <v>107704604</v>
      </c>
      <c r="E182" t="s">
        <v>93</v>
      </c>
      <c r="F182" t="s">
        <v>72</v>
      </c>
      <c r="G182">
        <v>1.1299999999999999</v>
      </c>
      <c r="H182">
        <v>8.8699999999999992</v>
      </c>
      <c r="I182">
        <v>0</v>
      </c>
      <c r="J182">
        <v>0</v>
      </c>
      <c r="K182">
        <v>10</v>
      </c>
      <c r="L182" t="s">
        <v>61</v>
      </c>
      <c r="M182">
        <v>377</v>
      </c>
      <c r="N182">
        <v>37.700000000000003</v>
      </c>
      <c r="O182" t="s">
        <v>68</v>
      </c>
      <c r="P182" t="s">
        <v>67</v>
      </c>
      <c r="Q182">
        <v>377</v>
      </c>
      <c r="R182">
        <v>37.700000000000003</v>
      </c>
    </row>
    <row r="183" spans="1:18" x14ac:dyDescent="0.35">
      <c r="A183" t="s">
        <v>56</v>
      </c>
      <c r="B183" t="s">
        <v>57</v>
      </c>
      <c r="C183" t="s">
        <v>58</v>
      </c>
      <c r="D183">
        <v>107704604</v>
      </c>
      <c r="E183" t="s">
        <v>93</v>
      </c>
      <c r="F183" t="s">
        <v>72</v>
      </c>
      <c r="G183">
        <v>1.1299999999999999</v>
      </c>
      <c r="H183">
        <v>8.8699999999999992</v>
      </c>
      <c r="I183">
        <v>0</v>
      </c>
      <c r="J183">
        <v>0</v>
      </c>
      <c r="K183">
        <v>10</v>
      </c>
      <c r="L183" t="s">
        <v>61</v>
      </c>
      <c r="M183">
        <v>377</v>
      </c>
      <c r="N183">
        <v>37.700000000000003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58</v>
      </c>
      <c r="D184">
        <v>107775413</v>
      </c>
      <c r="E184" t="s">
        <v>98</v>
      </c>
      <c r="F184" t="s">
        <v>72</v>
      </c>
      <c r="G184">
        <v>0.95</v>
      </c>
      <c r="H184">
        <v>8.8699999999999992</v>
      </c>
      <c r="I184">
        <v>0</v>
      </c>
      <c r="J184">
        <v>0</v>
      </c>
      <c r="K184">
        <v>9.81</v>
      </c>
      <c r="L184" t="s">
        <v>61</v>
      </c>
      <c r="M184">
        <v>288</v>
      </c>
      <c r="N184">
        <v>29.35</v>
      </c>
      <c r="O184" t="s">
        <v>62</v>
      </c>
      <c r="P184" t="s">
        <v>63</v>
      </c>
      <c r="Q184">
        <v>999</v>
      </c>
      <c r="R184">
        <v>1056.21</v>
      </c>
    </row>
    <row r="185" spans="1:18" x14ac:dyDescent="0.35">
      <c r="A185" t="s">
        <v>56</v>
      </c>
      <c r="B185" t="s">
        <v>57</v>
      </c>
      <c r="C185" t="s">
        <v>58</v>
      </c>
      <c r="D185">
        <v>107775413</v>
      </c>
      <c r="E185" t="s">
        <v>98</v>
      </c>
      <c r="F185" t="s">
        <v>72</v>
      </c>
      <c r="G185">
        <v>0.95</v>
      </c>
      <c r="H185">
        <v>8.8699999999999992</v>
      </c>
      <c r="I185">
        <v>0</v>
      </c>
      <c r="J185">
        <v>0</v>
      </c>
      <c r="K185">
        <v>9.81</v>
      </c>
      <c r="L185" t="s">
        <v>61</v>
      </c>
      <c r="M185">
        <v>288</v>
      </c>
      <c r="N185">
        <v>29.35</v>
      </c>
      <c r="O185" t="s">
        <v>62</v>
      </c>
      <c r="P185" t="s">
        <v>64</v>
      </c>
      <c r="Q185">
        <v>1911</v>
      </c>
      <c r="R185">
        <v>215.56</v>
      </c>
    </row>
    <row r="186" spans="1:18" x14ac:dyDescent="0.35">
      <c r="A186" t="s">
        <v>56</v>
      </c>
      <c r="B186" t="s">
        <v>57</v>
      </c>
      <c r="C186" t="s">
        <v>58</v>
      </c>
      <c r="D186">
        <v>107775413</v>
      </c>
      <c r="E186" t="s">
        <v>98</v>
      </c>
      <c r="F186" t="s">
        <v>72</v>
      </c>
      <c r="G186">
        <v>0.95</v>
      </c>
      <c r="H186">
        <v>8.8699999999999992</v>
      </c>
      <c r="I186">
        <v>0</v>
      </c>
      <c r="J186">
        <v>0</v>
      </c>
      <c r="K186">
        <v>9.81</v>
      </c>
      <c r="L186" t="s">
        <v>61</v>
      </c>
      <c r="M186">
        <v>288</v>
      </c>
      <c r="N186">
        <v>29.35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58</v>
      </c>
      <c r="D187">
        <v>107775413</v>
      </c>
      <c r="E187" t="s">
        <v>98</v>
      </c>
      <c r="F187" t="s">
        <v>72</v>
      </c>
      <c r="G187">
        <v>0.95</v>
      </c>
      <c r="H187">
        <v>8.8699999999999992</v>
      </c>
      <c r="I187">
        <v>0</v>
      </c>
      <c r="J187">
        <v>0</v>
      </c>
      <c r="K187">
        <v>9.81</v>
      </c>
      <c r="L187" t="s">
        <v>61</v>
      </c>
      <c r="M187">
        <v>288</v>
      </c>
      <c r="N187">
        <v>29.35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58</v>
      </c>
      <c r="D188">
        <v>107775413</v>
      </c>
      <c r="E188" t="s">
        <v>98</v>
      </c>
      <c r="F188" t="s">
        <v>72</v>
      </c>
      <c r="G188">
        <v>0.95</v>
      </c>
      <c r="H188">
        <v>8.8699999999999992</v>
      </c>
      <c r="I188">
        <v>0</v>
      </c>
      <c r="J188">
        <v>0</v>
      </c>
      <c r="K188">
        <v>9.81</v>
      </c>
      <c r="L188" t="s">
        <v>61</v>
      </c>
      <c r="M188">
        <v>288</v>
      </c>
      <c r="N188">
        <v>29.35</v>
      </c>
      <c r="O188" t="s">
        <v>62</v>
      </c>
      <c r="P188" t="s">
        <v>67</v>
      </c>
      <c r="Q188">
        <v>2910</v>
      </c>
      <c r="R188">
        <v>296.58999999999997</v>
      </c>
    </row>
    <row r="189" spans="1:18" x14ac:dyDescent="0.35">
      <c r="A189" t="s">
        <v>56</v>
      </c>
      <c r="B189" t="s">
        <v>57</v>
      </c>
      <c r="C189" t="s">
        <v>58</v>
      </c>
      <c r="D189">
        <v>107775413</v>
      </c>
      <c r="E189" t="s">
        <v>98</v>
      </c>
      <c r="F189" t="s">
        <v>72</v>
      </c>
      <c r="G189">
        <v>0.95</v>
      </c>
      <c r="H189">
        <v>8.8699999999999992</v>
      </c>
      <c r="I189">
        <v>0</v>
      </c>
      <c r="J189">
        <v>0</v>
      </c>
      <c r="K189">
        <v>9.81</v>
      </c>
      <c r="L189" t="s">
        <v>61</v>
      </c>
      <c r="M189">
        <v>288</v>
      </c>
      <c r="N189">
        <v>29.35</v>
      </c>
      <c r="O189" t="s">
        <v>68</v>
      </c>
      <c r="P189" t="s">
        <v>67</v>
      </c>
      <c r="Q189">
        <v>288</v>
      </c>
      <c r="R189">
        <v>29.35</v>
      </c>
    </row>
    <row r="190" spans="1:18" x14ac:dyDescent="0.35">
      <c r="A190" t="s">
        <v>56</v>
      </c>
      <c r="B190" t="s">
        <v>57</v>
      </c>
      <c r="C190" t="s">
        <v>58</v>
      </c>
      <c r="D190">
        <v>107775413</v>
      </c>
      <c r="E190" t="s">
        <v>98</v>
      </c>
      <c r="F190" t="s">
        <v>72</v>
      </c>
      <c r="G190">
        <v>0.95</v>
      </c>
      <c r="H190">
        <v>8.8699999999999992</v>
      </c>
      <c r="I190">
        <v>0</v>
      </c>
      <c r="J190">
        <v>0</v>
      </c>
      <c r="K190">
        <v>9.81</v>
      </c>
      <c r="L190" t="s">
        <v>61</v>
      </c>
      <c r="M190">
        <v>288</v>
      </c>
      <c r="N190">
        <v>29.35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107775521</v>
      </c>
      <c r="E191" t="s">
        <v>99</v>
      </c>
      <c r="F191" t="s">
        <v>72</v>
      </c>
      <c r="G191">
        <v>0.1</v>
      </c>
      <c r="H191">
        <v>10.119999999999999</v>
      </c>
      <c r="I191">
        <v>0</v>
      </c>
      <c r="J191">
        <v>0</v>
      </c>
      <c r="K191">
        <v>10.220000000000001</v>
      </c>
      <c r="L191" t="s">
        <v>61</v>
      </c>
      <c r="M191">
        <v>536</v>
      </c>
      <c r="N191">
        <v>52.46</v>
      </c>
      <c r="O191" t="s">
        <v>62</v>
      </c>
      <c r="P191" t="s">
        <v>63</v>
      </c>
      <c r="Q191">
        <v>92</v>
      </c>
      <c r="R191">
        <v>930.34</v>
      </c>
    </row>
    <row r="192" spans="1:18" x14ac:dyDescent="0.35">
      <c r="A192" t="s">
        <v>56</v>
      </c>
      <c r="B192" t="s">
        <v>57</v>
      </c>
      <c r="C192" t="s">
        <v>70</v>
      </c>
      <c r="D192">
        <v>107775521</v>
      </c>
      <c r="E192" t="s">
        <v>99</v>
      </c>
      <c r="F192" t="s">
        <v>72</v>
      </c>
      <c r="G192">
        <v>0.1</v>
      </c>
      <c r="H192">
        <v>10.119999999999999</v>
      </c>
      <c r="I192">
        <v>0</v>
      </c>
      <c r="J192">
        <v>0</v>
      </c>
      <c r="K192">
        <v>10.220000000000001</v>
      </c>
      <c r="L192" t="s">
        <v>61</v>
      </c>
      <c r="M192">
        <v>536</v>
      </c>
      <c r="N192">
        <v>52.46</v>
      </c>
      <c r="O192" t="s">
        <v>62</v>
      </c>
      <c r="P192" t="s">
        <v>64</v>
      </c>
      <c r="Q192">
        <v>1921</v>
      </c>
      <c r="R192">
        <v>189.87</v>
      </c>
    </row>
    <row r="193" spans="1:18" x14ac:dyDescent="0.35">
      <c r="A193" t="s">
        <v>56</v>
      </c>
      <c r="B193" t="s">
        <v>57</v>
      </c>
      <c r="C193" t="s">
        <v>70</v>
      </c>
      <c r="D193">
        <v>107775521</v>
      </c>
      <c r="E193" t="s">
        <v>99</v>
      </c>
      <c r="F193" t="s">
        <v>72</v>
      </c>
      <c r="G193">
        <v>0.1</v>
      </c>
      <c r="H193">
        <v>10.119999999999999</v>
      </c>
      <c r="I193">
        <v>0</v>
      </c>
      <c r="J193">
        <v>0</v>
      </c>
      <c r="K193">
        <v>10.220000000000001</v>
      </c>
      <c r="L193" t="s">
        <v>61</v>
      </c>
      <c r="M193">
        <v>536</v>
      </c>
      <c r="N193">
        <v>52.46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70</v>
      </c>
      <c r="D194">
        <v>107775521</v>
      </c>
      <c r="E194" t="s">
        <v>99</v>
      </c>
      <c r="F194" t="s">
        <v>72</v>
      </c>
      <c r="G194">
        <v>0.1</v>
      </c>
      <c r="H194">
        <v>10.119999999999999</v>
      </c>
      <c r="I194">
        <v>0</v>
      </c>
      <c r="J194">
        <v>0</v>
      </c>
      <c r="K194">
        <v>10.220000000000001</v>
      </c>
      <c r="L194" t="s">
        <v>61</v>
      </c>
      <c r="M194">
        <v>536</v>
      </c>
      <c r="N194">
        <v>52.46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70</v>
      </c>
      <c r="D195">
        <v>107775521</v>
      </c>
      <c r="E195" t="s">
        <v>99</v>
      </c>
      <c r="F195" t="s">
        <v>72</v>
      </c>
      <c r="G195">
        <v>0.1</v>
      </c>
      <c r="H195">
        <v>10.119999999999999</v>
      </c>
      <c r="I195">
        <v>0</v>
      </c>
      <c r="J195">
        <v>0</v>
      </c>
      <c r="K195">
        <v>10.220000000000001</v>
      </c>
      <c r="L195" t="s">
        <v>61</v>
      </c>
      <c r="M195">
        <v>536</v>
      </c>
      <c r="N195">
        <v>52.46</v>
      </c>
      <c r="O195" t="s">
        <v>62</v>
      </c>
      <c r="P195" t="s">
        <v>67</v>
      </c>
      <c r="Q195">
        <v>2013</v>
      </c>
      <c r="R195">
        <v>197.03</v>
      </c>
    </row>
    <row r="196" spans="1:18" x14ac:dyDescent="0.35">
      <c r="A196" t="s">
        <v>56</v>
      </c>
      <c r="B196" t="s">
        <v>57</v>
      </c>
      <c r="C196" t="s">
        <v>70</v>
      </c>
      <c r="D196">
        <v>107775521</v>
      </c>
      <c r="E196" t="s">
        <v>99</v>
      </c>
      <c r="F196" t="s">
        <v>72</v>
      </c>
      <c r="G196">
        <v>0.1</v>
      </c>
      <c r="H196">
        <v>10.119999999999999</v>
      </c>
      <c r="I196">
        <v>0</v>
      </c>
      <c r="J196">
        <v>0</v>
      </c>
      <c r="K196">
        <v>10.220000000000001</v>
      </c>
      <c r="L196" t="s">
        <v>61</v>
      </c>
      <c r="M196">
        <v>536</v>
      </c>
      <c r="N196">
        <v>52.46</v>
      </c>
      <c r="O196" t="s">
        <v>68</v>
      </c>
      <c r="P196" t="s">
        <v>67</v>
      </c>
      <c r="Q196">
        <v>536</v>
      </c>
      <c r="R196">
        <v>52.46</v>
      </c>
    </row>
    <row r="197" spans="1:18" x14ac:dyDescent="0.35">
      <c r="A197" t="s">
        <v>56</v>
      </c>
      <c r="B197" t="s">
        <v>57</v>
      </c>
      <c r="C197" t="s">
        <v>70</v>
      </c>
      <c r="D197">
        <v>107775521</v>
      </c>
      <c r="E197" t="s">
        <v>99</v>
      </c>
      <c r="F197" t="s">
        <v>72</v>
      </c>
      <c r="G197">
        <v>0.1</v>
      </c>
      <c r="H197">
        <v>10.119999999999999</v>
      </c>
      <c r="I197">
        <v>0</v>
      </c>
      <c r="J197">
        <v>0</v>
      </c>
      <c r="K197">
        <v>10.220000000000001</v>
      </c>
      <c r="L197" t="s">
        <v>61</v>
      </c>
      <c r="M197">
        <v>536</v>
      </c>
      <c r="N197">
        <v>52.46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107775986</v>
      </c>
      <c r="E198" t="s">
        <v>100</v>
      </c>
      <c r="F198" t="s">
        <v>72</v>
      </c>
      <c r="G198">
        <v>0.36</v>
      </c>
      <c r="H198">
        <v>7.12</v>
      </c>
      <c r="I198">
        <v>0</v>
      </c>
      <c r="J198">
        <v>0</v>
      </c>
      <c r="K198">
        <v>7.47</v>
      </c>
      <c r="L198" t="s">
        <v>61</v>
      </c>
      <c r="M198">
        <v>334</v>
      </c>
      <c r="N198">
        <v>44.69</v>
      </c>
      <c r="O198" t="s">
        <v>62</v>
      </c>
      <c r="P198" t="s">
        <v>63</v>
      </c>
      <c r="Q198">
        <v>638</v>
      </c>
      <c r="R198">
        <v>1783.23</v>
      </c>
    </row>
    <row r="199" spans="1:18" x14ac:dyDescent="0.35">
      <c r="A199" t="s">
        <v>56</v>
      </c>
      <c r="B199" t="s">
        <v>57</v>
      </c>
      <c r="C199" t="s">
        <v>70</v>
      </c>
      <c r="D199">
        <v>107775986</v>
      </c>
      <c r="E199" t="s">
        <v>100</v>
      </c>
      <c r="F199" t="s">
        <v>72</v>
      </c>
      <c r="G199">
        <v>0.36</v>
      </c>
      <c r="H199">
        <v>7.12</v>
      </c>
      <c r="I199">
        <v>0</v>
      </c>
      <c r="J199">
        <v>0</v>
      </c>
      <c r="K199">
        <v>7.47</v>
      </c>
      <c r="L199" t="s">
        <v>61</v>
      </c>
      <c r="M199">
        <v>334</v>
      </c>
      <c r="N199">
        <v>44.69</v>
      </c>
      <c r="O199" t="s">
        <v>62</v>
      </c>
      <c r="P199" t="s">
        <v>64</v>
      </c>
      <c r="Q199">
        <v>2589</v>
      </c>
      <c r="R199">
        <v>363.82</v>
      </c>
    </row>
    <row r="200" spans="1:18" x14ac:dyDescent="0.35">
      <c r="A200" t="s">
        <v>56</v>
      </c>
      <c r="B200" t="s">
        <v>57</v>
      </c>
      <c r="C200" t="s">
        <v>70</v>
      </c>
      <c r="D200">
        <v>107775986</v>
      </c>
      <c r="E200" t="s">
        <v>100</v>
      </c>
      <c r="F200" t="s">
        <v>72</v>
      </c>
      <c r="G200">
        <v>0.36</v>
      </c>
      <c r="H200">
        <v>7.12</v>
      </c>
      <c r="I200">
        <v>0</v>
      </c>
      <c r="J200">
        <v>0</v>
      </c>
      <c r="K200">
        <v>7.47</v>
      </c>
      <c r="L200" t="s">
        <v>61</v>
      </c>
      <c r="M200">
        <v>334</v>
      </c>
      <c r="N200">
        <v>44.69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70</v>
      </c>
      <c r="D201">
        <v>107775986</v>
      </c>
      <c r="E201" t="s">
        <v>100</v>
      </c>
      <c r="F201" t="s">
        <v>72</v>
      </c>
      <c r="G201">
        <v>0.36</v>
      </c>
      <c r="H201">
        <v>7.12</v>
      </c>
      <c r="I201">
        <v>0</v>
      </c>
      <c r="J201">
        <v>0</v>
      </c>
      <c r="K201">
        <v>7.47</v>
      </c>
      <c r="L201" t="s">
        <v>61</v>
      </c>
      <c r="M201">
        <v>334</v>
      </c>
      <c r="N201">
        <v>44.69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70</v>
      </c>
      <c r="D202">
        <v>107775986</v>
      </c>
      <c r="E202" t="s">
        <v>100</v>
      </c>
      <c r="F202" t="s">
        <v>72</v>
      </c>
      <c r="G202">
        <v>0.36</v>
      </c>
      <c r="H202">
        <v>7.12</v>
      </c>
      <c r="I202">
        <v>0</v>
      </c>
      <c r="J202">
        <v>0</v>
      </c>
      <c r="K202">
        <v>7.47</v>
      </c>
      <c r="L202" t="s">
        <v>61</v>
      </c>
      <c r="M202">
        <v>334</v>
      </c>
      <c r="N202">
        <v>44.69</v>
      </c>
      <c r="O202" t="s">
        <v>62</v>
      </c>
      <c r="P202" t="s">
        <v>67</v>
      </c>
      <c r="Q202">
        <v>3227</v>
      </c>
      <c r="R202">
        <v>431.75</v>
      </c>
    </row>
    <row r="203" spans="1:18" x14ac:dyDescent="0.35">
      <c r="A203" t="s">
        <v>56</v>
      </c>
      <c r="B203" t="s">
        <v>57</v>
      </c>
      <c r="C203" t="s">
        <v>70</v>
      </c>
      <c r="D203">
        <v>107775986</v>
      </c>
      <c r="E203" t="s">
        <v>100</v>
      </c>
      <c r="F203" t="s">
        <v>72</v>
      </c>
      <c r="G203">
        <v>0.36</v>
      </c>
      <c r="H203">
        <v>7.12</v>
      </c>
      <c r="I203">
        <v>0</v>
      </c>
      <c r="J203">
        <v>0</v>
      </c>
      <c r="K203">
        <v>7.47</v>
      </c>
      <c r="L203" t="s">
        <v>61</v>
      </c>
      <c r="M203">
        <v>334</v>
      </c>
      <c r="N203">
        <v>44.69</v>
      </c>
      <c r="O203" t="s">
        <v>68</v>
      </c>
      <c r="P203" t="s">
        <v>67</v>
      </c>
      <c r="Q203">
        <v>334</v>
      </c>
      <c r="R203">
        <v>44.69</v>
      </c>
    </row>
    <row r="204" spans="1:18" x14ac:dyDescent="0.35">
      <c r="A204" t="s">
        <v>56</v>
      </c>
      <c r="B204" t="s">
        <v>57</v>
      </c>
      <c r="C204" t="s">
        <v>70</v>
      </c>
      <c r="D204">
        <v>107775986</v>
      </c>
      <c r="E204" t="s">
        <v>100</v>
      </c>
      <c r="F204" t="s">
        <v>72</v>
      </c>
      <c r="G204">
        <v>0.36</v>
      </c>
      <c r="H204">
        <v>7.12</v>
      </c>
      <c r="I204">
        <v>0</v>
      </c>
      <c r="J204">
        <v>0</v>
      </c>
      <c r="K204">
        <v>7.47</v>
      </c>
      <c r="L204" t="s">
        <v>61</v>
      </c>
      <c r="M204">
        <v>334</v>
      </c>
      <c r="N204">
        <v>44.69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107826180</v>
      </c>
      <c r="E205" t="s">
        <v>566</v>
      </c>
      <c r="F205" t="s">
        <v>60</v>
      </c>
      <c r="G205">
        <v>0.17</v>
      </c>
      <c r="H205">
        <v>9.83</v>
      </c>
      <c r="I205">
        <v>0</v>
      </c>
      <c r="J205">
        <v>0</v>
      </c>
      <c r="K205">
        <v>10</v>
      </c>
      <c r="L205" t="s">
        <v>61</v>
      </c>
      <c r="M205">
        <v>375</v>
      </c>
      <c r="N205">
        <v>37.5</v>
      </c>
      <c r="O205" t="s">
        <v>62</v>
      </c>
      <c r="P205" t="s">
        <v>63</v>
      </c>
      <c r="Q205">
        <v>173</v>
      </c>
      <c r="R205">
        <v>994.89</v>
      </c>
    </row>
    <row r="206" spans="1:18" x14ac:dyDescent="0.35">
      <c r="A206" t="s">
        <v>56</v>
      </c>
      <c r="B206" t="s">
        <v>57</v>
      </c>
      <c r="C206" t="s">
        <v>70</v>
      </c>
      <c r="D206">
        <v>107826180</v>
      </c>
      <c r="E206" t="s">
        <v>566</v>
      </c>
      <c r="F206" t="s">
        <v>60</v>
      </c>
      <c r="G206">
        <v>0.17</v>
      </c>
      <c r="H206">
        <v>9.83</v>
      </c>
      <c r="I206">
        <v>0</v>
      </c>
      <c r="J206">
        <v>0</v>
      </c>
      <c r="K206">
        <v>10</v>
      </c>
      <c r="L206" t="s">
        <v>61</v>
      </c>
      <c r="M206">
        <v>375</v>
      </c>
      <c r="N206">
        <v>37.5</v>
      </c>
      <c r="O206" t="s">
        <v>62</v>
      </c>
      <c r="P206" t="s">
        <v>64</v>
      </c>
      <c r="Q206">
        <v>1992</v>
      </c>
      <c r="R206">
        <v>202.73</v>
      </c>
    </row>
    <row r="207" spans="1:18" x14ac:dyDescent="0.35">
      <c r="A207" t="s">
        <v>56</v>
      </c>
      <c r="B207" t="s">
        <v>57</v>
      </c>
      <c r="C207" t="s">
        <v>70</v>
      </c>
      <c r="D207">
        <v>107826180</v>
      </c>
      <c r="E207" t="s">
        <v>566</v>
      </c>
      <c r="F207" t="s">
        <v>60</v>
      </c>
      <c r="G207">
        <v>0.17</v>
      </c>
      <c r="H207">
        <v>9.83</v>
      </c>
      <c r="I207">
        <v>0</v>
      </c>
      <c r="J207">
        <v>0</v>
      </c>
      <c r="K207">
        <v>10</v>
      </c>
      <c r="L207" t="s">
        <v>61</v>
      </c>
      <c r="M207">
        <v>375</v>
      </c>
      <c r="N207">
        <v>37.5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70</v>
      </c>
      <c r="D208">
        <v>107826180</v>
      </c>
      <c r="E208" t="s">
        <v>566</v>
      </c>
      <c r="F208" t="s">
        <v>60</v>
      </c>
      <c r="G208">
        <v>0.17</v>
      </c>
      <c r="H208">
        <v>9.83</v>
      </c>
      <c r="I208">
        <v>0</v>
      </c>
      <c r="J208">
        <v>0</v>
      </c>
      <c r="K208">
        <v>10</v>
      </c>
      <c r="L208" t="s">
        <v>61</v>
      </c>
      <c r="M208">
        <v>375</v>
      </c>
      <c r="N208">
        <v>37.5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107826180</v>
      </c>
      <c r="E209" t="s">
        <v>566</v>
      </c>
      <c r="F209" t="s">
        <v>60</v>
      </c>
      <c r="G209">
        <v>0.17</v>
      </c>
      <c r="H209">
        <v>9.83</v>
      </c>
      <c r="I209">
        <v>0</v>
      </c>
      <c r="J209">
        <v>0</v>
      </c>
      <c r="K209">
        <v>10</v>
      </c>
      <c r="L209" t="s">
        <v>61</v>
      </c>
      <c r="M209">
        <v>375</v>
      </c>
      <c r="N209">
        <v>37.5</v>
      </c>
      <c r="O209" t="s">
        <v>62</v>
      </c>
      <c r="P209" t="s">
        <v>67</v>
      </c>
      <c r="Q209">
        <v>2165</v>
      </c>
      <c r="R209">
        <v>216.5</v>
      </c>
    </row>
    <row r="210" spans="1:18" x14ac:dyDescent="0.35">
      <c r="A210" t="s">
        <v>56</v>
      </c>
      <c r="B210" t="s">
        <v>57</v>
      </c>
      <c r="C210" t="s">
        <v>70</v>
      </c>
      <c r="D210">
        <v>107826180</v>
      </c>
      <c r="E210" t="s">
        <v>566</v>
      </c>
      <c r="F210" t="s">
        <v>60</v>
      </c>
      <c r="G210">
        <v>0.17</v>
      </c>
      <c r="H210">
        <v>9.83</v>
      </c>
      <c r="I210">
        <v>0</v>
      </c>
      <c r="J210">
        <v>0</v>
      </c>
      <c r="K210">
        <v>10</v>
      </c>
      <c r="L210" t="s">
        <v>61</v>
      </c>
      <c r="M210">
        <v>375</v>
      </c>
      <c r="N210">
        <v>37.5</v>
      </c>
      <c r="O210" t="s">
        <v>68</v>
      </c>
      <c r="P210" t="s">
        <v>67</v>
      </c>
      <c r="Q210">
        <v>375</v>
      </c>
      <c r="R210">
        <v>37.5</v>
      </c>
    </row>
    <row r="211" spans="1:18" x14ac:dyDescent="0.35">
      <c r="A211" t="s">
        <v>56</v>
      </c>
      <c r="B211" t="s">
        <v>57</v>
      </c>
      <c r="C211" t="s">
        <v>70</v>
      </c>
      <c r="D211">
        <v>107826180</v>
      </c>
      <c r="E211" t="s">
        <v>566</v>
      </c>
      <c r="F211" t="s">
        <v>60</v>
      </c>
      <c r="G211">
        <v>0.17</v>
      </c>
      <c r="H211">
        <v>9.83</v>
      </c>
      <c r="I211">
        <v>0</v>
      </c>
      <c r="J211">
        <v>0</v>
      </c>
      <c r="K211">
        <v>10</v>
      </c>
      <c r="L211" t="s">
        <v>61</v>
      </c>
      <c r="M211">
        <v>375</v>
      </c>
      <c r="N211">
        <v>37.5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58</v>
      </c>
      <c r="D212">
        <v>107826193</v>
      </c>
      <c r="E212" t="s">
        <v>538</v>
      </c>
      <c r="F212" t="s">
        <v>60</v>
      </c>
      <c r="G212">
        <v>1.45</v>
      </c>
      <c r="H212">
        <v>8.5500000000000007</v>
      </c>
      <c r="I212">
        <v>0</v>
      </c>
      <c r="J212">
        <v>0</v>
      </c>
      <c r="K212">
        <v>10</v>
      </c>
      <c r="L212" t="s">
        <v>61</v>
      </c>
      <c r="M212">
        <v>256</v>
      </c>
      <c r="N212">
        <v>25.6</v>
      </c>
      <c r="O212" t="s">
        <v>62</v>
      </c>
      <c r="P212" t="s">
        <v>63</v>
      </c>
      <c r="Q212">
        <v>1380</v>
      </c>
      <c r="R212">
        <v>953.92</v>
      </c>
    </row>
    <row r="213" spans="1:18" x14ac:dyDescent="0.35">
      <c r="A213" t="s">
        <v>56</v>
      </c>
      <c r="B213" t="s">
        <v>57</v>
      </c>
      <c r="C213" t="s">
        <v>58</v>
      </c>
      <c r="D213">
        <v>107826193</v>
      </c>
      <c r="E213" t="s">
        <v>538</v>
      </c>
      <c r="F213" t="s">
        <v>60</v>
      </c>
      <c r="G213">
        <v>1.45</v>
      </c>
      <c r="H213">
        <v>8.5500000000000007</v>
      </c>
      <c r="I213">
        <v>0</v>
      </c>
      <c r="J213">
        <v>0</v>
      </c>
      <c r="K213">
        <v>10</v>
      </c>
      <c r="L213" t="s">
        <v>61</v>
      </c>
      <c r="M213">
        <v>256</v>
      </c>
      <c r="N213">
        <v>25.6</v>
      </c>
      <c r="O213" t="s">
        <v>62</v>
      </c>
      <c r="P213" t="s">
        <v>64</v>
      </c>
      <c r="Q213">
        <v>1665</v>
      </c>
      <c r="R213">
        <v>194.67</v>
      </c>
    </row>
    <row r="214" spans="1:18" x14ac:dyDescent="0.35">
      <c r="A214" t="s">
        <v>56</v>
      </c>
      <c r="B214" t="s">
        <v>57</v>
      </c>
      <c r="C214" t="s">
        <v>58</v>
      </c>
      <c r="D214">
        <v>107826193</v>
      </c>
      <c r="E214" t="s">
        <v>538</v>
      </c>
      <c r="F214" t="s">
        <v>60</v>
      </c>
      <c r="G214">
        <v>1.45</v>
      </c>
      <c r="H214">
        <v>8.5500000000000007</v>
      </c>
      <c r="I214">
        <v>0</v>
      </c>
      <c r="J214">
        <v>0</v>
      </c>
      <c r="K214">
        <v>10</v>
      </c>
      <c r="L214" t="s">
        <v>61</v>
      </c>
      <c r="M214">
        <v>256</v>
      </c>
      <c r="N214">
        <v>25.6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58</v>
      </c>
      <c r="D215">
        <v>107826193</v>
      </c>
      <c r="E215" t="s">
        <v>538</v>
      </c>
      <c r="F215" t="s">
        <v>60</v>
      </c>
      <c r="G215">
        <v>1.45</v>
      </c>
      <c r="H215">
        <v>8.5500000000000007</v>
      </c>
      <c r="I215">
        <v>0</v>
      </c>
      <c r="J215">
        <v>0</v>
      </c>
      <c r="K215">
        <v>10</v>
      </c>
      <c r="L215" t="s">
        <v>61</v>
      </c>
      <c r="M215">
        <v>256</v>
      </c>
      <c r="N215">
        <v>25.6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58</v>
      </c>
      <c r="D216">
        <v>107826193</v>
      </c>
      <c r="E216" t="s">
        <v>538</v>
      </c>
      <c r="F216" t="s">
        <v>60</v>
      </c>
      <c r="G216">
        <v>1.45</v>
      </c>
      <c r="H216">
        <v>8.5500000000000007</v>
      </c>
      <c r="I216">
        <v>0</v>
      </c>
      <c r="J216">
        <v>0</v>
      </c>
      <c r="K216">
        <v>10</v>
      </c>
      <c r="L216" t="s">
        <v>61</v>
      </c>
      <c r="M216">
        <v>256</v>
      </c>
      <c r="N216">
        <v>25.6</v>
      </c>
      <c r="O216" t="s">
        <v>62</v>
      </c>
      <c r="P216" t="s">
        <v>67</v>
      </c>
      <c r="Q216">
        <v>3045</v>
      </c>
      <c r="R216">
        <v>304.5</v>
      </c>
    </row>
    <row r="217" spans="1:18" x14ac:dyDescent="0.35">
      <c r="A217" t="s">
        <v>56</v>
      </c>
      <c r="B217" t="s">
        <v>57</v>
      </c>
      <c r="C217" t="s">
        <v>58</v>
      </c>
      <c r="D217">
        <v>107826193</v>
      </c>
      <c r="E217" t="s">
        <v>538</v>
      </c>
      <c r="F217" t="s">
        <v>60</v>
      </c>
      <c r="G217">
        <v>1.45</v>
      </c>
      <c r="H217">
        <v>8.5500000000000007</v>
      </c>
      <c r="I217">
        <v>0</v>
      </c>
      <c r="J217">
        <v>0</v>
      </c>
      <c r="K217">
        <v>10</v>
      </c>
      <c r="L217" t="s">
        <v>61</v>
      </c>
      <c r="M217">
        <v>256</v>
      </c>
      <c r="N217">
        <v>25.6</v>
      </c>
      <c r="O217" t="s">
        <v>68</v>
      </c>
      <c r="P217" t="s">
        <v>67</v>
      </c>
      <c r="Q217">
        <v>256</v>
      </c>
      <c r="R217">
        <v>25.6</v>
      </c>
    </row>
    <row r="218" spans="1:18" x14ac:dyDescent="0.35">
      <c r="A218" t="s">
        <v>56</v>
      </c>
      <c r="B218" t="s">
        <v>57</v>
      </c>
      <c r="C218" t="s">
        <v>58</v>
      </c>
      <c r="D218">
        <v>107826193</v>
      </c>
      <c r="E218" t="s">
        <v>538</v>
      </c>
      <c r="F218" t="s">
        <v>60</v>
      </c>
      <c r="G218">
        <v>1.45</v>
      </c>
      <c r="H218">
        <v>8.5500000000000007</v>
      </c>
      <c r="I218">
        <v>0</v>
      </c>
      <c r="J218">
        <v>0</v>
      </c>
      <c r="K218">
        <v>10</v>
      </c>
      <c r="L218" t="s">
        <v>61</v>
      </c>
      <c r="M218">
        <v>256</v>
      </c>
      <c r="N218">
        <v>25.6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58</v>
      </c>
      <c r="D219">
        <v>107826201</v>
      </c>
      <c r="E219" t="s">
        <v>539</v>
      </c>
      <c r="F219" t="s">
        <v>60</v>
      </c>
      <c r="G219">
        <v>0.69</v>
      </c>
      <c r="H219">
        <v>9.24</v>
      </c>
      <c r="I219">
        <v>0</v>
      </c>
      <c r="J219">
        <v>0</v>
      </c>
      <c r="K219">
        <v>9.93</v>
      </c>
      <c r="L219" t="s">
        <v>61</v>
      </c>
      <c r="M219">
        <v>357</v>
      </c>
      <c r="N219">
        <v>35.950000000000003</v>
      </c>
      <c r="O219" t="s">
        <v>62</v>
      </c>
      <c r="P219" t="s">
        <v>63</v>
      </c>
      <c r="Q219">
        <v>588</v>
      </c>
      <c r="R219">
        <v>847.74</v>
      </c>
    </row>
    <row r="220" spans="1:18" x14ac:dyDescent="0.35">
      <c r="A220" t="s">
        <v>56</v>
      </c>
      <c r="B220" t="s">
        <v>57</v>
      </c>
      <c r="C220" t="s">
        <v>58</v>
      </c>
      <c r="D220">
        <v>107826201</v>
      </c>
      <c r="E220" t="s">
        <v>539</v>
      </c>
      <c r="F220" t="s">
        <v>60</v>
      </c>
      <c r="G220">
        <v>0.69</v>
      </c>
      <c r="H220">
        <v>9.24</v>
      </c>
      <c r="I220">
        <v>0</v>
      </c>
      <c r="J220">
        <v>0</v>
      </c>
      <c r="K220">
        <v>9.93</v>
      </c>
      <c r="L220" t="s">
        <v>61</v>
      </c>
      <c r="M220">
        <v>357</v>
      </c>
      <c r="N220">
        <v>35.950000000000003</v>
      </c>
      <c r="O220" t="s">
        <v>62</v>
      </c>
      <c r="P220" t="s">
        <v>64</v>
      </c>
      <c r="Q220">
        <v>1598</v>
      </c>
      <c r="R220">
        <v>173</v>
      </c>
    </row>
    <row r="221" spans="1:18" x14ac:dyDescent="0.35">
      <c r="A221" t="s">
        <v>56</v>
      </c>
      <c r="B221" t="s">
        <v>57</v>
      </c>
      <c r="C221" t="s">
        <v>58</v>
      </c>
      <c r="D221">
        <v>107826201</v>
      </c>
      <c r="E221" t="s">
        <v>539</v>
      </c>
      <c r="F221" t="s">
        <v>60</v>
      </c>
      <c r="G221">
        <v>0.69</v>
      </c>
      <c r="H221">
        <v>9.24</v>
      </c>
      <c r="I221">
        <v>0</v>
      </c>
      <c r="J221">
        <v>0</v>
      </c>
      <c r="K221">
        <v>9.93</v>
      </c>
      <c r="L221" t="s">
        <v>61</v>
      </c>
      <c r="M221">
        <v>357</v>
      </c>
      <c r="N221">
        <v>35.950000000000003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58</v>
      </c>
      <c r="D222">
        <v>107826201</v>
      </c>
      <c r="E222" t="s">
        <v>539</v>
      </c>
      <c r="F222" t="s">
        <v>60</v>
      </c>
      <c r="G222">
        <v>0.69</v>
      </c>
      <c r="H222">
        <v>9.24</v>
      </c>
      <c r="I222">
        <v>0</v>
      </c>
      <c r="J222">
        <v>0</v>
      </c>
      <c r="K222">
        <v>9.93</v>
      </c>
      <c r="L222" t="s">
        <v>61</v>
      </c>
      <c r="M222">
        <v>357</v>
      </c>
      <c r="N222">
        <v>35.950000000000003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58</v>
      </c>
      <c r="D223">
        <v>107826201</v>
      </c>
      <c r="E223" t="s">
        <v>539</v>
      </c>
      <c r="F223" t="s">
        <v>60</v>
      </c>
      <c r="G223">
        <v>0.69</v>
      </c>
      <c r="H223">
        <v>9.24</v>
      </c>
      <c r="I223">
        <v>0</v>
      </c>
      <c r="J223">
        <v>0</v>
      </c>
      <c r="K223">
        <v>9.93</v>
      </c>
      <c r="L223" t="s">
        <v>61</v>
      </c>
      <c r="M223">
        <v>357</v>
      </c>
      <c r="N223">
        <v>35.950000000000003</v>
      </c>
      <c r="O223" t="s">
        <v>62</v>
      </c>
      <c r="P223" t="s">
        <v>67</v>
      </c>
      <c r="Q223">
        <v>2186</v>
      </c>
      <c r="R223">
        <v>220.12</v>
      </c>
    </row>
    <row r="224" spans="1:18" x14ac:dyDescent="0.35">
      <c r="A224" t="s">
        <v>56</v>
      </c>
      <c r="B224" t="s">
        <v>57</v>
      </c>
      <c r="C224" t="s">
        <v>58</v>
      </c>
      <c r="D224">
        <v>107826201</v>
      </c>
      <c r="E224" t="s">
        <v>539</v>
      </c>
      <c r="F224" t="s">
        <v>60</v>
      </c>
      <c r="G224">
        <v>0.69</v>
      </c>
      <c r="H224">
        <v>9.24</v>
      </c>
      <c r="I224">
        <v>0</v>
      </c>
      <c r="J224">
        <v>0</v>
      </c>
      <c r="K224">
        <v>9.93</v>
      </c>
      <c r="L224" t="s">
        <v>61</v>
      </c>
      <c r="M224">
        <v>357</v>
      </c>
      <c r="N224">
        <v>35.950000000000003</v>
      </c>
      <c r="O224" t="s">
        <v>68</v>
      </c>
      <c r="P224" t="s">
        <v>67</v>
      </c>
      <c r="Q224">
        <v>357</v>
      </c>
      <c r="R224">
        <v>35.950000000000003</v>
      </c>
    </row>
    <row r="225" spans="1:18" x14ac:dyDescent="0.35">
      <c r="A225" t="s">
        <v>56</v>
      </c>
      <c r="B225" t="s">
        <v>57</v>
      </c>
      <c r="C225" t="s">
        <v>58</v>
      </c>
      <c r="D225">
        <v>107826201</v>
      </c>
      <c r="E225" t="s">
        <v>539</v>
      </c>
      <c r="F225" t="s">
        <v>60</v>
      </c>
      <c r="G225">
        <v>0.69</v>
      </c>
      <c r="H225">
        <v>9.24</v>
      </c>
      <c r="I225">
        <v>0</v>
      </c>
      <c r="J225">
        <v>0</v>
      </c>
      <c r="K225">
        <v>9.93</v>
      </c>
      <c r="L225" t="s">
        <v>61</v>
      </c>
      <c r="M225">
        <v>357</v>
      </c>
      <c r="N225">
        <v>35.950000000000003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70</v>
      </c>
      <c r="D226">
        <v>107826232</v>
      </c>
      <c r="E226" t="s">
        <v>540</v>
      </c>
      <c r="F226" t="s">
        <v>60</v>
      </c>
      <c r="G226">
        <v>0.27</v>
      </c>
      <c r="H226">
        <v>9.82</v>
      </c>
      <c r="I226">
        <v>0</v>
      </c>
      <c r="J226">
        <v>0</v>
      </c>
      <c r="K226">
        <v>10.08</v>
      </c>
      <c r="L226" t="s">
        <v>61</v>
      </c>
      <c r="M226">
        <v>264</v>
      </c>
      <c r="N226">
        <v>26.18</v>
      </c>
      <c r="O226" t="s">
        <v>62</v>
      </c>
      <c r="P226" t="s">
        <v>63</v>
      </c>
      <c r="Q226">
        <v>193</v>
      </c>
      <c r="R226">
        <v>720</v>
      </c>
    </row>
    <row r="227" spans="1:18" x14ac:dyDescent="0.35">
      <c r="A227" t="s">
        <v>56</v>
      </c>
      <c r="B227" t="s">
        <v>57</v>
      </c>
      <c r="C227" t="s">
        <v>70</v>
      </c>
      <c r="D227">
        <v>107826232</v>
      </c>
      <c r="E227" t="s">
        <v>540</v>
      </c>
      <c r="F227" t="s">
        <v>60</v>
      </c>
      <c r="G227">
        <v>0.27</v>
      </c>
      <c r="H227">
        <v>9.82</v>
      </c>
      <c r="I227">
        <v>0</v>
      </c>
      <c r="J227">
        <v>0</v>
      </c>
      <c r="K227">
        <v>10.08</v>
      </c>
      <c r="L227" t="s">
        <v>61</v>
      </c>
      <c r="M227">
        <v>264</v>
      </c>
      <c r="N227">
        <v>26.18</v>
      </c>
      <c r="O227" t="s">
        <v>62</v>
      </c>
      <c r="P227" t="s">
        <v>64</v>
      </c>
      <c r="Q227">
        <v>1441</v>
      </c>
      <c r="R227">
        <v>146.81</v>
      </c>
    </row>
    <row r="228" spans="1:18" x14ac:dyDescent="0.35">
      <c r="A228" t="s">
        <v>56</v>
      </c>
      <c r="B228" t="s">
        <v>57</v>
      </c>
      <c r="C228" t="s">
        <v>70</v>
      </c>
      <c r="D228">
        <v>107826232</v>
      </c>
      <c r="E228" t="s">
        <v>540</v>
      </c>
      <c r="F228" t="s">
        <v>60</v>
      </c>
      <c r="G228">
        <v>0.27</v>
      </c>
      <c r="H228">
        <v>9.82</v>
      </c>
      <c r="I228">
        <v>0</v>
      </c>
      <c r="J228">
        <v>0</v>
      </c>
      <c r="K228">
        <v>10.08</v>
      </c>
      <c r="L228" t="s">
        <v>61</v>
      </c>
      <c r="M228">
        <v>264</v>
      </c>
      <c r="N228">
        <v>26.18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70</v>
      </c>
      <c r="D229">
        <v>107826232</v>
      </c>
      <c r="E229" t="s">
        <v>540</v>
      </c>
      <c r="F229" t="s">
        <v>60</v>
      </c>
      <c r="G229">
        <v>0.27</v>
      </c>
      <c r="H229">
        <v>9.82</v>
      </c>
      <c r="I229">
        <v>0</v>
      </c>
      <c r="J229">
        <v>0</v>
      </c>
      <c r="K229">
        <v>10.08</v>
      </c>
      <c r="L229" t="s">
        <v>61</v>
      </c>
      <c r="M229">
        <v>264</v>
      </c>
      <c r="N229">
        <v>26.18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70</v>
      </c>
      <c r="D230">
        <v>107826232</v>
      </c>
      <c r="E230" t="s">
        <v>540</v>
      </c>
      <c r="F230" t="s">
        <v>60</v>
      </c>
      <c r="G230">
        <v>0.27</v>
      </c>
      <c r="H230">
        <v>9.82</v>
      </c>
      <c r="I230">
        <v>0</v>
      </c>
      <c r="J230">
        <v>0</v>
      </c>
      <c r="K230">
        <v>10.08</v>
      </c>
      <c r="L230" t="s">
        <v>61</v>
      </c>
      <c r="M230">
        <v>264</v>
      </c>
      <c r="N230">
        <v>26.18</v>
      </c>
      <c r="O230" t="s">
        <v>62</v>
      </c>
      <c r="P230" t="s">
        <v>67</v>
      </c>
      <c r="Q230">
        <v>1634</v>
      </c>
      <c r="R230">
        <v>162.05000000000001</v>
      </c>
    </row>
    <row r="231" spans="1:18" x14ac:dyDescent="0.35">
      <c r="A231" t="s">
        <v>56</v>
      </c>
      <c r="B231" t="s">
        <v>57</v>
      </c>
      <c r="C231" t="s">
        <v>70</v>
      </c>
      <c r="D231">
        <v>107826232</v>
      </c>
      <c r="E231" t="s">
        <v>540</v>
      </c>
      <c r="F231" t="s">
        <v>60</v>
      </c>
      <c r="G231">
        <v>0.27</v>
      </c>
      <c r="H231">
        <v>9.82</v>
      </c>
      <c r="I231">
        <v>0</v>
      </c>
      <c r="J231">
        <v>0</v>
      </c>
      <c r="K231">
        <v>10.08</v>
      </c>
      <c r="L231" t="s">
        <v>61</v>
      </c>
      <c r="M231">
        <v>264</v>
      </c>
      <c r="N231">
        <v>26.18</v>
      </c>
      <c r="O231" t="s">
        <v>68</v>
      </c>
      <c r="P231" t="s">
        <v>67</v>
      </c>
      <c r="Q231">
        <v>264</v>
      </c>
      <c r="R231">
        <v>26.18</v>
      </c>
    </row>
    <row r="232" spans="1:18" x14ac:dyDescent="0.35">
      <c r="A232" t="s">
        <v>56</v>
      </c>
      <c r="B232" t="s">
        <v>57</v>
      </c>
      <c r="C232" t="s">
        <v>70</v>
      </c>
      <c r="D232">
        <v>107826232</v>
      </c>
      <c r="E232" t="s">
        <v>540</v>
      </c>
      <c r="F232" t="s">
        <v>60</v>
      </c>
      <c r="G232">
        <v>0.27</v>
      </c>
      <c r="H232">
        <v>9.82</v>
      </c>
      <c r="I232">
        <v>0</v>
      </c>
      <c r="J232">
        <v>0</v>
      </c>
      <c r="K232">
        <v>10.08</v>
      </c>
      <c r="L232" t="s">
        <v>61</v>
      </c>
      <c r="M232">
        <v>264</v>
      </c>
      <c r="N232">
        <v>26.18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70</v>
      </c>
      <c r="D233">
        <v>107843844</v>
      </c>
      <c r="E233" t="s">
        <v>542</v>
      </c>
      <c r="F233" t="s">
        <v>72</v>
      </c>
      <c r="G233">
        <v>0.43</v>
      </c>
      <c r="H233">
        <v>9.5</v>
      </c>
      <c r="I233">
        <v>7.0000000000000007E-2</v>
      </c>
      <c r="J233">
        <v>0</v>
      </c>
      <c r="K233">
        <v>10</v>
      </c>
      <c r="L233" t="s">
        <v>61</v>
      </c>
      <c r="M233">
        <v>451</v>
      </c>
      <c r="N233">
        <v>45.1</v>
      </c>
      <c r="O233" t="s">
        <v>62</v>
      </c>
      <c r="P233" t="s">
        <v>63</v>
      </c>
      <c r="Q233">
        <v>516</v>
      </c>
      <c r="R233">
        <v>1204.67</v>
      </c>
    </row>
    <row r="234" spans="1:18" x14ac:dyDescent="0.35">
      <c r="A234" t="s">
        <v>56</v>
      </c>
      <c r="B234" t="s">
        <v>57</v>
      </c>
      <c r="C234" t="s">
        <v>70</v>
      </c>
      <c r="D234">
        <v>107843844</v>
      </c>
      <c r="E234" t="s">
        <v>542</v>
      </c>
      <c r="F234" t="s">
        <v>72</v>
      </c>
      <c r="G234">
        <v>0.43</v>
      </c>
      <c r="H234">
        <v>9.5</v>
      </c>
      <c r="I234">
        <v>7.0000000000000007E-2</v>
      </c>
      <c r="J234">
        <v>0</v>
      </c>
      <c r="K234">
        <v>10</v>
      </c>
      <c r="L234" t="s">
        <v>61</v>
      </c>
      <c r="M234">
        <v>451</v>
      </c>
      <c r="N234">
        <v>45.1</v>
      </c>
      <c r="O234" t="s">
        <v>62</v>
      </c>
      <c r="P234" t="s">
        <v>64</v>
      </c>
      <c r="Q234">
        <v>2335</v>
      </c>
      <c r="R234">
        <v>245.78</v>
      </c>
    </row>
    <row r="235" spans="1:18" x14ac:dyDescent="0.35">
      <c r="A235" t="s">
        <v>56</v>
      </c>
      <c r="B235" t="s">
        <v>57</v>
      </c>
      <c r="C235" t="s">
        <v>70</v>
      </c>
      <c r="D235">
        <v>107843844</v>
      </c>
      <c r="E235" t="s">
        <v>542</v>
      </c>
      <c r="F235" t="s">
        <v>72</v>
      </c>
      <c r="G235">
        <v>0.43</v>
      </c>
      <c r="H235">
        <v>9.5</v>
      </c>
      <c r="I235">
        <v>7.0000000000000007E-2</v>
      </c>
      <c r="J235">
        <v>0</v>
      </c>
      <c r="K235">
        <v>10</v>
      </c>
      <c r="L235" t="s">
        <v>61</v>
      </c>
      <c r="M235">
        <v>451</v>
      </c>
      <c r="N235">
        <v>45.1</v>
      </c>
      <c r="O235" t="s">
        <v>62</v>
      </c>
      <c r="P235" t="s">
        <v>65</v>
      </c>
      <c r="Q235">
        <v>16</v>
      </c>
      <c r="R235">
        <v>225.88</v>
      </c>
    </row>
    <row r="236" spans="1:18" x14ac:dyDescent="0.35">
      <c r="A236" t="s">
        <v>56</v>
      </c>
      <c r="B236" t="s">
        <v>57</v>
      </c>
      <c r="C236" t="s">
        <v>70</v>
      </c>
      <c r="D236">
        <v>107843844</v>
      </c>
      <c r="E236" t="s">
        <v>542</v>
      </c>
      <c r="F236" t="s">
        <v>72</v>
      </c>
      <c r="G236">
        <v>0.43</v>
      </c>
      <c r="H236">
        <v>9.5</v>
      </c>
      <c r="I236">
        <v>7.0000000000000007E-2</v>
      </c>
      <c r="J236">
        <v>0</v>
      </c>
      <c r="K236">
        <v>10</v>
      </c>
      <c r="L236" t="s">
        <v>61</v>
      </c>
      <c r="M236">
        <v>451</v>
      </c>
      <c r="N236">
        <v>45.1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70</v>
      </c>
      <c r="D237">
        <v>107843844</v>
      </c>
      <c r="E237" t="s">
        <v>542</v>
      </c>
      <c r="F237" t="s">
        <v>72</v>
      </c>
      <c r="G237">
        <v>0.43</v>
      </c>
      <c r="H237">
        <v>9.5</v>
      </c>
      <c r="I237">
        <v>7.0000000000000007E-2</v>
      </c>
      <c r="J237">
        <v>0</v>
      </c>
      <c r="K237">
        <v>10</v>
      </c>
      <c r="L237" t="s">
        <v>61</v>
      </c>
      <c r="M237">
        <v>451</v>
      </c>
      <c r="N237">
        <v>45.1</v>
      </c>
      <c r="O237" t="s">
        <v>62</v>
      </c>
      <c r="P237" t="s">
        <v>67</v>
      </c>
      <c r="Q237">
        <v>2867</v>
      </c>
      <c r="R237">
        <v>286.7</v>
      </c>
    </row>
    <row r="238" spans="1:18" x14ac:dyDescent="0.35">
      <c r="A238" t="s">
        <v>56</v>
      </c>
      <c r="B238" t="s">
        <v>57</v>
      </c>
      <c r="C238" t="s">
        <v>70</v>
      </c>
      <c r="D238">
        <v>107843844</v>
      </c>
      <c r="E238" t="s">
        <v>542</v>
      </c>
      <c r="F238" t="s">
        <v>72</v>
      </c>
      <c r="G238">
        <v>0.43</v>
      </c>
      <c r="H238">
        <v>9.5</v>
      </c>
      <c r="I238">
        <v>7.0000000000000007E-2</v>
      </c>
      <c r="J238">
        <v>0</v>
      </c>
      <c r="K238">
        <v>10</v>
      </c>
      <c r="L238" t="s">
        <v>61</v>
      </c>
      <c r="M238">
        <v>451</v>
      </c>
      <c r="N238">
        <v>45.1</v>
      </c>
      <c r="O238" t="s">
        <v>68</v>
      </c>
      <c r="P238" t="s">
        <v>67</v>
      </c>
      <c r="Q238">
        <v>451</v>
      </c>
      <c r="R238">
        <v>45.1</v>
      </c>
    </row>
    <row r="239" spans="1:18" x14ac:dyDescent="0.35">
      <c r="A239" t="s">
        <v>56</v>
      </c>
      <c r="B239" t="s">
        <v>57</v>
      </c>
      <c r="C239" t="s">
        <v>70</v>
      </c>
      <c r="D239">
        <v>107843844</v>
      </c>
      <c r="E239" t="s">
        <v>542</v>
      </c>
      <c r="F239" t="s">
        <v>72</v>
      </c>
      <c r="G239">
        <v>0.43</v>
      </c>
      <c r="H239">
        <v>9.5</v>
      </c>
      <c r="I239">
        <v>7.0000000000000007E-2</v>
      </c>
      <c r="J239">
        <v>0</v>
      </c>
      <c r="K239">
        <v>10</v>
      </c>
      <c r="L239" t="s">
        <v>61</v>
      </c>
      <c r="M239">
        <v>451</v>
      </c>
      <c r="N239">
        <v>45.1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107843876</v>
      </c>
      <c r="E240" t="s">
        <v>543</v>
      </c>
      <c r="F240" t="s">
        <v>72</v>
      </c>
      <c r="G240">
        <v>0.21</v>
      </c>
      <c r="H240">
        <v>9.17</v>
      </c>
      <c r="I240">
        <v>0</v>
      </c>
      <c r="J240">
        <v>0</v>
      </c>
      <c r="K240">
        <v>9.3699999999999992</v>
      </c>
      <c r="L240" t="s">
        <v>61</v>
      </c>
      <c r="M240">
        <v>323</v>
      </c>
      <c r="N240">
        <v>34.46</v>
      </c>
      <c r="O240" t="s">
        <v>62</v>
      </c>
      <c r="P240" t="s">
        <v>63</v>
      </c>
      <c r="Q240">
        <v>190</v>
      </c>
      <c r="R240">
        <v>923.08</v>
      </c>
    </row>
    <row r="241" spans="1:18" x14ac:dyDescent="0.35">
      <c r="A241" t="s">
        <v>56</v>
      </c>
      <c r="B241" t="s">
        <v>57</v>
      </c>
      <c r="C241" t="s">
        <v>70</v>
      </c>
      <c r="D241">
        <v>107843876</v>
      </c>
      <c r="E241" t="s">
        <v>543</v>
      </c>
      <c r="F241" t="s">
        <v>72</v>
      </c>
      <c r="G241">
        <v>0.21</v>
      </c>
      <c r="H241">
        <v>9.17</v>
      </c>
      <c r="I241">
        <v>0</v>
      </c>
      <c r="J241">
        <v>0</v>
      </c>
      <c r="K241">
        <v>9.3699999999999992</v>
      </c>
      <c r="L241" t="s">
        <v>61</v>
      </c>
      <c r="M241">
        <v>323</v>
      </c>
      <c r="N241">
        <v>34.46</v>
      </c>
      <c r="O241" t="s">
        <v>62</v>
      </c>
      <c r="P241" t="s">
        <v>64</v>
      </c>
      <c r="Q241">
        <v>1725</v>
      </c>
      <c r="R241">
        <v>188.16</v>
      </c>
    </row>
    <row r="242" spans="1:18" x14ac:dyDescent="0.35">
      <c r="A242" t="s">
        <v>56</v>
      </c>
      <c r="B242" t="s">
        <v>57</v>
      </c>
      <c r="C242" t="s">
        <v>70</v>
      </c>
      <c r="D242">
        <v>107843876</v>
      </c>
      <c r="E242" t="s">
        <v>543</v>
      </c>
      <c r="F242" t="s">
        <v>72</v>
      </c>
      <c r="G242">
        <v>0.21</v>
      </c>
      <c r="H242">
        <v>9.17</v>
      </c>
      <c r="I242">
        <v>0</v>
      </c>
      <c r="J242">
        <v>0</v>
      </c>
      <c r="K242">
        <v>9.3699999999999992</v>
      </c>
      <c r="L242" t="s">
        <v>61</v>
      </c>
      <c r="M242">
        <v>323</v>
      </c>
      <c r="N242">
        <v>34.46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107843876</v>
      </c>
      <c r="E243" t="s">
        <v>543</v>
      </c>
      <c r="F243" t="s">
        <v>72</v>
      </c>
      <c r="G243">
        <v>0.21</v>
      </c>
      <c r="H243">
        <v>9.17</v>
      </c>
      <c r="I243">
        <v>0</v>
      </c>
      <c r="J243">
        <v>0</v>
      </c>
      <c r="K243">
        <v>9.3699999999999992</v>
      </c>
      <c r="L243" t="s">
        <v>61</v>
      </c>
      <c r="M243">
        <v>323</v>
      </c>
      <c r="N243">
        <v>34.46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107843876</v>
      </c>
      <c r="E244" t="s">
        <v>543</v>
      </c>
      <c r="F244" t="s">
        <v>72</v>
      </c>
      <c r="G244">
        <v>0.21</v>
      </c>
      <c r="H244">
        <v>9.17</v>
      </c>
      <c r="I244">
        <v>0</v>
      </c>
      <c r="J244">
        <v>0</v>
      </c>
      <c r="K244">
        <v>9.3699999999999992</v>
      </c>
      <c r="L244" t="s">
        <v>61</v>
      </c>
      <c r="M244">
        <v>323</v>
      </c>
      <c r="N244">
        <v>34.46</v>
      </c>
      <c r="O244" t="s">
        <v>62</v>
      </c>
      <c r="P244" t="s">
        <v>67</v>
      </c>
      <c r="Q244">
        <v>1915</v>
      </c>
      <c r="R244">
        <v>204.3</v>
      </c>
    </row>
    <row r="245" spans="1:18" x14ac:dyDescent="0.35">
      <c r="A245" t="s">
        <v>56</v>
      </c>
      <c r="B245" t="s">
        <v>57</v>
      </c>
      <c r="C245" t="s">
        <v>70</v>
      </c>
      <c r="D245">
        <v>107843876</v>
      </c>
      <c r="E245" t="s">
        <v>543</v>
      </c>
      <c r="F245" t="s">
        <v>72</v>
      </c>
      <c r="G245">
        <v>0.21</v>
      </c>
      <c r="H245">
        <v>9.17</v>
      </c>
      <c r="I245">
        <v>0</v>
      </c>
      <c r="J245">
        <v>0</v>
      </c>
      <c r="K245">
        <v>9.3699999999999992</v>
      </c>
      <c r="L245" t="s">
        <v>61</v>
      </c>
      <c r="M245">
        <v>323</v>
      </c>
      <c r="N245">
        <v>34.46</v>
      </c>
      <c r="O245" t="s">
        <v>68</v>
      </c>
      <c r="P245" t="s">
        <v>67</v>
      </c>
      <c r="Q245">
        <v>323</v>
      </c>
      <c r="R245">
        <v>34.46</v>
      </c>
    </row>
    <row r="246" spans="1:18" x14ac:dyDescent="0.35">
      <c r="A246" t="s">
        <v>56</v>
      </c>
      <c r="B246" t="s">
        <v>57</v>
      </c>
      <c r="C246" t="s">
        <v>70</v>
      </c>
      <c r="D246">
        <v>107843876</v>
      </c>
      <c r="E246" t="s">
        <v>543</v>
      </c>
      <c r="F246" t="s">
        <v>72</v>
      </c>
      <c r="G246">
        <v>0.21</v>
      </c>
      <c r="H246">
        <v>9.17</v>
      </c>
      <c r="I246">
        <v>0</v>
      </c>
      <c r="J246">
        <v>0</v>
      </c>
      <c r="K246">
        <v>9.3699999999999992</v>
      </c>
      <c r="L246" t="s">
        <v>61</v>
      </c>
      <c r="M246">
        <v>323</v>
      </c>
      <c r="N246">
        <v>34.46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70</v>
      </c>
      <c r="D247">
        <v>107843891</v>
      </c>
      <c r="E247" t="s">
        <v>544</v>
      </c>
      <c r="F247" t="s">
        <v>72</v>
      </c>
      <c r="G247">
        <v>0.83</v>
      </c>
      <c r="H247">
        <v>8.61</v>
      </c>
      <c r="I247">
        <v>0</v>
      </c>
      <c r="J247">
        <v>0</v>
      </c>
      <c r="K247">
        <v>9.44</v>
      </c>
      <c r="L247" t="s">
        <v>61</v>
      </c>
      <c r="M247">
        <v>297</v>
      </c>
      <c r="N247">
        <v>31.45</v>
      </c>
      <c r="O247" t="s">
        <v>62</v>
      </c>
      <c r="P247" t="s">
        <v>63</v>
      </c>
      <c r="Q247">
        <v>604</v>
      </c>
      <c r="R247">
        <v>724.08</v>
      </c>
    </row>
    <row r="248" spans="1:18" x14ac:dyDescent="0.35">
      <c r="A248" t="s">
        <v>56</v>
      </c>
      <c r="B248" t="s">
        <v>57</v>
      </c>
      <c r="C248" t="s">
        <v>70</v>
      </c>
      <c r="D248">
        <v>107843891</v>
      </c>
      <c r="E248" t="s">
        <v>544</v>
      </c>
      <c r="F248" t="s">
        <v>72</v>
      </c>
      <c r="G248">
        <v>0.83</v>
      </c>
      <c r="H248">
        <v>8.61</v>
      </c>
      <c r="I248">
        <v>0</v>
      </c>
      <c r="J248">
        <v>0</v>
      </c>
      <c r="K248">
        <v>9.44</v>
      </c>
      <c r="L248" t="s">
        <v>61</v>
      </c>
      <c r="M248">
        <v>297</v>
      </c>
      <c r="N248">
        <v>31.45</v>
      </c>
      <c r="O248" t="s">
        <v>62</v>
      </c>
      <c r="P248" t="s">
        <v>64</v>
      </c>
      <c r="Q248">
        <v>1272</v>
      </c>
      <c r="R248">
        <v>147.76</v>
      </c>
    </row>
    <row r="249" spans="1:18" x14ac:dyDescent="0.35">
      <c r="A249" t="s">
        <v>56</v>
      </c>
      <c r="B249" t="s">
        <v>57</v>
      </c>
      <c r="C249" t="s">
        <v>70</v>
      </c>
      <c r="D249">
        <v>107843891</v>
      </c>
      <c r="E249" t="s">
        <v>544</v>
      </c>
      <c r="F249" t="s">
        <v>72</v>
      </c>
      <c r="G249">
        <v>0.83</v>
      </c>
      <c r="H249">
        <v>8.61</v>
      </c>
      <c r="I249">
        <v>0</v>
      </c>
      <c r="J249">
        <v>0</v>
      </c>
      <c r="K249">
        <v>9.44</v>
      </c>
      <c r="L249" t="s">
        <v>61</v>
      </c>
      <c r="M249">
        <v>297</v>
      </c>
      <c r="N249">
        <v>31.45</v>
      </c>
      <c r="O249" t="s">
        <v>62</v>
      </c>
      <c r="P249" t="s">
        <v>65</v>
      </c>
      <c r="Q249">
        <v>0</v>
      </c>
      <c r="R249">
        <v>0</v>
      </c>
    </row>
    <row r="250" spans="1:18" x14ac:dyDescent="0.35">
      <c r="A250" t="s">
        <v>56</v>
      </c>
      <c r="B250" t="s">
        <v>57</v>
      </c>
      <c r="C250" t="s">
        <v>70</v>
      </c>
      <c r="D250">
        <v>107843891</v>
      </c>
      <c r="E250" t="s">
        <v>544</v>
      </c>
      <c r="F250" t="s">
        <v>72</v>
      </c>
      <c r="G250">
        <v>0.83</v>
      </c>
      <c r="H250">
        <v>8.61</v>
      </c>
      <c r="I250">
        <v>0</v>
      </c>
      <c r="J250">
        <v>0</v>
      </c>
      <c r="K250">
        <v>9.44</v>
      </c>
      <c r="L250" t="s">
        <v>61</v>
      </c>
      <c r="M250">
        <v>297</v>
      </c>
      <c r="N250">
        <v>31.45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107843891</v>
      </c>
      <c r="E251" t="s">
        <v>544</v>
      </c>
      <c r="F251" t="s">
        <v>72</v>
      </c>
      <c r="G251">
        <v>0.83</v>
      </c>
      <c r="H251">
        <v>8.61</v>
      </c>
      <c r="I251">
        <v>0</v>
      </c>
      <c r="J251">
        <v>0</v>
      </c>
      <c r="K251">
        <v>9.44</v>
      </c>
      <c r="L251" t="s">
        <v>61</v>
      </c>
      <c r="M251">
        <v>297</v>
      </c>
      <c r="N251">
        <v>31.45</v>
      </c>
      <c r="O251" t="s">
        <v>62</v>
      </c>
      <c r="P251" t="s">
        <v>67</v>
      </c>
      <c r="Q251">
        <v>1876</v>
      </c>
      <c r="R251">
        <v>198.66</v>
      </c>
    </row>
    <row r="252" spans="1:18" x14ac:dyDescent="0.35">
      <c r="A252" t="s">
        <v>56</v>
      </c>
      <c r="B252" t="s">
        <v>57</v>
      </c>
      <c r="C252" t="s">
        <v>70</v>
      </c>
      <c r="D252">
        <v>107843891</v>
      </c>
      <c r="E252" t="s">
        <v>544</v>
      </c>
      <c r="F252" t="s">
        <v>72</v>
      </c>
      <c r="G252">
        <v>0.83</v>
      </c>
      <c r="H252">
        <v>8.61</v>
      </c>
      <c r="I252">
        <v>0</v>
      </c>
      <c r="J252">
        <v>0</v>
      </c>
      <c r="K252">
        <v>9.44</v>
      </c>
      <c r="L252" t="s">
        <v>61</v>
      </c>
      <c r="M252">
        <v>297</v>
      </c>
      <c r="N252">
        <v>31.45</v>
      </c>
      <c r="O252" t="s">
        <v>68</v>
      </c>
      <c r="P252" t="s">
        <v>67</v>
      </c>
      <c r="Q252">
        <v>297</v>
      </c>
      <c r="R252">
        <v>31.45</v>
      </c>
    </row>
    <row r="253" spans="1:18" x14ac:dyDescent="0.35">
      <c r="A253" t="s">
        <v>56</v>
      </c>
      <c r="B253" t="s">
        <v>57</v>
      </c>
      <c r="C253" t="s">
        <v>70</v>
      </c>
      <c r="D253">
        <v>107843891</v>
      </c>
      <c r="E253" t="s">
        <v>544</v>
      </c>
      <c r="F253" t="s">
        <v>72</v>
      </c>
      <c r="G253">
        <v>0.83</v>
      </c>
      <c r="H253">
        <v>8.61</v>
      </c>
      <c r="I253">
        <v>0</v>
      </c>
      <c r="J253">
        <v>0</v>
      </c>
      <c r="K253">
        <v>9.44</v>
      </c>
      <c r="L253" t="s">
        <v>61</v>
      </c>
      <c r="M253">
        <v>297</v>
      </c>
      <c r="N253">
        <v>31.45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70</v>
      </c>
      <c r="D254">
        <v>107844157</v>
      </c>
      <c r="E254" t="s">
        <v>545</v>
      </c>
      <c r="F254" t="s">
        <v>72</v>
      </c>
      <c r="G254">
        <v>0.79</v>
      </c>
      <c r="H254">
        <v>9.2100000000000009</v>
      </c>
      <c r="I254">
        <v>0</v>
      </c>
      <c r="J254">
        <v>0</v>
      </c>
      <c r="K254">
        <v>10</v>
      </c>
      <c r="L254" t="s">
        <v>61</v>
      </c>
      <c r="M254">
        <v>227</v>
      </c>
      <c r="N254">
        <v>22.7</v>
      </c>
      <c r="O254" t="s">
        <v>62</v>
      </c>
      <c r="P254" t="s">
        <v>63</v>
      </c>
      <c r="Q254">
        <v>418</v>
      </c>
      <c r="R254">
        <v>532.29999999999995</v>
      </c>
    </row>
    <row r="255" spans="1:18" x14ac:dyDescent="0.35">
      <c r="A255" t="s">
        <v>56</v>
      </c>
      <c r="B255" t="s">
        <v>57</v>
      </c>
      <c r="C255" t="s">
        <v>70</v>
      </c>
      <c r="D255">
        <v>107844157</v>
      </c>
      <c r="E255" t="s">
        <v>545</v>
      </c>
      <c r="F255" t="s">
        <v>72</v>
      </c>
      <c r="G255">
        <v>0.79</v>
      </c>
      <c r="H255">
        <v>9.2100000000000009</v>
      </c>
      <c r="I255">
        <v>0</v>
      </c>
      <c r="J255">
        <v>0</v>
      </c>
      <c r="K255">
        <v>10</v>
      </c>
      <c r="L255" t="s">
        <v>61</v>
      </c>
      <c r="M255">
        <v>227</v>
      </c>
      <c r="N255">
        <v>22.7</v>
      </c>
      <c r="O255" t="s">
        <v>62</v>
      </c>
      <c r="P255" t="s">
        <v>64</v>
      </c>
      <c r="Q255">
        <v>1001</v>
      </c>
      <c r="R255">
        <v>108.63</v>
      </c>
    </row>
    <row r="256" spans="1:18" x14ac:dyDescent="0.35">
      <c r="A256" t="s">
        <v>56</v>
      </c>
      <c r="B256" t="s">
        <v>57</v>
      </c>
      <c r="C256" t="s">
        <v>70</v>
      </c>
      <c r="D256">
        <v>107844157</v>
      </c>
      <c r="E256" t="s">
        <v>545</v>
      </c>
      <c r="F256" t="s">
        <v>72</v>
      </c>
      <c r="G256">
        <v>0.79</v>
      </c>
      <c r="H256">
        <v>9.2100000000000009</v>
      </c>
      <c r="I256">
        <v>0</v>
      </c>
      <c r="J256">
        <v>0</v>
      </c>
      <c r="K256">
        <v>10</v>
      </c>
      <c r="L256" t="s">
        <v>61</v>
      </c>
      <c r="M256">
        <v>227</v>
      </c>
      <c r="N256">
        <v>22.7</v>
      </c>
      <c r="O256" t="s">
        <v>62</v>
      </c>
      <c r="P256" t="s">
        <v>65</v>
      </c>
      <c r="Q256">
        <v>0</v>
      </c>
      <c r="R256">
        <v>0</v>
      </c>
    </row>
    <row r="257" spans="1:18" x14ac:dyDescent="0.35">
      <c r="A257" t="s">
        <v>56</v>
      </c>
      <c r="B257" t="s">
        <v>57</v>
      </c>
      <c r="C257" t="s">
        <v>70</v>
      </c>
      <c r="D257">
        <v>107844157</v>
      </c>
      <c r="E257" t="s">
        <v>545</v>
      </c>
      <c r="F257" t="s">
        <v>72</v>
      </c>
      <c r="G257">
        <v>0.79</v>
      </c>
      <c r="H257">
        <v>9.2100000000000009</v>
      </c>
      <c r="I257">
        <v>0</v>
      </c>
      <c r="J257">
        <v>0</v>
      </c>
      <c r="K257">
        <v>10</v>
      </c>
      <c r="L257" t="s">
        <v>61</v>
      </c>
      <c r="M257">
        <v>227</v>
      </c>
      <c r="N257">
        <v>22.7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70</v>
      </c>
      <c r="D258">
        <v>107844157</v>
      </c>
      <c r="E258" t="s">
        <v>545</v>
      </c>
      <c r="F258" t="s">
        <v>72</v>
      </c>
      <c r="G258">
        <v>0.79</v>
      </c>
      <c r="H258">
        <v>9.2100000000000009</v>
      </c>
      <c r="I258">
        <v>0</v>
      </c>
      <c r="J258">
        <v>0</v>
      </c>
      <c r="K258">
        <v>10</v>
      </c>
      <c r="L258" t="s">
        <v>61</v>
      </c>
      <c r="M258">
        <v>227</v>
      </c>
      <c r="N258">
        <v>22.7</v>
      </c>
      <c r="O258" t="s">
        <v>62</v>
      </c>
      <c r="P258" t="s">
        <v>67</v>
      </c>
      <c r="Q258">
        <v>1419</v>
      </c>
      <c r="R258">
        <v>141.9</v>
      </c>
    </row>
    <row r="259" spans="1:18" x14ac:dyDescent="0.35">
      <c r="A259" t="s">
        <v>56</v>
      </c>
      <c r="B259" t="s">
        <v>57</v>
      </c>
      <c r="C259" t="s">
        <v>70</v>
      </c>
      <c r="D259">
        <v>107844157</v>
      </c>
      <c r="E259" t="s">
        <v>545</v>
      </c>
      <c r="F259" t="s">
        <v>72</v>
      </c>
      <c r="G259">
        <v>0.79</v>
      </c>
      <c r="H259">
        <v>9.2100000000000009</v>
      </c>
      <c r="I259">
        <v>0</v>
      </c>
      <c r="J259">
        <v>0</v>
      </c>
      <c r="K259">
        <v>10</v>
      </c>
      <c r="L259" t="s">
        <v>61</v>
      </c>
      <c r="M259">
        <v>227</v>
      </c>
      <c r="N259">
        <v>22.7</v>
      </c>
      <c r="O259" t="s">
        <v>68</v>
      </c>
      <c r="P259" t="s">
        <v>67</v>
      </c>
      <c r="Q259">
        <v>227</v>
      </c>
      <c r="R259">
        <v>22.7</v>
      </c>
    </row>
    <row r="260" spans="1:18" x14ac:dyDescent="0.35">
      <c r="A260" t="s">
        <v>56</v>
      </c>
      <c r="B260" t="s">
        <v>57</v>
      </c>
      <c r="C260" t="s">
        <v>70</v>
      </c>
      <c r="D260">
        <v>107844157</v>
      </c>
      <c r="E260" t="s">
        <v>545</v>
      </c>
      <c r="F260" t="s">
        <v>72</v>
      </c>
      <c r="G260">
        <v>0.79</v>
      </c>
      <c r="H260">
        <v>9.2100000000000009</v>
      </c>
      <c r="I260">
        <v>0</v>
      </c>
      <c r="J260">
        <v>0</v>
      </c>
      <c r="K260">
        <v>10</v>
      </c>
      <c r="L260" t="s">
        <v>61</v>
      </c>
      <c r="M260">
        <v>227</v>
      </c>
      <c r="N260">
        <v>22.7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70</v>
      </c>
      <c r="D261">
        <v>107844158</v>
      </c>
      <c r="E261" t="s">
        <v>546</v>
      </c>
      <c r="F261" t="s">
        <v>72</v>
      </c>
      <c r="G261">
        <v>0.65</v>
      </c>
      <c r="H261">
        <v>9.35</v>
      </c>
      <c r="I261">
        <v>0</v>
      </c>
      <c r="J261">
        <v>0</v>
      </c>
      <c r="K261">
        <v>10</v>
      </c>
      <c r="L261" t="s">
        <v>61</v>
      </c>
      <c r="M261">
        <v>434</v>
      </c>
      <c r="N261">
        <v>43.4</v>
      </c>
      <c r="O261" t="s">
        <v>62</v>
      </c>
      <c r="P261" t="s">
        <v>63</v>
      </c>
      <c r="Q261">
        <v>786</v>
      </c>
      <c r="R261">
        <v>1214.94</v>
      </c>
    </row>
    <row r="262" spans="1:18" x14ac:dyDescent="0.35">
      <c r="A262" t="s">
        <v>56</v>
      </c>
      <c r="B262" t="s">
        <v>57</v>
      </c>
      <c r="C262" t="s">
        <v>70</v>
      </c>
      <c r="D262">
        <v>107844158</v>
      </c>
      <c r="E262" t="s">
        <v>546</v>
      </c>
      <c r="F262" t="s">
        <v>72</v>
      </c>
      <c r="G262">
        <v>0.65</v>
      </c>
      <c r="H262">
        <v>9.35</v>
      </c>
      <c r="I262">
        <v>0</v>
      </c>
      <c r="J262">
        <v>0</v>
      </c>
      <c r="K262">
        <v>10</v>
      </c>
      <c r="L262" t="s">
        <v>61</v>
      </c>
      <c r="M262">
        <v>434</v>
      </c>
      <c r="N262">
        <v>43.4</v>
      </c>
      <c r="O262" t="s">
        <v>62</v>
      </c>
      <c r="P262" t="s">
        <v>64</v>
      </c>
      <c r="Q262">
        <v>2319</v>
      </c>
      <c r="R262">
        <v>247.95</v>
      </c>
    </row>
    <row r="263" spans="1:18" x14ac:dyDescent="0.35">
      <c r="A263" t="s">
        <v>56</v>
      </c>
      <c r="B263" t="s">
        <v>57</v>
      </c>
      <c r="C263" t="s">
        <v>70</v>
      </c>
      <c r="D263">
        <v>107844158</v>
      </c>
      <c r="E263" t="s">
        <v>546</v>
      </c>
      <c r="F263" t="s">
        <v>72</v>
      </c>
      <c r="G263">
        <v>0.65</v>
      </c>
      <c r="H263">
        <v>9.35</v>
      </c>
      <c r="I263">
        <v>0</v>
      </c>
      <c r="J263">
        <v>0</v>
      </c>
      <c r="K263">
        <v>10</v>
      </c>
      <c r="L263" t="s">
        <v>61</v>
      </c>
      <c r="M263">
        <v>434</v>
      </c>
      <c r="N263">
        <v>43.4</v>
      </c>
      <c r="O263" t="s">
        <v>62</v>
      </c>
      <c r="P263" t="s">
        <v>65</v>
      </c>
      <c r="Q263">
        <v>0</v>
      </c>
      <c r="R263">
        <v>0</v>
      </c>
    </row>
    <row r="264" spans="1:18" x14ac:dyDescent="0.35">
      <c r="A264" t="s">
        <v>56</v>
      </c>
      <c r="B264" t="s">
        <v>57</v>
      </c>
      <c r="C264" t="s">
        <v>70</v>
      </c>
      <c r="D264">
        <v>107844158</v>
      </c>
      <c r="E264" t="s">
        <v>546</v>
      </c>
      <c r="F264" t="s">
        <v>72</v>
      </c>
      <c r="G264">
        <v>0.65</v>
      </c>
      <c r="H264">
        <v>9.35</v>
      </c>
      <c r="I264">
        <v>0</v>
      </c>
      <c r="J264">
        <v>0</v>
      </c>
      <c r="K264">
        <v>10</v>
      </c>
      <c r="L264" t="s">
        <v>61</v>
      </c>
      <c r="M264">
        <v>434</v>
      </c>
      <c r="N264">
        <v>43.4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70</v>
      </c>
      <c r="D265">
        <v>107844158</v>
      </c>
      <c r="E265" t="s">
        <v>546</v>
      </c>
      <c r="F265" t="s">
        <v>72</v>
      </c>
      <c r="G265">
        <v>0.65</v>
      </c>
      <c r="H265">
        <v>9.35</v>
      </c>
      <c r="I265">
        <v>0</v>
      </c>
      <c r="J265">
        <v>0</v>
      </c>
      <c r="K265">
        <v>10</v>
      </c>
      <c r="L265" t="s">
        <v>61</v>
      </c>
      <c r="M265">
        <v>434</v>
      </c>
      <c r="N265">
        <v>43.4</v>
      </c>
      <c r="O265" t="s">
        <v>62</v>
      </c>
      <c r="P265" t="s">
        <v>67</v>
      </c>
      <c r="Q265">
        <v>3105</v>
      </c>
      <c r="R265">
        <v>310.5</v>
      </c>
    </row>
    <row r="266" spans="1:18" x14ac:dyDescent="0.35">
      <c r="A266" t="s">
        <v>56</v>
      </c>
      <c r="B266" t="s">
        <v>57</v>
      </c>
      <c r="C266" t="s">
        <v>70</v>
      </c>
      <c r="D266">
        <v>107844158</v>
      </c>
      <c r="E266" t="s">
        <v>546</v>
      </c>
      <c r="F266" t="s">
        <v>72</v>
      </c>
      <c r="G266">
        <v>0.65</v>
      </c>
      <c r="H266">
        <v>9.35</v>
      </c>
      <c r="I266">
        <v>0</v>
      </c>
      <c r="J266">
        <v>0</v>
      </c>
      <c r="K266">
        <v>10</v>
      </c>
      <c r="L266" t="s">
        <v>61</v>
      </c>
      <c r="M266">
        <v>434</v>
      </c>
      <c r="N266">
        <v>43.4</v>
      </c>
      <c r="O266" t="s">
        <v>68</v>
      </c>
      <c r="P266" t="s">
        <v>67</v>
      </c>
      <c r="Q266">
        <v>434</v>
      </c>
      <c r="R266">
        <v>43.4</v>
      </c>
    </row>
    <row r="267" spans="1:18" x14ac:dyDescent="0.35">
      <c r="A267" t="s">
        <v>56</v>
      </c>
      <c r="B267" t="s">
        <v>57</v>
      </c>
      <c r="C267" t="s">
        <v>70</v>
      </c>
      <c r="D267">
        <v>107844158</v>
      </c>
      <c r="E267" t="s">
        <v>546</v>
      </c>
      <c r="F267" t="s">
        <v>72</v>
      </c>
      <c r="G267">
        <v>0.65</v>
      </c>
      <c r="H267">
        <v>9.35</v>
      </c>
      <c r="I267">
        <v>0</v>
      </c>
      <c r="J267">
        <v>0</v>
      </c>
      <c r="K267">
        <v>10</v>
      </c>
      <c r="L267" t="s">
        <v>61</v>
      </c>
      <c r="M267">
        <v>434</v>
      </c>
      <c r="N267">
        <v>43.4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56</v>
      </c>
      <c r="B268" t="s">
        <v>57</v>
      </c>
      <c r="C268" t="s">
        <v>58</v>
      </c>
      <c r="D268">
        <v>107868365</v>
      </c>
      <c r="E268" t="s">
        <v>104</v>
      </c>
      <c r="F268" t="s">
        <v>72</v>
      </c>
      <c r="G268">
        <v>0.83</v>
      </c>
      <c r="H268">
        <v>8.61</v>
      </c>
      <c r="I268">
        <v>0</v>
      </c>
      <c r="J268">
        <v>0</v>
      </c>
      <c r="K268">
        <v>9.4499999999999993</v>
      </c>
      <c r="L268" t="s">
        <v>61</v>
      </c>
      <c r="M268">
        <v>305</v>
      </c>
      <c r="N268">
        <v>32.28</v>
      </c>
      <c r="O268" t="s">
        <v>62</v>
      </c>
      <c r="P268" t="s">
        <v>63</v>
      </c>
      <c r="Q268">
        <v>811</v>
      </c>
      <c r="R268">
        <v>972.88</v>
      </c>
    </row>
    <row r="269" spans="1:18" x14ac:dyDescent="0.35">
      <c r="A269" t="s">
        <v>56</v>
      </c>
      <c r="B269" t="s">
        <v>57</v>
      </c>
      <c r="C269" t="s">
        <v>58</v>
      </c>
      <c r="D269">
        <v>107868365</v>
      </c>
      <c r="E269" t="s">
        <v>104</v>
      </c>
      <c r="F269" t="s">
        <v>72</v>
      </c>
      <c r="G269">
        <v>0.83</v>
      </c>
      <c r="H269">
        <v>8.61</v>
      </c>
      <c r="I269">
        <v>0</v>
      </c>
      <c r="J269">
        <v>0</v>
      </c>
      <c r="K269">
        <v>9.4499999999999993</v>
      </c>
      <c r="L269" t="s">
        <v>61</v>
      </c>
      <c r="M269">
        <v>305</v>
      </c>
      <c r="N269">
        <v>32.28</v>
      </c>
      <c r="O269" t="s">
        <v>62</v>
      </c>
      <c r="P269" t="s">
        <v>64</v>
      </c>
      <c r="Q269">
        <v>1710</v>
      </c>
      <c r="R269">
        <v>198.5</v>
      </c>
    </row>
    <row r="270" spans="1:18" x14ac:dyDescent="0.35">
      <c r="A270" t="s">
        <v>56</v>
      </c>
      <c r="B270" t="s">
        <v>57</v>
      </c>
      <c r="C270" t="s">
        <v>58</v>
      </c>
      <c r="D270">
        <v>107868365</v>
      </c>
      <c r="E270" t="s">
        <v>104</v>
      </c>
      <c r="F270" t="s">
        <v>72</v>
      </c>
      <c r="G270">
        <v>0.83</v>
      </c>
      <c r="H270">
        <v>8.61</v>
      </c>
      <c r="I270">
        <v>0</v>
      </c>
      <c r="J270">
        <v>0</v>
      </c>
      <c r="K270">
        <v>9.4499999999999993</v>
      </c>
      <c r="L270" t="s">
        <v>61</v>
      </c>
      <c r="M270">
        <v>305</v>
      </c>
      <c r="N270">
        <v>32.28</v>
      </c>
      <c r="O270" t="s">
        <v>62</v>
      </c>
      <c r="P270" t="s">
        <v>65</v>
      </c>
      <c r="Q270">
        <v>0</v>
      </c>
      <c r="R270">
        <v>0</v>
      </c>
    </row>
    <row r="271" spans="1:18" x14ac:dyDescent="0.35">
      <c r="A271" t="s">
        <v>56</v>
      </c>
      <c r="B271" t="s">
        <v>57</v>
      </c>
      <c r="C271" t="s">
        <v>58</v>
      </c>
      <c r="D271">
        <v>107868365</v>
      </c>
      <c r="E271" t="s">
        <v>104</v>
      </c>
      <c r="F271" t="s">
        <v>72</v>
      </c>
      <c r="G271">
        <v>0.83</v>
      </c>
      <c r="H271">
        <v>8.61</v>
      </c>
      <c r="I271">
        <v>0</v>
      </c>
      <c r="J271">
        <v>0</v>
      </c>
      <c r="K271">
        <v>9.4499999999999993</v>
      </c>
      <c r="L271" t="s">
        <v>61</v>
      </c>
      <c r="M271">
        <v>305</v>
      </c>
      <c r="N271">
        <v>32.28</v>
      </c>
      <c r="O271" t="s">
        <v>62</v>
      </c>
      <c r="P271" t="s">
        <v>66</v>
      </c>
      <c r="Q271">
        <v>0</v>
      </c>
      <c r="R271">
        <v>0</v>
      </c>
    </row>
    <row r="272" spans="1:18" x14ac:dyDescent="0.35">
      <c r="A272" t="s">
        <v>56</v>
      </c>
      <c r="B272" t="s">
        <v>57</v>
      </c>
      <c r="C272" t="s">
        <v>58</v>
      </c>
      <c r="D272">
        <v>107868365</v>
      </c>
      <c r="E272" t="s">
        <v>104</v>
      </c>
      <c r="F272" t="s">
        <v>72</v>
      </c>
      <c r="G272">
        <v>0.83</v>
      </c>
      <c r="H272">
        <v>8.61</v>
      </c>
      <c r="I272">
        <v>0</v>
      </c>
      <c r="J272">
        <v>0</v>
      </c>
      <c r="K272">
        <v>9.4499999999999993</v>
      </c>
      <c r="L272" t="s">
        <v>61</v>
      </c>
      <c r="M272">
        <v>305</v>
      </c>
      <c r="N272">
        <v>32.28</v>
      </c>
      <c r="O272" t="s">
        <v>62</v>
      </c>
      <c r="P272" t="s">
        <v>67</v>
      </c>
      <c r="Q272">
        <v>2521</v>
      </c>
      <c r="R272">
        <v>266.81</v>
      </c>
    </row>
    <row r="273" spans="1:18" x14ac:dyDescent="0.35">
      <c r="A273" t="s">
        <v>56</v>
      </c>
      <c r="B273" t="s">
        <v>57</v>
      </c>
      <c r="C273" t="s">
        <v>58</v>
      </c>
      <c r="D273">
        <v>107868365</v>
      </c>
      <c r="E273" t="s">
        <v>104</v>
      </c>
      <c r="F273" t="s">
        <v>72</v>
      </c>
      <c r="G273">
        <v>0.83</v>
      </c>
      <c r="H273">
        <v>8.61</v>
      </c>
      <c r="I273">
        <v>0</v>
      </c>
      <c r="J273">
        <v>0</v>
      </c>
      <c r="K273">
        <v>9.4499999999999993</v>
      </c>
      <c r="L273" t="s">
        <v>61</v>
      </c>
      <c r="M273">
        <v>305</v>
      </c>
      <c r="N273">
        <v>32.28</v>
      </c>
      <c r="O273" t="s">
        <v>68</v>
      </c>
      <c r="P273" t="s">
        <v>67</v>
      </c>
      <c r="Q273">
        <v>305</v>
      </c>
      <c r="R273">
        <v>32.28</v>
      </c>
    </row>
    <row r="274" spans="1:18" x14ac:dyDescent="0.35">
      <c r="A274" t="s">
        <v>56</v>
      </c>
      <c r="B274" t="s">
        <v>57</v>
      </c>
      <c r="C274" t="s">
        <v>58</v>
      </c>
      <c r="D274">
        <v>107868365</v>
      </c>
      <c r="E274" t="s">
        <v>104</v>
      </c>
      <c r="F274" t="s">
        <v>72</v>
      </c>
      <c r="G274">
        <v>0.83</v>
      </c>
      <c r="H274">
        <v>8.61</v>
      </c>
      <c r="I274">
        <v>0</v>
      </c>
      <c r="J274">
        <v>0</v>
      </c>
      <c r="K274">
        <v>9.4499999999999993</v>
      </c>
      <c r="L274" t="s">
        <v>61</v>
      </c>
      <c r="M274">
        <v>305</v>
      </c>
      <c r="N274">
        <v>32.28</v>
      </c>
      <c r="O274" t="s">
        <v>69</v>
      </c>
      <c r="P274" t="s">
        <v>67</v>
      </c>
      <c r="Q274">
        <v>0</v>
      </c>
      <c r="R274">
        <v>0</v>
      </c>
    </row>
    <row r="275" spans="1:18" x14ac:dyDescent="0.35">
      <c r="A275" t="s">
        <v>37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26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5" max="15" width="8.7265625" bestFit="1" customWidth="1"/>
    <col min="16" max="16" width="10.36328125" bestFit="1" customWidth="1"/>
    <col min="17" max="17" width="5.8164062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0.4</v>
      </c>
      <c r="H2">
        <v>9.16</v>
      </c>
      <c r="I2">
        <v>0</v>
      </c>
      <c r="J2">
        <v>0</v>
      </c>
      <c r="K2">
        <v>9.56</v>
      </c>
      <c r="L2" t="s">
        <v>61</v>
      </c>
      <c r="M2">
        <v>572</v>
      </c>
      <c r="N2">
        <v>59.82</v>
      </c>
      <c r="O2" t="s">
        <v>62</v>
      </c>
      <c r="P2" t="s">
        <v>63</v>
      </c>
      <c r="Q2">
        <v>531</v>
      </c>
      <c r="R2">
        <v>1333.05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0.4</v>
      </c>
      <c r="H3">
        <v>9.16</v>
      </c>
      <c r="I3">
        <v>0</v>
      </c>
      <c r="J3">
        <v>0</v>
      </c>
      <c r="K3">
        <v>9.56</v>
      </c>
      <c r="L3" t="s">
        <v>61</v>
      </c>
      <c r="M3">
        <v>572</v>
      </c>
      <c r="N3">
        <v>59.82</v>
      </c>
      <c r="O3" t="s">
        <v>62</v>
      </c>
      <c r="P3" t="s">
        <v>64</v>
      </c>
      <c r="Q3">
        <v>2634</v>
      </c>
      <c r="R3">
        <v>287.42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0.4</v>
      </c>
      <c r="H4">
        <v>9.16</v>
      </c>
      <c r="I4">
        <v>0</v>
      </c>
      <c r="J4">
        <v>0</v>
      </c>
      <c r="K4">
        <v>9.56</v>
      </c>
      <c r="L4" t="s">
        <v>61</v>
      </c>
      <c r="M4">
        <v>572</v>
      </c>
      <c r="N4">
        <v>59.82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0.4</v>
      </c>
      <c r="H5">
        <v>9.16</v>
      </c>
      <c r="I5">
        <v>0</v>
      </c>
      <c r="J5">
        <v>0</v>
      </c>
      <c r="K5">
        <v>9.56</v>
      </c>
      <c r="L5" t="s">
        <v>61</v>
      </c>
      <c r="M5">
        <v>572</v>
      </c>
      <c r="N5">
        <v>59.82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0.4</v>
      </c>
      <c r="H6">
        <v>9.16</v>
      </c>
      <c r="I6">
        <v>0</v>
      </c>
      <c r="J6">
        <v>0</v>
      </c>
      <c r="K6">
        <v>9.56</v>
      </c>
      <c r="L6" t="s">
        <v>61</v>
      </c>
      <c r="M6">
        <v>572</v>
      </c>
      <c r="N6">
        <v>59.82</v>
      </c>
      <c r="O6" t="s">
        <v>62</v>
      </c>
      <c r="P6" t="s">
        <v>67</v>
      </c>
      <c r="Q6">
        <v>3165</v>
      </c>
      <c r="R6">
        <v>330.97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0.4</v>
      </c>
      <c r="H7">
        <v>9.16</v>
      </c>
      <c r="I7">
        <v>0</v>
      </c>
      <c r="J7">
        <v>0</v>
      </c>
      <c r="K7">
        <v>9.56</v>
      </c>
      <c r="L7" t="s">
        <v>61</v>
      </c>
      <c r="M7">
        <v>572</v>
      </c>
      <c r="N7">
        <v>59.82</v>
      </c>
      <c r="O7" t="s">
        <v>68</v>
      </c>
      <c r="P7" t="s">
        <v>67</v>
      </c>
      <c r="Q7">
        <v>572</v>
      </c>
      <c r="R7">
        <v>59.82</v>
      </c>
    </row>
    <row r="8" spans="1:18" x14ac:dyDescent="0.35">
      <c r="A8" t="s">
        <v>56</v>
      </c>
      <c r="B8" t="s">
        <v>57</v>
      </c>
      <c r="C8" t="s">
        <v>70</v>
      </c>
      <c r="D8">
        <v>100753604</v>
      </c>
      <c r="E8" t="s">
        <v>71</v>
      </c>
      <c r="F8" t="s">
        <v>72</v>
      </c>
      <c r="G8">
        <v>0.4</v>
      </c>
      <c r="H8">
        <v>9.16</v>
      </c>
      <c r="I8">
        <v>0</v>
      </c>
      <c r="J8">
        <v>0</v>
      </c>
      <c r="K8">
        <v>9.56</v>
      </c>
      <c r="L8" t="s">
        <v>61</v>
      </c>
      <c r="M8">
        <v>572</v>
      </c>
      <c r="N8">
        <v>59.82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525</v>
      </c>
      <c r="F9" t="s">
        <v>72</v>
      </c>
      <c r="G9">
        <v>0.63</v>
      </c>
      <c r="H9">
        <v>9.3699999999999992</v>
      </c>
      <c r="I9">
        <v>0</v>
      </c>
      <c r="J9">
        <v>0</v>
      </c>
      <c r="K9">
        <v>10</v>
      </c>
      <c r="L9" t="s">
        <v>61</v>
      </c>
      <c r="M9">
        <v>317</v>
      </c>
      <c r="N9">
        <v>31.7</v>
      </c>
      <c r="O9" t="s">
        <v>62</v>
      </c>
      <c r="P9" t="s">
        <v>63</v>
      </c>
      <c r="Q9">
        <v>470</v>
      </c>
      <c r="R9">
        <v>747.35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525</v>
      </c>
      <c r="F10" t="s">
        <v>72</v>
      </c>
      <c r="G10">
        <v>0.63</v>
      </c>
      <c r="H10">
        <v>9.3699999999999992</v>
      </c>
      <c r="I10">
        <v>0</v>
      </c>
      <c r="J10">
        <v>0</v>
      </c>
      <c r="K10">
        <v>10</v>
      </c>
      <c r="L10" t="s">
        <v>61</v>
      </c>
      <c r="M10">
        <v>317</v>
      </c>
      <c r="N10">
        <v>31.7</v>
      </c>
      <c r="O10" t="s">
        <v>62</v>
      </c>
      <c r="P10" t="s">
        <v>64</v>
      </c>
      <c r="Q10">
        <v>1510</v>
      </c>
      <c r="R10">
        <v>161.13999999999999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525</v>
      </c>
      <c r="F11" t="s">
        <v>72</v>
      </c>
      <c r="G11">
        <v>0.63</v>
      </c>
      <c r="H11">
        <v>9.3699999999999992</v>
      </c>
      <c r="I11">
        <v>0</v>
      </c>
      <c r="J11">
        <v>0</v>
      </c>
      <c r="K11">
        <v>10</v>
      </c>
      <c r="L11" t="s">
        <v>61</v>
      </c>
      <c r="M11">
        <v>317</v>
      </c>
      <c r="N11">
        <v>31.7</v>
      </c>
      <c r="O11" t="s">
        <v>62</v>
      </c>
      <c r="P11" t="s">
        <v>65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525</v>
      </c>
      <c r="F12" t="s">
        <v>72</v>
      </c>
      <c r="G12">
        <v>0.63</v>
      </c>
      <c r="H12">
        <v>9.3699999999999992</v>
      </c>
      <c r="I12">
        <v>0</v>
      </c>
      <c r="J12">
        <v>0</v>
      </c>
      <c r="K12">
        <v>10</v>
      </c>
      <c r="L12" t="s">
        <v>61</v>
      </c>
      <c r="M12">
        <v>317</v>
      </c>
      <c r="N12">
        <v>31.7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525</v>
      </c>
      <c r="F13" t="s">
        <v>72</v>
      </c>
      <c r="G13">
        <v>0.63</v>
      </c>
      <c r="H13">
        <v>9.3699999999999992</v>
      </c>
      <c r="I13">
        <v>0</v>
      </c>
      <c r="J13">
        <v>0</v>
      </c>
      <c r="K13">
        <v>10</v>
      </c>
      <c r="L13" t="s">
        <v>61</v>
      </c>
      <c r="M13">
        <v>317</v>
      </c>
      <c r="N13">
        <v>31.7</v>
      </c>
      <c r="O13" t="s">
        <v>62</v>
      </c>
      <c r="P13" t="s">
        <v>67</v>
      </c>
      <c r="Q13">
        <v>1980</v>
      </c>
      <c r="R13">
        <v>198</v>
      </c>
    </row>
    <row r="14" spans="1:18" x14ac:dyDescent="0.35">
      <c r="A14" t="s">
        <v>56</v>
      </c>
      <c r="B14" t="s">
        <v>57</v>
      </c>
      <c r="C14" t="s">
        <v>70</v>
      </c>
      <c r="D14">
        <v>100865064</v>
      </c>
      <c r="E14" t="s">
        <v>525</v>
      </c>
      <c r="F14" t="s">
        <v>72</v>
      </c>
      <c r="G14">
        <v>0.63</v>
      </c>
      <c r="H14">
        <v>9.3699999999999992</v>
      </c>
      <c r="I14">
        <v>0</v>
      </c>
      <c r="J14">
        <v>0</v>
      </c>
      <c r="K14">
        <v>10</v>
      </c>
      <c r="L14" t="s">
        <v>61</v>
      </c>
      <c r="M14">
        <v>317</v>
      </c>
      <c r="N14">
        <v>31.7</v>
      </c>
      <c r="O14" t="s">
        <v>68</v>
      </c>
      <c r="P14" t="s">
        <v>67</v>
      </c>
      <c r="Q14">
        <v>316</v>
      </c>
      <c r="R14">
        <v>31.6</v>
      </c>
    </row>
    <row r="15" spans="1:18" x14ac:dyDescent="0.35">
      <c r="A15" t="s">
        <v>56</v>
      </c>
      <c r="B15" t="s">
        <v>57</v>
      </c>
      <c r="C15" t="s">
        <v>70</v>
      </c>
      <c r="D15">
        <v>100865064</v>
      </c>
      <c r="E15" t="s">
        <v>525</v>
      </c>
      <c r="F15" t="s">
        <v>72</v>
      </c>
      <c r="G15">
        <v>0.63</v>
      </c>
      <c r="H15">
        <v>9.3699999999999992</v>
      </c>
      <c r="I15">
        <v>0</v>
      </c>
      <c r="J15">
        <v>0</v>
      </c>
      <c r="K15">
        <v>10</v>
      </c>
      <c r="L15" t="s">
        <v>61</v>
      </c>
      <c r="M15">
        <v>317</v>
      </c>
      <c r="N15">
        <v>31.7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70</v>
      </c>
      <c r="D16">
        <v>101750120</v>
      </c>
      <c r="E16" t="s">
        <v>667</v>
      </c>
      <c r="F16" t="s">
        <v>72</v>
      </c>
      <c r="G16">
        <v>0.6</v>
      </c>
      <c r="H16">
        <v>8.7899999999999991</v>
      </c>
      <c r="I16">
        <v>0</v>
      </c>
      <c r="J16">
        <v>0</v>
      </c>
      <c r="K16">
        <v>9.39</v>
      </c>
      <c r="L16" t="s">
        <v>61</v>
      </c>
      <c r="M16">
        <v>369</v>
      </c>
      <c r="N16">
        <v>39.28</v>
      </c>
      <c r="O16" t="s">
        <v>62</v>
      </c>
      <c r="P16" t="s">
        <v>63</v>
      </c>
      <c r="Q16">
        <v>674</v>
      </c>
      <c r="R16">
        <v>1115.5899999999999</v>
      </c>
    </row>
    <row r="17" spans="1:18" x14ac:dyDescent="0.35">
      <c r="A17" t="s">
        <v>56</v>
      </c>
      <c r="B17" t="s">
        <v>57</v>
      </c>
      <c r="C17" t="s">
        <v>70</v>
      </c>
      <c r="D17">
        <v>101750120</v>
      </c>
      <c r="E17" t="s">
        <v>667</v>
      </c>
      <c r="F17" t="s">
        <v>72</v>
      </c>
      <c r="G17">
        <v>0.6</v>
      </c>
      <c r="H17">
        <v>8.7899999999999991</v>
      </c>
      <c r="I17">
        <v>0</v>
      </c>
      <c r="J17">
        <v>0</v>
      </c>
      <c r="K17">
        <v>9.39</v>
      </c>
      <c r="L17" t="s">
        <v>61</v>
      </c>
      <c r="M17">
        <v>369</v>
      </c>
      <c r="N17">
        <v>39.28</v>
      </c>
      <c r="O17" t="s">
        <v>62</v>
      </c>
      <c r="P17" t="s">
        <v>64</v>
      </c>
      <c r="Q17">
        <v>2114</v>
      </c>
      <c r="R17">
        <v>240.53</v>
      </c>
    </row>
    <row r="18" spans="1:18" x14ac:dyDescent="0.35">
      <c r="A18" t="s">
        <v>56</v>
      </c>
      <c r="B18" t="s">
        <v>57</v>
      </c>
      <c r="C18" t="s">
        <v>70</v>
      </c>
      <c r="D18">
        <v>101750120</v>
      </c>
      <c r="E18" t="s">
        <v>667</v>
      </c>
      <c r="F18" t="s">
        <v>72</v>
      </c>
      <c r="G18">
        <v>0.6</v>
      </c>
      <c r="H18">
        <v>8.7899999999999991</v>
      </c>
      <c r="I18">
        <v>0</v>
      </c>
      <c r="J18">
        <v>0</v>
      </c>
      <c r="K18">
        <v>9.39</v>
      </c>
      <c r="L18" t="s">
        <v>61</v>
      </c>
      <c r="M18">
        <v>369</v>
      </c>
      <c r="N18">
        <v>39.28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70</v>
      </c>
      <c r="D19">
        <v>101750120</v>
      </c>
      <c r="E19" t="s">
        <v>667</v>
      </c>
      <c r="F19" t="s">
        <v>72</v>
      </c>
      <c r="G19">
        <v>0.6</v>
      </c>
      <c r="H19">
        <v>8.7899999999999991</v>
      </c>
      <c r="I19">
        <v>0</v>
      </c>
      <c r="J19">
        <v>0</v>
      </c>
      <c r="K19">
        <v>9.39</v>
      </c>
      <c r="L19" t="s">
        <v>61</v>
      </c>
      <c r="M19">
        <v>369</v>
      </c>
      <c r="N19">
        <v>39.28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70</v>
      </c>
      <c r="D20">
        <v>101750120</v>
      </c>
      <c r="E20" t="s">
        <v>667</v>
      </c>
      <c r="F20" t="s">
        <v>72</v>
      </c>
      <c r="G20">
        <v>0.6</v>
      </c>
      <c r="H20">
        <v>8.7899999999999991</v>
      </c>
      <c r="I20">
        <v>0</v>
      </c>
      <c r="J20">
        <v>0</v>
      </c>
      <c r="K20">
        <v>9.39</v>
      </c>
      <c r="L20" t="s">
        <v>61</v>
      </c>
      <c r="M20">
        <v>369</v>
      </c>
      <c r="N20">
        <v>39.28</v>
      </c>
      <c r="O20" t="s">
        <v>62</v>
      </c>
      <c r="P20" t="s">
        <v>67</v>
      </c>
      <c r="Q20">
        <v>2788</v>
      </c>
      <c r="R20">
        <v>296.81</v>
      </c>
    </row>
    <row r="21" spans="1:18" x14ac:dyDescent="0.35">
      <c r="A21" t="s">
        <v>56</v>
      </c>
      <c r="B21" t="s">
        <v>57</v>
      </c>
      <c r="C21" t="s">
        <v>70</v>
      </c>
      <c r="D21">
        <v>101750120</v>
      </c>
      <c r="E21" t="s">
        <v>667</v>
      </c>
      <c r="F21" t="s">
        <v>72</v>
      </c>
      <c r="G21">
        <v>0.6</v>
      </c>
      <c r="H21">
        <v>8.7899999999999991</v>
      </c>
      <c r="I21">
        <v>0</v>
      </c>
      <c r="J21">
        <v>0</v>
      </c>
      <c r="K21">
        <v>9.39</v>
      </c>
      <c r="L21" t="s">
        <v>61</v>
      </c>
      <c r="M21">
        <v>369</v>
      </c>
      <c r="N21">
        <v>39.28</v>
      </c>
      <c r="O21" t="s">
        <v>68</v>
      </c>
      <c r="P21" t="s">
        <v>67</v>
      </c>
      <c r="Q21">
        <v>369</v>
      </c>
      <c r="R21">
        <v>39.28</v>
      </c>
    </row>
    <row r="22" spans="1:18" x14ac:dyDescent="0.35">
      <c r="A22" t="s">
        <v>56</v>
      </c>
      <c r="B22" t="s">
        <v>57</v>
      </c>
      <c r="C22" t="s">
        <v>70</v>
      </c>
      <c r="D22">
        <v>101750120</v>
      </c>
      <c r="E22" t="s">
        <v>667</v>
      </c>
      <c r="F22" t="s">
        <v>72</v>
      </c>
      <c r="G22">
        <v>0.6</v>
      </c>
      <c r="H22">
        <v>8.7899999999999991</v>
      </c>
      <c r="I22">
        <v>0</v>
      </c>
      <c r="J22">
        <v>0</v>
      </c>
      <c r="K22">
        <v>9.39</v>
      </c>
      <c r="L22" t="s">
        <v>61</v>
      </c>
      <c r="M22">
        <v>369</v>
      </c>
      <c r="N22">
        <v>39.28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102457590</v>
      </c>
      <c r="E23" t="s">
        <v>668</v>
      </c>
      <c r="F23" t="s">
        <v>72</v>
      </c>
      <c r="G23">
        <v>0.65</v>
      </c>
      <c r="H23">
        <v>6.95</v>
      </c>
      <c r="I23">
        <v>0</v>
      </c>
      <c r="J23">
        <v>0</v>
      </c>
      <c r="K23">
        <v>7.6</v>
      </c>
      <c r="L23" t="s">
        <v>61</v>
      </c>
      <c r="M23">
        <v>396</v>
      </c>
      <c r="N23">
        <v>52.11</v>
      </c>
      <c r="O23" t="s">
        <v>62</v>
      </c>
      <c r="P23" t="s">
        <v>63</v>
      </c>
      <c r="Q23">
        <v>869</v>
      </c>
      <c r="R23">
        <v>1344.39</v>
      </c>
    </row>
    <row r="24" spans="1:18" x14ac:dyDescent="0.35">
      <c r="A24" t="s">
        <v>56</v>
      </c>
      <c r="B24" t="s">
        <v>57</v>
      </c>
      <c r="C24" t="s">
        <v>70</v>
      </c>
      <c r="D24">
        <v>102457590</v>
      </c>
      <c r="E24" t="s">
        <v>668</v>
      </c>
      <c r="F24" t="s">
        <v>72</v>
      </c>
      <c r="G24">
        <v>0.65</v>
      </c>
      <c r="H24">
        <v>6.95</v>
      </c>
      <c r="I24">
        <v>0</v>
      </c>
      <c r="J24">
        <v>0</v>
      </c>
      <c r="K24">
        <v>7.6</v>
      </c>
      <c r="L24" t="s">
        <v>61</v>
      </c>
      <c r="M24">
        <v>396</v>
      </c>
      <c r="N24">
        <v>52.11</v>
      </c>
      <c r="O24" t="s">
        <v>62</v>
      </c>
      <c r="P24" t="s">
        <v>64</v>
      </c>
      <c r="Q24">
        <v>2016</v>
      </c>
      <c r="R24">
        <v>289.93</v>
      </c>
    </row>
    <row r="25" spans="1:18" x14ac:dyDescent="0.35">
      <c r="A25" t="s">
        <v>56</v>
      </c>
      <c r="B25" t="s">
        <v>57</v>
      </c>
      <c r="C25" t="s">
        <v>70</v>
      </c>
      <c r="D25">
        <v>102457590</v>
      </c>
      <c r="E25" t="s">
        <v>668</v>
      </c>
      <c r="F25" t="s">
        <v>72</v>
      </c>
      <c r="G25">
        <v>0.65</v>
      </c>
      <c r="H25">
        <v>6.95</v>
      </c>
      <c r="I25">
        <v>0</v>
      </c>
      <c r="J25">
        <v>0</v>
      </c>
      <c r="K25">
        <v>7.6</v>
      </c>
      <c r="L25" t="s">
        <v>61</v>
      </c>
      <c r="M25">
        <v>396</v>
      </c>
      <c r="N25">
        <v>52.11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102457590</v>
      </c>
      <c r="E26" t="s">
        <v>668</v>
      </c>
      <c r="F26" t="s">
        <v>72</v>
      </c>
      <c r="G26">
        <v>0.65</v>
      </c>
      <c r="H26">
        <v>6.95</v>
      </c>
      <c r="I26">
        <v>0</v>
      </c>
      <c r="J26">
        <v>0</v>
      </c>
      <c r="K26">
        <v>7.6</v>
      </c>
      <c r="L26" t="s">
        <v>61</v>
      </c>
      <c r="M26">
        <v>396</v>
      </c>
      <c r="N26">
        <v>52.11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102457590</v>
      </c>
      <c r="E27" t="s">
        <v>668</v>
      </c>
      <c r="F27" t="s">
        <v>72</v>
      </c>
      <c r="G27">
        <v>0.65</v>
      </c>
      <c r="H27">
        <v>6.95</v>
      </c>
      <c r="I27">
        <v>0</v>
      </c>
      <c r="J27">
        <v>0</v>
      </c>
      <c r="K27">
        <v>7.6</v>
      </c>
      <c r="L27" t="s">
        <v>61</v>
      </c>
      <c r="M27">
        <v>396</v>
      </c>
      <c r="N27">
        <v>52.11</v>
      </c>
      <c r="O27" t="s">
        <v>62</v>
      </c>
      <c r="P27" t="s">
        <v>67</v>
      </c>
      <c r="Q27">
        <v>2885</v>
      </c>
      <c r="R27">
        <v>379.61</v>
      </c>
    </row>
    <row r="28" spans="1:18" x14ac:dyDescent="0.35">
      <c r="A28" t="s">
        <v>56</v>
      </c>
      <c r="B28" t="s">
        <v>57</v>
      </c>
      <c r="C28" t="s">
        <v>70</v>
      </c>
      <c r="D28">
        <v>102457590</v>
      </c>
      <c r="E28" t="s">
        <v>668</v>
      </c>
      <c r="F28" t="s">
        <v>72</v>
      </c>
      <c r="G28">
        <v>0.65</v>
      </c>
      <c r="H28">
        <v>6.95</v>
      </c>
      <c r="I28">
        <v>0</v>
      </c>
      <c r="J28">
        <v>0</v>
      </c>
      <c r="K28">
        <v>7.6</v>
      </c>
      <c r="L28" t="s">
        <v>61</v>
      </c>
      <c r="M28">
        <v>396</v>
      </c>
      <c r="N28">
        <v>52.11</v>
      </c>
      <c r="O28" t="s">
        <v>68</v>
      </c>
      <c r="P28" t="s">
        <v>67</v>
      </c>
      <c r="Q28">
        <v>396</v>
      </c>
      <c r="R28">
        <v>52.11</v>
      </c>
    </row>
    <row r="29" spans="1:18" x14ac:dyDescent="0.35">
      <c r="A29" t="s">
        <v>56</v>
      </c>
      <c r="B29" t="s">
        <v>57</v>
      </c>
      <c r="C29" t="s">
        <v>70</v>
      </c>
      <c r="D29">
        <v>102457590</v>
      </c>
      <c r="E29" t="s">
        <v>668</v>
      </c>
      <c r="F29" t="s">
        <v>72</v>
      </c>
      <c r="G29">
        <v>0.65</v>
      </c>
      <c r="H29">
        <v>6.95</v>
      </c>
      <c r="I29">
        <v>0</v>
      </c>
      <c r="J29">
        <v>0</v>
      </c>
      <c r="K29">
        <v>7.6</v>
      </c>
      <c r="L29" t="s">
        <v>61</v>
      </c>
      <c r="M29">
        <v>396</v>
      </c>
      <c r="N29">
        <v>52.11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58</v>
      </c>
      <c r="D30">
        <v>102476407</v>
      </c>
      <c r="E30" t="s">
        <v>74</v>
      </c>
      <c r="F30" t="s">
        <v>75</v>
      </c>
      <c r="G30">
        <v>0.52</v>
      </c>
      <c r="H30">
        <v>6.63</v>
      </c>
      <c r="I30">
        <v>0</v>
      </c>
      <c r="J30">
        <v>0</v>
      </c>
      <c r="K30">
        <v>7.16</v>
      </c>
      <c r="L30" t="s">
        <v>61</v>
      </c>
      <c r="M30">
        <v>273</v>
      </c>
      <c r="N30">
        <v>38.14</v>
      </c>
      <c r="O30" t="s">
        <v>62</v>
      </c>
      <c r="P30" t="s">
        <v>63</v>
      </c>
      <c r="Q30">
        <v>430</v>
      </c>
      <c r="R30">
        <v>822.09</v>
      </c>
    </row>
    <row r="31" spans="1:18" x14ac:dyDescent="0.35">
      <c r="A31" t="s">
        <v>56</v>
      </c>
      <c r="B31" t="s">
        <v>57</v>
      </c>
      <c r="C31" t="s">
        <v>58</v>
      </c>
      <c r="D31">
        <v>102476407</v>
      </c>
      <c r="E31" t="s">
        <v>74</v>
      </c>
      <c r="F31" t="s">
        <v>75</v>
      </c>
      <c r="G31">
        <v>0.52</v>
      </c>
      <c r="H31">
        <v>6.63</v>
      </c>
      <c r="I31">
        <v>0</v>
      </c>
      <c r="J31">
        <v>0</v>
      </c>
      <c r="K31">
        <v>7.16</v>
      </c>
      <c r="L31" t="s">
        <v>61</v>
      </c>
      <c r="M31">
        <v>273</v>
      </c>
      <c r="N31">
        <v>38.14</v>
      </c>
      <c r="O31" t="s">
        <v>62</v>
      </c>
      <c r="P31" t="s">
        <v>64</v>
      </c>
      <c r="Q31">
        <v>1176</v>
      </c>
      <c r="R31">
        <v>177.24</v>
      </c>
    </row>
    <row r="32" spans="1:18" x14ac:dyDescent="0.35">
      <c r="A32" t="s">
        <v>56</v>
      </c>
      <c r="B32" t="s">
        <v>57</v>
      </c>
      <c r="C32" t="s">
        <v>58</v>
      </c>
      <c r="D32">
        <v>102476407</v>
      </c>
      <c r="E32" t="s">
        <v>74</v>
      </c>
      <c r="F32" t="s">
        <v>75</v>
      </c>
      <c r="G32">
        <v>0.52</v>
      </c>
      <c r="H32">
        <v>6.63</v>
      </c>
      <c r="I32">
        <v>0</v>
      </c>
      <c r="J32">
        <v>0</v>
      </c>
      <c r="K32">
        <v>7.16</v>
      </c>
      <c r="L32" t="s">
        <v>61</v>
      </c>
      <c r="M32">
        <v>273</v>
      </c>
      <c r="N32">
        <v>38.14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58</v>
      </c>
      <c r="D33">
        <v>102476407</v>
      </c>
      <c r="E33" t="s">
        <v>74</v>
      </c>
      <c r="F33" t="s">
        <v>75</v>
      </c>
      <c r="G33">
        <v>0.52</v>
      </c>
      <c r="H33">
        <v>6.63</v>
      </c>
      <c r="I33">
        <v>0</v>
      </c>
      <c r="J33">
        <v>0</v>
      </c>
      <c r="K33">
        <v>7.16</v>
      </c>
      <c r="L33" t="s">
        <v>61</v>
      </c>
      <c r="M33">
        <v>273</v>
      </c>
      <c r="N33">
        <v>38.14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58</v>
      </c>
      <c r="D34">
        <v>102476407</v>
      </c>
      <c r="E34" t="s">
        <v>74</v>
      </c>
      <c r="F34" t="s">
        <v>75</v>
      </c>
      <c r="G34">
        <v>0.52</v>
      </c>
      <c r="H34">
        <v>6.63</v>
      </c>
      <c r="I34">
        <v>0</v>
      </c>
      <c r="J34">
        <v>0</v>
      </c>
      <c r="K34">
        <v>7.16</v>
      </c>
      <c r="L34" t="s">
        <v>61</v>
      </c>
      <c r="M34">
        <v>273</v>
      </c>
      <c r="N34">
        <v>38.14</v>
      </c>
      <c r="O34" t="s">
        <v>62</v>
      </c>
      <c r="P34" t="s">
        <v>67</v>
      </c>
      <c r="Q34">
        <v>1606</v>
      </c>
      <c r="R34">
        <v>224.35</v>
      </c>
    </row>
    <row r="35" spans="1:18" x14ac:dyDescent="0.35">
      <c r="A35" t="s">
        <v>56</v>
      </c>
      <c r="B35" t="s">
        <v>57</v>
      </c>
      <c r="C35" t="s">
        <v>58</v>
      </c>
      <c r="D35">
        <v>102476407</v>
      </c>
      <c r="E35" t="s">
        <v>74</v>
      </c>
      <c r="F35" t="s">
        <v>75</v>
      </c>
      <c r="G35">
        <v>0.52</v>
      </c>
      <c r="H35">
        <v>6.63</v>
      </c>
      <c r="I35">
        <v>0</v>
      </c>
      <c r="J35">
        <v>0</v>
      </c>
      <c r="K35">
        <v>7.16</v>
      </c>
      <c r="L35" t="s">
        <v>61</v>
      </c>
      <c r="M35">
        <v>273</v>
      </c>
      <c r="N35">
        <v>38.14</v>
      </c>
      <c r="O35" t="s">
        <v>68</v>
      </c>
      <c r="P35" t="s">
        <v>67</v>
      </c>
      <c r="Q35">
        <v>273</v>
      </c>
      <c r="R35">
        <v>38.14</v>
      </c>
    </row>
    <row r="36" spans="1:18" x14ac:dyDescent="0.35">
      <c r="A36" t="s">
        <v>56</v>
      </c>
      <c r="B36" t="s">
        <v>57</v>
      </c>
      <c r="C36" t="s">
        <v>58</v>
      </c>
      <c r="D36">
        <v>102476407</v>
      </c>
      <c r="E36" t="s">
        <v>74</v>
      </c>
      <c r="F36" t="s">
        <v>75</v>
      </c>
      <c r="G36">
        <v>0.52</v>
      </c>
      <c r="H36">
        <v>6.63</v>
      </c>
      <c r="I36">
        <v>0</v>
      </c>
      <c r="J36">
        <v>0</v>
      </c>
      <c r="K36">
        <v>7.16</v>
      </c>
      <c r="L36" t="s">
        <v>61</v>
      </c>
      <c r="M36">
        <v>273</v>
      </c>
      <c r="N36">
        <v>38.14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104378003</v>
      </c>
      <c r="E37" t="s">
        <v>526</v>
      </c>
      <c r="F37" t="s">
        <v>72</v>
      </c>
      <c r="G37">
        <v>0.65</v>
      </c>
      <c r="H37">
        <v>9.35</v>
      </c>
      <c r="I37">
        <v>0</v>
      </c>
      <c r="J37">
        <v>0</v>
      </c>
      <c r="K37">
        <v>10</v>
      </c>
      <c r="L37" t="s">
        <v>61</v>
      </c>
      <c r="M37">
        <v>320</v>
      </c>
      <c r="N37">
        <v>32</v>
      </c>
      <c r="O37" t="s">
        <v>62</v>
      </c>
      <c r="P37" t="s">
        <v>63</v>
      </c>
      <c r="Q37">
        <v>668</v>
      </c>
      <c r="R37">
        <v>1023.32</v>
      </c>
    </row>
    <row r="38" spans="1:18" x14ac:dyDescent="0.35">
      <c r="A38" t="s">
        <v>56</v>
      </c>
      <c r="B38" t="s">
        <v>57</v>
      </c>
      <c r="C38" t="s">
        <v>70</v>
      </c>
      <c r="D38">
        <v>104378003</v>
      </c>
      <c r="E38" t="s">
        <v>526</v>
      </c>
      <c r="F38" t="s">
        <v>72</v>
      </c>
      <c r="G38">
        <v>0.65</v>
      </c>
      <c r="H38">
        <v>9.35</v>
      </c>
      <c r="I38">
        <v>0</v>
      </c>
      <c r="J38">
        <v>0</v>
      </c>
      <c r="K38">
        <v>10</v>
      </c>
      <c r="L38" t="s">
        <v>61</v>
      </c>
      <c r="M38">
        <v>320</v>
      </c>
      <c r="N38">
        <v>32</v>
      </c>
      <c r="O38" t="s">
        <v>62</v>
      </c>
      <c r="P38" t="s">
        <v>64</v>
      </c>
      <c r="Q38">
        <v>2063</v>
      </c>
      <c r="R38">
        <v>220.71</v>
      </c>
    </row>
    <row r="39" spans="1:18" x14ac:dyDescent="0.35">
      <c r="A39" t="s">
        <v>56</v>
      </c>
      <c r="B39" t="s">
        <v>57</v>
      </c>
      <c r="C39" t="s">
        <v>70</v>
      </c>
      <c r="D39">
        <v>104378003</v>
      </c>
      <c r="E39" t="s">
        <v>526</v>
      </c>
      <c r="F39" t="s">
        <v>72</v>
      </c>
      <c r="G39">
        <v>0.65</v>
      </c>
      <c r="H39">
        <v>9.35</v>
      </c>
      <c r="I39">
        <v>0</v>
      </c>
      <c r="J39">
        <v>0</v>
      </c>
      <c r="K39">
        <v>10</v>
      </c>
      <c r="L39" t="s">
        <v>61</v>
      </c>
      <c r="M39">
        <v>320</v>
      </c>
      <c r="N39">
        <v>32</v>
      </c>
      <c r="O39" t="s">
        <v>62</v>
      </c>
      <c r="P39" t="s">
        <v>65</v>
      </c>
      <c r="Q39">
        <v>0</v>
      </c>
      <c r="R39">
        <v>0</v>
      </c>
    </row>
    <row r="40" spans="1:18" x14ac:dyDescent="0.35">
      <c r="A40" t="s">
        <v>56</v>
      </c>
      <c r="B40" t="s">
        <v>57</v>
      </c>
      <c r="C40" t="s">
        <v>70</v>
      </c>
      <c r="D40">
        <v>104378003</v>
      </c>
      <c r="E40" t="s">
        <v>526</v>
      </c>
      <c r="F40" t="s">
        <v>72</v>
      </c>
      <c r="G40">
        <v>0.65</v>
      </c>
      <c r="H40">
        <v>9.35</v>
      </c>
      <c r="I40">
        <v>0</v>
      </c>
      <c r="J40">
        <v>0</v>
      </c>
      <c r="K40">
        <v>10</v>
      </c>
      <c r="L40" t="s">
        <v>61</v>
      </c>
      <c r="M40">
        <v>320</v>
      </c>
      <c r="N40">
        <v>32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104378003</v>
      </c>
      <c r="E41" t="s">
        <v>526</v>
      </c>
      <c r="F41" t="s">
        <v>72</v>
      </c>
      <c r="G41">
        <v>0.65</v>
      </c>
      <c r="H41">
        <v>9.35</v>
      </c>
      <c r="I41">
        <v>0</v>
      </c>
      <c r="J41">
        <v>0</v>
      </c>
      <c r="K41">
        <v>10</v>
      </c>
      <c r="L41" t="s">
        <v>61</v>
      </c>
      <c r="M41">
        <v>320</v>
      </c>
      <c r="N41">
        <v>32</v>
      </c>
      <c r="O41" t="s">
        <v>62</v>
      </c>
      <c r="P41" t="s">
        <v>67</v>
      </c>
      <c r="Q41">
        <v>2731</v>
      </c>
      <c r="R41">
        <v>273.10000000000002</v>
      </c>
    </row>
    <row r="42" spans="1:18" x14ac:dyDescent="0.35">
      <c r="A42" t="s">
        <v>56</v>
      </c>
      <c r="B42" t="s">
        <v>57</v>
      </c>
      <c r="C42" t="s">
        <v>70</v>
      </c>
      <c r="D42">
        <v>104378003</v>
      </c>
      <c r="E42" t="s">
        <v>526</v>
      </c>
      <c r="F42" t="s">
        <v>72</v>
      </c>
      <c r="G42">
        <v>0.65</v>
      </c>
      <c r="H42">
        <v>9.35</v>
      </c>
      <c r="I42">
        <v>0</v>
      </c>
      <c r="J42">
        <v>0</v>
      </c>
      <c r="K42">
        <v>10</v>
      </c>
      <c r="L42" t="s">
        <v>61</v>
      </c>
      <c r="M42">
        <v>320</v>
      </c>
      <c r="N42">
        <v>32</v>
      </c>
      <c r="O42" t="s">
        <v>68</v>
      </c>
      <c r="P42" t="s">
        <v>67</v>
      </c>
      <c r="Q42">
        <v>319</v>
      </c>
      <c r="R42">
        <v>31.9</v>
      </c>
    </row>
    <row r="43" spans="1:18" x14ac:dyDescent="0.35">
      <c r="A43" t="s">
        <v>56</v>
      </c>
      <c r="B43" t="s">
        <v>57</v>
      </c>
      <c r="C43" t="s">
        <v>70</v>
      </c>
      <c r="D43">
        <v>104378003</v>
      </c>
      <c r="E43" t="s">
        <v>526</v>
      </c>
      <c r="F43" t="s">
        <v>72</v>
      </c>
      <c r="G43">
        <v>0.65</v>
      </c>
      <c r="H43">
        <v>9.35</v>
      </c>
      <c r="I43">
        <v>0</v>
      </c>
      <c r="J43">
        <v>0</v>
      </c>
      <c r="K43">
        <v>10</v>
      </c>
      <c r="L43" t="s">
        <v>61</v>
      </c>
      <c r="M43">
        <v>320</v>
      </c>
      <c r="N43">
        <v>32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104385509</v>
      </c>
      <c r="E44" t="s">
        <v>574</v>
      </c>
      <c r="F44" t="s">
        <v>72</v>
      </c>
      <c r="G44">
        <v>0.6</v>
      </c>
      <c r="H44">
        <v>8.2100000000000009</v>
      </c>
      <c r="I44">
        <v>0.05</v>
      </c>
      <c r="J44">
        <v>0</v>
      </c>
      <c r="K44">
        <v>8.86</v>
      </c>
      <c r="L44" t="s">
        <v>61</v>
      </c>
      <c r="M44">
        <v>418</v>
      </c>
      <c r="N44">
        <v>47.18</v>
      </c>
      <c r="O44" t="s">
        <v>62</v>
      </c>
      <c r="P44" t="s">
        <v>63</v>
      </c>
      <c r="Q44">
        <v>744</v>
      </c>
      <c r="R44">
        <v>1246.3499999999999</v>
      </c>
    </row>
    <row r="45" spans="1:18" x14ac:dyDescent="0.35">
      <c r="A45" t="s">
        <v>56</v>
      </c>
      <c r="B45" t="s">
        <v>57</v>
      </c>
      <c r="C45" t="s">
        <v>70</v>
      </c>
      <c r="D45">
        <v>104385509</v>
      </c>
      <c r="E45" t="s">
        <v>574</v>
      </c>
      <c r="F45" t="s">
        <v>72</v>
      </c>
      <c r="G45">
        <v>0.6</v>
      </c>
      <c r="H45">
        <v>8.2100000000000009</v>
      </c>
      <c r="I45">
        <v>0.05</v>
      </c>
      <c r="J45">
        <v>0</v>
      </c>
      <c r="K45">
        <v>8.86</v>
      </c>
      <c r="L45" t="s">
        <v>61</v>
      </c>
      <c r="M45">
        <v>418</v>
      </c>
      <c r="N45">
        <v>47.18</v>
      </c>
      <c r="O45" t="s">
        <v>62</v>
      </c>
      <c r="P45" t="s">
        <v>64</v>
      </c>
      <c r="Q45">
        <v>2207</v>
      </c>
      <c r="R45">
        <v>268.81</v>
      </c>
    </row>
    <row r="46" spans="1:18" x14ac:dyDescent="0.35">
      <c r="A46" t="s">
        <v>56</v>
      </c>
      <c r="B46" t="s">
        <v>57</v>
      </c>
      <c r="C46" t="s">
        <v>70</v>
      </c>
      <c r="D46">
        <v>104385509</v>
      </c>
      <c r="E46" t="s">
        <v>574</v>
      </c>
      <c r="F46" t="s">
        <v>72</v>
      </c>
      <c r="G46">
        <v>0.6</v>
      </c>
      <c r="H46">
        <v>8.2100000000000009</v>
      </c>
      <c r="I46">
        <v>0.05</v>
      </c>
      <c r="J46">
        <v>0</v>
      </c>
      <c r="K46">
        <v>8.86</v>
      </c>
      <c r="L46" t="s">
        <v>61</v>
      </c>
      <c r="M46">
        <v>418</v>
      </c>
      <c r="N46">
        <v>47.18</v>
      </c>
      <c r="O46" t="s">
        <v>62</v>
      </c>
      <c r="P46" t="s">
        <v>65</v>
      </c>
      <c r="Q46">
        <v>13</v>
      </c>
      <c r="R46">
        <v>252.97</v>
      </c>
    </row>
    <row r="47" spans="1:18" x14ac:dyDescent="0.35">
      <c r="A47" t="s">
        <v>56</v>
      </c>
      <c r="B47" t="s">
        <v>57</v>
      </c>
      <c r="C47" t="s">
        <v>70</v>
      </c>
      <c r="D47">
        <v>104385509</v>
      </c>
      <c r="E47" t="s">
        <v>574</v>
      </c>
      <c r="F47" t="s">
        <v>72</v>
      </c>
      <c r="G47">
        <v>0.6</v>
      </c>
      <c r="H47">
        <v>8.2100000000000009</v>
      </c>
      <c r="I47">
        <v>0.05</v>
      </c>
      <c r="J47">
        <v>0</v>
      </c>
      <c r="K47">
        <v>8.86</v>
      </c>
      <c r="L47" t="s">
        <v>61</v>
      </c>
      <c r="M47">
        <v>418</v>
      </c>
      <c r="N47">
        <v>47.18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104385509</v>
      </c>
      <c r="E48" t="s">
        <v>574</v>
      </c>
      <c r="F48" t="s">
        <v>72</v>
      </c>
      <c r="G48">
        <v>0.6</v>
      </c>
      <c r="H48">
        <v>8.2100000000000009</v>
      </c>
      <c r="I48">
        <v>0.05</v>
      </c>
      <c r="J48">
        <v>0</v>
      </c>
      <c r="K48">
        <v>8.86</v>
      </c>
      <c r="L48" t="s">
        <v>61</v>
      </c>
      <c r="M48">
        <v>418</v>
      </c>
      <c r="N48">
        <v>47.18</v>
      </c>
      <c r="O48" t="s">
        <v>62</v>
      </c>
      <c r="P48" t="s">
        <v>67</v>
      </c>
      <c r="Q48">
        <v>2964</v>
      </c>
      <c r="R48">
        <v>334.58</v>
      </c>
    </row>
    <row r="49" spans="1:18" x14ac:dyDescent="0.35">
      <c r="A49" t="s">
        <v>56</v>
      </c>
      <c r="B49" t="s">
        <v>57</v>
      </c>
      <c r="C49" t="s">
        <v>70</v>
      </c>
      <c r="D49">
        <v>104385509</v>
      </c>
      <c r="E49" t="s">
        <v>574</v>
      </c>
      <c r="F49" t="s">
        <v>72</v>
      </c>
      <c r="G49">
        <v>0.6</v>
      </c>
      <c r="H49">
        <v>8.2100000000000009</v>
      </c>
      <c r="I49">
        <v>0.05</v>
      </c>
      <c r="J49">
        <v>0</v>
      </c>
      <c r="K49">
        <v>8.86</v>
      </c>
      <c r="L49" t="s">
        <v>61</v>
      </c>
      <c r="M49">
        <v>418</v>
      </c>
      <c r="N49">
        <v>47.18</v>
      </c>
      <c r="O49" t="s">
        <v>68</v>
      </c>
      <c r="P49" t="s">
        <v>67</v>
      </c>
      <c r="Q49">
        <v>418</v>
      </c>
      <c r="R49">
        <v>47.18</v>
      </c>
    </row>
    <row r="50" spans="1:18" x14ac:dyDescent="0.35">
      <c r="A50" t="s">
        <v>56</v>
      </c>
      <c r="B50" t="s">
        <v>57</v>
      </c>
      <c r="C50" t="s">
        <v>70</v>
      </c>
      <c r="D50">
        <v>104385509</v>
      </c>
      <c r="E50" t="s">
        <v>574</v>
      </c>
      <c r="F50" t="s">
        <v>72</v>
      </c>
      <c r="G50">
        <v>0.6</v>
      </c>
      <c r="H50">
        <v>8.2100000000000009</v>
      </c>
      <c r="I50">
        <v>0.05</v>
      </c>
      <c r="J50">
        <v>0</v>
      </c>
      <c r="K50">
        <v>8.86</v>
      </c>
      <c r="L50" t="s">
        <v>61</v>
      </c>
      <c r="M50">
        <v>418</v>
      </c>
      <c r="N50">
        <v>47.18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105749066</v>
      </c>
      <c r="E51" t="s">
        <v>666</v>
      </c>
      <c r="F51" t="s">
        <v>72</v>
      </c>
      <c r="G51">
        <v>0.6</v>
      </c>
      <c r="H51">
        <v>8.64</v>
      </c>
      <c r="I51">
        <v>0</v>
      </c>
      <c r="J51">
        <v>0</v>
      </c>
      <c r="K51">
        <v>9.24</v>
      </c>
      <c r="L51" t="s">
        <v>61</v>
      </c>
      <c r="M51">
        <v>355</v>
      </c>
      <c r="N51">
        <v>38.43</v>
      </c>
      <c r="O51" t="s">
        <v>62</v>
      </c>
      <c r="P51" t="s">
        <v>63</v>
      </c>
      <c r="Q51">
        <v>626</v>
      </c>
      <c r="R51">
        <v>1048.19</v>
      </c>
    </row>
    <row r="52" spans="1:18" x14ac:dyDescent="0.35">
      <c r="A52" t="s">
        <v>56</v>
      </c>
      <c r="B52" t="s">
        <v>57</v>
      </c>
      <c r="C52" t="s">
        <v>70</v>
      </c>
      <c r="D52">
        <v>105749066</v>
      </c>
      <c r="E52" t="s">
        <v>666</v>
      </c>
      <c r="F52" t="s">
        <v>72</v>
      </c>
      <c r="G52">
        <v>0.6</v>
      </c>
      <c r="H52">
        <v>8.64</v>
      </c>
      <c r="I52">
        <v>0</v>
      </c>
      <c r="J52">
        <v>0</v>
      </c>
      <c r="K52">
        <v>9.24</v>
      </c>
      <c r="L52" t="s">
        <v>61</v>
      </c>
      <c r="M52">
        <v>355</v>
      </c>
      <c r="N52">
        <v>38.43</v>
      </c>
      <c r="O52" t="s">
        <v>62</v>
      </c>
      <c r="P52" t="s">
        <v>64</v>
      </c>
      <c r="Q52">
        <v>1953</v>
      </c>
      <c r="R52">
        <v>226.01</v>
      </c>
    </row>
    <row r="53" spans="1:18" x14ac:dyDescent="0.35">
      <c r="A53" t="s">
        <v>56</v>
      </c>
      <c r="B53" t="s">
        <v>57</v>
      </c>
      <c r="C53" t="s">
        <v>70</v>
      </c>
      <c r="D53">
        <v>105749066</v>
      </c>
      <c r="E53" t="s">
        <v>666</v>
      </c>
      <c r="F53" t="s">
        <v>72</v>
      </c>
      <c r="G53">
        <v>0.6</v>
      </c>
      <c r="H53">
        <v>8.64</v>
      </c>
      <c r="I53">
        <v>0</v>
      </c>
      <c r="J53">
        <v>0</v>
      </c>
      <c r="K53">
        <v>9.24</v>
      </c>
      <c r="L53" t="s">
        <v>61</v>
      </c>
      <c r="M53">
        <v>355</v>
      </c>
      <c r="N53">
        <v>38.43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105749066</v>
      </c>
      <c r="E54" t="s">
        <v>666</v>
      </c>
      <c r="F54" t="s">
        <v>72</v>
      </c>
      <c r="G54">
        <v>0.6</v>
      </c>
      <c r="H54">
        <v>8.64</v>
      </c>
      <c r="I54">
        <v>0</v>
      </c>
      <c r="J54">
        <v>0</v>
      </c>
      <c r="K54">
        <v>9.24</v>
      </c>
      <c r="L54" t="s">
        <v>61</v>
      </c>
      <c r="M54">
        <v>355</v>
      </c>
      <c r="N54">
        <v>38.43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105749066</v>
      </c>
      <c r="E55" t="s">
        <v>666</v>
      </c>
      <c r="F55" t="s">
        <v>72</v>
      </c>
      <c r="G55">
        <v>0.6</v>
      </c>
      <c r="H55">
        <v>8.64</v>
      </c>
      <c r="I55">
        <v>0</v>
      </c>
      <c r="J55">
        <v>0</v>
      </c>
      <c r="K55">
        <v>9.24</v>
      </c>
      <c r="L55" t="s">
        <v>61</v>
      </c>
      <c r="M55">
        <v>355</v>
      </c>
      <c r="N55">
        <v>38.43</v>
      </c>
      <c r="O55" t="s">
        <v>62</v>
      </c>
      <c r="P55" t="s">
        <v>67</v>
      </c>
      <c r="Q55">
        <v>2579</v>
      </c>
      <c r="R55">
        <v>279.14999999999998</v>
      </c>
    </row>
    <row r="56" spans="1:18" x14ac:dyDescent="0.35">
      <c r="A56" t="s">
        <v>56</v>
      </c>
      <c r="B56" t="s">
        <v>57</v>
      </c>
      <c r="C56" t="s">
        <v>70</v>
      </c>
      <c r="D56">
        <v>105749066</v>
      </c>
      <c r="E56" t="s">
        <v>666</v>
      </c>
      <c r="F56" t="s">
        <v>72</v>
      </c>
      <c r="G56">
        <v>0.6</v>
      </c>
      <c r="H56">
        <v>8.64</v>
      </c>
      <c r="I56">
        <v>0</v>
      </c>
      <c r="J56">
        <v>0</v>
      </c>
      <c r="K56">
        <v>9.24</v>
      </c>
      <c r="L56" t="s">
        <v>61</v>
      </c>
      <c r="M56">
        <v>355</v>
      </c>
      <c r="N56">
        <v>38.43</v>
      </c>
      <c r="O56" t="s">
        <v>68</v>
      </c>
      <c r="P56" t="s">
        <v>67</v>
      </c>
      <c r="Q56">
        <v>355</v>
      </c>
      <c r="R56">
        <v>38.43</v>
      </c>
    </row>
    <row r="57" spans="1:18" x14ac:dyDescent="0.35">
      <c r="A57" t="s">
        <v>56</v>
      </c>
      <c r="B57" t="s">
        <v>57</v>
      </c>
      <c r="C57" t="s">
        <v>70</v>
      </c>
      <c r="D57">
        <v>105749066</v>
      </c>
      <c r="E57" t="s">
        <v>666</v>
      </c>
      <c r="F57" t="s">
        <v>72</v>
      </c>
      <c r="G57">
        <v>0.6</v>
      </c>
      <c r="H57">
        <v>8.64</v>
      </c>
      <c r="I57">
        <v>0</v>
      </c>
      <c r="J57">
        <v>0</v>
      </c>
      <c r="K57">
        <v>9.24</v>
      </c>
      <c r="L57" t="s">
        <v>61</v>
      </c>
      <c r="M57">
        <v>355</v>
      </c>
      <c r="N57">
        <v>38.43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70</v>
      </c>
      <c r="D58">
        <v>106064835</v>
      </c>
      <c r="E58" t="s">
        <v>669</v>
      </c>
      <c r="F58" t="s">
        <v>670</v>
      </c>
      <c r="G58">
        <v>0.26</v>
      </c>
      <c r="H58">
        <v>8.9</v>
      </c>
      <c r="I58">
        <v>0</v>
      </c>
      <c r="J58">
        <v>0</v>
      </c>
      <c r="K58">
        <v>9.16</v>
      </c>
      <c r="L58" t="s">
        <v>61</v>
      </c>
      <c r="M58">
        <v>423</v>
      </c>
      <c r="N58">
        <v>46.19</v>
      </c>
      <c r="O58" t="s">
        <v>62</v>
      </c>
      <c r="P58" t="s">
        <v>63</v>
      </c>
      <c r="Q58">
        <v>218</v>
      </c>
      <c r="R58">
        <v>835.78</v>
      </c>
    </row>
    <row r="59" spans="1:18" x14ac:dyDescent="0.35">
      <c r="A59" t="s">
        <v>56</v>
      </c>
      <c r="B59" t="s">
        <v>57</v>
      </c>
      <c r="C59" t="s">
        <v>70</v>
      </c>
      <c r="D59">
        <v>106064835</v>
      </c>
      <c r="E59" t="s">
        <v>669</v>
      </c>
      <c r="F59" t="s">
        <v>670</v>
      </c>
      <c r="G59">
        <v>0.26</v>
      </c>
      <c r="H59">
        <v>8.9</v>
      </c>
      <c r="I59">
        <v>0</v>
      </c>
      <c r="J59">
        <v>0</v>
      </c>
      <c r="K59">
        <v>9.16</v>
      </c>
      <c r="L59" t="s">
        <v>61</v>
      </c>
      <c r="M59">
        <v>423</v>
      </c>
      <c r="N59">
        <v>46.19</v>
      </c>
      <c r="O59" t="s">
        <v>62</v>
      </c>
      <c r="P59" t="s">
        <v>64</v>
      </c>
      <c r="Q59">
        <v>1603</v>
      </c>
      <c r="R59">
        <v>180.17</v>
      </c>
    </row>
    <row r="60" spans="1:18" x14ac:dyDescent="0.35">
      <c r="A60" t="s">
        <v>56</v>
      </c>
      <c r="B60" t="s">
        <v>57</v>
      </c>
      <c r="C60" t="s">
        <v>70</v>
      </c>
      <c r="D60">
        <v>106064835</v>
      </c>
      <c r="E60" t="s">
        <v>669</v>
      </c>
      <c r="F60" t="s">
        <v>670</v>
      </c>
      <c r="G60">
        <v>0.26</v>
      </c>
      <c r="H60">
        <v>8.9</v>
      </c>
      <c r="I60">
        <v>0</v>
      </c>
      <c r="J60">
        <v>0</v>
      </c>
      <c r="K60">
        <v>9.16</v>
      </c>
      <c r="L60" t="s">
        <v>61</v>
      </c>
      <c r="M60">
        <v>423</v>
      </c>
      <c r="N60">
        <v>46.19</v>
      </c>
      <c r="O60" t="s">
        <v>62</v>
      </c>
      <c r="P60" t="s">
        <v>65</v>
      </c>
      <c r="Q60">
        <v>0</v>
      </c>
      <c r="R60">
        <v>0</v>
      </c>
    </row>
    <row r="61" spans="1:18" x14ac:dyDescent="0.35">
      <c r="A61" t="s">
        <v>56</v>
      </c>
      <c r="B61" t="s">
        <v>57</v>
      </c>
      <c r="C61" t="s">
        <v>70</v>
      </c>
      <c r="D61">
        <v>106064835</v>
      </c>
      <c r="E61" t="s">
        <v>669</v>
      </c>
      <c r="F61" t="s">
        <v>670</v>
      </c>
      <c r="G61">
        <v>0.26</v>
      </c>
      <c r="H61">
        <v>8.9</v>
      </c>
      <c r="I61">
        <v>0</v>
      </c>
      <c r="J61">
        <v>0</v>
      </c>
      <c r="K61">
        <v>9.16</v>
      </c>
      <c r="L61" t="s">
        <v>61</v>
      </c>
      <c r="M61">
        <v>423</v>
      </c>
      <c r="N61">
        <v>46.19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106064835</v>
      </c>
      <c r="E62" t="s">
        <v>669</v>
      </c>
      <c r="F62" t="s">
        <v>670</v>
      </c>
      <c r="G62">
        <v>0.26</v>
      </c>
      <c r="H62">
        <v>8.9</v>
      </c>
      <c r="I62">
        <v>0</v>
      </c>
      <c r="J62">
        <v>0</v>
      </c>
      <c r="K62">
        <v>9.16</v>
      </c>
      <c r="L62" t="s">
        <v>61</v>
      </c>
      <c r="M62">
        <v>423</v>
      </c>
      <c r="N62">
        <v>46.19</v>
      </c>
      <c r="O62" t="s">
        <v>62</v>
      </c>
      <c r="P62" t="s">
        <v>67</v>
      </c>
      <c r="Q62">
        <v>1821</v>
      </c>
      <c r="R62">
        <v>198.84</v>
      </c>
    </row>
    <row r="63" spans="1:18" x14ac:dyDescent="0.35">
      <c r="A63" t="s">
        <v>56</v>
      </c>
      <c r="B63" t="s">
        <v>57</v>
      </c>
      <c r="C63" t="s">
        <v>70</v>
      </c>
      <c r="D63">
        <v>106064835</v>
      </c>
      <c r="E63" t="s">
        <v>669</v>
      </c>
      <c r="F63" t="s">
        <v>670</v>
      </c>
      <c r="G63">
        <v>0.26</v>
      </c>
      <c r="H63">
        <v>8.9</v>
      </c>
      <c r="I63">
        <v>0</v>
      </c>
      <c r="J63">
        <v>0</v>
      </c>
      <c r="K63">
        <v>9.16</v>
      </c>
      <c r="L63" t="s">
        <v>61</v>
      </c>
      <c r="M63">
        <v>423</v>
      </c>
      <c r="N63">
        <v>46.19</v>
      </c>
      <c r="O63" t="s">
        <v>68</v>
      </c>
      <c r="P63" t="s">
        <v>67</v>
      </c>
      <c r="Q63">
        <v>423</v>
      </c>
      <c r="R63">
        <v>46.19</v>
      </c>
    </row>
    <row r="64" spans="1:18" x14ac:dyDescent="0.35">
      <c r="A64" t="s">
        <v>56</v>
      </c>
      <c r="B64" t="s">
        <v>57</v>
      </c>
      <c r="C64" t="s">
        <v>70</v>
      </c>
      <c r="D64">
        <v>106064835</v>
      </c>
      <c r="E64" t="s">
        <v>669</v>
      </c>
      <c r="F64" t="s">
        <v>670</v>
      </c>
      <c r="G64">
        <v>0.26</v>
      </c>
      <c r="H64">
        <v>8.9</v>
      </c>
      <c r="I64">
        <v>0</v>
      </c>
      <c r="J64">
        <v>0</v>
      </c>
      <c r="K64">
        <v>9.16</v>
      </c>
      <c r="L64" t="s">
        <v>61</v>
      </c>
      <c r="M64">
        <v>423</v>
      </c>
      <c r="N64">
        <v>46.19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106140648</v>
      </c>
      <c r="E65" t="s">
        <v>671</v>
      </c>
      <c r="F65" t="s">
        <v>60</v>
      </c>
      <c r="G65">
        <v>0.28000000000000003</v>
      </c>
      <c r="H65">
        <v>6.86</v>
      </c>
      <c r="I65">
        <v>0</v>
      </c>
      <c r="J65">
        <v>0</v>
      </c>
      <c r="K65">
        <v>7.15</v>
      </c>
      <c r="L65" t="s">
        <v>61</v>
      </c>
      <c r="M65">
        <v>309</v>
      </c>
      <c r="N65">
        <v>43.24</v>
      </c>
      <c r="O65" t="s">
        <v>62</v>
      </c>
      <c r="P65" t="s">
        <v>63</v>
      </c>
      <c r="Q65">
        <v>344</v>
      </c>
      <c r="R65">
        <v>1217.7</v>
      </c>
    </row>
    <row r="66" spans="1:18" x14ac:dyDescent="0.35">
      <c r="A66" t="s">
        <v>56</v>
      </c>
      <c r="B66" t="s">
        <v>57</v>
      </c>
      <c r="C66" t="s">
        <v>70</v>
      </c>
      <c r="D66">
        <v>106140648</v>
      </c>
      <c r="E66" t="s">
        <v>671</v>
      </c>
      <c r="F66" t="s">
        <v>60</v>
      </c>
      <c r="G66">
        <v>0.28000000000000003</v>
      </c>
      <c r="H66">
        <v>6.86</v>
      </c>
      <c r="I66">
        <v>0</v>
      </c>
      <c r="J66">
        <v>0</v>
      </c>
      <c r="K66">
        <v>7.15</v>
      </c>
      <c r="L66" t="s">
        <v>61</v>
      </c>
      <c r="M66">
        <v>309</v>
      </c>
      <c r="N66">
        <v>43.24</v>
      </c>
      <c r="O66" t="s">
        <v>62</v>
      </c>
      <c r="P66" t="s">
        <v>64</v>
      </c>
      <c r="Q66">
        <v>1801</v>
      </c>
      <c r="R66">
        <v>262.39999999999998</v>
      </c>
    </row>
    <row r="67" spans="1:18" x14ac:dyDescent="0.35">
      <c r="A67" t="s">
        <v>56</v>
      </c>
      <c r="B67" t="s">
        <v>57</v>
      </c>
      <c r="C67" t="s">
        <v>70</v>
      </c>
      <c r="D67">
        <v>106140648</v>
      </c>
      <c r="E67" t="s">
        <v>671</v>
      </c>
      <c r="F67" t="s">
        <v>60</v>
      </c>
      <c r="G67">
        <v>0.28000000000000003</v>
      </c>
      <c r="H67">
        <v>6.86</v>
      </c>
      <c r="I67">
        <v>0</v>
      </c>
      <c r="J67">
        <v>0</v>
      </c>
      <c r="K67">
        <v>7.15</v>
      </c>
      <c r="L67" t="s">
        <v>61</v>
      </c>
      <c r="M67">
        <v>309</v>
      </c>
      <c r="N67">
        <v>43.24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70</v>
      </c>
      <c r="D68">
        <v>106140648</v>
      </c>
      <c r="E68" t="s">
        <v>671</v>
      </c>
      <c r="F68" t="s">
        <v>60</v>
      </c>
      <c r="G68">
        <v>0.28000000000000003</v>
      </c>
      <c r="H68">
        <v>6.86</v>
      </c>
      <c r="I68">
        <v>0</v>
      </c>
      <c r="J68">
        <v>0</v>
      </c>
      <c r="K68">
        <v>7.15</v>
      </c>
      <c r="L68" t="s">
        <v>61</v>
      </c>
      <c r="M68">
        <v>309</v>
      </c>
      <c r="N68">
        <v>43.24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106140648</v>
      </c>
      <c r="E69" t="s">
        <v>671</v>
      </c>
      <c r="F69" t="s">
        <v>60</v>
      </c>
      <c r="G69">
        <v>0.28000000000000003</v>
      </c>
      <c r="H69">
        <v>6.86</v>
      </c>
      <c r="I69">
        <v>0</v>
      </c>
      <c r="J69">
        <v>0</v>
      </c>
      <c r="K69">
        <v>7.15</v>
      </c>
      <c r="L69" t="s">
        <v>61</v>
      </c>
      <c r="M69">
        <v>309</v>
      </c>
      <c r="N69">
        <v>43.24</v>
      </c>
      <c r="O69" t="s">
        <v>62</v>
      </c>
      <c r="P69" t="s">
        <v>67</v>
      </c>
      <c r="Q69">
        <v>2145</v>
      </c>
      <c r="R69">
        <v>300.14999999999998</v>
      </c>
    </row>
    <row r="70" spans="1:18" x14ac:dyDescent="0.35">
      <c r="A70" t="s">
        <v>56</v>
      </c>
      <c r="B70" t="s">
        <v>57</v>
      </c>
      <c r="C70" t="s">
        <v>70</v>
      </c>
      <c r="D70">
        <v>106140648</v>
      </c>
      <c r="E70" t="s">
        <v>671</v>
      </c>
      <c r="F70" t="s">
        <v>60</v>
      </c>
      <c r="G70">
        <v>0.28000000000000003</v>
      </c>
      <c r="H70">
        <v>6.86</v>
      </c>
      <c r="I70">
        <v>0</v>
      </c>
      <c r="J70">
        <v>0</v>
      </c>
      <c r="K70">
        <v>7.15</v>
      </c>
      <c r="L70" t="s">
        <v>61</v>
      </c>
      <c r="M70">
        <v>309</v>
      </c>
      <c r="N70">
        <v>43.24</v>
      </c>
      <c r="O70" t="s">
        <v>68</v>
      </c>
      <c r="P70" t="s">
        <v>67</v>
      </c>
      <c r="Q70">
        <v>309</v>
      </c>
      <c r="R70">
        <v>43.24</v>
      </c>
    </row>
    <row r="71" spans="1:18" x14ac:dyDescent="0.35">
      <c r="A71" t="s">
        <v>56</v>
      </c>
      <c r="B71" t="s">
        <v>57</v>
      </c>
      <c r="C71" t="s">
        <v>70</v>
      </c>
      <c r="D71">
        <v>106140648</v>
      </c>
      <c r="E71" t="s">
        <v>671</v>
      </c>
      <c r="F71" t="s">
        <v>60</v>
      </c>
      <c r="G71">
        <v>0.28000000000000003</v>
      </c>
      <c r="H71">
        <v>6.86</v>
      </c>
      <c r="I71">
        <v>0</v>
      </c>
      <c r="J71">
        <v>0</v>
      </c>
      <c r="K71">
        <v>7.15</v>
      </c>
      <c r="L71" t="s">
        <v>61</v>
      </c>
      <c r="M71">
        <v>309</v>
      </c>
      <c r="N71">
        <v>43.24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70</v>
      </c>
      <c r="D72">
        <v>106276317</v>
      </c>
      <c r="E72" t="s">
        <v>548</v>
      </c>
      <c r="F72" t="s">
        <v>72</v>
      </c>
      <c r="G72">
        <v>0.63</v>
      </c>
      <c r="H72">
        <v>9.3699999999999992</v>
      </c>
      <c r="I72">
        <v>0</v>
      </c>
      <c r="J72">
        <v>0</v>
      </c>
      <c r="K72">
        <v>10</v>
      </c>
      <c r="L72" t="s">
        <v>61</v>
      </c>
      <c r="M72">
        <v>504</v>
      </c>
      <c r="N72">
        <v>50.4</v>
      </c>
      <c r="O72" t="s">
        <v>62</v>
      </c>
      <c r="P72" t="s">
        <v>63</v>
      </c>
      <c r="Q72">
        <v>729</v>
      </c>
      <c r="R72">
        <v>1160.73</v>
      </c>
    </row>
    <row r="73" spans="1:18" x14ac:dyDescent="0.35">
      <c r="A73" t="s">
        <v>56</v>
      </c>
      <c r="B73" t="s">
        <v>57</v>
      </c>
      <c r="C73" t="s">
        <v>70</v>
      </c>
      <c r="D73">
        <v>106276317</v>
      </c>
      <c r="E73" t="s">
        <v>548</v>
      </c>
      <c r="F73" t="s">
        <v>72</v>
      </c>
      <c r="G73">
        <v>0.63</v>
      </c>
      <c r="H73">
        <v>9.3699999999999992</v>
      </c>
      <c r="I73">
        <v>0</v>
      </c>
      <c r="J73">
        <v>0</v>
      </c>
      <c r="K73">
        <v>10</v>
      </c>
      <c r="L73" t="s">
        <v>61</v>
      </c>
      <c r="M73">
        <v>504</v>
      </c>
      <c r="N73">
        <v>50.4</v>
      </c>
      <c r="O73" t="s">
        <v>62</v>
      </c>
      <c r="P73" t="s">
        <v>64</v>
      </c>
      <c r="Q73">
        <v>2346</v>
      </c>
      <c r="R73">
        <v>250.33</v>
      </c>
    </row>
    <row r="74" spans="1:18" x14ac:dyDescent="0.35">
      <c r="A74" t="s">
        <v>56</v>
      </c>
      <c r="B74" t="s">
        <v>57</v>
      </c>
      <c r="C74" t="s">
        <v>70</v>
      </c>
      <c r="D74">
        <v>106276317</v>
      </c>
      <c r="E74" t="s">
        <v>548</v>
      </c>
      <c r="F74" t="s">
        <v>72</v>
      </c>
      <c r="G74">
        <v>0.63</v>
      </c>
      <c r="H74">
        <v>9.3699999999999992</v>
      </c>
      <c r="I74">
        <v>0</v>
      </c>
      <c r="J74">
        <v>0</v>
      </c>
      <c r="K74">
        <v>10</v>
      </c>
      <c r="L74" t="s">
        <v>61</v>
      </c>
      <c r="M74">
        <v>504</v>
      </c>
      <c r="N74">
        <v>50.4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70</v>
      </c>
      <c r="D75">
        <v>106276317</v>
      </c>
      <c r="E75" t="s">
        <v>548</v>
      </c>
      <c r="F75" t="s">
        <v>72</v>
      </c>
      <c r="G75">
        <v>0.63</v>
      </c>
      <c r="H75">
        <v>9.3699999999999992</v>
      </c>
      <c r="I75">
        <v>0</v>
      </c>
      <c r="J75">
        <v>0</v>
      </c>
      <c r="K75">
        <v>10</v>
      </c>
      <c r="L75" t="s">
        <v>61</v>
      </c>
      <c r="M75">
        <v>504</v>
      </c>
      <c r="N75">
        <v>50.4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70</v>
      </c>
      <c r="D76">
        <v>106276317</v>
      </c>
      <c r="E76" t="s">
        <v>548</v>
      </c>
      <c r="F76" t="s">
        <v>72</v>
      </c>
      <c r="G76">
        <v>0.63</v>
      </c>
      <c r="H76">
        <v>9.3699999999999992</v>
      </c>
      <c r="I76">
        <v>0</v>
      </c>
      <c r="J76">
        <v>0</v>
      </c>
      <c r="K76">
        <v>10</v>
      </c>
      <c r="L76" t="s">
        <v>61</v>
      </c>
      <c r="M76">
        <v>504</v>
      </c>
      <c r="N76">
        <v>50.4</v>
      </c>
      <c r="O76" t="s">
        <v>62</v>
      </c>
      <c r="P76" t="s">
        <v>67</v>
      </c>
      <c r="Q76">
        <v>3075</v>
      </c>
      <c r="R76">
        <v>307.5</v>
      </c>
    </row>
    <row r="77" spans="1:18" x14ac:dyDescent="0.35">
      <c r="A77" t="s">
        <v>56</v>
      </c>
      <c r="B77" t="s">
        <v>57</v>
      </c>
      <c r="C77" t="s">
        <v>70</v>
      </c>
      <c r="D77">
        <v>106276317</v>
      </c>
      <c r="E77" t="s">
        <v>548</v>
      </c>
      <c r="F77" t="s">
        <v>72</v>
      </c>
      <c r="G77">
        <v>0.63</v>
      </c>
      <c r="H77">
        <v>9.3699999999999992</v>
      </c>
      <c r="I77">
        <v>0</v>
      </c>
      <c r="J77">
        <v>0</v>
      </c>
      <c r="K77">
        <v>10</v>
      </c>
      <c r="L77" t="s">
        <v>61</v>
      </c>
      <c r="M77">
        <v>504</v>
      </c>
      <c r="N77">
        <v>50.4</v>
      </c>
      <c r="O77" t="s">
        <v>68</v>
      </c>
      <c r="P77" t="s">
        <v>67</v>
      </c>
      <c r="Q77">
        <v>504</v>
      </c>
      <c r="R77">
        <v>50.4</v>
      </c>
    </row>
    <row r="78" spans="1:18" x14ac:dyDescent="0.35">
      <c r="A78" t="s">
        <v>56</v>
      </c>
      <c r="B78" t="s">
        <v>57</v>
      </c>
      <c r="C78" t="s">
        <v>70</v>
      </c>
      <c r="D78">
        <v>106276317</v>
      </c>
      <c r="E78" t="s">
        <v>548</v>
      </c>
      <c r="F78" t="s">
        <v>72</v>
      </c>
      <c r="G78">
        <v>0.63</v>
      </c>
      <c r="H78">
        <v>9.3699999999999992</v>
      </c>
      <c r="I78">
        <v>0</v>
      </c>
      <c r="J78">
        <v>0</v>
      </c>
      <c r="K78">
        <v>10</v>
      </c>
      <c r="L78" t="s">
        <v>61</v>
      </c>
      <c r="M78">
        <v>504</v>
      </c>
      <c r="N78">
        <v>50.4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70</v>
      </c>
      <c r="D79">
        <v>106488400</v>
      </c>
      <c r="E79" t="s">
        <v>549</v>
      </c>
      <c r="F79" t="s">
        <v>60</v>
      </c>
      <c r="G79">
        <v>3.14</v>
      </c>
      <c r="H79">
        <v>2.13</v>
      </c>
      <c r="I79">
        <v>0</v>
      </c>
      <c r="J79">
        <v>0</v>
      </c>
      <c r="K79">
        <v>5.27</v>
      </c>
      <c r="L79" t="s">
        <v>61</v>
      </c>
      <c r="M79">
        <v>532</v>
      </c>
      <c r="N79">
        <v>100.93</v>
      </c>
      <c r="O79" t="s">
        <v>62</v>
      </c>
      <c r="P79" t="s">
        <v>63</v>
      </c>
      <c r="Q79">
        <v>9298</v>
      </c>
      <c r="R79">
        <v>2961.41</v>
      </c>
    </row>
    <row r="80" spans="1:18" x14ac:dyDescent="0.35">
      <c r="A80" t="s">
        <v>56</v>
      </c>
      <c r="B80" t="s">
        <v>57</v>
      </c>
      <c r="C80" t="s">
        <v>70</v>
      </c>
      <c r="D80">
        <v>106488400</v>
      </c>
      <c r="E80" t="s">
        <v>549</v>
      </c>
      <c r="F80" t="s">
        <v>60</v>
      </c>
      <c r="G80">
        <v>3.14</v>
      </c>
      <c r="H80">
        <v>2.13</v>
      </c>
      <c r="I80">
        <v>0</v>
      </c>
      <c r="J80">
        <v>0</v>
      </c>
      <c r="K80">
        <v>5.27</v>
      </c>
      <c r="L80" t="s">
        <v>61</v>
      </c>
      <c r="M80">
        <v>532</v>
      </c>
      <c r="N80">
        <v>100.93</v>
      </c>
      <c r="O80" t="s">
        <v>62</v>
      </c>
      <c r="P80" t="s">
        <v>64</v>
      </c>
      <c r="Q80">
        <v>1361</v>
      </c>
      <c r="R80">
        <v>638.72</v>
      </c>
    </row>
    <row r="81" spans="1:18" x14ac:dyDescent="0.35">
      <c r="A81" t="s">
        <v>56</v>
      </c>
      <c r="B81" t="s">
        <v>57</v>
      </c>
      <c r="C81" t="s">
        <v>70</v>
      </c>
      <c r="D81">
        <v>106488400</v>
      </c>
      <c r="E81" t="s">
        <v>549</v>
      </c>
      <c r="F81" t="s">
        <v>60</v>
      </c>
      <c r="G81">
        <v>3.14</v>
      </c>
      <c r="H81">
        <v>2.13</v>
      </c>
      <c r="I81">
        <v>0</v>
      </c>
      <c r="J81">
        <v>0</v>
      </c>
      <c r="K81">
        <v>5.27</v>
      </c>
      <c r="L81" t="s">
        <v>61</v>
      </c>
      <c r="M81">
        <v>532</v>
      </c>
      <c r="N81">
        <v>100.93</v>
      </c>
      <c r="O81" t="s">
        <v>62</v>
      </c>
      <c r="P81" t="s">
        <v>65</v>
      </c>
      <c r="Q81">
        <v>0</v>
      </c>
      <c r="R81">
        <v>0</v>
      </c>
    </row>
    <row r="82" spans="1:18" x14ac:dyDescent="0.35">
      <c r="A82" t="s">
        <v>56</v>
      </c>
      <c r="B82" t="s">
        <v>57</v>
      </c>
      <c r="C82" t="s">
        <v>70</v>
      </c>
      <c r="D82">
        <v>106488400</v>
      </c>
      <c r="E82" t="s">
        <v>549</v>
      </c>
      <c r="F82" t="s">
        <v>60</v>
      </c>
      <c r="G82">
        <v>3.14</v>
      </c>
      <c r="H82">
        <v>2.13</v>
      </c>
      <c r="I82">
        <v>0</v>
      </c>
      <c r="J82">
        <v>0</v>
      </c>
      <c r="K82">
        <v>5.27</v>
      </c>
      <c r="L82" t="s">
        <v>61</v>
      </c>
      <c r="M82">
        <v>532</v>
      </c>
      <c r="N82">
        <v>100.93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106488400</v>
      </c>
      <c r="E83" t="s">
        <v>549</v>
      </c>
      <c r="F83" t="s">
        <v>60</v>
      </c>
      <c r="G83">
        <v>3.14</v>
      </c>
      <c r="H83">
        <v>2.13</v>
      </c>
      <c r="I83">
        <v>0</v>
      </c>
      <c r="J83">
        <v>0</v>
      </c>
      <c r="K83">
        <v>5.27</v>
      </c>
      <c r="L83" t="s">
        <v>61</v>
      </c>
      <c r="M83">
        <v>532</v>
      </c>
      <c r="N83">
        <v>100.93</v>
      </c>
      <c r="O83" t="s">
        <v>62</v>
      </c>
      <c r="P83" t="s">
        <v>67</v>
      </c>
      <c r="Q83">
        <v>10659</v>
      </c>
      <c r="R83">
        <v>2022.26</v>
      </c>
    </row>
    <row r="84" spans="1:18" x14ac:dyDescent="0.35">
      <c r="A84" t="s">
        <v>56</v>
      </c>
      <c r="B84" t="s">
        <v>57</v>
      </c>
      <c r="C84" t="s">
        <v>70</v>
      </c>
      <c r="D84">
        <v>106488400</v>
      </c>
      <c r="E84" t="s">
        <v>549</v>
      </c>
      <c r="F84" t="s">
        <v>60</v>
      </c>
      <c r="G84">
        <v>3.14</v>
      </c>
      <c r="H84">
        <v>2.13</v>
      </c>
      <c r="I84">
        <v>0</v>
      </c>
      <c r="J84">
        <v>0</v>
      </c>
      <c r="K84">
        <v>5.27</v>
      </c>
      <c r="L84" t="s">
        <v>61</v>
      </c>
      <c r="M84">
        <v>532</v>
      </c>
      <c r="N84">
        <v>100.93</v>
      </c>
      <c r="O84" t="s">
        <v>68</v>
      </c>
      <c r="P84" t="s">
        <v>67</v>
      </c>
      <c r="Q84">
        <v>531</v>
      </c>
      <c r="R84">
        <v>100.74</v>
      </c>
    </row>
    <row r="85" spans="1:18" x14ac:dyDescent="0.35">
      <c r="A85" t="s">
        <v>56</v>
      </c>
      <c r="B85" t="s">
        <v>57</v>
      </c>
      <c r="C85" t="s">
        <v>70</v>
      </c>
      <c r="D85">
        <v>106488400</v>
      </c>
      <c r="E85" t="s">
        <v>549</v>
      </c>
      <c r="F85" t="s">
        <v>60</v>
      </c>
      <c r="G85">
        <v>3.14</v>
      </c>
      <c r="H85">
        <v>2.13</v>
      </c>
      <c r="I85">
        <v>0</v>
      </c>
      <c r="J85">
        <v>0</v>
      </c>
      <c r="K85">
        <v>5.27</v>
      </c>
      <c r="L85" t="s">
        <v>61</v>
      </c>
      <c r="M85">
        <v>532</v>
      </c>
      <c r="N85">
        <v>100.93</v>
      </c>
      <c r="O85" t="s">
        <v>69</v>
      </c>
      <c r="P85" t="s">
        <v>67</v>
      </c>
      <c r="Q85">
        <v>1</v>
      </c>
      <c r="R85">
        <v>0.19</v>
      </c>
    </row>
    <row r="86" spans="1:18" x14ac:dyDescent="0.35">
      <c r="A86" t="s">
        <v>56</v>
      </c>
      <c r="B86" t="s">
        <v>57</v>
      </c>
      <c r="C86" t="s">
        <v>58</v>
      </c>
      <c r="D86">
        <v>106513473</v>
      </c>
      <c r="E86" t="s">
        <v>80</v>
      </c>
      <c r="F86" t="s">
        <v>72</v>
      </c>
      <c r="G86">
        <v>0.62</v>
      </c>
      <c r="H86">
        <v>8.9499999999999993</v>
      </c>
      <c r="I86">
        <v>0</v>
      </c>
      <c r="J86">
        <v>0</v>
      </c>
      <c r="K86">
        <v>9.57</v>
      </c>
      <c r="L86" t="s">
        <v>61</v>
      </c>
      <c r="M86">
        <v>385</v>
      </c>
      <c r="N86">
        <v>40.21</v>
      </c>
      <c r="O86" t="s">
        <v>62</v>
      </c>
      <c r="P86" t="s">
        <v>63</v>
      </c>
      <c r="Q86">
        <v>771</v>
      </c>
      <c r="R86">
        <v>1241.32</v>
      </c>
    </row>
    <row r="87" spans="1:18" x14ac:dyDescent="0.35">
      <c r="A87" t="s">
        <v>56</v>
      </c>
      <c r="B87" t="s">
        <v>57</v>
      </c>
      <c r="C87" t="s">
        <v>58</v>
      </c>
      <c r="D87">
        <v>106513473</v>
      </c>
      <c r="E87" t="s">
        <v>80</v>
      </c>
      <c r="F87" t="s">
        <v>72</v>
      </c>
      <c r="G87">
        <v>0.62</v>
      </c>
      <c r="H87">
        <v>8.9499999999999993</v>
      </c>
      <c r="I87">
        <v>0</v>
      </c>
      <c r="J87">
        <v>0</v>
      </c>
      <c r="K87">
        <v>9.57</v>
      </c>
      <c r="L87" t="s">
        <v>61</v>
      </c>
      <c r="M87">
        <v>385</v>
      </c>
      <c r="N87">
        <v>40.21</v>
      </c>
      <c r="O87" t="s">
        <v>62</v>
      </c>
      <c r="P87" t="s">
        <v>64</v>
      </c>
      <c r="Q87">
        <v>2396</v>
      </c>
      <c r="R87">
        <v>267.72000000000003</v>
      </c>
    </row>
    <row r="88" spans="1:18" x14ac:dyDescent="0.35">
      <c r="A88" t="s">
        <v>56</v>
      </c>
      <c r="B88" t="s">
        <v>57</v>
      </c>
      <c r="C88" t="s">
        <v>58</v>
      </c>
      <c r="D88">
        <v>106513473</v>
      </c>
      <c r="E88" t="s">
        <v>80</v>
      </c>
      <c r="F88" t="s">
        <v>72</v>
      </c>
      <c r="G88">
        <v>0.62</v>
      </c>
      <c r="H88">
        <v>8.9499999999999993</v>
      </c>
      <c r="I88">
        <v>0</v>
      </c>
      <c r="J88">
        <v>0</v>
      </c>
      <c r="K88">
        <v>9.57</v>
      </c>
      <c r="L88" t="s">
        <v>61</v>
      </c>
      <c r="M88">
        <v>385</v>
      </c>
      <c r="N88">
        <v>40.21</v>
      </c>
      <c r="O88" t="s">
        <v>62</v>
      </c>
      <c r="P88" t="s">
        <v>65</v>
      </c>
      <c r="Q88">
        <v>1</v>
      </c>
      <c r="R88">
        <v>257.14</v>
      </c>
    </row>
    <row r="89" spans="1:18" x14ac:dyDescent="0.35">
      <c r="A89" t="s">
        <v>56</v>
      </c>
      <c r="B89" t="s">
        <v>57</v>
      </c>
      <c r="C89" t="s">
        <v>58</v>
      </c>
      <c r="D89">
        <v>106513473</v>
      </c>
      <c r="E89" t="s">
        <v>80</v>
      </c>
      <c r="F89" t="s">
        <v>72</v>
      </c>
      <c r="G89">
        <v>0.62</v>
      </c>
      <c r="H89">
        <v>8.9499999999999993</v>
      </c>
      <c r="I89">
        <v>0</v>
      </c>
      <c r="J89">
        <v>0</v>
      </c>
      <c r="K89">
        <v>9.57</v>
      </c>
      <c r="L89" t="s">
        <v>61</v>
      </c>
      <c r="M89">
        <v>385</v>
      </c>
      <c r="N89">
        <v>40.21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58</v>
      </c>
      <c r="D90">
        <v>106513473</v>
      </c>
      <c r="E90" t="s">
        <v>80</v>
      </c>
      <c r="F90" t="s">
        <v>72</v>
      </c>
      <c r="G90">
        <v>0.62</v>
      </c>
      <c r="H90">
        <v>8.9499999999999993</v>
      </c>
      <c r="I90">
        <v>0</v>
      </c>
      <c r="J90">
        <v>0</v>
      </c>
      <c r="K90">
        <v>9.57</v>
      </c>
      <c r="L90" t="s">
        <v>61</v>
      </c>
      <c r="M90">
        <v>385</v>
      </c>
      <c r="N90">
        <v>40.21</v>
      </c>
      <c r="O90" t="s">
        <v>62</v>
      </c>
      <c r="P90" t="s">
        <v>67</v>
      </c>
      <c r="Q90">
        <v>3168</v>
      </c>
      <c r="R90">
        <v>330.86</v>
      </c>
    </row>
    <row r="91" spans="1:18" x14ac:dyDescent="0.35">
      <c r="A91" t="s">
        <v>56</v>
      </c>
      <c r="B91" t="s">
        <v>57</v>
      </c>
      <c r="C91" t="s">
        <v>58</v>
      </c>
      <c r="D91">
        <v>106513473</v>
      </c>
      <c r="E91" t="s">
        <v>80</v>
      </c>
      <c r="F91" t="s">
        <v>72</v>
      </c>
      <c r="G91">
        <v>0.62</v>
      </c>
      <c r="H91">
        <v>8.9499999999999993</v>
      </c>
      <c r="I91">
        <v>0</v>
      </c>
      <c r="J91">
        <v>0</v>
      </c>
      <c r="K91">
        <v>9.57</v>
      </c>
      <c r="L91" t="s">
        <v>61</v>
      </c>
      <c r="M91">
        <v>385</v>
      </c>
      <c r="N91">
        <v>40.21</v>
      </c>
      <c r="O91" t="s">
        <v>68</v>
      </c>
      <c r="P91" t="s">
        <v>67</v>
      </c>
      <c r="Q91">
        <v>385</v>
      </c>
      <c r="R91">
        <v>40.21</v>
      </c>
    </row>
    <row r="92" spans="1:18" x14ac:dyDescent="0.35">
      <c r="A92" t="s">
        <v>56</v>
      </c>
      <c r="B92" t="s">
        <v>57</v>
      </c>
      <c r="C92" t="s">
        <v>58</v>
      </c>
      <c r="D92">
        <v>106513473</v>
      </c>
      <c r="E92" t="s">
        <v>80</v>
      </c>
      <c r="F92" t="s">
        <v>72</v>
      </c>
      <c r="G92">
        <v>0.62</v>
      </c>
      <c r="H92">
        <v>8.9499999999999993</v>
      </c>
      <c r="I92">
        <v>0</v>
      </c>
      <c r="J92">
        <v>0</v>
      </c>
      <c r="K92">
        <v>9.57</v>
      </c>
      <c r="L92" t="s">
        <v>61</v>
      </c>
      <c r="M92">
        <v>385</v>
      </c>
      <c r="N92">
        <v>40.21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106533893</v>
      </c>
      <c r="E93" t="s">
        <v>672</v>
      </c>
      <c r="F93" t="s">
        <v>60</v>
      </c>
      <c r="G93">
        <v>0.39</v>
      </c>
      <c r="H93">
        <v>3.14</v>
      </c>
      <c r="I93">
        <v>0</v>
      </c>
      <c r="J93">
        <v>0</v>
      </c>
      <c r="K93">
        <v>3.53</v>
      </c>
      <c r="L93" t="s">
        <v>61</v>
      </c>
      <c r="M93">
        <v>86</v>
      </c>
      <c r="N93">
        <v>24.34</v>
      </c>
      <c r="O93" t="s">
        <v>62</v>
      </c>
      <c r="P93" t="s">
        <v>63</v>
      </c>
      <c r="Q93">
        <v>293</v>
      </c>
      <c r="R93">
        <v>743.34</v>
      </c>
    </row>
    <row r="94" spans="1:18" x14ac:dyDescent="0.35">
      <c r="A94" t="s">
        <v>56</v>
      </c>
      <c r="B94" t="s">
        <v>57</v>
      </c>
      <c r="C94" t="s">
        <v>70</v>
      </c>
      <c r="D94">
        <v>106533893</v>
      </c>
      <c r="E94" t="s">
        <v>672</v>
      </c>
      <c r="F94" t="s">
        <v>60</v>
      </c>
      <c r="G94">
        <v>0.39</v>
      </c>
      <c r="H94">
        <v>3.14</v>
      </c>
      <c r="I94">
        <v>0</v>
      </c>
      <c r="J94">
        <v>0</v>
      </c>
      <c r="K94">
        <v>3.53</v>
      </c>
      <c r="L94" t="s">
        <v>61</v>
      </c>
      <c r="M94">
        <v>86</v>
      </c>
      <c r="N94">
        <v>24.34</v>
      </c>
      <c r="O94" t="s">
        <v>62</v>
      </c>
      <c r="P94" t="s">
        <v>64</v>
      </c>
      <c r="Q94">
        <v>503</v>
      </c>
      <c r="R94">
        <v>160.22</v>
      </c>
    </row>
    <row r="95" spans="1:18" x14ac:dyDescent="0.35">
      <c r="A95" t="s">
        <v>56</v>
      </c>
      <c r="B95" t="s">
        <v>57</v>
      </c>
      <c r="C95" t="s">
        <v>70</v>
      </c>
      <c r="D95">
        <v>106533893</v>
      </c>
      <c r="E95" t="s">
        <v>672</v>
      </c>
      <c r="F95" t="s">
        <v>60</v>
      </c>
      <c r="G95">
        <v>0.39</v>
      </c>
      <c r="H95">
        <v>3.14</v>
      </c>
      <c r="I95">
        <v>0</v>
      </c>
      <c r="J95">
        <v>0</v>
      </c>
      <c r="K95">
        <v>3.53</v>
      </c>
      <c r="L95" t="s">
        <v>61</v>
      </c>
      <c r="M95">
        <v>86</v>
      </c>
      <c r="N95">
        <v>24.34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106533893</v>
      </c>
      <c r="E96" t="s">
        <v>672</v>
      </c>
      <c r="F96" t="s">
        <v>60</v>
      </c>
      <c r="G96">
        <v>0.39</v>
      </c>
      <c r="H96">
        <v>3.14</v>
      </c>
      <c r="I96">
        <v>0</v>
      </c>
      <c r="J96">
        <v>0</v>
      </c>
      <c r="K96">
        <v>3.53</v>
      </c>
      <c r="L96" t="s">
        <v>61</v>
      </c>
      <c r="M96">
        <v>86</v>
      </c>
      <c r="N96">
        <v>24.34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106533893</v>
      </c>
      <c r="E97" t="s">
        <v>672</v>
      </c>
      <c r="F97" t="s">
        <v>60</v>
      </c>
      <c r="G97">
        <v>0.39</v>
      </c>
      <c r="H97">
        <v>3.14</v>
      </c>
      <c r="I97">
        <v>0</v>
      </c>
      <c r="J97">
        <v>0</v>
      </c>
      <c r="K97">
        <v>3.53</v>
      </c>
      <c r="L97" t="s">
        <v>61</v>
      </c>
      <c r="M97">
        <v>86</v>
      </c>
      <c r="N97">
        <v>24.34</v>
      </c>
      <c r="O97" t="s">
        <v>62</v>
      </c>
      <c r="P97" t="s">
        <v>67</v>
      </c>
      <c r="Q97">
        <v>796</v>
      </c>
      <c r="R97">
        <v>225.25</v>
      </c>
    </row>
    <row r="98" spans="1:18" x14ac:dyDescent="0.35">
      <c r="A98" t="s">
        <v>56</v>
      </c>
      <c r="B98" t="s">
        <v>57</v>
      </c>
      <c r="C98" t="s">
        <v>70</v>
      </c>
      <c r="D98">
        <v>106533893</v>
      </c>
      <c r="E98" t="s">
        <v>672</v>
      </c>
      <c r="F98" t="s">
        <v>60</v>
      </c>
      <c r="G98">
        <v>0.39</v>
      </c>
      <c r="H98">
        <v>3.14</v>
      </c>
      <c r="I98">
        <v>0</v>
      </c>
      <c r="J98">
        <v>0</v>
      </c>
      <c r="K98">
        <v>3.53</v>
      </c>
      <c r="L98" t="s">
        <v>61</v>
      </c>
      <c r="M98">
        <v>86</v>
      </c>
      <c r="N98">
        <v>24.34</v>
      </c>
      <c r="O98" t="s">
        <v>68</v>
      </c>
      <c r="P98" t="s">
        <v>67</v>
      </c>
      <c r="Q98">
        <v>86</v>
      </c>
      <c r="R98">
        <v>24.34</v>
      </c>
    </row>
    <row r="99" spans="1:18" x14ac:dyDescent="0.35">
      <c r="A99" t="s">
        <v>56</v>
      </c>
      <c r="B99" t="s">
        <v>57</v>
      </c>
      <c r="C99" t="s">
        <v>70</v>
      </c>
      <c r="D99">
        <v>106533893</v>
      </c>
      <c r="E99" t="s">
        <v>672</v>
      </c>
      <c r="F99" t="s">
        <v>60</v>
      </c>
      <c r="G99">
        <v>0.39</v>
      </c>
      <c r="H99">
        <v>3.14</v>
      </c>
      <c r="I99">
        <v>0</v>
      </c>
      <c r="J99">
        <v>0</v>
      </c>
      <c r="K99">
        <v>3.53</v>
      </c>
      <c r="L99" t="s">
        <v>61</v>
      </c>
      <c r="M99">
        <v>86</v>
      </c>
      <c r="N99">
        <v>24.34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70</v>
      </c>
      <c r="D100">
        <v>106550610</v>
      </c>
      <c r="E100" t="s">
        <v>572</v>
      </c>
      <c r="F100" t="s">
        <v>72</v>
      </c>
      <c r="G100">
        <v>1.47</v>
      </c>
      <c r="H100">
        <v>1.48</v>
      </c>
      <c r="I100">
        <v>0</v>
      </c>
      <c r="J100">
        <v>0</v>
      </c>
      <c r="K100">
        <v>2.95</v>
      </c>
      <c r="L100" t="s">
        <v>61</v>
      </c>
      <c r="M100">
        <v>299</v>
      </c>
      <c r="N100">
        <v>101.28</v>
      </c>
      <c r="O100" t="s">
        <v>62</v>
      </c>
      <c r="P100" t="s">
        <v>63</v>
      </c>
      <c r="Q100">
        <v>4320</v>
      </c>
      <c r="R100">
        <v>2944.34</v>
      </c>
    </row>
    <row r="101" spans="1:18" x14ac:dyDescent="0.35">
      <c r="A101" t="s">
        <v>56</v>
      </c>
      <c r="B101" t="s">
        <v>57</v>
      </c>
      <c r="C101" t="s">
        <v>70</v>
      </c>
      <c r="D101">
        <v>106550610</v>
      </c>
      <c r="E101" t="s">
        <v>572</v>
      </c>
      <c r="F101" t="s">
        <v>72</v>
      </c>
      <c r="G101">
        <v>1.47</v>
      </c>
      <c r="H101">
        <v>1.48</v>
      </c>
      <c r="I101">
        <v>0</v>
      </c>
      <c r="J101">
        <v>0</v>
      </c>
      <c r="K101">
        <v>2.95</v>
      </c>
      <c r="L101" t="s">
        <v>61</v>
      </c>
      <c r="M101">
        <v>299</v>
      </c>
      <c r="N101">
        <v>101.28</v>
      </c>
      <c r="O101" t="s">
        <v>62</v>
      </c>
      <c r="P101" t="s">
        <v>64</v>
      </c>
      <c r="Q101">
        <v>943</v>
      </c>
      <c r="R101">
        <v>635.14</v>
      </c>
    </row>
    <row r="102" spans="1:18" x14ac:dyDescent="0.35">
      <c r="A102" t="s">
        <v>56</v>
      </c>
      <c r="B102" t="s">
        <v>57</v>
      </c>
      <c r="C102" t="s">
        <v>70</v>
      </c>
      <c r="D102">
        <v>106550610</v>
      </c>
      <c r="E102" t="s">
        <v>572</v>
      </c>
      <c r="F102" t="s">
        <v>72</v>
      </c>
      <c r="G102">
        <v>1.47</v>
      </c>
      <c r="H102">
        <v>1.48</v>
      </c>
      <c r="I102">
        <v>0</v>
      </c>
      <c r="J102">
        <v>0</v>
      </c>
      <c r="K102">
        <v>2.95</v>
      </c>
      <c r="L102" t="s">
        <v>61</v>
      </c>
      <c r="M102">
        <v>299</v>
      </c>
      <c r="N102">
        <v>101.28</v>
      </c>
      <c r="O102" t="s">
        <v>62</v>
      </c>
      <c r="P102" t="s">
        <v>65</v>
      </c>
      <c r="Q102">
        <v>0</v>
      </c>
      <c r="R102">
        <v>0</v>
      </c>
    </row>
    <row r="103" spans="1:18" x14ac:dyDescent="0.35">
      <c r="A103" t="s">
        <v>56</v>
      </c>
      <c r="B103" t="s">
        <v>57</v>
      </c>
      <c r="C103" t="s">
        <v>70</v>
      </c>
      <c r="D103">
        <v>106550610</v>
      </c>
      <c r="E103" t="s">
        <v>572</v>
      </c>
      <c r="F103" t="s">
        <v>72</v>
      </c>
      <c r="G103">
        <v>1.47</v>
      </c>
      <c r="H103">
        <v>1.48</v>
      </c>
      <c r="I103">
        <v>0</v>
      </c>
      <c r="J103">
        <v>0</v>
      </c>
      <c r="K103">
        <v>2.95</v>
      </c>
      <c r="L103" t="s">
        <v>61</v>
      </c>
      <c r="M103">
        <v>299</v>
      </c>
      <c r="N103">
        <v>101.28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106550610</v>
      </c>
      <c r="E104" t="s">
        <v>572</v>
      </c>
      <c r="F104" t="s">
        <v>72</v>
      </c>
      <c r="G104">
        <v>1.47</v>
      </c>
      <c r="H104">
        <v>1.48</v>
      </c>
      <c r="I104">
        <v>0</v>
      </c>
      <c r="J104">
        <v>0</v>
      </c>
      <c r="K104">
        <v>2.95</v>
      </c>
      <c r="L104" t="s">
        <v>61</v>
      </c>
      <c r="M104">
        <v>299</v>
      </c>
      <c r="N104">
        <v>101.28</v>
      </c>
      <c r="O104" t="s">
        <v>62</v>
      </c>
      <c r="P104" t="s">
        <v>67</v>
      </c>
      <c r="Q104">
        <v>5263</v>
      </c>
      <c r="R104">
        <v>1782.72</v>
      </c>
    </row>
    <row r="105" spans="1:18" x14ac:dyDescent="0.35">
      <c r="A105" t="s">
        <v>56</v>
      </c>
      <c r="B105" t="s">
        <v>57</v>
      </c>
      <c r="C105" t="s">
        <v>70</v>
      </c>
      <c r="D105">
        <v>106550610</v>
      </c>
      <c r="E105" t="s">
        <v>572</v>
      </c>
      <c r="F105" t="s">
        <v>72</v>
      </c>
      <c r="G105">
        <v>1.47</v>
      </c>
      <c r="H105">
        <v>1.48</v>
      </c>
      <c r="I105">
        <v>0</v>
      </c>
      <c r="J105">
        <v>0</v>
      </c>
      <c r="K105">
        <v>2.95</v>
      </c>
      <c r="L105" t="s">
        <v>61</v>
      </c>
      <c r="M105">
        <v>299</v>
      </c>
      <c r="N105">
        <v>101.28</v>
      </c>
      <c r="O105" t="s">
        <v>68</v>
      </c>
      <c r="P105" t="s">
        <v>67</v>
      </c>
      <c r="Q105">
        <v>297</v>
      </c>
      <c r="R105">
        <v>100.6</v>
      </c>
    </row>
    <row r="106" spans="1:18" x14ac:dyDescent="0.35">
      <c r="A106" t="s">
        <v>56</v>
      </c>
      <c r="B106" t="s">
        <v>57</v>
      </c>
      <c r="C106" t="s">
        <v>70</v>
      </c>
      <c r="D106">
        <v>106550610</v>
      </c>
      <c r="E106" t="s">
        <v>572</v>
      </c>
      <c r="F106" t="s">
        <v>72</v>
      </c>
      <c r="G106">
        <v>1.47</v>
      </c>
      <c r="H106">
        <v>1.48</v>
      </c>
      <c r="I106">
        <v>0</v>
      </c>
      <c r="J106">
        <v>0</v>
      </c>
      <c r="K106">
        <v>2.95</v>
      </c>
      <c r="L106" t="s">
        <v>61</v>
      </c>
      <c r="M106">
        <v>299</v>
      </c>
      <c r="N106">
        <v>101.28</v>
      </c>
      <c r="O106" t="s">
        <v>69</v>
      </c>
      <c r="P106" t="s">
        <v>67</v>
      </c>
      <c r="Q106">
        <v>3</v>
      </c>
      <c r="R106">
        <v>1.02</v>
      </c>
    </row>
    <row r="107" spans="1:18" x14ac:dyDescent="0.35">
      <c r="A107" t="s">
        <v>56</v>
      </c>
      <c r="B107" t="s">
        <v>57</v>
      </c>
      <c r="C107" t="s">
        <v>70</v>
      </c>
      <c r="D107">
        <v>106640096</v>
      </c>
      <c r="E107" t="s">
        <v>82</v>
      </c>
      <c r="F107" t="s">
        <v>72</v>
      </c>
      <c r="G107">
        <v>0.35</v>
      </c>
      <c r="H107">
        <v>7.86</v>
      </c>
      <c r="I107">
        <v>0</v>
      </c>
      <c r="J107">
        <v>0</v>
      </c>
      <c r="K107">
        <v>8.2100000000000009</v>
      </c>
      <c r="L107" t="s">
        <v>61</v>
      </c>
      <c r="M107">
        <v>345</v>
      </c>
      <c r="N107">
        <v>42.02</v>
      </c>
      <c r="O107" t="s">
        <v>62</v>
      </c>
      <c r="P107" t="s">
        <v>63</v>
      </c>
      <c r="Q107">
        <v>363</v>
      </c>
      <c r="R107">
        <v>1028.17</v>
      </c>
    </row>
    <row r="108" spans="1:18" x14ac:dyDescent="0.35">
      <c r="A108" t="s">
        <v>56</v>
      </c>
      <c r="B108" t="s">
        <v>57</v>
      </c>
      <c r="C108" t="s">
        <v>70</v>
      </c>
      <c r="D108">
        <v>106640096</v>
      </c>
      <c r="E108" t="s">
        <v>82</v>
      </c>
      <c r="F108" t="s">
        <v>72</v>
      </c>
      <c r="G108">
        <v>0.35</v>
      </c>
      <c r="H108">
        <v>7.86</v>
      </c>
      <c r="I108">
        <v>0</v>
      </c>
      <c r="J108">
        <v>0</v>
      </c>
      <c r="K108">
        <v>8.2100000000000009</v>
      </c>
      <c r="L108" t="s">
        <v>61</v>
      </c>
      <c r="M108">
        <v>345</v>
      </c>
      <c r="N108">
        <v>42.02</v>
      </c>
      <c r="O108" t="s">
        <v>62</v>
      </c>
      <c r="P108" t="s">
        <v>64</v>
      </c>
      <c r="Q108">
        <v>1741</v>
      </c>
      <c r="R108">
        <v>221.6</v>
      </c>
    </row>
    <row r="109" spans="1:18" x14ac:dyDescent="0.35">
      <c r="A109" t="s">
        <v>56</v>
      </c>
      <c r="B109" t="s">
        <v>57</v>
      </c>
      <c r="C109" t="s">
        <v>70</v>
      </c>
      <c r="D109">
        <v>106640096</v>
      </c>
      <c r="E109" t="s">
        <v>82</v>
      </c>
      <c r="F109" t="s">
        <v>72</v>
      </c>
      <c r="G109">
        <v>0.35</v>
      </c>
      <c r="H109">
        <v>7.86</v>
      </c>
      <c r="I109">
        <v>0</v>
      </c>
      <c r="J109">
        <v>0</v>
      </c>
      <c r="K109">
        <v>8.2100000000000009</v>
      </c>
      <c r="L109" t="s">
        <v>61</v>
      </c>
      <c r="M109">
        <v>345</v>
      </c>
      <c r="N109">
        <v>42.02</v>
      </c>
      <c r="O109" t="s">
        <v>62</v>
      </c>
      <c r="P109" t="s">
        <v>65</v>
      </c>
      <c r="Q109">
        <v>0</v>
      </c>
      <c r="R109">
        <v>0</v>
      </c>
    </row>
    <row r="110" spans="1:18" x14ac:dyDescent="0.35">
      <c r="A110" t="s">
        <v>56</v>
      </c>
      <c r="B110" t="s">
        <v>57</v>
      </c>
      <c r="C110" t="s">
        <v>70</v>
      </c>
      <c r="D110">
        <v>106640096</v>
      </c>
      <c r="E110" t="s">
        <v>82</v>
      </c>
      <c r="F110" t="s">
        <v>72</v>
      </c>
      <c r="G110">
        <v>0.35</v>
      </c>
      <c r="H110">
        <v>7.86</v>
      </c>
      <c r="I110">
        <v>0</v>
      </c>
      <c r="J110">
        <v>0</v>
      </c>
      <c r="K110">
        <v>8.2100000000000009</v>
      </c>
      <c r="L110" t="s">
        <v>61</v>
      </c>
      <c r="M110">
        <v>345</v>
      </c>
      <c r="N110">
        <v>42.02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106640096</v>
      </c>
      <c r="E111" t="s">
        <v>82</v>
      </c>
      <c r="F111" t="s">
        <v>72</v>
      </c>
      <c r="G111">
        <v>0.35</v>
      </c>
      <c r="H111">
        <v>7.86</v>
      </c>
      <c r="I111">
        <v>0</v>
      </c>
      <c r="J111">
        <v>0</v>
      </c>
      <c r="K111">
        <v>8.2100000000000009</v>
      </c>
      <c r="L111" t="s">
        <v>61</v>
      </c>
      <c r="M111">
        <v>345</v>
      </c>
      <c r="N111">
        <v>42.02</v>
      </c>
      <c r="O111" t="s">
        <v>62</v>
      </c>
      <c r="P111" t="s">
        <v>67</v>
      </c>
      <c r="Q111">
        <v>2104</v>
      </c>
      <c r="R111">
        <v>256.27</v>
      </c>
    </row>
    <row r="112" spans="1:18" x14ac:dyDescent="0.35">
      <c r="A112" t="s">
        <v>56</v>
      </c>
      <c r="B112" t="s">
        <v>57</v>
      </c>
      <c r="C112" t="s">
        <v>70</v>
      </c>
      <c r="D112">
        <v>106640096</v>
      </c>
      <c r="E112" t="s">
        <v>82</v>
      </c>
      <c r="F112" t="s">
        <v>72</v>
      </c>
      <c r="G112">
        <v>0.35</v>
      </c>
      <c r="H112">
        <v>7.86</v>
      </c>
      <c r="I112">
        <v>0</v>
      </c>
      <c r="J112">
        <v>0</v>
      </c>
      <c r="K112">
        <v>8.2100000000000009</v>
      </c>
      <c r="L112" t="s">
        <v>61</v>
      </c>
      <c r="M112">
        <v>345</v>
      </c>
      <c r="N112">
        <v>42.02</v>
      </c>
      <c r="O112" t="s">
        <v>68</v>
      </c>
      <c r="P112" t="s">
        <v>67</v>
      </c>
      <c r="Q112">
        <v>345</v>
      </c>
      <c r="R112">
        <v>42.02</v>
      </c>
    </row>
    <row r="113" spans="1:18" x14ac:dyDescent="0.35">
      <c r="A113" t="s">
        <v>56</v>
      </c>
      <c r="B113" t="s">
        <v>57</v>
      </c>
      <c r="C113" t="s">
        <v>70</v>
      </c>
      <c r="D113">
        <v>106640096</v>
      </c>
      <c r="E113" t="s">
        <v>82</v>
      </c>
      <c r="F113" t="s">
        <v>72</v>
      </c>
      <c r="G113">
        <v>0.35</v>
      </c>
      <c r="H113">
        <v>7.86</v>
      </c>
      <c r="I113">
        <v>0</v>
      </c>
      <c r="J113">
        <v>0</v>
      </c>
      <c r="K113">
        <v>8.2100000000000009</v>
      </c>
      <c r="L113" t="s">
        <v>61</v>
      </c>
      <c r="M113">
        <v>345</v>
      </c>
      <c r="N113">
        <v>42.02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58</v>
      </c>
      <c r="D114">
        <v>107221179</v>
      </c>
      <c r="E114" t="s">
        <v>83</v>
      </c>
      <c r="F114" t="s">
        <v>72</v>
      </c>
      <c r="G114">
        <v>0.33</v>
      </c>
      <c r="H114">
        <v>6.02</v>
      </c>
      <c r="I114">
        <v>0</v>
      </c>
      <c r="J114">
        <v>0</v>
      </c>
      <c r="K114">
        <v>6.35</v>
      </c>
      <c r="L114" t="s">
        <v>61</v>
      </c>
      <c r="M114">
        <v>336</v>
      </c>
      <c r="N114">
        <v>52.9</v>
      </c>
      <c r="O114" t="s">
        <v>62</v>
      </c>
      <c r="P114" t="s">
        <v>63</v>
      </c>
      <c r="Q114">
        <v>308</v>
      </c>
      <c r="R114">
        <v>938.07</v>
      </c>
    </row>
    <row r="115" spans="1:18" x14ac:dyDescent="0.35">
      <c r="A115" t="s">
        <v>56</v>
      </c>
      <c r="B115" t="s">
        <v>57</v>
      </c>
      <c r="C115" t="s">
        <v>58</v>
      </c>
      <c r="D115">
        <v>107221179</v>
      </c>
      <c r="E115" t="s">
        <v>83</v>
      </c>
      <c r="F115" t="s">
        <v>72</v>
      </c>
      <c r="G115">
        <v>0.33</v>
      </c>
      <c r="H115">
        <v>6.02</v>
      </c>
      <c r="I115">
        <v>0</v>
      </c>
      <c r="J115">
        <v>0</v>
      </c>
      <c r="K115">
        <v>6.35</v>
      </c>
      <c r="L115" t="s">
        <v>61</v>
      </c>
      <c r="M115">
        <v>336</v>
      </c>
      <c r="N115">
        <v>52.9</v>
      </c>
      <c r="O115" t="s">
        <v>62</v>
      </c>
      <c r="P115" t="s">
        <v>64</v>
      </c>
      <c r="Q115">
        <v>1218</v>
      </c>
      <c r="R115">
        <v>202.24</v>
      </c>
    </row>
    <row r="116" spans="1:18" x14ac:dyDescent="0.35">
      <c r="A116" t="s">
        <v>56</v>
      </c>
      <c r="B116" t="s">
        <v>57</v>
      </c>
      <c r="C116" t="s">
        <v>58</v>
      </c>
      <c r="D116">
        <v>107221179</v>
      </c>
      <c r="E116" t="s">
        <v>83</v>
      </c>
      <c r="F116" t="s">
        <v>72</v>
      </c>
      <c r="G116">
        <v>0.33</v>
      </c>
      <c r="H116">
        <v>6.02</v>
      </c>
      <c r="I116">
        <v>0</v>
      </c>
      <c r="J116">
        <v>0</v>
      </c>
      <c r="K116">
        <v>6.35</v>
      </c>
      <c r="L116" t="s">
        <v>61</v>
      </c>
      <c r="M116">
        <v>336</v>
      </c>
      <c r="N116">
        <v>52.9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58</v>
      </c>
      <c r="D117">
        <v>107221179</v>
      </c>
      <c r="E117" t="s">
        <v>83</v>
      </c>
      <c r="F117" t="s">
        <v>72</v>
      </c>
      <c r="G117">
        <v>0.33</v>
      </c>
      <c r="H117">
        <v>6.02</v>
      </c>
      <c r="I117">
        <v>0</v>
      </c>
      <c r="J117">
        <v>0</v>
      </c>
      <c r="K117">
        <v>6.35</v>
      </c>
      <c r="L117" t="s">
        <v>61</v>
      </c>
      <c r="M117">
        <v>336</v>
      </c>
      <c r="N117">
        <v>52.9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58</v>
      </c>
      <c r="D118">
        <v>107221179</v>
      </c>
      <c r="E118" t="s">
        <v>83</v>
      </c>
      <c r="F118" t="s">
        <v>72</v>
      </c>
      <c r="G118">
        <v>0.33</v>
      </c>
      <c r="H118">
        <v>6.02</v>
      </c>
      <c r="I118">
        <v>0</v>
      </c>
      <c r="J118">
        <v>0</v>
      </c>
      <c r="K118">
        <v>6.35</v>
      </c>
      <c r="L118" t="s">
        <v>61</v>
      </c>
      <c r="M118">
        <v>336</v>
      </c>
      <c r="N118">
        <v>52.9</v>
      </c>
      <c r="O118" t="s">
        <v>62</v>
      </c>
      <c r="P118" t="s">
        <v>67</v>
      </c>
      <c r="Q118">
        <v>1526</v>
      </c>
      <c r="R118">
        <v>240.27</v>
      </c>
    </row>
    <row r="119" spans="1:18" x14ac:dyDescent="0.35">
      <c r="A119" t="s">
        <v>56</v>
      </c>
      <c r="B119" t="s">
        <v>57</v>
      </c>
      <c r="C119" t="s">
        <v>58</v>
      </c>
      <c r="D119">
        <v>107221179</v>
      </c>
      <c r="E119" t="s">
        <v>83</v>
      </c>
      <c r="F119" t="s">
        <v>72</v>
      </c>
      <c r="G119">
        <v>0.33</v>
      </c>
      <c r="H119">
        <v>6.02</v>
      </c>
      <c r="I119">
        <v>0</v>
      </c>
      <c r="J119">
        <v>0</v>
      </c>
      <c r="K119">
        <v>6.35</v>
      </c>
      <c r="L119" t="s">
        <v>61</v>
      </c>
      <c r="M119">
        <v>336</v>
      </c>
      <c r="N119">
        <v>52.9</v>
      </c>
      <c r="O119" t="s">
        <v>68</v>
      </c>
      <c r="P119" t="s">
        <v>67</v>
      </c>
      <c r="Q119">
        <v>336</v>
      </c>
      <c r="R119">
        <v>52.9</v>
      </c>
    </row>
    <row r="120" spans="1:18" x14ac:dyDescent="0.35">
      <c r="A120" t="s">
        <v>56</v>
      </c>
      <c r="B120" t="s">
        <v>57</v>
      </c>
      <c r="C120" t="s">
        <v>58</v>
      </c>
      <c r="D120">
        <v>107221179</v>
      </c>
      <c r="E120" t="s">
        <v>83</v>
      </c>
      <c r="F120" t="s">
        <v>72</v>
      </c>
      <c r="G120">
        <v>0.33</v>
      </c>
      <c r="H120">
        <v>6.02</v>
      </c>
      <c r="I120">
        <v>0</v>
      </c>
      <c r="J120">
        <v>0</v>
      </c>
      <c r="K120">
        <v>6.35</v>
      </c>
      <c r="L120" t="s">
        <v>61</v>
      </c>
      <c r="M120">
        <v>336</v>
      </c>
      <c r="N120">
        <v>52.9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107221222</v>
      </c>
      <c r="E121" t="s">
        <v>86</v>
      </c>
      <c r="F121" t="s">
        <v>72</v>
      </c>
      <c r="G121">
        <v>0.95</v>
      </c>
      <c r="H121">
        <v>9.0399999999999991</v>
      </c>
      <c r="I121">
        <v>0</v>
      </c>
      <c r="J121">
        <v>0</v>
      </c>
      <c r="K121">
        <v>10</v>
      </c>
      <c r="L121" t="s">
        <v>61</v>
      </c>
      <c r="M121">
        <v>308</v>
      </c>
      <c r="N121">
        <v>30.8</v>
      </c>
      <c r="O121" t="s">
        <v>62</v>
      </c>
      <c r="P121" t="s">
        <v>63</v>
      </c>
      <c r="Q121">
        <v>843</v>
      </c>
      <c r="R121">
        <v>882.72</v>
      </c>
    </row>
    <row r="122" spans="1:18" x14ac:dyDescent="0.35">
      <c r="A122" t="s">
        <v>56</v>
      </c>
      <c r="B122" t="s">
        <v>57</v>
      </c>
      <c r="C122" t="s">
        <v>70</v>
      </c>
      <c r="D122">
        <v>107221222</v>
      </c>
      <c r="E122" t="s">
        <v>86</v>
      </c>
      <c r="F122" t="s">
        <v>72</v>
      </c>
      <c r="G122">
        <v>0.95</v>
      </c>
      <c r="H122">
        <v>9.0399999999999991</v>
      </c>
      <c r="I122">
        <v>0</v>
      </c>
      <c r="J122">
        <v>0</v>
      </c>
      <c r="K122">
        <v>10</v>
      </c>
      <c r="L122" t="s">
        <v>61</v>
      </c>
      <c r="M122">
        <v>308</v>
      </c>
      <c r="N122">
        <v>30.8</v>
      </c>
      <c r="O122" t="s">
        <v>62</v>
      </c>
      <c r="P122" t="s">
        <v>64</v>
      </c>
      <c r="Q122">
        <v>1722</v>
      </c>
      <c r="R122">
        <v>190.39</v>
      </c>
    </row>
    <row r="123" spans="1:18" x14ac:dyDescent="0.35">
      <c r="A123" t="s">
        <v>56</v>
      </c>
      <c r="B123" t="s">
        <v>57</v>
      </c>
      <c r="C123" t="s">
        <v>70</v>
      </c>
      <c r="D123">
        <v>107221222</v>
      </c>
      <c r="E123" t="s">
        <v>86</v>
      </c>
      <c r="F123" t="s">
        <v>72</v>
      </c>
      <c r="G123">
        <v>0.95</v>
      </c>
      <c r="H123">
        <v>9.0399999999999991</v>
      </c>
      <c r="I123">
        <v>0</v>
      </c>
      <c r="J123">
        <v>0</v>
      </c>
      <c r="K123">
        <v>10</v>
      </c>
      <c r="L123" t="s">
        <v>61</v>
      </c>
      <c r="M123">
        <v>308</v>
      </c>
      <c r="N123">
        <v>30.8</v>
      </c>
      <c r="O123" t="s">
        <v>62</v>
      </c>
      <c r="P123" t="s">
        <v>65</v>
      </c>
      <c r="Q123">
        <v>0</v>
      </c>
      <c r="R123">
        <v>0</v>
      </c>
    </row>
    <row r="124" spans="1:18" x14ac:dyDescent="0.35">
      <c r="A124" t="s">
        <v>56</v>
      </c>
      <c r="B124" t="s">
        <v>57</v>
      </c>
      <c r="C124" t="s">
        <v>70</v>
      </c>
      <c r="D124">
        <v>107221222</v>
      </c>
      <c r="E124" t="s">
        <v>86</v>
      </c>
      <c r="F124" t="s">
        <v>72</v>
      </c>
      <c r="G124">
        <v>0.95</v>
      </c>
      <c r="H124">
        <v>9.0399999999999991</v>
      </c>
      <c r="I124">
        <v>0</v>
      </c>
      <c r="J124">
        <v>0</v>
      </c>
      <c r="K124">
        <v>10</v>
      </c>
      <c r="L124" t="s">
        <v>61</v>
      </c>
      <c r="M124">
        <v>308</v>
      </c>
      <c r="N124">
        <v>30.8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107221222</v>
      </c>
      <c r="E125" t="s">
        <v>86</v>
      </c>
      <c r="F125" t="s">
        <v>72</v>
      </c>
      <c r="G125">
        <v>0.95</v>
      </c>
      <c r="H125">
        <v>9.0399999999999991</v>
      </c>
      <c r="I125">
        <v>0</v>
      </c>
      <c r="J125">
        <v>0</v>
      </c>
      <c r="K125">
        <v>10</v>
      </c>
      <c r="L125" t="s">
        <v>61</v>
      </c>
      <c r="M125">
        <v>308</v>
      </c>
      <c r="N125">
        <v>30.8</v>
      </c>
      <c r="O125" t="s">
        <v>62</v>
      </c>
      <c r="P125" t="s">
        <v>67</v>
      </c>
      <c r="Q125">
        <v>2565</v>
      </c>
      <c r="R125">
        <v>256.5</v>
      </c>
    </row>
    <row r="126" spans="1:18" x14ac:dyDescent="0.35">
      <c r="A126" t="s">
        <v>56</v>
      </c>
      <c r="B126" t="s">
        <v>57</v>
      </c>
      <c r="C126" t="s">
        <v>70</v>
      </c>
      <c r="D126">
        <v>107221222</v>
      </c>
      <c r="E126" t="s">
        <v>86</v>
      </c>
      <c r="F126" t="s">
        <v>72</v>
      </c>
      <c r="G126">
        <v>0.95</v>
      </c>
      <c r="H126">
        <v>9.0399999999999991</v>
      </c>
      <c r="I126">
        <v>0</v>
      </c>
      <c r="J126">
        <v>0</v>
      </c>
      <c r="K126">
        <v>10</v>
      </c>
      <c r="L126" t="s">
        <v>61</v>
      </c>
      <c r="M126">
        <v>308</v>
      </c>
      <c r="N126">
        <v>30.8</v>
      </c>
      <c r="O126" t="s">
        <v>68</v>
      </c>
      <c r="P126" t="s">
        <v>67</v>
      </c>
      <c r="Q126">
        <v>308</v>
      </c>
      <c r="R126">
        <v>30.8</v>
      </c>
    </row>
    <row r="127" spans="1:18" x14ac:dyDescent="0.35">
      <c r="A127" t="s">
        <v>56</v>
      </c>
      <c r="B127" t="s">
        <v>57</v>
      </c>
      <c r="C127" t="s">
        <v>70</v>
      </c>
      <c r="D127">
        <v>107221222</v>
      </c>
      <c r="E127" t="s">
        <v>86</v>
      </c>
      <c r="F127" t="s">
        <v>72</v>
      </c>
      <c r="G127">
        <v>0.95</v>
      </c>
      <c r="H127">
        <v>9.0399999999999991</v>
      </c>
      <c r="I127">
        <v>0</v>
      </c>
      <c r="J127">
        <v>0</v>
      </c>
      <c r="K127">
        <v>10</v>
      </c>
      <c r="L127" t="s">
        <v>61</v>
      </c>
      <c r="M127">
        <v>308</v>
      </c>
      <c r="N127">
        <v>30.8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58</v>
      </c>
      <c r="D128">
        <v>107221237</v>
      </c>
      <c r="E128" t="s">
        <v>89</v>
      </c>
      <c r="F128" t="s">
        <v>72</v>
      </c>
      <c r="G128">
        <v>0.49</v>
      </c>
      <c r="H128">
        <v>9.09</v>
      </c>
      <c r="I128">
        <v>0</v>
      </c>
      <c r="J128">
        <v>0</v>
      </c>
      <c r="K128">
        <v>9.58</v>
      </c>
      <c r="L128" t="s">
        <v>61</v>
      </c>
      <c r="M128">
        <v>396</v>
      </c>
      <c r="N128">
        <v>41.35</v>
      </c>
      <c r="O128" t="s">
        <v>62</v>
      </c>
      <c r="P128" t="s">
        <v>63</v>
      </c>
      <c r="Q128">
        <v>525</v>
      </c>
      <c r="R128">
        <v>1072.6400000000001</v>
      </c>
    </row>
    <row r="129" spans="1:18" x14ac:dyDescent="0.35">
      <c r="A129" t="s">
        <v>56</v>
      </c>
      <c r="B129" t="s">
        <v>57</v>
      </c>
      <c r="C129" t="s">
        <v>58</v>
      </c>
      <c r="D129">
        <v>107221237</v>
      </c>
      <c r="E129" t="s">
        <v>89</v>
      </c>
      <c r="F129" t="s">
        <v>72</v>
      </c>
      <c r="G129">
        <v>0.49</v>
      </c>
      <c r="H129">
        <v>9.09</v>
      </c>
      <c r="I129">
        <v>0</v>
      </c>
      <c r="J129">
        <v>0</v>
      </c>
      <c r="K129">
        <v>9.58</v>
      </c>
      <c r="L129" t="s">
        <v>61</v>
      </c>
      <c r="M129">
        <v>396</v>
      </c>
      <c r="N129">
        <v>41.35</v>
      </c>
      <c r="O129" t="s">
        <v>62</v>
      </c>
      <c r="P129" t="s">
        <v>64</v>
      </c>
      <c r="Q129">
        <v>2102</v>
      </c>
      <c r="R129">
        <v>231.31</v>
      </c>
    </row>
    <row r="130" spans="1:18" x14ac:dyDescent="0.35">
      <c r="A130" t="s">
        <v>56</v>
      </c>
      <c r="B130" t="s">
        <v>57</v>
      </c>
      <c r="C130" t="s">
        <v>58</v>
      </c>
      <c r="D130">
        <v>107221237</v>
      </c>
      <c r="E130" t="s">
        <v>89</v>
      </c>
      <c r="F130" t="s">
        <v>72</v>
      </c>
      <c r="G130">
        <v>0.49</v>
      </c>
      <c r="H130">
        <v>9.09</v>
      </c>
      <c r="I130">
        <v>0</v>
      </c>
      <c r="J130">
        <v>0</v>
      </c>
      <c r="K130">
        <v>9.58</v>
      </c>
      <c r="L130" t="s">
        <v>61</v>
      </c>
      <c r="M130">
        <v>396</v>
      </c>
      <c r="N130">
        <v>41.35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58</v>
      </c>
      <c r="D131">
        <v>107221237</v>
      </c>
      <c r="E131" t="s">
        <v>89</v>
      </c>
      <c r="F131" t="s">
        <v>72</v>
      </c>
      <c r="G131">
        <v>0.49</v>
      </c>
      <c r="H131">
        <v>9.09</v>
      </c>
      <c r="I131">
        <v>0</v>
      </c>
      <c r="J131">
        <v>0</v>
      </c>
      <c r="K131">
        <v>9.58</v>
      </c>
      <c r="L131" t="s">
        <v>61</v>
      </c>
      <c r="M131">
        <v>396</v>
      </c>
      <c r="N131">
        <v>41.35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58</v>
      </c>
      <c r="D132">
        <v>107221237</v>
      </c>
      <c r="E132" t="s">
        <v>89</v>
      </c>
      <c r="F132" t="s">
        <v>72</v>
      </c>
      <c r="G132">
        <v>0.49</v>
      </c>
      <c r="H132">
        <v>9.09</v>
      </c>
      <c r="I132">
        <v>0</v>
      </c>
      <c r="J132">
        <v>0</v>
      </c>
      <c r="K132">
        <v>9.58</v>
      </c>
      <c r="L132" t="s">
        <v>61</v>
      </c>
      <c r="M132">
        <v>396</v>
      </c>
      <c r="N132">
        <v>41.35</v>
      </c>
      <c r="O132" t="s">
        <v>62</v>
      </c>
      <c r="P132" t="s">
        <v>67</v>
      </c>
      <c r="Q132">
        <v>2627</v>
      </c>
      <c r="R132">
        <v>274.3</v>
      </c>
    </row>
    <row r="133" spans="1:18" x14ac:dyDescent="0.35">
      <c r="A133" t="s">
        <v>56</v>
      </c>
      <c r="B133" t="s">
        <v>57</v>
      </c>
      <c r="C133" t="s">
        <v>58</v>
      </c>
      <c r="D133">
        <v>107221237</v>
      </c>
      <c r="E133" t="s">
        <v>89</v>
      </c>
      <c r="F133" t="s">
        <v>72</v>
      </c>
      <c r="G133">
        <v>0.49</v>
      </c>
      <c r="H133">
        <v>9.09</v>
      </c>
      <c r="I133">
        <v>0</v>
      </c>
      <c r="J133">
        <v>0</v>
      </c>
      <c r="K133">
        <v>9.58</v>
      </c>
      <c r="L133" t="s">
        <v>61</v>
      </c>
      <c r="M133">
        <v>396</v>
      </c>
      <c r="N133">
        <v>41.35</v>
      </c>
      <c r="O133" t="s">
        <v>68</v>
      </c>
      <c r="P133" t="s">
        <v>67</v>
      </c>
      <c r="Q133">
        <v>396</v>
      </c>
      <c r="R133">
        <v>41.35</v>
      </c>
    </row>
    <row r="134" spans="1:18" x14ac:dyDescent="0.35">
      <c r="A134" t="s">
        <v>56</v>
      </c>
      <c r="B134" t="s">
        <v>57</v>
      </c>
      <c r="C134" t="s">
        <v>58</v>
      </c>
      <c r="D134">
        <v>107221237</v>
      </c>
      <c r="E134" t="s">
        <v>89</v>
      </c>
      <c r="F134" t="s">
        <v>72</v>
      </c>
      <c r="G134">
        <v>0.49</v>
      </c>
      <c r="H134">
        <v>9.09</v>
      </c>
      <c r="I134">
        <v>0</v>
      </c>
      <c r="J134">
        <v>0</v>
      </c>
      <c r="K134">
        <v>9.58</v>
      </c>
      <c r="L134" t="s">
        <v>61</v>
      </c>
      <c r="M134">
        <v>396</v>
      </c>
      <c r="N134">
        <v>41.35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107232917</v>
      </c>
      <c r="E135" t="s">
        <v>530</v>
      </c>
      <c r="F135" t="s">
        <v>72</v>
      </c>
      <c r="G135">
        <v>1.63</v>
      </c>
      <c r="H135">
        <v>5.58</v>
      </c>
      <c r="I135">
        <v>0</v>
      </c>
      <c r="J135">
        <v>0</v>
      </c>
      <c r="K135">
        <v>7.22</v>
      </c>
      <c r="L135" t="s">
        <v>61</v>
      </c>
      <c r="M135">
        <v>518</v>
      </c>
      <c r="N135">
        <v>71.78</v>
      </c>
      <c r="O135" t="s">
        <v>62</v>
      </c>
      <c r="P135" t="s">
        <v>63</v>
      </c>
      <c r="Q135">
        <v>3322</v>
      </c>
      <c r="R135">
        <v>2032.49</v>
      </c>
    </row>
    <row r="136" spans="1:18" x14ac:dyDescent="0.35">
      <c r="A136" t="s">
        <v>56</v>
      </c>
      <c r="B136" t="s">
        <v>57</v>
      </c>
      <c r="C136" t="s">
        <v>70</v>
      </c>
      <c r="D136">
        <v>107232917</v>
      </c>
      <c r="E136" t="s">
        <v>530</v>
      </c>
      <c r="F136" t="s">
        <v>72</v>
      </c>
      <c r="G136">
        <v>1.63</v>
      </c>
      <c r="H136">
        <v>5.58</v>
      </c>
      <c r="I136">
        <v>0</v>
      </c>
      <c r="J136">
        <v>0</v>
      </c>
      <c r="K136">
        <v>7.22</v>
      </c>
      <c r="L136" t="s">
        <v>61</v>
      </c>
      <c r="M136">
        <v>518</v>
      </c>
      <c r="N136">
        <v>71.78</v>
      </c>
      <c r="O136" t="s">
        <v>62</v>
      </c>
      <c r="P136" t="s">
        <v>64</v>
      </c>
      <c r="Q136">
        <v>2447</v>
      </c>
      <c r="R136">
        <v>438.36</v>
      </c>
    </row>
    <row r="137" spans="1:18" x14ac:dyDescent="0.35">
      <c r="A137" t="s">
        <v>56</v>
      </c>
      <c r="B137" t="s">
        <v>57</v>
      </c>
      <c r="C137" t="s">
        <v>70</v>
      </c>
      <c r="D137">
        <v>107232917</v>
      </c>
      <c r="E137" t="s">
        <v>530</v>
      </c>
      <c r="F137" t="s">
        <v>72</v>
      </c>
      <c r="G137">
        <v>1.63</v>
      </c>
      <c r="H137">
        <v>5.58</v>
      </c>
      <c r="I137">
        <v>0</v>
      </c>
      <c r="J137">
        <v>0</v>
      </c>
      <c r="K137">
        <v>7.22</v>
      </c>
      <c r="L137" t="s">
        <v>61</v>
      </c>
      <c r="M137">
        <v>518</v>
      </c>
      <c r="N137">
        <v>71.78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107232917</v>
      </c>
      <c r="E138" t="s">
        <v>530</v>
      </c>
      <c r="F138" t="s">
        <v>72</v>
      </c>
      <c r="G138">
        <v>1.63</v>
      </c>
      <c r="H138">
        <v>5.58</v>
      </c>
      <c r="I138">
        <v>0</v>
      </c>
      <c r="J138">
        <v>0</v>
      </c>
      <c r="K138">
        <v>7.22</v>
      </c>
      <c r="L138" t="s">
        <v>61</v>
      </c>
      <c r="M138">
        <v>518</v>
      </c>
      <c r="N138">
        <v>71.78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107232917</v>
      </c>
      <c r="E139" t="s">
        <v>530</v>
      </c>
      <c r="F139" t="s">
        <v>72</v>
      </c>
      <c r="G139">
        <v>1.63</v>
      </c>
      <c r="H139">
        <v>5.58</v>
      </c>
      <c r="I139">
        <v>0</v>
      </c>
      <c r="J139">
        <v>0</v>
      </c>
      <c r="K139">
        <v>7.22</v>
      </c>
      <c r="L139" t="s">
        <v>61</v>
      </c>
      <c r="M139">
        <v>518</v>
      </c>
      <c r="N139">
        <v>71.78</v>
      </c>
      <c r="O139" t="s">
        <v>62</v>
      </c>
      <c r="P139" t="s">
        <v>67</v>
      </c>
      <c r="Q139">
        <v>5769</v>
      </c>
      <c r="R139">
        <v>799.37</v>
      </c>
    </row>
    <row r="140" spans="1:18" x14ac:dyDescent="0.35">
      <c r="A140" t="s">
        <v>56</v>
      </c>
      <c r="B140" t="s">
        <v>57</v>
      </c>
      <c r="C140" t="s">
        <v>70</v>
      </c>
      <c r="D140">
        <v>107232917</v>
      </c>
      <c r="E140" t="s">
        <v>530</v>
      </c>
      <c r="F140" t="s">
        <v>72</v>
      </c>
      <c r="G140">
        <v>1.63</v>
      </c>
      <c r="H140">
        <v>5.58</v>
      </c>
      <c r="I140">
        <v>0</v>
      </c>
      <c r="J140">
        <v>0</v>
      </c>
      <c r="K140">
        <v>7.22</v>
      </c>
      <c r="L140" t="s">
        <v>61</v>
      </c>
      <c r="M140">
        <v>518</v>
      </c>
      <c r="N140">
        <v>71.78</v>
      </c>
      <c r="O140" t="s">
        <v>68</v>
      </c>
      <c r="P140" t="s">
        <v>67</v>
      </c>
      <c r="Q140">
        <v>518</v>
      </c>
      <c r="R140">
        <v>71.78</v>
      </c>
    </row>
    <row r="141" spans="1:18" x14ac:dyDescent="0.35">
      <c r="A141" t="s">
        <v>56</v>
      </c>
      <c r="B141" t="s">
        <v>57</v>
      </c>
      <c r="C141" t="s">
        <v>70</v>
      </c>
      <c r="D141">
        <v>107232917</v>
      </c>
      <c r="E141" t="s">
        <v>530</v>
      </c>
      <c r="F141" t="s">
        <v>72</v>
      </c>
      <c r="G141">
        <v>1.63</v>
      </c>
      <c r="H141">
        <v>5.58</v>
      </c>
      <c r="I141">
        <v>0</v>
      </c>
      <c r="J141">
        <v>0</v>
      </c>
      <c r="K141">
        <v>7.22</v>
      </c>
      <c r="L141" t="s">
        <v>61</v>
      </c>
      <c r="M141">
        <v>518</v>
      </c>
      <c r="N141">
        <v>71.78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107232971</v>
      </c>
      <c r="E142" t="s">
        <v>531</v>
      </c>
      <c r="F142" t="s">
        <v>72</v>
      </c>
      <c r="G142">
        <v>0.28000000000000003</v>
      </c>
      <c r="H142">
        <v>9.7200000000000006</v>
      </c>
      <c r="I142">
        <v>0</v>
      </c>
      <c r="J142">
        <v>0</v>
      </c>
      <c r="K142">
        <v>10</v>
      </c>
      <c r="L142" t="s">
        <v>61</v>
      </c>
      <c r="M142">
        <v>573</v>
      </c>
      <c r="N142">
        <v>57.3</v>
      </c>
      <c r="O142" t="s">
        <v>62</v>
      </c>
      <c r="P142" t="s">
        <v>63</v>
      </c>
      <c r="Q142">
        <v>286</v>
      </c>
      <c r="R142">
        <v>1006.45</v>
      </c>
    </row>
    <row r="143" spans="1:18" x14ac:dyDescent="0.35">
      <c r="A143" t="s">
        <v>56</v>
      </c>
      <c r="B143" t="s">
        <v>57</v>
      </c>
      <c r="C143" t="s">
        <v>70</v>
      </c>
      <c r="D143">
        <v>107232971</v>
      </c>
      <c r="E143" t="s">
        <v>531</v>
      </c>
      <c r="F143" t="s">
        <v>72</v>
      </c>
      <c r="G143">
        <v>0.28000000000000003</v>
      </c>
      <c r="H143">
        <v>9.7200000000000006</v>
      </c>
      <c r="I143">
        <v>0</v>
      </c>
      <c r="J143">
        <v>0</v>
      </c>
      <c r="K143">
        <v>10</v>
      </c>
      <c r="L143" t="s">
        <v>61</v>
      </c>
      <c r="M143">
        <v>573</v>
      </c>
      <c r="N143">
        <v>57.3</v>
      </c>
      <c r="O143" t="s">
        <v>62</v>
      </c>
      <c r="P143" t="s">
        <v>64</v>
      </c>
      <c r="Q143">
        <v>2109</v>
      </c>
      <c r="R143">
        <v>217.07</v>
      </c>
    </row>
    <row r="144" spans="1:18" x14ac:dyDescent="0.35">
      <c r="A144" t="s">
        <v>56</v>
      </c>
      <c r="B144" t="s">
        <v>57</v>
      </c>
      <c r="C144" t="s">
        <v>70</v>
      </c>
      <c r="D144">
        <v>107232971</v>
      </c>
      <c r="E144" t="s">
        <v>531</v>
      </c>
      <c r="F144" t="s">
        <v>72</v>
      </c>
      <c r="G144">
        <v>0.28000000000000003</v>
      </c>
      <c r="H144">
        <v>9.7200000000000006</v>
      </c>
      <c r="I144">
        <v>0</v>
      </c>
      <c r="J144">
        <v>0</v>
      </c>
      <c r="K144">
        <v>10</v>
      </c>
      <c r="L144" t="s">
        <v>61</v>
      </c>
      <c r="M144">
        <v>573</v>
      </c>
      <c r="N144">
        <v>57.3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107232971</v>
      </c>
      <c r="E145" t="s">
        <v>531</v>
      </c>
      <c r="F145" t="s">
        <v>72</v>
      </c>
      <c r="G145">
        <v>0.28000000000000003</v>
      </c>
      <c r="H145">
        <v>9.7200000000000006</v>
      </c>
      <c r="I145">
        <v>0</v>
      </c>
      <c r="J145">
        <v>0</v>
      </c>
      <c r="K145">
        <v>10</v>
      </c>
      <c r="L145" t="s">
        <v>61</v>
      </c>
      <c r="M145">
        <v>573</v>
      </c>
      <c r="N145">
        <v>57.3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107232971</v>
      </c>
      <c r="E146" t="s">
        <v>531</v>
      </c>
      <c r="F146" t="s">
        <v>72</v>
      </c>
      <c r="G146">
        <v>0.28000000000000003</v>
      </c>
      <c r="H146">
        <v>9.7200000000000006</v>
      </c>
      <c r="I146">
        <v>0</v>
      </c>
      <c r="J146">
        <v>0</v>
      </c>
      <c r="K146">
        <v>10</v>
      </c>
      <c r="L146" t="s">
        <v>61</v>
      </c>
      <c r="M146">
        <v>573</v>
      </c>
      <c r="N146">
        <v>57.3</v>
      </c>
      <c r="O146" t="s">
        <v>62</v>
      </c>
      <c r="P146" t="s">
        <v>67</v>
      </c>
      <c r="Q146">
        <v>2395</v>
      </c>
      <c r="R146">
        <v>239.5</v>
      </c>
    </row>
    <row r="147" spans="1:18" x14ac:dyDescent="0.35">
      <c r="A147" t="s">
        <v>56</v>
      </c>
      <c r="B147" t="s">
        <v>57</v>
      </c>
      <c r="C147" t="s">
        <v>70</v>
      </c>
      <c r="D147">
        <v>107232971</v>
      </c>
      <c r="E147" t="s">
        <v>531</v>
      </c>
      <c r="F147" t="s">
        <v>72</v>
      </c>
      <c r="G147">
        <v>0.28000000000000003</v>
      </c>
      <c r="H147">
        <v>9.7200000000000006</v>
      </c>
      <c r="I147">
        <v>0</v>
      </c>
      <c r="J147">
        <v>0</v>
      </c>
      <c r="K147">
        <v>10</v>
      </c>
      <c r="L147" t="s">
        <v>61</v>
      </c>
      <c r="M147">
        <v>573</v>
      </c>
      <c r="N147">
        <v>57.3</v>
      </c>
      <c r="O147" t="s">
        <v>68</v>
      </c>
      <c r="P147" t="s">
        <v>67</v>
      </c>
      <c r="Q147">
        <v>573</v>
      </c>
      <c r="R147">
        <v>57.3</v>
      </c>
    </row>
    <row r="148" spans="1:18" x14ac:dyDescent="0.35">
      <c r="A148" t="s">
        <v>56</v>
      </c>
      <c r="B148" t="s">
        <v>57</v>
      </c>
      <c r="C148" t="s">
        <v>70</v>
      </c>
      <c r="D148">
        <v>107232971</v>
      </c>
      <c r="E148" t="s">
        <v>531</v>
      </c>
      <c r="F148" t="s">
        <v>72</v>
      </c>
      <c r="G148">
        <v>0.28000000000000003</v>
      </c>
      <c r="H148">
        <v>9.7200000000000006</v>
      </c>
      <c r="I148">
        <v>0</v>
      </c>
      <c r="J148">
        <v>0</v>
      </c>
      <c r="K148">
        <v>10</v>
      </c>
      <c r="L148" t="s">
        <v>61</v>
      </c>
      <c r="M148">
        <v>573</v>
      </c>
      <c r="N148">
        <v>57.3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107233183</v>
      </c>
      <c r="E149" t="s">
        <v>532</v>
      </c>
      <c r="F149" t="s">
        <v>72</v>
      </c>
      <c r="G149">
        <v>1.04</v>
      </c>
      <c r="H149">
        <v>8.1999999999999993</v>
      </c>
      <c r="I149">
        <v>0</v>
      </c>
      <c r="J149">
        <v>0</v>
      </c>
      <c r="K149">
        <v>9.25</v>
      </c>
      <c r="L149" t="s">
        <v>61</v>
      </c>
      <c r="M149">
        <v>328</v>
      </c>
      <c r="N149">
        <v>35.46</v>
      </c>
      <c r="O149" t="s">
        <v>62</v>
      </c>
      <c r="P149" t="s">
        <v>63</v>
      </c>
      <c r="Q149">
        <v>890</v>
      </c>
      <c r="R149">
        <v>851.67</v>
      </c>
    </row>
    <row r="150" spans="1:18" x14ac:dyDescent="0.35">
      <c r="A150" t="s">
        <v>56</v>
      </c>
      <c r="B150" t="s">
        <v>57</v>
      </c>
      <c r="C150" t="s">
        <v>70</v>
      </c>
      <c r="D150">
        <v>107233183</v>
      </c>
      <c r="E150" t="s">
        <v>532</v>
      </c>
      <c r="F150" t="s">
        <v>72</v>
      </c>
      <c r="G150">
        <v>1.04</v>
      </c>
      <c r="H150">
        <v>8.1999999999999993</v>
      </c>
      <c r="I150">
        <v>0</v>
      </c>
      <c r="J150">
        <v>0</v>
      </c>
      <c r="K150">
        <v>9.25</v>
      </c>
      <c r="L150" t="s">
        <v>61</v>
      </c>
      <c r="M150">
        <v>328</v>
      </c>
      <c r="N150">
        <v>35.46</v>
      </c>
      <c r="O150" t="s">
        <v>62</v>
      </c>
      <c r="P150" t="s">
        <v>64</v>
      </c>
      <c r="Q150">
        <v>1507</v>
      </c>
      <c r="R150">
        <v>183.67</v>
      </c>
    </row>
    <row r="151" spans="1:18" x14ac:dyDescent="0.35">
      <c r="A151" t="s">
        <v>56</v>
      </c>
      <c r="B151" t="s">
        <v>57</v>
      </c>
      <c r="C151" t="s">
        <v>70</v>
      </c>
      <c r="D151">
        <v>107233183</v>
      </c>
      <c r="E151" t="s">
        <v>532</v>
      </c>
      <c r="F151" t="s">
        <v>72</v>
      </c>
      <c r="G151">
        <v>1.04</v>
      </c>
      <c r="H151">
        <v>8.1999999999999993</v>
      </c>
      <c r="I151">
        <v>0</v>
      </c>
      <c r="J151">
        <v>0</v>
      </c>
      <c r="K151">
        <v>9.25</v>
      </c>
      <c r="L151" t="s">
        <v>61</v>
      </c>
      <c r="M151">
        <v>328</v>
      </c>
      <c r="N151">
        <v>35.46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70</v>
      </c>
      <c r="D152">
        <v>107233183</v>
      </c>
      <c r="E152" t="s">
        <v>532</v>
      </c>
      <c r="F152" t="s">
        <v>72</v>
      </c>
      <c r="G152">
        <v>1.04</v>
      </c>
      <c r="H152">
        <v>8.1999999999999993</v>
      </c>
      <c r="I152">
        <v>0</v>
      </c>
      <c r="J152">
        <v>0</v>
      </c>
      <c r="K152">
        <v>9.25</v>
      </c>
      <c r="L152" t="s">
        <v>61</v>
      </c>
      <c r="M152">
        <v>328</v>
      </c>
      <c r="N152">
        <v>35.46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107233183</v>
      </c>
      <c r="E153" t="s">
        <v>532</v>
      </c>
      <c r="F153" t="s">
        <v>72</v>
      </c>
      <c r="G153">
        <v>1.04</v>
      </c>
      <c r="H153">
        <v>8.1999999999999993</v>
      </c>
      <c r="I153">
        <v>0</v>
      </c>
      <c r="J153">
        <v>0</v>
      </c>
      <c r="K153">
        <v>9.25</v>
      </c>
      <c r="L153" t="s">
        <v>61</v>
      </c>
      <c r="M153">
        <v>328</v>
      </c>
      <c r="N153">
        <v>35.46</v>
      </c>
      <c r="O153" t="s">
        <v>62</v>
      </c>
      <c r="P153" t="s">
        <v>67</v>
      </c>
      <c r="Q153">
        <v>2397</v>
      </c>
      <c r="R153">
        <v>259.14</v>
      </c>
    </row>
    <row r="154" spans="1:18" x14ac:dyDescent="0.35">
      <c r="A154" t="s">
        <v>56</v>
      </c>
      <c r="B154" t="s">
        <v>57</v>
      </c>
      <c r="C154" t="s">
        <v>70</v>
      </c>
      <c r="D154">
        <v>107233183</v>
      </c>
      <c r="E154" t="s">
        <v>532</v>
      </c>
      <c r="F154" t="s">
        <v>72</v>
      </c>
      <c r="G154">
        <v>1.04</v>
      </c>
      <c r="H154">
        <v>8.1999999999999993</v>
      </c>
      <c r="I154">
        <v>0</v>
      </c>
      <c r="J154">
        <v>0</v>
      </c>
      <c r="K154">
        <v>9.25</v>
      </c>
      <c r="L154" t="s">
        <v>61</v>
      </c>
      <c r="M154">
        <v>328</v>
      </c>
      <c r="N154">
        <v>35.46</v>
      </c>
      <c r="O154" t="s">
        <v>68</v>
      </c>
      <c r="P154" t="s">
        <v>67</v>
      </c>
      <c r="Q154">
        <v>328</v>
      </c>
      <c r="R154">
        <v>35.46</v>
      </c>
    </row>
    <row r="155" spans="1:18" x14ac:dyDescent="0.35">
      <c r="A155" t="s">
        <v>56</v>
      </c>
      <c r="B155" t="s">
        <v>57</v>
      </c>
      <c r="C155" t="s">
        <v>70</v>
      </c>
      <c r="D155">
        <v>107233183</v>
      </c>
      <c r="E155" t="s">
        <v>532</v>
      </c>
      <c r="F155" t="s">
        <v>72</v>
      </c>
      <c r="G155">
        <v>1.04</v>
      </c>
      <c r="H155">
        <v>8.1999999999999993</v>
      </c>
      <c r="I155">
        <v>0</v>
      </c>
      <c r="J155">
        <v>0</v>
      </c>
      <c r="K155">
        <v>9.25</v>
      </c>
      <c r="L155" t="s">
        <v>61</v>
      </c>
      <c r="M155">
        <v>328</v>
      </c>
      <c r="N155">
        <v>35.46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107233200</v>
      </c>
      <c r="E156" t="s">
        <v>533</v>
      </c>
      <c r="F156" t="s">
        <v>72</v>
      </c>
      <c r="G156">
        <v>0.56000000000000005</v>
      </c>
      <c r="H156">
        <v>9.44</v>
      </c>
      <c r="I156">
        <v>0</v>
      </c>
      <c r="J156">
        <v>0</v>
      </c>
      <c r="K156">
        <v>10</v>
      </c>
      <c r="L156" t="s">
        <v>61</v>
      </c>
      <c r="M156">
        <v>450</v>
      </c>
      <c r="N156">
        <v>45</v>
      </c>
      <c r="O156" t="s">
        <v>62</v>
      </c>
      <c r="P156" t="s">
        <v>63</v>
      </c>
      <c r="Q156">
        <v>486</v>
      </c>
      <c r="R156">
        <v>869.58</v>
      </c>
    </row>
    <row r="157" spans="1:18" x14ac:dyDescent="0.35">
      <c r="A157" t="s">
        <v>56</v>
      </c>
      <c r="B157" t="s">
        <v>57</v>
      </c>
      <c r="C157" t="s">
        <v>70</v>
      </c>
      <c r="D157">
        <v>107233200</v>
      </c>
      <c r="E157" t="s">
        <v>533</v>
      </c>
      <c r="F157" t="s">
        <v>72</v>
      </c>
      <c r="G157">
        <v>0.56000000000000005</v>
      </c>
      <c r="H157">
        <v>9.44</v>
      </c>
      <c r="I157">
        <v>0</v>
      </c>
      <c r="J157">
        <v>0</v>
      </c>
      <c r="K157">
        <v>10</v>
      </c>
      <c r="L157" t="s">
        <v>61</v>
      </c>
      <c r="M157">
        <v>450</v>
      </c>
      <c r="N157">
        <v>45</v>
      </c>
      <c r="O157" t="s">
        <v>62</v>
      </c>
      <c r="P157" t="s">
        <v>64</v>
      </c>
      <c r="Q157">
        <v>1770</v>
      </c>
      <c r="R157">
        <v>187.48</v>
      </c>
    </row>
    <row r="158" spans="1:18" x14ac:dyDescent="0.35">
      <c r="A158" t="s">
        <v>56</v>
      </c>
      <c r="B158" t="s">
        <v>57</v>
      </c>
      <c r="C158" t="s">
        <v>70</v>
      </c>
      <c r="D158">
        <v>107233200</v>
      </c>
      <c r="E158" t="s">
        <v>533</v>
      </c>
      <c r="F158" t="s">
        <v>72</v>
      </c>
      <c r="G158">
        <v>0.56000000000000005</v>
      </c>
      <c r="H158">
        <v>9.44</v>
      </c>
      <c r="I158">
        <v>0</v>
      </c>
      <c r="J158">
        <v>0</v>
      </c>
      <c r="K158">
        <v>10</v>
      </c>
      <c r="L158" t="s">
        <v>61</v>
      </c>
      <c r="M158">
        <v>450</v>
      </c>
      <c r="N158">
        <v>45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107233200</v>
      </c>
      <c r="E159" t="s">
        <v>533</v>
      </c>
      <c r="F159" t="s">
        <v>72</v>
      </c>
      <c r="G159">
        <v>0.56000000000000005</v>
      </c>
      <c r="H159">
        <v>9.44</v>
      </c>
      <c r="I159">
        <v>0</v>
      </c>
      <c r="J159">
        <v>0</v>
      </c>
      <c r="K159">
        <v>10</v>
      </c>
      <c r="L159" t="s">
        <v>61</v>
      </c>
      <c r="M159">
        <v>450</v>
      </c>
      <c r="N159">
        <v>45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107233200</v>
      </c>
      <c r="E160" t="s">
        <v>533</v>
      </c>
      <c r="F160" t="s">
        <v>72</v>
      </c>
      <c r="G160">
        <v>0.56000000000000005</v>
      </c>
      <c r="H160">
        <v>9.44</v>
      </c>
      <c r="I160">
        <v>0</v>
      </c>
      <c r="J160">
        <v>0</v>
      </c>
      <c r="K160">
        <v>10</v>
      </c>
      <c r="L160" t="s">
        <v>61</v>
      </c>
      <c r="M160">
        <v>450</v>
      </c>
      <c r="N160">
        <v>45</v>
      </c>
      <c r="O160" t="s">
        <v>62</v>
      </c>
      <c r="P160" t="s">
        <v>67</v>
      </c>
      <c r="Q160">
        <v>2256</v>
      </c>
      <c r="R160">
        <v>225.6</v>
      </c>
    </row>
    <row r="161" spans="1:18" x14ac:dyDescent="0.35">
      <c r="A161" t="s">
        <v>56</v>
      </c>
      <c r="B161" t="s">
        <v>57</v>
      </c>
      <c r="C161" t="s">
        <v>70</v>
      </c>
      <c r="D161">
        <v>107233200</v>
      </c>
      <c r="E161" t="s">
        <v>533</v>
      </c>
      <c r="F161" t="s">
        <v>72</v>
      </c>
      <c r="G161">
        <v>0.56000000000000005</v>
      </c>
      <c r="H161">
        <v>9.44</v>
      </c>
      <c r="I161">
        <v>0</v>
      </c>
      <c r="J161">
        <v>0</v>
      </c>
      <c r="K161">
        <v>10</v>
      </c>
      <c r="L161" t="s">
        <v>61</v>
      </c>
      <c r="M161">
        <v>450</v>
      </c>
      <c r="N161">
        <v>45</v>
      </c>
      <c r="O161" t="s">
        <v>68</v>
      </c>
      <c r="P161" t="s">
        <v>67</v>
      </c>
      <c r="Q161">
        <v>450</v>
      </c>
      <c r="R161">
        <v>45</v>
      </c>
    </row>
    <row r="162" spans="1:18" x14ac:dyDescent="0.35">
      <c r="A162" t="s">
        <v>56</v>
      </c>
      <c r="B162" t="s">
        <v>57</v>
      </c>
      <c r="C162" t="s">
        <v>70</v>
      </c>
      <c r="D162">
        <v>107233200</v>
      </c>
      <c r="E162" t="s">
        <v>533</v>
      </c>
      <c r="F162" t="s">
        <v>72</v>
      </c>
      <c r="G162">
        <v>0.56000000000000005</v>
      </c>
      <c r="H162">
        <v>9.44</v>
      </c>
      <c r="I162">
        <v>0</v>
      </c>
      <c r="J162">
        <v>0</v>
      </c>
      <c r="K162">
        <v>10</v>
      </c>
      <c r="L162" t="s">
        <v>61</v>
      </c>
      <c r="M162">
        <v>450</v>
      </c>
      <c r="N162">
        <v>45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70</v>
      </c>
      <c r="D163">
        <v>107264616</v>
      </c>
      <c r="E163" t="s">
        <v>534</v>
      </c>
      <c r="F163" t="s">
        <v>72</v>
      </c>
      <c r="G163">
        <v>0.32</v>
      </c>
      <c r="H163">
        <v>8.9600000000000009</v>
      </c>
      <c r="I163">
        <v>0</v>
      </c>
      <c r="J163">
        <v>0</v>
      </c>
      <c r="K163">
        <v>9.2799999999999994</v>
      </c>
      <c r="L163" t="s">
        <v>61</v>
      </c>
      <c r="M163">
        <v>554</v>
      </c>
      <c r="N163">
        <v>59.67</v>
      </c>
      <c r="O163" t="s">
        <v>62</v>
      </c>
      <c r="P163" t="s">
        <v>63</v>
      </c>
      <c r="Q163">
        <v>383</v>
      </c>
      <c r="R163">
        <v>1181.49</v>
      </c>
    </row>
    <row r="164" spans="1:18" x14ac:dyDescent="0.35">
      <c r="A164" t="s">
        <v>56</v>
      </c>
      <c r="B164" t="s">
        <v>57</v>
      </c>
      <c r="C164" t="s">
        <v>70</v>
      </c>
      <c r="D164">
        <v>107264616</v>
      </c>
      <c r="E164" t="s">
        <v>534</v>
      </c>
      <c r="F164" t="s">
        <v>72</v>
      </c>
      <c r="G164">
        <v>0.32</v>
      </c>
      <c r="H164">
        <v>8.9600000000000009</v>
      </c>
      <c r="I164">
        <v>0</v>
      </c>
      <c r="J164">
        <v>0</v>
      </c>
      <c r="K164">
        <v>9.2799999999999994</v>
      </c>
      <c r="L164" t="s">
        <v>61</v>
      </c>
      <c r="M164">
        <v>554</v>
      </c>
      <c r="N164">
        <v>59.67</v>
      </c>
      <c r="O164" t="s">
        <v>62</v>
      </c>
      <c r="P164" t="s">
        <v>64</v>
      </c>
      <c r="Q164">
        <v>2283</v>
      </c>
      <c r="R164">
        <v>254.81</v>
      </c>
    </row>
    <row r="165" spans="1:18" x14ac:dyDescent="0.35">
      <c r="A165" t="s">
        <v>56</v>
      </c>
      <c r="B165" t="s">
        <v>57</v>
      </c>
      <c r="C165" t="s">
        <v>70</v>
      </c>
      <c r="D165">
        <v>107264616</v>
      </c>
      <c r="E165" t="s">
        <v>534</v>
      </c>
      <c r="F165" t="s">
        <v>72</v>
      </c>
      <c r="G165">
        <v>0.32</v>
      </c>
      <c r="H165">
        <v>8.9600000000000009</v>
      </c>
      <c r="I165">
        <v>0</v>
      </c>
      <c r="J165">
        <v>0</v>
      </c>
      <c r="K165">
        <v>9.2799999999999994</v>
      </c>
      <c r="L165" t="s">
        <v>61</v>
      </c>
      <c r="M165">
        <v>554</v>
      </c>
      <c r="N165">
        <v>59.67</v>
      </c>
      <c r="O165" t="s">
        <v>62</v>
      </c>
      <c r="P165" t="s">
        <v>65</v>
      </c>
      <c r="Q165">
        <v>0</v>
      </c>
      <c r="R165">
        <v>0</v>
      </c>
    </row>
    <row r="166" spans="1:18" x14ac:dyDescent="0.35">
      <c r="A166" t="s">
        <v>56</v>
      </c>
      <c r="B166" t="s">
        <v>57</v>
      </c>
      <c r="C166" t="s">
        <v>70</v>
      </c>
      <c r="D166">
        <v>107264616</v>
      </c>
      <c r="E166" t="s">
        <v>534</v>
      </c>
      <c r="F166" t="s">
        <v>72</v>
      </c>
      <c r="G166">
        <v>0.32</v>
      </c>
      <c r="H166">
        <v>8.9600000000000009</v>
      </c>
      <c r="I166">
        <v>0</v>
      </c>
      <c r="J166">
        <v>0</v>
      </c>
      <c r="K166">
        <v>9.2799999999999994</v>
      </c>
      <c r="L166" t="s">
        <v>61</v>
      </c>
      <c r="M166">
        <v>554</v>
      </c>
      <c r="N166">
        <v>59.67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107264616</v>
      </c>
      <c r="E167" t="s">
        <v>534</v>
      </c>
      <c r="F167" t="s">
        <v>72</v>
      </c>
      <c r="G167">
        <v>0.32</v>
      </c>
      <c r="H167">
        <v>8.9600000000000009</v>
      </c>
      <c r="I167">
        <v>0</v>
      </c>
      <c r="J167">
        <v>0</v>
      </c>
      <c r="K167">
        <v>9.2799999999999994</v>
      </c>
      <c r="L167" t="s">
        <v>61</v>
      </c>
      <c r="M167">
        <v>554</v>
      </c>
      <c r="N167">
        <v>59.67</v>
      </c>
      <c r="O167" t="s">
        <v>62</v>
      </c>
      <c r="P167" t="s">
        <v>67</v>
      </c>
      <c r="Q167">
        <v>2666</v>
      </c>
      <c r="R167">
        <v>287.16000000000003</v>
      </c>
    </row>
    <row r="168" spans="1:18" x14ac:dyDescent="0.35">
      <c r="A168" t="s">
        <v>56</v>
      </c>
      <c r="B168" t="s">
        <v>57</v>
      </c>
      <c r="C168" t="s">
        <v>70</v>
      </c>
      <c r="D168">
        <v>107264616</v>
      </c>
      <c r="E168" t="s">
        <v>534</v>
      </c>
      <c r="F168" t="s">
        <v>72</v>
      </c>
      <c r="G168">
        <v>0.32</v>
      </c>
      <c r="H168">
        <v>8.9600000000000009</v>
      </c>
      <c r="I168">
        <v>0</v>
      </c>
      <c r="J168">
        <v>0</v>
      </c>
      <c r="K168">
        <v>9.2799999999999994</v>
      </c>
      <c r="L168" t="s">
        <v>61</v>
      </c>
      <c r="M168">
        <v>554</v>
      </c>
      <c r="N168">
        <v>59.67</v>
      </c>
      <c r="O168" t="s">
        <v>68</v>
      </c>
      <c r="P168" t="s">
        <v>67</v>
      </c>
      <c r="Q168">
        <v>554</v>
      </c>
      <c r="R168">
        <v>59.67</v>
      </c>
    </row>
    <row r="169" spans="1:18" x14ac:dyDescent="0.35">
      <c r="A169" t="s">
        <v>56</v>
      </c>
      <c r="B169" t="s">
        <v>57</v>
      </c>
      <c r="C169" t="s">
        <v>70</v>
      </c>
      <c r="D169">
        <v>107264616</v>
      </c>
      <c r="E169" t="s">
        <v>534</v>
      </c>
      <c r="F169" t="s">
        <v>72</v>
      </c>
      <c r="G169">
        <v>0.32</v>
      </c>
      <c r="H169">
        <v>8.9600000000000009</v>
      </c>
      <c r="I169">
        <v>0</v>
      </c>
      <c r="J169">
        <v>0</v>
      </c>
      <c r="K169">
        <v>9.2799999999999994</v>
      </c>
      <c r="L169" t="s">
        <v>61</v>
      </c>
      <c r="M169">
        <v>554</v>
      </c>
      <c r="N169">
        <v>59.67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70</v>
      </c>
      <c r="D170">
        <v>107674648</v>
      </c>
      <c r="E170" t="s">
        <v>92</v>
      </c>
      <c r="F170" t="s">
        <v>72</v>
      </c>
      <c r="G170">
        <v>0.31</v>
      </c>
      <c r="H170">
        <v>9.69</v>
      </c>
      <c r="I170">
        <v>0</v>
      </c>
      <c r="J170">
        <v>0</v>
      </c>
      <c r="K170">
        <v>10</v>
      </c>
      <c r="L170" t="s">
        <v>61</v>
      </c>
      <c r="M170">
        <v>351</v>
      </c>
      <c r="N170">
        <v>35.1</v>
      </c>
      <c r="O170" t="s">
        <v>62</v>
      </c>
      <c r="P170" t="s">
        <v>63</v>
      </c>
      <c r="Q170">
        <v>318</v>
      </c>
      <c r="R170">
        <v>1014.89</v>
      </c>
    </row>
    <row r="171" spans="1:18" x14ac:dyDescent="0.35">
      <c r="A171" t="s">
        <v>56</v>
      </c>
      <c r="B171" t="s">
        <v>57</v>
      </c>
      <c r="C171" t="s">
        <v>70</v>
      </c>
      <c r="D171">
        <v>107674648</v>
      </c>
      <c r="E171" t="s">
        <v>92</v>
      </c>
      <c r="F171" t="s">
        <v>72</v>
      </c>
      <c r="G171">
        <v>0.31</v>
      </c>
      <c r="H171">
        <v>9.69</v>
      </c>
      <c r="I171">
        <v>0</v>
      </c>
      <c r="J171">
        <v>0</v>
      </c>
      <c r="K171">
        <v>10</v>
      </c>
      <c r="L171" t="s">
        <v>61</v>
      </c>
      <c r="M171">
        <v>351</v>
      </c>
      <c r="N171">
        <v>35.1</v>
      </c>
      <c r="O171" t="s">
        <v>62</v>
      </c>
      <c r="P171" t="s">
        <v>64</v>
      </c>
      <c r="Q171">
        <v>2119</v>
      </c>
      <c r="R171">
        <v>218.76</v>
      </c>
    </row>
    <row r="172" spans="1:18" x14ac:dyDescent="0.35">
      <c r="A172" t="s">
        <v>56</v>
      </c>
      <c r="B172" t="s">
        <v>57</v>
      </c>
      <c r="C172" t="s">
        <v>70</v>
      </c>
      <c r="D172">
        <v>107674648</v>
      </c>
      <c r="E172" t="s">
        <v>92</v>
      </c>
      <c r="F172" t="s">
        <v>72</v>
      </c>
      <c r="G172">
        <v>0.31</v>
      </c>
      <c r="H172">
        <v>9.69</v>
      </c>
      <c r="I172">
        <v>0</v>
      </c>
      <c r="J172">
        <v>0</v>
      </c>
      <c r="K172">
        <v>10</v>
      </c>
      <c r="L172" t="s">
        <v>61</v>
      </c>
      <c r="M172">
        <v>351</v>
      </c>
      <c r="N172">
        <v>35.1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107674648</v>
      </c>
      <c r="E173" t="s">
        <v>92</v>
      </c>
      <c r="F173" t="s">
        <v>72</v>
      </c>
      <c r="G173">
        <v>0.31</v>
      </c>
      <c r="H173">
        <v>9.69</v>
      </c>
      <c r="I173">
        <v>0</v>
      </c>
      <c r="J173">
        <v>0</v>
      </c>
      <c r="K173">
        <v>10</v>
      </c>
      <c r="L173" t="s">
        <v>61</v>
      </c>
      <c r="M173">
        <v>351</v>
      </c>
      <c r="N173">
        <v>35.1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107674648</v>
      </c>
      <c r="E174" t="s">
        <v>92</v>
      </c>
      <c r="F174" t="s">
        <v>72</v>
      </c>
      <c r="G174">
        <v>0.31</v>
      </c>
      <c r="H174">
        <v>9.69</v>
      </c>
      <c r="I174">
        <v>0</v>
      </c>
      <c r="J174">
        <v>0</v>
      </c>
      <c r="K174">
        <v>10</v>
      </c>
      <c r="L174" t="s">
        <v>61</v>
      </c>
      <c r="M174">
        <v>351</v>
      </c>
      <c r="N174">
        <v>35.1</v>
      </c>
      <c r="O174" t="s">
        <v>62</v>
      </c>
      <c r="P174" t="s">
        <v>67</v>
      </c>
      <c r="Q174">
        <v>2437</v>
      </c>
      <c r="R174">
        <v>243.7</v>
      </c>
    </row>
    <row r="175" spans="1:18" x14ac:dyDescent="0.35">
      <c r="A175" t="s">
        <v>56</v>
      </c>
      <c r="B175" t="s">
        <v>57</v>
      </c>
      <c r="C175" t="s">
        <v>70</v>
      </c>
      <c r="D175">
        <v>107674648</v>
      </c>
      <c r="E175" t="s">
        <v>92</v>
      </c>
      <c r="F175" t="s">
        <v>72</v>
      </c>
      <c r="G175">
        <v>0.31</v>
      </c>
      <c r="H175">
        <v>9.69</v>
      </c>
      <c r="I175">
        <v>0</v>
      </c>
      <c r="J175">
        <v>0</v>
      </c>
      <c r="K175">
        <v>10</v>
      </c>
      <c r="L175" t="s">
        <v>61</v>
      </c>
      <c r="M175">
        <v>351</v>
      </c>
      <c r="N175">
        <v>35.1</v>
      </c>
      <c r="O175" t="s">
        <v>68</v>
      </c>
      <c r="P175" t="s">
        <v>67</v>
      </c>
      <c r="Q175">
        <v>351</v>
      </c>
      <c r="R175">
        <v>35.1</v>
      </c>
    </row>
    <row r="176" spans="1:18" x14ac:dyDescent="0.35">
      <c r="A176" t="s">
        <v>56</v>
      </c>
      <c r="B176" t="s">
        <v>57</v>
      </c>
      <c r="C176" t="s">
        <v>70</v>
      </c>
      <c r="D176">
        <v>107674648</v>
      </c>
      <c r="E176" t="s">
        <v>92</v>
      </c>
      <c r="F176" t="s">
        <v>72</v>
      </c>
      <c r="G176">
        <v>0.31</v>
      </c>
      <c r="H176">
        <v>9.69</v>
      </c>
      <c r="I176">
        <v>0</v>
      </c>
      <c r="J176">
        <v>0</v>
      </c>
      <c r="K176">
        <v>10</v>
      </c>
      <c r="L176" t="s">
        <v>61</v>
      </c>
      <c r="M176">
        <v>351</v>
      </c>
      <c r="N176">
        <v>35.1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58</v>
      </c>
      <c r="D177">
        <v>107704604</v>
      </c>
      <c r="E177" t="s">
        <v>93</v>
      </c>
      <c r="F177" t="s">
        <v>72</v>
      </c>
      <c r="G177">
        <v>0.7</v>
      </c>
      <c r="H177">
        <v>9.27</v>
      </c>
      <c r="I177">
        <v>0.03</v>
      </c>
      <c r="J177">
        <v>0</v>
      </c>
      <c r="K177">
        <v>10</v>
      </c>
      <c r="L177" t="s">
        <v>61</v>
      </c>
      <c r="M177">
        <v>452</v>
      </c>
      <c r="N177">
        <v>45.2</v>
      </c>
      <c r="O177" t="s">
        <v>62</v>
      </c>
      <c r="P177" t="s">
        <v>63</v>
      </c>
      <c r="Q177">
        <v>878</v>
      </c>
      <c r="R177">
        <v>1261.29</v>
      </c>
    </row>
    <row r="178" spans="1:18" x14ac:dyDescent="0.35">
      <c r="A178" t="s">
        <v>56</v>
      </c>
      <c r="B178" t="s">
        <v>57</v>
      </c>
      <c r="C178" t="s">
        <v>58</v>
      </c>
      <c r="D178">
        <v>107704604</v>
      </c>
      <c r="E178" t="s">
        <v>93</v>
      </c>
      <c r="F178" t="s">
        <v>72</v>
      </c>
      <c r="G178">
        <v>0.7</v>
      </c>
      <c r="H178">
        <v>9.27</v>
      </c>
      <c r="I178">
        <v>0.03</v>
      </c>
      <c r="J178">
        <v>0</v>
      </c>
      <c r="K178">
        <v>10</v>
      </c>
      <c r="L178" t="s">
        <v>61</v>
      </c>
      <c r="M178">
        <v>452</v>
      </c>
      <c r="N178">
        <v>45.2</v>
      </c>
      <c r="O178" t="s">
        <v>62</v>
      </c>
      <c r="P178" t="s">
        <v>64</v>
      </c>
      <c r="Q178">
        <v>2522</v>
      </c>
      <c r="R178">
        <v>272</v>
      </c>
    </row>
    <row r="179" spans="1:18" x14ac:dyDescent="0.35">
      <c r="A179" t="s">
        <v>56</v>
      </c>
      <c r="B179" t="s">
        <v>57</v>
      </c>
      <c r="C179" t="s">
        <v>58</v>
      </c>
      <c r="D179">
        <v>107704604</v>
      </c>
      <c r="E179" t="s">
        <v>93</v>
      </c>
      <c r="F179" t="s">
        <v>72</v>
      </c>
      <c r="G179">
        <v>0.7</v>
      </c>
      <c r="H179">
        <v>9.27</v>
      </c>
      <c r="I179">
        <v>0.03</v>
      </c>
      <c r="J179">
        <v>0</v>
      </c>
      <c r="K179">
        <v>10</v>
      </c>
      <c r="L179" t="s">
        <v>61</v>
      </c>
      <c r="M179">
        <v>452</v>
      </c>
      <c r="N179">
        <v>45.2</v>
      </c>
      <c r="O179" t="s">
        <v>62</v>
      </c>
      <c r="P179" t="s">
        <v>65</v>
      </c>
      <c r="Q179">
        <v>8</v>
      </c>
      <c r="R179">
        <v>257.14</v>
      </c>
    </row>
    <row r="180" spans="1:18" x14ac:dyDescent="0.35">
      <c r="A180" t="s">
        <v>56</v>
      </c>
      <c r="B180" t="s">
        <v>57</v>
      </c>
      <c r="C180" t="s">
        <v>58</v>
      </c>
      <c r="D180">
        <v>107704604</v>
      </c>
      <c r="E180" t="s">
        <v>93</v>
      </c>
      <c r="F180" t="s">
        <v>72</v>
      </c>
      <c r="G180">
        <v>0.7</v>
      </c>
      <c r="H180">
        <v>9.27</v>
      </c>
      <c r="I180">
        <v>0.03</v>
      </c>
      <c r="J180">
        <v>0</v>
      </c>
      <c r="K180">
        <v>10</v>
      </c>
      <c r="L180" t="s">
        <v>61</v>
      </c>
      <c r="M180">
        <v>452</v>
      </c>
      <c r="N180">
        <v>45.2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58</v>
      </c>
      <c r="D181">
        <v>107704604</v>
      </c>
      <c r="E181" t="s">
        <v>93</v>
      </c>
      <c r="F181" t="s">
        <v>72</v>
      </c>
      <c r="G181">
        <v>0.7</v>
      </c>
      <c r="H181">
        <v>9.27</v>
      </c>
      <c r="I181">
        <v>0.03</v>
      </c>
      <c r="J181">
        <v>0</v>
      </c>
      <c r="K181">
        <v>10</v>
      </c>
      <c r="L181" t="s">
        <v>61</v>
      </c>
      <c r="M181">
        <v>452</v>
      </c>
      <c r="N181">
        <v>45.2</v>
      </c>
      <c r="O181" t="s">
        <v>62</v>
      </c>
      <c r="P181" t="s">
        <v>67</v>
      </c>
      <c r="Q181">
        <v>3408</v>
      </c>
      <c r="R181">
        <v>340.8</v>
      </c>
    </row>
    <row r="182" spans="1:18" x14ac:dyDescent="0.35">
      <c r="A182" t="s">
        <v>56</v>
      </c>
      <c r="B182" t="s">
        <v>57</v>
      </c>
      <c r="C182" t="s">
        <v>58</v>
      </c>
      <c r="D182">
        <v>107704604</v>
      </c>
      <c r="E182" t="s">
        <v>93</v>
      </c>
      <c r="F182" t="s">
        <v>72</v>
      </c>
      <c r="G182">
        <v>0.7</v>
      </c>
      <c r="H182">
        <v>9.27</v>
      </c>
      <c r="I182">
        <v>0.03</v>
      </c>
      <c r="J182">
        <v>0</v>
      </c>
      <c r="K182">
        <v>10</v>
      </c>
      <c r="L182" t="s">
        <v>61</v>
      </c>
      <c r="M182">
        <v>452</v>
      </c>
      <c r="N182">
        <v>45.2</v>
      </c>
      <c r="O182" t="s">
        <v>68</v>
      </c>
      <c r="P182" t="s">
        <v>67</v>
      </c>
      <c r="Q182">
        <v>452</v>
      </c>
      <c r="R182">
        <v>45.2</v>
      </c>
    </row>
    <row r="183" spans="1:18" x14ac:dyDescent="0.35">
      <c r="A183" t="s">
        <v>56</v>
      </c>
      <c r="B183" t="s">
        <v>57</v>
      </c>
      <c r="C183" t="s">
        <v>58</v>
      </c>
      <c r="D183">
        <v>107704604</v>
      </c>
      <c r="E183" t="s">
        <v>93</v>
      </c>
      <c r="F183" t="s">
        <v>72</v>
      </c>
      <c r="G183">
        <v>0.7</v>
      </c>
      <c r="H183">
        <v>9.27</v>
      </c>
      <c r="I183">
        <v>0.03</v>
      </c>
      <c r="J183">
        <v>0</v>
      </c>
      <c r="K183">
        <v>10</v>
      </c>
      <c r="L183" t="s">
        <v>61</v>
      </c>
      <c r="M183">
        <v>452</v>
      </c>
      <c r="N183">
        <v>45.2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58</v>
      </c>
      <c r="D184">
        <v>107775413</v>
      </c>
      <c r="E184" t="s">
        <v>98</v>
      </c>
      <c r="F184" t="s">
        <v>72</v>
      </c>
      <c r="G184">
        <v>0.8</v>
      </c>
      <c r="H184">
        <v>9.1999999999999993</v>
      </c>
      <c r="I184">
        <v>0</v>
      </c>
      <c r="J184">
        <v>0</v>
      </c>
      <c r="K184">
        <v>10</v>
      </c>
      <c r="L184" t="s">
        <v>61</v>
      </c>
      <c r="M184">
        <v>246</v>
      </c>
      <c r="N184">
        <v>24.6</v>
      </c>
      <c r="O184" t="s">
        <v>62</v>
      </c>
      <c r="P184" t="s">
        <v>63</v>
      </c>
      <c r="Q184">
        <v>524</v>
      </c>
      <c r="R184">
        <v>653.41</v>
      </c>
    </row>
    <row r="185" spans="1:18" x14ac:dyDescent="0.35">
      <c r="A185" t="s">
        <v>56</v>
      </c>
      <c r="B185" t="s">
        <v>57</v>
      </c>
      <c r="C185" t="s">
        <v>58</v>
      </c>
      <c r="D185">
        <v>107775413</v>
      </c>
      <c r="E185" t="s">
        <v>98</v>
      </c>
      <c r="F185" t="s">
        <v>72</v>
      </c>
      <c r="G185">
        <v>0.8</v>
      </c>
      <c r="H185">
        <v>9.1999999999999993</v>
      </c>
      <c r="I185">
        <v>0</v>
      </c>
      <c r="J185">
        <v>0</v>
      </c>
      <c r="K185">
        <v>10</v>
      </c>
      <c r="L185" t="s">
        <v>61</v>
      </c>
      <c r="M185">
        <v>246</v>
      </c>
      <c r="N185">
        <v>24.6</v>
      </c>
      <c r="O185" t="s">
        <v>62</v>
      </c>
      <c r="P185" t="s">
        <v>64</v>
      </c>
      <c r="Q185">
        <v>1296</v>
      </c>
      <c r="R185">
        <v>140.9</v>
      </c>
    </row>
    <row r="186" spans="1:18" x14ac:dyDescent="0.35">
      <c r="A186" t="s">
        <v>56</v>
      </c>
      <c r="B186" t="s">
        <v>57</v>
      </c>
      <c r="C186" t="s">
        <v>58</v>
      </c>
      <c r="D186">
        <v>107775413</v>
      </c>
      <c r="E186" t="s">
        <v>98</v>
      </c>
      <c r="F186" t="s">
        <v>72</v>
      </c>
      <c r="G186">
        <v>0.8</v>
      </c>
      <c r="H186">
        <v>9.1999999999999993</v>
      </c>
      <c r="I186">
        <v>0</v>
      </c>
      <c r="J186">
        <v>0</v>
      </c>
      <c r="K186">
        <v>10</v>
      </c>
      <c r="L186" t="s">
        <v>61</v>
      </c>
      <c r="M186">
        <v>246</v>
      </c>
      <c r="N186">
        <v>24.6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58</v>
      </c>
      <c r="D187">
        <v>107775413</v>
      </c>
      <c r="E187" t="s">
        <v>98</v>
      </c>
      <c r="F187" t="s">
        <v>72</v>
      </c>
      <c r="G187">
        <v>0.8</v>
      </c>
      <c r="H187">
        <v>9.1999999999999993</v>
      </c>
      <c r="I187">
        <v>0</v>
      </c>
      <c r="J187">
        <v>0</v>
      </c>
      <c r="K187">
        <v>10</v>
      </c>
      <c r="L187" t="s">
        <v>61</v>
      </c>
      <c r="M187">
        <v>246</v>
      </c>
      <c r="N187">
        <v>24.6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58</v>
      </c>
      <c r="D188">
        <v>107775413</v>
      </c>
      <c r="E188" t="s">
        <v>98</v>
      </c>
      <c r="F188" t="s">
        <v>72</v>
      </c>
      <c r="G188">
        <v>0.8</v>
      </c>
      <c r="H188">
        <v>9.1999999999999993</v>
      </c>
      <c r="I188">
        <v>0</v>
      </c>
      <c r="J188">
        <v>0</v>
      </c>
      <c r="K188">
        <v>10</v>
      </c>
      <c r="L188" t="s">
        <v>61</v>
      </c>
      <c r="M188">
        <v>246</v>
      </c>
      <c r="N188">
        <v>24.6</v>
      </c>
      <c r="O188" t="s">
        <v>62</v>
      </c>
      <c r="P188" t="s">
        <v>67</v>
      </c>
      <c r="Q188">
        <v>1820</v>
      </c>
      <c r="R188">
        <v>182</v>
      </c>
    </row>
    <row r="189" spans="1:18" x14ac:dyDescent="0.35">
      <c r="A189" t="s">
        <v>56</v>
      </c>
      <c r="B189" t="s">
        <v>57</v>
      </c>
      <c r="C189" t="s">
        <v>58</v>
      </c>
      <c r="D189">
        <v>107775413</v>
      </c>
      <c r="E189" t="s">
        <v>98</v>
      </c>
      <c r="F189" t="s">
        <v>72</v>
      </c>
      <c r="G189">
        <v>0.8</v>
      </c>
      <c r="H189">
        <v>9.1999999999999993</v>
      </c>
      <c r="I189">
        <v>0</v>
      </c>
      <c r="J189">
        <v>0</v>
      </c>
      <c r="K189">
        <v>10</v>
      </c>
      <c r="L189" t="s">
        <v>61</v>
      </c>
      <c r="M189">
        <v>246</v>
      </c>
      <c r="N189">
        <v>24.6</v>
      </c>
      <c r="O189" t="s">
        <v>68</v>
      </c>
      <c r="P189" t="s">
        <v>67</v>
      </c>
      <c r="Q189">
        <v>246</v>
      </c>
      <c r="R189">
        <v>24.6</v>
      </c>
    </row>
    <row r="190" spans="1:18" x14ac:dyDescent="0.35">
      <c r="A190" t="s">
        <v>56</v>
      </c>
      <c r="B190" t="s">
        <v>57</v>
      </c>
      <c r="C190" t="s">
        <v>58</v>
      </c>
      <c r="D190">
        <v>107775413</v>
      </c>
      <c r="E190" t="s">
        <v>98</v>
      </c>
      <c r="F190" t="s">
        <v>72</v>
      </c>
      <c r="G190">
        <v>0.8</v>
      </c>
      <c r="H190">
        <v>9.1999999999999993</v>
      </c>
      <c r="I190">
        <v>0</v>
      </c>
      <c r="J190">
        <v>0</v>
      </c>
      <c r="K190">
        <v>10</v>
      </c>
      <c r="L190" t="s">
        <v>61</v>
      </c>
      <c r="M190">
        <v>246</v>
      </c>
      <c r="N190">
        <v>24.6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107775521</v>
      </c>
      <c r="E191" t="s">
        <v>99</v>
      </c>
      <c r="F191" t="s">
        <v>72</v>
      </c>
      <c r="G191">
        <v>0.4</v>
      </c>
      <c r="H191">
        <v>9.6300000000000008</v>
      </c>
      <c r="I191">
        <v>0</v>
      </c>
      <c r="J191">
        <v>0</v>
      </c>
      <c r="K191">
        <v>10.029999999999999</v>
      </c>
      <c r="L191" t="s">
        <v>61</v>
      </c>
      <c r="M191">
        <v>529</v>
      </c>
      <c r="N191">
        <v>52.72</v>
      </c>
      <c r="O191" t="s">
        <v>62</v>
      </c>
      <c r="P191" t="s">
        <v>63</v>
      </c>
      <c r="Q191">
        <v>454</v>
      </c>
      <c r="R191">
        <v>1121.76</v>
      </c>
    </row>
    <row r="192" spans="1:18" x14ac:dyDescent="0.35">
      <c r="A192" t="s">
        <v>56</v>
      </c>
      <c r="B192" t="s">
        <v>57</v>
      </c>
      <c r="C192" t="s">
        <v>70</v>
      </c>
      <c r="D192">
        <v>107775521</v>
      </c>
      <c r="E192" t="s">
        <v>99</v>
      </c>
      <c r="F192" t="s">
        <v>72</v>
      </c>
      <c r="G192">
        <v>0.4</v>
      </c>
      <c r="H192">
        <v>9.6300000000000008</v>
      </c>
      <c r="I192">
        <v>0</v>
      </c>
      <c r="J192">
        <v>0</v>
      </c>
      <c r="K192">
        <v>10.029999999999999</v>
      </c>
      <c r="L192" t="s">
        <v>61</v>
      </c>
      <c r="M192">
        <v>529</v>
      </c>
      <c r="N192">
        <v>52.72</v>
      </c>
      <c r="O192" t="s">
        <v>62</v>
      </c>
      <c r="P192" t="s">
        <v>64</v>
      </c>
      <c r="Q192">
        <v>2329</v>
      </c>
      <c r="R192">
        <v>241.89</v>
      </c>
    </row>
    <row r="193" spans="1:18" x14ac:dyDescent="0.35">
      <c r="A193" t="s">
        <v>56</v>
      </c>
      <c r="B193" t="s">
        <v>57</v>
      </c>
      <c r="C193" t="s">
        <v>70</v>
      </c>
      <c r="D193">
        <v>107775521</v>
      </c>
      <c r="E193" t="s">
        <v>99</v>
      </c>
      <c r="F193" t="s">
        <v>72</v>
      </c>
      <c r="G193">
        <v>0.4</v>
      </c>
      <c r="H193">
        <v>9.6300000000000008</v>
      </c>
      <c r="I193">
        <v>0</v>
      </c>
      <c r="J193">
        <v>0</v>
      </c>
      <c r="K193">
        <v>10.029999999999999</v>
      </c>
      <c r="L193" t="s">
        <v>61</v>
      </c>
      <c r="M193">
        <v>529</v>
      </c>
      <c r="N193">
        <v>52.72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70</v>
      </c>
      <c r="D194">
        <v>107775521</v>
      </c>
      <c r="E194" t="s">
        <v>99</v>
      </c>
      <c r="F194" t="s">
        <v>72</v>
      </c>
      <c r="G194">
        <v>0.4</v>
      </c>
      <c r="H194">
        <v>9.6300000000000008</v>
      </c>
      <c r="I194">
        <v>0</v>
      </c>
      <c r="J194">
        <v>0</v>
      </c>
      <c r="K194">
        <v>10.029999999999999</v>
      </c>
      <c r="L194" t="s">
        <v>61</v>
      </c>
      <c r="M194">
        <v>529</v>
      </c>
      <c r="N194">
        <v>52.72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70</v>
      </c>
      <c r="D195">
        <v>107775521</v>
      </c>
      <c r="E195" t="s">
        <v>99</v>
      </c>
      <c r="F195" t="s">
        <v>72</v>
      </c>
      <c r="G195">
        <v>0.4</v>
      </c>
      <c r="H195">
        <v>9.6300000000000008</v>
      </c>
      <c r="I195">
        <v>0</v>
      </c>
      <c r="J195">
        <v>0</v>
      </c>
      <c r="K195">
        <v>10.029999999999999</v>
      </c>
      <c r="L195" t="s">
        <v>61</v>
      </c>
      <c r="M195">
        <v>529</v>
      </c>
      <c r="N195">
        <v>52.72</v>
      </c>
      <c r="O195" t="s">
        <v>62</v>
      </c>
      <c r="P195" t="s">
        <v>67</v>
      </c>
      <c r="Q195">
        <v>2783</v>
      </c>
      <c r="R195">
        <v>277.38</v>
      </c>
    </row>
    <row r="196" spans="1:18" x14ac:dyDescent="0.35">
      <c r="A196" t="s">
        <v>56</v>
      </c>
      <c r="B196" t="s">
        <v>57</v>
      </c>
      <c r="C196" t="s">
        <v>70</v>
      </c>
      <c r="D196">
        <v>107775521</v>
      </c>
      <c r="E196" t="s">
        <v>99</v>
      </c>
      <c r="F196" t="s">
        <v>72</v>
      </c>
      <c r="G196">
        <v>0.4</v>
      </c>
      <c r="H196">
        <v>9.6300000000000008</v>
      </c>
      <c r="I196">
        <v>0</v>
      </c>
      <c r="J196">
        <v>0</v>
      </c>
      <c r="K196">
        <v>10.029999999999999</v>
      </c>
      <c r="L196" t="s">
        <v>61</v>
      </c>
      <c r="M196">
        <v>529</v>
      </c>
      <c r="N196">
        <v>52.72</v>
      </c>
      <c r="O196" t="s">
        <v>68</v>
      </c>
      <c r="P196" t="s">
        <v>67</v>
      </c>
      <c r="Q196">
        <v>529</v>
      </c>
      <c r="R196">
        <v>52.72</v>
      </c>
    </row>
    <row r="197" spans="1:18" x14ac:dyDescent="0.35">
      <c r="A197" t="s">
        <v>56</v>
      </c>
      <c r="B197" t="s">
        <v>57</v>
      </c>
      <c r="C197" t="s">
        <v>70</v>
      </c>
      <c r="D197">
        <v>107775521</v>
      </c>
      <c r="E197" t="s">
        <v>99</v>
      </c>
      <c r="F197" t="s">
        <v>72</v>
      </c>
      <c r="G197">
        <v>0.4</v>
      </c>
      <c r="H197">
        <v>9.6300000000000008</v>
      </c>
      <c r="I197">
        <v>0</v>
      </c>
      <c r="J197">
        <v>0</v>
      </c>
      <c r="K197">
        <v>10.029999999999999</v>
      </c>
      <c r="L197" t="s">
        <v>61</v>
      </c>
      <c r="M197">
        <v>529</v>
      </c>
      <c r="N197">
        <v>52.72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107775986</v>
      </c>
      <c r="E198" t="s">
        <v>100</v>
      </c>
      <c r="F198" t="s">
        <v>72</v>
      </c>
      <c r="G198">
        <v>1.05</v>
      </c>
      <c r="H198">
        <v>8.9499999999999993</v>
      </c>
      <c r="I198">
        <v>0</v>
      </c>
      <c r="J198">
        <v>0</v>
      </c>
      <c r="K198">
        <v>10</v>
      </c>
      <c r="L198" t="s">
        <v>61</v>
      </c>
      <c r="M198">
        <v>513</v>
      </c>
      <c r="N198">
        <v>51.3</v>
      </c>
      <c r="O198" t="s">
        <v>62</v>
      </c>
      <c r="P198" t="s">
        <v>63</v>
      </c>
      <c r="Q198">
        <v>1232</v>
      </c>
      <c r="R198">
        <v>1178.01</v>
      </c>
    </row>
    <row r="199" spans="1:18" x14ac:dyDescent="0.35">
      <c r="A199" t="s">
        <v>56</v>
      </c>
      <c r="B199" t="s">
        <v>57</v>
      </c>
      <c r="C199" t="s">
        <v>70</v>
      </c>
      <c r="D199">
        <v>107775986</v>
      </c>
      <c r="E199" t="s">
        <v>100</v>
      </c>
      <c r="F199" t="s">
        <v>72</v>
      </c>
      <c r="G199">
        <v>1.05</v>
      </c>
      <c r="H199">
        <v>8.9499999999999993</v>
      </c>
      <c r="I199">
        <v>0</v>
      </c>
      <c r="J199">
        <v>0</v>
      </c>
      <c r="K199">
        <v>10</v>
      </c>
      <c r="L199" t="s">
        <v>61</v>
      </c>
      <c r="M199">
        <v>513</v>
      </c>
      <c r="N199">
        <v>51.3</v>
      </c>
      <c r="O199" t="s">
        <v>62</v>
      </c>
      <c r="P199" t="s">
        <v>64</v>
      </c>
      <c r="Q199">
        <v>2275</v>
      </c>
      <c r="R199">
        <v>254.08</v>
      </c>
    </row>
    <row r="200" spans="1:18" x14ac:dyDescent="0.35">
      <c r="A200" t="s">
        <v>56</v>
      </c>
      <c r="B200" t="s">
        <v>57</v>
      </c>
      <c r="C200" t="s">
        <v>70</v>
      </c>
      <c r="D200">
        <v>107775986</v>
      </c>
      <c r="E200" t="s">
        <v>100</v>
      </c>
      <c r="F200" t="s">
        <v>72</v>
      </c>
      <c r="G200">
        <v>1.05</v>
      </c>
      <c r="H200">
        <v>8.9499999999999993</v>
      </c>
      <c r="I200">
        <v>0</v>
      </c>
      <c r="J200">
        <v>0</v>
      </c>
      <c r="K200">
        <v>10</v>
      </c>
      <c r="L200" t="s">
        <v>61</v>
      </c>
      <c r="M200">
        <v>513</v>
      </c>
      <c r="N200">
        <v>51.3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70</v>
      </c>
      <c r="D201">
        <v>107775986</v>
      </c>
      <c r="E201" t="s">
        <v>100</v>
      </c>
      <c r="F201" t="s">
        <v>72</v>
      </c>
      <c r="G201">
        <v>1.05</v>
      </c>
      <c r="H201">
        <v>8.9499999999999993</v>
      </c>
      <c r="I201">
        <v>0</v>
      </c>
      <c r="J201">
        <v>0</v>
      </c>
      <c r="K201">
        <v>10</v>
      </c>
      <c r="L201" t="s">
        <v>61</v>
      </c>
      <c r="M201">
        <v>513</v>
      </c>
      <c r="N201">
        <v>51.3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70</v>
      </c>
      <c r="D202">
        <v>107775986</v>
      </c>
      <c r="E202" t="s">
        <v>100</v>
      </c>
      <c r="F202" t="s">
        <v>72</v>
      </c>
      <c r="G202">
        <v>1.05</v>
      </c>
      <c r="H202">
        <v>8.9499999999999993</v>
      </c>
      <c r="I202">
        <v>0</v>
      </c>
      <c r="J202">
        <v>0</v>
      </c>
      <c r="K202">
        <v>10</v>
      </c>
      <c r="L202" t="s">
        <v>61</v>
      </c>
      <c r="M202">
        <v>513</v>
      </c>
      <c r="N202">
        <v>51.3</v>
      </c>
      <c r="O202" t="s">
        <v>62</v>
      </c>
      <c r="P202" t="s">
        <v>67</v>
      </c>
      <c r="Q202">
        <v>3507</v>
      </c>
      <c r="R202">
        <v>350.7</v>
      </c>
    </row>
    <row r="203" spans="1:18" x14ac:dyDescent="0.35">
      <c r="A203" t="s">
        <v>56</v>
      </c>
      <c r="B203" t="s">
        <v>57</v>
      </c>
      <c r="C203" t="s">
        <v>70</v>
      </c>
      <c r="D203">
        <v>107775986</v>
      </c>
      <c r="E203" t="s">
        <v>100</v>
      </c>
      <c r="F203" t="s">
        <v>72</v>
      </c>
      <c r="G203">
        <v>1.05</v>
      </c>
      <c r="H203">
        <v>8.9499999999999993</v>
      </c>
      <c r="I203">
        <v>0</v>
      </c>
      <c r="J203">
        <v>0</v>
      </c>
      <c r="K203">
        <v>10</v>
      </c>
      <c r="L203" t="s">
        <v>61</v>
      </c>
      <c r="M203">
        <v>513</v>
      </c>
      <c r="N203">
        <v>51.3</v>
      </c>
      <c r="O203" t="s">
        <v>68</v>
      </c>
      <c r="P203" t="s">
        <v>67</v>
      </c>
      <c r="Q203">
        <v>513</v>
      </c>
      <c r="R203">
        <v>51.3</v>
      </c>
    </row>
    <row r="204" spans="1:18" x14ac:dyDescent="0.35">
      <c r="A204" t="s">
        <v>56</v>
      </c>
      <c r="B204" t="s">
        <v>57</v>
      </c>
      <c r="C204" t="s">
        <v>70</v>
      </c>
      <c r="D204">
        <v>107775986</v>
      </c>
      <c r="E204" t="s">
        <v>100</v>
      </c>
      <c r="F204" t="s">
        <v>72</v>
      </c>
      <c r="G204">
        <v>1.05</v>
      </c>
      <c r="H204">
        <v>8.9499999999999993</v>
      </c>
      <c r="I204">
        <v>0</v>
      </c>
      <c r="J204">
        <v>0</v>
      </c>
      <c r="K204">
        <v>10</v>
      </c>
      <c r="L204" t="s">
        <v>61</v>
      </c>
      <c r="M204">
        <v>513</v>
      </c>
      <c r="N204">
        <v>51.3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107791373</v>
      </c>
      <c r="E205" t="s">
        <v>554</v>
      </c>
      <c r="F205" t="s">
        <v>72</v>
      </c>
      <c r="G205">
        <v>0.67</v>
      </c>
      <c r="H205">
        <v>9.33</v>
      </c>
      <c r="I205">
        <v>0</v>
      </c>
      <c r="J205">
        <v>0</v>
      </c>
      <c r="K205">
        <v>10</v>
      </c>
      <c r="L205" t="s">
        <v>61</v>
      </c>
      <c r="M205">
        <v>442</v>
      </c>
      <c r="N205">
        <v>44.2</v>
      </c>
      <c r="O205" t="s">
        <v>62</v>
      </c>
      <c r="P205" t="s">
        <v>63</v>
      </c>
      <c r="Q205">
        <v>771</v>
      </c>
      <c r="R205">
        <v>1158.9100000000001</v>
      </c>
    </row>
    <row r="206" spans="1:18" x14ac:dyDescent="0.35">
      <c r="A206" t="s">
        <v>56</v>
      </c>
      <c r="B206" t="s">
        <v>57</v>
      </c>
      <c r="C206" t="s">
        <v>70</v>
      </c>
      <c r="D206">
        <v>107791373</v>
      </c>
      <c r="E206" t="s">
        <v>554</v>
      </c>
      <c r="F206" t="s">
        <v>72</v>
      </c>
      <c r="G206">
        <v>0.67</v>
      </c>
      <c r="H206">
        <v>9.33</v>
      </c>
      <c r="I206">
        <v>0</v>
      </c>
      <c r="J206">
        <v>0</v>
      </c>
      <c r="K206">
        <v>10</v>
      </c>
      <c r="L206" t="s">
        <v>61</v>
      </c>
      <c r="M206">
        <v>442</v>
      </c>
      <c r="N206">
        <v>44.2</v>
      </c>
      <c r="O206" t="s">
        <v>62</v>
      </c>
      <c r="P206" t="s">
        <v>64</v>
      </c>
      <c r="Q206">
        <v>2333</v>
      </c>
      <c r="R206">
        <v>249.93</v>
      </c>
    </row>
    <row r="207" spans="1:18" x14ac:dyDescent="0.35">
      <c r="A207" t="s">
        <v>56</v>
      </c>
      <c r="B207" t="s">
        <v>57</v>
      </c>
      <c r="C207" t="s">
        <v>70</v>
      </c>
      <c r="D207">
        <v>107791373</v>
      </c>
      <c r="E207" t="s">
        <v>554</v>
      </c>
      <c r="F207" t="s">
        <v>72</v>
      </c>
      <c r="G207">
        <v>0.67</v>
      </c>
      <c r="H207">
        <v>9.33</v>
      </c>
      <c r="I207">
        <v>0</v>
      </c>
      <c r="J207">
        <v>0</v>
      </c>
      <c r="K207">
        <v>10</v>
      </c>
      <c r="L207" t="s">
        <v>61</v>
      </c>
      <c r="M207">
        <v>442</v>
      </c>
      <c r="N207">
        <v>44.2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70</v>
      </c>
      <c r="D208">
        <v>107791373</v>
      </c>
      <c r="E208" t="s">
        <v>554</v>
      </c>
      <c r="F208" t="s">
        <v>72</v>
      </c>
      <c r="G208">
        <v>0.67</v>
      </c>
      <c r="H208">
        <v>9.33</v>
      </c>
      <c r="I208">
        <v>0</v>
      </c>
      <c r="J208">
        <v>0</v>
      </c>
      <c r="K208">
        <v>10</v>
      </c>
      <c r="L208" t="s">
        <v>61</v>
      </c>
      <c r="M208">
        <v>442</v>
      </c>
      <c r="N208">
        <v>44.2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107791373</v>
      </c>
      <c r="E209" t="s">
        <v>554</v>
      </c>
      <c r="F209" t="s">
        <v>72</v>
      </c>
      <c r="G209">
        <v>0.67</v>
      </c>
      <c r="H209">
        <v>9.33</v>
      </c>
      <c r="I209">
        <v>0</v>
      </c>
      <c r="J209">
        <v>0</v>
      </c>
      <c r="K209">
        <v>10</v>
      </c>
      <c r="L209" t="s">
        <v>61</v>
      </c>
      <c r="M209">
        <v>442</v>
      </c>
      <c r="N209">
        <v>44.2</v>
      </c>
      <c r="O209" t="s">
        <v>62</v>
      </c>
      <c r="P209" t="s">
        <v>67</v>
      </c>
      <c r="Q209">
        <v>3104</v>
      </c>
      <c r="R209">
        <v>310.39999999999998</v>
      </c>
    </row>
    <row r="210" spans="1:18" x14ac:dyDescent="0.35">
      <c r="A210" t="s">
        <v>56</v>
      </c>
      <c r="B210" t="s">
        <v>57</v>
      </c>
      <c r="C210" t="s">
        <v>70</v>
      </c>
      <c r="D210">
        <v>107791373</v>
      </c>
      <c r="E210" t="s">
        <v>554</v>
      </c>
      <c r="F210" t="s">
        <v>72</v>
      </c>
      <c r="G210">
        <v>0.67</v>
      </c>
      <c r="H210">
        <v>9.33</v>
      </c>
      <c r="I210">
        <v>0</v>
      </c>
      <c r="J210">
        <v>0</v>
      </c>
      <c r="K210">
        <v>10</v>
      </c>
      <c r="L210" t="s">
        <v>61</v>
      </c>
      <c r="M210">
        <v>442</v>
      </c>
      <c r="N210">
        <v>44.2</v>
      </c>
      <c r="O210" t="s">
        <v>68</v>
      </c>
      <c r="P210" t="s">
        <v>67</v>
      </c>
      <c r="Q210">
        <v>442</v>
      </c>
      <c r="R210">
        <v>44.2</v>
      </c>
    </row>
    <row r="211" spans="1:18" x14ac:dyDescent="0.35">
      <c r="A211" t="s">
        <v>56</v>
      </c>
      <c r="B211" t="s">
        <v>57</v>
      </c>
      <c r="C211" t="s">
        <v>70</v>
      </c>
      <c r="D211">
        <v>107791373</v>
      </c>
      <c r="E211" t="s">
        <v>554</v>
      </c>
      <c r="F211" t="s">
        <v>72</v>
      </c>
      <c r="G211">
        <v>0.67</v>
      </c>
      <c r="H211">
        <v>9.33</v>
      </c>
      <c r="I211">
        <v>0</v>
      </c>
      <c r="J211">
        <v>0</v>
      </c>
      <c r="K211">
        <v>10</v>
      </c>
      <c r="L211" t="s">
        <v>61</v>
      </c>
      <c r="M211">
        <v>442</v>
      </c>
      <c r="N211">
        <v>44.2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70</v>
      </c>
      <c r="D212">
        <v>107826180</v>
      </c>
      <c r="E212" t="s">
        <v>566</v>
      </c>
      <c r="F212" t="s">
        <v>60</v>
      </c>
      <c r="G212">
        <v>0.7</v>
      </c>
      <c r="H212">
        <v>9.41</v>
      </c>
      <c r="I212">
        <v>0</v>
      </c>
      <c r="J212">
        <v>0</v>
      </c>
      <c r="K212">
        <v>10.119999999999999</v>
      </c>
      <c r="L212" t="s">
        <v>61</v>
      </c>
      <c r="M212">
        <v>338</v>
      </c>
      <c r="N212">
        <v>33.409999999999997</v>
      </c>
      <c r="O212" t="s">
        <v>62</v>
      </c>
      <c r="P212" t="s">
        <v>63</v>
      </c>
      <c r="Q212">
        <v>623</v>
      </c>
      <c r="R212">
        <v>886.83</v>
      </c>
    </row>
    <row r="213" spans="1:18" x14ac:dyDescent="0.35">
      <c r="A213" t="s">
        <v>56</v>
      </c>
      <c r="B213" t="s">
        <v>57</v>
      </c>
      <c r="C213" t="s">
        <v>70</v>
      </c>
      <c r="D213">
        <v>107826180</v>
      </c>
      <c r="E213" t="s">
        <v>566</v>
      </c>
      <c r="F213" t="s">
        <v>60</v>
      </c>
      <c r="G213">
        <v>0.7</v>
      </c>
      <c r="H213">
        <v>9.41</v>
      </c>
      <c r="I213">
        <v>0</v>
      </c>
      <c r="J213">
        <v>0</v>
      </c>
      <c r="K213">
        <v>10.119999999999999</v>
      </c>
      <c r="L213" t="s">
        <v>61</v>
      </c>
      <c r="M213">
        <v>338</v>
      </c>
      <c r="N213">
        <v>33.409999999999997</v>
      </c>
      <c r="O213" t="s">
        <v>62</v>
      </c>
      <c r="P213" t="s">
        <v>64</v>
      </c>
      <c r="Q213">
        <v>1800</v>
      </c>
      <c r="R213">
        <v>191.21</v>
      </c>
    </row>
    <row r="214" spans="1:18" x14ac:dyDescent="0.35">
      <c r="A214" t="s">
        <v>56</v>
      </c>
      <c r="B214" t="s">
        <v>57</v>
      </c>
      <c r="C214" t="s">
        <v>70</v>
      </c>
      <c r="D214">
        <v>107826180</v>
      </c>
      <c r="E214" t="s">
        <v>566</v>
      </c>
      <c r="F214" t="s">
        <v>60</v>
      </c>
      <c r="G214">
        <v>0.7</v>
      </c>
      <c r="H214">
        <v>9.41</v>
      </c>
      <c r="I214">
        <v>0</v>
      </c>
      <c r="J214">
        <v>0</v>
      </c>
      <c r="K214">
        <v>10.119999999999999</v>
      </c>
      <c r="L214" t="s">
        <v>61</v>
      </c>
      <c r="M214">
        <v>338</v>
      </c>
      <c r="N214">
        <v>33.409999999999997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70</v>
      </c>
      <c r="D215">
        <v>107826180</v>
      </c>
      <c r="E215" t="s">
        <v>566</v>
      </c>
      <c r="F215" t="s">
        <v>60</v>
      </c>
      <c r="G215">
        <v>0.7</v>
      </c>
      <c r="H215">
        <v>9.41</v>
      </c>
      <c r="I215">
        <v>0</v>
      </c>
      <c r="J215">
        <v>0</v>
      </c>
      <c r="K215">
        <v>10.119999999999999</v>
      </c>
      <c r="L215" t="s">
        <v>61</v>
      </c>
      <c r="M215">
        <v>338</v>
      </c>
      <c r="N215">
        <v>33.409999999999997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70</v>
      </c>
      <c r="D216">
        <v>107826180</v>
      </c>
      <c r="E216" t="s">
        <v>566</v>
      </c>
      <c r="F216" t="s">
        <v>60</v>
      </c>
      <c r="G216">
        <v>0.7</v>
      </c>
      <c r="H216">
        <v>9.41</v>
      </c>
      <c r="I216">
        <v>0</v>
      </c>
      <c r="J216">
        <v>0</v>
      </c>
      <c r="K216">
        <v>10.119999999999999</v>
      </c>
      <c r="L216" t="s">
        <v>61</v>
      </c>
      <c r="M216">
        <v>338</v>
      </c>
      <c r="N216">
        <v>33.409999999999997</v>
      </c>
      <c r="O216" t="s">
        <v>62</v>
      </c>
      <c r="P216" t="s">
        <v>67</v>
      </c>
      <c r="Q216">
        <v>2423</v>
      </c>
      <c r="R216">
        <v>239.51</v>
      </c>
    </row>
    <row r="217" spans="1:18" x14ac:dyDescent="0.35">
      <c r="A217" t="s">
        <v>56</v>
      </c>
      <c r="B217" t="s">
        <v>57</v>
      </c>
      <c r="C217" t="s">
        <v>70</v>
      </c>
      <c r="D217">
        <v>107826180</v>
      </c>
      <c r="E217" t="s">
        <v>566</v>
      </c>
      <c r="F217" t="s">
        <v>60</v>
      </c>
      <c r="G217">
        <v>0.7</v>
      </c>
      <c r="H217">
        <v>9.41</v>
      </c>
      <c r="I217">
        <v>0</v>
      </c>
      <c r="J217">
        <v>0</v>
      </c>
      <c r="K217">
        <v>10.119999999999999</v>
      </c>
      <c r="L217" t="s">
        <v>61</v>
      </c>
      <c r="M217">
        <v>338</v>
      </c>
      <c r="N217">
        <v>33.409999999999997</v>
      </c>
      <c r="O217" t="s">
        <v>68</v>
      </c>
      <c r="P217" t="s">
        <v>67</v>
      </c>
      <c r="Q217">
        <v>338</v>
      </c>
      <c r="R217">
        <v>33.409999999999997</v>
      </c>
    </row>
    <row r="218" spans="1:18" x14ac:dyDescent="0.35">
      <c r="A218" t="s">
        <v>56</v>
      </c>
      <c r="B218" t="s">
        <v>57</v>
      </c>
      <c r="C218" t="s">
        <v>70</v>
      </c>
      <c r="D218">
        <v>107826180</v>
      </c>
      <c r="E218" t="s">
        <v>566</v>
      </c>
      <c r="F218" t="s">
        <v>60</v>
      </c>
      <c r="G218">
        <v>0.7</v>
      </c>
      <c r="H218">
        <v>9.41</v>
      </c>
      <c r="I218">
        <v>0</v>
      </c>
      <c r="J218">
        <v>0</v>
      </c>
      <c r="K218">
        <v>10.119999999999999</v>
      </c>
      <c r="L218" t="s">
        <v>61</v>
      </c>
      <c r="M218">
        <v>338</v>
      </c>
      <c r="N218">
        <v>33.409999999999997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70</v>
      </c>
      <c r="D219">
        <v>107843844</v>
      </c>
      <c r="E219" t="s">
        <v>542</v>
      </c>
      <c r="F219" t="s">
        <v>72</v>
      </c>
      <c r="G219">
        <v>0.4</v>
      </c>
      <c r="H219">
        <v>9.15</v>
      </c>
      <c r="I219">
        <v>0</v>
      </c>
      <c r="J219">
        <v>0</v>
      </c>
      <c r="K219">
        <v>9.5500000000000007</v>
      </c>
      <c r="L219" t="s">
        <v>61</v>
      </c>
      <c r="M219">
        <v>363</v>
      </c>
      <c r="N219">
        <v>38.01</v>
      </c>
      <c r="O219" t="s">
        <v>62</v>
      </c>
      <c r="P219" t="s">
        <v>63</v>
      </c>
      <c r="Q219">
        <v>580</v>
      </c>
      <c r="R219">
        <v>1448.99</v>
      </c>
    </row>
    <row r="220" spans="1:18" x14ac:dyDescent="0.35">
      <c r="A220" t="s">
        <v>56</v>
      </c>
      <c r="B220" t="s">
        <v>57</v>
      </c>
      <c r="C220" t="s">
        <v>70</v>
      </c>
      <c r="D220">
        <v>107843844</v>
      </c>
      <c r="E220" t="s">
        <v>542</v>
      </c>
      <c r="F220" t="s">
        <v>72</v>
      </c>
      <c r="G220">
        <v>0.4</v>
      </c>
      <c r="H220">
        <v>9.15</v>
      </c>
      <c r="I220">
        <v>0</v>
      </c>
      <c r="J220">
        <v>0</v>
      </c>
      <c r="K220">
        <v>9.5500000000000007</v>
      </c>
      <c r="L220" t="s">
        <v>61</v>
      </c>
      <c r="M220">
        <v>363</v>
      </c>
      <c r="N220">
        <v>38.01</v>
      </c>
      <c r="O220" t="s">
        <v>62</v>
      </c>
      <c r="P220" t="s">
        <v>64</v>
      </c>
      <c r="Q220">
        <v>2858</v>
      </c>
      <c r="R220">
        <v>312.45999999999998</v>
      </c>
    </row>
    <row r="221" spans="1:18" x14ac:dyDescent="0.35">
      <c r="A221" t="s">
        <v>56</v>
      </c>
      <c r="B221" t="s">
        <v>57</v>
      </c>
      <c r="C221" t="s">
        <v>70</v>
      </c>
      <c r="D221">
        <v>107843844</v>
      </c>
      <c r="E221" t="s">
        <v>542</v>
      </c>
      <c r="F221" t="s">
        <v>72</v>
      </c>
      <c r="G221">
        <v>0.4</v>
      </c>
      <c r="H221">
        <v>9.15</v>
      </c>
      <c r="I221">
        <v>0</v>
      </c>
      <c r="J221">
        <v>0</v>
      </c>
      <c r="K221">
        <v>9.5500000000000007</v>
      </c>
      <c r="L221" t="s">
        <v>61</v>
      </c>
      <c r="M221">
        <v>363</v>
      </c>
      <c r="N221">
        <v>38.01</v>
      </c>
      <c r="O221" t="s">
        <v>62</v>
      </c>
      <c r="P221" t="s">
        <v>65</v>
      </c>
      <c r="Q221">
        <v>1</v>
      </c>
      <c r="R221">
        <v>300</v>
      </c>
    </row>
    <row r="222" spans="1:18" x14ac:dyDescent="0.35">
      <c r="A222" t="s">
        <v>56</v>
      </c>
      <c r="B222" t="s">
        <v>57</v>
      </c>
      <c r="C222" t="s">
        <v>70</v>
      </c>
      <c r="D222">
        <v>107843844</v>
      </c>
      <c r="E222" t="s">
        <v>542</v>
      </c>
      <c r="F222" t="s">
        <v>72</v>
      </c>
      <c r="G222">
        <v>0.4</v>
      </c>
      <c r="H222">
        <v>9.15</v>
      </c>
      <c r="I222">
        <v>0</v>
      </c>
      <c r="J222">
        <v>0</v>
      </c>
      <c r="K222">
        <v>9.5500000000000007</v>
      </c>
      <c r="L222" t="s">
        <v>61</v>
      </c>
      <c r="M222">
        <v>363</v>
      </c>
      <c r="N222">
        <v>38.01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70</v>
      </c>
      <c r="D223">
        <v>107843844</v>
      </c>
      <c r="E223" t="s">
        <v>542</v>
      </c>
      <c r="F223" t="s">
        <v>72</v>
      </c>
      <c r="G223">
        <v>0.4</v>
      </c>
      <c r="H223">
        <v>9.15</v>
      </c>
      <c r="I223">
        <v>0</v>
      </c>
      <c r="J223">
        <v>0</v>
      </c>
      <c r="K223">
        <v>9.5500000000000007</v>
      </c>
      <c r="L223" t="s">
        <v>61</v>
      </c>
      <c r="M223">
        <v>363</v>
      </c>
      <c r="N223">
        <v>38.01</v>
      </c>
      <c r="O223" t="s">
        <v>62</v>
      </c>
      <c r="P223" t="s">
        <v>67</v>
      </c>
      <c r="Q223">
        <v>3439</v>
      </c>
      <c r="R223">
        <v>360.08</v>
      </c>
    </row>
    <row r="224" spans="1:18" x14ac:dyDescent="0.35">
      <c r="A224" t="s">
        <v>56</v>
      </c>
      <c r="B224" t="s">
        <v>57</v>
      </c>
      <c r="C224" t="s">
        <v>70</v>
      </c>
      <c r="D224">
        <v>107843844</v>
      </c>
      <c r="E224" t="s">
        <v>542</v>
      </c>
      <c r="F224" t="s">
        <v>72</v>
      </c>
      <c r="G224">
        <v>0.4</v>
      </c>
      <c r="H224">
        <v>9.15</v>
      </c>
      <c r="I224">
        <v>0</v>
      </c>
      <c r="J224">
        <v>0</v>
      </c>
      <c r="K224">
        <v>9.5500000000000007</v>
      </c>
      <c r="L224" t="s">
        <v>61</v>
      </c>
      <c r="M224">
        <v>363</v>
      </c>
      <c r="N224">
        <v>38.01</v>
      </c>
      <c r="O224" t="s">
        <v>68</v>
      </c>
      <c r="P224" t="s">
        <v>67</v>
      </c>
      <c r="Q224">
        <v>363</v>
      </c>
      <c r="R224">
        <v>38.01</v>
      </c>
    </row>
    <row r="225" spans="1:18" x14ac:dyDescent="0.35">
      <c r="A225" t="s">
        <v>56</v>
      </c>
      <c r="B225" t="s">
        <v>57</v>
      </c>
      <c r="C225" t="s">
        <v>70</v>
      </c>
      <c r="D225">
        <v>107843844</v>
      </c>
      <c r="E225" t="s">
        <v>542</v>
      </c>
      <c r="F225" t="s">
        <v>72</v>
      </c>
      <c r="G225">
        <v>0.4</v>
      </c>
      <c r="H225">
        <v>9.15</v>
      </c>
      <c r="I225">
        <v>0</v>
      </c>
      <c r="J225">
        <v>0</v>
      </c>
      <c r="K225">
        <v>9.5500000000000007</v>
      </c>
      <c r="L225" t="s">
        <v>61</v>
      </c>
      <c r="M225">
        <v>363</v>
      </c>
      <c r="N225">
        <v>38.01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70</v>
      </c>
      <c r="D226">
        <v>107843876</v>
      </c>
      <c r="E226" t="s">
        <v>543</v>
      </c>
      <c r="F226" t="s">
        <v>72</v>
      </c>
      <c r="G226">
        <v>0.24</v>
      </c>
      <c r="H226">
        <v>9.1999999999999993</v>
      </c>
      <c r="I226">
        <v>0</v>
      </c>
      <c r="J226">
        <v>0</v>
      </c>
      <c r="K226">
        <v>9.44</v>
      </c>
      <c r="L226" t="s">
        <v>61</v>
      </c>
      <c r="M226">
        <v>466</v>
      </c>
      <c r="N226">
        <v>49.34</v>
      </c>
      <c r="O226" t="s">
        <v>62</v>
      </c>
      <c r="P226" t="s">
        <v>63</v>
      </c>
      <c r="Q226">
        <v>256</v>
      </c>
      <c r="R226">
        <v>1065.43</v>
      </c>
    </row>
    <row r="227" spans="1:18" x14ac:dyDescent="0.35">
      <c r="A227" t="s">
        <v>56</v>
      </c>
      <c r="B227" t="s">
        <v>57</v>
      </c>
      <c r="C227" t="s">
        <v>70</v>
      </c>
      <c r="D227">
        <v>107843876</v>
      </c>
      <c r="E227" t="s">
        <v>543</v>
      </c>
      <c r="F227" t="s">
        <v>72</v>
      </c>
      <c r="G227">
        <v>0.24</v>
      </c>
      <c r="H227">
        <v>9.1999999999999993</v>
      </c>
      <c r="I227">
        <v>0</v>
      </c>
      <c r="J227">
        <v>0</v>
      </c>
      <c r="K227">
        <v>9.44</v>
      </c>
      <c r="L227" t="s">
        <v>61</v>
      </c>
      <c r="M227">
        <v>466</v>
      </c>
      <c r="N227">
        <v>49.34</v>
      </c>
      <c r="O227" t="s">
        <v>62</v>
      </c>
      <c r="P227" t="s">
        <v>64</v>
      </c>
      <c r="Q227">
        <v>2113</v>
      </c>
      <c r="R227">
        <v>229.58</v>
      </c>
    </row>
    <row r="228" spans="1:18" x14ac:dyDescent="0.35">
      <c r="A228" t="s">
        <v>56</v>
      </c>
      <c r="B228" t="s">
        <v>57</v>
      </c>
      <c r="C228" t="s">
        <v>70</v>
      </c>
      <c r="D228">
        <v>107843876</v>
      </c>
      <c r="E228" t="s">
        <v>543</v>
      </c>
      <c r="F228" t="s">
        <v>72</v>
      </c>
      <c r="G228">
        <v>0.24</v>
      </c>
      <c r="H228">
        <v>9.1999999999999993</v>
      </c>
      <c r="I228">
        <v>0</v>
      </c>
      <c r="J228">
        <v>0</v>
      </c>
      <c r="K228">
        <v>9.44</v>
      </c>
      <c r="L228" t="s">
        <v>61</v>
      </c>
      <c r="M228">
        <v>466</v>
      </c>
      <c r="N228">
        <v>49.34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70</v>
      </c>
      <c r="D229">
        <v>107843876</v>
      </c>
      <c r="E229" t="s">
        <v>543</v>
      </c>
      <c r="F229" t="s">
        <v>72</v>
      </c>
      <c r="G229">
        <v>0.24</v>
      </c>
      <c r="H229">
        <v>9.1999999999999993</v>
      </c>
      <c r="I229">
        <v>0</v>
      </c>
      <c r="J229">
        <v>0</v>
      </c>
      <c r="K229">
        <v>9.44</v>
      </c>
      <c r="L229" t="s">
        <v>61</v>
      </c>
      <c r="M229">
        <v>466</v>
      </c>
      <c r="N229">
        <v>49.34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70</v>
      </c>
      <c r="D230">
        <v>107843876</v>
      </c>
      <c r="E230" t="s">
        <v>543</v>
      </c>
      <c r="F230" t="s">
        <v>72</v>
      </c>
      <c r="G230">
        <v>0.24</v>
      </c>
      <c r="H230">
        <v>9.1999999999999993</v>
      </c>
      <c r="I230">
        <v>0</v>
      </c>
      <c r="J230">
        <v>0</v>
      </c>
      <c r="K230">
        <v>9.44</v>
      </c>
      <c r="L230" t="s">
        <v>61</v>
      </c>
      <c r="M230">
        <v>466</v>
      </c>
      <c r="N230">
        <v>49.34</v>
      </c>
      <c r="O230" t="s">
        <v>62</v>
      </c>
      <c r="P230" t="s">
        <v>67</v>
      </c>
      <c r="Q230">
        <v>2369</v>
      </c>
      <c r="R230">
        <v>250.84</v>
      </c>
    </row>
    <row r="231" spans="1:18" x14ac:dyDescent="0.35">
      <c r="A231" t="s">
        <v>56</v>
      </c>
      <c r="B231" t="s">
        <v>57</v>
      </c>
      <c r="C231" t="s">
        <v>70</v>
      </c>
      <c r="D231">
        <v>107843876</v>
      </c>
      <c r="E231" t="s">
        <v>543</v>
      </c>
      <c r="F231" t="s">
        <v>72</v>
      </c>
      <c r="G231">
        <v>0.24</v>
      </c>
      <c r="H231">
        <v>9.1999999999999993</v>
      </c>
      <c r="I231">
        <v>0</v>
      </c>
      <c r="J231">
        <v>0</v>
      </c>
      <c r="K231">
        <v>9.44</v>
      </c>
      <c r="L231" t="s">
        <v>61</v>
      </c>
      <c r="M231">
        <v>466</v>
      </c>
      <c r="N231">
        <v>49.34</v>
      </c>
      <c r="O231" t="s">
        <v>68</v>
      </c>
      <c r="P231" t="s">
        <v>67</v>
      </c>
      <c r="Q231">
        <v>467</v>
      </c>
      <c r="R231">
        <v>49.45</v>
      </c>
    </row>
    <row r="232" spans="1:18" x14ac:dyDescent="0.35">
      <c r="A232" t="s">
        <v>56</v>
      </c>
      <c r="B232" t="s">
        <v>57</v>
      </c>
      <c r="C232" t="s">
        <v>70</v>
      </c>
      <c r="D232">
        <v>107843876</v>
      </c>
      <c r="E232" t="s">
        <v>543</v>
      </c>
      <c r="F232" t="s">
        <v>72</v>
      </c>
      <c r="G232">
        <v>0.24</v>
      </c>
      <c r="H232">
        <v>9.1999999999999993</v>
      </c>
      <c r="I232">
        <v>0</v>
      </c>
      <c r="J232">
        <v>0</v>
      </c>
      <c r="K232">
        <v>9.44</v>
      </c>
      <c r="L232" t="s">
        <v>61</v>
      </c>
      <c r="M232">
        <v>466</v>
      </c>
      <c r="N232">
        <v>49.34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70</v>
      </c>
      <c r="D233">
        <v>107843891</v>
      </c>
      <c r="E233" t="s">
        <v>544</v>
      </c>
      <c r="F233" t="s">
        <v>72</v>
      </c>
      <c r="G233">
        <v>0.17</v>
      </c>
      <c r="H233">
        <v>9.73</v>
      </c>
      <c r="I233">
        <v>0</v>
      </c>
      <c r="J233">
        <v>0</v>
      </c>
      <c r="K233">
        <v>9.91</v>
      </c>
      <c r="L233" t="s">
        <v>61</v>
      </c>
      <c r="M233">
        <v>226</v>
      </c>
      <c r="N233">
        <v>22.81</v>
      </c>
      <c r="O233" t="s">
        <v>62</v>
      </c>
      <c r="P233" t="s">
        <v>63</v>
      </c>
      <c r="Q233">
        <v>96</v>
      </c>
      <c r="R233">
        <v>552.96</v>
      </c>
    </row>
    <row r="234" spans="1:18" x14ac:dyDescent="0.35">
      <c r="A234" t="s">
        <v>56</v>
      </c>
      <c r="B234" t="s">
        <v>57</v>
      </c>
      <c r="C234" t="s">
        <v>70</v>
      </c>
      <c r="D234">
        <v>107843891</v>
      </c>
      <c r="E234" t="s">
        <v>544</v>
      </c>
      <c r="F234" t="s">
        <v>72</v>
      </c>
      <c r="G234">
        <v>0.17</v>
      </c>
      <c r="H234">
        <v>9.73</v>
      </c>
      <c r="I234">
        <v>0</v>
      </c>
      <c r="J234">
        <v>0</v>
      </c>
      <c r="K234">
        <v>9.91</v>
      </c>
      <c r="L234" t="s">
        <v>61</v>
      </c>
      <c r="M234">
        <v>226</v>
      </c>
      <c r="N234">
        <v>22.81</v>
      </c>
      <c r="O234" t="s">
        <v>62</v>
      </c>
      <c r="P234" t="s">
        <v>64</v>
      </c>
      <c r="Q234">
        <v>1160</v>
      </c>
      <c r="R234">
        <v>119.17</v>
      </c>
    </row>
    <row r="235" spans="1:18" x14ac:dyDescent="0.35">
      <c r="A235" t="s">
        <v>56</v>
      </c>
      <c r="B235" t="s">
        <v>57</v>
      </c>
      <c r="C235" t="s">
        <v>70</v>
      </c>
      <c r="D235">
        <v>107843891</v>
      </c>
      <c r="E235" t="s">
        <v>544</v>
      </c>
      <c r="F235" t="s">
        <v>72</v>
      </c>
      <c r="G235">
        <v>0.17</v>
      </c>
      <c r="H235">
        <v>9.73</v>
      </c>
      <c r="I235">
        <v>0</v>
      </c>
      <c r="J235">
        <v>0</v>
      </c>
      <c r="K235">
        <v>9.91</v>
      </c>
      <c r="L235" t="s">
        <v>61</v>
      </c>
      <c r="M235">
        <v>226</v>
      </c>
      <c r="N235">
        <v>22.81</v>
      </c>
      <c r="O235" t="s">
        <v>62</v>
      </c>
      <c r="P235" t="s">
        <v>65</v>
      </c>
      <c r="Q235">
        <v>0</v>
      </c>
      <c r="R235">
        <v>0</v>
      </c>
    </row>
    <row r="236" spans="1:18" x14ac:dyDescent="0.35">
      <c r="A236" t="s">
        <v>56</v>
      </c>
      <c r="B236" t="s">
        <v>57</v>
      </c>
      <c r="C236" t="s">
        <v>70</v>
      </c>
      <c r="D236">
        <v>107843891</v>
      </c>
      <c r="E236" t="s">
        <v>544</v>
      </c>
      <c r="F236" t="s">
        <v>72</v>
      </c>
      <c r="G236">
        <v>0.17</v>
      </c>
      <c r="H236">
        <v>9.73</v>
      </c>
      <c r="I236">
        <v>0</v>
      </c>
      <c r="J236">
        <v>0</v>
      </c>
      <c r="K236">
        <v>9.91</v>
      </c>
      <c r="L236" t="s">
        <v>61</v>
      </c>
      <c r="M236">
        <v>226</v>
      </c>
      <c r="N236">
        <v>22.81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70</v>
      </c>
      <c r="D237">
        <v>107843891</v>
      </c>
      <c r="E237" t="s">
        <v>544</v>
      </c>
      <c r="F237" t="s">
        <v>72</v>
      </c>
      <c r="G237">
        <v>0.17</v>
      </c>
      <c r="H237">
        <v>9.73</v>
      </c>
      <c r="I237">
        <v>0</v>
      </c>
      <c r="J237">
        <v>0</v>
      </c>
      <c r="K237">
        <v>9.91</v>
      </c>
      <c r="L237" t="s">
        <v>61</v>
      </c>
      <c r="M237">
        <v>226</v>
      </c>
      <c r="N237">
        <v>22.81</v>
      </c>
      <c r="O237" t="s">
        <v>62</v>
      </c>
      <c r="P237" t="s">
        <v>67</v>
      </c>
      <c r="Q237">
        <v>1256</v>
      </c>
      <c r="R237">
        <v>126.77</v>
      </c>
    </row>
    <row r="238" spans="1:18" x14ac:dyDescent="0.35">
      <c r="A238" t="s">
        <v>56</v>
      </c>
      <c r="B238" t="s">
        <v>57</v>
      </c>
      <c r="C238" t="s">
        <v>70</v>
      </c>
      <c r="D238">
        <v>107843891</v>
      </c>
      <c r="E238" t="s">
        <v>544</v>
      </c>
      <c r="F238" t="s">
        <v>72</v>
      </c>
      <c r="G238">
        <v>0.17</v>
      </c>
      <c r="H238">
        <v>9.73</v>
      </c>
      <c r="I238">
        <v>0</v>
      </c>
      <c r="J238">
        <v>0</v>
      </c>
      <c r="K238">
        <v>9.91</v>
      </c>
      <c r="L238" t="s">
        <v>61</v>
      </c>
      <c r="M238">
        <v>226</v>
      </c>
      <c r="N238">
        <v>22.81</v>
      </c>
      <c r="O238" t="s">
        <v>68</v>
      </c>
      <c r="P238" t="s">
        <v>67</v>
      </c>
      <c r="Q238">
        <v>226</v>
      </c>
      <c r="R238">
        <v>22.81</v>
      </c>
    </row>
    <row r="239" spans="1:18" x14ac:dyDescent="0.35">
      <c r="A239" t="s">
        <v>56</v>
      </c>
      <c r="B239" t="s">
        <v>57</v>
      </c>
      <c r="C239" t="s">
        <v>70</v>
      </c>
      <c r="D239">
        <v>107843891</v>
      </c>
      <c r="E239" t="s">
        <v>544</v>
      </c>
      <c r="F239" t="s">
        <v>72</v>
      </c>
      <c r="G239">
        <v>0.17</v>
      </c>
      <c r="H239">
        <v>9.73</v>
      </c>
      <c r="I239">
        <v>0</v>
      </c>
      <c r="J239">
        <v>0</v>
      </c>
      <c r="K239">
        <v>9.91</v>
      </c>
      <c r="L239" t="s">
        <v>61</v>
      </c>
      <c r="M239">
        <v>226</v>
      </c>
      <c r="N239">
        <v>22.81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107844157</v>
      </c>
      <c r="E240" t="s">
        <v>545</v>
      </c>
      <c r="F240" t="s">
        <v>72</v>
      </c>
      <c r="G240">
        <v>0.79</v>
      </c>
      <c r="H240">
        <v>8.99</v>
      </c>
      <c r="I240">
        <v>0</v>
      </c>
      <c r="J240">
        <v>0</v>
      </c>
      <c r="K240">
        <v>9.7899999999999991</v>
      </c>
      <c r="L240" t="s">
        <v>61</v>
      </c>
      <c r="M240">
        <v>233</v>
      </c>
      <c r="N240">
        <v>23.81</v>
      </c>
      <c r="O240" t="s">
        <v>62</v>
      </c>
      <c r="P240" t="s">
        <v>63</v>
      </c>
      <c r="Q240">
        <v>487</v>
      </c>
      <c r="R240">
        <v>615.16</v>
      </c>
    </row>
    <row r="241" spans="1:18" x14ac:dyDescent="0.35">
      <c r="A241" t="s">
        <v>56</v>
      </c>
      <c r="B241" t="s">
        <v>57</v>
      </c>
      <c r="C241" t="s">
        <v>70</v>
      </c>
      <c r="D241">
        <v>107844157</v>
      </c>
      <c r="E241" t="s">
        <v>545</v>
      </c>
      <c r="F241" t="s">
        <v>72</v>
      </c>
      <c r="G241">
        <v>0.79</v>
      </c>
      <c r="H241">
        <v>8.99</v>
      </c>
      <c r="I241">
        <v>0</v>
      </c>
      <c r="J241">
        <v>0</v>
      </c>
      <c r="K241">
        <v>9.7899999999999991</v>
      </c>
      <c r="L241" t="s">
        <v>61</v>
      </c>
      <c r="M241">
        <v>233</v>
      </c>
      <c r="N241">
        <v>23.81</v>
      </c>
      <c r="O241" t="s">
        <v>62</v>
      </c>
      <c r="P241" t="s">
        <v>64</v>
      </c>
      <c r="Q241">
        <v>1193</v>
      </c>
      <c r="R241">
        <v>132.66</v>
      </c>
    </row>
    <row r="242" spans="1:18" x14ac:dyDescent="0.35">
      <c r="A242" t="s">
        <v>56</v>
      </c>
      <c r="B242" t="s">
        <v>57</v>
      </c>
      <c r="C242" t="s">
        <v>70</v>
      </c>
      <c r="D242">
        <v>107844157</v>
      </c>
      <c r="E242" t="s">
        <v>545</v>
      </c>
      <c r="F242" t="s">
        <v>72</v>
      </c>
      <c r="G242">
        <v>0.79</v>
      </c>
      <c r="H242">
        <v>8.99</v>
      </c>
      <c r="I242">
        <v>0</v>
      </c>
      <c r="J242">
        <v>0</v>
      </c>
      <c r="K242">
        <v>9.7899999999999991</v>
      </c>
      <c r="L242" t="s">
        <v>61</v>
      </c>
      <c r="M242">
        <v>233</v>
      </c>
      <c r="N242">
        <v>23.81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107844157</v>
      </c>
      <c r="E243" t="s">
        <v>545</v>
      </c>
      <c r="F243" t="s">
        <v>72</v>
      </c>
      <c r="G243">
        <v>0.79</v>
      </c>
      <c r="H243">
        <v>8.99</v>
      </c>
      <c r="I243">
        <v>0</v>
      </c>
      <c r="J243">
        <v>0</v>
      </c>
      <c r="K243">
        <v>9.7899999999999991</v>
      </c>
      <c r="L243" t="s">
        <v>61</v>
      </c>
      <c r="M243">
        <v>233</v>
      </c>
      <c r="N243">
        <v>23.81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107844157</v>
      </c>
      <c r="E244" t="s">
        <v>545</v>
      </c>
      <c r="F244" t="s">
        <v>72</v>
      </c>
      <c r="G244">
        <v>0.79</v>
      </c>
      <c r="H244">
        <v>8.99</v>
      </c>
      <c r="I244">
        <v>0</v>
      </c>
      <c r="J244">
        <v>0</v>
      </c>
      <c r="K244">
        <v>9.7899999999999991</v>
      </c>
      <c r="L244" t="s">
        <v>61</v>
      </c>
      <c r="M244">
        <v>233</v>
      </c>
      <c r="N244">
        <v>23.81</v>
      </c>
      <c r="O244" t="s">
        <v>62</v>
      </c>
      <c r="P244" t="s">
        <v>67</v>
      </c>
      <c r="Q244">
        <v>1680</v>
      </c>
      <c r="R244">
        <v>171.69</v>
      </c>
    </row>
    <row r="245" spans="1:18" x14ac:dyDescent="0.35">
      <c r="A245" t="s">
        <v>56</v>
      </c>
      <c r="B245" t="s">
        <v>57</v>
      </c>
      <c r="C245" t="s">
        <v>70</v>
      </c>
      <c r="D245">
        <v>107844157</v>
      </c>
      <c r="E245" t="s">
        <v>545</v>
      </c>
      <c r="F245" t="s">
        <v>72</v>
      </c>
      <c r="G245">
        <v>0.79</v>
      </c>
      <c r="H245">
        <v>8.99</v>
      </c>
      <c r="I245">
        <v>0</v>
      </c>
      <c r="J245">
        <v>0</v>
      </c>
      <c r="K245">
        <v>9.7899999999999991</v>
      </c>
      <c r="L245" t="s">
        <v>61</v>
      </c>
      <c r="M245">
        <v>233</v>
      </c>
      <c r="N245">
        <v>23.81</v>
      </c>
      <c r="O245" t="s">
        <v>68</v>
      </c>
      <c r="P245" t="s">
        <v>67</v>
      </c>
      <c r="Q245">
        <v>233</v>
      </c>
      <c r="R245">
        <v>23.81</v>
      </c>
    </row>
    <row r="246" spans="1:18" x14ac:dyDescent="0.35">
      <c r="A246" t="s">
        <v>56</v>
      </c>
      <c r="B246" t="s">
        <v>57</v>
      </c>
      <c r="C246" t="s">
        <v>70</v>
      </c>
      <c r="D246">
        <v>107844157</v>
      </c>
      <c r="E246" t="s">
        <v>545</v>
      </c>
      <c r="F246" t="s">
        <v>72</v>
      </c>
      <c r="G246">
        <v>0.79</v>
      </c>
      <c r="H246">
        <v>8.99</v>
      </c>
      <c r="I246">
        <v>0</v>
      </c>
      <c r="J246">
        <v>0</v>
      </c>
      <c r="K246">
        <v>9.7899999999999991</v>
      </c>
      <c r="L246" t="s">
        <v>61</v>
      </c>
      <c r="M246">
        <v>233</v>
      </c>
      <c r="N246">
        <v>23.81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70</v>
      </c>
      <c r="D247">
        <v>107844158</v>
      </c>
      <c r="E247" t="s">
        <v>546</v>
      </c>
      <c r="F247" t="s">
        <v>72</v>
      </c>
      <c r="G247">
        <v>0.68</v>
      </c>
      <c r="H247">
        <v>9.3000000000000007</v>
      </c>
      <c r="I247">
        <v>0.01</v>
      </c>
      <c r="J247">
        <v>0</v>
      </c>
      <c r="K247">
        <v>10</v>
      </c>
      <c r="L247" t="s">
        <v>61</v>
      </c>
      <c r="M247">
        <v>474</v>
      </c>
      <c r="N247">
        <v>47.4</v>
      </c>
      <c r="O247" t="s">
        <v>62</v>
      </c>
      <c r="P247" t="s">
        <v>63</v>
      </c>
      <c r="Q247">
        <v>926</v>
      </c>
      <c r="R247">
        <v>1352.92</v>
      </c>
    </row>
    <row r="248" spans="1:18" x14ac:dyDescent="0.35">
      <c r="A248" t="s">
        <v>56</v>
      </c>
      <c r="B248" t="s">
        <v>57</v>
      </c>
      <c r="C248" t="s">
        <v>70</v>
      </c>
      <c r="D248">
        <v>107844158</v>
      </c>
      <c r="E248" t="s">
        <v>546</v>
      </c>
      <c r="F248" t="s">
        <v>72</v>
      </c>
      <c r="G248">
        <v>0.68</v>
      </c>
      <c r="H248">
        <v>9.3000000000000007</v>
      </c>
      <c r="I248">
        <v>0.01</v>
      </c>
      <c r="J248">
        <v>0</v>
      </c>
      <c r="K248">
        <v>10</v>
      </c>
      <c r="L248" t="s">
        <v>61</v>
      </c>
      <c r="M248">
        <v>474</v>
      </c>
      <c r="N248">
        <v>47.4</v>
      </c>
      <c r="O248" t="s">
        <v>62</v>
      </c>
      <c r="P248" t="s">
        <v>64</v>
      </c>
      <c r="Q248">
        <v>2714</v>
      </c>
      <c r="R248">
        <v>291.7</v>
      </c>
    </row>
    <row r="249" spans="1:18" x14ac:dyDescent="0.35">
      <c r="A249" t="s">
        <v>56</v>
      </c>
      <c r="B249" t="s">
        <v>57</v>
      </c>
      <c r="C249" t="s">
        <v>70</v>
      </c>
      <c r="D249">
        <v>107844158</v>
      </c>
      <c r="E249" t="s">
        <v>546</v>
      </c>
      <c r="F249" t="s">
        <v>72</v>
      </c>
      <c r="G249">
        <v>0.68</v>
      </c>
      <c r="H249">
        <v>9.3000000000000007</v>
      </c>
      <c r="I249">
        <v>0.01</v>
      </c>
      <c r="J249">
        <v>0</v>
      </c>
      <c r="K249">
        <v>10</v>
      </c>
      <c r="L249" t="s">
        <v>61</v>
      </c>
      <c r="M249">
        <v>474</v>
      </c>
      <c r="N249">
        <v>47.4</v>
      </c>
      <c r="O249" t="s">
        <v>62</v>
      </c>
      <c r="P249" t="s">
        <v>65</v>
      </c>
      <c r="Q249">
        <v>3</v>
      </c>
      <c r="R249">
        <v>276.92</v>
      </c>
    </row>
    <row r="250" spans="1:18" x14ac:dyDescent="0.35">
      <c r="A250" t="s">
        <v>56</v>
      </c>
      <c r="B250" t="s">
        <v>57</v>
      </c>
      <c r="C250" t="s">
        <v>70</v>
      </c>
      <c r="D250">
        <v>107844158</v>
      </c>
      <c r="E250" t="s">
        <v>546</v>
      </c>
      <c r="F250" t="s">
        <v>72</v>
      </c>
      <c r="G250">
        <v>0.68</v>
      </c>
      <c r="H250">
        <v>9.3000000000000007</v>
      </c>
      <c r="I250">
        <v>0.01</v>
      </c>
      <c r="J250">
        <v>0</v>
      </c>
      <c r="K250">
        <v>10</v>
      </c>
      <c r="L250" t="s">
        <v>61</v>
      </c>
      <c r="M250">
        <v>474</v>
      </c>
      <c r="N250">
        <v>47.4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107844158</v>
      </c>
      <c r="E251" t="s">
        <v>546</v>
      </c>
      <c r="F251" t="s">
        <v>72</v>
      </c>
      <c r="G251">
        <v>0.68</v>
      </c>
      <c r="H251">
        <v>9.3000000000000007</v>
      </c>
      <c r="I251">
        <v>0.01</v>
      </c>
      <c r="J251">
        <v>0</v>
      </c>
      <c r="K251">
        <v>10</v>
      </c>
      <c r="L251" t="s">
        <v>61</v>
      </c>
      <c r="M251">
        <v>474</v>
      </c>
      <c r="N251">
        <v>47.4</v>
      </c>
      <c r="O251" t="s">
        <v>62</v>
      </c>
      <c r="P251" t="s">
        <v>67</v>
      </c>
      <c r="Q251">
        <v>3643</v>
      </c>
      <c r="R251">
        <v>364.3</v>
      </c>
    </row>
    <row r="252" spans="1:18" x14ac:dyDescent="0.35">
      <c r="A252" t="s">
        <v>56</v>
      </c>
      <c r="B252" t="s">
        <v>57</v>
      </c>
      <c r="C252" t="s">
        <v>70</v>
      </c>
      <c r="D252">
        <v>107844158</v>
      </c>
      <c r="E252" t="s">
        <v>546</v>
      </c>
      <c r="F252" t="s">
        <v>72</v>
      </c>
      <c r="G252">
        <v>0.68</v>
      </c>
      <c r="H252">
        <v>9.3000000000000007</v>
      </c>
      <c r="I252">
        <v>0.01</v>
      </c>
      <c r="J252">
        <v>0</v>
      </c>
      <c r="K252">
        <v>10</v>
      </c>
      <c r="L252" t="s">
        <v>61</v>
      </c>
      <c r="M252">
        <v>474</v>
      </c>
      <c r="N252">
        <v>47.4</v>
      </c>
      <c r="O252" t="s">
        <v>68</v>
      </c>
      <c r="P252" t="s">
        <v>67</v>
      </c>
      <c r="Q252">
        <v>473</v>
      </c>
      <c r="R252">
        <v>47.3</v>
      </c>
    </row>
    <row r="253" spans="1:18" x14ac:dyDescent="0.35">
      <c r="A253" t="s">
        <v>56</v>
      </c>
      <c r="B253" t="s">
        <v>57</v>
      </c>
      <c r="C253" t="s">
        <v>70</v>
      </c>
      <c r="D253">
        <v>107844158</v>
      </c>
      <c r="E253" t="s">
        <v>546</v>
      </c>
      <c r="F253" t="s">
        <v>72</v>
      </c>
      <c r="G253">
        <v>0.68</v>
      </c>
      <c r="H253">
        <v>9.3000000000000007</v>
      </c>
      <c r="I253">
        <v>0.01</v>
      </c>
      <c r="J253">
        <v>0</v>
      </c>
      <c r="K253">
        <v>10</v>
      </c>
      <c r="L253" t="s">
        <v>61</v>
      </c>
      <c r="M253">
        <v>474</v>
      </c>
      <c r="N253">
        <v>47.4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58</v>
      </c>
      <c r="D254">
        <v>107868365</v>
      </c>
      <c r="E254" t="s">
        <v>104</v>
      </c>
      <c r="F254" t="s">
        <v>72</v>
      </c>
      <c r="G254">
        <v>1.1200000000000001</v>
      </c>
      <c r="H254">
        <v>8.23</v>
      </c>
      <c r="I254">
        <v>0</v>
      </c>
      <c r="J254">
        <v>0</v>
      </c>
      <c r="K254">
        <v>9.35</v>
      </c>
      <c r="L254" t="s">
        <v>61</v>
      </c>
      <c r="M254">
        <v>369</v>
      </c>
      <c r="N254">
        <v>39.479999999999997</v>
      </c>
      <c r="O254" t="s">
        <v>62</v>
      </c>
      <c r="P254" t="s">
        <v>63</v>
      </c>
      <c r="Q254">
        <v>898</v>
      </c>
      <c r="R254">
        <v>800.4</v>
      </c>
    </row>
    <row r="255" spans="1:18" x14ac:dyDescent="0.35">
      <c r="A255" t="s">
        <v>56</v>
      </c>
      <c r="B255" t="s">
        <v>57</v>
      </c>
      <c r="C255" t="s">
        <v>58</v>
      </c>
      <c r="D255">
        <v>107868365</v>
      </c>
      <c r="E255" t="s">
        <v>104</v>
      </c>
      <c r="F255" t="s">
        <v>72</v>
      </c>
      <c r="G255">
        <v>1.1200000000000001</v>
      </c>
      <c r="H255">
        <v>8.23</v>
      </c>
      <c r="I255">
        <v>0</v>
      </c>
      <c r="J255">
        <v>0</v>
      </c>
      <c r="K255">
        <v>9.35</v>
      </c>
      <c r="L255" t="s">
        <v>61</v>
      </c>
      <c r="M255">
        <v>369</v>
      </c>
      <c r="N255">
        <v>39.479999999999997</v>
      </c>
      <c r="O255" t="s">
        <v>62</v>
      </c>
      <c r="P255" t="s">
        <v>64</v>
      </c>
      <c r="Q255">
        <v>1420</v>
      </c>
      <c r="R255">
        <v>172.64</v>
      </c>
    </row>
    <row r="256" spans="1:18" x14ac:dyDescent="0.35">
      <c r="A256" t="s">
        <v>56</v>
      </c>
      <c r="B256" t="s">
        <v>57</v>
      </c>
      <c r="C256" t="s">
        <v>58</v>
      </c>
      <c r="D256">
        <v>107868365</v>
      </c>
      <c r="E256" t="s">
        <v>104</v>
      </c>
      <c r="F256" t="s">
        <v>72</v>
      </c>
      <c r="G256">
        <v>1.1200000000000001</v>
      </c>
      <c r="H256">
        <v>8.23</v>
      </c>
      <c r="I256">
        <v>0</v>
      </c>
      <c r="J256">
        <v>0</v>
      </c>
      <c r="K256">
        <v>9.35</v>
      </c>
      <c r="L256" t="s">
        <v>61</v>
      </c>
      <c r="M256">
        <v>369</v>
      </c>
      <c r="N256">
        <v>39.479999999999997</v>
      </c>
      <c r="O256" t="s">
        <v>62</v>
      </c>
      <c r="P256" t="s">
        <v>65</v>
      </c>
      <c r="Q256">
        <v>0</v>
      </c>
      <c r="R256">
        <v>0</v>
      </c>
    </row>
    <row r="257" spans="1:18" x14ac:dyDescent="0.35">
      <c r="A257" t="s">
        <v>56</v>
      </c>
      <c r="B257" t="s">
        <v>57</v>
      </c>
      <c r="C257" t="s">
        <v>58</v>
      </c>
      <c r="D257">
        <v>107868365</v>
      </c>
      <c r="E257" t="s">
        <v>104</v>
      </c>
      <c r="F257" t="s">
        <v>72</v>
      </c>
      <c r="G257">
        <v>1.1200000000000001</v>
      </c>
      <c r="H257">
        <v>8.23</v>
      </c>
      <c r="I257">
        <v>0</v>
      </c>
      <c r="J257">
        <v>0</v>
      </c>
      <c r="K257">
        <v>9.35</v>
      </c>
      <c r="L257" t="s">
        <v>61</v>
      </c>
      <c r="M257">
        <v>369</v>
      </c>
      <c r="N257">
        <v>39.479999999999997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58</v>
      </c>
      <c r="D258">
        <v>107868365</v>
      </c>
      <c r="E258" t="s">
        <v>104</v>
      </c>
      <c r="F258" t="s">
        <v>72</v>
      </c>
      <c r="G258">
        <v>1.1200000000000001</v>
      </c>
      <c r="H258">
        <v>8.23</v>
      </c>
      <c r="I258">
        <v>0</v>
      </c>
      <c r="J258">
        <v>0</v>
      </c>
      <c r="K258">
        <v>9.35</v>
      </c>
      <c r="L258" t="s">
        <v>61</v>
      </c>
      <c r="M258">
        <v>369</v>
      </c>
      <c r="N258">
        <v>39.479999999999997</v>
      </c>
      <c r="O258" t="s">
        <v>62</v>
      </c>
      <c r="P258" t="s">
        <v>67</v>
      </c>
      <c r="Q258">
        <v>2318</v>
      </c>
      <c r="R258">
        <v>247.98</v>
      </c>
    </row>
    <row r="259" spans="1:18" x14ac:dyDescent="0.35">
      <c r="A259" t="s">
        <v>56</v>
      </c>
      <c r="B259" t="s">
        <v>57</v>
      </c>
      <c r="C259" t="s">
        <v>58</v>
      </c>
      <c r="D259">
        <v>107868365</v>
      </c>
      <c r="E259" t="s">
        <v>104</v>
      </c>
      <c r="F259" t="s">
        <v>72</v>
      </c>
      <c r="G259">
        <v>1.1200000000000001</v>
      </c>
      <c r="H259">
        <v>8.23</v>
      </c>
      <c r="I259">
        <v>0</v>
      </c>
      <c r="J259">
        <v>0</v>
      </c>
      <c r="K259">
        <v>9.35</v>
      </c>
      <c r="L259" t="s">
        <v>61</v>
      </c>
      <c r="M259">
        <v>369</v>
      </c>
      <c r="N259">
        <v>39.479999999999997</v>
      </c>
      <c r="O259" t="s">
        <v>68</v>
      </c>
      <c r="P259" t="s">
        <v>67</v>
      </c>
      <c r="Q259">
        <v>369</v>
      </c>
      <c r="R259">
        <v>39.479999999999997</v>
      </c>
    </row>
    <row r="260" spans="1:18" x14ac:dyDescent="0.35">
      <c r="A260" t="s">
        <v>56</v>
      </c>
      <c r="B260" t="s">
        <v>57</v>
      </c>
      <c r="C260" t="s">
        <v>58</v>
      </c>
      <c r="D260">
        <v>107868365</v>
      </c>
      <c r="E260" t="s">
        <v>104</v>
      </c>
      <c r="F260" t="s">
        <v>72</v>
      </c>
      <c r="G260">
        <v>1.1200000000000001</v>
      </c>
      <c r="H260">
        <v>8.23</v>
      </c>
      <c r="I260">
        <v>0</v>
      </c>
      <c r="J260">
        <v>0</v>
      </c>
      <c r="K260">
        <v>9.35</v>
      </c>
      <c r="L260" t="s">
        <v>61</v>
      </c>
      <c r="M260">
        <v>369</v>
      </c>
      <c r="N260">
        <v>39.479999999999997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37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206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0.28000000000000003</v>
      </c>
      <c r="H2">
        <v>8.16</v>
      </c>
      <c r="I2">
        <v>0</v>
      </c>
      <c r="J2">
        <v>0</v>
      </c>
      <c r="K2">
        <v>8.44</v>
      </c>
      <c r="L2" t="s">
        <v>61</v>
      </c>
      <c r="M2">
        <v>337</v>
      </c>
      <c r="N2">
        <v>39.92</v>
      </c>
      <c r="O2" t="s">
        <v>62</v>
      </c>
      <c r="P2" t="s">
        <v>63</v>
      </c>
      <c r="Q2">
        <v>308</v>
      </c>
      <c r="R2">
        <v>1084.93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0.28000000000000003</v>
      </c>
      <c r="H3">
        <v>8.16</v>
      </c>
      <c r="I3">
        <v>0</v>
      </c>
      <c r="J3">
        <v>0</v>
      </c>
      <c r="K3">
        <v>8.44</v>
      </c>
      <c r="L3" t="s">
        <v>61</v>
      </c>
      <c r="M3">
        <v>337</v>
      </c>
      <c r="N3">
        <v>39.92</v>
      </c>
      <c r="O3" t="s">
        <v>62</v>
      </c>
      <c r="P3" t="s">
        <v>64</v>
      </c>
      <c r="Q3">
        <v>1618</v>
      </c>
      <c r="R3">
        <v>198.35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0.28000000000000003</v>
      </c>
      <c r="H4">
        <v>8.16</v>
      </c>
      <c r="I4">
        <v>0</v>
      </c>
      <c r="J4">
        <v>0</v>
      </c>
      <c r="K4">
        <v>8.44</v>
      </c>
      <c r="L4" t="s">
        <v>61</v>
      </c>
      <c r="M4">
        <v>337</v>
      </c>
      <c r="N4">
        <v>39.92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0.28000000000000003</v>
      </c>
      <c r="H5">
        <v>8.16</v>
      </c>
      <c r="I5">
        <v>0</v>
      </c>
      <c r="J5">
        <v>0</v>
      </c>
      <c r="K5">
        <v>8.44</v>
      </c>
      <c r="L5" t="s">
        <v>61</v>
      </c>
      <c r="M5">
        <v>337</v>
      </c>
      <c r="N5">
        <v>39.92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0.28000000000000003</v>
      </c>
      <c r="H6">
        <v>8.16</v>
      </c>
      <c r="I6">
        <v>0</v>
      </c>
      <c r="J6">
        <v>0</v>
      </c>
      <c r="K6">
        <v>8.44</v>
      </c>
      <c r="L6" t="s">
        <v>61</v>
      </c>
      <c r="M6">
        <v>337</v>
      </c>
      <c r="N6">
        <v>39.92</v>
      </c>
      <c r="O6" t="s">
        <v>62</v>
      </c>
      <c r="P6" t="s">
        <v>67</v>
      </c>
      <c r="Q6">
        <v>1926</v>
      </c>
      <c r="R6">
        <v>228.15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0.28000000000000003</v>
      </c>
      <c r="H7">
        <v>8.16</v>
      </c>
      <c r="I7">
        <v>0</v>
      </c>
      <c r="J7">
        <v>0</v>
      </c>
      <c r="K7">
        <v>8.44</v>
      </c>
      <c r="L7" t="s">
        <v>61</v>
      </c>
      <c r="M7">
        <v>337</v>
      </c>
      <c r="N7">
        <v>39.92</v>
      </c>
      <c r="O7" t="s">
        <v>68</v>
      </c>
      <c r="P7" t="s">
        <v>67</v>
      </c>
      <c r="Q7">
        <v>337</v>
      </c>
      <c r="R7">
        <v>39.92</v>
      </c>
    </row>
    <row r="8" spans="1:18" x14ac:dyDescent="0.35">
      <c r="A8" t="s">
        <v>56</v>
      </c>
      <c r="B8" t="s">
        <v>57</v>
      </c>
      <c r="C8" t="s">
        <v>70</v>
      </c>
      <c r="D8">
        <v>100865064</v>
      </c>
      <c r="E8" t="s">
        <v>525</v>
      </c>
      <c r="F8" t="s">
        <v>72</v>
      </c>
      <c r="G8">
        <v>0.38</v>
      </c>
      <c r="H8">
        <v>6.63</v>
      </c>
      <c r="I8">
        <v>0</v>
      </c>
      <c r="J8">
        <v>0</v>
      </c>
      <c r="K8">
        <v>7</v>
      </c>
      <c r="L8" t="s">
        <v>61</v>
      </c>
      <c r="M8">
        <v>262</v>
      </c>
      <c r="N8">
        <v>37.42</v>
      </c>
      <c r="O8" t="s">
        <v>62</v>
      </c>
      <c r="P8" t="s">
        <v>63</v>
      </c>
      <c r="Q8">
        <v>314</v>
      </c>
      <c r="R8">
        <v>835.48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525</v>
      </c>
      <c r="F9" t="s">
        <v>72</v>
      </c>
      <c r="G9">
        <v>0.38</v>
      </c>
      <c r="H9">
        <v>6.63</v>
      </c>
      <c r="I9">
        <v>0</v>
      </c>
      <c r="J9">
        <v>0</v>
      </c>
      <c r="K9">
        <v>7</v>
      </c>
      <c r="L9" t="s">
        <v>61</v>
      </c>
      <c r="M9">
        <v>262</v>
      </c>
      <c r="N9">
        <v>37.42</v>
      </c>
      <c r="O9" t="s">
        <v>62</v>
      </c>
      <c r="P9" t="s">
        <v>64</v>
      </c>
      <c r="Q9">
        <v>1012</v>
      </c>
      <c r="R9">
        <v>152.74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525</v>
      </c>
      <c r="F10" t="s">
        <v>72</v>
      </c>
      <c r="G10">
        <v>0.38</v>
      </c>
      <c r="H10">
        <v>6.63</v>
      </c>
      <c r="I10">
        <v>0</v>
      </c>
      <c r="J10">
        <v>0</v>
      </c>
      <c r="K10">
        <v>7</v>
      </c>
      <c r="L10" t="s">
        <v>61</v>
      </c>
      <c r="M10">
        <v>262</v>
      </c>
      <c r="N10">
        <v>37.42</v>
      </c>
      <c r="O10" t="s">
        <v>62</v>
      </c>
      <c r="P10" t="s">
        <v>65</v>
      </c>
      <c r="Q10">
        <v>0</v>
      </c>
      <c r="R10">
        <v>0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525</v>
      </c>
      <c r="F11" t="s">
        <v>72</v>
      </c>
      <c r="G11">
        <v>0.38</v>
      </c>
      <c r="H11">
        <v>6.63</v>
      </c>
      <c r="I11">
        <v>0</v>
      </c>
      <c r="J11">
        <v>0</v>
      </c>
      <c r="K11">
        <v>7</v>
      </c>
      <c r="L11" t="s">
        <v>61</v>
      </c>
      <c r="M11">
        <v>262</v>
      </c>
      <c r="N11">
        <v>37.42</v>
      </c>
      <c r="O11" t="s">
        <v>62</v>
      </c>
      <c r="P11" t="s">
        <v>66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525</v>
      </c>
      <c r="F12" t="s">
        <v>72</v>
      </c>
      <c r="G12">
        <v>0.38</v>
      </c>
      <c r="H12">
        <v>6.63</v>
      </c>
      <c r="I12">
        <v>0</v>
      </c>
      <c r="J12">
        <v>0</v>
      </c>
      <c r="K12">
        <v>7</v>
      </c>
      <c r="L12" t="s">
        <v>61</v>
      </c>
      <c r="M12">
        <v>262</v>
      </c>
      <c r="N12">
        <v>37.42</v>
      </c>
      <c r="O12" t="s">
        <v>62</v>
      </c>
      <c r="P12" t="s">
        <v>67</v>
      </c>
      <c r="Q12">
        <v>1326</v>
      </c>
      <c r="R12">
        <v>189.38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525</v>
      </c>
      <c r="F13" t="s">
        <v>72</v>
      </c>
      <c r="G13">
        <v>0.38</v>
      </c>
      <c r="H13">
        <v>6.63</v>
      </c>
      <c r="I13">
        <v>0</v>
      </c>
      <c r="J13">
        <v>0</v>
      </c>
      <c r="K13">
        <v>7</v>
      </c>
      <c r="L13" t="s">
        <v>61</v>
      </c>
      <c r="M13">
        <v>262</v>
      </c>
      <c r="N13">
        <v>37.42</v>
      </c>
      <c r="O13" t="s">
        <v>68</v>
      </c>
      <c r="P13" t="s">
        <v>67</v>
      </c>
      <c r="Q13">
        <v>262</v>
      </c>
      <c r="R13">
        <v>37.42</v>
      </c>
    </row>
    <row r="14" spans="1:18" x14ac:dyDescent="0.35">
      <c r="A14" t="s">
        <v>56</v>
      </c>
      <c r="B14" t="s">
        <v>57</v>
      </c>
      <c r="C14" t="s">
        <v>70</v>
      </c>
      <c r="D14">
        <v>101750120</v>
      </c>
      <c r="E14" t="s">
        <v>667</v>
      </c>
      <c r="F14" t="s">
        <v>72</v>
      </c>
      <c r="G14">
        <v>0.06</v>
      </c>
      <c r="H14">
        <v>2.82</v>
      </c>
      <c r="I14">
        <v>0</v>
      </c>
      <c r="J14">
        <v>0</v>
      </c>
      <c r="K14">
        <v>2.88</v>
      </c>
      <c r="L14" t="s">
        <v>61</v>
      </c>
      <c r="M14">
        <v>134</v>
      </c>
      <c r="N14">
        <v>46.48</v>
      </c>
      <c r="O14" t="s">
        <v>62</v>
      </c>
      <c r="P14" t="s">
        <v>63</v>
      </c>
      <c r="Q14">
        <v>66</v>
      </c>
      <c r="R14">
        <v>1105.1199999999999</v>
      </c>
    </row>
    <row r="15" spans="1:18" x14ac:dyDescent="0.35">
      <c r="A15" t="s">
        <v>56</v>
      </c>
      <c r="B15" t="s">
        <v>57</v>
      </c>
      <c r="C15" t="s">
        <v>70</v>
      </c>
      <c r="D15">
        <v>101750120</v>
      </c>
      <c r="E15" t="s">
        <v>667</v>
      </c>
      <c r="F15" t="s">
        <v>72</v>
      </c>
      <c r="G15">
        <v>0.06</v>
      </c>
      <c r="H15">
        <v>2.82</v>
      </c>
      <c r="I15">
        <v>0</v>
      </c>
      <c r="J15">
        <v>0</v>
      </c>
      <c r="K15">
        <v>2.88</v>
      </c>
      <c r="L15" t="s">
        <v>61</v>
      </c>
      <c r="M15">
        <v>134</v>
      </c>
      <c r="N15">
        <v>46.48</v>
      </c>
      <c r="O15" t="s">
        <v>62</v>
      </c>
      <c r="P15" t="s">
        <v>64</v>
      </c>
      <c r="Q15">
        <v>568</v>
      </c>
      <c r="R15">
        <v>201.2</v>
      </c>
    </row>
    <row r="16" spans="1:18" x14ac:dyDescent="0.35">
      <c r="A16" t="s">
        <v>56</v>
      </c>
      <c r="B16" t="s">
        <v>57</v>
      </c>
      <c r="C16" t="s">
        <v>70</v>
      </c>
      <c r="D16">
        <v>101750120</v>
      </c>
      <c r="E16" t="s">
        <v>667</v>
      </c>
      <c r="F16" t="s">
        <v>72</v>
      </c>
      <c r="G16">
        <v>0.06</v>
      </c>
      <c r="H16">
        <v>2.82</v>
      </c>
      <c r="I16">
        <v>0</v>
      </c>
      <c r="J16">
        <v>0</v>
      </c>
      <c r="K16">
        <v>2.88</v>
      </c>
      <c r="L16" t="s">
        <v>61</v>
      </c>
      <c r="M16">
        <v>134</v>
      </c>
      <c r="N16">
        <v>46.48</v>
      </c>
      <c r="O16" t="s">
        <v>62</v>
      </c>
      <c r="P16" t="s">
        <v>65</v>
      </c>
      <c r="Q16">
        <v>0</v>
      </c>
      <c r="R16">
        <v>0</v>
      </c>
    </row>
    <row r="17" spans="1:18" x14ac:dyDescent="0.35">
      <c r="A17" t="s">
        <v>56</v>
      </c>
      <c r="B17" t="s">
        <v>57</v>
      </c>
      <c r="C17" t="s">
        <v>70</v>
      </c>
      <c r="D17">
        <v>101750120</v>
      </c>
      <c r="E17" t="s">
        <v>667</v>
      </c>
      <c r="F17" t="s">
        <v>72</v>
      </c>
      <c r="G17">
        <v>0.06</v>
      </c>
      <c r="H17">
        <v>2.82</v>
      </c>
      <c r="I17">
        <v>0</v>
      </c>
      <c r="J17">
        <v>0</v>
      </c>
      <c r="K17">
        <v>2.88</v>
      </c>
      <c r="L17" t="s">
        <v>61</v>
      </c>
      <c r="M17">
        <v>134</v>
      </c>
      <c r="N17">
        <v>46.48</v>
      </c>
      <c r="O17" t="s">
        <v>62</v>
      </c>
      <c r="P17" t="s">
        <v>66</v>
      </c>
      <c r="Q17">
        <v>0</v>
      </c>
      <c r="R17">
        <v>0</v>
      </c>
    </row>
    <row r="18" spans="1:18" x14ac:dyDescent="0.35">
      <c r="A18" t="s">
        <v>56</v>
      </c>
      <c r="B18" t="s">
        <v>57</v>
      </c>
      <c r="C18" t="s">
        <v>70</v>
      </c>
      <c r="D18">
        <v>101750120</v>
      </c>
      <c r="E18" t="s">
        <v>667</v>
      </c>
      <c r="F18" t="s">
        <v>72</v>
      </c>
      <c r="G18">
        <v>0.06</v>
      </c>
      <c r="H18">
        <v>2.82</v>
      </c>
      <c r="I18">
        <v>0</v>
      </c>
      <c r="J18">
        <v>0</v>
      </c>
      <c r="K18">
        <v>2.88</v>
      </c>
      <c r="L18" t="s">
        <v>61</v>
      </c>
      <c r="M18">
        <v>134</v>
      </c>
      <c r="N18">
        <v>46.48</v>
      </c>
      <c r="O18" t="s">
        <v>62</v>
      </c>
      <c r="P18" t="s">
        <v>67</v>
      </c>
      <c r="Q18">
        <v>634</v>
      </c>
      <c r="R18">
        <v>219.91</v>
      </c>
    </row>
    <row r="19" spans="1:18" x14ac:dyDescent="0.35">
      <c r="A19" t="s">
        <v>56</v>
      </c>
      <c r="B19" t="s">
        <v>57</v>
      </c>
      <c r="C19" t="s">
        <v>70</v>
      </c>
      <c r="D19">
        <v>101750120</v>
      </c>
      <c r="E19" t="s">
        <v>667</v>
      </c>
      <c r="F19" t="s">
        <v>72</v>
      </c>
      <c r="G19">
        <v>0.06</v>
      </c>
      <c r="H19">
        <v>2.82</v>
      </c>
      <c r="I19">
        <v>0</v>
      </c>
      <c r="J19">
        <v>0</v>
      </c>
      <c r="K19">
        <v>2.88</v>
      </c>
      <c r="L19" t="s">
        <v>61</v>
      </c>
      <c r="M19">
        <v>134</v>
      </c>
      <c r="N19">
        <v>46.48</v>
      </c>
      <c r="O19" t="s">
        <v>68</v>
      </c>
      <c r="P19" t="s">
        <v>67</v>
      </c>
      <c r="Q19">
        <v>134</v>
      </c>
      <c r="R19">
        <v>46.48</v>
      </c>
    </row>
    <row r="20" spans="1:18" x14ac:dyDescent="0.35">
      <c r="A20" t="s">
        <v>56</v>
      </c>
      <c r="B20" t="s">
        <v>57</v>
      </c>
      <c r="C20" t="s">
        <v>70</v>
      </c>
      <c r="D20">
        <v>102457590</v>
      </c>
      <c r="E20" t="s">
        <v>668</v>
      </c>
      <c r="F20" t="s">
        <v>72</v>
      </c>
      <c r="G20">
        <v>0.25</v>
      </c>
      <c r="H20">
        <v>7.75</v>
      </c>
      <c r="I20">
        <v>0</v>
      </c>
      <c r="J20">
        <v>0</v>
      </c>
      <c r="K20">
        <v>8</v>
      </c>
      <c r="L20" t="s">
        <v>61</v>
      </c>
      <c r="M20">
        <v>628</v>
      </c>
      <c r="N20">
        <v>78.5</v>
      </c>
      <c r="O20" t="s">
        <v>62</v>
      </c>
      <c r="P20" t="s">
        <v>63</v>
      </c>
      <c r="Q20">
        <v>243</v>
      </c>
      <c r="R20">
        <v>986.25</v>
      </c>
    </row>
    <row r="21" spans="1:18" x14ac:dyDescent="0.35">
      <c r="A21" t="s">
        <v>56</v>
      </c>
      <c r="B21" t="s">
        <v>57</v>
      </c>
      <c r="C21" t="s">
        <v>70</v>
      </c>
      <c r="D21">
        <v>102457590</v>
      </c>
      <c r="E21" t="s">
        <v>668</v>
      </c>
      <c r="F21" t="s">
        <v>72</v>
      </c>
      <c r="G21">
        <v>0.25</v>
      </c>
      <c r="H21">
        <v>7.75</v>
      </c>
      <c r="I21">
        <v>0</v>
      </c>
      <c r="J21">
        <v>0</v>
      </c>
      <c r="K21">
        <v>8</v>
      </c>
      <c r="L21" t="s">
        <v>61</v>
      </c>
      <c r="M21">
        <v>628</v>
      </c>
      <c r="N21">
        <v>78.5</v>
      </c>
      <c r="O21" t="s">
        <v>62</v>
      </c>
      <c r="P21" t="s">
        <v>64</v>
      </c>
      <c r="Q21">
        <v>1398</v>
      </c>
      <c r="R21">
        <v>180.31</v>
      </c>
    </row>
    <row r="22" spans="1:18" x14ac:dyDescent="0.35">
      <c r="A22" t="s">
        <v>56</v>
      </c>
      <c r="B22" t="s">
        <v>57</v>
      </c>
      <c r="C22" t="s">
        <v>70</v>
      </c>
      <c r="D22">
        <v>102457590</v>
      </c>
      <c r="E22" t="s">
        <v>668</v>
      </c>
      <c r="F22" t="s">
        <v>72</v>
      </c>
      <c r="G22">
        <v>0.25</v>
      </c>
      <c r="H22">
        <v>7.75</v>
      </c>
      <c r="I22">
        <v>0</v>
      </c>
      <c r="J22">
        <v>0</v>
      </c>
      <c r="K22">
        <v>8</v>
      </c>
      <c r="L22" t="s">
        <v>61</v>
      </c>
      <c r="M22">
        <v>628</v>
      </c>
      <c r="N22">
        <v>78.5</v>
      </c>
      <c r="O22" t="s">
        <v>62</v>
      </c>
      <c r="P22" t="s">
        <v>65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102457590</v>
      </c>
      <c r="E23" t="s">
        <v>668</v>
      </c>
      <c r="F23" t="s">
        <v>72</v>
      </c>
      <c r="G23">
        <v>0.25</v>
      </c>
      <c r="H23">
        <v>7.75</v>
      </c>
      <c r="I23">
        <v>0</v>
      </c>
      <c r="J23">
        <v>0</v>
      </c>
      <c r="K23">
        <v>8</v>
      </c>
      <c r="L23" t="s">
        <v>61</v>
      </c>
      <c r="M23">
        <v>628</v>
      </c>
      <c r="N23">
        <v>78.5</v>
      </c>
      <c r="O23" t="s">
        <v>62</v>
      </c>
      <c r="P23" t="s">
        <v>66</v>
      </c>
      <c r="Q23">
        <v>0</v>
      </c>
      <c r="R23">
        <v>0</v>
      </c>
    </row>
    <row r="24" spans="1:18" x14ac:dyDescent="0.35">
      <c r="A24" t="s">
        <v>56</v>
      </c>
      <c r="B24" t="s">
        <v>57</v>
      </c>
      <c r="C24" t="s">
        <v>70</v>
      </c>
      <c r="D24">
        <v>102457590</v>
      </c>
      <c r="E24" t="s">
        <v>668</v>
      </c>
      <c r="F24" t="s">
        <v>72</v>
      </c>
      <c r="G24">
        <v>0.25</v>
      </c>
      <c r="H24">
        <v>7.75</v>
      </c>
      <c r="I24">
        <v>0</v>
      </c>
      <c r="J24">
        <v>0</v>
      </c>
      <c r="K24">
        <v>8</v>
      </c>
      <c r="L24" t="s">
        <v>61</v>
      </c>
      <c r="M24">
        <v>628</v>
      </c>
      <c r="N24">
        <v>78.5</v>
      </c>
      <c r="O24" t="s">
        <v>62</v>
      </c>
      <c r="P24" t="s">
        <v>67</v>
      </c>
      <c r="Q24">
        <v>1641</v>
      </c>
      <c r="R24">
        <v>205.12</v>
      </c>
    </row>
    <row r="25" spans="1:18" x14ac:dyDescent="0.35">
      <c r="A25" t="s">
        <v>56</v>
      </c>
      <c r="B25" t="s">
        <v>57</v>
      </c>
      <c r="C25" t="s">
        <v>70</v>
      </c>
      <c r="D25">
        <v>102457590</v>
      </c>
      <c r="E25" t="s">
        <v>668</v>
      </c>
      <c r="F25" t="s">
        <v>72</v>
      </c>
      <c r="G25">
        <v>0.25</v>
      </c>
      <c r="H25">
        <v>7.75</v>
      </c>
      <c r="I25">
        <v>0</v>
      </c>
      <c r="J25">
        <v>0</v>
      </c>
      <c r="K25">
        <v>8</v>
      </c>
      <c r="L25" t="s">
        <v>61</v>
      </c>
      <c r="M25">
        <v>628</v>
      </c>
      <c r="N25">
        <v>78.5</v>
      </c>
      <c r="O25" t="s">
        <v>68</v>
      </c>
      <c r="P25" t="s">
        <v>67</v>
      </c>
      <c r="Q25">
        <v>628</v>
      </c>
      <c r="R25">
        <v>78.5</v>
      </c>
    </row>
    <row r="26" spans="1:18" x14ac:dyDescent="0.35">
      <c r="A26" t="s">
        <v>56</v>
      </c>
      <c r="B26" t="s">
        <v>57</v>
      </c>
      <c r="C26" t="s">
        <v>58</v>
      </c>
      <c r="D26">
        <v>102476407</v>
      </c>
      <c r="E26" t="s">
        <v>74</v>
      </c>
      <c r="F26" t="s">
        <v>75</v>
      </c>
      <c r="G26">
        <v>0.12</v>
      </c>
      <c r="H26">
        <v>7.32</v>
      </c>
      <c r="I26">
        <v>0</v>
      </c>
      <c r="J26">
        <v>0</v>
      </c>
      <c r="K26">
        <v>7.44</v>
      </c>
      <c r="L26" t="s">
        <v>61</v>
      </c>
      <c r="M26">
        <v>345</v>
      </c>
      <c r="N26">
        <v>46.4</v>
      </c>
      <c r="O26" t="s">
        <v>62</v>
      </c>
      <c r="P26" t="s">
        <v>63</v>
      </c>
      <c r="Q26">
        <v>87</v>
      </c>
      <c r="R26">
        <v>733.49</v>
      </c>
    </row>
    <row r="27" spans="1:18" x14ac:dyDescent="0.35">
      <c r="A27" t="s">
        <v>56</v>
      </c>
      <c r="B27" t="s">
        <v>57</v>
      </c>
      <c r="C27" t="s">
        <v>58</v>
      </c>
      <c r="D27">
        <v>102476407</v>
      </c>
      <c r="E27" t="s">
        <v>74</v>
      </c>
      <c r="F27" t="s">
        <v>75</v>
      </c>
      <c r="G27">
        <v>0.12</v>
      </c>
      <c r="H27">
        <v>7.32</v>
      </c>
      <c r="I27">
        <v>0</v>
      </c>
      <c r="J27">
        <v>0</v>
      </c>
      <c r="K27">
        <v>7.44</v>
      </c>
      <c r="L27" t="s">
        <v>61</v>
      </c>
      <c r="M27">
        <v>345</v>
      </c>
      <c r="N27">
        <v>46.4</v>
      </c>
      <c r="O27" t="s">
        <v>62</v>
      </c>
      <c r="P27" t="s">
        <v>64</v>
      </c>
      <c r="Q27">
        <v>980</v>
      </c>
      <c r="R27">
        <v>133.93</v>
      </c>
    </row>
    <row r="28" spans="1:18" x14ac:dyDescent="0.35">
      <c r="A28" t="s">
        <v>56</v>
      </c>
      <c r="B28" t="s">
        <v>57</v>
      </c>
      <c r="C28" t="s">
        <v>58</v>
      </c>
      <c r="D28">
        <v>102476407</v>
      </c>
      <c r="E28" t="s">
        <v>74</v>
      </c>
      <c r="F28" t="s">
        <v>75</v>
      </c>
      <c r="G28">
        <v>0.12</v>
      </c>
      <c r="H28">
        <v>7.32</v>
      </c>
      <c r="I28">
        <v>0</v>
      </c>
      <c r="J28">
        <v>0</v>
      </c>
      <c r="K28">
        <v>7.44</v>
      </c>
      <c r="L28" t="s">
        <v>61</v>
      </c>
      <c r="M28">
        <v>345</v>
      </c>
      <c r="N28">
        <v>46.4</v>
      </c>
      <c r="O28" t="s">
        <v>62</v>
      </c>
      <c r="P28" t="s">
        <v>65</v>
      </c>
      <c r="Q28">
        <v>0</v>
      </c>
      <c r="R28">
        <v>0</v>
      </c>
    </row>
    <row r="29" spans="1:18" x14ac:dyDescent="0.35">
      <c r="A29" t="s">
        <v>56</v>
      </c>
      <c r="B29" t="s">
        <v>57</v>
      </c>
      <c r="C29" t="s">
        <v>58</v>
      </c>
      <c r="D29">
        <v>102476407</v>
      </c>
      <c r="E29" t="s">
        <v>74</v>
      </c>
      <c r="F29" t="s">
        <v>75</v>
      </c>
      <c r="G29">
        <v>0.12</v>
      </c>
      <c r="H29">
        <v>7.32</v>
      </c>
      <c r="I29">
        <v>0</v>
      </c>
      <c r="J29">
        <v>0</v>
      </c>
      <c r="K29">
        <v>7.44</v>
      </c>
      <c r="L29" t="s">
        <v>61</v>
      </c>
      <c r="M29">
        <v>345</v>
      </c>
      <c r="N29">
        <v>46.4</v>
      </c>
      <c r="O29" t="s">
        <v>62</v>
      </c>
      <c r="P29" t="s">
        <v>66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58</v>
      </c>
      <c r="D30">
        <v>102476407</v>
      </c>
      <c r="E30" t="s">
        <v>74</v>
      </c>
      <c r="F30" t="s">
        <v>75</v>
      </c>
      <c r="G30">
        <v>0.12</v>
      </c>
      <c r="H30">
        <v>7.32</v>
      </c>
      <c r="I30">
        <v>0</v>
      </c>
      <c r="J30">
        <v>0</v>
      </c>
      <c r="K30">
        <v>7.44</v>
      </c>
      <c r="L30" t="s">
        <v>61</v>
      </c>
      <c r="M30">
        <v>345</v>
      </c>
      <c r="N30">
        <v>46.4</v>
      </c>
      <c r="O30" t="s">
        <v>62</v>
      </c>
      <c r="P30" t="s">
        <v>67</v>
      </c>
      <c r="Q30">
        <v>1067</v>
      </c>
      <c r="R30">
        <v>143.49</v>
      </c>
    </row>
    <row r="31" spans="1:18" x14ac:dyDescent="0.35">
      <c r="A31" t="s">
        <v>56</v>
      </c>
      <c r="B31" t="s">
        <v>57</v>
      </c>
      <c r="C31" t="s">
        <v>58</v>
      </c>
      <c r="D31">
        <v>102476407</v>
      </c>
      <c r="E31" t="s">
        <v>74</v>
      </c>
      <c r="F31" t="s">
        <v>75</v>
      </c>
      <c r="G31">
        <v>0.12</v>
      </c>
      <c r="H31">
        <v>7.32</v>
      </c>
      <c r="I31">
        <v>0</v>
      </c>
      <c r="J31">
        <v>0</v>
      </c>
      <c r="K31">
        <v>7.44</v>
      </c>
      <c r="L31" t="s">
        <v>61</v>
      </c>
      <c r="M31">
        <v>345</v>
      </c>
      <c r="N31">
        <v>46.4</v>
      </c>
      <c r="O31" t="s">
        <v>68</v>
      </c>
      <c r="P31" t="s">
        <v>67</v>
      </c>
      <c r="Q31">
        <v>346</v>
      </c>
      <c r="R31">
        <v>46.53</v>
      </c>
    </row>
    <row r="32" spans="1:18" x14ac:dyDescent="0.35">
      <c r="A32" t="s">
        <v>56</v>
      </c>
      <c r="B32" t="s">
        <v>57</v>
      </c>
      <c r="C32" t="s">
        <v>70</v>
      </c>
      <c r="D32">
        <v>103223305</v>
      </c>
      <c r="E32" t="s">
        <v>573</v>
      </c>
      <c r="F32" t="s">
        <v>72</v>
      </c>
      <c r="G32">
        <v>1.1000000000000001</v>
      </c>
      <c r="H32">
        <v>6.99</v>
      </c>
      <c r="I32">
        <v>0</v>
      </c>
      <c r="J32">
        <v>0</v>
      </c>
      <c r="K32">
        <v>8.09</v>
      </c>
      <c r="L32" t="s">
        <v>61</v>
      </c>
      <c r="M32">
        <v>451</v>
      </c>
      <c r="N32">
        <v>55.73</v>
      </c>
      <c r="O32" t="s">
        <v>62</v>
      </c>
      <c r="P32" t="s">
        <v>63</v>
      </c>
      <c r="Q32">
        <v>1594</v>
      </c>
      <c r="R32">
        <v>1443.99</v>
      </c>
    </row>
    <row r="33" spans="1:18" x14ac:dyDescent="0.35">
      <c r="A33" t="s">
        <v>56</v>
      </c>
      <c r="B33" t="s">
        <v>57</v>
      </c>
      <c r="C33" t="s">
        <v>70</v>
      </c>
      <c r="D33">
        <v>103223305</v>
      </c>
      <c r="E33" t="s">
        <v>573</v>
      </c>
      <c r="F33" t="s">
        <v>72</v>
      </c>
      <c r="G33">
        <v>1.1000000000000001</v>
      </c>
      <c r="H33">
        <v>6.99</v>
      </c>
      <c r="I33">
        <v>0</v>
      </c>
      <c r="J33">
        <v>0</v>
      </c>
      <c r="K33">
        <v>8.09</v>
      </c>
      <c r="L33" t="s">
        <v>61</v>
      </c>
      <c r="M33">
        <v>451</v>
      </c>
      <c r="N33">
        <v>55.73</v>
      </c>
      <c r="O33" t="s">
        <v>62</v>
      </c>
      <c r="P33" t="s">
        <v>64</v>
      </c>
      <c r="Q33">
        <v>1845</v>
      </c>
      <c r="R33">
        <v>264</v>
      </c>
    </row>
    <row r="34" spans="1:18" x14ac:dyDescent="0.35">
      <c r="A34" t="s">
        <v>56</v>
      </c>
      <c r="B34" t="s">
        <v>57</v>
      </c>
      <c r="C34" t="s">
        <v>70</v>
      </c>
      <c r="D34">
        <v>103223305</v>
      </c>
      <c r="E34" t="s">
        <v>573</v>
      </c>
      <c r="F34" t="s">
        <v>72</v>
      </c>
      <c r="G34">
        <v>1.1000000000000001</v>
      </c>
      <c r="H34">
        <v>6.99</v>
      </c>
      <c r="I34">
        <v>0</v>
      </c>
      <c r="J34">
        <v>0</v>
      </c>
      <c r="K34">
        <v>8.09</v>
      </c>
      <c r="L34" t="s">
        <v>61</v>
      </c>
      <c r="M34">
        <v>451</v>
      </c>
      <c r="N34">
        <v>55.73</v>
      </c>
      <c r="O34" t="s">
        <v>62</v>
      </c>
      <c r="P34" t="s">
        <v>65</v>
      </c>
      <c r="Q34">
        <v>0</v>
      </c>
      <c r="R34">
        <v>0</v>
      </c>
    </row>
    <row r="35" spans="1:18" x14ac:dyDescent="0.35">
      <c r="A35" t="s">
        <v>56</v>
      </c>
      <c r="B35" t="s">
        <v>57</v>
      </c>
      <c r="C35" t="s">
        <v>70</v>
      </c>
      <c r="D35">
        <v>103223305</v>
      </c>
      <c r="E35" t="s">
        <v>573</v>
      </c>
      <c r="F35" t="s">
        <v>72</v>
      </c>
      <c r="G35">
        <v>1.1000000000000001</v>
      </c>
      <c r="H35">
        <v>6.99</v>
      </c>
      <c r="I35">
        <v>0</v>
      </c>
      <c r="J35">
        <v>0</v>
      </c>
      <c r="K35">
        <v>8.09</v>
      </c>
      <c r="L35" t="s">
        <v>61</v>
      </c>
      <c r="M35">
        <v>451</v>
      </c>
      <c r="N35">
        <v>55.73</v>
      </c>
      <c r="O35" t="s">
        <v>62</v>
      </c>
      <c r="P35" t="s">
        <v>66</v>
      </c>
      <c r="Q35">
        <v>0</v>
      </c>
      <c r="R35">
        <v>0</v>
      </c>
    </row>
    <row r="36" spans="1:18" x14ac:dyDescent="0.35">
      <c r="A36" t="s">
        <v>56</v>
      </c>
      <c r="B36" t="s">
        <v>57</v>
      </c>
      <c r="C36" t="s">
        <v>70</v>
      </c>
      <c r="D36">
        <v>103223305</v>
      </c>
      <c r="E36" t="s">
        <v>573</v>
      </c>
      <c r="F36" t="s">
        <v>72</v>
      </c>
      <c r="G36">
        <v>1.1000000000000001</v>
      </c>
      <c r="H36">
        <v>6.99</v>
      </c>
      <c r="I36">
        <v>0</v>
      </c>
      <c r="J36">
        <v>0</v>
      </c>
      <c r="K36">
        <v>8.09</v>
      </c>
      <c r="L36" t="s">
        <v>61</v>
      </c>
      <c r="M36">
        <v>451</v>
      </c>
      <c r="N36">
        <v>55.73</v>
      </c>
      <c r="O36" t="s">
        <v>62</v>
      </c>
      <c r="P36" t="s">
        <v>67</v>
      </c>
      <c r="Q36">
        <v>3439</v>
      </c>
      <c r="R36">
        <v>424.95</v>
      </c>
    </row>
    <row r="37" spans="1:18" x14ac:dyDescent="0.35">
      <c r="A37" t="s">
        <v>56</v>
      </c>
      <c r="B37" t="s">
        <v>57</v>
      </c>
      <c r="C37" t="s">
        <v>70</v>
      </c>
      <c r="D37">
        <v>103223305</v>
      </c>
      <c r="E37" t="s">
        <v>573</v>
      </c>
      <c r="F37" t="s">
        <v>72</v>
      </c>
      <c r="G37">
        <v>1.1000000000000001</v>
      </c>
      <c r="H37">
        <v>6.99</v>
      </c>
      <c r="I37">
        <v>0</v>
      </c>
      <c r="J37">
        <v>0</v>
      </c>
      <c r="K37">
        <v>8.09</v>
      </c>
      <c r="L37" t="s">
        <v>61</v>
      </c>
      <c r="M37">
        <v>451</v>
      </c>
      <c r="N37">
        <v>55.73</v>
      </c>
      <c r="O37" t="s">
        <v>68</v>
      </c>
      <c r="P37" t="s">
        <v>67</v>
      </c>
      <c r="Q37">
        <v>451</v>
      </c>
      <c r="R37">
        <v>55.73</v>
      </c>
    </row>
    <row r="38" spans="1:18" x14ac:dyDescent="0.35">
      <c r="A38" t="s">
        <v>56</v>
      </c>
      <c r="B38" t="s">
        <v>57</v>
      </c>
      <c r="C38" t="s">
        <v>70</v>
      </c>
      <c r="D38">
        <v>104378003</v>
      </c>
      <c r="E38" t="s">
        <v>526</v>
      </c>
      <c r="F38" t="s">
        <v>72</v>
      </c>
      <c r="G38">
        <v>1.03</v>
      </c>
      <c r="H38">
        <v>8.9700000000000006</v>
      </c>
      <c r="I38">
        <v>0</v>
      </c>
      <c r="J38">
        <v>0</v>
      </c>
      <c r="K38">
        <v>10</v>
      </c>
      <c r="L38" t="s">
        <v>61</v>
      </c>
      <c r="M38">
        <v>489</v>
      </c>
      <c r="N38">
        <v>48.9</v>
      </c>
      <c r="O38" t="s">
        <v>62</v>
      </c>
      <c r="P38" t="s">
        <v>63</v>
      </c>
      <c r="Q38">
        <v>2372</v>
      </c>
      <c r="R38">
        <v>2293.63</v>
      </c>
    </row>
    <row r="39" spans="1:18" x14ac:dyDescent="0.35">
      <c r="A39" t="s">
        <v>56</v>
      </c>
      <c r="B39" t="s">
        <v>57</v>
      </c>
      <c r="C39" t="s">
        <v>70</v>
      </c>
      <c r="D39">
        <v>104378003</v>
      </c>
      <c r="E39" t="s">
        <v>526</v>
      </c>
      <c r="F39" t="s">
        <v>72</v>
      </c>
      <c r="G39">
        <v>1.03</v>
      </c>
      <c r="H39">
        <v>8.9700000000000006</v>
      </c>
      <c r="I39">
        <v>0</v>
      </c>
      <c r="J39">
        <v>0</v>
      </c>
      <c r="K39">
        <v>10</v>
      </c>
      <c r="L39" t="s">
        <v>61</v>
      </c>
      <c r="M39">
        <v>489</v>
      </c>
      <c r="N39">
        <v>48.9</v>
      </c>
      <c r="O39" t="s">
        <v>62</v>
      </c>
      <c r="P39" t="s">
        <v>64</v>
      </c>
      <c r="Q39">
        <v>3760</v>
      </c>
      <c r="R39">
        <v>419.38</v>
      </c>
    </row>
    <row r="40" spans="1:18" x14ac:dyDescent="0.35">
      <c r="A40" t="s">
        <v>56</v>
      </c>
      <c r="B40" t="s">
        <v>57</v>
      </c>
      <c r="C40" t="s">
        <v>70</v>
      </c>
      <c r="D40">
        <v>104378003</v>
      </c>
      <c r="E40" t="s">
        <v>526</v>
      </c>
      <c r="F40" t="s">
        <v>72</v>
      </c>
      <c r="G40">
        <v>1.03</v>
      </c>
      <c r="H40">
        <v>8.9700000000000006</v>
      </c>
      <c r="I40">
        <v>0</v>
      </c>
      <c r="J40">
        <v>0</v>
      </c>
      <c r="K40">
        <v>10</v>
      </c>
      <c r="L40" t="s">
        <v>61</v>
      </c>
      <c r="M40">
        <v>489</v>
      </c>
      <c r="N40">
        <v>48.9</v>
      </c>
      <c r="O40" t="s">
        <v>62</v>
      </c>
      <c r="P40" t="s">
        <v>65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104378003</v>
      </c>
      <c r="E41" t="s">
        <v>526</v>
      </c>
      <c r="F41" t="s">
        <v>72</v>
      </c>
      <c r="G41">
        <v>1.03</v>
      </c>
      <c r="H41">
        <v>8.9700000000000006</v>
      </c>
      <c r="I41">
        <v>0</v>
      </c>
      <c r="J41">
        <v>0</v>
      </c>
      <c r="K41">
        <v>10</v>
      </c>
      <c r="L41" t="s">
        <v>61</v>
      </c>
      <c r="M41">
        <v>489</v>
      </c>
      <c r="N41">
        <v>48.9</v>
      </c>
      <c r="O41" t="s">
        <v>62</v>
      </c>
      <c r="P41" t="s">
        <v>66</v>
      </c>
      <c r="Q41">
        <v>0</v>
      </c>
      <c r="R41">
        <v>0</v>
      </c>
    </row>
    <row r="42" spans="1:18" x14ac:dyDescent="0.35">
      <c r="A42" t="s">
        <v>56</v>
      </c>
      <c r="B42" t="s">
        <v>57</v>
      </c>
      <c r="C42" t="s">
        <v>70</v>
      </c>
      <c r="D42">
        <v>104378003</v>
      </c>
      <c r="E42" t="s">
        <v>526</v>
      </c>
      <c r="F42" t="s">
        <v>72</v>
      </c>
      <c r="G42">
        <v>1.03</v>
      </c>
      <c r="H42">
        <v>8.9700000000000006</v>
      </c>
      <c r="I42">
        <v>0</v>
      </c>
      <c r="J42">
        <v>0</v>
      </c>
      <c r="K42">
        <v>10</v>
      </c>
      <c r="L42" t="s">
        <v>61</v>
      </c>
      <c r="M42">
        <v>489</v>
      </c>
      <c r="N42">
        <v>48.9</v>
      </c>
      <c r="O42" t="s">
        <v>62</v>
      </c>
      <c r="P42" t="s">
        <v>67</v>
      </c>
      <c r="Q42">
        <v>6132</v>
      </c>
      <c r="R42">
        <v>613.20000000000005</v>
      </c>
    </row>
    <row r="43" spans="1:18" x14ac:dyDescent="0.35">
      <c r="A43" t="s">
        <v>56</v>
      </c>
      <c r="B43" t="s">
        <v>57</v>
      </c>
      <c r="C43" t="s">
        <v>70</v>
      </c>
      <c r="D43">
        <v>104378003</v>
      </c>
      <c r="E43" t="s">
        <v>526</v>
      </c>
      <c r="F43" t="s">
        <v>72</v>
      </c>
      <c r="G43">
        <v>1.03</v>
      </c>
      <c r="H43">
        <v>8.9700000000000006</v>
      </c>
      <c r="I43">
        <v>0</v>
      </c>
      <c r="J43">
        <v>0</v>
      </c>
      <c r="K43">
        <v>10</v>
      </c>
      <c r="L43" t="s">
        <v>61</v>
      </c>
      <c r="M43">
        <v>489</v>
      </c>
      <c r="N43">
        <v>48.9</v>
      </c>
      <c r="O43" t="s">
        <v>68</v>
      </c>
      <c r="P43" t="s">
        <v>67</v>
      </c>
      <c r="Q43">
        <v>489</v>
      </c>
      <c r="R43">
        <v>48.9</v>
      </c>
    </row>
    <row r="44" spans="1:18" x14ac:dyDescent="0.35">
      <c r="A44" t="s">
        <v>56</v>
      </c>
      <c r="B44" t="s">
        <v>57</v>
      </c>
      <c r="C44" t="s">
        <v>70</v>
      </c>
      <c r="D44">
        <v>106064826</v>
      </c>
      <c r="E44" t="s">
        <v>569</v>
      </c>
      <c r="F44" t="s">
        <v>72</v>
      </c>
      <c r="G44">
        <v>0.22</v>
      </c>
      <c r="H44">
        <v>3.72</v>
      </c>
      <c r="I44">
        <v>0</v>
      </c>
      <c r="J44">
        <v>0</v>
      </c>
      <c r="K44">
        <v>3.94</v>
      </c>
      <c r="L44" t="s">
        <v>61</v>
      </c>
      <c r="M44">
        <v>114</v>
      </c>
      <c r="N44">
        <v>28.95</v>
      </c>
      <c r="O44" t="s">
        <v>62</v>
      </c>
      <c r="P44" t="s">
        <v>63</v>
      </c>
      <c r="Q44">
        <v>212</v>
      </c>
      <c r="R44">
        <v>979.72</v>
      </c>
    </row>
    <row r="45" spans="1:18" x14ac:dyDescent="0.35">
      <c r="A45" t="s">
        <v>56</v>
      </c>
      <c r="B45" t="s">
        <v>57</v>
      </c>
      <c r="C45" t="s">
        <v>70</v>
      </c>
      <c r="D45">
        <v>106064826</v>
      </c>
      <c r="E45" t="s">
        <v>569</v>
      </c>
      <c r="F45" t="s">
        <v>72</v>
      </c>
      <c r="G45">
        <v>0.22</v>
      </c>
      <c r="H45">
        <v>3.72</v>
      </c>
      <c r="I45">
        <v>0</v>
      </c>
      <c r="J45">
        <v>0</v>
      </c>
      <c r="K45">
        <v>3.94</v>
      </c>
      <c r="L45" t="s">
        <v>61</v>
      </c>
      <c r="M45">
        <v>114</v>
      </c>
      <c r="N45">
        <v>28.95</v>
      </c>
      <c r="O45" t="s">
        <v>62</v>
      </c>
      <c r="P45" t="s">
        <v>64</v>
      </c>
      <c r="Q45">
        <v>666</v>
      </c>
      <c r="R45">
        <v>178.95</v>
      </c>
    </row>
    <row r="46" spans="1:18" x14ac:dyDescent="0.35">
      <c r="A46" t="s">
        <v>56</v>
      </c>
      <c r="B46" t="s">
        <v>57</v>
      </c>
      <c r="C46" t="s">
        <v>70</v>
      </c>
      <c r="D46">
        <v>106064826</v>
      </c>
      <c r="E46" t="s">
        <v>569</v>
      </c>
      <c r="F46" t="s">
        <v>72</v>
      </c>
      <c r="G46">
        <v>0.22</v>
      </c>
      <c r="H46">
        <v>3.72</v>
      </c>
      <c r="I46">
        <v>0</v>
      </c>
      <c r="J46">
        <v>0</v>
      </c>
      <c r="K46">
        <v>3.94</v>
      </c>
      <c r="L46" t="s">
        <v>61</v>
      </c>
      <c r="M46">
        <v>114</v>
      </c>
      <c r="N46">
        <v>28.95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106064826</v>
      </c>
      <c r="E47" t="s">
        <v>569</v>
      </c>
      <c r="F47" t="s">
        <v>72</v>
      </c>
      <c r="G47">
        <v>0.22</v>
      </c>
      <c r="H47">
        <v>3.72</v>
      </c>
      <c r="I47">
        <v>0</v>
      </c>
      <c r="J47">
        <v>0</v>
      </c>
      <c r="K47">
        <v>3.94</v>
      </c>
      <c r="L47" t="s">
        <v>61</v>
      </c>
      <c r="M47">
        <v>114</v>
      </c>
      <c r="N47">
        <v>28.95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106064826</v>
      </c>
      <c r="E48" t="s">
        <v>569</v>
      </c>
      <c r="F48" t="s">
        <v>72</v>
      </c>
      <c r="G48">
        <v>0.22</v>
      </c>
      <c r="H48">
        <v>3.72</v>
      </c>
      <c r="I48">
        <v>0</v>
      </c>
      <c r="J48">
        <v>0</v>
      </c>
      <c r="K48">
        <v>3.94</v>
      </c>
      <c r="L48" t="s">
        <v>61</v>
      </c>
      <c r="M48">
        <v>114</v>
      </c>
      <c r="N48">
        <v>28.95</v>
      </c>
      <c r="O48" t="s">
        <v>62</v>
      </c>
      <c r="P48" t="s">
        <v>67</v>
      </c>
      <c r="Q48">
        <v>878</v>
      </c>
      <c r="R48">
        <v>222.94</v>
      </c>
    </row>
    <row r="49" spans="1:18" x14ac:dyDescent="0.35">
      <c r="A49" t="s">
        <v>56</v>
      </c>
      <c r="B49" t="s">
        <v>57</v>
      </c>
      <c r="C49" t="s">
        <v>70</v>
      </c>
      <c r="D49">
        <v>106064826</v>
      </c>
      <c r="E49" t="s">
        <v>569</v>
      </c>
      <c r="F49" t="s">
        <v>72</v>
      </c>
      <c r="G49">
        <v>0.22</v>
      </c>
      <c r="H49">
        <v>3.72</v>
      </c>
      <c r="I49">
        <v>0</v>
      </c>
      <c r="J49">
        <v>0</v>
      </c>
      <c r="K49">
        <v>3.94</v>
      </c>
      <c r="L49" t="s">
        <v>61</v>
      </c>
      <c r="M49">
        <v>114</v>
      </c>
      <c r="N49">
        <v>28.95</v>
      </c>
      <c r="O49" t="s">
        <v>68</v>
      </c>
      <c r="P49" t="s">
        <v>67</v>
      </c>
      <c r="Q49">
        <v>114</v>
      </c>
      <c r="R49">
        <v>28.95</v>
      </c>
    </row>
    <row r="50" spans="1:18" x14ac:dyDescent="0.35">
      <c r="A50" t="s">
        <v>56</v>
      </c>
      <c r="B50" t="s">
        <v>57</v>
      </c>
      <c r="C50" t="s">
        <v>70</v>
      </c>
      <c r="D50">
        <v>106140648</v>
      </c>
      <c r="E50" t="s">
        <v>671</v>
      </c>
      <c r="F50" t="s">
        <v>60</v>
      </c>
      <c r="G50">
        <v>0.82</v>
      </c>
      <c r="H50">
        <v>6.95</v>
      </c>
      <c r="I50">
        <v>0.26</v>
      </c>
      <c r="J50">
        <v>0</v>
      </c>
      <c r="K50">
        <v>8.0299999999999994</v>
      </c>
      <c r="L50" t="s">
        <v>61</v>
      </c>
      <c r="M50">
        <v>358</v>
      </c>
      <c r="N50">
        <v>44.58</v>
      </c>
      <c r="O50" t="s">
        <v>62</v>
      </c>
      <c r="P50" t="s">
        <v>63</v>
      </c>
      <c r="Q50">
        <v>1261</v>
      </c>
      <c r="R50">
        <v>1531.06</v>
      </c>
    </row>
    <row r="51" spans="1:18" x14ac:dyDescent="0.35">
      <c r="A51" t="s">
        <v>56</v>
      </c>
      <c r="B51" t="s">
        <v>57</v>
      </c>
      <c r="C51" t="s">
        <v>70</v>
      </c>
      <c r="D51">
        <v>106140648</v>
      </c>
      <c r="E51" t="s">
        <v>671</v>
      </c>
      <c r="F51" t="s">
        <v>60</v>
      </c>
      <c r="G51">
        <v>0.82</v>
      </c>
      <c r="H51">
        <v>6.95</v>
      </c>
      <c r="I51">
        <v>0.26</v>
      </c>
      <c r="J51">
        <v>0</v>
      </c>
      <c r="K51">
        <v>8.0299999999999994</v>
      </c>
      <c r="L51" t="s">
        <v>61</v>
      </c>
      <c r="M51">
        <v>358</v>
      </c>
      <c r="N51">
        <v>44.58</v>
      </c>
      <c r="O51" t="s">
        <v>62</v>
      </c>
      <c r="P51" t="s">
        <v>64</v>
      </c>
      <c r="Q51">
        <v>1945</v>
      </c>
      <c r="R51">
        <v>279.91000000000003</v>
      </c>
    </row>
    <row r="52" spans="1:18" x14ac:dyDescent="0.35">
      <c r="A52" t="s">
        <v>56</v>
      </c>
      <c r="B52" t="s">
        <v>57</v>
      </c>
      <c r="C52" t="s">
        <v>70</v>
      </c>
      <c r="D52">
        <v>106140648</v>
      </c>
      <c r="E52" t="s">
        <v>671</v>
      </c>
      <c r="F52" t="s">
        <v>60</v>
      </c>
      <c r="G52">
        <v>0.82</v>
      </c>
      <c r="H52">
        <v>6.95</v>
      </c>
      <c r="I52">
        <v>0.26</v>
      </c>
      <c r="J52">
        <v>0</v>
      </c>
      <c r="K52">
        <v>8.0299999999999994</v>
      </c>
      <c r="L52" t="s">
        <v>61</v>
      </c>
      <c r="M52">
        <v>358</v>
      </c>
      <c r="N52">
        <v>44.58</v>
      </c>
      <c r="O52" t="s">
        <v>62</v>
      </c>
      <c r="P52" t="s">
        <v>65</v>
      </c>
      <c r="Q52">
        <v>81</v>
      </c>
      <c r="R52">
        <v>313.55</v>
      </c>
    </row>
    <row r="53" spans="1:18" x14ac:dyDescent="0.35">
      <c r="A53" t="s">
        <v>56</v>
      </c>
      <c r="B53" t="s">
        <v>57</v>
      </c>
      <c r="C53" t="s">
        <v>70</v>
      </c>
      <c r="D53">
        <v>106140648</v>
      </c>
      <c r="E53" t="s">
        <v>671</v>
      </c>
      <c r="F53" t="s">
        <v>60</v>
      </c>
      <c r="G53">
        <v>0.82</v>
      </c>
      <c r="H53">
        <v>6.95</v>
      </c>
      <c r="I53">
        <v>0.26</v>
      </c>
      <c r="J53">
        <v>0</v>
      </c>
      <c r="K53">
        <v>8.0299999999999994</v>
      </c>
      <c r="L53" t="s">
        <v>61</v>
      </c>
      <c r="M53">
        <v>358</v>
      </c>
      <c r="N53">
        <v>44.58</v>
      </c>
      <c r="O53" t="s">
        <v>62</v>
      </c>
      <c r="P53" t="s">
        <v>66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106140648</v>
      </c>
      <c r="E54" t="s">
        <v>671</v>
      </c>
      <c r="F54" t="s">
        <v>60</v>
      </c>
      <c r="G54">
        <v>0.82</v>
      </c>
      <c r="H54">
        <v>6.95</v>
      </c>
      <c r="I54">
        <v>0.26</v>
      </c>
      <c r="J54">
        <v>0</v>
      </c>
      <c r="K54">
        <v>8.0299999999999994</v>
      </c>
      <c r="L54" t="s">
        <v>61</v>
      </c>
      <c r="M54">
        <v>358</v>
      </c>
      <c r="N54">
        <v>44.58</v>
      </c>
      <c r="O54" t="s">
        <v>62</v>
      </c>
      <c r="P54" t="s">
        <v>67</v>
      </c>
      <c r="Q54">
        <v>3287</v>
      </c>
      <c r="R54">
        <v>409.3</v>
      </c>
    </row>
    <row r="55" spans="1:18" x14ac:dyDescent="0.35">
      <c r="A55" t="s">
        <v>56</v>
      </c>
      <c r="B55" t="s">
        <v>57</v>
      </c>
      <c r="C55" t="s">
        <v>70</v>
      </c>
      <c r="D55">
        <v>106140648</v>
      </c>
      <c r="E55" t="s">
        <v>671</v>
      </c>
      <c r="F55" t="s">
        <v>60</v>
      </c>
      <c r="G55">
        <v>0.82</v>
      </c>
      <c r="H55">
        <v>6.95</v>
      </c>
      <c r="I55">
        <v>0.26</v>
      </c>
      <c r="J55">
        <v>0</v>
      </c>
      <c r="K55">
        <v>8.0299999999999994</v>
      </c>
      <c r="L55" t="s">
        <v>61</v>
      </c>
      <c r="M55">
        <v>358</v>
      </c>
      <c r="N55">
        <v>44.58</v>
      </c>
      <c r="O55" t="s">
        <v>68</v>
      </c>
      <c r="P55" t="s">
        <v>67</v>
      </c>
      <c r="Q55">
        <v>358</v>
      </c>
      <c r="R55">
        <v>44.58</v>
      </c>
    </row>
    <row r="56" spans="1:18" x14ac:dyDescent="0.35">
      <c r="A56" t="s">
        <v>56</v>
      </c>
      <c r="B56" t="s">
        <v>57</v>
      </c>
      <c r="C56" t="s">
        <v>70</v>
      </c>
      <c r="D56">
        <v>106276317</v>
      </c>
      <c r="E56" t="s">
        <v>548</v>
      </c>
      <c r="F56" t="s">
        <v>72</v>
      </c>
      <c r="G56">
        <v>0.54</v>
      </c>
      <c r="H56">
        <v>7.59</v>
      </c>
      <c r="I56">
        <v>0</v>
      </c>
      <c r="J56">
        <v>0</v>
      </c>
      <c r="K56">
        <v>8.1300000000000008</v>
      </c>
      <c r="L56" t="s">
        <v>61</v>
      </c>
      <c r="M56">
        <v>507</v>
      </c>
      <c r="N56">
        <v>62.38</v>
      </c>
      <c r="O56" t="s">
        <v>62</v>
      </c>
      <c r="P56" t="s">
        <v>63</v>
      </c>
      <c r="Q56">
        <v>702</v>
      </c>
      <c r="R56">
        <v>1297.33</v>
      </c>
    </row>
    <row r="57" spans="1:18" x14ac:dyDescent="0.35">
      <c r="A57" t="s">
        <v>56</v>
      </c>
      <c r="B57" t="s">
        <v>57</v>
      </c>
      <c r="C57" t="s">
        <v>70</v>
      </c>
      <c r="D57">
        <v>106276317</v>
      </c>
      <c r="E57" t="s">
        <v>548</v>
      </c>
      <c r="F57" t="s">
        <v>72</v>
      </c>
      <c r="G57">
        <v>0.54</v>
      </c>
      <c r="H57">
        <v>7.59</v>
      </c>
      <c r="I57">
        <v>0</v>
      </c>
      <c r="J57">
        <v>0</v>
      </c>
      <c r="K57">
        <v>8.1300000000000008</v>
      </c>
      <c r="L57" t="s">
        <v>61</v>
      </c>
      <c r="M57">
        <v>507</v>
      </c>
      <c r="N57">
        <v>62.38</v>
      </c>
      <c r="O57" t="s">
        <v>62</v>
      </c>
      <c r="P57" t="s">
        <v>64</v>
      </c>
      <c r="Q57">
        <v>1799</v>
      </c>
      <c r="R57">
        <v>237.14</v>
      </c>
    </row>
    <row r="58" spans="1:18" x14ac:dyDescent="0.35">
      <c r="A58" t="s">
        <v>56</v>
      </c>
      <c r="B58" t="s">
        <v>57</v>
      </c>
      <c r="C58" t="s">
        <v>70</v>
      </c>
      <c r="D58">
        <v>106276317</v>
      </c>
      <c r="E58" t="s">
        <v>548</v>
      </c>
      <c r="F58" t="s">
        <v>72</v>
      </c>
      <c r="G58">
        <v>0.54</v>
      </c>
      <c r="H58">
        <v>7.59</v>
      </c>
      <c r="I58">
        <v>0</v>
      </c>
      <c r="J58">
        <v>0</v>
      </c>
      <c r="K58">
        <v>8.1300000000000008</v>
      </c>
      <c r="L58" t="s">
        <v>61</v>
      </c>
      <c r="M58">
        <v>507</v>
      </c>
      <c r="N58">
        <v>62.38</v>
      </c>
      <c r="O58" t="s">
        <v>62</v>
      </c>
      <c r="P58" t="s">
        <v>65</v>
      </c>
      <c r="Q58">
        <v>0</v>
      </c>
      <c r="R58">
        <v>0</v>
      </c>
    </row>
    <row r="59" spans="1:18" x14ac:dyDescent="0.35">
      <c r="A59" t="s">
        <v>56</v>
      </c>
      <c r="B59" t="s">
        <v>57</v>
      </c>
      <c r="C59" t="s">
        <v>70</v>
      </c>
      <c r="D59">
        <v>106276317</v>
      </c>
      <c r="E59" t="s">
        <v>548</v>
      </c>
      <c r="F59" t="s">
        <v>72</v>
      </c>
      <c r="G59">
        <v>0.54</v>
      </c>
      <c r="H59">
        <v>7.59</v>
      </c>
      <c r="I59">
        <v>0</v>
      </c>
      <c r="J59">
        <v>0</v>
      </c>
      <c r="K59">
        <v>8.1300000000000008</v>
      </c>
      <c r="L59" t="s">
        <v>61</v>
      </c>
      <c r="M59">
        <v>507</v>
      </c>
      <c r="N59">
        <v>62.38</v>
      </c>
      <c r="O59" t="s">
        <v>62</v>
      </c>
      <c r="P59" t="s">
        <v>66</v>
      </c>
      <c r="Q59">
        <v>0</v>
      </c>
      <c r="R59">
        <v>0</v>
      </c>
    </row>
    <row r="60" spans="1:18" x14ac:dyDescent="0.35">
      <c r="A60" t="s">
        <v>56</v>
      </c>
      <c r="B60" t="s">
        <v>57</v>
      </c>
      <c r="C60" t="s">
        <v>70</v>
      </c>
      <c r="D60">
        <v>106276317</v>
      </c>
      <c r="E60" t="s">
        <v>548</v>
      </c>
      <c r="F60" t="s">
        <v>72</v>
      </c>
      <c r="G60">
        <v>0.54</v>
      </c>
      <c r="H60">
        <v>7.59</v>
      </c>
      <c r="I60">
        <v>0</v>
      </c>
      <c r="J60">
        <v>0</v>
      </c>
      <c r="K60">
        <v>8.1300000000000008</v>
      </c>
      <c r="L60" t="s">
        <v>61</v>
      </c>
      <c r="M60">
        <v>507</v>
      </c>
      <c r="N60">
        <v>62.38</v>
      </c>
      <c r="O60" t="s">
        <v>62</v>
      </c>
      <c r="P60" t="s">
        <v>67</v>
      </c>
      <c r="Q60">
        <v>2501</v>
      </c>
      <c r="R60">
        <v>307.70999999999998</v>
      </c>
    </row>
    <row r="61" spans="1:18" x14ac:dyDescent="0.35">
      <c r="A61" t="s">
        <v>56</v>
      </c>
      <c r="B61" t="s">
        <v>57</v>
      </c>
      <c r="C61" t="s">
        <v>70</v>
      </c>
      <c r="D61">
        <v>106276317</v>
      </c>
      <c r="E61" t="s">
        <v>548</v>
      </c>
      <c r="F61" t="s">
        <v>72</v>
      </c>
      <c r="G61">
        <v>0.54</v>
      </c>
      <c r="H61">
        <v>7.59</v>
      </c>
      <c r="I61">
        <v>0</v>
      </c>
      <c r="J61">
        <v>0</v>
      </c>
      <c r="K61">
        <v>8.1300000000000008</v>
      </c>
      <c r="L61" t="s">
        <v>61</v>
      </c>
      <c r="M61">
        <v>507</v>
      </c>
      <c r="N61">
        <v>62.38</v>
      </c>
      <c r="O61" t="s">
        <v>68</v>
      </c>
      <c r="P61" t="s">
        <v>67</v>
      </c>
      <c r="Q61">
        <v>507</v>
      </c>
      <c r="R61">
        <v>62.38</v>
      </c>
    </row>
    <row r="62" spans="1:18" x14ac:dyDescent="0.35">
      <c r="A62" t="s">
        <v>56</v>
      </c>
      <c r="B62" t="s">
        <v>57</v>
      </c>
      <c r="C62" t="s">
        <v>70</v>
      </c>
      <c r="D62">
        <v>106488400</v>
      </c>
      <c r="E62" t="s">
        <v>549</v>
      </c>
      <c r="F62" t="s">
        <v>60</v>
      </c>
      <c r="G62">
        <v>2.34</v>
      </c>
      <c r="H62">
        <v>5.95</v>
      </c>
      <c r="I62">
        <v>0</v>
      </c>
      <c r="J62">
        <v>0</v>
      </c>
      <c r="K62">
        <v>8.2899999999999991</v>
      </c>
      <c r="L62" t="s">
        <v>61</v>
      </c>
      <c r="M62">
        <v>459</v>
      </c>
      <c r="N62">
        <v>55.33</v>
      </c>
      <c r="O62" t="s">
        <v>62</v>
      </c>
      <c r="P62" t="s">
        <v>63</v>
      </c>
      <c r="Q62">
        <v>3142</v>
      </c>
      <c r="R62">
        <v>1340.67</v>
      </c>
    </row>
    <row r="63" spans="1:18" x14ac:dyDescent="0.35">
      <c r="A63" t="s">
        <v>56</v>
      </c>
      <c r="B63" t="s">
        <v>57</v>
      </c>
      <c r="C63" t="s">
        <v>70</v>
      </c>
      <c r="D63">
        <v>106488400</v>
      </c>
      <c r="E63" t="s">
        <v>549</v>
      </c>
      <c r="F63" t="s">
        <v>60</v>
      </c>
      <c r="G63">
        <v>2.34</v>
      </c>
      <c r="H63">
        <v>5.95</v>
      </c>
      <c r="I63">
        <v>0</v>
      </c>
      <c r="J63">
        <v>0</v>
      </c>
      <c r="K63">
        <v>8.2899999999999991</v>
      </c>
      <c r="L63" t="s">
        <v>61</v>
      </c>
      <c r="M63">
        <v>459</v>
      </c>
      <c r="N63">
        <v>55.33</v>
      </c>
      <c r="O63" t="s">
        <v>62</v>
      </c>
      <c r="P63" t="s">
        <v>64</v>
      </c>
      <c r="Q63">
        <v>1459</v>
      </c>
      <c r="R63">
        <v>245.16</v>
      </c>
    </row>
    <row r="64" spans="1:18" x14ac:dyDescent="0.35">
      <c r="A64" t="s">
        <v>56</v>
      </c>
      <c r="B64" t="s">
        <v>57</v>
      </c>
      <c r="C64" t="s">
        <v>70</v>
      </c>
      <c r="D64">
        <v>106488400</v>
      </c>
      <c r="E64" t="s">
        <v>549</v>
      </c>
      <c r="F64" t="s">
        <v>60</v>
      </c>
      <c r="G64">
        <v>2.34</v>
      </c>
      <c r="H64">
        <v>5.95</v>
      </c>
      <c r="I64">
        <v>0</v>
      </c>
      <c r="J64">
        <v>0</v>
      </c>
      <c r="K64">
        <v>8.2899999999999991</v>
      </c>
      <c r="L64" t="s">
        <v>61</v>
      </c>
      <c r="M64">
        <v>459</v>
      </c>
      <c r="N64">
        <v>55.33</v>
      </c>
      <c r="O64" t="s">
        <v>62</v>
      </c>
      <c r="P64" t="s">
        <v>65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106488400</v>
      </c>
      <c r="E65" t="s">
        <v>549</v>
      </c>
      <c r="F65" t="s">
        <v>60</v>
      </c>
      <c r="G65">
        <v>2.34</v>
      </c>
      <c r="H65">
        <v>5.95</v>
      </c>
      <c r="I65">
        <v>0</v>
      </c>
      <c r="J65">
        <v>0</v>
      </c>
      <c r="K65">
        <v>8.2899999999999991</v>
      </c>
      <c r="L65" t="s">
        <v>61</v>
      </c>
      <c r="M65">
        <v>459</v>
      </c>
      <c r="N65">
        <v>55.33</v>
      </c>
      <c r="O65" t="s">
        <v>62</v>
      </c>
      <c r="P65" t="s">
        <v>66</v>
      </c>
      <c r="Q65">
        <v>0</v>
      </c>
      <c r="R65">
        <v>0</v>
      </c>
    </row>
    <row r="66" spans="1:18" x14ac:dyDescent="0.35">
      <c r="A66" t="s">
        <v>56</v>
      </c>
      <c r="B66" t="s">
        <v>57</v>
      </c>
      <c r="C66" t="s">
        <v>70</v>
      </c>
      <c r="D66">
        <v>106488400</v>
      </c>
      <c r="E66" t="s">
        <v>549</v>
      </c>
      <c r="F66" t="s">
        <v>60</v>
      </c>
      <c r="G66">
        <v>2.34</v>
      </c>
      <c r="H66">
        <v>5.95</v>
      </c>
      <c r="I66">
        <v>0</v>
      </c>
      <c r="J66">
        <v>0</v>
      </c>
      <c r="K66">
        <v>8.2899999999999991</v>
      </c>
      <c r="L66" t="s">
        <v>61</v>
      </c>
      <c r="M66">
        <v>459</v>
      </c>
      <c r="N66">
        <v>55.33</v>
      </c>
      <c r="O66" t="s">
        <v>62</v>
      </c>
      <c r="P66" t="s">
        <v>67</v>
      </c>
      <c r="Q66">
        <v>4601</v>
      </c>
      <c r="R66">
        <v>554.66999999999996</v>
      </c>
    </row>
    <row r="67" spans="1:18" x14ac:dyDescent="0.35">
      <c r="A67" t="s">
        <v>56</v>
      </c>
      <c r="B67" t="s">
        <v>57</v>
      </c>
      <c r="C67" t="s">
        <v>70</v>
      </c>
      <c r="D67">
        <v>106488400</v>
      </c>
      <c r="E67" t="s">
        <v>549</v>
      </c>
      <c r="F67" t="s">
        <v>60</v>
      </c>
      <c r="G67">
        <v>2.34</v>
      </c>
      <c r="H67">
        <v>5.95</v>
      </c>
      <c r="I67">
        <v>0</v>
      </c>
      <c r="J67">
        <v>0</v>
      </c>
      <c r="K67">
        <v>8.2899999999999991</v>
      </c>
      <c r="L67" t="s">
        <v>61</v>
      </c>
      <c r="M67">
        <v>459</v>
      </c>
      <c r="N67">
        <v>55.33</v>
      </c>
      <c r="O67" t="s">
        <v>68</v>
      </c>
      <c r="P67" t="s">
        <v>67</v>
      </c>
      <c r="Q67">
        <v>459</v>
      </c>
      <c r="R67">
        <v>55.33</v>
      </c>
    </row>
    <row r="68" spans="1:18" x14ac:dyDescent="0.35">
      <c r="A68" t="s">
        <v>56</v>
      </c>
      <c r="B68" t="s">
        <v>57</v>
      </c>
      <c r="C68" t="s">
        <v>70</v>
      </c>
      <c r="D68">
        <v>106550610</v>
      </c>
      <c r="E68" t="s">
        <v>572</v>
      </c>
      <c r="F68" t="s">
        <v>72</v>
      </c>
      <c r="G68">
        <v>0.18</v>
      </c>
      <c r="H68">
        <v>2.02</v>
      </c>
      <c r="I68">
        <v>0</v>
      </c>
      <c r="J68">
        <v>0</v>
      </c>
      <c r="K68">
        <v>2.21</v>
      </c>
      <c r="L68" t="s">
        <v>61</v>
      </c>
      <c r="M68">
        <v>131</v>
      </c>
      <c r="N68">
        <v>59.37</v>
      </c>
      <c r="O68" t="s">
        <v>62</v>
      </c>
      <c r="P68" t="s">
        <v>63</v>
      </c>
      <c r="Q68">
        <v>340</v>
      </c>
      <c r="R68">
        <v>1871.56</v>
      </c>
    </row>
    <row r="69" spans="1:18" x14ac:dyDescent="0.35">
      <c r="A69" t="s">
        <v>56</v>
      </c>
      <c r="B69" t="s">
        <v>57</v>
      </c>
      <c r="C69" t="s">
        <v>70</v>
      </c>
      <c r="D69">
        <v>106550610</v>
      </c>
      <c r="E69" t="s">
        <v>572</v>
      </c>
      <c r="F69" t="s">
        <v>72</v>
      </c>
      <c r="G69">
        <v>0.18</v>
      </c>
      <c r="H69">
        <v>2.02</v>
      </c>
      <c r="I69">
        <v>0</v>
      </c>
      <c r="J69">
        <v>0</v>
      </c>
      <c r="K69">
        <v>2.21</v>
      </c>
      <c r="L69" t="s">
        <v>61</v>
      </c>
      <c r="M69">
        <v>131</v>
      </c>
      <c r="N69">
        <v>59.37</v>
      </c>
      <c r="O69" t="s">
        <v>62</v>
      </c>
      <c r="P69" t="s">
        <v>64</v>
      </c>
      <c r="Q69">
        <v>693</v>
      </c>
      <c r="R69">
        <v>342.27</v>
      </c>
    </row>
    <row r="70" spans="1:18" x14ac:dyDescent="0.35">
      <c r="A70" t="s">
        <v>56</v>
      </c>
      <c r="B70" t="s">
        <v>57</v>
      </c>
      <c r="C70" t="s">
        <v>70</v>
      </c>
      <c r="D70">
        <v>106550610</v>
      </c>
      <c r="E70" t="s">
        <v>572</v>
      </c>
      <c r="F70" t="s">
        <v>72</v>
      </c>
      <c r="G70">
        <v>0.18</v>
      </c>
      <c r="H70">
        <v>2.02</v>
      </c>
      <c r="I70">
        <v>0</v>
      </c>
      <c r="J70">
        <v>0</v>
      </c>
      <c r="K70">
        <v>2.21</v>
      </c>
      <c r="L70" t="s">
        <v>61</v>
      </c>
      <c r="M70">
        <v>131</v>
      </c>
      <c r="N70">
        <v>59.37</v>
      </c>
      <c r="O70" t="s">
        <v>62</v>
      </c>
      <c r="P70" t="s">
        <v>65</v>
      </c>
      <c r="Q70">
        <v>0</v>
      </c>
      <c r="R70">
        <v>0</v>
      </c>
    </row>
    <row r="71" spans="1:18" x14ac:dyDescent="0.35">
      <c r="A71" t="s">
        <v>56</v>
      </c>
      <c r="B71" t="s">
        <v>57</v>
      </c>
      <c r="C71" t="s">
        <v>70</v>
      </c>
      <c r="D71">
        <v>106550610</v>
      </c>
      <c r="E71" t="s">
        <v>572</v>
      </c>
      <c r="F71" t="s">
        <v>72</v>
      </c>
      <c r="G71">
        <v>0.18</v>
      </c>
      <c r="H71">
        <v>2.02</v>
      </c>
      <c r="I71">
        <v>0</v>
      </c>
      <c r="J71">
        <v>0</v>
      </c>
      <c r="K71">
        <v>2.21</v>
      </c>
      <c r="L71" t="s">
        <v>61</v>
      </c>
      <c r="M71">
        <v>131</v>
      </c>
      <c r="N71">
        <v>59.37</v>
      </c>
      <c r="O71" t="s">
        <v>62</v>
      </c>
      <c r="P71" t="s">
        <v>66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70</v>
      </c>
      <c r="D72">
        <v>106550610</v>
      </c>
      <c r="E72" t="s">
        <v>572</v>
      </c>
      <c r="F72" t="s">
        <v>72</v>
      </c>
      <c r="G72">
        <v>0.18</v>
      </c>
      <c r="H72">
        <v>2.02</v>
      </c>
      <c r="I72">
        <v>0</v>
      </c>
      <c r="J72">
        <v>0</v>
      </c>
      <c r="K72">
        <v>2.21</v>
      </c>
      <c r="L72" t="s">
        <v>61</v>
      </c>
      <c r="M72">
        <v>131</v>
      </c>
      <c r="N72">
        <v>59.37</v>
      </c>
      <c r="O72" t="s">
        <v>62</v>
      </c>
      <c r="P72" t="s">
        <v>67</v>
      </c>
      <c r="Q72">
        <v>1033</v>
      </c>
      <c r="R72">
        <v>468.13</v>
      </c>
    </row>
    <row r="73" spans="1:18" x14ac:dyDescent="0.35">
      <c r="A73" t="s">
        <v>56</v>
      </c>
      <c r="B73" t="s">
        <v>57</v>
      </c>
      <c r="C73" t="s">
        <v>70</v>
      </c>
      <c r="D73">
        <v>106550610</v>
      </c>
      <c r="E73" t="s">
        <v>572</v>
      </c>
      <c r="F73" t="s">
        <v>72</v>
      </c>
      <c r="G73">
        <v>0.18</v>
      </c>
      <c r="H73">
        <v>2.02</v>
      </c>
      <c r="I73">
        <v>0</v>
      </c>
      <c r="J73">
        <v>0</v>
      </c>
      <c r="K73">
        <v>2.21</v>
      </c>
      <c r="L73" t="s">
        <v>61</v>
      </c>
      <c r="M73">
        <v>131</v>
      </c>
      <c r="N73">
        <v>59.37</v>
      </c>
      <c r="O73" t="s">
        <v>68</v>
      </c>
      <c r="P73" t="s">
        <v>67</v>
      </c>
      <c r="Q73">
        <v>132</v>
      </c>
      <c r="R73">
        <v>59.82</v>
      </c>
    </row>
    <row r="74" spans="1:18" x14ac:dyDescent="0.35">
      <c r="A74" t="s">
        <v>56</v>
      </c>
      <c r="B74" t="s">
        <v>57</v>
      </c>
      <c r="C74" t="s">
        <v>58</v>
      </c>
      <c r="D74">
        <v>106556401</v>
      </c>
      <c r="E74" t="s">
        <v>550</v>
      </c>
      <c r="F74" t="s">
        <v>72</v>
      </c>
      <c r="G74">
        <v>3.07</v>
      </c>
      <c r="H74">
        <v>5.09</v>
      </c>
      <c r="I74">
        <v>0</v>
      </c>
      <c r="J74">
        <v>0</v>
      </c>
      <c r="K74">
        <v>8.16</v>
      </c>
      <c r="L74" t="s">
        <v>61</v>
      </c>
      <c r="M74">
        <v>467</v>
      </c>
      <c r="N74">
        <v>57.25</v>
      </c>
      <c r="O74" t="s">
        <v>62</v>
      </c>
      <c r="P74" t="s">
        <v>63</v>
      </c>
      <c r="Q74">
        <v>6356</v>
      </c>
      <c r="R74">
        <v>2071.86</v>
      </c>
    </row>
    <row r="75" spans="1:18" x14ac:dyDescent="0.35">
      <c r="A75" t="s">
        <v>56</v>
      </c>
      <c r="B75" t="s">
        <v>57</v>
      </c>
      <c r="C75" t="s">
        <v>58</v>
      </c>
      <c r="D75">
        <v>106556401</v>
      </c>
      <c r="E75" t="s">
        <v>550</v>
      </c>
      <c r="F75" t="s">
        <v>72</v>
      </c>
      <c r="G75">
        <v>3.07</v>
      </c>
      <c r="H75">
        <v>5.09</v>
      </c>
      <c r="I75">
        <v>0</v>
      </c>
      <c r="J75">
        <v>0</v>
      </c>
      <c r="K75">
        <v>8.16</v>
      </c>
      <c r="L75" t="s">
        <v>61</v>
      </c>
      <c r="M75">
        <v>467</v>
      </c>
      <c r="N75">
        <v>57.25</v>
      </c>
      <c r="O75" t="s">
        <v>62</v>
      </c>
      <c r="P75" t="s">
        <v>64</v>
      </c>
      <c r="Q75">
        <v>1928</v>
      </c>
      <c r="R75">
        <v>378.86</v>
      </c>
    </row>
    <row r="76" spans="1:18" x14ac:dyDescent="0.35">
      <c r="A76" t="s">
        <v>56</v>
      </c>
      <c r="B76" t="s">
        <v>57</v>
      </c>
      <c r="C76" t="s">
        <v>58</v>
      </c>
      <c r="D76">
        <v>106556401</v>
      </c>
      <c r="E76" t="s">
        <v>550</v>
      </c>
      <c r="F76" t="s">
        <v>72</v>
      </c>
      <c r="G76">
        <v>3.07</v>
      </c>
      <c r="H76">
        <v>5.09</v>
      </c>
      <c r="I76">
        <v>0</v>
      </c>
      <c r="J76">
        <v>0</v>
      </c>
      <c r="K76">
        <v>8.16</v>
      </c>
      <c r="L76" t="s">
        <v>61</v>
      </c>
      <c r="M76">
        <v>467</v>
      </c>
      <c r="N76">
        <v>57.25</v>
      </c>
      <c r="O76" t="s">
        <v>62</v>
      </c>
      <c r="P76" t="s">
        <v>65</v>
      </c>
      <c r="Q76">
        <v>0</v>
      </c>
      <c r="R76">
        <v>0</v>
      </c>
    </row>
    <row r="77" spans="1:18" x14ac:dyDescent="0.35">
      <c r="A77" t="s">
        <v>56</v>
      </c>
      <c r="B77" t="s">
        <v>57</v>
      </c>
      <c r="C77" t="s">
        <v>58</v>
      </c>
      <c r="D77">
        <v>106556401</v>
      </c>
      <c r="E77" t="s">
        <v>550</v>
      </c>
      <c r="F77" t="s">
        <v>72</v>
      </c>
      <c r="G77">
        <v>3.07</v>
      </c>
      <c r="H77">
        <v>5.09</v>
      </c>
      <c r="I77">
        <v>0</v>
      </c>
      <c r="J77">
        <v>0</v>
      </c>
      <c r="K77">
        <v>8.16</v>
      </c>
      <c r="L77" t="s">
        <v>61</v>
      </c>
      <c r="M77">
        <v>467</v>
      </c>
      <c r="N77">
        <v>57.25</v>
      </c>
      <c r="O77" t="s">
        <v>62</v>
      </c>
      <c r="P77" t="s">
        <v>66</v>
      </c>
      <c r="Q77">
        <v>0</v>
      </c>
      <c r="R77">
        <v>0</v>
      </c>
    </row>
    <row r="78" spans="1:18" x14ac:dyDescent="0.35">
      <c r="A78" t="s">
        <v>56</v>
      </c>
      <c r="B78" t="s">
        <v>57</v>
      </c>
      <c r="C78" t="s">
        <v>58</v>
      </c>
      <c r="D78">
        <v>106556401</v>
      </c>
      <c r="E78" t="s">
        <v>550</v>
      </c>
      <c r="F78" t="s">
        <v>72</v>
      </c>
      <c r="G78">
        <v>3.07</v>
      </c>
      <c r="H78">
        <v>5.09</v>
      </c>
      <c r="I78">
        <v>0</v>
      </c>
      <c r="J78">
        <v>0</v>
      </c>
      <c r="K78">
        <v>8.16</v>
      </c>
      <c r="L78" t="s">
        <v>61</v>
      </c>
      <c r="M78">
        <v>467</v>
      </c>
      <c r="N78">
        <v>57.25</v>
      </c>
      <c r="O78" t="s">
        <v>62</v>
      </c>
      <c r="P78" t="s">
        <v>67</v>
      </c>
      <c r="Q78">
        <v>8284</v>
      </c>
      <c r="R78">
        <v>1015.58</v>
      </c>
    </row>
    <row r="79" spans="1:18" x14ac:dyDescent="0.35">
      <c r="A79" t="s">
        <v>56</v>
      </c>
      <c r="B79" t="s">
        <v>57</v>
      </c>
      <c r="C79" t="s">
        <v>58</v>
      </c>
      <c r="D79">
        <v>106556401</v>
      </c>
      <c r="E79" t="s">
        <v>550</v>
      </c>
      <c r="F79" t="s">
        <v>72</v>
      </c>
      <c r="G79">
        <v>3.07</v>
      </c>
      <c r="H79">
        <v>5.09</v>
      </c>
      <c r="I79">
        <v>0</v>
      </c>
      <c r="J79">
        <v>0</v>
      </c>
      <c r="K79">
        <v>8.16</v>
      </c>
      <c r="L79" t="s">
        <v>61</v>
      </c>
      <c r="M79">
        <v>467</v>
      </c>
      <c r="N79">
        <v>57.25</v>
      </c>
      <c r="O79" t="s">
        <v>68</v>
      </c>
      <c r="P79" t="s">
        <v>67</v>
      </c>
      <c r="Q79">
        <v>468</v>
      </c>
      <c r="R79">
        <v>57.37</v>
      </c>
    </row>
    <row r="80" spans="1:18" x14ac:dyDescent="0.35">
      <c r="A80" t="s">
        <v>56</v>
      </c>
      <c r="B80" t="s">
        <v>57</v>
      </c>
      <c r="C80" t="s">
        <v>58</v>
      </c>
      <c r="D80">
        <v>107221179</v>
      </c>
      <c r="E80" t="s">
        <v>83</v>
      </c>
      <c r="F80" t="s">
        <v>72</v>
      </c>
      <c r="G80">
        <v>0.7</v>
      </c>
      <c r="H80">
        <v>9.2200000000000006</v>
      </c>
      <c r="I80">
        <v>0.08</v>
      </c>
      <c r="J80">
        <v>0</v>
      </c>
      <c r="K80">
        <v>10</v>
      </c>
      <c r="L80" t="s">
        <v>61</v>
      </c>
      <c r="M80">
        <v>595</v>
      </c>
      <c r="N80">
        <v>59.5</v>
      </c>
      <c r="O80" t="s">
        <v>62</v>
      </c>
      <c r="P80" t="s">
        <v>63</v>
      </c>
      <c r="Q80">
        <v>1122</v>
      </c>
      <c r="R80">
        <v>1606.04</v>
      </c>
    </row>
    <row r="81" spans="1:18" x14ac:dyDescent="0.35">
      <c r="A81" t="s">
        <v>56</v>
      </c>
      <c r="B81" t="s">
        <v>57</v>
      </c>
      <c r="C81" t="s">
        <v>58</v>
      </c>
      <c r="D81">
        <v>107221179</v>
      </c>
      <c r="E81" t="s">
        <v>83</v>
      </c>
      <c r="F81" t="s">
        <v>72</v>
      </c>
      <c r="G81">
        <v>0.7</v>
      </c>
      <c r="H81">
        <v>9.2200000000000006</v>
      </c>
      <c r="I81">
        <v>0.08</v>
      </c>
      <c r="J81">
        <v>0</v>
      </c>
      <c r="K81">
        <v>10</v>
      </c>
      <c r="L81" t="s">
        <v>61</v>
      </c>
      <c r="M81">
        <v>595</v>
      </c>
      <c r="N81">
        <v>59.5</v>
      </c>
      <c r="O81" t="s">
        <v>62</v>
      </c>
      <c r="P81" t="s">
        <v>64</v>
      </c>
      <c r="Q81">
        <v>2707</v>
      </c>
      <c r="R81">
        <v>293.63</v>
      </c>
    </row>
    <row r="82" spans="1:18" x14ac:dyDescent="0.35">
      <c r="A82" t="s">
        <v>56</v>
      </c>
      <c r="B82" t="s">
        <v>57</v>
      </c>
      <c r="C82" t="s">
        <v>58</v>
      </c>
      <c r="D82">
        <v>107221179</v>
      </c>
      <c r="E82" t="s">
        <v>83</v>
      </c>
      <c r="F82" t="s">
        <v>72</v>
      </c>
      <c r="G82">
        <v>0.7</v>
      </c>
      <c r="H82">
        <v>9.2200000000000006</v>
      </c>
      <c r="I82">
        <v>0.08</v>
      </c>
      <c r="J82">
        <v>0</v>
      </c>
      <c r="K82">
        <v>10</v>
      </c>
      <c r="L82" t="s">
        <v>61</v>
      </c>
      <c r="M82">
        <v>595</v>
      </c>
      <c r="N82">
        <v>59.5</v>
      </c>
      <c r="O82" t="s">
        <v>62</v>
      </c>
      <c r="P82" t="s">
        <v>65</v>
      </c>
      <c r="Q82">
        <v>27</v>
      </c>
      <c r="R82">
        <v>329.49</v>
      </c>
    </row>
    <row r="83" spans="1:18" x14ac:dyDescent="0.35">
      <c r="A83" t="s">
        <v>56</v>
      </c>
      <c r="B83" t="s">
        <v>57</v>
      </c>
      <c r="C83" t="s">
        <v>58</v>
      </c>
      <c r="D83">
        <v>107221179</v>
      </c>
      <c r="E83" t="s">
        <v>83</v>
      </c>
      <c r="F83" t="s">
        <v>72</v>
      </c>
      <c r="G83">
        <v>0.7</v>
      </c>
      <c r="H83">
        <v>9.2200000000000006</v>
      </c>
      <c r="I83">
        <v>0.08</v>
      </c>
      <c r="J83">
        <v>0</v>
      </c>
      <c r="K83">
        <v>10</v>
      </c>
      <c r="L83" t="s">
        <v>61</v>
      </c>
      <c r="M83">
        <v>595</v>
      </c>
      <c r="N83">
        <v>59.5</v>
      </c>
      <c r="O83" t="s">
        <v>62</v>
      </c>
      <c r="P83" t="s">
        <v>66</v>
      </c>
      <c r="Q83">
        <v>0</v>
      </c>
      <c r="R83">
        <v>0</v>
      </c>
    </row>
    <row r="84" spans="1:18" x14ac:dyDescent="0.35">
      <c r="A84" t="s">
        <v>56</v>
      </c>
      <c r="B84" t="s">
        <v>57</v>
      </c>
      <c r="C84" t="s">
        <v>58</v>
      </c>
      <c r="D84">
        <v>107221179</v>
      </c>
      <c r="E84" t="s">
        <v>83</v>
      </c>
      <c r="F84" t="s">
        <v>72</v>
      </c>
      <c r="G84">
        <v>0.7</v>
      </c>
      <c r="H84">
        <v>9.2200000000000006</v>
      </c>
      <c r="I84">
        <v>0.08</v>
      </c>
      <c r="J84">
        <v>0</v>
      </c>
      <c r="K84">
        <v>10</v>
      </c>
      <c r="L84" t="s">
        <v>61</v>
      </c>
      <c r="M84">
        <v>595</v>
      </c>
      <c r="N84">
        <v>59.5</v>
      </c>
      <c r="O84" t="s">
        <v>62</v>
      </c>
      <c r="P84" t="s">
        <v>67</v>
      </c>
      <c r="Q84">
        <v>3856</v>
      </c>
      <c r="R84">
        <v>385.6</v>
      </c>
    </row>
    <row r="85" spans="1:18" x14ac:dyDescent="0.35">
      <c r="A85" t="s">
        <v>56</v>
      </c>
      <c r="B85" t="s">
        <v>57</v>
      </c>
      <c r="C85" t="s">
        <v>58</v>
      </c>
      <c r="D85">
        <v>107221179</v>
      </c>
      <c r="E85" t="s">
        <v>83</v>
      </c>
      <c r="F85" t="s">
        <v>72</v>
      </c>
      <c r="G85">
        <v>0.7</v>
      </c>
      <c r="H85">
        <v>9.2200000000000006</v>
      </c>
      <c r="I85">
        <v>0.08</v>
      </c>
      <c r="J85">
        <v>0</v>
      </c>
      <c r="K85">
        <v>10</v>
      </c>
      <c r="L85" t="s">
        <v>61</v>
      </c>
      <c r="M85">
        <v>595</v>
      </c>
      <c r="N85">
        <v>59.5</v>
      </c>
      <c r="O85" t="s">
        <v>68</v>
      </c>
      <c r="P85" t="s">
        <v>67</v>
      </c>
      <c r="Q85">
        <v>595</v>
      </c>
      <c r="R85">
        <v>59.5</v>
      </c>
    </row>
    <row r="86" spans="1:18" x14ac:dyDescent="0.35">
      <c r="A86" t="s">
        <v>56</v>
      </c>
      <c r="B86" t="s">
        <v>57</v>
      </c>
      <c r="C86" t="s">
        <v>70</v>
      </c>
      <c r="D86">
        <v>107221222</v>
      </c>
      <c r="E86" t="s">
        <v>86</v>
      </c>
      <c r="F86" t="s">
        <v>72</v>
      </c>
      <c r="G86">
        <v>0.55000000000000004</v>
      </c>
      <c r="H86">
        <v>7.52</v>
      </c>
      <c r="I86">
        <v>0</v>
      </c>
      <c r="J86">
        <v>0</v>
      </c>
      <c r="K86">
        <v>8.07</v>
      </c>
      <c r="L86" t="s">
        <v>61</v>
      </c>
      <c r="M86">
        <v>372</v>
      </c>
      <c r="N86">
        <v>46.12</v>
      </c>
      <c r="O86" t="s">
        <v>62</v>
      </c>
      <c r="P86" t="s">
        <v>63</v>
      </c>
      <c r="Q86">
        <v>621</v>
      </c>
      <c r="R86">
        <v>1133.67</v>
      </c>
    </row>
    <row r="87" spans="1:18" x14ac:dyDescent="0.35">
      <c r="A87" t="s">
        <v>56</v>
      </c>
      <c r="B87" t="s">
        <v>57</v>
      </c>
      <c r="C87" t="s">
        <v>70</v>
      </c>
      <c r="D87">
        <v>107221222</v>
      </c>
      <c r="E87" t="s">
        <v>86</v>
      </c>
      <c r="F87" t="s">
        <v>72</v>
      </c>
      <c r="G87">
        <v>0.55000000000000004</v>
      </c>
      <c r="H87">
        <v>7.52</v>
      </c>
      <c r="I87">
        <v>0</v>
      </c>
      <c r="J87">
        <v>0</v>
      </c>
      <c r="K87">
        <v>8.07</v>
      </c>
      <c r="L87" t="s">
        <v>61</v>
      </c>
      <c r="M87">
        <v>372</v>
      </c>
      <c r="N87">
        <v>46.12</v>
      </c>
      <c r="O87" t="s">
        <v>62</v>
      </c>
      <c r="P87" t="s">
        <v>64</v>
      </c>
      <c r="Q87">
        <v>1558</v>
      </c>
      <c r="R87">
        <v>207.22</v>
      </c>
    </row>
    <row r="88" spans="1:18" x14ac:dyDescent="0.35">
      <c r="A88" t="s">
        <v>56</v>
      </c>
      <c r="B88" t="s">
        <v>57</v>
      </c>
      <c r="C88" t="s">
        <v>70</v>
      </c>
      <c r="D88">
        <v>107221222</v>
      </c>
      <c r="E88" t="s">
        <v>86</v>
      </c>
      <c r="F88" t="s">
        <v>72</v>
      </c>
      <c r="G88">
        <v>0.55000000000000004</v>
      </c>
      <c r="H88">
        <v>7.52</v>
      </c>
      <c r="I88">
        <v>0</v>
      </c>
      <c r="J88">
        <v>0</v>
      </c>
      <c r="K88">
        <v>8.07</v>
      </c>
      <c r="L88" t="s">
        <v>61</v>
      </c>
      <c r="M88">
        <v>372</v>
      </c>
      <c r="N88">
        <v>46.12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70</v>
      </c>
      <c r="D89">
        <v>107221222</v>
      </c>
      <c r="E89" t="s">
        <v>86</v>
      </c>
      <c r="F89" t="s">
        <v>72</v>
      </c>
      <c r="G89">
        <v>0.55000000000000004</v>
      </c>
      <c r="H89">
        <v>7.52</v>
      </c>
      <c r="I89">
        <v>0</v>
      </c>
      <c r="J89">
        <v>0</v>
      </c>
      <c r="K89">
        <v>8.07</v>
      </c>
      <c r="L89" t="s">
        <v>61</v>
      </c>
      <c r="M89">
        <v>372</v>
      </c>
      <c r="N89">
        <v>46.12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107221222</v>
      </c>
      <c r="E90" t="s">
        <v>86</v>
      </c>
      <c r="F90" t="s">
        <v>72</v>
      </c>
      <c r="G90">
        <v>0.55000000000000004</v>
      </c>
      <c r="H90">
        <v>7.52</v>
      </c>
      <c r="I90">
        <v>0</v>
      </c>
      <c r="J90">
        <v>0</v>
      </c>
      <c r="K90">
        <v>8.07</v>
      </c>
      <c r="L90" t="s">
        <v>61</v>
      </c>
      <c r="M90">
        <v>372</v>
      </c>
      <c r="N90">
        <v>46.12</v>
      </c>
      <c r="O90" t="s">
        <v>62</v>
      </c>
      <c r="P90" t="s">
        <v>67</v>
      </c>
      <c r="Q90">
        <v>2179</v>
      </c>
      <c r="R90">
        <v>270.12</v>
      </c>
    </row>
    <row r="91" spans="1:18" x14ac:dyDescent="0.35">
      <c r="A91" t="s">
        <v>56</v>
      </c>
      <c r="B91" t="s">
        <v>57</v>
      </c>
      <c r="C91" t="s">
        <v>70</v>
      </c>
      <c r="D91">
        <v>107221222</v>
      </c>
      <c r="E91" t="s">
        <v>86</v>
      </c>
      <c r="F91" t="s">
        <v>72</v>
      </c>
      <c r="G91">
        <v>0.55000000000000004</v>
      </c>
      <c r="H91">
        <v>7.52</v>
      </c>
      <c r="I91">
        <v>0</v>
      </c>
      <c r="J91">
        <v>0</v>
      </c>
      <c r="K91">
        <v>8.07</v>
      </c>
      <c r="L91" t="s">
        <v>61</v>
      </c>
      <c r="M91">
        <v>372</v>
      </c>
      <c r="N91">
        <v>46.12</v>
      </c>
      <c r="O91" t="s">
        <v>68</v>
      </c>
      <c r="P91" t="s">
        <v>67</v>
      </c>
      <c r="Q91">
        <v>372</v>
      </c>
      <c r="R91">
        <v>46.12</v>
      </c>
    </row>
    <row r="92" spans="1:18" x14ac:dyDescent="0.35">
      <c r="A92" t="s">
        <v>56</v>
      </c>
      <c r="B92" t="s">
        <v>57</v>
      </c>
      <c r="C92" t="s">
        <v>58</v>
      </c>
      <c r="D92">
        <v>107221237</v>
      </c>
      <c r="E92" t="s">
        <v>89</v>
      </c>
      <c r="F92" t="s">
        <v>72</v>
      </c>
      <c r="G92">
        <v>0.35</v>
      </c>
      <c r="H92">
        <v>7.9</v>
      </c>
      <c r="I92">
        <v>0</v>
      </c>
      <c r="J92">
        <v>0</v>
      </c>
      <c r="K92">
        <v>8.25</v>
      </c>
      <c r="L92" t="s">
        <v>61</v>
      </c>
      <c r="M92">
        <v>324</v>
      </c>
      <c r="N92">
        <v>39.270000000000003</v>
      </c>
      <c r="O92" t="s">
        <v>62</v>
      </c>
      <c r="P92" t="s">
        <v>63</v>
      </c>
      <c r="Q92">
        <v>369</v>
      </c>
      <c r="R92">
        <v>1061.8699999999999</v>
      </c>
    </row>
    <row r="93" spans="1:18" x14ac:dyDescent="0.35">
      <c r="A93" t="s">
        <v>56</v>
      </c>
      <c r="B93" t="s">
        <v>57</v>
      </c>
      <c r="C93" t="s">
        <v>58</v>
      </c>
      <c r="D93">
        <v>107221237</v>
      </c>
      <c r="E93" t="s">
        <v>89</v>
      </c>
      <c r="F93" t="s">
        <v>72</v>
      </c>
      <c r="G93">
        <v>0.35</v>
      </c>
      <c r="H93">
        <v>7.9</v>
      </c>
      <c r="I93">
        <v>0</v>
      </c>
      <c r="J93">
        <v>0</v>
      </c>
      <c r="K93">
        <v>8.25</v>
      </c>
      <c r="L93" t="s">
        <v>61</v>
      </c>
      <c r="M93">
        <v>324</v>
      </c>
      <c r="N93">
        <v>39.270000000000003</v>
      </c>
      <c r="O93" t="s">
        <v>62</v>
      </c>
      <c r="P93" t="s">
        <v>64</v>
      </c>
      <c r="Q93">
        <v>1534</v>
      </c>
      <c r="R93">
        <v>194.12</v>
      </c>
    </row>
    <row r="94" spans="1:18" x14ac:dyDescent="0.35">
      <c r="A94" t="s">
        <v>56</v>
      </c>
      <c r="B94" t="s">
        <v>57</v>
      </c>
      <c r="C94" t="s">
        <v>58</v>
      </c>
      <c r="D94">
        <v>107221237</v>
      </c>
      <c r="E94" t="s">
        <v>89</v>
      </c>
      <c r="F94" t="s">
        <v>72</v>
      </c>
      <c r="G94">
        <v>0.35</v>
      </c>
      <c r="H94">
        <v>7.9</v>
      </c>
      <c r="I94">
        <v>0</v>
      </c>
      <c r="J94">
        <v>0</v>
      </c>
      <c r="K94">
        <v>8.25</v>
      </c>
      <c r="L94" t="s">
        <v>61</v>
      </c>
      <c r="M94">
        <v>324</v>
      </c>
      <c r="N94">
        <v>39.270000000000003</v>
      </c>
      <c r="O94" t="s">
        <v>62</v>
      </c>
      <c r="P94" t="s">
        <v>65</v>
      </c>
      <c r="Q94">
        <v>0</v>
      </c>
      <c r="R94">
        <v>0</v>
      </c>
    </row>
    <row r="95" spans="1:18" x14ac:dyDescent="0.35">
      <c r="A95" t="s">
        <v>56</v>
      </c>
      <c r="B95" t="s">
        <v>57</v>
      </c>
      <c r="C95" t="s">
        <v>58</v>
      </c>
      <c r="D95">
        <v>107221237</v>
      </c>
      <c r="E95" t="s">
        <v>89</v>
      </c>
      <c r="F95" t="s">
        <v>72</v>
      </c>
      <c r="G95">
        <v>0.35</v>
      </c>
      <c r="H95">
        <v>7.9</v>
      </c>
      <c r="I95">
        <v>0</v>
      </c>
      <c r="J95">
        <v>0</v>
      </c>
      <c r="K95">
        <v>8.25</v>
      </c>
      <c r="L95" t="s">
        <v>61</v>
      </c>
      <c r="M95">
        <v>324</v>
      </c>
      <c r="N95">
        <v>39.270000000000003</v>
      </c>
      <c r="O95" t="s">
        <v>62</v>
      </c>
      <c r="P95" t="s">
        <v>66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58</v>
      </c>
      <c r="D96">
        <v>107221237</v>
      </c>
      <c r="E96" t="s">
        <v>89</v>
      </c>
      <c r="F96" t="s">
        <v>72</v>
      </c>
      <c r="G96">
        <v>0.35</v>
      </c>
      <c r="H96">
        <v>7.9</v>
      </c>
      <c r="I96">
        <v>0</v>
      </c>
      <c r="J96">
        <v>0</v>
      </c>
      <c r="K96">
        <v>8.25</v>
      </c>
      <c r="L96" t="s">
        <v>61</v>
      </c>
      <c r="M96">
        <v>324</v>
      </c>
      <c r="N96">
        <v>39.270000000000003</v>
      </c>
      <c r="O96" t="s">
        <v>62</v>
      </c>
      <c r="P96" t="s">
        <v>67</v>
      </c>
      <c r="Q96">
        <v>1903</v>
      </c>
      <c r="R96">
        <v>230.67</v>
      </c>
    </row>
    <row r="97" spans="1:18" x14ac:dyDescent="0.35">
      <c r="A97" t="s">
        <v>56</v>
      </c>
      <c r="B97" t="s">
        <v>57</v>
      </c>
      <c r="C97" t="s">
        <v>58</v>
      </c>
      <c r="D97">
        <v>107221237</v>
      </c>
      <c r="E97" t="s">
        <v>89</v>
      </c>
      <c r="F97" t="s">
        <v>72</v>
      </c>
      <c r="G97">
        <v>0.35</v>
      </c>
      <c r="H97">
        <v>7.9</v>
      </c>
      <c r="I97">
        <v>0</v>
      </c>
      <c r="J97">
        <v>0</v>
      </c>
      <c r="K97">
        <v>8.25</v>
      </c>
      <c r="L97" t="s">
        <v>61</v>
      </c>
      <c r="M97">
        <v>324</v>
      </c>
      <c r="N97">
        <v>39.270000000000003</v>
      </c>
      <c r="O97" t="s">
        <v>68</v>
      </c>
      <c r="P97" t="s">
        <v>67</v>
      </c>
      <c r="Q97">
        <v>324</v>
      </c>
      <c r="R97">
        <v>39.270000000000003</v>
      </c>
    </row>
    <row r="98" spans="1:18" x14ac:dyDescent="0.35">
      <c r="A98" t="s">
        <v>56</v>
      </c>
      <c r="B98" t="s">
        <v>57</v>
      </c>
      <c r="C98" t="s">
        <v>70</v>
      </c>
      <c r="D98">
        <v>107232917</v>
      </c>
      <c r="E98" t="s">
        <v>530</v>
      </c>
      <c r="F98" t="s">
        <v>72</v>
      </c>
      <c r="G98">
        <v>0.62</v>
      </c>
      <c r="H98">
        <v>7.56</v>
      </c>
      <c r="I98">
        <v>0</v>
      </c>
      <c r="J98">
        <v>0</v>
      </c>
      <c r="K98">
        <v>8.19</v>
      </c>
      <c r="L98" t="s">
        <v>61</v>
      </c>
      <c r="M98">
        <v>424</v>
      </c>
      <c r="N98">
        <v>51.8</v>
      </c>
      <c r="O98" t="s">
        <v>62</v>
      </c>
      <c r="P98" t="s">
        <v>63</v>
      </c>
      <c r="Q98">
        <v>964</v>
      </c>
      <c r="R98">
        <v>1548.59</v>
      </c>
    </row>
    <row r="99" spans="1:18" x14ac:dyDescent="0.35">
      <c r="A99" t="s">
        <v>56</v>
      </c>
      <c r="B99" t="s">
        <v>57</v>
      </c>
      <c r="C99" t="s">
        <v>70</v>
      </c>
      <c r="D99">
        <v>107232917</v>
      </c>
      <c r="E99" t="s">
        <v>530</v>
      </c>
      <c r="F99" t="s">
        <v>72</v>
      </c>
      <c r="G99">
        <v>0.62</v>
      </c>
      <c r="H99">
        <v>7.56</v>
      </c>
      <c r="I99">
        <v>0</v>
      </c>
      <c r="J99">
        <v>0</v>
      </c>
      <c r="K99">
        <v>8.19</v>
      </c>
      <c r="L99" t="s">
        <v>61</v>
      </c>
      <c r="M99">
        <v>424</v>
      </c>
      <c r="N99">
        <v>51.8</v>
      </c>
      <c r="O99" t="s">
        <v>62</v>
      </c>
      <c r="P99" t="s">
        <v>64</v>
      </c>
      <c r="Q99">
        <v>2141</v>
      </c>
      <c r="R99">
        <v>283.12</v>
      </c>
    </row>
    <row r="100" spans="1:18" x14ac:dyDescent="0.35">
      <c r="A100" t="s">
        <v>56</v>
      </c>
      <c r="B100" t="s">
        <v>57</v>
      </c>
      <c r="C100" t="s">
        <v>70</v>
      </c>
      <c r="D100">
        <v>107232917</v>
      </c>
      <c r="E100" t="s">
        <v>530</v>
      </c>
      <c r="F100" t="s">
        <v>72</v>
      </c>
      <c r="G100">
        <v>0.62</v>
      </c>
      <c r="H100">
        <v>7.56</v>
      </c>
      <c r="I100">
        <v>0</v>
      </c>
      <c r="J100">
        <v>0</v>
      </c>
      <c r="K100">
        <v>8.19</v>
      </c>
      <c r="L100" t="s">
        <v>61</v>
      </c>
      <c r="M100">
        <v>424</v>
      </c>
      <c r="N100">
        <v>51.8</v>
      </c>
      <c r="O100" t="s">
        <v>62</v>
      </c>
      <c r="P100" t="s">
        <v>65</v>
      </c>
      <c r="Q100">
        <v>0</v>
      </c>
      <c r="R100">
        <v>0</v>
      </c>
    </row>
    <row r="101" spans="1:18" x14ac:dyDescent="0.35">
      <c r="A101" t="s">
        <v>56</v>
      </c>
      <c r="B101" t="s">
        <v>57</v>
      </c>
      <c r="C101" t="s">
        <v>70</v>
      </c>
      <c r="D101">
        <v>107232917</v>
      </c>
      <c r="E101" t="s">
        <v>530</v>
      </c>
      <c r="F101" t="s">
        <v>72</v>
      </c>
      <c r="G101">
        <v>0.62</v>
      </c>
      <c r="H101">
        <v>7.56</v>
      </c>
      <c r="I101">
        <v>0</v>
      </c>
      <c r="J101">
        <v>0</v>
      </c>
      <c r="K101">
        <v>8.19</v>
      </c>
      <c r="L101" t="s">
        <v>61</v>
      </c>
      <c r="M101">
        <v>424</v>
      </c>
      <c r="N101">
        <v>51.8</v>
      </c>
      <c r="O101" t="s">
        <v>62</v>
      </c>
      <c r="P101" t="s">
        <v>66</v>
      </c>
      <c r="Q101">
        <v>0</v>
      </c>
      <c r="R101">
        <v>0</v>
      </c>
    </row>
    <row r="102" spans="1:18" x14ac:dyDescent="0.35">
      <c r="A102" t="s">
        <v>56</v>
      </c>
      <c r="B102" t="s">
        <v>57</v>
      </c>
      <c r="C102" t="s">
        <v>70</v>
      </c>
      <c r="D102">
        <v>107232917</v>
      </c>
      <c r="E102" t="s">
        <v>530</v>
      </c>
      <c r="F102" t="s">
        <v>72</v>
      </c>
      <c r="G102">
        <v>0.62</v>
      </c>
      <c r="H102">
        <v>7.56</v>
      </c>
      <c r="I102">
        <v>0</v>
      </c>
      <c r="J102">
        <v>0</v>
      </c>
      <c r="K102">
        <v>8.19</v>
      </c>
      <c r="L102" t="s">
        <v>61</v>
      </c>
      <c r="M102">
        <v>424</v>
      </c>
      <c r="N102">
        <v>51.8</v>
      </c>
      <c r="O102" t="s">
        <v>62</v>
      </c>
      <c r="P102" t="s">
        <v>67</v>
      </c>
      <c r="Q102">
        <v>3105</v>
      </c>
      <c r="R102">
        <v>379.35</v>
      </c>
    </row>
    <row r="103" spans="1:18" x14ac:dyDescent="0.35">
      <c r="A103" t="s">
        <v>56</v>
      </c>
      <c r="B103" t="s">
        <v>57</v>
      </c>
      <c r="C103" t="s">
        <v>70</v>
      </c>
      <c r="D103">
        <v>107232917</v>
      </c>
      <c r="E103" t="s">
        <v>530</v>
      </c>
      <c r="F103" t="s">
        <v>72</v>
      </c>
      <c r="G103">
        <v>0.62</v>
      </c>
      <c r="H103">
        <v>7.56</v>
      </c>
      <c r="I103">
        <v>0</v>
      </c>
      <c r="J103">
        <v>0</v>
      </c>
      <c r="K103">
        <v>8.19</v>
      </c>
      <c r="L103" t="s">
        <v>61</v>
      </c>
      <c r="M103">
        <v>424</v>
      </c>
      <c r="N103">
        <v>51.8</v>
      </c>
      <c r="O103" t="s">
        <v>68</v>
      </c>
      <c r="P103" t="s">
        <v>67</v>
      </c>
      <c r="Q103">
        <v>424</v>
      </c>
      <c r="R103">
        <v>51.8</v>
      </c>
    </row>
    <row r="104" spans="1:18" x14ac:dyDescent="0.35">
      <c r="A104" t="s">
        <v>56</v>
      </c>
      <c r="B104" t="s">
        <v>57</v>
      </c>
      <c r="C104" t="s">
        <v>70</v>
      </c>
      <c r="D104">
        <v>107232968</v>
      </c>
      <c r="E104" t="s">
        <v>552</v>
      </c>
      <c r="F104" t="s">
        <v>72</v>
      </c>
      <c r="G104">
        <v>2.39</v>
      </c>
      <c r="H104">
        <v>7.49</v>
      </c>
      <c r="I104">
        <v>0</v>
      </c>
      <c r="J104">
        <v>0</v>
      </c>
      <c r="K104">
        <v>9.8800000000000008</v>
      </c>
      <c r="L104" t="s">
        <v>61</v>
      </c>
      <c r="M104">
        <v>562</v>
      </c>
      <c r="N104">
        <v>56.86</v>
      </c>
      <c r="O104" t="s">
        <v>62</v>
      </c>
      <c r="P104" t="s">
        <v>63</v>
      </c>
      <c r="Q104">
        <v>4718</v>
      </c>
      <c r="R104">
        <v>1971.54</v>
      </c>
    </row>
    <row r="105" spans="1:18" x14ac:dyDescent="0.35">
      <c r="A105" t="s">
        <v>56</v>
      </c>
      <c r="B105" t="s">
        <v>57</v>
      </c>
      <c r="C105" t="s">
        <v>70</v>
      </c>
      <c r="D105">
        <v>107232968</v>
      </c>
      <c r="E105" t="s">
        <v>552</v>
      </c>
      <c r="F105" t="s">
        <v>72</v>
      </c>
      <c r="G105">
        <v>2.39</v>
      </c>
      <c r="H105">
        <v>7.49</v>
      </c>
      <c r="I105">
        <v>0</v>
      </c>
      <c r="J105">
        <v>0</v>
      </c>
      <c r="K105">
        <v>9.8800000000000008</v>
      </c>
      <c r="L105" t="s">
        <v>61</v>
      </c>
      <c r="M105">
        <v>562</v>
      </c>
      <c r="N105">
        <v>56.86</v>
      </c>
      <c r="O105" t="s">
        <v>62</v>
      </c>
      <c r="P105" t="s">
        <v>64</v>
      </c>
      <c r="Q105">
        <v>2700</v>
      </c>
      <c r="R105">
        <v>360.48</v>
      </c>
    </row>
    <row r="106" spans="1:18" x14ac:dyDescent="0.35">
      <c r="A106" t="s">
        <v>56</v>
      </c>
      <c r="B106" t="s">
        <v>57</v>
      </c>
      <c r="C106" t="s">
        <v>70</v>
      </c>
      <c r="D106">
        <v>107232968</v>
      </c>
      <c r="E106" t="s">
        <v>552</v>
      </c>
      <c r="F106" t="s">
        <v>72</v>
      </c>
      <c r="G106">
        <v>2.39</v>
      </c>
      <c r="H106">
        <v>7.49</v>
      </c>
      <c r="I106">
        <v>0</v>
      </c>
      <c r="J106">
        <v>0</v>
      </c>
      <c r="K106">
        <v>9.8800000000000008</v>
      </c>
      <c r="L106" t="s">
        <v>61</v>
      </c>
      <c r="M106">
        <v>562</v>
      </c>
      <c r="N106">
        <v>56.86</v>
      </c>
      <c r="O106" t="s">
        <v>62</v>
      </c>
      <c r="P106" t="s">
        <v>65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107232968</v>
      </c>
      <c r="E107" t="s">
        <v>552</v>
      </c>
      <c r="F107" t="s">
        <v>72</v>
      </c>
      <c r="G107">
        <v>2.39</v>
      </c>
      <c r="H107">
        <v>7.49</v>
      </c>
      <c r="I107">
        <v>0</v>
      </c>
      <c r="J107">
        <v>0</v>
      </c>
      <c r="K107">
        <v>9.8800000000000008</v>
      </c>
      <c r="L107" t="s">
        <v>61</v>
      </c>
      <c r="M107">
        <v>562</v>
      </c>
      <c r="N107">
        <v>56.86</v>
      </c>
      <c r="O107" t="s">
        <v>62</v>
      </c>
      <c r="P107" t="s">
        <v>66</v>
      </c>
      <c r="Q107">
        <v>0</v>
      </c>
      <c r="R107">
        <v>0</v>
      </c>
    </row>
    <row r="108" spans="1:18" x14ac:dyDescent="0.35">
      <c r="A108" t="s">
        <v>56</v>
      </c>
      <c r="B108" t="s">
        <v>57</v>
      </c>
      <c r="C108" t="s">
        <v>70</v>
      </c>
      <c r="D108">
        <v>107232968</v>
      </c>
      <c r="E108" t="s">
        <v>552</v>
      </c>
      <c r="F108" t="s">
        <v>72</v>
      </c>
      <c r="G108">
        <v>2.39</v>
      </c>
      <c r="H108">
        <v>7.49</v>
      </c>
      <c r="I108">
        <v>0</v>
      </c>
      <c r="J108">
        <v>0</v>
      </c>
      <c r="K108">
        <v>9.8800000000000008</v>
      </c>
      <c r="L108" t="s">
        <v>61</v>
      </c>
      <c r="M108">
        <v>562</v>
      </c>
      <c r="N108">
        <v>56.86</v>
      </c>
      <c r="O108" t="s">
        <v>62</v>
      </c>
      <c r="P108" t="s">
        <v>67</v>
      </c>
      <c r="Q108">
        <v>7418</v>
      </c>
      <c r="R108">
        <v>750.56</v>
      </c>
    </row>
    <row r="109" spans="1:18" x14ac:dyDescent="0.35">
      <c r="A109" t="s">
        <v>56</v>
      </c>
      <c r="B109" t="s">
        <v>57</v>
      </c>
      <c r="C109" t="s">
        <v>70</v>
      </c>
      <c r="D109">
        <v>107232968</v>
      </c>
      <c r="E109" t="s">
        <v>552</v>
      </c>
      <c r="F109" t="s">
        <v>72</v>
      </c>
      <c r="G109">
        <v>2.39</v>
      </c>
      <c r="H109">
        <v>7.49</v>
      </c>
      <c r="I109">
        <v>0</v>
      </c>
      <c r="J109">
        <v>0</v>
      </c>
      <c r="K109">
        <v>9.8800000000000008</v>
      </c>
      <c r="L109" t="s">
        <v>61</v>
      </c>
      <c r="M109">
        <v>562</v>
      </c>
      <c r="N109">
        <v>56.86</v>
      </c>
      <c r="O109" t="s">
        <v>68</v>
      </c>
      <c r="P109" t="s">
        <v>67</v>
      </c>
      <c r="Q109">
        <v>562</v>
      </c>
      <c r="R109">
        <v>56.86</v>
      </c>
    </row>
    <row r="110" spans="1:18" x14ac:dyDescent="0.35">
      <c r="A110" t="s">
        <v>56</v>
      </c>
      <c r="B110" t="s">
        <v>57</v>
      </c>
      <c r="C110" t="s">
        <v>70</v>
      </c>
      <c r="D110">
        <v>107232971</v>
      </c>
      <c r="E110" t="s">
        <v>531</v>
      </c>
      <c r="F110" t="s">
        <v>72</v>
      </c>
      <c r="G110">
        <v>1.1299999999999999</v>
      </c>
      <c r="H110">
        <v>6.77</v>
      </c>
      <c r="I110">
        <v>0</v>
      </c>
      <c r="J110">
        <v>0</v>
      </c>
      <c r="K110">
        <v>7.91</v>
      </c>
      <c r="L110" t="s">
        <v>61</v>
      </c>
      <c r="M110">
        <v>388</v>
      </c>
      <c r="N110">
        <v>49.08</v>
      </c>
      <c r="O110" t="s">
        <v>62</v>
      </c>
      <c r="P110" t="s">
        <v>63</v>
      </c>
      <c r="Q110">
        <v>1325</v>
      </c>
      <c r="R110">
        <v>1170.8399999999999</v>
      </c>
    </row>
    <row r="111" spans="1:18" x14ac:dyDescent="0.35">
      <c r="A111" t="s">
        <v>56</v>
      </c>
      <c r="B111" t="s">
        <v>57</v>
      </c>
      <c r="C111" t="s">
        <v>70</v>
      </c>
      <c r="D111">
        <v>107232971</v>
      </c>
      <c r="E111" t="s">
        <v>531</v>
      </c>
      <c r="F111" t="s">
        <v>72</v>
      </c>
      <c r="G111">
        <v>1.1299999999999999</v>
      </c>
      <c r="H111">
        <v>6.77</v>
      </c>
      <c r="I111">
        <v>0</v>
      </c>
      <c r="J111">
        <v>0</v>
      </c>
      <c r="K111">
        <v>7.91</v>
      </c>
      <c r="L111" t="s">
        <v>61</v>
      </c>
      <c r="M111">
        <v>388</v>
      </c>
      <c r="N111">
        <v>49.08</v>
      </c>
      <c r="O111" t="s">
        <v>62</v>
      </c>
      <c r="P111" t="s">
        <v>64</v>
      </c>
      <c r="Q111">
        <v>1450</v>
      </c>
      <c r="R111">
        <v>214.05</v>
      </c>
    </row>
    <row r="112" spans="1:18" x14ac:dyDescent="0.35">
      <c r="A112" t="s">
        <v>56</v>
      </c>
      <c r="B112" t="s">
        <v>57</v>
      </c>
      <c r="C112" t="s">
        <v>70</v>
      </c>
      <c r="D112">
        <v>107232971</v>
      </c>
      <c r="E112" t="s">
        <v>531</v>
      </c>
      <c r="F112" t="s">
        <v>72</v>
      </c>
      <c r="G112">
        <v>1.1299999999999999</v>
      </c>
      <c r="H112">
        <v>6.77</v>
      </c>
      <c r="I112">
        <v>0</v>
      </c>
      <c r="J112">
        <v>0</v>
      </c>
      <c r="K112">
        <v>7.91</v>
      </c>
      <c r="L112" t="s">
        <v>61</v>
      </c>
      <c r="M112">
        <v>388</v>
      </c>
      <c r="N112">
        <v>49.08</v>
      </c>
      <c r="O112" t="s">
        <v>62</v>
      </c>
      <c r="P112" t="s">
        <v>65</v>
      </c>
      <c r="Q112">
        <v>0</v>
      </c>
      <c r="R112">
        <v>0</v>
      </c>
    </row>
    <row r="113" spans="1:18" x14ac:dyDescent="0.35">
      <c r="A113" t="s">
        <v>56</v>
      </c>
      <c r="B113" t="s">
        <v>57</v>
      </c>
      <c r="C113" t="s">
        <v>70</v>
      </c>
      <c r="D113">
        <v>107232971</v>
      </c>
      <c r="E113" t="s">
        <v>531</v>
      </c>
      <c r="F113" t="s">
        <v>72</v>
      </c>
      <c r="G113">
        <v>1.1299999999999999</v>
      </c>
      <c r="H113">
        <v>6.77</v>
      </c>
      <c r="I113">
        <v>0</v>
      </c>
      <c r="J113">
        <v>0</v>
      </c>
      <c r="K113">
        <v>7.91</v>
      </c>
      <c r="L113" t="s">
        <v>61</v>
      </c>
      <c r="M113">
        <v>388</v>
      </c>
      <c r="N113">
        <v>49.08</v>
      </c>
      <c r="O113" t="s">
        <v>62</v>
      </c>
      <c r="P113" t="s">
        <v>66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107232971</v>
      </c>
      <c r="E114" t="s">
        <v>531</v>
      </c>
      <c r="F114" t="s">
        <v>72</v>
      </c>
      <c r="G114">
        <v>1.1299999999999999</v>
      </c>
      <c r="H114">
        <v>6.77</v>
      </c>
      <c r="I114">
        <v>0</v>
      </c>
      <c r="J114">
        <v>0</v>
      </c>
      <c r="K114">
        <v>7.91</v>
      </c>
      <c r="L114" t="s">
        <v>61</v>
      </c>
      <c r="M114">
        <v>388</v>
      </c>
      <c r="N114">
        <v>49.08</v>
      </c>
      <c r="O114" t="s">
        <v>62</v>
      </c>
      <c r="P114" t="s">
        <v>67</v>
      </c>
      <c r="Q114">
        <v>2775</v>
      </c>
      <c r="R114">
        <v>350.99</v>
      </c>
    </row>
    <row r="115" spans="1:18" x14ac:dyDescent="0.35">
      <c r="A115" t="s">
        <v>56</v>
      </c>
      <c r="B115" t="s">
        <v>57</v>
      </c>
      <c r="C115" t="s">
        <v>70</v>
      </c>
      <c r="D115">
        <v>107232971</v>
      </c>
      <c r="E115" t="s">
        <v>531</v>
      </c>
      <c r="F115" t="s">
        <v>72</v>
      </c>
      <c r="G115">
        <v>1.1299999999999999</v>
      </c>
      <c r="H115">
        <v>6.77</v>
      </c>
      <c r="I115">
        <v>0</v>
      </c>
      <c r="J115">
        <v>0</v>
      </c>
      <c r="K115">
        <v>7.91</v>
      </c>
      <c r="L115" t="s">
        <v>61</v>
      </c>
      <c r="M115">
        <v>388</v>
      </c>
      <c r="N115">
        <v>49.08</v>
      </c>
      <c r="O115" t="s">
        <v>68</v>
      </c>
      <c r="P115" t="s">
        <v>67</v>
      </c>
      <c r="Q115">
        <v>388</v>
      </c>
      <c r="R115">
        <v>49.08</v>
      </c>
    </row>
    <row r="116" spans="1:18" x14ac:dyDescent="0.35">
      <c r="A116" t="s">
        <v>56</v>
      </c>
      <c r="B116" t="s">
        <v>57</v>
      </c>
      <c r="C116" t="s">
        <v>70</v>
      </c>
      <c r="D116">
        <v>107233200</v>
      </c>
      <c r="E116" t="s">
        <v>533</v>
      </c>
      <c r="F116" t="s">
        <v>72</v>
      </c>
      <c r="G116">
        <v>0.25</v>
      </c>
      <c r="H116">
        <v>7.85</v>
      </c>
      <c r="I116">
        <v>0</v>
      </c>
      <c r="J116">
        <v>0</v>
      </c>
      <c r="K116">
        <v>8.11</v>
      </c>
      <c r="L116" t="s">
        <v>61</v>
      </c>
      <c r="M116">
        <v>439</v>
      </c>
      <c r="N116">
        <v>54.15</v>
      </c>
      <c r="O116" t="s">
        <v>62</v>
      </c>
      <c r="P116" t="s">
        <v>63</v>
      </c>
      <c r="Q116">
        <v>330</v>
      </c>
      <c r="R116">
        <v>1295.53</v>
      </c>
    </row>
    <row r="117" spans="1:18" x14ac:dyDescent="0.35">
      <c r="A117" t="s">
        <v>56</v>
      </c>
      <c r="B117" t="s">
        <v>57</v>
      </c>
      <c r="C117" t="s">
        <v>70</v>
      </c>
      <c r="D117">
        <v>107233200</v>
      </c>
      <c r="E117" t="s">
        <v>533</v>
      </c>
      <c r="F117" t="s">
        <v>72</v>
      </c>
      <c r="G117">
        <v>0.25</v>
      </c>
      <c r="H117">
        <v>7.85</v>
      </c>
      <c r="I117">
        <v>0</v>
      </c>
      <c r="J117">
        <v>0</v>
      </c>
      <c r="K117">
        <v>8.11</v>
      </c>
      <c r="L117" t="s">
        <v>61</v>
      </c>
      <c r="M117">
        <v>439</v>
      </c>
      <c r="N117">
        <v>54.15</v>
      </c>
      <c r="O117" t="s">
        <v>62</v>
      </c>
      <c r="P117" t="s">
        <v>64</v>
      </c>
      <c r="Q117">
        <v>1859</v>
      </c>
      <c r="R117">
        <v>236.77</v>
      </c>
    </row>
    <row r="118" spans="1:18" x14ac:dyDescent="0.35">
      <c r="A118" t="s">
        <v>56</v>
      </c>
      <c r="B118" t="s">
        <v>57</v>
      </c>
      <c r="C118" t="s">
        <v>70</v>
      </c>
      <c r="D118">
        <v>107233200</v>
      </c>
      <c r="E118" t="s">
        <v>533</v>
      </c>
      <c r="F118" t="s">
        <v>72</v>
      </c>
      <c r="G118">
        <v>0.25</v>
      </c>
      <c r="H118">
        <v>7.85</v>
      </c>
      <c r="I118">
        <v>0</v>
      </c>
      <c r="J118">
        <v>0</v>
      </c>
      <c r="K118">
        <v>8.11</v>
      </c>
      <c r="L118" t="s">
        <v>61</v>
      </c>
      <c r="M118">
        <v>439</v>
      </c>
      <c r="N118">
        <v>54.15</v>
      </c>
      <c r="O118" t="s">
        <v>62</v>
      </c>
      <c r="P118" t="s">
        <v>65</v>
      </c>
      <c r="Q118">
        <v>0</v>
      </c>
      <c r="R118">
        <v>0</v>
      </c>
    </row>
    <row r="119" spans="1:18" x14ac:dyDescent="0.35">
      <c r="A119" t="s">
        <v>56</v>
      </c>
      <c r="B119" t="s">
        <v>57</v>
      </c>
      <c r="C119" t="s">
        <v>70</v>
      </c>
      <c r="D119">
        <v>107233200</v>
      </c>
      <c r="E119" t="s">
        <v>533</v>
      </c>
      <c r="F119" t="s">
        <v>72</v>
      </c>
      <c r="G119">
        <v>0.25</v>
      </c>
      <c r="H119">
        <v>7.85</v>
      </c>
      <c r="I119">
        <v>0</v>
      </c>
      <c r="J119">
        <v>0</v>
      </c>
      <c r="K119">
        <v>8.11</v>
      </c>
      <c r="L119" t="s">
        <v>61</v>
      </c>
      <c r="M119">
        <v>439</v>
      </c>
      <c r="N119">
        <v>54.15</v>
      </c>
      <c r="O119" t="s">
        <v>62</v>
      </c>
      <c r="P119" t="s">
        <v>66</v>
      </c>
      <c r="Q119">
        <v>0</v>
      </c>
      <c r="R119">
        <v>0</v>
      </c>
    </row>
    <row r="120" spans="1:18" x14ac:dyDescent="0.35">
      <c r="A120" t="s">
        <v>56</v>
      </c>
      <c r="B120" t="s">
        <v>57</v>
      </c>
      <c r="C120" t="s">
        <v>70</v>
      </c>
      <c r="D120">
        <v>107233200</v>
      </c>
      <c r="E120" t="s">
        <v>533</v>
      </c>
      <c r="F120" t="s">
        <v>72</v>
      </c>
      <c r="G120">
        <v>0.25</v>
      </c>
      <c r="H120">
        <v>7.85</v>
      </c>
      <c r="I120">
        <v>0</v>
      </c>
      <c r="J120">
        <v>0</v>
      </c>
      <c r="K120">
        <v>8.11</v>
      </c>
      <c r="L120" t="s">
        <v>61</v>
      </c>
      <c r="M120">
        <v>439</v>
      </c>
      <c r="N120">
        <v>54.15</v>
      </c>
      <c r="O120" t="s">
        <v>62</v>
      </c>
      <c r="P120" t="s">
        <v>67</v>
      </c>
      <c r="Q120">
        <v>2189</v>
      </c>
      <c r="R120">
        <v>270.02</v>
      </c>
    </row>
    <row r="121" spans="1:18" x14ac:dyDescent="0.35">
      <c r="A121" t="s">
        <v>56</v>
      </c>
      <c r="B121" t="s">
        <v>57</v>
      </c>
      <c r="C121" t="s">
        <v>70</v>
      </c>
      <c r="D121">
        <v>107233200</v>
      </c>
      <c r="E121" t="s">
        <v>533</v>
      </c>
      <c r="F121" t="s">
        <v>72</v>
      </c>
      <c r="G121">
        <v>0.25</v>
      </c>
      <c r="H121">
        <v>7.85</v>
      </c>
      <c r="I121">
        <v>0</v>
      </c>
      <c r="J121">
        <v>0</v>
      </c>
      <c r="K121">
        <v>8.11</v>
      </c>
      <c r="L121" t="s">
        <v>61</v>
      </c>
      <c r="M121">
        <v>439</v>
      </c>
      <c r="N121">
        <v>54.15</v>
      </c>
      <c r="O121" t="s">
        <v>68</v>
      </c>
      <c r="P121" t="s">
        <v>67</v>
      </c>
      <c r="Q121">
        <v>439</v>
      </c>
      <c r="R121">
        <v>54.15</v>
      </c>
    </row>
    <row r="122" spans="1:18" x14ac:dyDescent="0.35">
      <c r="A122" t="s">
        <v>56</v>
      </c>
      <c r="B122" t="s">
        <v>57</v>
      </c>
      <c r="C122" t="s">
        <v>70</v>
      </c>
      <c r="D122">
        <v>107284887</v>
      </c>
      <c r="E122" t="s">
        <v>578</v>
      </c>
      <c r="F122" t="s">
        <v>78</v>
      </c>
      <c r="G122">
        <v>0</v>
      </c>
      <c r="H122">
        <v>0.17</v>
      </c>
      <c r="I122">
        <v>0</v>
      </c>
      <c r="J122">
        <v>0</v>
      </c>
      <c r="K122">
        <v>0.17</v>
      </c>
      <c r="L122" t="s">
        <v>61</v>
      </c>
      <c r="M122">
        <v>10</v>
      </c>
      <c r="N122">
        <v>59.6</v>
      </c>
      <c r="O122" t="s">
        <v>62</v>
      </c>
      <c r="P122" t="s">
        <v>63</v>
      </c>
      <c r="Q122">
        <v>0</v>
      </c>
      <c r="R122">
        <v>0</v>
      </c>
    </row>
    <row r="123" spans="1:18" x14ac:dyDescent="0.35">
      <c r="A123" t="s">
        <v>56</v>
      </c>
      <c r="B123" t="s">
        <v>57</v>
      </c>
      <c r="C123" t="s">
        <v>70</v>
      </c>
      <c r="D123">
        <v>107284887</v>
      </c>
      <c r="E123" t="s">
        <v>578</v>
      </c>
      <c r="F123" t="s">
        <v>78</v>
      </c>
      <c r="G123">
        <v>0</v>
      </c>
      <c r="H123">
        <v>0.17</v>
      </c>
      <c r="I123">
        <v>0</v>
      </c>
      <c r="J123">
        <v>0</v>
      </c>
      <c r="K123">
        <v>0.17</v>
      </c>
      <c r="L123" t="s">
        <v>61</v>
      </c>
      <c r="M123">
        <v>10</v>
      </c>
      <c r="N123">
        <v>59.6</v>
      </c>
      <c r="O123" t="s">
        <v>62</v>
      </c>
      <c r="P123" t="s">
        <v>64</v>
      </c>
      <c r="Q123">
        <v>14</v>
      </c>
      <c r="R123">
        <v>83.44</v>
      </c>
    </row>
    <row r="124" spans="1:18" x14ac:dyDescent="0.35">
      <c r="A124" t="s">
        <v>56</v>
      </c>
      <c r="B124" t="s">
        <v>57</v>
      </c>
      <c r="C124" t="s">
        <v>70</v>
      </c>
      <c r="D124">
        <v>107284887</v>
      </c>
      <c r="E124" t="s">
        <v>578</v>
      </c>
      <c r="F124" t="s">
        <v>78</v>
      </c>
      <c r="G124">
        <v>0</v>
      </c>
      <c r="H124">
        <v>0.17</v>
      </c>
      <c r="I124">
        <v>0</v>
      </c>
      <c r="J124">
        <v>0</v>
      </c>
      <c r="K124">
        <v>0.17</v>
      </c>
      <c r="L124" t="s">
        <v>61</v>
      </c>
      <c r="M124">
        <v>10</v>
      </c>
      <c r="N124">
        <v>59.6</v>
      </c>
      <c r="O124" t="s">
        <v>62</v>
      </c>
      <c r="P124" t="s">
        <v>65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107284887</v>
      </c>
      <c r="E125" t="s">
        <v>578</v>
      </c>
      <c r="F125" t="s">
        <v>78</v>
      </c>
      <c r="G125">
        <v>0</v>
      </c>
      <c r="H125">
        <v>0.17</v>
      </c>
      <c r="I125">
        <v>0</v>
      </c>
      <c r="J125">
        <v>0</v>
      </c>
      <c r="K125">
        <v>0.17</v>
      </c>
      <c r="L125" t="s">
        <v>61</v>
      </c>
      <c r="M125">
        <v>10</v>
      </c>
      <c r="N125">
        <v>59.6</v>
      </c>
      <c r="O125" t="s">
        <v>62</v>
      </c>
      <c r="P125" t="s">
        <v>66</v>
      </c>
      <c r="Q125">
        <v>0</v>
      </c>
      <c r="R125">
        <v>0</v>
      </c>
    </row>
    <row r="126" spans="1:18" x14ac:dyDescent="0.35">
      <c r="A126" t="s">
        <v>56</v>
      </c>
      <c r="B126" t="s">
        <v>57</v>
      </c>
      <c r="C126" t="s">
        <v>70</v>
      </c>
      <c r="D126">
        <v>107284887</v>
      </c>
      <c r="E126" t="s">
        <v>578</v>
      </c>
      <c r="F126" t="s">
        <v>78</v>
      </c>
      <c r="G126">
        <v>0</v>
      </c>
      <c r="H126">
        <v>0.17</v>
      </c>
      <c r="I126">
        <v>0</v>
      </c>
      <c r="J126">
        <v>0</v>
      </c>
      <c r="K126">
        <v>0.17</v>
      </c>
      <c r="L126" t="s">
        <v>61</v>
      </c>
      <c r="M126">
        <v>10</v>
      </c>
      <c r="N126">
        <v>59.6</v>
      </c>
      <c r="O126" t="s">
        <v>62</v>
      </c>
      <c r="P126" t="s">
        <v>67</v>
      </c>
      <c r="Q126">
        <v>14</v>
      </c>
      <c r="R126">
        <v>83.44</v>
      </c>
    </row>
    <row r="127" spans="1:18" x14ac:dyDescent="0.35">
      <c r="A127" t="s">
        <v>56</v>
      </c>
      <c r="B127" t="s">
        <v>57</v>
      </c>
      <c r="C127" t="s">
        <v>70</v>
      </c>
      <c r="D127">
        <v>107284887</v>
      </c>
      <c r="E127" t="s">
        <v>578</v>
      </c>
      <c r="F127" t="s">
        <v>78</v>
      </c>
      <c r="G127">
        <v>0</v>
      </c>
      <c r="H127">
        <v>0.17</v>
      </c>
      <c r="I127">
        <v>0</v>
      </c>
      <c r="J127">
        <v>0</v>
      </c>
      <c r="K127">
        <v>0.17</v>
      </c>
      <c r="L127" t="s">
        <v>61</v>
      </c>
      <c r="M127">
        <v>10</v>
      </c>
      <c r="N127">
        <v>59.6</v>
      </c>
      <c r="O127" t="s">
        <v>68</v>
      </c>
      <c r="P127" t="s">
        <v>67</v>
      </c>
      <c r="Q127">
        <v>10</v>
      </c>
      <c r="R127">
        <v>59.6</v>
      </c>
    </row>
    <row r="128" spans="1:18" x14ac:dyDescent="0.35">
      <c r="A128" t="s">
        <v>56</v>
      </c>
      <c r="B128" t="s">
        <v>57</v>
      </c>
      <c r="C128" t="s">
        <v>70</v>
      </c>
      <c r="D128">
        <v>107674648</v>
      </c>
      <c r="E128" t="s">
        <v>92</v>
      </c>
      <c r="F128" t="s">
        <v>72</v>
      </c>
      <c r="G128">
        <v>0.21</v>
      </c>
      <c r="H128">
        <v>7.72</v>
      </c>
      <c r="I128">
        <v>0</v>
      </c>
      <c r="J128">
        <v>0</v>
      </c>
      <c r="K128">
        <v>7.94</v>
      </c>
      <c r="L128" t="s">
        <v>61</v>
      </c>
      <c r="M128">
        <v>293</v>
      </c>
      <c r="N128">
        <v>36.92</v>
      </c>
      <c r="O128" t="s">
        <v>62</v>
      </c>
      <c r="P128" t="s">
        <v>63</v>
      </c>
      <c r="Q128">
        <v>217</v>
      </c>
      <c r="R128">
        <v>1010.61</v>
      </c>
    </row>
    <row r="129" spans="1:18" x14ac:dyDescent="0.35">
      <c r="A129" t="s">
        <v>56</v>
      </c>
      <c r="B129" t="s">
        <v>57</v>
      </c>
      <c r="C129" t="s">
        <v>70</v>
      </c>
      <c r="D129">
        <v>107674648</v>
      </c>
      <c r="E129" t="s">
        <v>92</v>
      </c>
      <c r="F129" t="s">
        <v>72</v>
      </c>
      <c r="G129">
        <v>0.21</v>
      </c>
      <c r="H129">
        <v>7.72</v>
      </c>
      <c r="I129">
        <v>0</v>
      </c>
      <c r="J129">
        <v>0</v>
      </c>
      <c r="K129">
        <v>7.94</v>
      </c>
      <c r="L129" t="s">
        <v>61</v>
      </c>
      <c r="M129">
        <v>293</v>
      </c>
      <c r="N129">
        <v>36.92</v>
      </c>
      <c r="O129" t="s">
        <v>62</v>
      </c>
      <c r="P129" t="s">
        <v>64</v>
      </c>
      <c r="Q129">
        <v>1426</v>
      </c>
      <c r="R129">
        <v>184.68</v>
      </c>
    </row>
    <row r="130" spans="1:18" x14ac:dyDescent="0.35">
      <c r="A130" t="s">
        <v>56</v>
      </c>
      <c r="B130" t="s">
        <v>57</v>
      </c>
      <c r="C130" t="s">
        <v>70</v>
      </c>
      <c r="D130">
        <v>107674648</v>
      </c>
      <c r="E130" t="s">
        <v>92</v>
      </c>
      <c r="F130" t="s">
        <v>72</v>
      </c>
      <c r="G130">
        <v>0.21</v>
      </c>
      <c r="H130">
        <v>7.72</v>
      </c>
      <c r="I130">
        <v>0</v>
      </c>
      <c r="J130">
        <v>0</v>
      </c>
      <c r="K130">
        <v>7.94</v>
      </c>
      <c r="L130" t="s">
        <v>61</v>
      </c>
      <c r="M130">
        <v>293</v>
      </c>
      <c r="N130">
        <v>36.92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107674648</v>
      </c>
      <c r="E131" t="s">
        <v>92</v>
      </c>
      <c r="F131" t="s">
        <v>72</v>
      </c>
      <c r="G131">
        <v>0.21</v>
      </c>
      <c r="H131">
        <v>7.72</v>
      </c>
      <c r="I131">
        <v>0</v>
      </c>
      <c r="J131">
        <v>0</v>
      </c>
      <c r="K131">
        <v>7.94</v>
      </c>
      <c r="L131" t="s">
        <v>61</v>
      </c>
      <c r="M131">
        <v>293</v>
      </c>
      <c r="N131">
        <v>36.92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107674648</v>
      </c>
      <c r="E132" t="s">
        <v>92</v>
      </c>
      <c r="F132" t="s">
        <v>72</v>
      </c>
      <c r="G132">
        <v>0.21</v>
      </c>
      <c r="H132">
        <v>7.72</v>
      </c>
      <c r="I132">
        <v>0</v>
      </c>
      <c r="J132">
        <v>0</v>
      </c>
      <c r="K132">
        <v>7.94</v>
      </c>
      <c r="L132" t="s">
        <v>61</v>
      </c>
      <c r="M132">
        <v>293</v>
      </c>
      <c r="N132">
        <v>36.92</v>
      </c>
      <c r="O132" t="s">
        <v>62</v>
      </c>
      <c r="P132" t="s">
        <v>67</v>
      </c>
      <c r="Q132">
        <v>1643</v>
      </c>
      <c r="R132">
        <v>207.02</v>
      </c>
    </row>
    <row r="133" spans="1:18" x14ac:dyDescent="0.35">
      <c r="A133" t="s">
        <v>56</v>
      </c>
      <c r="B133" t="s">
        <v>57</v>
      </c>
      <c r="C133" t="s">
        <v>70</v>
      </c>
      <c r="D133">
        <v>107674648</v>
      </c>
      <c r="E133" t="s">
        <v>92</v>
      </c>
      <c r="F133" t="s">
        <v>72</v>
      </c>
      <c r="G133">
        <v>0.21</v>
      </c>
      <c r="H133">
        <v>7.72</v>
      </c>
      <c r="I133">
        <v>0</v>
      </c>
      <c r="J133">
        <v>0</v>
      </c>
      <c r="K133">
        <v>7.94</v>
      </c>
      <c r="L133" t="s">
        <v>61</v>
      </c>
      <c r="M133">
        <v>293</v>
      </c>
      <c r="N133">
        <v>36.92</v>
      </c>
      <c r="O133" t="s">
        <v>68</v>
      </c>
      <c r="P133" t="s">
        <v>67</v>
      </c>
      <c r="Q133">
        <v>293</v>
      </c>
      <c r="R133">
        <v>36.92</v>
      </c>
    </row>
    <row r="134" spans="1:18" x14ac:dyDescent="0.35">
      <c r="A134" t="s">
        <v>56</v>
      </c>
      <c r="B134" t="s">
        <v>57</v>
      </c>
      <c r="C134" t="s">
        <v>58</v>
      </c>
      <c r="D134">
        <v>107704604</v>
      </c>
      <c r="E134" t="s">
        <v>93</v>
      </c>
      <c r="F134" t="s">
        <v>72</v>
      </c>
      <c r="G134">
        <v>0.34</v>
      </c>
      <c r="H134">
        <v>9.66</v>
      </c>
      <c r="I134">
        <v>0</v>
      </c>
      <c r="J134">
        <v>0</v>
      </c>
      <c r="K134">
        <v>10</v>
      </c>
      <c r="L134" t="s">
        <v>61</v>
      </c>
      <c r="M134">
        <v>604</v>
      </c>
      <c r="N134">
        <v>60.4</v>
      </c>
      <c r="O134" t="s">
        <v>62</v>
      </c>
      <c r="P134" t="s">
        <v>63</v>
      </c>
      <c r="Q134">
        <v>366</v>
      </c>
      <c r="R134">
        <v>1091.6300000000001</v>
      </c>
    </row>
    <row r="135" spans="1:18" x14ac:dyDescent="0.35">
      <c r="A135" t="s">
        <v>56</v>
      </c>
      <c r="B135" t="s">
        <v>57</v>
      </c>
      <c r="C135" t="s">
        <v>58</v>
      </c>
      <c r="D135">
        <v>107704604</v>
      </c>
      <c r="E135" t="s">
        <v>93</v>
      </c>
      <c r="F135" t="s">
        <v>72</v>
      </c>
      <c r="G135">
        <v>0.34</v>
      </c>
      <c r="H135">
        <v>9.66</v>
      </c>
      <c r="I135">
        <v>0</v>
      </c>
      <c r="J135">
        <v>0</v>
      </c>
      <c r="K135">
        <v>10</v>
      </c>
      <c r="L135" t="s">
        <v>61</v>
      </c>
      <c r="M135">
        <v>604</v>
      </c>
      <c r="N135">
        <v>60.4</v>
      </c>
      <c r="O135" t="s">
        <v>62</v>
      </c>
      <c r="P135" t="s">
        <v>64</v>
      </c>
      <c r="Q135">
        <v>1929</v>
      </c>
      <c r="R135">
        <v>199.6</v>
      </c>
    </row>
    <row r="136" spans="1:18" x14ac:dyDescent="0.35">
      <c r="A136" t="s">
        <v>56</v>
      </c>
      <c r="B136" t="s">
        <v>57</v>
      </c>
      <c r="C136" t="s">
        <v>58</v>
      </c>
      <c r="D136">
        <v>107704604</v>
      </c>
      <c r="E136" t="s">
        <v>93</v>
      </c>
      <c r="F136" t="s">
        <v>72</v>
      </c>
      <c r="G136">
        <v>0.34</v>
      </c>
      <c r="H136">
        <v>9.66</v>
      </c>
      <c r="I136">
        <v>0</v>
      </c>
      <c r="J136">
        <v>0</v>
      </c>
      <c r="K136">
        <v>10</v>
      </c>
      <c r="L136" t="s">
        <v>61</v>
      </c>
      <c r="M136">
        <v>604</v>
      </c>
      <c r="N136">
        <v>60.4</v>
      </c>
      <c r="O136" t="s">
        <v>62</v>
      </c>
      <c r="P136" t="s">
        <v>65</v>
      </c>
      <c r="Q136">
        <v>0</v>
      </c>
      <c r="R136">
        <v>0</v>
      </c>
    </row>
    <row r="137" spans="1:18" x14ac:dyDescent="0.35">
      <c r="A137" t="s">
        <v>56</v>
      </c>
      <c r="B137" t="s">
        <v>57</v>
      </c>
      <c r="C137" t="s">
        <v>58</v>
      </c>
      <c r="D137">
        <v>107704604</v>
      </c>
      <c r="E137" t="s">
        <v>93</v>
      </c>
      <c r="F137" t="s">
        <v>72</v>
      </c>
      <c r="G137">
        <v>0.34</v>
      </c>
      <c r="H137">
        <v>9.66</v>
      </c>
      <c r="I137">
        <v>0</v>
      </c>
      <c r="J137">
        <v>0</v>
      </c>
      <c r="K137">
        <v>10</v>
      </c>
      <c r="L137" t="s">
        <v>61</v>
      </c>
      <c r="M137">
        <v>604</v>
      </c>
      <c r="N137">
        <v>60.4</v>
      </c>
      <c r="O137" t="s">
        <v>62</v>
      </c>
      <c r="P137" t="s">
        <v>66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58</v>
      </c>
      <c r="D138">
        <v>107704604</v>
      </c>
      <c r="E138" t="s">
        <v>93</v>
      </c>
      <c r="F138" t="s">
        <v>72</v>
      </c>
      <c r="G138">
        <v>0.34</v>
      </c>
      <c r="H138">
        <v>9.66</v>
      </c>
      <c r="I138">
        <v>0</v>
      </c>
      <c r="J138">
        <v>0</v>
      </c>
      <c r="K138">
        <v>10</v>
      </c>
      <c r="L138" t="s">
        <v>61</v>
      </c>
      <c r="M138">
        <v>604</v>
      </c>
      <c r="N138">
        <v>60.4</v>
      </c>
      <c r="O138" t="s">
        <v>62</v>
      </c>
      <c r="P138" t="s">
        <v>67</v>
      </c>
      <c r="Q138">
        <v>2295</v>
      </c>
      <c r="R138">
        <v>229.5</v>
      </c>
    </row>
    <row r="139" spans="1:18" x14ac:dyDescent="0.35">
      <c r="A139" t="s">
        <v>56</v>
      </c>
      <c r="B139" t="s">
        <v>57</v>
      </c>
      <c r="C139" t="s">
        <v>58</v>
      </c>
      <c r="D139">
        <v>107704604</v>
      </c>
      <c r="E139" t="s">
        <v>93</v>
      </c>
      <c r="F139" t="s">
        <v>72</v>
      </c>
      <c r="G139">
        <v>0.34</v>
      </c>
      <c r="H139">
        <v>9.66</v>
      </c>
      <c r="I139">
        <v>0</v>
      </c>
      <c r="J139">
        <v>0</v>
      </c>
      <c r="K139">
        <v>10</v>
      </c>
      <c r="L139" t="s">
        <v>61</v>
      </c>
      <c r="M139">
        <v>604</v>
      </c>
      <c r="N139">
        <v>60.4</v>
      </c>
      <c r="O139" t="s">
        <v>68</v>
      </c>
      <c r="P139" t="s">
        <v>67</v>
      </c>
      <c r="Q139">
        <v>604</v>
      </c>
      <c r="R139">
        <v>60.4</v>
      </c>
    </row>
    <row r="140" spans="1:18" x14ac:dyDescent="0.35">
      <c r="A140" t="s">
        <v>56</v>
      </c>
      <c r="B140" t="s">
        <v>57</v>
      </c>
      <c r="C140" t="s">
        <v>58</v>
      </c>
      <c r="D140">
        <v>107775413</v>
      </c>
      <c r="E140" t="s">
        <v>98</v>
      </c>
      <c r="F140" t="s">
        <v>72</v>
      </c>
      <c r="G140">
        <v>0.37</v>
      </c>
      <c r="H140">
        <v>7.23</v>
      </c>
      <c r="I140">
        <v>0</v>
      </c>
      <c r="J140">
        <v>0</v>
      </c>
      <c r="K140">
        <v>7.6</v>
      </c>
      <c r="L140" t="s">
        <v>61</v>
      </c>
      <c r="M140">
        <v>272</v>
      </c>
      <c r="N140">
        <v>35.799999999999997</v>
      </c>
      <c r="O140" t="s">
        <v>62</v>
      </c>
      <c r="P140" t="s">
        <v>63</v>
      </c>
      <c r="Q140">
        <v>234</v>
      </c>
      <c r="R140">
        <v>629.13</v>
      </c>
    </row>
    <row r="141" spans="1:18" x14ac:dyDescent="0.35">
      <c r="A141" t="s">
        <v>56</v>
      </c>
      <c r="B141" t="s">
        <v>57</v>
      </c>
      <c r="C141" t="s">
        <v>58</v>
      </c>
      <c r="D141">
        <v>107775413</v>
      </c>
      <c r="E141" t="s">
        <v>98</v>
      </c>
      <c r="F141" t="s">
        <v>72</v>
      </c>
      <c r="G141">
        <v>0.37</v>
      </c>
      <c r="H141">
        <v>7.23</v>
      </c>
      <c r="I141">
        <v>0</v>
      </c>
      <c r="J141">
        <v>0</v>
      </c>
      <c r="K141">
        <v>7.6</v>
      </c>
      <c r="L141" t="s">
        <v>61</v>
      </c>
      <c r="M141">
        <v>272</v>
      </c>
      <c r="N141">
        <v>35.799999999999997</v>
      </c>
      <c r="O141" t="s">
        <v>62</v>
      </c>
      <c r="P141" t="s">
        <v>64</v>
      </c>
      <c r="Q141">
        <v>831</v>
      </c>
      <c r="R141">
        <v>115</v>
      </c>
    </row>
    <row r="142" spans="1:18" x14ac:dyDescent="0.35">
      <c r="A142" t="s">
        <v>56</v>
      </c>
      <c r="B142" t="s">
        <v>57</v>
      </c>
      <c r="C142" t="s">
        <v>58</v>
      </c>
      <c r="D142">
        <v>107775413</v>
      </c>
      <c r="E142" t="s">
        <v>98</v>
      </c>
      <c r="F142" t="s">
        <v>72</v>
      </c>
      <c r="G142">
        <v>0.37</v>
      </c>
      <c r="H142">
        <v>7.23</v>
      </c>
      <c r="I142">
        <v>0</v>
      </c>
      <c r="J142">
        <v>0</v>
      </c>
      <c r="K142">
        <v>7.6</v>
      </c>
      <c r="L142" t="s">
        <v>61</v>
      </c>
      <c r="M142">
        <v>272</v>
      </c>
      <c r="N142">
        <v>35.799999999999997</v>
      </c>
      <c r="O142" t="s">
        <v>62</v>
      </c>
      <c r="P142" t="s">
        <v>65</v>
      </c>
      <c r="Q142">
        <v>0</v>
      </c>
      <c r="R142">
        <v>0</v>
      </c>
    </row>
    <row r="143" spans="1:18" x14ac:dyDescent="0.35">
      <c r="A143" t="s">
        <v>56</v>
      </c>
      <c r="B143" t="s">
        <v>57</v>
      </c>
      <c r="C143" t="s">
        <v>58</v>
      </c>
      <c r="D143">
        <v>107775413</v>
      </c>
      <c r="E143" t="s">
        <v>98</v>
      </c>
      <c r="F143" t="s">
        <v>72</v>
      </c>
      <c r="G143">
        <v>0.37</v>
      </c>
      <c r="H143">
        <v>7.23</v>
      </c>
      <c r="I143">
        <v>0</v>
      </c>
      <c r="J143">
        <v>0</v>
      </c>
      <c r="K143">
        <v>7.6</v>
      </c>
      <c r="L143" t="s">
        <v>61</v>
      </c>
      <c r="M143">
        <v>272</v>
      </c>
      <c r="N143">
        <v>35.799999999999997</v>
      </c>
      <c r="O143" t="s">
        <v>62</v>
      </c>
      <c r="P143" t="s">
        <v>66</v>
      </c>
      <c r="Q143">
        <v>0</v>
      </c>
      <c r="R143">
        <v>0</v>
      </c>
    </row>
    <row r="144" spans="1:18" x14ac:dyDescent="0.35">
      <c r="A144" t="s">
        <v>56</v>
      </c>
      <c r="B144" t="s">
        <v>57</v>
      </c>
      <c r="C144" t="s">
        <v>58</v>
      </c>
      <c r="D144">
        <v>107775413</v>
      </c>
      <c r="E144" t="s">
        <v>98</v>
      </c>
      <c r="F144" t="s">
        <v>72</v>
      </c>
      <c r="G144">
        <v>0.37</v>
      </c>
      <c r="H144">
        <v>7.23</v>
      </c>
      <c r="I144">
        <v>0</v>
      </c>
      <c r="J144">
        <v>0</v>
      </c>
      <c r="K144">
        <v>7.6</v>
      </c>
      <c r="L144" t="s">
        <v>61</v>
      </c>
      <c r="M144">
        <v>272</v>
      </c>
      <c r="N144">
        <v>35.799999999999997</v>
      </c>
      <c r="O144" t="s">
        <v>62</v>
      </c>
      <c r="P144" t="s">
        <v>67</v>
      </c>
      <c r="Q144">
        <v>1065</v>
      </c>
      <c r="R144">
        <v>140.16</v>
      </c>
    </row>
    <row r="145" spans="1:18" x14ac:dyDescent="0.35">
      <c r="A145" t="s">
        <v>56</v>
      </c>
      <c r="B145" t="s">
        <v>57</v>
      </c>
      <c r="C145" t="s">
        <v>58</v>
      </c>
      <c r="D145">
        <v>107775413</v>
      </c>
      <c r="E145" t="s">
        <v>98</v>
      </c>
      <c r="F145" t="s">
        <v>72</v>
      </c>
      <c r="G145">
        <v>0.37</v>
      </c>
      <c r="H145">
        <v>7.23</v>
      </c>
      <c r="I145">
        <v>0</v>
      </c>
      <c r="J145">
        <v>0</v>
      </c>
      <c r="K145">
        <v>7.6</v>
      </c>
      <c r="L145" t="s">
        <v>61</v>
      </c>
      <c r="M145">
        <v>272</v>
      </c>
      <c r="N145">
        <v>35.799999999999997</v>
      </c>
      <c r="O145" t="s">
        <v>68</v>
      </c>
      <c r="P145" t="s">
        <v>67</v>
      </c>
      <c r="Q145">
        <v>272</v>
      </c>
      <c r="R145">
        <v>35.799999999999997</v>
      </c>
    </row>
    <row r="146" spans="1:18" x14ac:dyDescent="0.35">
      <c r="A146" t="s">
        <v>56</v>
      </c>
      <c r="B146" t="s">
        <v>57</v>
      </c>
      <c r="C146" t="s">
        <v>70</v>
      </c>
      <c r="D146">
        <v>107775521</v>
      </c>
      <c r="E146" t="s">
        <v>99</v>
      </c>
      <c r="F146" t="s">
        <v>72</v>
      </c>
      <c r="G146">
        <v>0.16</v>
      </c>
      <c r="H146">
        <v>6.33</v>
      </c>
      <c r="I146">
        <v>0</v>
      </c>
      <c r="J146">
        <v>0</v>
      </c>
      <c r="K146">
        <v>6.49</v>
      </c>
      <c r="L146" t="s">
        <v>61</v>
      </c>
      <c r="M146">
        <v>258</v>
      </c>
      <c r="N146">
        <v>39.729999999999997</v>
      </c>
      <c r="O146" t="s">
        <v>62</v>
      </c>
      <c r="P146" t="s">
        <v>63</v>
      </c>
      <c r="Q146">
        <v>174</v>
      </c>
      <c r="R146">
        <v>1087.5</v>
      </c>
    </row>
    <row r="147" spans="1:18" x14ac:dyDescent="0.35">
      <c r="A147" t="s">
        <v>56</v>
      </c>
      <c r="B147" t="s">
        <v>57</v>
      </c>
      <c r="C147" t="s">
        <v>70</v>
      </c>
      <c r="D147">
        <v>107775521</v>
      </c>
      <c r="E147" t="s">
        <v>99</v>
      </c>
      <c r="F147" t="s">
        <v>72</v>
      </c>
      <c r="G147">
        <v>0.16</v>
      </c>
      <c r="H147">
        <v>6.33</v>
      </c>
      <c r="I147">
        <v>0</v>
      </c>
      <c r="J147">
        <v>0</v>
      </c>
      <c r="K147">
        <v>6.49</v>
      </c>
      <c r="L147" t="s">
        <v>61</v>
      </c>
      <c r="M147">
        <v>258</v>
      </c>
      <c r="N147">
        <v>39.729999999999997</v>
      </c>
      <c r="O147" t="s">
        <v>62</v>
      </c>
      <c r="P147" t="s">
        <v>64</v>
      </c>
      <c r="Q147">
        <v>1258</v>
      </c>
      <c r="R147">
        <v>198.61</v>
      </c>
    </row>
    <row r="148" spans="1:18" x14ac:dyDescent="0.35">
      <c r="A148" t="s">
        <v>56</v>
      </c>
      <c r="B148" t="s">
        <v>57</v>
      </c>
      <c r="C148" t="s">
        <v>70</v>
      </c>
      <c r="D148">
        <v>107775521</v>
      </c>
      <c r="E148" t="s">
        <v>99</v>
      </c>
      <c r="F148" t="s">
        <v>72</v>
      </c>
      <c r="G148">
        <v>0.16</v>
      </c>
      <c r="H148">
        <v>6.33</v>
      </c>
      <c r="I148">
        <v>0</v>
      </c>
      <c r="J148">
        <v>0</v>
      </c>
      <c r="K148">
        <v>6.49</v>
      </c>
      <c r="L148" t="s">
        <v>61</v>
      </c>
      <c r="M148">
        <v>258</v>
      </c>
      <c r="N148">
        <v>39.729999999999997</v>
      </c>
      <c r="O148" t="s">
        <v>62</v>
      </c>
      <c r="P148" t="s">
        <v>65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107775521</v>
      </c>
      <c r="E149" t="s">
        <v>99</v>
      </c>
      <c r="F149" t="s">
        <v>72</v>
      </c>
      <c r="G149">
        <v>0.16</v>
      </c>
      <c r="H149">
        <v>6.33</v>
      </c>
      <c r="I149">
        <v>0</v>
      </c>
      <c r="J149">
        <v>0</v>
      </c>
      <c r="K149">
        <v>6.49</v>
      </c>
      <c r="L149" t="s">
        <v>61</v>
      </c>
      <c r="M149">
        <v>258</v>
      </c>
      <c r="N149">
        <v>39.729999999999997</v>
      </c>
      <c r="O149" t="s">
        <v>62</v>
      </c>
      <c r="P149" t="s">
        <v>66</v>
      </c>
      <c r="Q149">
        <v>0</v>
      </c>
      <c r="R149">
        <v>0</v>
      </c>
    </row>
    <row r="150" spans="1:18" x14ac:dyDescent="0.35">
      <c r="A150" t="s">
        <v>56</v>
      </c>
      <c r="B150" t="s">
        <v>57</v>
      </c>
      <c r="C150" t="s">
        <v>70</v>
      </c>
      <c r="D150">
        <v>107775521</v>
      </c>
      <c r="E150" t="s">
        <v>99</v>
      </c>
      <c r="F150" t="s">
        <v>72</v>
      </c>
      <c r="G150">
        <v>0.16</v>
      </c>
      <c r="H150">
        <v>6.33</v>
      </c>
      <c r="I150">
        <v>0</v>
      </c>
      <c r="J150">
        <v>0</v>
      </c>
      <c r="K150">
        <v>6.49</v>
      </c>
      <c r="L150" t="s">
        <v>61</v>
      </c>
      <c r="M150">
        <v>258</v>
      </c>
      <c r="N150">
        <v>39.729999999999997</v>
      </c>
      <c r="O150" t="s">
        <v>62</v>
      </c>
      <c r="P150" t="s">
        <v>67</v>
      </c>
      <c r="Q150">
        <v>1432</v>
      </c>
      <c r="R150">
        <v>220.5</v>
      </c>
    </row>
    <row r="151" spans="1:18" x14ac:dyDescent="0.35">
      <c r="A151" t="s">
        <v>56</v>
      </c>
      <c r="B151" t="s">
        <v>57</v>
      </c>
      <c r="C151" t="s">
        <v>70</v>
      </c>
      <c r="D151">
        <v>107775521</v>
      </c>
      <c r="E151" t="s">
        <v>99</v>
      </c>
      <c r="F151" t="s">
        <v>72</v>
      </c>
      <c r="G151">
        <v>0.16</v>
      </c>
      <c r="H151">
        <v>6.33</v>
      </c>
      <c r="I151">
        <v>0</v>
      </c>
      <c r="J151">
        <v>0</v>
      </c>
      <c r="K151">
        <v>6.49</v>
      </c>
      <c r="L151" t="s">
        <v>61</v>
      </c>
      <c r="M151">
        <v>258</v>
      </c>
      <c r="N151">
        <v>39.729999999999997</v>
      </c>
      <c r="O151" t="s">
        <v>68</v>
      </c>
      <c r="P151" t="s">
        <v>67</v>
      </c>
      <c r="Q151">
        <v>258</v>
      </c>
      <c r="R151">
        <v>39.729999999999997</v>
      </c>
    </row>
    <row r="152" spans="1:18" x14ac:dyDescent="0.35">
      <c r="A152" t="s">
        <v>56</v>
      </c>
      <c r="B152" t="s">
        <v>57</v>
      </c>
      <c r="C152" t="s">
        <v>70</v>
      </c>
      <c r="D152">
        <v>107775986</v>
      </c>
      <c r="E152" t="s">
        <v>100</v>
      </c>
      <c r="F152" t="s">
        <v>72</v>
      </c>
      <c r="G152">
        <v>0.76</v>
      </c>
      <c r="H152">
        <v>7.78</v>
      </c>
      <c r="I152">
        <v>0</v>
      </c>
      <c r="J152">
        <v>0</v>
      </c>
      <c r="K152">
        <v>8.5399999999999991</v>
      </c>
      <c r="L152" t="s">
        <v>61</v>
      </c>
      <c r="M152">
        <v>488</v>
      </c>
      <c r="N152">
        <v>57.16</v>
      </c>
      <c r="O152" t="s">
        <v>62</v>
      </c>
      <c r="P152" t="s">
        <v>63</v>
      </c>
      <c r="Q152">
        <v>1898</v>
      </c>
      <c r="R152">
        <v>2513.91</v>
      </c>
    </row>
    <row r="153" spans="1:18" x14ac:dyDescent="0.35">
      <c r="A153" t="s">
        <v>56</v>
      </c>
      <c r="B153" t="s">
        <v>57</v>
      </c>
      <c r="C153" t="s">
        <v>70</v>
      </c>
      <c r="D153">
        <v>107775986</v>
      </c>
      <c r="E153" t="s">
        <v>100</v>
      </c>
      <c r="F153" t="s">
        <v>72</v>
      </c>
      <c r="G153">
        <v>0.76</v>
      </c>
      <c r="H153">
        <v>7.78</v>
      </c>
      <c r="I153">
        <v>0</v>
      </c>
      <c r="J153">
        <v>0</v>
      </c>
      <c r="K153">
        <v>8.5399999999999991</v>
      </c>
      <c r="L153" t="s">
        <v>61</v>
      </c>
      <c r="M153">
        <v>488</v>
      </c>
      <c r="N153">
        <v>57.16</v>
      </c>
      <c r="O153" t="s">
        <v>62</v>
      </c>
      <c r="P153" t="s">
        <v>64</v>
      </c>
      <c r="Q153">
        <v>3576</v>
      </c>
      <c r="R153">
        <v>459.53</v>
      </c>
    </row>
    <row r="154" spans="1:18" x14ac:dyDescent="0.35">
      <c r="A154" t="s">
        <v>56</v>
      </c>
      <c r="B154" t="s">
        <v>57</v>
      </c>
      <c r="C154" t="s">
        <v>70</v>
      </c>
      <c r="D154">
        <v>107775986</v>
      </c>
      <c r="E154" t="s">
        <v>100</v>
      </c>
      <c r="F154" t="s">
        <v>72</v>
      </c>
      <c r="G154">
        <v>0.76</v>
      </c>
      <c r="H154">
        <v>7.78</v>
      </c>
      <c r="I154">
        <v>0</v>
      </c>
      <c r="J154">
        <v>0</v>
      </c>
      <c r="K154">
        <v>8.5399999999999991</v>
      </c>
      <c r="L154" t="s">
        <v>61</v>
      </c>
      <c r="M154">
        <v>488</v>
      </c>
      <c r="N154">
        <v>57.16</v>
      </c>
      <c r="O154" t="s">
        <v>62</v>
      </c>
      <c r="P154" t="s">
        <v>65</v>
      </c>
      <c r="Q154">
        <v>0</v>
      </c>
      <c r="R154">
        <v>0</v>
      </c>
    </row>
    <row r="155" spans="1:18" x14ac:dyDescent="0.35">
      <c r="A155" t="s">
        <v>56</v>
      </c>
      <c r="B155" t="s">
        <v>57</v>
      </c>
      <c r="C155" t="s">
        <v>70</v>
      </c>
      <c r="D155">
        <v>107775986</v>
      </c>
      <c r="E155" t="s">
        <v>100</v>
      </c>
      <c r="F155" t="s">
        <v>72</v>
      </c>
      <c r="G155">
        <v>0.76</v>
      </c>
      <c r="H155">
        <v>7.78</v>
      </c>
      <c r="I155">
        <v>0</v>
      </c>
      <c r="J155">
        <v>0</v>
      </c>
      <c r="K155">
        <v>8.5399999999999991</v>
      </c>
      <c r="L155" t="s">
        <v>61</v>
      </c>
      <c r="M155">
        <v>488</v>
      </c>
      <c r="N155">
        <v>57.16</v>
      </c>
      <c r="O155" t="s">
        <v>62</v>
      </c>
      <c r="P155" t="s">
        <v>66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107775986</v>
      </c>
      <c r="E156" t="s">
        <v>100</v>
      </c>
      <c r="F156" t="s">
        <v>72</v>
      </c>
      <c r="G156">
        <v>0.76</v>
      </c>
      <c r="H156">
        <v>7.78</v>
      </c>
      <c r="I156">
        <v>0</v>
      </c>
      <c r="J156">
        <v>0</v>
      </c>
      <c r="K156">
        <v>8.5399999999999991</v>
      </c>
      <c r="L156" t="s">
        <v>61</v>
      </c>
      <c r="M156">
        <v>488</v>
      </c>
      <c r="N156">
        <v>57.16</v>
      </c>
      <c r="O156" t="s">
        <v>62</v>
      </c>
      <c r="P156" t="s">
        <v>67</v>
      </c>
      <c r="Q156">
        <v>5474</v>
      </c>
      <c r="R156">
        <v>641.19000000000005</v>
      </c>
    </row>
    <row r="157" spans="1:18" x14ac:dyDescent="0.35">
      <c r="A157" t="s">
        <v>56</v>
      </c>
      <c r="B157" t="s">
        <v>57</v>
      </c>
      <c r="C157" t="s">
        <v>70</v>
      </c>
      <c r="D157">
        <v>107775986</v>
      </c>
      <c r="E157" t="s">
        <v>100</v>
      </c>
      <c r="F157" t="s">
        <v>72</v>
      </c>
      <c r="G157">
        <v>0.76</v>
      </c>
      <c r="H157">
        <v>7.78</v>
      </c>
      <c r="I157">
        <v>0</v>
      </c>
      <c r="J157">
        <v>0</v>
      </c>
      <c r="K157">
        <v>8.5399999999999991</v>
      </c>
      <c r="L157" t="s">
        <v>61</v>
      </c>
      <c r="M157">
        <v>488</v>
      </c>
      <c r="N157">
        <v>57.16</v>
      </c>
      <c r="O157" t="s">
        <v>68</v>
      </c>
      <c r="P157" t="s">
        <v>67</v>
      </c>
      <c r="Q157">
        <v>488</v>
      </c>
      <c r="R157">
        <v>57.16</v>
      </c>
    </row>
    <row r="158" spans="1:18" x14ac:dyDescent="0.35">
      <c r="A158" t="s">
        <v>56</v>
      </c>
      <c r="B158" t="s">
        <v>57</v>
      </c>
      <c r="C158" t="s">
        <v>70</v>
      </c>
      <c r="D158">
        <v>107791373</v>
      </c>
      <c r="E158" t="s">
        <v>554</v>
      </c>
      <c r="F158" t="s">
        <v>72</v>
      </c>
      <c r="G158">
        <v>0.3</v>
      </c>
      <c r="H158">
        <v>9.6999999999999993</v>
      </c>
      <c r="I158">
        <v>0</v>
      </c>
      <c r="J158">
        <v>0</v>
      </c>
      <c r="K158">
        <v>10</v>
      </c>
      <c r="L158" t="s">
        <v>61</v>
      </c>
      <c r="M158">
        <v>530</v>
      </c>
      <c r="N158">
        <v>53</v>
      </c>
      <c r="O158" t="s">
        <v>62</v>
      </c>
      <c r="P158" t="s">
        <v>63</v>
      </c>
      <c r="Q158">
        <v>320</v>
      </c>
      <c r="R158">
        <v>1064.7</v>
      </c>
    </row>
    <row r="159" spans="1:18" x14ac:dyDescent="0.35">
      <c r="A159" t="s">
        <v>56</v>
      </c>
      <c r="B159" t="s">
        <v>57</v>
      </c>
      <c r="C159" t="s">
        <v>70</v>
      </c>
      <c r="D159">
        <v>107791373</v>
      </c>
      <c r="E159" t="s">
        <v>554</v>
      </c>
      <c r="F159" t="s">
        <v>72</v>
      </c>
      <c r="G159">
        <v>0.3</v>
      </c>
      <c r="H159">
        <v>9.6999999999999993</v>
      </c>
      <c r="I159">
        <v>0</v>
      </c>
      <c r="J159">
        <v>0</v>
      </c>
      <c r="K159">
        <v>10</v>
      </c>
      <c r="L159" t="s">
        <v>61</v>
      </c>
      <c r="M159">
        <v>530</v>
      </c>
      <c r="N159">
        <v>53</v>
      </c>
      <c r="O159" t="s">
        <v>62</v>
      </c>
      <c r="P159" t="s">
        <v>64</v>
      </c>
      <c r="Q159">
        <v>1887</v>
      </c>
      <c r="R159">
        <v>194.55</v>
      </c>
    </row>
    <row r="160" spans="1:18" x14ac:dyDescent="0.35">
      <c r="A160" t="s">
        <v>56</v>
      </c>
      <c r="B160" t="s">
        <v>57</v>
      </c>
      <c r="C160" t="s">
        <v>70</v>
      </c>
      <c r="D160">
        <v>107791373</v>
      </c>
      <c r="E160" t="s">
        <v>554</v>
      </c>
      <c r="F160" t="s">
        <v>72</v>
      </c>
      <c r="G160">
        <v>0.3</v>
      </c>
      <c r="H160">
        <v>9.6999999999999993</v>
      </c>
      <c r="I160">
        <v>0</v>
      </c>
      <c r="J160">
        <v>0</v>
      </c>
      <c r="K160">
        <v>10</v>
      </c>
      <c r="L160" t="s">
        <v>61</v>
      </c>
      <c r="M160">
        <v>530</v>
      </c>
      <c r="N160">
        <v>53</v>
      </c>
      <c r="O160" t="s">
        <v>62</v>
      </c>
      <c r="P160" t="s">
        <v>65</v>
      </c>
      <c r="Q160">
        <v>0</v>
      </c>
      <c r="R160">
        <v>0</v>
      </c>
    </row>
    <row r="161" spans="1:18" x14ac:dyDescent="0.35">
      <c r="A161" t="s">
        <v>56</v>
      </c>
      <c r="B161" t="s">
        <v>57</v>
      </c>
      <c r="C161" t="s">
        <v>70</v>
      </c>
      <c r="D161">
        <v>107791373</v>
      </c>
      <c r="E161" t="s">
        <v>554</v>
      </c>
      <c r="F161" t="s">
        <v>72</v>
      </c>
      <c r="G161">
        <v>0.3</v>
      </c>
      <c r="H161">
        <v>9.6999999999999993</v>
      </c>
      <c r="I161">
        <v>0</v>
      </c>
      <c r="J161">
        <v>0</v>
      </c>
      <c r="K161">
        <v>10</v>
      </c>
      <c r="L161" t="s">
        <v>61</v>
      </c>
      <c r="M161">
        <v>530</v>
      </c>
      <c r="N161">
        <v>53</v>
      </c>
      <c r="O161" t="s">
        <v>62</v>
      </c>
      <c r="P161" t="s">
        <v>66</v>
      </c>
      <c r="Q161">
        <v>0</v>
      </c>
      <c r="R161">
        <v>0</v>
      </c>
    </row>
    <row r="162" spans="1:18" x14ac:dyDescent="0.35">
      <c r="A162" t="s">
        <v>56</v>
      </c>
      <c r="B162" t="s">
        <v>57</v>
      </c>
      <c r="C162" t="s">
        <v>70</v>
      </c>
      <c r="D162">
        <v>107791373</v>
      </c>
      <c r="E162" t="s">
        <v>554</v>
      </c>
      <c r="F162" t="s">
        <v>72</v>
      </c>
      <c r="G162">
        <v>0.3</v>
      </c>
      <c r="H162">
        <v>9.6999999999999993</v>
      </c>
      <c r="I162">
        <v>0</v>
      </c>
      <c r="J162">
        <v>0</v>
      </c>
      <c r="K162">
        <v>10</v>
      </c>
      <c r="L162" t="s">
        <v>61</v>
      </c>
      <c r="M162">
        <v>530</v>
      </c>
      <c r="N162">
        <v>53</v>
      </c>
      <c r="O162" t="s">
        <v>62</v>
      </c>
      <c r="P162" t="s">
        <v>67</v>
      </c>
      <c r="Q162">
        <v>2207</v>
      </c>
      <c r="R162">
        <v>220.7</v>
      </c>
    </row>
    <row r="163" spans="1:18" x14ac:dyDescent="0.35">
      <c r="A163" t="s">
        <v>56</v>
      </c>
      <c r="B163" t="s">
        <v>57</v>
      </c>
      <c r="C163" t="s">
        <v>70</v>
      </c>
      <c r="D163">
        <v>107791373</v>
      </c>
      <c r="E163" t="s">
        <v>554</v>
      </c>
      <c r="F163" t="s">
        <v>72</v>
      </c>
      <c r="G163">
        <v>0.3</v>
      </c>
      <c r="H163">
        <v>9.6999999999999993</v>
      </c>
      <c r="I163">
        <v>0</v>
      </c>
      <c r="J163">
        <v>0</v>
      </c>
      <c r="K163">
        <v>10</v>
      </c>
      <c r="L163" t="s">
        <v>61</v>
      </c>
      <c r="M163">
        <v>530</v>
      </c>
      <c r="N163">
        <v>53</v>
      </c>
      <c r="O163" t="s">
        <v>68</v>
      </c>
      <c r="P163" t="s">
        <v>67</v>
      </c>
      <c r="Q163">
        <v>530</v>
      </c>
      <c r="R163">
        <v>53</v>
      </c>
    </row>
    <row r="164" spans="1:18" x14ac:dyDescent="0.35">
      <c r="A164" t="s">
        <v>56</v>
      </c>
      <c r="B164" t="s">
        <v>57</v>
      </c>
      <c r="C164" t="s">
        <v>70</v>
      </c>
      <c r="D164">
        <v>107826180</v>
      </c>
      <c r="E164" t="s">
        <v>566</v>
      </c>
      <c r="F164" t="s">
        <v>60</v>
      </c>
      <c r="G164">
        <v>0.27</v>
      </c>
      <c r="H164">
        <v>9.98</v>
      </c>
      <c r="I164">
        <v>0</v>
      </c>
      <c r="J164">
        <v>0</v>
      </c>
      <c r="K164">
        <v>10.25</v>
      </c>
      <c r="L164" t="s">
        <v>61</v>
      </c>
      <c r="M164">
        <v>528</v>
      </c>
      <c r="N164">
        <v>51.51</v>
      </c>
      <c r="O164" t="s">
        <v>62</v>
      </c>
      <c r="P164" t="s">
        <v>63</v>
      </c>
      <c r="Q164">
        <v>316</v>
      </c>
      <c r="R164">
        <v>1154.92</v>
      </c>
    </row>
    <row r="165" spans="1:18" x14ac:dyDescent="0.35">
      <c r="A165" t="s">
        <v>56</v>
      </c>
      <c r="B165" t="s">
        <v>57</v>
      </c>
      <c r="C165" t="s">
        <v>70</v>
      </c>
      <c r="D165">
        <v>107826180</v>
      </c>
      <c r="E165" t="s">
        <v>566</v>
      </c>
      <c r="F165" t="s">
        <v>60</v>
      </c>
      <c r="G165">
        <v>0.27</v>
      </c>
      <c r="H165">
        <v>9.98</v>
      </c>
      <c r="I165">
        <v>0</v>
      </c>
      <c r="J165">
        <v>0</v>
      </c>
      <c r="K165">
        <v>10.25</v>
      </c>
      <c r="L165" t="s">
        <v>61</v>
      </c>
      <c r="M165">
        <v>528</v>
      </c>
      <c r="N165">
        <v>51.51</v>
      </c>
      <c r="O165" t="s">
        <v>62</v>
      </c>
      <c r="P165" t="s">
        <v>64</v>
      </c>
      <c r="Q165">
        <v>2106</v>
      </c>
      <c r="R165">
        <v>211.1</v>
      </c>
    </row>
    <row r="166" spans="1:18" x14ac:dyDescent="0.35">
      <c r="A166" t="s">
        <v>56</v>
      </c>
      <c r="B166" t="s">
        <v>57</v>
      </c>
      <c r="C166" t="s">
        <v>70</v>
      </c>
      <c r="D166">
        <v>107826180</v>
      </c>
      <c r="E166" t="s">
        <v>566</v>
      </c>
      <c r="F166" t="s">
        <v>60</v>
      </c>
      <c r="G166">
        <v>0.27</v>
      </c>
      <c r="H166">
        <v>9.98</v>
      </c>
      <c r="I166">
        <v>0</v>
      </c>
      <c r="J166">
        <v>0</v>
      </c>
      <c r="K166">
        <v>10.25</v>
      </c>
      <c r="L166" t="s">
        <v>61</v>
      </c>
      <c r="M166">
        <v>528</v>
      </c>
      <c r="N166">
        <v>51.51</v>
      </c>
      <c r="O166" t="s">
        <v>62</v>
      </c>
      <c r="P166" t="s">
        <v>65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107826180</v>
      </c>
      <c r="E167" t="s">
        <v>566</v>
      </c>
      <c r="F167" t="s">
        <v>60</v>
      </c>
      <c r="G167">
        <v>0.27</v>
      </c>
      <c r="H167">
        <v>9.98</v>
      </c>
      <c r="I167">
        <v>0</v>
      </c>
      <c r="J167">
        <v>0</v>
      </c>
      <c r="K167">
        <v>10.25</v>
      </c>
      <c r="L167" t="s">
        <v>61</v>
      </c>
      <c r="M167">
        <v>528</v>
      </c>
      <c r="N167">
        <v>51.51</v>
      </c>
      <c r="O167" t="s">
        <v>62</v>
      </c>
      <c r="P167" t="s">
        <v>66</v>
      </c>
      <c r="Q167">
        <v>0</v>
      </c>
      <c r="R167">
        <v>0</v>
      </c>
    </row>
    <row r="168" spans="1:18" x14ac:dyDescent="0.35">
      <c r="A168" t="s">
        <v>56</v>
      </c>
      <c r="B168" t="s">
        <v>57</v>
      </c>
      <c r="C168" t="s">
        <v>70</v>
      </c>
      <c r="D168">
        <v>107826180</v>
      </c>
      <c r="E168" t="s">
        <v>566</v>
      </c>
      <c r="F168" t="s">
        <v>60</v>
      </c>
      <c r="G168">
        <v>0.27</v>
      </c>
      <c r="H168">
        <v>9.98</v>
      </c>
      <c r="I168">
        <v>0</v>
      </c>
      <c r="J168">
        <v>0</v>
      </c>
      <c r="K168">
        <v>10.25</v>
      </c>
      <c r="L168" t="s">
        <v>61</v>
      </c>
      <c r="M168">
        <v>528</v>
      </c>
      <c r="N168">
        <v>51.51</v>
      </c>
      <c r="O168" t="s">
        <v>62</v>
      </c>
      <c r="P168" t="s">
        <v>67</v>
      </c>
      <c r="Q168">
        <v>2422</v>
      </c>
      <c r="R168">
        <v>236.29</v>
      </c>
    </row>
    <row r="169" spans="1:18" x14ac:dyDescent="0.35">
      <c r="A169" t="s">
        <v>56</v>
      </c>
      <c r="B169" t="s">
        <v>57</v>
      </c>
      <c r="C169" t="s">
        <v>70</v>
      </c>
      <c r="D169">
        <v>107826180</v>
      </c>
      <c r="E169" t="s">
        <v>566</v>
      </c>
      <c r="F169" t="s">
        <v>60</v>
      </c>
      <c r="G169">
        <v>0.27</v>
      </c>
      <c r="H169">
        <v>9.98</v>
      </c>
      <c r="I169">
        <v>0</v>
      </c>
      <c r="J169">
        <v>0</v>
      </c>
      <c r="K169">
        <v>10.25</v>
      </c>
      <c r="L169" t="s">
        <v>61</v>
      </c>
      <c r="M169">
        <v>528</v>
      </c>
      <c r="N169">
        <v>51.51</v>
      </c>
      <c r="O169" t="s">
        <v>68</v>
      </c>
      <c r="P169" t="s">
        <v>67</v>
      </c>
      <c r="Q169">
        <v>528</v>
      </c>
      <c r="R169">
        <v>51.51</v>
      </c>
    </row>
    <row r="170" spans="1:18" x14ac:dyDescent="0.35">
      <c r="A170" t="s">
        <v>56</v>
      </c>
      <c r="B170" t="s">
        <v>57</v>
      </c>
      <c r="C170" t="s">
        <v>70</v>
      </c>
      <c r="D170">
        <v>107843844</v>
      </c>
      <c r="E170" t="s">
        <v>542</v>
      </c>
      <c r="F170" t="s">
        <v>72</v>
      </c>
      <c r="G170">
        <v>0.57999999999999996</v>
      </c>
      <c r="H170">
        <v>9.42</v>
      </c>
      <c r="I170">
        <v>0</v>
      </c>
      <c r="J170">
        <v>0</v>
      </c>
      <c r="K170">
        <v>10</v>
      </c>
      <c r="L170" t="s">
        <v>61</v>
      </c>
      <c r="M170">
        <v>544</v>
      </c>
      <c r="N170">
        <v>54.4</v>
      </c>
      <c r="O170" t="s">
        <v>62</v>
      </c>
      <c r="P170" t="s">
        <v>63</v>
      </c>
      <c r="Q170">
        <v>913</v>
      </c>
      <c r="R170">
        <v>1563.65</v>
      </c>
    </row>
    <row r="171" spans="1:18" x14ac:dyDescent="0.35">
      <c r="A171" t="s">
        <v>56</v>
      </c>
      <c r="B171" t="s">
        <v>57</v>
      </c>
      <c r="C171" t="s">
        <v>70</v>
      </c>
      <c r="D171">
        <v>107843844</v>
      </c>
      <c r="E171" t="s">
        <v>542</v>
      </c>
      <c r="F171" t="s">
        <v>72</v>
      </c>
      <c r="G171">
        <v>0.57999999999999996</v>
      </c>
      <c r="H171">
        <v>9.42</v>
      </c>
      <c r="I171">
        <v>0</v>
      </c>
      <c r="J171">
        <v>0</v>
      </c>
      <c r="K171">
        <v>10</v>
      </c>
      <c r="L171" t="s">
        <v>61</v>
      </c>
      <c r="M171">
        <v>544</v>
      </c>
      <c r="N171">
        <v>54.4</v>
      </c>
      <c r="O171" t="s">
        <v>62</v>
      </c>
      <c r="P171" t="s">
        <v>64</v>
      </c>
      <c r="Q171">
        <v>2691</v>
      </c>
      <c r="R171">
        <v>285.8</v>
      </c>
    </row>
    <row r="172" spans="1:18" x14ac:dyDescent="0.35">
      <c r="A172" t="s">
        <v>56</v>
      </c>
      <c r="B172" t="s">
        <v>57</v>
      </c>
      <c r="C172" t="s">
        <v>70</v>
      </c>
      <c r="D172">
        <v>107843844</v>
      </c>
      <c r="E172" t="s">
        <v>542</v>
      </c>
      <c r="F172" t="s">
        <v>72</v>
      </c>
      <c r="G172">
        <v>0.57999999999999996</v>
      </c>
      <c r="H172">
        <v>9.42</v>
      </c>
      <c r="I172">
        <v>0</v>
      </c>
      <c r="J172">
        <v>0</v>
      </c>
      <c r="K172">
        <v>10</v>
      </c>
      <c r="L172" t="s">
        <v>61</v>
      </c>
      <c r="M172">
        <v>544</v>
      </c>
      <c r="N172">
        <v>54.4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107843844</v>
      </c>
      <c r="E173" t="s">
        <v>542</v>
      </c>
      <c r="F173" t="s">
        <v>72</v>
      </c>
      <c r="G173">
        <v>0.57999999999999996</v>
      </c>
      <c r="H173">
        <v>9.42</v>
      </c>
      <c r="I173">
        <v>0</v>
      </c>
      <c r="J173">
        <v>0</v>
      </c>
      <c r="K173">
        <v>10</v>
      </c>
      <c r="L173" t="s">
        <v>61</v>
      </c>
      <c r="M173">
        <v>544</v>
      </c>
      <c r="N173">
        <v>54.4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107843844</v>
      </c>
      <c r="E174" t="s">
        <v>542</v>
      </c>
      <c r="F174" t="s">
        <v>72</v>
      </c>
      <c r="G174">
        <v>0.57999999999999996</v>
      </c>
      <c r="H174">
        <v>9.42</v>
      </c>
      <c r="I174">
        <v>0</v>
      </c>
      <c r="J174">
        <v>0</v>
      </c>
      <c r="K174">
        <v>10</v>
      </c>
      <c r="L174" t="s">
        <v>61</v>
      </c>
      <c r="M174">
        <v>544</v>
      </c>
      <c r="N174">
        <v>54.4</v>
      </c>
      <c r="O174" t="s">
        <v>62</v>
      </c>
      <c r="P174" t="s">
        <v>67</v>
      </c>
      <c r="Q174">
        <v>3604</v>
      </c>
      <c r="R174">
        <v>360.4</v>
      </c>
    </row>
    <row r="175" spans="1:18" x14ac:dyDescent="0.35">
      <c r="A175" t="s">
        <v>56</v>
      </c>
      <c r="B175" t="s">
        <v>57</v>
      </c>
      <c r="C175" t="s">
        <v>70</v>
      </c>
      <c r="D175">
        <v>107843844</v>
      </c>
      <c r="E175" t="s">
        <v>542</v>
      </c>
      <c r="F175" t="s">
        <v>72</v>
      </c>
      <c r="G175">
        <v>0.57999999999999996</v>
      </c>
      <c r="H175">
        <v>9.42</v>
      </c>
      <c r="I175">
        <v>0</v>
      </c>
      <c r="J175">
        <v>0</v>
      </c>
      <c r="K175">
        <v>10</v>
      </c>
      <c r="L175" t="s">
        <v>61</v>
      </c>
      <c r="M175">
        <v>544</v>
      </c>
      <c r="N175">
        <v>54.4</v>
      </c>
      <c r="O175" t="s">
        <v>68</v>
      </c>
      <c r="P175" t="s">
        <v>67</v>
      </c>
      <c r="Q175">
        <v>544</v>
      </c>
      <c r="R175">
        <v>54.4</v>
      </c>
    </row>
    <row r="176" spans="1:18" x14ac:dyDescent="0.35">
      <c r="A176" t="s">
        <v>56</v>
      </c>
      <c r="B176" t="s">
        <v>57</v>
      </c>
      <c r="C176" t="s">
        <v>70</v>
      </c>
      <c r="D176">
        <v>107843876</v>
      </c>
      <c r="E176" t="s">
        <v>543</v>
      </c>
      <c r="F176" t="s">
        <v>72</v>
      </c>
      <c r="G176">
        <v>1.98</v>
      </c>
      <c r="H176">
        <v>8.02</v>
      </c>
      <c r="I176">
        <v>0</v>
      </c>
      <c r="J176">
        <v>0</v>
      </c>
      <c r="K176">
        <v>10</v>
      </c>
      <c r="L176" t="s">
        <v>61</v>
      </c>
      <c r="M176">
        <v>443</v>
      </c>
      <c r="N176">
        <v>44.3</v>
      </c>
      <c r="O176" t="s">
        <v>62</v>
      </c>
      <c r="P176" t="s">
        <v>63</v>
      </c>
      <c r="Q176">
        <v>2577</v>
      </c>
      <c r="R176">
        <v>1302.79</v>
      </c>
    </row>
    <row r="177" spans="1:18" x14ac:dyDescent="0.35">
      <c r="A177" t="s">
        <v>56</v>
      </c>
      <c r="B177" t="s">
        <v>57</v>
      </c>
      <c r="C177" t="s">
        <v>70</v>
      </c>
      <c r="D177">
        <v>107843876</v>
      </c>
      <c r="E177" t="s">
        <v>543</v>
      </c>
      <c r="F177" t="s">
        <v>72</v>
      </c>
      <c r="G177">
        <v>1.98</v>
      </c>
      <c r="H177">
        <v>8.02</v>
      </c>
      <c r="I177">
        <v>0</v>
      </c>
      <c r="J177">
        <v>0</v>
      </c>
      <c r="K177">
        <v>10</v>
      </c>
      <c r="L177" t="s">
        <v>61</v>
      </c>
      <c r="M177">
        <v>443</v>
      </c>
      <c r="N177">
        <v>44.3</v>
      </c>
      <c r="O177" t="s">
        <v>62</v>
      </c>
      <c r="P177" t="s">
        <v>64</v>
      </c>
      <c r="Q177">
        <v>1911</v>
      </c>
      <c r="R177">
        <v>238.23</v>
      </c>
    </row>
    <row r="178" spans="1:18" x14ac:dyDescent="0.35">
      <c r="A178" t="s">
        <v>56</v>
      </c>
      <c r="B178" t="s">
        <v>57</v>
      </c>
      <c r="C178" t="s">
        <v>70</v>
      </c>
      <c r="D178">
        <v>107843876</v>
      </c>
      <c r="E178" t="s">
        <v>543</v>
      </c>
      <c r="F178" t="s">
        <v>72</v>
      </c>
      <c r="G178">
        <v>1.98</v>
      </c>
      <c r="H178">
        <v>8.02</v>
      </c>
      <c r="I178">
        <v>0</v>
      </c>
      <c r="J178">
        <v>0</v>
      </c>
      <c r="K178">
        <v>10</v>
      </c>
      <c r="L178" t="s">
        <v>61</v>
      </c>
      <c r="M178">
        <v>443</v>
      </c>
      <c r="N178">
        <v>44.3</v>
      </c>
      <c r="O178" t="s">
        <v>62</v>
      </c>
      <c r="P178" t="s">
        <v>65</v>
      </c>
      <c r="Q178">
        <v>0</v>
      </c>
      <c r="R178">
        <v>0</v>
      </c>
    </row>
    <row r="179" spans="1:18" x14ac:dyDescent="0.35">
      <c r="A179" t="s">
        <v>56</v>
      </c>
      <c r="B179" t="s">
        <v>57</v>
      </c>
      <c r="C179" t="s">
        <v>70</v>
      </c>
      <c r="D179">
        <v>107843876</v>
      </c>
      <c r="E179" t="s">
        <v>543</v>
      </c>
      <c r="F179" t="s">
        <v>72</v>
      </c>
      <c r="G179">
        <v>1.98</v>
      </c>
      <c r="H179">
        <v>8.02</v>
      </c>
      <c r="I179">
        <v>0</v>
      </c>
      <c r="J179">
        <v>0</v>
      </c>
      <c r="K179">
        <v>10</v>
      </c>
      <c r="L179" t="s">
        <v>61</v>
      </c>
      <c r="M179">
        <v>443</v>
      </c>
      <c r="N179">
        <v>44.3</v>
      </c>
      <c r="O179" t="s">
        <v>62</v>
      </c>
      <c r="P179" t="s">
        <v>66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107843876</v>
      </c>
      <c r="E180" t="s">
        <v>543</v>
      </c>
      <c r="F180" t="s">
        <v>72</v>
      </c>
      <c r="G180">
        <v>1.98</v>
      </c>
      <c r="H180">
        <v>8.02</v>
      </c>
      <c r="I180">
        <v>0</v>
      </c>
      <c r="J180">
        <v>0</v>
      </c>
      <c r="K180">
        <v>10</v>
      </c>
      <c r="L180" t="s">
        <v>61</v>
      </c>
      <c r="M180">
        <v>443</v>
      </c>
      <c r="N180">
        <v>44.3</v>
      </c>
      <c r="O180" t="s">
        <v>62</v>
      </c>
      <c r="P180" t="s">
        <v>67</v>
      </c>
      <c r="Q180">
        <v>4488</v>
      </c>
      <c r="R180">
        <v>448.8</v>
      </c>
    </row>
    <row r="181" spans="1:18" x14ac:dyDescent="0.35">
      <c r="A181" t="s">
        <v>56</v>
      </c>
      <c r="B181" t="s">
        <v>57</v>
      </c>
      <c r="C181" t="s">
        <v>70</v>
      </c>
      <c r="D181">
        <v>107843876</v>
      </c>
      <c r="E181" t="s">
        <v>543</v>
      </c>
      <c r="F181" t="s">
        <v>72</v>
      </c>
      <c r="G181">
        <v>1.98</v>
      </c>
      <c r="H181">
        <v>8.02</v>
      </c>
      <c r="I181">
        <v>0</v>
      </c>
      <c r="J181">
        <v>0</v>
      </c>
      <c r="K181">
        <v>10</v>
      </c>
      <c r="L181" t="s">
        <v>61</v>
      </c>
      <c r="M181">
        <v>443</v>
      </c>
      <c r="N181">
        <v>44.3</v>
      </c>
      <c r="O181" t="s">
        <v>68</v>
      </c>
      <c r="P181" t="s">
        <v>67</v>
      </c>
      <c r="Q181">
        <v>443</v>
      </c>
      <c r="R181">
        <v>44.3</v>
      </c>
    </row>
    <row r="182" spans="1:18" x14ac:dyDescent="0.35">
      <c r="A182" t="s">
        <v>56</v>
      </c>
      <c r="B182" t="s">
        <v>57</v>
      </c>
      <c r="C182" t="s">
        <v>70</v>
      </c>
      <c r="D182">
        <v>107843891</v>
      </c>
      <c r="E182" t="s">
        <v>544</v>
      </c>
      <c r="F182" t="s">
        <v>72</v>
      </c>
      <c r="G182">
        <v>0.98</v>
      </c>
      <c r="H182">
        <v>9.2100000000000009</v>
      </c>
      <c r="I182">
        <v>0.01</v>
      </c>
      <c r="J182">
        <v>0</v>
      </c>
      <c r="K182">
        <v>10.199999999999999</v>
      </c>
      <c r="L182" t="s">
        <v>61</v>
      </c>
      <c r="M182">
        <v>434</v>
      </c>
      <c r="N182">
        <v>42.55</v>
      </c>
      <c r="O182" t="s">
        <v>62</v>
      </c>
      <c r="P182" t="s">
        <v>63</v>
      </c>
      <c r="Q182">
        <v>1590</v>
      </c>
      <c r="R182">
        <v>1629.84</v>
      </c>
    </row>
    <row r="183" spans="1:18" x14ac:dyDescent="0.35">
      <c r="A183" t="s">
        <v>56</v>
      </c>
      <c r="B183" t="s">
        <v>57</v>
      </c>
      <c r="C183" t="s">
        <v>70</v>
      </c>
      <c r="D183">
        <v>107843891</v>
      </c>
      <c r="E183" t="s">
        <v>544</v>
      </c>
      <c r="F183" t="s">
        <v>72</v>
      </c>
      <c r="G183">
        <v>0.98</v>
      </c>
      <c r="H183">
        <v>9.2100000000000009</v>
      </c>
      <c r="I183">
        <v>0.01</v>
      </c>
      <c r="J183">
        <v>0</v>
      </c>
      <c r="K183">
        <v>10.199999999999999</v>
      </c>
      <c r="L183" t="s">
        <v>61</v>
      </c>
      <c r="M183">
        <v>434</v>
      </c>
      <c r="N183">
        <v>42.55</v>
      </c>
      <c r="O183" t="s">
        <v>62</v>
      </c>
      <c r="P183" t="s">
        <v>64</v>
      </c>
      <c r="Q183">
        <v>2744</v>
      </c>
      <c r="R183">
        <v>297.95999999999998</v>
      </c>
    </row>
    <row r="184" spans="1:18" x14ac:dyDescent="0.35">
      <c r="A184" t="s">
        <v>56</v>
      </c>
      <c r="B184" t="s">
        <v>57</v>
      </c>
      <c r="C184" t="s">
        <v>70</v>
      </c>
      <c r="D184">
        <v>107843891</v>
      </c>
      <c r="E184" t="s">
        <v>544</v>
      </c>
      <c r="F184" t="s">
        <v>72</v>
      </c>
      <c r="G184">
        <v>0.98</v>
      </c>
      <c r="H184">
        <v>9.2100000000000009</v>
      </c>
      <c r="I184">
        <v>0.01</v>
      </c>
      <c r="J184">
        <v>0</v>
      </c>
      <c r="K184">
        <v>10.199999999999999</v>
      </c>
      <c r="L184" t="s">
        <v>61</v>
      </c>
      <c r="M184">
        <v>434</v>
      </c>
      <c r="N184">
        <v>42.55</v>
      </c>
      <c r="O184" t="s">
        <v>62</v>
      </c>
      <c r="P184" t="s">
        <v>65</v>
      </c>
      <c r="Q184">
        <v>5</v>
      </c>
      <c r="R184">
        <v>339.62</v>
      </c>
    </row>
    <row r="185" spans="1:18" x14ac:dyDescent="0.35">
      <c r="A185" t="s">
        <v>56</v>
      </c>
      <c r="B185" t="s">
        <v>57</v>
      </c>
      <c r="C185" t="s">
        <v>70</v>
      </c>
      <c r="D185">
        <v>107843891</v>
      </c>
      <c r="E185" t="s">
        <v>544</v>
      </c>
      <c r="F185" t="s">
        <v>72</v>
      </c>
      <c r="G185">
        <v>0.98</v>
      </c>
      <c r="H185">
        <v>9.2100000000000009</v>
      </c>
      <c r="I185">
        <v>0.01</v>
      </c>
      <c r="J185">
        <v>0</v>
      </c>
      <c r="K185">
        <v>10.199999999999999</v>
      </c>
      <c r="L185" t="s">
        <v>61</v>
      </c>
      <c r="M185">
        <v>434</v>
      </c>
      <c r="N185">
        <v>42.55</v>
      </c>
      <c r="O185" t="s">
        <v>62</v>
      </c>
      <c r="P185" t="s">
        <v>66</v>
      </c>
      <c r="Q185">
        <v>0</v>
      </c>
      <c r="R185">
        <v>0</v>
      </c>
    </row>
    <row r="186" spans="1:18" x14ac:dyDescent="0.35">
      <c r="A186" t="s">
        <v>56</v>
      </c>
      <c r="B186" t="s">
        <v>57</v>
      </c>
      <c r="C186" t="s">
        <v>70</v>
      </c>
      <c r="D186">
        <v>107843891</v>
      </c>
      <c r="E186" t="s">
        <v>544</v>
      </c>
      <c r="F186" t="s">
        <v>72</v>
      </c>
      <c r="G186">
        <v>0.98</v>
      </c>
      <c r="H186">
        <v>9.2100000000000009</v>
      </c>
      <c r="I186">
        <v>0.01</v>
      </c>
      <c r="J186">
        <v>0</v>
      </c>
      <c r="K186">
        <v>10.199999999999999</v>
      </c>
      <c r="L186" t="s">
        <v>61</v>
      </c>
      <c r="M186">
        <v>434</v>
      </c>
      <c r="N186">
        <v>42.55</v>
      </c>
      <c r="O186" t="s">
        <v>62</v>
      </c>
      <c r="P186" t="s">
        <v>67</v>
      </c>
      <c r="Q186">
        <v>4339</v>
      </c>
      <c r="R186">
        <v>425.39</v>
      </c>
    </row>
    <row r="187" spans="1:18" x14ac:dyDescent="0.35">
      <c r="A187" t="s">
        <v>56</v>
      </c>
      <c r="B187" t="s">
        <v>57</v>
      </c>
      <c r="C187" t="s">
        <v>70</v>
      </c>
      <c r="D187">
        <v>107843891</v>
      </c>
      <c r="E187" t="s">
        <v>544</v>
      </c>
      <c r="F187" t="s">
        <v>72</v>
      </c>
      <c r="G187">
        <v>0.98</v>
      </c>
      <c r="H187">
        <v>9.2100000000000009</v>
      </c>
      <c r="I187">
        <v>0.01</v>
      </c>
      <c r="J187">
        <v>0</v>
      </c>
      <c r="K187">
        <v>10.199999999999999</v>
      </c>
      <c r="L187" t="s">
        <v>61</v>
      </c>
      <c r="M187">
        <v>434</v>
      </c>
      <c r="N187">
        <v>42.55</v>
      </c>
      <c r="O187" t="s">
        <v>68</v>
      </c>
      <c r="P187" t="s">
        <v>67</v>
      </c>
      <c r="Q187">
        <v>435</v>
      </c>
      <c r="R187">
        <v>42.65</v>
      </c>
    </row>
    <row r="188" spans="1:18" x14ac:dyDescent="0.35">
      <c r="A188" t="s">
        <v>56</v>
      </c>
      <c r="B188" t="s">
        <v>57</v>
      </c>
      <c r="C188" t="s">
        <v>70</v>
      </c>
      <c r="D188">
        <v>107844157</v>
      </c>
      <c r="E188" t="s">
        <v>545</v>
      </c>
      <c r="F188" t="s">
        <v>72</v>
      </c>
      <c r="G188">
        <v>0.46</v>
      </c>
      <c r="H188">
        <v>9.5399999999999991</v>
      </c>
      <c r="I188">
        <v>0</v>
      </c>
      <c r="J188">
        <v>0</v>
      </c>
      <c r="K188">
        <v>10</v>
      </c>
      <c r="L188" t="s">
        <v>61</v>
      </c>
      <c r="M188">
        <v>419</v>
      </c>
      <c r="N188">
        <v>41.9</v>
      </c>
      <c r="O188" t="s">
        <v>62</v>
      </c>
      <c r="P188" t="s">
        <v>63</v>
      </c>
      <c r="Q188">
        <v>435</v>
      </c>
      <c r="R188">
        <v>937.16</v>
      </c>
    </row>
    <row r="189" spans="1:18" x14ac:dyDescent="0.35">
      <c r="A189" t="s">
        <v>56</v>
      </c>
      <c r="B189" t="s">
        <v>57</v>
      </c>
      <c r="C189" t="s">
        <v>70</v>
      </c>
      <c r="D189">
        <v>107844157</v>
      </c>
      <c r="E189" t="s">
        <v>545</v>
      </c>
      <c r="F189" t="s">
        <v>72</v>
      </c>
      <c r="G189">
        <v>0.46</v>
      </c>
      <c r="H189">
        <v>9.5399999999999991</v>
      </c>
      <c r="I189">
        <v>0</v>
      </c>
      <c r="J189">
        <v>0</v>
      </c>
      <c r="K189">
        <v>10</v>
      </c>
      <c r="L189" t="s">
        <v>61</v>
      </c>
      <c r="M189">
        <v>419</v>
      </c>
      <c r="N189">
        <v>41.9</v>
      </c>
      <c r="O189" t="s">
        <v>62</v>
      </c>
      <c r="P189" t="s">
        <v>64</v>
      </c>
      <c r="Q189">
        <v>1634</v>
      </c>
      <c r="R189">
        <v>171.36</v>
      </c>
    </row>
    <row r="190" spans="1:18" x14ac:dyDescent="0.35">
      <c r="A190" t="s">
        <v>56</v>
      </c>
      <c r="B190" t="s">
        <v>57</v>
      </c>
      <c r="C190" t="s">
        <v>70</v>
      </c>
      <c r="D190">
        <v>107844157</v>
      </c>
      <c r="E190" t="s">
        <v>545</v>
      </c>
      <c r="F190" t="s">
        <v>72</v>
      </c>
      <c r="G190">
        <v>0.46</v>
      </c>
      <c r="H190">
        <v>9.5399999999999991</v>
      </c>
      <c r="I190">
        <v>0</v>
      </c>
      <c r="J190">
        <v>0</v>
      </c>
      <c r="K190">
        <v>10</v>
      </c>
      <c r="L190" t="s">
        <v>61</v>
      </c>
      <c r="M190">
        <v>419</v>
      </c>
      <c r="N190">
        <v>41.9</v>
      </c>
      <c r="O190" t="s">
        <v>62</v>
      </c>
      <c r="P190" t="s">
        <v>65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107844157</v>
      </c>
      <c r="E191" t="s">
        <v>545</v>
      </c>
      <c r="F191" t="s">
        <v>72</v>
      </c>
      <c r="G191">
        <v>0.46</v>
      </c>
      <c r="H191">
        <v>9.5399999999999991</v>
      </c>
      <c r="I191">
        <v>0</v>
      </c>
      <c r="J191">
        <v>0</v>
      </c>
      <c r="K191">
        <v>10</v>
      </c>
      <c r="L191" t="s">
        <v>61</v>
      </c>
      <c r="M191">
        <v>419</v>
      </c>
      <c r="N191">
        <v>41.9</v>
      </c>
      <c r="O191" t="s">
        <v>62</v>
      </c>
      <c r="P191" t="s">
        <v>66</v>
      </c>
      <c r="Q191">
        <v>0</v>
      </c>
      <c r="R191">
        <v>0</v>
      </c>
    </row>
    <row r="192" spans="1:18" x14ac:dyDescent="0.35">
      <c r="A192" t="s">
        <v>56</v>
      </c>
      <c r="B192" t="s">
        <v>57</v>
      </c>
      <c r="C192" t="s">
        <v>70</v>
      </c>
      <c r="D192">
        <v>107844157</v>
      </c>
      <c r="E192" t="s">
        <v>545</v>
      </c>
      <c r="F192" t="s">
        <v>72</v>
      </c>
      <c r="G192">
        <v>0.46</v>
      </c>
      <c r="H192">
        <v>9.5399999999999991</v>
      </c>
      <c r="I192">
        <v>0</v>
      </c>
      <c r="J192">
        <v>0</v>
      </c>
      <c r="K192">
        <v>10</v>
      </c>
      <c r="L192" t="s">
        <v>61</v>
      </c>
      <c r="M192">
        <v>419</v>
      </c>
      <c r="N192">
        <v>41.9</v>
      </c>
      <c r="O192" t="s">
        <v>62</v>
      </c>
      <c r="P192" t="s">
        <v>67</v>
      </c>
      <c r="Q192">
        <v>2069</v>
      </c>
      <c r="R192">
        <v>206.9</v>
      </c>
    </row>
    <row r="193" spans="1:18" x14ac:dyDescent="0.35">
      <c r="A193" t="s">
        <v>56</v>
      </c>
      <c r="B193" t="s">
        <v>57</v>
      </c>
      <c r="C193" t="s">
        <v>70</v>
      </c>
      <c r="D193">
        <v>107844157</v>
      </c>
      <c r="E193" t="s">
        <v>545</v>
      </c>
      <c r="F193" t="s">
        <v>72</v>
      </c>
      <c r="G193">
        <v>0.46</v>
      </c>
      <c r="H193">
        <v>9.5399999999999991</v>
      </c>
      <c r="I193">
        <v>0</v>
      </c>
      <c r="J193">
        <v>0</v>
      </c>
      <c r="K193">
        <v>10</v>
      </c>
      <c r="L193" t="s">
        <v>61</v>
      </c>
      <c r="M193">
        <v>419</v>
      </c>
      <c r="N193">
        <v>41.9</v>
      </c>
      <c r="O193" t="s">
        <v>68</v>
      </c>
      <c r="P193" t="s">
        <v>67</v>
      </c>
      <c r="Q193">
        <v>419</v>
      </c>
      <c r="R193">
        <v>41.9</v>
      </c>
    </row>
    <row r="194" spans="1:18" x14ac:dyDescent="0.35">
      <c r="A194" t="s">
        <v>56</v>
      </c>
      <c r="B194" t="s">
        <v>57</v>
      </c>
      <c r="C194" t="s">
        <v>70</v>
      </c>
      <c r="D194">
        <v>107844158</v>
      </c>
      <c r="E194" t="s">
        <v>546</v>
      </c>
      <c r="F194" t="s">
        <v>72</v>
      </c>
      <c r="G194">
        <v>0.4</v>
      </c>
      <c r="H194">
        <v>9.6</v>
      </c>
      <c r="I194">
        <v>0</v>
      </c>
      <c r="J194">
        <v>0</v>
      </c>
      <c r="K194">
        <v>10</v>
      </c>
      <c r="L194" t="s">
        <v>61</v>
      </c>
      <c r="M194">
        <v>504</v>
      </c>
      <c r="N194">
        <v>50.4</v>
      </c>
      <c r="O194" t="s">
        <v>62</v>
      </c>
      <c r="P194" t="s">
        <v>63</v>
      </c>
      <c r="Q194">
        <v>638</v>
      </c>
      <c r="R194">
        <v>1595</v>
      </c>
    </row>
    <row r="195" spans="1:18" x14ac:dyDescent="0.35">
      <c r="A195" t="s">
        <v>56</v>
      </c>
      <c r="B195" t="s">
        <v>57</v>
      </c>
      <c r="C195" t="s">
        <v>70</v>
      </c>
      <c r="D195">
        <v>107844158</v>
      </c>
      <c r="E195" t="s">
        <v>546</v>
      </c>
      <c r="F195" t="s">
        <v>72</v>
      </c>
      <c r="G195">
        <v>0.4</v>
      </c>
      <c r="H195">
        <v>9.6</v>
      </c>
      <c r="I195">
        <v>0</v>
      </c>
      <c r="J195">
        <v>0</v>
      </c>
      <c r="K195">
        <v>10</v>
      </c>
      <c r="L195" t="s">
        <v>61</v>
      </c>
      <c r="M195">
        <v>504</v>
      </c>
      <c r="N195">
        <v>50.4</v>
      </c>
      <c r="O195" t="s">
        <v>62</v>
      </c>
      <c r="P195" t="s">
        <v>64</v>
      </c>
      <c r="Q195">
        <v>2798</v>
      </c>
      <c r="R195">
        <v>291.47000000000003</v>
      </c>
    </row>
    <row r="196" spans="1:18" x14ac:dyDescent="0.35">
      <c r="A196" t="s">
        <v>56</v>
      </c>
      <c r="B196" t="s">
        <v>57</v>
      </c>
      <c r="C196" t="s">
        <v>70</v>
      </c>
      <c r="D196">
        <v>107844158</v>
      </c>
      <c r="E196" t="s">
        <v>546</v>
      </c>
      <c r="F196" t="s">
        <v>72</v>
      </c>
      <c r="G196">
        <v>0.4</v>
      </c>
      <c r="H196">
        <v>9.6</v>
      </c>
      <c r="I196">
        <v>0</v>
      </c>
      <c r="J196">
        <v>0</v>
      </c>
      <c r="K196">
        <v>10</v>
      </c>
      <c r="L196" t="s">
        <v>61</v>
      </c>
      <c r="M196">
        <v>504</v>
      </c>
      <c r="N196">
        <v>50.4</v>
      </c>
      <c r="O196" t="s">
        <v>62</v>
      </c>
      <c r="P196" t="s">
        <v>65</v>
      </c>
      <c r="Q196">
        <v>0</v>
      </c>
      <c r="R196">
        <v>0</v>
      </c>
    </row>
    <row r="197" spans="1:18" x14ac:dyDescent="0.35">
      <c r="A197" t="s">
        <v>56</v>
      </c>
      <c r="B197" t="s">
        <v>57</v>
      </c>
      <c r="C197" t="s">
        <v>70</v>
      </c>
      <c r="D197">
        <v>107844158</v>
      </c>
      <c r="E197" t="s">
        <v>546</v>
      </c>
      <c r="F197" t="s">
        <v>72</v>
      </c>
      <c r="G197">
        <v>0.4</v>
      </c>
      <c r="H197">
        <v>9.6</v>
      </c>
      <c r="I197">
        <v>0</v>
      </c>
      <c r="J197">
        <v>0</v>
      </c>
      <c r="K197">
        <v>10</v>
      </c>
      <c r="L197" t="s">
        <v>61</v>
      </c>
      <c r="M197">
        <v>504</v>
      </c>
      <c r="N197">
        <v>50.4</v>
      </c>
      <c r="O197" t="s">
        <v>62</v>
      </c>
      <c r="P197" t="s">
        <v>66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107844158</v>
      </c>
      <c r="E198" t="s">
        <v>546</v>
      </c>
      <c r="F198" t="s">
        <v>72</v>
      </c>
      <c r="G198">
        <v>0.4</v>
      </c>
      <c r="H198">
        <v>9.6</v>
      </c>
      <c r="I198">
        <v>0</v>
      </c>
      <c r="J198">
        <v>0</v>
      </c>
      <c r="K198">
        <v>10</v>
      </c>
      <c r="L198" t="s">
        <v>61</v>
      </c>
      <c r="M198">
        <v>504</v>
      </c>
      <c r="N198">
        <v>50.4</v>
      </c>
      <c r="O198" t="s">
        <v>62</v>
      </c>
      <c r="P198" t="s">
        <v>67</v>
      </c>
      <c r="Q198">
        <v>3436</v>
      </c>
      <c r="R198">
        <v>343.6</v>
      </c>
    </row>
    <row r="199" spans="1:18" x14ac:dyDescent="0.35">
      <c r="A199" t="s">
        <v>56</v>
      </c>
      <c r="B199" t="s">
        <v>57</v>
      </c>
      <c r="C199" t="s">
        <v>70</v>
      </c>
      <c r="D199">
        <v>107844158</v>
      </c>
      <c r="E199" t="s">
        <v>546</v>
      </c>
      <c r="F199" t="s">
        <v>72</v>
      </c>
      <c r="G199">
        <v>0.4</v>
      </c>
      <c r="H199">
        <v>9.6</v>
      </c>
      <c r="I199">
        <v>0</v>
      </c>
      <c r="J199">
        <v>0</v>
      </c>
      <c r="K199">
        <v>10</v>
      </c>
      <c r="L199" t="s">
        <v>61</v>
      </c>
      <c r="M199">
        <v>504</v>
      </c>
      <c r="N199">
        <v>50.4</v>
      </c>
      <c r="O199" t="s">
        <v>68</v>
      </c>
      <c r="P199" t="s">
        <v>67</v>
      </c>
      <c r="Q199">
        <v>504</v>
      </c>
      <c r="R199">
        <v>50.4</v>
      </c>
    </row>
    <row r="200" spans="1:18" x14ac:dyDescent="0.35">
      <c r="A200" t="s">
        <v>56</v>
      </c>
      <c r="B200" t="s">
        <v>57</v>
      </c>
      <c r="C200" t="s">
        <v>58</v>
      </c>
      <c r="D200">
        <v>107868365</v>
      </c>
      <c r="E200" t="s">
        <v>104</v>
      </c>
      <c r="F200" t="s">
        <v>72</v>
      </c>
      <c r="G200">
        <v>0.61</v>
      </c>
      <c r="H200">
        <v>9.39</v>
      </c>
      <c r="I200">
        <v>0</v>
      </c>
      <c r="J200">
        <v>0</v>
      </c>
      <c r="K200">
        <v>10</v>
      </c>
      <c r="L200" t="s">
        <v>61</v>
      </c>
      <c r="M200">
        <v>597</v>
      </c>
      <c r="N200">
        <v>59.7</v>
      </c>
      <c r="O200" t="s">
        <v>62</v>
      </c>
      <c r="P200" t="s">
        <v>63</v>
      </c>
      <c r="Q200">
        <v>1338</v>
      </c>
      <c r="R200">
        <v>2192.44</v>
      </c>
    </row>
    <row r="201" spans="1:18" x14ac:dyDescent="0.35">
      <c r="A201" t="s">
        <v>56</v>
      </c>
      <c r="B201" t="s">
        <v>57</v>
      </c>
      <c r="C201" t="s">
        <v>58</v>
      </c>
      <c r="D201">
        <v>107868365</v>
      </c>
      <c r="E201" t="s">
        <v>104</v>
      </c>
      <c r="F201" t="s">
        <v>72</v>
      </c>
      <c r="G201">
        <v>0.61</v>
      </c>
      <c r="H201">
        <v>9.39</v>
      </c>
      <c r="I201">
        <v>0</v>
      </c>
      <c r="J201">
        <v>0</v>
      </c>
      <c r="K201">
        <v>10</v>
      </c>
      <c r="L201" t="s">
        <v>61</v>
      </c>
      <c r="M201">
        <v>597</v>
      </c>
      <c r="N201">
        <v>59.7</v>
      </c>
      <c r="O201" t="s">
        <v>62</v>
      </c>
      <c r="P201" t="s">
        <v>64</v>
      </c>
      <c r="Q201">
        <v>3764</v>
      </c>
      <c r="R201">
        <v>400.88</v>
      </c>
    </row>
    <row r="202" spans="1:18" x14ac:dyDescent="0.35">
      <c r="A202" t="s">
        <v>56</v>
      </c>
      <c r="B202" t="s">
        <v>57</v>
      </c>
      <c r="C202" t="s">
        <v>58</v>
      </c>
      <c r="D202">
        <v>107868365</v>
      </c>
      <c r="E202" t="s">
        <v>104</v>
      </c>
      <c r="F202" t="s">
        <v>72</v>
      </c>
      <c r="G202">
        <v>0.61</v>
      </c>
      <c r="H202">
        <v>9.39</v>
      </c>
      <c r="I202">
        <v>0</v>
      </c>
      <c r="J202">
        <v>0</v>
      </c>
      <c r="K202">
        <v>10</v>
      </c>
      <c r="L202" t="s">
        <v>61</v>
      </c>
      <c r="M202">
        <v>597</v>
      </c>
      <c r="N202">
        <v>59.7</v>
      </c>
      <c r="O202" t="s">
        <v>62</v>
      </c>
      <c r="P202" t="s">
        <v>65</v>
      </c>
      <c r="Q202">
        <v>0</v>
      </c>
      <c r="R202">
        <v>0</v>
      </c>
    </row>
    <row r="203" spans="1:18" x14ac:dyDescent="0.35">
      <c r="A203" t="s">
        <v>56</v>
      </c>
      <c r="B203" t="s">
        <v>57</v>
      </c>
      <c r="C203" t="s">
        <v>58</v>
      </c>
      <c r="D203">
        <v>107868365</v>
      </c>
      <c r="E203" t="s">
        <v>104</v>
      </c>
      <c r="F203" t="s">
        <v>72</v>
      </c>
      <c r="G203">
        <v>0.61</v>
      </c>
      <c r="H203">
        <v>9.39</v>
      </c>
      <c r="I203">
        <v>0</v>
      </c>
      <c r="J203">
        <v>0</v>
      </c>
      <c r="K203">
        <v>10</v>
      </c>
      <c r="L203" t="s">
        <v>61</v>
      </c>
      <c r="M203">
        <v>597</v>
      </c>
      <c r="N203">
        <v>59.7</v>
      </c>
      <c r="O203" t="s">
        <v>62</v>
      </c>
      <c r="P203" t="s">
        <v>66</v>
      </c>
      <c r="Q203">
        <v>0</v>
      </c>
      <c r="R203">
        <v>0</v>
      </c>
    </row>
    <row r="204" spans="1:18" x14ac:dyDescent="0.35">
      <c r="A204" t="s">
        <v>56</v>
      </c>
      <c r="B204" t="s">
        <v>57</v>
      </c>
      <c r="C204" t="s">
        <v>58</v>
      </c>
      <c r="D204">
        <v>107868365</v>
      </c>
      <c r="E204" t="s">
        <v>104</v>
      </c>
      <c r="F204" t="s">
        <v>72</v>
      </c>
      <c r="G204">
        <v>0.61</v>
      </c>
      <c r="H204">
        <v>9.39</v>
      </c>
      <c r="I204">
        <v>0</v>
      </c>
      <c r="J204">
        <v>0</v>
      </c>
      <c r="K204">
        <v>10</v>
      </c>
      <c r="L204" t="s">
        <v>61</v>
      </c>
      <c r="M204">
        <v>597</v>
      </c>
      <c r="N204">
        <v>59.7</v>
      </c>
      <c r="O204" t="s">
        <v>62</v>
      </c>
      <c r="P204" t="s">
        <v>67</v>
      </c>
      <c r="Q204">
        <v>5102</v>
      </c>
      <c r="R204">
        <v>510.2</v>
      </c>
    </row>
    <row r="205" spans="1:18" x14ac:dyDescent="0.35">
      <c r="A205" t="s">
        <v>56</v>
      </c>
      <c r="B205" t="s">
        <v>57</v>
      </c>
      <c r="C205" t="s">
        <v>58</v>
      </c>
      <c r="D205">
        <v>107868365</v>
      </c>
      <c r="E205" t="s">
        <v>104</v>
      </c>
      <c r="F205" t="s">
        <v>72</v>
      </c>
      <c r="G205">
        <v>0.61</v>
      </c>
      <c r="H205">
        <v>9.39</v>
      </c>
      <c r="I205">
        <v>0</v>
      </c>
      <c r="J205">
        <v>0</v>
      </c>
      <c r="K205">
        <v>10</v>
      </c>
      <c r="L205" t="s">
        <v>61</v>
      </c>
      <c r="M205">
        <v>597</v>
      </c>
      <c r="N205">
        <v>59.7</v>
      </c>
      <c r="O205" t="s">
        <v>68</v>
      </c>
      <c r="P205" t="s">
        <v>67</v>
      </c>
      <c r="Q205">
        <v>597</v>
      </c>
      <c r="R205">
        <v>59.7</v>
      </c>
    </row>
    <row r="206" spans="1:18" x14ac:dyDescent="0.35">
      <c r="A206" t="s">
        <v>37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R25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70</v>
      </c>
      <c r="D2">
        <v>100753604</v>
      </c>
      <c r="E2" t="s">
        <v>71</v>
      </c>
      <c r="F2" t="s">
        <v>72</v>
      </c>
      <c r="G2">
        <v>0.09</v>
      </c>
      <c r="H2">
        <v>1.65</v>
      </c>
      <c r="I2">
        <v>0</v>
      </c>
      <c r="J2">
        <v>0</v>
      </c>
      <c r="K2">
        <v>1.74</v>
      </c>
      <c r="L2" t="s">
        <v>61</v>
      </c>
      <c r="M2">
        <v>57</v>
      </c>
      <c r="N2">
        <v>32.72</v>
      </c>
      <c r="O2" t="s">
        <v>62</v>
      </c>
      <c r="P2" t="s">
        <v>63</v>
      </c>
      <c r="Q2">
        <v>192</v>
      </c>
      <c r="R2">
        <v>2208.31</v>
      </c>
    </row>
    <row r="3" spans="1:18" x14ac:dyDescent="0.35">
      <c r="A3" t="s">
        <v>56</v>
      </c>
      <c r="B3" t="s">
        <v>57</v>
      </c>
      <c r="C3" t="s">
        <v>70</v>
      </c>
      <c r="D3">
        <v>100753604</v>
      </c>
      <c r="E3" t="s">
        <v>71</v>
      </c>
      <c r="F3" t="s">
        <v>72</v>
      </c>
      <c r="G3">
        <v>0.09</v>
      </c>
      <c r="H3">
        <v>1.65</v>
      </c>
      <c r="I3">
        <v>0</v>
      </c>
      <c r="J3">
        <v>0</v>
      </c>
      <c r="K3">
        <v>1.74</v>
      </c>
      <c r="L3" t="s">
        <v>61</v>
      </c>
      <c r="M3">
        <v>57</v>
      </c>
      <c r="N3">
        <v>32.72</v>
      </c>
      <c r="O3" t="s">
        <v>62</v>
      </c>
      <c r="P3" t="s">
        <v>64</v>
      </c>
      <c r="Q3">
        <v>632</v>
      </c>
      <c r="R3">
        <v>381.94</v>
      </c>
    </row>
    <row r="4" spans="1:18" x14ac:dyDescent="0.35">
      <c r="A4" t="s">
        <v>56</v>
      </c>
      <c r="B4" t="s">
        <v>57</v>
      </c>
      <c r="C4" t="s">
        <v>70</v>
      </c>
      <c r="D4">
        <v>100753604</v>
      </c>
      <c r="E4" t="s">
        <v>71</v>
      </c>
      <c r="F4" t="s">
        <v>72</v>
      </c>
      <c r="G4">
        <v>0.09</v>
      </c>
      <c r="H4">
        <v>1.65</v>
      </c>
      <c r="I4">
        <v>0</v>
      </c>
      <c r="J4">
        <v>0</v>
      </c>
      <c r="K4">
        <v>1.74</v>
      </c>
      <c r="L4" t="s">
        <v>61</v>
      </c>
      <c r="M4">
        <v>57</v>
      </c>
      <c r="N4">
        <v>32.72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70</v>
      </c>
      <c r="D5">
        <v>100753604</v>
      </c>
      <c r="E5" t="s">
        <v>71</v>
      </c>
      <c r="F5" t="s">
        <v>72</v>
      </c>
      <c r="G5">
        <v>0.09</v>
      </c>
      <c r="H5">
        <v>1.65</v>
      </c>
      <c r="I5">
        <v>0</v>
      </c>
      <c r="J5">
        <v>0</v>
      </c>
      <c r="K5">
        <v>1.74</v>
      </c>
      <c r="L5" t="s">
        <v>61</v>
      </c>
      <c r="M5">
        <v>57</v>
      </c>
      <c r="N5">
        <v>32.72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70</v>
      </c>
      <c r="D6">
        <v>100753604</v>
      </c>
      <c r="E6" t="s">
        <v>71</v>
      </c>
      <c r="F6" t="s">
        <v>72</v>
      </c>
      <c r="G6">
        <v>0.09</v>
      </c>
      <c r="H6">
        <v>1.65</v>
      </c>
      <c r="I6">
        <v>0</v>
      </c>
      <c r="J6">
        <v>0</v>
      </c>
      <c r="K6">
        <v>1.74</v>
      </c>
      <c r="L6" t="s">
        <v>61</v>
      </c>
      <c r="M6">
        <v>57</v>
      </c>
      <c r="N6">
        <v>32.72</v>
      </c>
      <c r="O6" t="s">
        <v>62</v>
      </c>
      <c r="P6" t="s">
        <v>67</v>
      </c>
      <c r="Q6">
        <v>824</v>
      </c>
      <c r="R6">
        <v>473.03</v>
      </c>
    </row>
    <row r="7" spans="1:18" x14ac:dyDescent="0.35">
      <c r="A7" t="s">
        <v>56</v>
      </c>
      <c r="B7" t="s">
        <v>57</v>
      </c>
      <c r="C7" t="s">
        <v>70</v>
      </c>
      <c r="D7">
        <v>100753604</v>
      </c>
      <c r="E7" t="s">
        <v>71</v>
      </c>
      <c r="F7" t="s">
        <v>72</v>
      </c>
      <c r="G7">
        <v>0.09</v>
      </c>
      <c r="H7">
        <v>1.65</v>
      </c>
      <c r="I7">
        <v>0</v>
      </c>
      <c r="J7">
        <v>0</v>
      </c>
      <c r="K7">
        <v>1.74</v>
      </c>
      <c r="L7" t="s">
        <v>61</v>
      </c>
      <c r="M7">
        <v>57</v>
      </c>
      <c r="N7">
        <v>32.72</v>
      </c>
      <c r="O7" t="s">
        <v>68</v>
      </c>
      <c r="P7" t="s">
        <v>67</v>
      </c>
      <c r="Q7">
        <v>57</v>
      </c>
      <c r="R7">
        <v>32.72</v>
      </c>
    </row>
    <row r="8" spans="1:18" x14ac:dyDescent="0.35">
      <c r="A8" t="s">
        <v>56</v>
      </c>
      <c r="B8" t="s">
        <v>57</v>
      </c>
      <c r="C8" t="s">
        <v>70</v>
      </c>
      <c r="D8">
        <v>100753604</v>
      </c>
      <c r="E8" t="s">
        <v>71</v>
      </c>
      <c r="F8" t="s">
        <v>72</v>
      </c>
      <c r="G8">
        <v>0.09</v>
      </c>
      <c r="H8">
        <v>1.65</v>
      </c>
      <c r="I8">
        <v>0</v>
      </c>
      <c r="J8">
        <v>0</v>
      </c>
      <c r="K8">
        <v>1.74</v>
      </c>
      <c r="L8" t="s">
        <v>61</v>
      </c>
      <c r="M8">
        <v>57</v>
      </c>
      <c r="N8">
        <v>32.72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58</v>
      </c>
      <c r="D9">
        <v>101446428</v>
      </c>
      <c r="E9" t="s">
        <v>73</v>
      </c>
      <c r="F9" t="s">
        <v>60</v>
      </c>
      <c r="G9">
        <v>0.25</v>
      </c>
      <c r="H9">
        <v>9.85</v>
      </c>
      <c r="I9">
        <v>0.03</v>
      </c>
      <c r="J9">
        <v>0</v>
      </c>
      <c r="K9">
        <v>10.130000000000001</v>
      </c>
      <c r="L9" t="s">
        <v>61</v>
      </c>
      <c r="M9">
        <v>432</v>
      </c>
      <c r="N9">
        <v>42.63</v>
      </c>
      <c r="O9" t="s">
        <v>62</v>
      </c>
      <c r="P9" t="s">
        <v>63</v>
      </c>
      <c r="Q9">
        <v>372</v>
      </c>
      <c r="R9">
        <v>1491.31</v>
      </c>
    </row>
    <row r="10" spans="1:18" x14ac:dyDescent="0.35">
      <c r="A10" t="s">
        <v>56</v>
      </c>
      <c r="B10" t="s">
        <v>57</v>
      </c>
      <c r="C10" t="s">
        <v>58</v>
      </c>
      <c r="D10">
        <v>101446428</v>
      </c>
      <c r="E10" t="s">
        <v>73</v>
      </c>
      <c r="F10" t="s">
        <v>60</v>
      </c>
      <c r="G10">
        <v>0.25</v>
      </c>
      <c r="H10">
        <v>9.85</v>
      </c>
      <c r="I10">
        <v>0.03</v>
      </c>
      <c r="J10">
        <v>0</v>
      </c>
      <c r="K10">
        <v>10.130000000000001</v>
      </c>
      <c r="L10" t="s">
        <v>61</v>
      </c>
      <c r="M10">
        <v>432</v>
      </c>
      <c r="N10">
        <v>42.63</v>
      </c>
      <c r="O10" t="s">
        <v>62</v>
      </c>
      <c r="P10" t="s">
        <v>64</v>
      </c>
      <c r="Q10">
        <v>2547</v>
      </c>
      <c r="R10">
        <v>258.60000000000002</v>
      </c>
    </row>
    <row r="11" spans="1:18" x14ac:dyDescent="0.35">
      <c r="A11" t="s">
        <v>56</v>
      </c>
      <c r="B11" t="s">
        <v>57</v>
      </c>
      <c r="C11" t="s">
        <v>58</v>
      </c>
      <c r="D11">
        <v>101446428</v>
      </c>
      <c r="E11" t="s">
        <v>73</v>
      </c>
      <c r="F11" t="s">
        <v>60</v>
      </c>
      <c r="G11">
        <v>0.25</v>
      </c>
      <c r="H11">
        <v>9.85</v>
      </c>
      <c r="I11">
        <v>0.03</v>
      </c>
      <c r="J11">
        <v>0</v>
      </c>
      <c r="K11">
        <v>10.130000000000001</v>
      </c>
      <c r="L11" t="s">
        <v>61</v>
      </c>
      <c r="M11">
        <v>432</v>
      </c>
      <c r="N11">
        <v>42.63</v>
      </c>
      <c r="O11" t="s">
        <v>62</v>
      </c>
      <c r="P11" t="s">
        <v>65</v>
      </c>
      <c r="Q11">
        <v>6</v>
      </c>
      <c r="R11">
        <v>174.19</v>
      </c>
    </row>
    <row r="12" spans="1:18" x14ac:dyDescent="0.35">
      <c r="A12" t="s">
        <v>56</v>
      </c>
      <c r="B12" t="s">
        <v>57</v>
      </c>
      <c r="C12" t="s">
        <v>58</v>
      </c>
      <c r="D12">
        <v>101446428</v>
      </c>
      <c r="E12" t="s">
        <v>73</v>
      </c>
      <c r="F12" t="s">
        <v>60</v>
      </c>
      <c r="G12">
        <v>0.25</v>
      </c>
      <c r="H12">
        <v>9.85</v>
      </c>
      <c r="I12">
        <v>0.03</v>
      </c>
      <c r="J12">
        <v>0</v>
      </c>
      <c r="K12">
        <v>10.130000000000001</v>
      </c>
      <c r="L12" t="s">
        <v>61</v>
      </c>
      <c r="M12">
        <v>432</v>
      </c>
      <c r="N12">
        <v>42.63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58</v>
      </c>
      <c r="D13">
        <v>101446428</v>
      </c>
      <c r="E13" t="s">
        <v>73</v>
      </c>
      <c r="F13" t="s">
        <v>60</v>
      </c>
      <c r="G13">
        <v>0.25</v>
      </c>
      <c r="H13">
        <v>9.85</v>
      </c>
      <c r="I13">
        <v>0.03</v>
      </c>
      <c r="J13">
        <v>0</v>
      </c>
      <c r="K13">
        <v>10.130000000000001</v>
      </c>
      <c r="L13" t="s">
        <v>61</v>
      </c>
      <c r="M13">
        <v>432</v>
      </c>
      <c r="N13">
        <v>42.63</v>
      </c>
      <c r="O13" t="s">
        <v>62</v>
      </c>
      <c r="P13" t="s">
        <v>67</v>
      </c>
      <c r="Q13">
        <v>2925</v>
      </c>
      <c r="R13">
        <v>288.64999999999998</v>
      </c>
    </row>
    <row r="14" spans="1:18" x14ac:dyDescent="0.35">
      <c r="A14" t="s">
        <v>56</v>
      </c>
      <c r="B14" t="s">
        <v>57</v>
      </c>
      <c r="C14" t="s">
        <v>58</v>
      </c>
      <c r="D14">
        <v>101446428</v>
      </c>
      <c r="E14" t="s">
        <v>73</v>
      </c>
      <c r="F14" t="s">
        <v>60</v>
      </c>
      <c r="G14">
        <v>0.25</v>
      </c>
      <c r="H14">
        <v>9.85</v>
      </c>
      <c r="I14">
        <v>0.03</v>
      </c>
      <c r="J14">
        <v>0</v>
      </c>
      <c r="K14">
        <v>10.130000000000001</v>
      </c>
      <c r="L14" t="s">
        <v>61</v>
      </c>
      <c r="M14">
        <v>432</v>
      </c>
      <c r="N14">
        <v>42.63</v>
      </c>
      <c r="O14" t="s">
        <v>68</v>
      </c>
      <c r="P14" t="s">
        <v>67</v>
      </c>
      <c r="Q14">
        <v>433</v>
      </c>
      <c r="R14">
        <v>42.73</v>
      </c>
    </row>
    <row r="15" spans="1:18" x14ac:dyDescent="0.35">
      <c r="A15" t="s">
        <v>56</v>
      </c>
      <c r="B15" t="s">
        <v>57</v>
      </c>
      <c r="C15" t="s">
        <v>58</v>
      </c>
      <c r="D15">
        <v>101446428</v>
      </c>
      <c r="E15" t="s">
        <v>73</v>
      </c>
      <c r="F15" t="s">
        <v>60</v>
      </c>
      <c r="G15">
        <v>0.25</v>
      </c>
      <c r="H15">
        <v>9.85</v>
      </c>
      <c r="I15">
        <v>0.03</v>
      </c>
      <c r="J15">
        <v>0</v>
      </c>
      <c r="K15">
        <v>10.130000000000001</v>
      </c>
      <c r="L15" t="s">
        <v>61</v>
      </c>
      <c r="M15">
        <v>432</v>
      </c>
      <c r="N15">
        <v>42.63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70</v>
      </c>
      <c r="D16">
        <v>101750120</v>
      </c>
      <c r="E16" t="s">
        <v>667</v>
      </c>
      <c r="F16" t="s">
        <v>72</v>
      </c>
      <c r="G16">
        <v>1.21</v>
      </c>
      <c r="H16">
        <v>6.98</v>
      </c>
      <c r="I16">
        <v>0.12</v>
      </c>
      <c r="J16">
        <v>0</v>
      </c>
      <c r="K16">
        <v>8.31</v>
      </c>
      <c r="L16" t="s">
        <v>61</v>
      </c>
      <c r="M16">
        <v>422</v>
      </c>
      <c r="N16">
        <v>50.78</v>
      </c>
      <c r="O16" t="s">
        <v>62</v>
      </c>
      <c r="P16" t="s">
        <v>63</v>
      </c>
      <c r="Q16">
        <v>2109</v>
      </c>
      <c r="R16">
        <v>1742.98</v>
      </c>
    </row>
    <row r="17" spans="1:18" x14ac:dyDescent="0.35">
      <c r="A17" t="s">
        <v>56</v>
      </c>
      <c r="B17" t="s">
        <v>57</v>
      </c>
      <c r="C17" t="s">
        <v>70</v>
      </c>
      <c r="D17">
        <v>101750120</v>
      </c>
      <c r="E17" t="s">
        <v>667</v>
      </c>
      <c r="F17" t="s">
        <v>72</v>
      </c>
      <c r="G17">
        <v>1.21</v>
      </c>
      <c r="H17">
        <v>6.98</v>
      </c>
      <c r="I17">
        <v>0.12</v>
      </c>
      <c r="J17">
        <v>0</v>
      </c>
      <c r="K17">
        <v>8.31</v>
      </c>
      <c r="L17" t="s">
        <v>61</v>
      </c>
      <c r="M17">
        <v>422</v>
      </c>
      <c r="N17">
        <v>50.78</v>
      </c>
      <c r="O17" t="s">
        <v>62</v>
      </c>
      <c r="P17" t="s">
        <v>64</v>
      </c>
      <c r="Q17">
        <v>2111</v>
      </c>
      <c r="R17">
        <v>302.38</v>
      </c>
    </row>
    <row r="18" spans="1:18" x14ac:dyDescent="0.35">
      <c r="A18" t="s">
        <v>56</v>
      </c>
      <c r="B18" t="s">
        <v>57</v>
      </c>
      <c r="C18" t="s">
        <v>70</v>
      </c>
      <c r="D18">
        <v>101750120</v>
      </c>
      <c r="E18" t="s">
        <v>667</v>
      </c>
      <c r="F18" t="s">
        <v>72</v>
      </c>
      <c r="G18">
        <v>1.21</v>
      </c>
      <c r="H18">
        <v>6.98</v>
      </c>
      <c r="I18">
        <v>0.12</v>
      </c>
      <c r="J18">
        <v>0</v>
      </c>
      <c r="K18">
        <v>8.31</v>
      </c>
      <c r="L18" t="s">
        <v>61</v>
      </c>
      <c r="M18">
        <v>422</v>
      </c>
      <c r="N18">
        <v>50.78</v>
      </c>
      <c r="O18" t="s">
        <v>62</v>
      </c>
      <c r="P18" t="s">
        <v>65</v>
      </c>
      <c r="Q18">
        <v>24</v>
      </c>
      <c r="R18">
        <v>203.29</v>
      </c>
    </row>
    <row r="19" spans="1:18" x14ac:dyDescent="0.35">
      <c r="A19" t="s">
        <v>56</v>
      </c>
      <c r="B19" t="s">
        <v>57</v>
      </c>
      <c r="C19" t="s">
        <v>70</v>
      </c>
      <c r="D19">
        <v>101750120</v>
      </c>
      <c r="E19" t="s">
        <v>667</v>
      </c>
      <c r="F19" t="s">
        <v>72</v>
      </c>
      <c r="G19">
        <v>1.21</v>
      </c>
      <c r="H19">
        <v>6.98</v>
      </c>
      <c r="I19">
        <v>0.12</v>
      </c>
      <c r="J19">
        <v>0</v>
      </c>
      <c r="K19">
        <v>8.31</v>
      </c>
      <c r="L19" t="s">
        <v>61</v>
      </c>
      <c r="M19">
        <v>422</v>
      </c>
      <c r="N19">
        <v>50.78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70</v>
      </c>
      <c r="D20">
        <v>101750120</v>
      </c>
      <c r="E20" t="s">
        <v>667</v>
      </c>
      <c r="F20" t="s">
        <v>72</v>
      </c>
      <c r="G20">
        <v>1.21</v>
      </c>
      <c r="H20">
        <v>6.98</v>
      </c>
      <c r="I20">
        <v>0.12</v>
      </c>
      <c r="J20">
        <v>0</v>
      </c>
      <c r="K20">
        <v>8.31</v>
      </c>
      <c r="L20" t="s">
        <v>61</v>
      </c>
      <c r="M20">
        <v>422</v>
      </c>
      <c r="N20">
        <v>50.78</v>
      </c>
      <c r="O20" t="s">
        <v>62</v>
      </c>
      <c r="P20" t="s">
        <v>67</v>
      </c>
      <c r="Q20">
        <v>4244</v>
      </c>
      <c r="R20">
        <v>510.71</v>
      </c>
    </row>
    <row r="21" spans="1:18" x14ac:dyDescent="0.35">
      <c r="A21" t="s">
        <v>56</v>
      </c>
      <c r="B21" t="s">
        <v>57</v>
      </c>
      <c r="C21" t="s">
        <v>70</v>
      </c>
      <c r="D21">
        <v>101750120</v>
      </c>
      <c r="E21" t="s">
        <v>667</v>
      </c>
      <c r="F21" t="s">
        <v>72</v>
      </c>
      <c r="G21">
        <v>1.21</v>
      </c>
      <c r="H21">
        <v>6.98</v>
      </c>
      <c r="I21">
        <v>0.12</v>
      </c>
      <c r="J21">
        <v>0</v>
      </c>
      <c r="K21">
        <v>8.31</v>
      </c>
      <c r="L21" t="s">
        <v>61</v>
      </c>
      <c r="M21">
        <v>422</v>
      </c>
      <c r="N21">
        <v>50.78</v>
      </c>
      <c r="O21" t="s">
        <v>68</v>
      </c>
      <c r="P21" t="s">
        <v>67</v>
      </c>
      <c r="Q21">
        <v>422</v>
      </c>
      <c r="R21">
        <v>50.78</v>
      </c>
    </row>
    <row r="22" spans="1:18" x14ac:dyDescent="0.35">
      <c r="A22" t="s">
        <v>56</v>
      </c>
      <c r="B22" t="s">
        <v>57</v>
      </c>
      <c r="C22" t="s">
        <v>70</v>
      </c>
      <c r="D22">
        <v>101750120</v>
      </c>
      <c r="E22" t="s">
        <v>667</v>
      </c>
      <c r="F22" t="s">
        <v>72</v>
      </c>
      <c r="G22">
        <v>1.21</v>
      </c>
      <c r="H22">
        <v>6.98</v>
      </c>
      <c r="I22">
        <v>0.12</v>
      </c>
      <c r="J22">
        <v>0</v>
      </c>
      <c r="K22">
        <v>8.31</v>
      </c>
      <c r="L22" t="s">
        <v>61</v>
      </c>
      <c r="M22">
        <v>422</v>
      </c>
      <c r="N22">
        <v>50.78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58</v>
      </c>
      <c r="D23">
        <v>102476407</v>
      </c>
      <c r="E23" t="s">
        <v>74</v>
      </c>
      <c r="F23" t="s">
        <v>75</v>
      </c>
      <c r="G23">
        <v>0.49</v>
      </c>
      <c r="H23">
        <v>7.92</v>
      </c>
      <c r="I23">
        <v>0</v>
      </c>
      <c r="J23">
        <v>0</v>
      </c>
      <c r="K23">
        <v>8.41</v>
      </c>
      <c r="L23" t="s">
        <v>61</v>
      </c>
      <c r="M23">
        <v>446</v>
      </c>
      <c r="N23">
        <v>53.04</v>
      </c>
      <c r="O23" t="s">
        <v>62</v>
      </c>
      <c r="P23" t="s">
        <v>63</v>
      </c>
      <c r="Q23">
        <v>640</v>
      </c>
      <c r="R23">
        <v>1304.6400000000001</v>
      </c>
    </row>
    <row r="24" spans="1:18" x14ac:dyDescent="0.35">
      <c r="A24" t="s">
        <v>56</v>
      </c>
      <c r="B24" t="s">
        <v>57</v>
      </c>
      <c r="C24" t="s">
        <v>58</v>
      </c>
      <c r="D24">
        <v>102476407</v>
      </c>
      <c r="E24" t="s">
        <v>74</v>
      </c>
      <c r="F24" t="s">
        <v>75</v>
      </c>
      <c r="G24">
        <v>0.49</v>
      </c>
      <c r="H24">
        <v>7.92</v>
      </c>
      <c r="I24">
        <v>0</v>
      </c>
      <c r="J24">
        <v>0</v>
      </c>
      <c r="K24">
        <v>8.41</v>
      </c>
      <c r="L24" t="s">
        <v>61</v>
      </c>
      <c r="M24">
        <v>446</v>
      </c>
      <c r="N24">
        <v>53.04</v>
      </c>
      <c r="O24" t="s">
        <v>62</v>
      </c>
      <c r="P24" t="s">
        <v>64</v>
      </c>
      <c r="Q24">
        <v>1792</v>
      </c>
      <c r="R24">
        <v>226.3</v>
      </c>
    </row>
    <row r="25" spans="1:18" x14ac:dyDescent="0.35">
      <c r="A25" t="s">
        <v>56</v>
      </c>
      <c r="B25" t="s">
        <v>57</v>
      </c>
      <c r="C25" t="s">
        <v>58</v>
      </c>
      <c r="D25">
        <v>102476407</v>
      </c>
      <c r="E25" t="s">
        <v>74</v>
      </c>
      <c r="F25" t="s">
        <v>75</v>
      </c>
      <c r="G25">
        <v>0.49</v>
      </c>
      <c r="H25">
        <v>7.92</v>
      </c>
      <c r="I25">
        <v>0</v>
      </c>
      <c r="J25">
        <v>0</v>
      </c>
      <c r="K25">
        <v>8.41</v>
      </c>
      <c r="L25" t="s">
        <v>61</v>
      </c>
      <c r="M25">
        <v>446</v>
      </c>
      <c r="N25">
        <v>53.04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58</v>
      </c>
      <c r="D26">
        <v>102476407</v>
      </c>
      <c r="E26" t="s">
        <v>74</v>
      </c>
      <c r="F26" t="s">
        <v>75</v>
      </c>
      <c r="G26">
        <v>0.49</v>
      </c>
      <c r="H26">
        <v>7.92</v>
      </c>
      <c r="I26">
        <v>0</v>
      </c>
      <c r="J26">
        <v>0</v>
      </c>
      <c r="K26">
        <v>8.41</v>
      </c>
      <c r="L26" t="s">
        <v>61</v>
      </c>
      <c r="M26">
        <v>446</v>
      </c>
      <c r="N26">
        <v>53.04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58</v>
      </c>
      <c r="D27">
        <v>102476407</v>
      </c>
      <c r="E27" t="s">
        <v>74</v>
      </c>
      <c r="F27" t="s">
        <v>75</v>
      </c>
      <c r="G27">
        <v>0.49</v>
      </c>
      <c r="H27">
        <v>7.92</v>
      </c>
      <c r="I27">
        <v>0</v>
      </c>
      <c r="J27">
        <v>0</v>
      </c>
      <c r="K27">
        <v>8.41</v>
      </c>
      <c r="L27" t="s">
        <v>61</v>
      </c>
      <c r="M27">
        <v>446</v>
      </c>
      <c r="N27">
        <v>53.04</v>
      </c>
      <c r="O27" t="s">
        <v>62</v>
      </c>
      <c r="P27" t="s">
        <v>67</v>
      </c>
      <c r="Q27">
        <v>2432</v>
      </c>
      <c r="R27">
        <v>289.2</v>
      </c>
    </row>
    <row r="28" spans="1:18" x14ac:dyDescent="0.35">
      <c r="A28" t="s">
        <v>56</v>
      </c>
      <c r="B28" t="s">
        <v>57</v>
      </c>
      <c r="C28" t="s">
        <v>58</v>
      </c>
      <c r="D28">
        <v>102476407</v>
      </c>
      <c r="E28" t="s">
        <v>74</v>
      </c>
      <c r="F28" t="s">
        <v>75</v>
      </c>
      <c r="G28">
        <v>0.49</v>
      </c>
      <c r="H28">
        <v>7.92</v>
      </c>
      <c r="I28">
        <v>0</v>
      </c>
      <c r="J28">
        <v>0</v>
      </c>
      <c r="K28">
        <v>8.41</v>
      </c>
      <c r="L28" t="s">
        <v>61</v>
      </c>
      <c r="M28">
        <v>446</v>
      </c>
      <c r="N28">
        <v>53.04</v>
      </c>
      <c r="O28" t="s">
        <v>68</v>
      </c>
      <c r="P28" t="s">
        <v>67</v>
      </c>
      <c r="Q28">
        <v>446</v>
      </c>
      <c r="R28">
        <v>53.04</v>
      </c>
    </row>
    <row r="29" spans="1:18" x14ac:dyDescent="0.35">
      <c r="A29" t="s">
        <v>56</v>
      </c>
      <c r="B29" t="s">
        <v>57</v>
      </c>
      <c r="C29" t="s">
        <v>58</v>
      </c>
      <c r="D29">
        <v>102476407</v>
      </c>
      <c r="E29" t="s">
        <v>74</v>
      </c>
      <c r="F29" t="s">
        <v>75</v>
      </c>
      <c r="G29">
        <v>0.49</v>
      </c>
      <c r="H29">
        <v>7.92</v>
      </c>
      <c r="I29">
        <v>0</v>
      </c>
      <c r="J29">
        <v>0</v>
      </c>
      <c r="K29">
        <v>8.41</v>
      </c>
      <c r="L29" t="s">
        <v>61</v>
      </c>
      <c r="M29">
        <v>446</v>
      </c>
      <c r="N29">
        <v>53.04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102530855</v>
      </c>
      <c r="E30" t="s">
        <v>560</v>
      </c>
      <c r="F30" t="s">
        <v>60</v>
      </c>
      <c r="G30">
        <v>0.61</v>
      </c>
      <c r="H30">
        <v>8.65</v>
      </c>
      <c r="I30">
        <v>0</v>
      </c>
      <c r="J30">
        <v>0</v>
      </c>
      <c r="K30">
        <v>9.26</v>
      </c>
      <c r="L30" t="s">
        <v>61</v>
      </c>
      <c r="M30">
        <v>315</v>
      </c>
      <c r="N30">
        <v>34.020000000000003</v>
      </c>
      <c r="O30" t="s">
        <v>62</v>
      </c>
      <c r="P30" t="s">
        <v>63</v>
      </c>
      <c r="Q30">
        <v>1324</v>
      </c>
      <c r="R30">
        <v>2179.42</v>
      </c>
    </row>
    <row r="31" spans="1:18" x14ac:dyDescent="0.35">
      <c r="A31" t="s">
        <v>56</v>
      </c>
      <c r="B31" t="s">
        <v>57</v>
      </c>
      <c r="C31" t="s">
        <v>70</v>
      </c>
      <c r="D31">
        <v>102530855</v>
      </c>
      <c r="E31" t="s">
        <v>560</v>
      </c>
      <c r="F31" t="s">
        <v>60</v>
      </c>
      <c r="G31">
        <v>0.61</v>
      </c>
      <c r="H31">
        <v>8.65</v>
      </c>
      <c r="I31">
        <v>0</v>
      </c>
      <c r="J31">
        <v>0</v>
      </c>
      <c r="K31">
        <v>9.26</v>
      </c>
      <c r="L31" t="s">
        <v>61</v>
      </c>
      <c r="M31">
        <v>315</v>
      </c>
      <c r="N31">
        <v>34.020000000000003</v>
      </c>
      <c r="O31" t="s">
        <v>62</v>
      </c>
      <c r="P31" t="s">
        <v>64</v>
      </c>
      <c r="Q31">
        <v>3271</v>
      </c>
      <c r="R31">
        <v>378.04</v>
      </c>
    </row>
    <row r="32" spans="1:18" x14ac:dyDescent="0.35">
      <c r="A32" t="s">
        <v>56</v>
      </c>
      <c r="B32" t="s">
        <v>57</v>
      </c>
      <c r="C32" t="s">
        <v>70</v>
      </c>
      <c r="D32">
        <v>102530855</v>
      </c>
      <c r="E32" t="s">
        <v>560</v>
      </c>
      <c r="F32" t="s">
        <v>60</v>
      </c>
      <c r="G32">
        <v>0.61</v>
      </c>
      <c r="H32">
        <v>8.65</v>
      </c>
      <c r="I32">
        <v>0</v>
      </c>
      <c r="J32">
        <v>0</v>
      </c>
      <c r="K32">
        <v>9.26</v>
      </c>
      <c r="L32" t="s">
        <v>61</v>
      </c>
      <c r="M32">
        <v>315</v>
      </c>
      <c r="N32">
        <v>34.020000000000003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102530855</v>
      </c>
      <c r="E33" t="s">
        <v>560</v>
      </c>
      <c r="F33" t="s">
        <v>60</v>
      </c>
      <c r="G33">
        <v>0.61</v>
      </c>
      <c r="H33">
        <v>8.65</v>
      </c>
      <c r="I33">
        <v>0</v>
      </c>
      <c r="J33">
        <v>0</v>
      </c>
      <c r="K33">
        <v>9.26</v>
      </c>
      <c r="L33" t="s">
        <v>61</v>
      </c>
      <c r="M33">
        <v>315</v>
      </c>
      <c r="N33">
        <v>34.020000000000003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102530855</v>
      </c>
      <c r="E34" t="s">
        <v>560</v>
      </c>
      <c r="F34" t="s">
        <v>60</v>
      </c>
      <c r="G34">
        <v>0.61</v>
      </c>
      <c r="H34">
        <v>8.65</v>
      </c>
      <c r="I34">
        <v>0</v>
      </c>
      <c r="J34">
        <v>0</v>
      </c>
      <c r="K34">
        <v>9.26</v>
      </c>
      <c r="L34" t="s">
        <v>61</v>
      </c>
      <c r="M34">
        <v>315</v>
      </c>
      <c r="N34">
        <v>34.020000000000003</v>
      </c>
      <c r="O34" t="s">
        <v>62</v>
      </c>
      <c r="P34" t="s">
        <v>67</v>
      </c>
      <c r="Q34">
        <v>4595</v>
      </c>
      <c r="R34">
        <v>496.21</v>
      </c>
    </row>
    <row r="35" spans="1:18" x14ac:dyDescent="0.35">
      <c r="A35" t="s">
        <v>56</v>
      </c>
      <c r="B35" t="s">
        <v>57</v>
      </c>
      <c r="C35" t="s">
        <v>70</v>
      </c>
      <c r="D35">
        <v>102530855</v>
      </c>
      <c r="E35" t="s">
        <v>560</v>
      </c>
      <c r="F35" t="s">
        <v>60</v>
      </c>
      <c r="G35">
        <v>0.61</v>
      </c>
      <c r="H35">
        <v>8.65</v>
      </c>
      <c r="I35">
        <v>0</v>
      </c>
      <c r="J35">
        <v>0</v>
      </c>
      <c r="K35">
        <v>9.26</v>
      </c>
      <c r="L35" t="s">
        <v>61</v>
      </c>
      <c r="M35">
        <v>315</v>
      </c>
      <c r="N35">
        <v>34.020000000000003</v>
      </c>
      <c r="O35" t="s">
        <v>68</v>
      </c>
      <c r="P35" t="s">
        <v>67</v>
      </c>
      <c r="Q35">
        <v>309</v>
      </c>
      <c r="R35">
        <v>33.369999999999997</v>
      </c>
    </row>
    <row r="36" spans="1:18" x14ac:dyDescent="0.35">
      <c r="A36" t="s">
        <v>56</v>
      </c>
      <c r="B36" t="s">
        <v>57</v>
      </c>
      <c r="C36" t="s">
        <v>70</v>
      </c>
      <c r="D36">
        <v>102530855</v>
      </c>
      <c r="E36" t="s">
        <v>560</v>
      </c>
      <c r="F36" t="s">
        <v>60</v>
      </c>
      <c r="G36">
        <v>0.61</v>
      </c>
      <c r="H36">
        <v>8.65</v>
      </c>
      <c r="I36">
        <v>0</v>
      </c>
      <c r="J36">
        <v>0</v>
      </c>
      <c r="K36">
        <v>9.26</v>
      </c>
      <c r="L36" t="s">
        <v>61</v>
      </c>
      <c r="M36">
        <v>315</v>
      </c>
      <c r="N36">
        <v>34.020000000000003</v>
      </c>
      <c r="O36" t="s">
        <v>69</v>
      </c>
      <c r="P36" t="s">
        <v>67</v>
      </c>
      <c r="Q36">
        <v>6</v>
      </c>
      <c r="R36">
        <v>0.65</v>
      </c>
    </row>
    <row r="37" spans="1:18" x14ac:dyDescent="0.35">
      <c r="A37" t="s">
        <v>56</v>
      </c>
      <c r="B37" t="s">
        <v>57</v>
      </c>
      <c r="C37" t="s">
        <v>70</v>
      </c>
      <c r="D37">
        <v>106036050</v>
      </c>
      <c r="E37" t="s">
        <v>79</v>
      </c>
      <c r="F37" t="s">
        <v>60</v>
      </c>
      <c r="G37">
        <v>0.63</v>
      </c>
      <c r="H37">
        <v>9.32</v>
      </c>
      <c r="I37">
        <v>0.05</v>
      </c>
      <c r="J37">
        <v>0</v>
      </c>
      <c r="K37">
        <v>10</v>
      </c>
      <c r="L37" t="s">
        <v>61</v>
      </c>
      <c r="M37">
        <v>441</v>
      </c>
      <c r="N37">
        <v>44.1</v>
      </c>
      <c r="O37" t="s">
        <v>62</v>
      </c>
      <c r="P37" t="s">
        <v>63</v>
      </c>
      <c r="Q37">
        <v>696</v>
      </c>
      <c r="R37">
        <v>1097.02</v>
      </c>
    </row>
    <row r="38" spans="1:18" x14ac:dyDescent="0.35">
      <c r="A38" t="s">
        <v>56</v>
      </c>
      <c r="B38" t="s">
        <v>57</v>
      </c>
      <c r="C38" t="s">
        <v>70</v>
      </c>
      <c r="D38">
        <v>106036050</v>
      </c>
      <c r="E38" t="s">
        <v>79</v>
      </c>
      <c r="F38" t="s">
        <v>60</v>
      </c>
      <c r="G38">
        <v>0.63</v>
      </c>
      <c r="H38">
        <v>9.32</v>
      </c>
      <c r="I38">
        <v>0.05</v>
      </c>
      <c r="J38">
        <v>0</v>
      </c>
      <c r="K38">
        <v>10</v>
      </c>
      <c r="L38" t="s">
        <v>61</v>
      </c>
      <c r="M38">
        <v>441</v>
      </c>
      <c r="N38">
        <v>44.1</v>
      </c>
      <c r="O38" t="s">
        <v>62</v>
      </c>
      <c r="P38" t="s">
        <v>64</v>
      </c>
      <c r="Q38">
        <v>1773</v>
      </c>
      <c r="R38">
        <v>190.27</v>
      </c>
    </row>
    <row r="39" spans="1:18" x14ac:dyDescent="0.35">
      <c r="A39" t="s">
        <v>56</v>
      </c>
      <c r="B39" t="s">
        <v>57</v>
      </c>
      <c r="C39" t="s">
        <v>70</v>
      </c>
      <c r="D39">
        <v>106036050</v>
      </c>
      <c r="E39" t="s">
        <v>79</v>
      </c>
      <c r="F39" t="s">
        <v>60</v>
      </c>
      <c r="G39">
        <v>0.63</v>
      </c>
      <c r="H39">
        <v>9.32</v>
      </c>
      <c r="I39">
        <v>0.05</v>
      </c>
      <c r="J39">
        <v>0</v>
      </c>
      <c r="K39">
        <v>10</v>
      </c>
      <c r="L39" t="s">
        <v>61</v>
      </c>
      <c r="M39">
        <v>441</v>
      </c>
      <c r="N39">
        <v>44.1</v>
      </c>
      <c r="O39" t="s">
        <v>62</v>
      </c>
      <c r="P39" t="s">
        <v>65</v>
      </c>
      <c r="Q39">
        <v>6</v>
      </c>
      <c r="R39">
        <v>127.81</v>
      </c>
    </row>
    <row r="40" spans="1:18" x14ac:dyDescent="0.35">
      <c r="A40" t="s">
        <v>56</v>
      </c>
      <c r="B40" t="s">
        <v>57</v>
      </c>
      <c r="C40" t="s">
        <v>70</v>
      </c>
      <c r="D40">
        <v>106036050</v>
      </c>
      <c r="E40" t="s">
        <v>79</v>
      </c>
      <c r="F40" t="s">
        <v>60</v>
      </c>
      <c r="G40">
        <v>0.63</v>
      </c>
      <c r="H40">
        <v>9.32</v>
      </c>
      <c r="I40">
        <v>0.05</v>
      </c>
      <c r="J40">
        <v>0</v>
      </c>
      <c r="K40">
        <v>10</v>
      </c>
      <c r="L40" t="s">
        <v>61</v>
      </c>
      <c r="M40">
        <v>441</v>
      </c>
      <c r="N40">
        <v>44.1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106036050</v>
      </c>
      <c r="E41" t="s">
        <v>79</v>
      </c>
      <c r="F41" t="s">
        <v>60</v>
      </c>
      <c r="G41">
        <v>0.63</v>
      </c>
      <c r="H41">
        <v>9.32</v>
      </c>
      <c r="I41">
        <v>0.05</v>
      </c>
      <c r="J41">
        <v>0</v>
      </c>
      <c r="K41">
        <v>10</v>
      </c>
      <c r="L41" t="s">
        <v>61</v>
      </c>
      <c r="M41">
        <v>441</v>
      </c>
      <c r="N41">
        <v>44.1</v>
      </c>
      <c r="O41" t="s">
        <v>62</v>
      </c>
      <c r="P41" t="s">
        <v>67</v>
      </c>
      <c r="Q41">
        <v>2475</v>
      </c>
      <c r="R41">
        <v>247.5</v>
      </c>
    </row>
    <row r="42" spans="1:18" x14ac:dyDescent="0.35">
      <c r="A42" t="s">
        <v>56</v>
      </c>
      <c r="B42" t="s">
        <v>57</v>
      </c>
      <c r="C42" t="s">
        <v>70</v>
      </c>
      <c r="D42">
        <v>106036050</v>
      </c>
      <c r="E42" t="s">
        <v>79</v>
      </c>
      <c r="F42" t="s">
        <v>60</v>
      </c>
      <c r="G42">
        <v>0.63</v>
      </c>
      <c r="H42">
        <v>9.32</v>
      </c>
      <c r="I42">
        <v>0.05</v>
      </c>
      <c r="J42">
        <v>0</v>
      </c>
      <c r="K42">
        <v>10</v>
      </c>
      <c r="L42" t="s">
        <v>61</v>
      </c>
      <c r="M42">
        <v>441</v>
      </c>
      <c r="N42">
        <v>44.1</v>
      </c>
      <c r="O42" t="s">
        <v>68</v>
      </c>
      <c r="P42" t="s">
        <v>67</v>
      </c>
      <c r="Q42">
        <v>441</v>
      </c>
      <c r="R42">
        <v>44.1</v>
      </c>
    </row>
    <row r="43" spans="1:18" x14ac:dyDescent="0.35">
      <c r="A43" t="s">
        <v>56</v>
      </c>
      <c r="B43" t="s">
        <v>57</v>
      </c>
      <c r="C43" t="s">
        <v>70</v>
      </c>
      <c r="D43">
        <v>106036050</v>
      </c>
      <c r="E43" t="s">
        <v>79</v>
      </c>
      <c r="F43" t="s">
        <v>60</v>
      </c>
      <c r="G43">
        <v>0.63</v>
      </c>
      <c r="H43">
        <v>9.32</v>
      </c>
      <c r="I43">
        <v>0.05</v>
      </c>
      <c r="J43">
        <v>0</v>
      </c>
      <c r="K43">
        <v>10</v>
      </c>
      <c r="L43" t="s">
        <v>61</v>
      </c>
      <c r="M43">
        <v>441</v>
      </c>
      <c r="N43">
        <v>44.1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106140648</v>
      </c>
      <c r="E44" t="s">
        <v>671</v>
      </c>
      <c r="F44" t="s">
        <v>60</v>
      </c>
      <c r="G44">
        <v>1.19</v>
      </c>
      <c r="H44">
        <v>8.81</v>
      </c>
      <c r="I44">
        <v>0</v>
      </c>
      <c r="J44">
        <v>0</v>
      </c>
      <c r="K44">
        <v>10</v>
      </c>
      <c r="L44" t="s">
        <v>61</v>
      </c>
      <c r="M44">
        <v>577</v>
      </c>
      <c r="N44">
        <v>57.7</v>
      </c>
      <c r="O44" t="s">
        <v>62</v>
      </c>
      <c r="P44" t="s">
        <v>63</v>
      </c>
      <c r="Q44">
        <v>2506</v>
      </c>
      <c r="R44">
        <v>2114.27</v>
      </c>
    </row>
    <row r="45" spans="1:18" x14ac:dyDescent="0.35">
      <c r="A45" t="s">
        <v>56</v>
      </c>
      <c r="B45" t="s">
        <v>57</v>
      </c>
      <c r="C45" t="s">
        <v>70</v>
      </c>
      <c r="D45">
        <v>106140648</v>
      </c>
      <c r="E45" t="s">
        <v>671</v>
      </c>
      <c r="F45" t="s">
        <v>60</v>
      </c>
      <c r="G45">
        <v>1.19</v>
      </c>
      <c r="H45">
        <v>8.81</v>
      </c>
      <c r="I45">
        <v>0</v>
      </c>
      <c r="J45">
        <v>0</v>
      </c>
      <c r="K45">
        <v>10</v>
      </c>
      <c r="L45" t="s">
        <v>61</v>
      </c>
      <c r="M45">
        <v>577</v>
      </c>
      <c r="N45">
        <v>57.7</v>
      </c>
      <c r="O45" t="s">
        <v>62</v>
      </c>
      <c r="P45" t="s">
        <v>64</v>
      </c>
      <c r="Q45">
        <v>3233</v>
      </c>
      <c r="R45">
        <v>366.78</v>
      </c>
    </row>
    <row r="46" spans="1:18" x14ac:dyDescent="0.35">
      <c r="A46" t="s">
        <v>56</v>
      </c>
      <c r="B46" t="s">
        <v>57</v>
      </c>
      <c r="C46" t="s">
        <v>70</v>
      </c>
      <c r="D46">
        <v>106140648</v>
      </c>
      <c r="E46" t="s">
        <v>671</v>
      </c>
      <c r="F46" t="s">
        <v>60</v>
      </c>
      <c r="G46">
        <v>1.19</v>
      </c>
      <c r="H46">
        <v>8.81</v>
      </c>
      <c r="I46">
        <v>0</v>
      </c>
      <c r="J46">
        <v>0</v>
      </c>
      <c r="K46">
        <v>10</v>
      </c>
      <c r="L46" t="s">
        <v>61</v>
      </c>
      <c r="M46">
        <v>577</v>
      </c>
      <c r="N46">
        <v>57.7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106140648</v>
      </c>
      <c r="E47" t="s">
        <v>671</v>
      </c>
      <c r="F47" t="s">
        <v>60</v>
      </c>
      <c r="G47">
        <v>1.19</v>
      </c>
      <c r="H47">
        <v>8.81</v>
      </c>
      <c r="I47">
        <v>0</v>
      </c>
      <c r="J47">
        <v>0</v>
      </c>
      <c r="K47">
        <v>10</v>
      </c>
      <c r="L47" t="s">
        <v>61</v>
      </c>
      <c r="M47">
        <v>577</v>
      </c>
      <c r="N47">
        <v>57.7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106140648</v>
      </c>
      <c r="E48" t="s">
        <v>671</v>
      </c>
      <c r="F48" t="s">
        <v>60</v>
      </c>
      <c r="G48">
        <v>1.19</v>
      </c>
      <c r="H48">
        <v>8.81</v>
      </c>
      <c r="I48">
        <v>0</v>
      </c>
      <c r="J48">
        <v>0</v>
      </c>
      <c r="K48">
        <v>10</v>
      </c>
      <c r="L48" t="s">
        <v>61</v>
      </c>
      <c r="M48">
        <v>577</v>
      </c>
      <c r="N48">
        <v>57.7</v>
      </c>
      <c r="O48" t="s">
        <v>62</v>
      </c>
      <c r="P48" t="s">
        <v>67</v>
      </c>
      <c r="Q48">
        <v>5739</v>
      </c>
      <c r="R48">
        <v>573.9</v>
      </c>
    </row>
    <row r="49" spans="1:18" x14ac:dyDescent="0.35">
      <c r="A49" t="s">
        <v>56</v>
      </c>
      <c r="B49" t="s">
        <v>57</v>
      </c>
      <c r="C49" t="s">
        <v>70</v>
      </c>
      <c r="D49">
        <v>106140648</v>
      </c>
      <c r="E49" t="s">
        <v>671</v>
      </c>
      <c r="F49" t="s">
        <v>60</v>
      </c>
      <c r="G49">
        <v>1.19</v>
      </c>
      <c r="H49">
        <v>8.81</v>
      </c>
      <c r="I49">
        <v>0</v>
      </c>
      <c r="J49">
        <v>0</v>
      </c>
      <c r="K49">
        <v>10</v>
      </c>
      <c r="L49" t="s">
        <v>61</v>
      </c>
      <c r="M49">
        <v>577</v>
      </c>
      <c r="N49">
        <v>57.7</v>
      </c>
      <c r="O49" t="s">
        <v>68</v>
      </c>
      <c r="P49" t="s">
        <v>67</v>
      </c>
      <c r="Q49">
        <v>577</v>
      </c>
      <c r="R49">
        <v>57.7</v>
      </c>
    </row>
    <row r="50" spans="1:18" x14ac:dyDescent="0.35">
      <c r="A50" t="s">
        <v>56</v>
      </c>
      <c r="B50" t="s">
        <v>57</v>
      </c>
      <c r="C50" t="s">
        <v>70</v>
      </c>
      <c r="D50">
        <v>106140648</v>
      </c>
      <c r="E50" t="s">
        <v>671</v>
      </c>
      <c r="F50" t="s">
        <v>60</v>
      </c>
      <c r="G50">
        <v>1.19</v>
      </c>
      <c r="H50">
        <v>8.81</v>
      </c>
      <c r="I50">
        <v>0</v>
      </c>
      <c r="J50">
        <v>0</v>
      </c>
      <c r="K50">
        <v>10</v>
      </c>
      <c r="L50" t="s">
        <v>61</v>
      </c>
      <c r="M50">
        <v>577</v>
      </c>
      <c r="N50">
        <v>57.7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106533893</v>
      </c>
      <c r="E51" t="s">
        <v>672</v>
      </c>
      <c r="F51" t="s">
        <v>60</v>
      </c>
      <c r="G51">
        <v>1.24</v>
      </c>
      <c r="H51">
        <v>7.44</v>
      </c>
      <c r="I51">
        <v>0</v>
      </c>
      <c r="J51">
        <v>0</v>
      </c>
      <c r="K51">
        <v>8.68</v>
      </c>
      <c r="L51" t="s">
        <v>61</v>
      </c>
      <c r="M51">
        <v>281</v>
      </c>
      <c r="N51">
        <v>32.380000000000003</v>
      </c>
      <c r="O51" t="s">
        <v>62</v>
      </c>
      <c r="P51" t="s">
        <v>63</v>
      </c>
      <c r="Q51">
        <v>1534</v>
      </c>
      <c r="R51">
        <v>1235.44</v>
      </c>
    </row>
    <row r="52" spans="1:18" x14ac:dyDescent="0.35">
      <c r="A52" t="s">
        <v>56</v>
      </c>
      <c r="B52" t="s">
        <v>57</v>
      </c>
      <c r="C52" t="s">
        <v>70</v>
      </c>
      <c r="D52">
        <v>106533893</v>
      </c>
      <c r="E52" t="s">
        <v>672</v>
      </c>
      <c r="F52" t="s">
        <v>60</v>
      </c>
      <c r="G52">
        <v>1.24</v>
      </c>
      <c r="H52">
        <v>7.44</v>
      </c>
      <c r="I52">
        <v>0</v>
      </c>
      <c r="J52">
        <v>0</v>
      </c>
      <c r="K52">
        <v>8.68</v>
      </c>
      <c r="L52" t="s">
        <v>61</v>
      </c>
      <c r="M52">
        <v>281</v>
      </c>
      <c r="N52">
        <v>32.380000000000003</v>
      </c>
      <c r="O52" t="s">
        <v>62</v>
      </c>
      <c r="P52" t="s">
        <v>64</v>
      </c>
      <c r="Q52">
        <v>1594</v>
      </c>
      <c r="R52">
        <v>214.32</v>
      </c>
    </row>
    <row r="53" spans="1:18" x14ac:dyDescent="0.35">
      <c r="A53" t="s">
        <v>56</v>
      </c>
      <c r="B53" t="s">
        <v>57</v>
      </c>
      <c r="C53" t="s">
        <v>70</v>
      </c>
      <c r="D53">
        <v>106533893</v>
      </c>
      <c r="E53" t="s">
        <v>672</v>
      </c>
      <c r="F53" t="s">
        <v>60</v>
      </c>
      <c r="G53">
        <v>1.24</v>
      </c>
      <c r="H53">
        <v>7.44</v>
      </c>
      <c r="I53">
        <v>0</v>
      </c>
      <c r="J53">
        <v>0</v>
      </c>
      <c r="K53">
        <v>8.68</v>
      </c>
      <c r="L53" t="s">
        <v>61</v>
      </c>
      <c r="M53">
        <v>281</v>
      </c>
      <c r="N53">
        <v>32.380000000000003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106533893</v>
      </c>
      <c r="E54" t="s">
        <v>672</v>
      </c>
      <c r="F54" t="s">
        <v>60</v>
      </c>
      <c r="G54">
        <v>1.24</v>
      </c>
      <c r="H54">
        <v>7.44</v>
      </c>
      <c r="I54">
        <v>0</v>
      </c>
      <c r="J54">
        <v>0</v>
      </c>
      <c r="K54">
        <v>8.68</v>
      </c>
      <c r="L54" t="s">
        <v>61</v>
      </c>
      <c r="M54">
        <v>281</v>
      </c>
      <c r="N54">
        <v>32.380000000000003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106533893</v>
      </c>
      <c r="E55" t="s">
        <v>672</v>
      </c>
      <c r="F55" t="s">
        <v>60</v>
      </c>
      <c r="G55">
        <v>1.24</v>
      </c>
      <c r="H55">
        <v>7.44</v>
      </c>
      <c r="I55">
        <v>0</v>
      </c>
      <c r="J55">
        <v>0</v>
      </c>
      <c r="K55">
        <v>8.68</v>
      </c>
      <c r="L55" t="s">
        <v>61</v>
      </c>
      <c r="M55">
        <v>281</v>
      </c>
      <c r="N55">
        <v>32.380000000000003</v>
      </c>
      <c r="O55" t="s">
        <v>62</v>
      </c>
      <c r="P55" t="s">
        <v>67</v>
      </c>
      <c r="Q55">
        <v>3128</v>
      </c>
      <c r="R55">
        <v>360.39</v>
      </c>
    </row>
    <row r="56" spans="1:18" x14ac:dyDescent="0.35">
      <c r="A56" t="s">
        <v>56</v>
      </c>
      <c r="B56" t="s">
        <v>57</v>
      </c>
      <c r="C56" t="s">
        <v>70</v>
      </c>
      <c r="D56">
        <v>106533893</v>
      </c>
      <c r="E56" t="s">
        <v>672</v>
      </c>
      <c r="F56" t="s">
        <v>60</v>
      </c>
      <c r="G56">
        <v>1.24</v>
      </c>
      <c r="H56">
        <v>7.44</v>
      </c>
      <c r="I56">
        <v>0</v>
      </c>
      <c r="J56">
        <v>0</v>
      </c>
      <c r="K56">
        <v>8.68</v>
      </c>
      <c r="L56" t="s">
        <v>61</v>
      </c>
      <c r="M56">
        <v>281</v>
      </c>
      <c r="N56">
        <v>32.380000000000003</v>
      </c>
      <c r="O56" t="s">
        <v>68</v>
      </c>
      <c r="P56" t="s">
        <v>67</v>
      </c>
      <c r="Q56">
        <v>280</v>
      </c>
      <c r="R56">
        <v>32.26</v>
      </c>
    </row>
    <row r="57" spans="1:18" x14ac:dyDescent="0.35">
      <c r="A57" t="s">
        <v>56</v>
      </c>
      <c r="B57" t="s">
        <v>57</v>
      </c>
      <c r="C57" t="s">
        <v>70</v>
      </c>
      <c r="D57">
        <v>106533893</v>
      </c>
      <c r="E57" t="s">
        <v>672</v>
      </c>
      <c r="F57" t="s">
        <v>60</v>
      </c>
      <c r="G57">
        <v>1.24</v>
      </c>
      <c r="H57">
        <v>7.44</v>
      </c>
      <c r="I57">
        <v>0</v>
      </c>
      <c r="J57">
        <v>0</v>
      </c>
      <c r="K57">
        <v>8.68</v>
      </c>
      <c r="L57" t="s">
        <v>61</v>
      </c>
      <c r="M57">
        <v>281</v>
      </c>
      <c r="N57">
        <v>32.380000000000003</v>
      </c>
      <c r="O57" t="s">
        <v>69</v>
      </c>
      <c r="P57" t="s">
        <v>67</v>
      </c>
      <c r="Q57">
        <v>1</v>
      </c>
      <c r="R57">
        <v>0.12</v>
      </c>
    </row>
    <row r="58" spans="1:18" x14ac:dyDescent="0.35">
      <c r="A58" t="s">
        <v>56</v>
      </c>
      <c r="B58" t="s">
        <v>57</v>
      </c>
      <c r="C58" t="s">
        <v>70</v>
      </c>
      <c r="D58">
        <v>106534121</v>
      </c>
      <c r="E58" t="s">
        <v>562</v>
      </c>
      <c r="F58" t="s">
        <v>60</v>
      </c>
      <c r="G58">
        <v>0.04</v>
      </c>
      <c r="H58">
        <v>9.9600000000000009</v>
      </c>
      <c r="I58">
        <v>0</v>
      </c>
      <c r="J58">
        <v>0</v>
      </c>
      <c r="K58">
        <v>10</v>
      </c>
      <c r="L58" t="s">
        <v>61</v>
      </c>
      <c r="M58">
        <v>443</v>
      </c>
      <c r="N58">
        <v>44.3</v>
      </c>
      <c r="O58" t="s">
        <v>62</v>
      </c>
      <c r="P58" t="s">
        <v>63</v>
      </c>
      <c r="Q58">
        <v>37</v>
      </c>
      <c r="R58">
        <v>944.68</v>
      </c>
    </row>
    <row r="59" spans="1:18" x14ac:dyDescent="0.35">
      <c r="A59" t="s">
        <v>56</v>
      </c>
      <c r="B59" t="s">
        <v>57</v>
      </c>
      <c r="C59" t="s">
        <v>70</v>
      </c>
      <c r="D59">
        <v>106534121</v>
      </c>
      <c r="E59" t="s">
        <v>562</v>
      </c>
      <c r="F59" t="s">
        <v>60</v>
      </c>
      <c r="G59">
        <v>0.04</v>
      </c>
      <c r="H59">
        <v>9.9600000000000009</v>
      </c>
      <c r="I59">
        <v>0</v>
      </c>
      <c r="J59">
        <v>0</v>
      </c>
      <c r="K59">
        <v>10</v>
      </c>
      <c r="L59" t="s">
        <v>61</v>
      </c>
      <c r="M59">
        <v>443</v>
      </c>
      <c r="N59">
        <v>44.3</v>
      </c>
      <c r="O59" t="s">
        <v>62</v>
      </c>
      <c r="P59" t="s">
        <v>64</v>
      </c>
      <c r="Q59">
        <v>1628</v>
      </c>
      <c r="R59">
        <v>163.44</v>
      </c>
    </row>
    <row r="60" spans="1:18" x14ac:dyDescent="0.35">
      <c r="A60" t="s">
        <v>56</v>
      </c>
      <c r="B60" t="s">
        <v>57</v>
      </c>
      <c r="C60" t="s">
        <v>70</v>
      </c>
      <c r="D60">
        <v>106534121</v>
      </c>
      <c r="E60" t="s">
        <v>562</v>
      </c>
      <c r="F60" t="s">
        <v>60</v>
      </c>
      <c r="G60">
        <v>0.04</v>
      </c>
      <c r="H60">
        <v>9.9600000000000009</v>
      </c>
      <c r="I60">
        <v>0</v>
      </c>
      <c r="J60">
        <v>0</v>
      </c>
      <c r="K60">
        <v>10</v>
      </c>
      <c r="L60" t="s">
        <v>61</v>
      </c>
      <c r="M60">
        <v>443</v>
      </c>
      <c r="N60">
        <v>44.3</v>
      </c>
      <c r="O60" t="s">
        <v>62</v>
      </c>
      <c r="P60" t="s">
        <v>65</v>
      </c>
      <c r="Q60">
        <v>0</v>
      </c>
      <c r="R60">
        <v>0</v>
      </c>
    </row>
    <row r="61" spans="1:18" x14ac:dyDescent="0.35">
      <c r="A61" t="s">
        <v>56</v>
      </c>
      <c r="B61" t="s">
        <v>57</v>
      </c>
      <c r="C61" t="s">
        <v>70</v>
      </c>
      <c r="D61">
        <v>106534121</v>
      </c>
      <c r="E61" t="s">
        <v>562</v>
      </c>
      <c r="F61" t="s">
        <v>60</v>
      </c>
      <c r="G61">
        <v>0.04</v>
      </c>
      <c r="H61">
        <v>9.9600000000000009</v>
      </c>
      <c r="I61">
        <v>0</v>
      </c>
      <c r="J61">
        <v>0</v>
      </c>
      <c r="K61">
        <v>10</v>
      </c>
      <c r="L61" t="s">
        <v>61</v>
      </c>
      <c r="M61">
        <v>443</v>
      </c>
      <c r="N61">
        <v>44.3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106534121</v>
      </c>
      <c r="E62" t="s">
        <v>562</v>
      </c>
      <c r="F62" t="s">
        <v>60</v>
      </c>
      <c r="G62">
        <v>0.04</v>
      </c>
      <c r="H62">
        <v>9.9600000000000009</v>
      </c>
      <c r="I62">
        <v>0</v>
      </c>
      <c r="J62">
        <v>0</v>
      </c>
      <c r="K62">
        <v>10</v>
      </c>
      <c r="L62" t="s">
        <v>61</v>
      </c>
      <c r="M62">
        <v>443</v>
      </c>
      <c r="N62">
        <v>44.3</v>
      </c>
      <c r="O62" t="s">
        <v>62</v>
      </c>
      <c r="P62" t="s">
        <v>67</v>
      </c>
      <c r="Q62">
        <v>1665</v>
      </c>
      <c r="R62">
        <v>166.5</v>
      </c>
    </row>
    <row r="63" spans="1:18" x14ac:dyDescent="0.35">
      <c r="A63" t="s">
        <v>56</v>
      </c>
      <c r="B63" t="s">
        <v>57</v>
      </c>
      <c r="C63" t="s">
        <v>70</v>
      </c>
      <c r="D63">
        <v>106534121</v>
      </c>
      <c r="E63" t="s">
        <v>562</v>
      </c>
      <c r="F63" t="s">
        <v>60</v>
      </c>
      <c r="G63">
        <v>0.04</v>
      </c>
      <c r="H63">
        <v>9.9600000000000009</v>
      </c>
      <c r="I63">
        <v>0</v>
      </c>
      <c r="J63">
        <v>0</v>
      </c>
      <c r="K63">
        <v>10</v>
      </c>
      <c r="L63" t="s">
        <v>61</v>
      </c>
      <c r="M63">
        <v>443</v>
      </c>
      <c r="N63">
        <v>44.3</v>
      </c>
      <c r="O63" t="s">
        <v>68</v>
      </c>
      <c r="P63" t="s">
        <v>67</v>
      </c>
      <c r="Q63">
        <v>443</v>
      </c>
      <c r="R63">
        <v>44.3</v>
      </c>
    </row>
    <row r="64" spans="1:18" x14ac:dyDescent="0.35">
      <c r="A64" t="s">
        <v>56</v>
      </c>
      <c r="B64" t="s">
        <v>57</v>
      </c>
      <c r="C64" t="s">
        <v>70</v>
      </c>
      <c r="D64">
        <v>106534121</v>
      </c>
      <c r="E64" t="s">
        <v>562</v>
      </c>
      <c r="F64" t="s">
        <v>60</v>
      </c>
      <c r="G64">
        <v>0.04</v>
      </c>
      <c r="H64">
        <v>9.9600000000000009</v>
      </c>
      <c r="I64">
        <v>0</v>
      </c>
      <c r="J64">
        <v>0</v>
      </c>
      <c r="K64">
        <v>10</v>
      </c>
      <c r="L64" t="s">
        <v>61</v>
      </c>
      <c r="M64">
        <v>443</v>
      </c>
      <c r="N64">
        <v>44.3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106534472</v>
      </c>
      <c r="E65" t="s">
        <v>81</v>
      </c>
      <c r="F65" t="s">
        <v>60</v>
      </c>
      <c r="G65">
        <v>0.25</v>
      </c>
      <c r="H65">
        <v>7.32</v>
      </c>
      <c r="I65">
        <v>0</v>
      </c>
      <c r="J65">
        <v>0</v>
      </c>
      <c r="K65">
        <v>7.57</v>
      </c>
      <c r="L65" t="s">
        <v>61</v>
      </c>
      <c r="M65">
        <v>386</v>
      </c>
      <c r="N65">
        <v>51.01</v>
      </c>
      <c r="O65" t="s">
        <v>62</v>
      </c>
      <c r="P65" t="s">
        <v>63</v>
      </c>
      <c r="Q65">
        <v>210</v>
      </c>
      <c r="R65">
        <v>844.69</v>
      </c>
    </row>
    <row r="66" spans="1:18" x14ac:dyDescent="0.35">
      <c r="A66" t="s">
        <v>56</v>
      </c>
      <c r="B66" t="s">
        <v>57</v>
      </c>
      <c r="C66" t="s">
        <v>70</v>
      </c>
      <c r="D66">
        <v>106534472</v>
      </c>
      <c r="E66" t="s">
        <v>81</v>
      </c>
      <c r="F66" t="s">
        <v>60</v>
      </c>
      <c r="G66">
        <v>0.25</v>
      </c>
      <c r="H66">
        <v>7.32</v>
      </c>
      <c r="I66">
        <v>0</v>
      </c>
      <c r="J66">
        <v>0</v>
      </c>
      <c r="K66">
        <v>7.57</v>
      </c>
      <c r="L66" t="s">
        <v>61</v>
      </c>
      <c r="M66">
        <v>386</v>
      </c>
      <c r="N66">
        <v>51.01</v>
      </c>
      <c r="O66" t="s">
        <v>62</v>
      </c>
      <c r="P66" t="s">
        <v>64</v>
      </c>
      <c r="Q66">
        <v>1072</v>
      </c>
      <c r="R66">
        <v>146.49</v>
      </c>
    </row>
    <row r="67" spans="1:18" x14ac:dyDescent="0.35">
      <c r="A67" t="s">
        <v>56</v>
      </c>
      <c r="B67" t="s">
        <v>57</v>
      </c>
      <c r="C67" t="s">
        <v>70</v>
      </c>
      <c r="D67">
        <v>106534472</v>
      </c>
      <c r="E67" t="s">
        <v>81</v>
      </c>
      <c r="F67" t="s">
        <v>60</v>
      </c>
      <c r="G67">
        <v>0.25</v>
      </c>
      <c r="H67">
        <v>7.32</v>
      </c>
      <c r="I67">
        <v>0</v>
      </c>
      <c r="J67">
        <v>0</v>
      </c>
      <c r="K67">
        <v>7.57</v>
      </c>
      <c r="L67" t="s">
        <v>61</v>
      </c>
      <c r="M67">
        <v>386</v>
      </c>
      <c r="N67">
        <v>51.01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70</v>
      </c>
      <c r="D68">
        <v>106534472</v>
      </c>
      <c r="E68" t="s">
        <v>81</v>
      </c>
      <c r="F68" t="s">
        <v>60</v>
      </c>
      <c r="G68">
        <v>0.25</v>
      </c>
      <c r="H68">
        <v>7.32</v>
      </c>
      <c r="I68">
        <v>0</v>
      </c>
      <c r="J68">
        <v>0</v>
      </c>
      <c r="K68">
        <v>7.57</v>
      </c>
      <c r="L68" t="s">
        <v>61</v>
      </c>
      <c r="M68">
        <v>386</v>
      </c>
      <c r="N68">
        <v>51.01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106534472</v>
      </c>
      <c r="E69" t="s">
        <v>81</v>
      </c>
      <c r="F69" t="s">
        <v>60</v>
      </c>
      <c r="G69">
        <v>0.25</v>
      </c>
      <c r="H69">
        <v>7.32</v>
      </c>
      <c r="I69">
        <v>0</v>
      </c>
      <c r="J69">
        <v>0</v>
      </c>
      <c r="K69">
        <v>7.57</v>
      </c>
      <c r="L69" t="s">
        <v>61</v>
      </c>
      <c r="M69">
        <v>386</v>
      </c>
      <c r="N69">
        <v>51.01</v>
      </c>
      <c r="O69" t="s">
        <v>62</v>
      </c>
      <c r="P69" t="s">
        <v>67</v>
      </c>
      <c r="Q69">
        <v>1282</v>
      </c>
      <c r="R69">
        <v>169.43</v>
      </c>
    </row>
    <row r="70" spans="1:18" x14ac:dyDescent="0.35">
      <c r="A70" t="s">
        <v>56</v>
      </c>
      <c r="B70" t="s">
        <v>57</v>
      </c>
      <c r="C70" t="s">
        <v>70</v>
      </c>
      <c r="D70">
        <v>106534472</v>
      </c>
      <c r="E70" t="s">
        <v>81</v>
      </c>
      <c r="F70" t="s">
        <v>60</v>
      </c>
      <c r="G70">
        <v>0.25</v>
      </c>
      <c r="H70">
        <v>7.32</v>
      </c>
      <c r="I70">
        <v>0</v>
      </c>
      <c r="J70">
        <v>0</v>
      </c>
      <c r="K70">
        <v>7.57</v>
      </c>
      <c r="L70" t="s">
        <v>61</v>
      </c>
      <c r="M70">
        <v>386</v>
      </c>
      <c r="N70">
        <v>51.01</v>
      </c>
      <c r="O70" t="s">
        <v>68</v>
      </c>
      <c r="P70" t="s">
        <v>67</v>
      </c>
      <c r="Q70">
        <v>386</v>
      </c>
      <c r="R70">
        <v>51.01</v>
      </c>
    </row>
    <row r="71" spans="1:18" x14ac:dyDescent="0.35">
      <c r="A71" t="s">
        <v>56</v>
      </c>
      <c r="B71" t="s">
        <v>57</v>
      </c>
      <c r="C71" t="s">
        <v>70</v>
      </c>
      <c r="D71">
        <v>106534472</v>
      </c>
      <c r="E71" t="s">
        <v>81</v>
      </c>
      <c r="F71" t="s">
        <v>60</v>
      </c>
      <c r="G71">
        <v>0.25</v>
      </c>
      <c r="H71">
        <v>7.32</v>
      </c>
      <c r="I71">
        <v>0</v>
      </c>
      <c r="J71">
        <v>0</v>
      </c>
      <c r="K71">
        <v>7.57</v>
      </c>
      <c r="L71" t="s">
        <v>61</v>
      </c>
      <c r="M71">
        <v>386</v>
      </c>
      <c r="N71">
        <v>51.01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70</v>
      </c>
      <c r="D72">
        <v>106576095</v>
      </c>
      <c r="E72" t="s">
        <v>563</v>
      </c>
      <c r="F72" t="s">
        <v>72</v>
      </c>
      <c r="G72">
        <v>1.66</v>
      </c>
      <c r="H72">
        <v>6.84</v>
      </c>
      <c r="I72">
        <v>0</v>
      </c>
      <c r="J72">
        <v>0</v>
      </c>
      <c r="K72">
        <v>8.5</v>
      </c>
      <c r="L72" t="s">
        <v>61</v>
      </c>
      <c r="M72">
        <v>267</v>
      </c>
      <c r="N72">
        <v>31.4</v>
      </c>
      <c r="O72" t="s">
        <v>62</v>
      </c>
      <c r="P72" t="s">
        <v>63</v>
      </c>
      <c r="Q72">
        <v>3244</v>
      </c>
      <c r="R72">
        <v>1951.6</v>
      </c>
    </row>
    <row r="73" spans="1:18" x14ac:dyDescent="0.35">
      <c r="A73" t="s">
        <v>56</v>
      </c>
      <c r="B73" t="s">
        <v>57</v>
      </c>
      <c r="C73" t="s">
        <v>70</v>
      </c>
      <c r="D73">
        <v>106576095</v>
      </c>
      <c r="E73" t="s">
        <v>563</v>
      </c>
      <c r="F73" t="s">
        <v>72</v>
      </c>
      <c r="G73">
        <v>1.66</v>
      </c>
      <c r="H73">
        <v>6.84</v>
      </c>
      <c r="I73">
        <v>0</v>
      </c>
      <c r="J73">
        <v>0</v>
      </c>
      <c r="K73">
        <v>8.5</v>
      </c>
      <c r="L73" t="s">
        <v>61</v>
      </c>
      <c r="M73">
        <v>267</v>
      </c>
      <c r="N73">
        <v>31.4</v>
      </c>
      <c r="O73" t="s">
        <v>62</v>
      </c>
      <c r="P73" t="s">
        <v>64</v>
      </c>
      <c r="Q73">
        <v>2316</v>
      </c>
      <c r="R73">
        <v>338.61</v>
      </c>
    </row>
    <row r="74" spans="1:18" x14ac:dyDescent="0.35">
      <c r="A74" t="s">
        <v>56</v>
      </c>
      <c r="B74" t="s">
        <v>57</v>
      </c>
      <c r="C74" t="s">
        <v>70</v>
      </c>
      <c r="D74">
        <v>106576095</v>
      </c>
      <c r="E74" t="s">
        <v>563</v>
      </c>
      <c r="F74" t="s">
        <v>72</v>
      </c>
      <c r="G74">
        <v>1.66</v>
      </c>
      <c r="H74">
        <v>6.84</v>
      </c>
      <c r="I74">
        <v>0</v>
      </c>
      <c r="J74">
        <v>0</v>
      </c>
      <c r="K74">
        <v>8.5</v>
      </c>
      <c r="L74" t="s">
        <v>61</v>
      </c>
      <c r="M74">
        <v>267</v>
      </c>
      <c r="N74">
        <v>31.4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70</v>
      </c>
      <c r="D75">
        <v>106576095</v>
      </c>
      <c r="E75" t="s">
        <v>563</v>
      </c>
      <c r="F75" t="s">
        <v>72</v>
      </c>
      <c r="G75">
        <v>1.66</v>
      </c>
      <c r="H75">
        <v>6.84</v>
      </c>
      <c r="I75">
        <v>0</v>
      </c>
      <c r="J75">
        <v>0</v>
      </c>
      <c r="K75">
        <v>8.5</v>
      </c>
      <c r="L75" t="s">
        <v>61</v>
      </c>
      <c r="M75">
        <v>267</v>
      </c>
      <c r="N75">
        <v>31.4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70</v>
      </c>
      <c r="D76">
        <v>106576095</v>
      </c>
      <c r="E76" t="s">
        <v>563</v>
      </c>
      <c r="F76" t="s">
        <v>72</v>
      </c>
      <c r="G76">
        <v>1.66</v>
      </c>
      <c r="H76">
        <v>6.84</v>
      </c>
      <c r="I76">
        <v>0</v>
      </c>
      <c r="J76">
        <v>0</v>
      </c>
      <c r="K76">
        <v>8.5</v>
      </c>
      <c r="L76" t="s">
        <v>61</v>
      </c>
      <c r="M76">
        <v>267</v>
      </c>
      <c r="N76">
        <v>31.4</v>
      </c>
      <c r="O76" t="s">
        <v>62</v>
      </c>
      <c r="P76" t="s">
        <v>67</v>
      </c>
      <c r="Q76">
        <v>5560</v>
      </c>
      <c r="R76">
        <v>653.95000000000005</v>
      </c>
    </row>
    <row r="77" spans="1:18" x14ac:dyDescent="0.35">
      <c r="A77" t="s">
        <v>56</v>
      </c>
      <c r="B77" t="s">
        <v>57</v>
      </c>
      <c r="C77" t="s">
        <v>70</v>
      </c>
      <c r="D77">
        <v>106576095</v>
      </c>
      <c r="E77" t="s">
        <v>563</v>
      </c>
      <c r="F77" t="s">
        <v>72</v>
      </c>
      <c r="G77">
        <v>1.66</v>
      </c>
      <c r="H77">
        <v>6.84</v>
      </c>
      <c r="I77">
        <v>0</v>
      </c>
      <c r="J77">
        <v>0</v>
      </c>
      <c r="K77">
        <v>8.5</v>
      </c>
      <c r="L77" t="s">
        <v>61</v>
      </c>
      <c r="M77">
        <v>267</v>
      </c>
      <c r="N77">
        <v>31.4</v>
      </c>
      <c r="O77" t="s">
        <v>68</v>
      </c>
      <c r="P77" t="s">
        <v>67</v>
      </c>
      <c r="Q77">
        <v>262</v>
      </c>
      <c r="R77">
        <v>30.82</v>
      </c>
    </row>
    <row r="78" spans="1:18" x14ac:dyDescent="0.35">
      <c r="A78" t="s">
        <v>56</v>
      </c>
      <c r="B78" t="s">
        <v>57</v>
      </c>
      <c r="C78" t="s">
        <v>70</v>
      </c>
      <c r="D78">
        <v>106576095</v>
      </c>
      <c r="E78" t="s">
        <v>563</v>
      </c>
      <c r="F78" t="s">
        <v>72</v>
      </c>
      <c r="G78">
        <v>1.66</v>
      </c>
      <c r="H78">
        <v>6.84</v>
      </c>
      <c r="I78">
        <v>0</v>
      </c>
      <c r="J78">
        <v>0</v>
      </c>
      <c r="K78">
        <v>8.5</v>
      </c>
      <c r="L78" t="s">
        <v>61</v>
      </c>
      <c r="M78">
        <v>267</v>
      </c>
      <c r="N78">
        <v>31.4</v>
      </c>
      <c r="O78" t="s">
        <v>69</v>
      </c>
      <c r="P78" t="s">
        <v>67</v>
      </c>
      <c r="Q78">
        <v>4</v>
      </c>
      <c r="R78">
        <v>0.47</v>
      </c>
    </row>
    <row r="79" spans="1:18" x14ac:dyDescent="0.35">
      <c r="A79" t="s">
        <v>56</v>
      </c>
      <c r="B79" t="s">
        <v>57</v>
      </c>
      <c r="C79" t="s">
        <v>70</v>
      </c>
      <c r="D79">
        <v>106660730</v>
      </c>
      <c r="E79" t="s">
        <v>571</v>
      </c>
      <c r="F79" t="s">
        <v>72</v>
      </c>
      <c r="G79">
        <v>0.39</v>
      </c>
      <c r="H79">
        <v>5.56</v>
      </c>
      <c r="I79">
        <v>0</v>
      </c>
      <c r="J79">
        <v>0</v>
      </c>
      <c r="K79">
        <v>5.95</v>
      </c>
      <c r="L79" t="s">
        <v>61</v>
      </c>
      <c r="M79">
        <v>338</v>
      </c>
      <c r="N79">
        <v>56.8</v>
      </c>
      <c r="O79" t="s">
        <v>62</v>
      </c>
      <c r="P79" t="s">
        <v>63</v>
      </c>
      <c r="Q79">
        <v>518</v>
      </c>
      <c r="R79">
        <v>1326.32</v>
      </c>
    </row>
    <row r="80" spans="1:18" x14ac:dyDescent="0.35">
      <c r="A80" t="s">
        <v>56</v>
      </c>
      <c r="B80" t="s">
        <v>57</v>
      </c>
      <c r="C80" t="s">
        <v>70</v>
      </c>
      <c r="D80">
        <v>106660730</v>
      </c>
      <c r="E80" t="s">
        <v>571</v>
      </c>
      <c r="F80" t="s">
        <v>72</v>
      </c>
      <c r="G80">
        <v>0.39</v>
      </c>
      <c r="H80">
        <v>5.56</v>
      </c>
      <c r="I80">
        <v>0</v>
      </c>
      <c r="J80">
        <v>0</v>
      </c>
      <c r="K80">
        <v>5.95</v>
      </c>
      <c r="L80" t="s">
        <v>61</v>
      </c>
      <c r="M80">
        <v>338</v>
      </c>
      <c r="N80">
        <v>56.8</v>
      </c>
      <c r="O80" t="s">
        <v>62</v>
      </c>
      <c r="P80" t="s">
        <v>64</v>
      </c>
      <c r="Q80">
        <v>1279</v>
      </c>
      <c r="R80">
        <v>230.04</v>
      </c>
    </row>
    <row r="81" spans="1:18" x14ac:dyDescent="0.35">
      <c r="A81" t="s">
        <v>56</v>
      </c>
      <c r="B81" t="s">
        <v>57</v>
      </c>
      <c r="C81" t="s">
        <v>70</v>
      </c>
      <c r="D81">
        <v>106660730</v>
      </c>
      <c r="E81" t="s">
        <v>571</v>
      </c>
      <c r="F81" t="s">
        <v>72</v>
      </c>
      <c r="G81">
        <v>0.39</v>
      </c>
      <c r="H81">
        <v>5.56</v>
      </c>
      <c r="I81">
        <v>0</v>
      </c>
      <c r="J81">
        <v>0</v>
      </c>
      <c r="K81">
        <v>5.95</v>
      </c>
      <c r="L81" t="s">
        <v>61</v>
      </c>
      <c r="M81">
        <v>338</v>
      </c>
      <c r="N81">
        <v>56.8</v>
      </c>
      <c r="O81" t="s">
        <v>62</v>
      </c>
      <c r="P81" t="s">
        <v>65</v>
      </c>
      <c r="Q81">
        <v>0</v>
      </c>
      <c r="R81">
        <v>0</v>
      </c>
    </row>
    <row r="82" spans="1:18" x14ac:dyDescent="0.35">
      <c r="A82" t="s">
        <v>56</v>
      </c>
      <c r="B82" t="s">
        <v>57</v>
      </c>
      <c r="C82" t="s">
        <v>70</v>
      </c>
      <c r="D82">
        <v>106660730</v>
      </c>
      <c r="E82" t="s">
        <v>571</v>
      </c>
      <c r="F82" t="s">
        <v>72</v>
      </c>
      <c r="G82">
        <v>0.39</v>
      </c>
      <c r="H82">
        <v>5.56</v>
      </c>
      <c r="I82">
        <v>0</v>
      </c>
      <c r="J82">
        <v>0</v>
      </c>
      <c r="K82">
        <v>5.95</v>
      </c>
      <c r="L82" t="s">
        <v>61</v>
      </c>
      <c r="M82">
        <v>338</v>
      </c>
      <c r="N82">
        <v>56.8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106660730</v>
      </c>
      <c r="E83" t="s">
        <v>571</v>
      </c>
      <c r="F83" t="s">
        <v>72</v>
      </c>
      <c r="G83">
        <v>0.39</v>
      </c>
      <c r="H83">
        <v>5.56</v>
      </c>
      <c r="I83">
        <v>0</v>
      </c>
      <c r="J83">
        <v>0</v>
      </c>
      <c r="K83">
        <v>5.95</v>
      </c>
      <c r="L83" t="s">
        <v>61</v>
      </c>
      <c r="M83">
        <v>338</v>
      </c>
      <c r="N83">
        <v>56.8</v>
      </c>
      <c r="O83" t="s">
        <v>62</v>
      </c>
      <c r="P83" t="s">
        <v>67</v>
      </c>
      <c r="Q83">
        <v>1797</v>
      </c>
      <c r="R83">
        <v>301.97000000000003</v>
      </c>
    </row>
    <row r="84" spans="1:18" x14ac:dyDescent="0.35">
      <c r="A84" t="s">
        <v>56</v>
      </c>
      <c r="B84" t="s">
        <v>57</v>
      </c>
      <c r="C84" t="s">
        <v>70</v>
      </c>
      <c r="D84">
        <v>106660730</v>
      </c>
      <c r="E84" t="s">
        <v>571</v>
      </c>
      <c r="F84" t="s">
        <v>72</v>
      </c>
      <c r="G84">
        <v>0.39</v>
      </c>
      <c r="H84">
        <v>5.56</v>
      </c>
      <c r="I84">
        <v>0</v>
      </c>
      <c r="J84">
        <v>0</v>
      </c>
      <c r="K84">
        <v>5.95</v>
      </c>
      <c r="L84" t="s">
        <v>61</v>
      </c>
      <c r="M84">
        <v>338</v>
      </c>
      <c r="N84">
        <v>56.8</v>
      </c>
      <c r="O84" t="s">
        <v>68</v>
      </c>
      <c r="P84" t="s">
        <v>67</v>
      </c>
      <c r="Q84">
        <v>338</v>
      </c>
      <c r="R84">
        <v>56.8</v>
      </c>
    </row>
    <row r="85" spans="1:18" x14ac:dyDescent="0.35">
      <c r="A85" t="s">
        <v>56</v>
      </c>
      <c r="B85" t="s">
        <v>57</v>
      </c>
      <c r="C85" t="s">
        <v>70</v>
      </c>
      <c r="D85">
        <v>106660730</v>
      </c>
      <c r="E85" t="s">
        <v>571</v>
      </c>
      <c r="F85" t="s">
        <v>72</v>
      </c>
      <c r="G85">
        <v>0.39</v>
      </c>
      <c r="H85">
        <v>5.56</v>
      </c>
      <c r="I85">
        <v>0</v>
      </c>
      <c r="J85">
        <v>0</v>
      </c>
      <c r="K85">
        <v>5.95</v>
      </c>
      <c r="L85" t="s">
        <v>61</v>
      </c>
      <c r="M85">
        <v>338</v>
      </c>
      <c r="N85">
        <v>56.8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70</v>
      </c>
      <c r="D86">
        <v>107212683</v>
      </c>
      <c r="E86" t="s">
        <v>673</v>
      </c>
      <c r="F86" t="s">
        <v>60</v>
      </c>
      <c r="G86">
        <v>0.33</v>
      </c>
      <c r="H86">
        <v>9.67</v>
      </c>
      <c r="I86">
        <v>0</v>
      </c>
      <c r="J86">
        <v>0</v>
      </c>
      <c r="K86">
        <v>10</v>
      </c>
      <c r="L86" t="s">
        <v>61</v>
      </c>
      <c r="M86">
        <v>475</v>
      </c>
      <c r="N86">
        <v>47.5</v>
      </c>
      <c r="O86" t="s">
        <v>62</v>
      </c>
      <c r="P86" t="s">
        <v>63</v>
      </c>
      <c r="Q86">
        <v>440</v>
      </c>
      <c r="R86">
        <v>1321.1</v>
      </c>
    </row>
    <row r="87" spans="1:18" x14ac:dyDescent="0.35">
      <c r="A87" t="s">
        <v>56</v>
      </c>
      <c r="B87" t="s">
        <v>57</v>
      </c>
      <c r="C87" t="s">
        <v>70</v>
      </c>
      <c r="D87">
        <v>107212683</v>
      </c>
      <c r="E87" t="s">
        <v>673</v>
      </c>
      <c r="F87" t="s">
        <v>60</v>
      </c>
      <c r="G87">
        <v>0.33</v>
      </c>
      <c r="H87">
        <v>9.67</v>
      </c>
      <c r="I87">
        <v>0</v>
      </c>
      <c r="J87">
        <v>0</v>
      </c>
      <c r="K87">
        <v>10</v>
      </c>
      <c r="L87" t="s">
        <v>61</v>
      </c>
      <c r="M87">
        <v>475</v>
      </c>
      <c r="N87">
        <v>47.5</v>
      </c>
      <c r="O87" t="s">
        <v>62</v>
      </c>
      <c r="P87" t="s">
        <v>64</v>
      </c>
      <c r="Q87">
        <v>2214</v>
      </c>
      <c r="R87">
        <v>229.03</v>
      </c>
    </row>
    <row r="88" spans="1:18" x14ac:dyDescent="0.35">
      <c r="A88" t="s">
        <v>56</v>
      </c>
      <c r="B88" t="s">
        <v>57</v>
      </c>
      <c r="C88" t="s">
        <v>70</v>
      </c>
      <c r="D88">
        <v>107212683</v>
      </c>
      <c r="E88" t="s">
        <v>673</v>
      </c>
      <c r="F88" t="s">
        <v>60</v>
      </c>
      <c r="G88">
        <v>0.33</v>
      </c>
      <c r="H88">
        <v>9.67</v>
      </c>
      <c r="I88">
        <v>0</v>
      </c>
      <c r="J88">
        <v>0</v>
      </c>
      <c r="K88">
        <v>10</v>
      </c>
      <c r="L88" t="s">
        <v>61</v>
      </c>
      <c r="M88">
        <v>475</v>
      </c>
      <c r="N88">
        <v>47.5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70</v>
      </c>
      <c r="D89">
        <v>107212683</v>
      </c>
      <c r="E89" t="s">
        <v>673</v>
      </c>
      <c r="F89" t="s">
        <v>60</v>
      </c>
      <c r="G89">
        <v>0.33</v>
      </c>
      <c r="H89">
        <v>9.67</v>
      </c>
      <c r="I89">
        <v>0</v>
      </c>
      <c r="J89">
        <v>0</v>
      </c>
      <c r="K89">
        <v>10</v>
      </c>
      <c r="L89" t="s">
        <v>61</v>
      </c>
      <c r="M89">
        <v>475</v>
      </c>
      <c r="N89">
        <v>47.5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107212683</v>
      </c>
      <c r="E90" t="s">
        <v>673</v>
      </c>
      <c r="F90" t="s">
        <v>60</v>
      </c>
      <c r="G90">
        <v>0.33</v>
      </c>
      <c r="H90">
        <v>9.67</v>
      </c>
      <c r="I90">
        <v>0</v>
      </c>
      <c r="J90">
        <v>0</v>
      </c>
      <c r="K90">
        <v>10</v>
      </c>
      <c r="L90" t="s">
        <v>61</v>
      </c>
      <c r="M90">
        <v>475</v>
      </c>
      <c r="N90">
        <v>47.5</v>
      </c>
      <c r="O90" t="s">
        <v>62</v>
      </c>
      <c r="P90" t="s">
        <v>67</v>
      </c>
      <c r="Q90">
        <v>2654</v>
      </c>
      <c r="R90">
        <v>265.39999999999998</v>
      </c>
    </row>
    <row r="91" spans="1:18" x14ac:dyDescent="0.35">
      <c r="A91" t="s">
        <v>56</v>
      </c>
      <c r="B91" t="s">
        <v>57</v>
      </c>
      <c r="C91" t="s">
        <v>70</v>
      </c>
      <c r="D91">
        <v>107212683</v>
      </c>
      <c r="E91" t="s">
        <v>673</v>
      </c>
      <c r="F91" t="s">
        <v>60</v>
      </c>
      <c r="G91">
        <v>0.33</v>
      </c>
      <c r="H91">
        <v>9.67</v>
      </c>
      <c r="I91">
        <v>0</v>
      </c>
      <c r="J91">
        <v>0</v>
      </c>
      <c r="K91">
        <v>10</v>
      </c>
      <c r="L91" t="s">
        <v>61</v>
      </c>
      <c r="M91">
        <v>475</v>
      </c>
      <c r="N91">
        <v>47.5</v>
      </c>
      <c r="O91" t="s">
        <v>68</v>
      </c>
      <c r="P91" t="s">
        <v>67</v>
      </c>
      <c r="Q91">
        <v>475</v>
      </c>
      <c r="R91">
        <v>47.5</v>
      </c>
    </row>
    <row r="92" spans="1:18" x14ac:dyDescent="0.35">
      <c r="A92" t="s">
        <v>56</v>
      </c>
      <c r="B92" t="s">
        <v>57</v>
      </c>
      <c r="C92" t="s">
        <v>70</v>
      </c>
      <c r="D92">
        <v>107212683</v>
      </c>
      <c r="E92" t="s">
        <v>673</v>
      </c>
      <c r="F92" t="s">
        <v>60</v>
      </c>
      <c r="G92">
        <v>0.33</v>
      </c>
      <c r="H92">
        <v>9.67</v>
      </c>
      <c r="I92">
        <v>0</v>
      </c>
      <c r="J92">
        <v>0</v>
      </c>
      <c r="K92">
        <v>10</v>
      </c>
      <c r="L92" t="s">
        <v>61</v>
      </c>
      <c r="M92">
        <v>475</v>
      </c>
      <c r="N92">
        <v>47.5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58</v>
      </c>
      <c r="D93">
        <v>107221179</v>
      </c>
      <c r="E93" t="s">
        <v>83</v>
      </c>
      <c r="F93" t="s">
        <v>72</v>
      </c>
      <c r="G93">
        <v>0.7</v>
      </c>
      <c r="H93">
        <v>8.3000000000000007</v>
      </c>
      <c r="I93">
        <v>0</v>
      </c>
      <c r="J93">
        <v>0</v>
      </c>
      <c r="K93">
        <v>9</v>
      </c>
      <c r="L93" t="s">
        <v>61</v>
      </c>
      <c r="M93">
        <v>488</v>
      </c>
      <c r="N93">
        <v>54.22</v>
      </c>
      <c r="O93" t="s">
        <v>62</v>
      </c>
      <c r="P93" t="s">
        <v>63</v>
      </c>
      <c r="Q93">
        <v>1242</v>
      </c>
      <c r="R93">
        <v>1765.18</v>
      </c>
    </row>
    <row r="94" spans="1:18" x14ac:dyDescent="0.35">
      <c r="A94" t="s">
        <v>56</v>
      </c>
      <c r="B94" t="s">
        <v>57</v>
      </c>
      <c r="C94" t="s">
        <v>58</v>
      </c>
      <c r="D94">
        <v>107221179</v>
      </c>
      <c r="E94" t="s">
        <v>83</v>
      </c>
      <c r="F94" t="s">
        <v>72</v>
      </c>
      <c r="G94">
        <v>0.7</v>
      </c>
      <c r="H94">
        <v>8.3000000000000007</v>
      </c>
      <c r="I94">
        <v>0</v>
      </c>
      <c r="J94">
        <v>0</v>
      </c>
      <c r="K94">
        <v>9</v>
      </c>
      <c r="L94" t="s">
        <v>61</v>
      </c>
      <c r="M94">
        <v>488</v>
      </c>
      <c r="N94">
        <v>54.22</v>
      </c>
      <c r="O94" t="s">
        <v>62</v>
      </c>
      <c r="P94" t="s">
        <v>64</v>
      </c>
      <c r="Q94">
        <v>2540</v>
      </c>
      <c r="R94">
        <v>306.17</v>
      </c>
    </row>
    <row r="95" spans="1:18" x14ac:dyDescent="0.35">
      <c r="A95" t="s">
        <v>56</v>
      </c>
      <c r="B95" t="s">
        <v>57</v>
      </c>
      <c r="C95" t="s">
        <v>58</v>
      </c>
      <c r="D95">
        <v>107221179</v>
      </c>
      <c r="E95" t="s">
        <v>83</v>
      </c>
      <c r="F95" t="s">
        <v>72</v>
      </c>
      <c r="G95">
        <v>0.7</v>
      </c>
      <c r="H95">
        <v>8.3000000000000007</v>
      </c>
      <c r="I95">
        <v>0</v>
      </c>
      <c r="J95">
        <v>0</v>
      </c>
      <c r="K95">
        <v>9</v>
      </c>
      <c r="L95" t="s">
        <v>61</v>
      </c>
      <c r="M95">
        <v>488</v>
      </c>
      <c r="N95">
        <v>54.22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58</v>
      </c>
      <c r="D96">
        <v>107221179</v>
      </c>
      <c r="E96" t="s">
        <v>83</v>
      </c>
      <c r="F96" t="s">
        <v>72</v>
      </c>
      <c r="G96">
        <v>0.7</v>
      </c>
      <c r="H96">
        <v>8.3000000000000007</v>
      </c>
      <c r="I96">
        <v>0</v>
      </c>
      <c r="J96">
        <v>0</v>
      </c>
      <c r="K96">
        <v>9</v>
      </c>
      <c r="L96" t="s">
        <v>61</v>
      </c>
      <c r="M96">
        <v>488</v>
      </c>
      <c r="N96">
        <v>54.22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58</v>
      </c>
      <c r="D97">
        <v>107221179</v>
      </c>
      <c r="E97" t="s">
        <v>83</v>
      </c>
      <c r="F97" t="s">
        <v>72</v>
      </c>
      <c r="G97">
        <v>0.7</v>
      </c>
      <c r="H97">
        <v>8.3000000000000007</v>
      </c>
      <c r="I97">
        <v>0</v>
      </c>
      <c r="J97">
        <v>0</v>
      </c>
      <c r="K97">
        <v>9</v>
      </c>
      <c r="L97" t="s">
        <v>61</v>
      </c>
      <c r="M97">
        <v>488</v>
      </c>
      <c r="N97">
        <v>54.22</v>
      </c>
      <c r="O97" t="s">
        <v>62</v>
      </c>
      <c r="P97" t="s">
        <v>67</v>
      </c>
      <c r="Q97">
        <v>3782</v>
      </c>
      <c r="R97">
        <v>420.22</v>
      </c>
    </row>
    <row r="98" spans="1:18" x14ac:dyDescent="0.35">
      <c r="A98" t="s">
        <v>56</v>
      </c>
      <c r="B98" t="s">
        <v>57</v>
      </c>
      <c r="C98" t="s">
        <v>58</v>
      </c>
      <c r="D98">
        <v>107221179</v>
      </c>
      <c r="E98" t="s">
        <v>83</v>
      </c>
      <c r="F98" t="s">
        <v>72</v>
      </c>
      <c r="G98">
        <v>0.7</v>
      </c>
      <c r="H98">
        <v>8.3000000000000007</v>
      </c>
      <c r="I98">
        <v>0</v>
      </c>
      <c r="J98">
        <v>0</v>
      </c>
      <c r="K98">
        <v>9</v>
      </c>
      <c r="L98" t="s">
        <v>61</v>
      </c>
      <c r="M98">
        <v>488</v>
      </c>
      <c r="N98">
        <v>54.22</v>
      </c>
      <c r="O98" t="s">
        <v>68</v>
      </c>
      <c r="P98" t="s">
        <v>67</v>
      </c>
      <c r="Q98">
        <v>488</v>
      </c>
      <c r="R98">
        <v>54.22</v>
      </c>
    </row>
    <row r="99" spans="1:18" x14ac:dyDescent="0.35">
      <c r="A99" t="s">
        <v>56</v>
      </c>
      <c r="B99" t="s">
        <v>57</v>
      </c>
      <c r="C99" t="s">
        <v>58</v>
      </c>
      <c r="D99">
        <v>107221179</v>
      </c>
      <c r="E99" t="s">
        <v>83</v>
      </c>
      <c r="F99" t="s">
        <v>72</v>
      </c>
      <c r="G99">
        <v>0.7</v>
      </c>
      <c r="H99">
        <v>8.3000000000000007</v>
      </c>
      <c r="I99">
        <v>0</v>
      </c>
      <c r="J99">
        <v>0</v>
      </c>
      <c r="K99">
        <v>9</v>
      </c>
      <c r="L99" t="s">
        <v>61</v>
      </c>
      <c r="M99">
        <v>488</v>
      </c>
      <c r="N99">
        <v>54.22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70</v>
      </c>
      <c r="D100">
        <v>107221213</v>
      </c>
      <c r="E100" t="s">
        <v>85</v>
      </c>
      <c r="F100" t="s">
        <v>60</v>
      </c>
      <c r="G100">
        <v>1.33</v>
      </c>
      <c r="H100">
        <v>8.67</v>
      </c>
      <c r="I100">
        <v>0</v>
      </c>
      <c r="J100">
        <v>0</v>
      </c>
      <c r="K100">
        <v>10</v>
      </c>
      <c r="L100" t="s">
        <v>61</v>
      </c>
      <c r="M100">
        <v>383</v>
      </c>
      <c r="N100">
        <v>38.299999999999997</v>
      </c>
      <c r="O100" t="s">
        <v>62</v>
      </c>
      <c r="P100" t="s">
        <v>63</v>
      </c>
      <c r="Q100">
        <v>2436</v>
      </c>
      <c r="R100">
        <v>1835.8</v>
      </c>
    </row>
    <row r="101" spans="1:18" x14ac:dyDescent="0.35">
      <c r="A101" t="s">
        <v>56</v>
      </c>
      <c r="B101" t="s">
        <v>57</v>
      </c>
      <c r="C101" t="s">
        <v>70</v>
      </c>
      <c r="D101">
        <v>107221213</v>
      </c>
      <c r="E101" t="s">
        <v>85</v>
      </c>
      <c r="F101" t="s">
        <v>60</v>
      </c>
      <c r="G101">
        <v>1.33</v>
      </c>
      <c r="H101">
        <v>8.67</v>
      </c>
      <c r="I101">
        <v>0</v>
      </c>
      <c r="J101">
        <v>0</v>
      </c>
      <c r="K101">
        <v>10</v>
      </c>
      <c r="L101" t="s">
        <v>61</v>
      </c>
      <c r="M101">
        <v>383</v>
      </c>
      <c r="N101">
        <v>38.299999999999997</v>
      </c>
      <c r="O101" t="s">
        <v>62</v>
      </c>
      <c r="P101" t="s">
        <v>64</v>
      </c>
      <c r="Q101">
        <v>2762</v>
      </c>
      <c r="R101">
        <v>318.47000000000003</v>
      </c>
    </row>
    <row r="102" spans="1:18" x14ac:dyDescent="0.35">
      <c r="A102" t="s">
        <v>56</v>
      </c>
      <c r="B102" t="s">
        <v>57</v>
      </c>
      <c r="C102" t="s">
        <v>70</v>
      </c>
      <c r="D102">
        <v>107221213</v>
      </c>
      <c r="E102" t="s">
        <v>85</v>
      </c>
      <c r="F102" t="s">
        <v>60</v>
      </c>
      <c r="G102">
        <v>1.33</v>
      </c>
      <c r="H102">
        <v>8.67</v>
      </c>
      <c r="I102">
        <v>0</v>
      </c>
      <c r="J102">
        <v>0</v>
      </c>
      <c r="K102">
        <v>10</v>
      </c>
      <c r="L102" t="s">
        <v>61</v>
      </c>
      <c r="M102">
        <v>383</v>
      </c>
      <c r="N102">
        <v>38.299999999999997</v>
      </c>
      <c r="O102" t="s">
        <v>62</v>
      </c>
      <c r="P102" t="s">
        <v>65</v>
      </c>
      <c r="Q102">
        <v>0</v>
      </c>
      <c r="R102">
        <v>0</v>
      </c>
    </row>
    <row r="103" spans="1:18" x14ac:dyDescent="0.35">
      <c r="A103" t="s">
        <v>56</v>
      </c>
      <c r="B103" t="s">
        <v>57</v>
      </c>
      <c r="C103" t="s">
        <v>70</v>
      </c>
      <c r="D103">
        <v>107221213</v>
      </c>
      <c r="E103" t="s">
        <v>85</v>
      </c>
      <c r="F103" t="s">
        <v>60</v>
      </c>
      <c r="G103">
        <v>1.33</v>
      </c>
      <c r="H103">
        <v>8.67</v>
      </c>
      <c r="I103">
        <v>0</v>
      </c>
      <c r="J103">
        <v>0</v>
      </c>
      <c r="K103">
        <v>10</v>
      </c>
      <c r="L103" t="s">
        <v>61</v>
      </c>
      <c r="M103">
        <v>383</v>
      </c>
      <c r="N103">
        <v>38.299999999999997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107221213</v>
      </c>
      <c r="E104" t="s">
        <v>85</v>
      </c>
      <c r="F104" t="s">
        <v>60</v>
      </c>
      <c r="G104">
        <v>1.33</v>
      </c>
      <c r="H104">
        <v>8.67</v>
      </c>
      <c r="I104">
        <v>0</v>
      </c>
      <c r="J104">
        <v>0</v>
      </c>
      <c r="K104">
        <v>10</v>
      </c>
      <c r="L104" t="s">
        <v>61</v>
      </c>
      <c r="M104">
        <v>383</v>
      </c>
      <c r="N104">
        <v>38.299999999999997</v>
      </c>
      <c r="O104" t="s">
        <v>62</v>
      </c>
      <c r="P104" t="s">
        <v>67</v>
      </c>
      <c r="Q104">
        <v>5198</v>
      </c>
      <c r="R104">
        <v>519.79999999999995</v>
      </c>
    </row>
    <row r="105" spans="1:18" x14ac:dyDescent="0.35">
      <c r="A105" t="s">
        <v>56</v>
      </c>
      <c r="B105" t="s">
        <v>57</v>
      </c>
      <c r="C105" t="s">
        <v>70</v>
      </c>
      <c r="D105">
        <v>107221213</v>
      </c>
      <c r="E105" t="s">
        <v>85</v>
      </c>
      <c r="F105" t="s">
        <v>60</v>
      </c>
      <c r="G105">
        <v>1.33</v>
      </c>
      <c r="H105">
        <v>8.67</v>
      </c>
      <c r="I105">
        <v>0</v>
      </c>
      <c r="J105">
        <v>0</v>
      </c>
      <c r="K105">
        <v>10</v>
      </c>
      <c r="L105" t="s">
        <v>61</v>
      </c>
      <c r="M105">
        <v>383</v>
      </c>
      <c r="N105">
        <v>38.299999999999997</v>
      </c>
      <c r="O105" t="s">
        <v>68</v>
      </c>
      <c r="P105" t="s">
        <v>67</v>
      </c>
      <c r="Q105">
        <v>383</v>
      </c>
      <c r="R105">
        <v>38.299999999999997</v>
      </c>
    </row>
    <row r="106" spans="1:18" x14ac:dyDescent="0.35">
      <c r="A106" t="s">
        <v>56</v>
      </c>
      <c r="B106" t="s">
        <v>57</v>
      </c>
      <c r="C106" t="s">
        <v>70</v>
      </c>
      <c r="D106">
        <v>107221213</v>
      </c>
      <c r="E106" t="s">
        <v>85</v>
      </c>
      <c r="F106" t="s">
        <v>60</v>
      </c>
      <c r="G106">
        <v>1.33</v>
      </c>
      <c r="H106">
        <v>8.67</v>
      </c>
      <c r="I106">
        <v>0</v>
      </c>
      <c r="J106">
        <v>0</v>
      </c>
      <c r="K106">
        <v>10</v>
      </c>
      <c r="L106" t="s">
        <v>61</v>
      </c>
      <c r="M106">
        <v>383</v>
      </c>
      <c r="N106">
        <v>38.299999999999997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107221222</v>
      </c>
      <c r="E107" t="s">
        <v>86</v>
      </c>
      <c r="F107" t="s">
        <v>72</v>
      </c>
      <c r="G107">
        <v>0.89</v>
      </c>
      <c r="H107">
        <v>9.18</v>
      </c>
      <c r="I107">
        <v>0.12</v>
      </c>
      <c r="J107">
        <v>0</v>
      </c>
      <c r="K107">
        <v>10.199999999999999</v>
      </c>
      <c r="L107" t="s">
        <v>61</v>
      </c>
      <c r="M107">
        <v>545</v>
      </c>
      <c r="N107">
        <v>53.43</v>
      </c>
      <c r="O107" t="s">
        <v>62</v>
      </c>
      <c r="P107" t="s">
        <v>63</v>
      </c>
      <c r="Q107">
        <v>1651</v>
      </c>
      <c r="R107">
        <v>1854.48</v>
      </c>
    </row>
    <row r="108" spans="1:18" x14ac:dyDescent="0.35">
      <c r="A108" t="s">
        <v>56</v>
      </c>
      <c r="B108" t="s">
        <v>57</v>
      </c>
      <c r="C108" t="s">
        <v>70</v>
      </c>
      <c r="D108">
        <v>107221222</v>
      </c>
      <c r="E108" t="s">
        <v>86</v>
      </c>
      <c r="F108" t="s">
        <v>72</v>
      </c>
      <c r="G108">
        <v>0.89</v>
      </c>
      <c r="H108">
        <v>9.18</v>
      </c>
      <c r="I108">
        <v>0.12</v>
      </c>
      <c r="J108">
        <v>0</v>
      </c>
      <c r="K108">
        <v>10.199999999999999</v>
      </c>
      <c r="L108" t="s">
        <v>61</v>
      </c>
      <c r="M108">
        <v>545</v>
      </c>
      <c r="N108">
        <v>53.43</v>
      </c>
      <c r="O108" t="s">
        <v>62</v>
      </c>
      <c r="P108" t="s">
        <v>64</v>
      </c>
      <c r="Q108">
        <v>2955</v>
      </c>
      <c r="R108">
        <v>321.74</v>
      </c>
    </row>
    <row r="109" spans="1:18" x14ac:dyDescent="0.35">
      <c r="A109" t="s">
        <v>56</v>
      </c>
      <c r="B109" t="s">
        <v>57</v>
      </c>
      <c r="C109" t="s">
        <v>70</v>
      </c>
      <c r="D109">
        <v>107221222</v>
      </c>
      <c r="E109" t="s">
        <v>86</v>
      </c>
      <c r="F109" t="s">
        <v>72</v>
      </c>
      <c r="G109">
        <v>0.89</v>
      </c>
      <c r="H109">
        <v>9.18</v>
      </c>
      <c r="I109">
        <v>0.12</v>
      </c>
      <c r="J109">
        <v>0</v>
      </c>
      <c r="K109">
        <v>10.199999999999999</v>
      </c>
      <c r="L109" t="s">
        <v>61</v>
      </c>
      <c r="M109">
        <v>545</v>
      </c>
      <c r="N109">
        <v>53.43</v>
      </c>
      <c r="O109" t="s">
        <v>62</v>
      </c>
      <c r="P109" t="s">
        <v>65</v>
      </c>
      <c r="Q109">
        <v>27</v>
      </c>
      <c r="R109">
        <v>216.48</v>
      </c>
    </row>
    <row r="110" spans="1:18" x14ac:dyDescent="0.35">
      <c r="A110" t="s">
        <v>56</v>
      </c>
      <c r="B110" t="s">
        <v>57</v>
      </c>
      <c r="C110" t="s">
        <v>70</v>
      </c>
      <c r="D110">
        <v>107221222</v>
      </c>
      <c r="E110" t="s">
        <v>86</v>
      </c>
      <c r="F110" t="s">
        <v>72</v>
      </c>
      <c r="G110">
        <v>0.89</v>
      </c>
      <c r="H110">
        <v>9.18</v>
      </c>
      <c r="I110">
        <v>0.12</v>
      </c>
      <c r="J110">
        <v>0</v>
      </c>
      <c r="K110">
        <v>10.199999999999999</v>
      </c>
      <c r="L110" t="s">
        <v>61</v>
      </c>
      <c r="M110">
        <v>545</v>
      </c>
      <c r="N110">
        <v>53.43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107221222</v>
      </c>
      <c r="E111" t="s">
        <v>86</v>
      </c>
      <c r="F111" t="s">
        <v>72</v>
      </c>
      <c r="G111">
        <v>0.89</v>
      </c>
      <c r="H111">
        <v>9.18</v>
      </c>
      <c r="I111">
        <v>0.12</v>
      </c>
      <c r="J111">
        <v>0</v>
      </c>
      <c r="K111">
        <v>10.199999999999999</v>
      </c>
      <c r="L111" t="s">
        <v>61</v>
      </c>
      <c r="M111">
        <v>545</v>
      </c>
      <c r="N111">
        <v>53.43</v>
      </c>
      <c r="O111" t="s">
        <v>62</v>
      </c>
      <c r="P111" t="s">
        <v>67</v>
      </c>
      <c r="Q111">
        <v>4633</v>
      </c>
      <c r="R111">
        <v>454.22</v>
      </c>
    </row>
    <row r="112" spans="1:18" x14ac:dyDescent="0.35">
      <c r="A112" t="s">
        <v>56</v>
      </c>
      <c r="B112" t="s">
        <v>57</v>
      </c>
      <c r="C112" t="s">
        <v>70</v>
      </c>
      <c r="D112">
        <v>107221222</v>
      </c>
      <c r="E112" t="s">
        <v>86</v>
      </c>
      <c r="F112" t="s">
        <v>72</v>
      </c>
      <c r="G112">
        <v>0.89</v>
      </c>
      <c r="H112">
        <v>9.18</v>
      </c>
      <c r="I112">
        <v>0.12</v>
      </c>
      <c r="J112">
        <v>0</v>
      </c>
      <c r="K112">
        <v>10.199999999999999</v>
      </c>
      <c r="L112" t="s">
        <v>61</v>
      </c>
      <c r="M112">
        <v>545</v>
      </c>
      <c r="N112">
        <v>53.43</v>
      </c>
      <c r="O112" t="s">
        <v>68</v>
      </c>
      <c r="P112" t="s">
        <v>67</v>
      </c>
      <c r="Q112">
        <v>545</v>
      </c>
      <c r="R112">
        <v>53.43</v>
      </c>
    </row>
    <row r="113" spans="1:18" x14ac:dyDescent="0.35">
      <c r="A113" t="s">
        <v>56</v>
      </c>
      <c r="B113" t="s">
        <v>57</v>
      </c>
      <c r="C113" t="s">
        <v>70</v>
      </c>
      <c r="D113">
        <v>107221222</v>
      </c>
      <c r="E113" t="s">
        <v>86</v>
      </c>
      <c r="F113" t="s">
        <v>72</v>
      </c>
      <c r="G113">
        <v>0.89</v>
      </c>
      <c r="H113">
        <v>9.18</v>
      </c>
      <c r="I113">
        <v>0.12</v>
      </c>
      <c r="J113">
        <v>0</v>
      </c>
      <c r="K113">
        <v>10.199999999999999</v>
      </c>
      <c r="L113" t="s">
        <v>61</v>
      </c>
      <c r="M113">
        <v>545</v>
      </c>
      <c r="N113">
        <v>53.43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58</v>
      </c>
      <c r="D114">
        <v>107221225</v>
      </c>
      <c r="E114" t="s">
        <v>87</v>
      </c>
      <c r="F114" t="s">
        <v>60</v>
      </c>
      <c r="G114">
        <v>0.41</v>
      </c>
      <c r="H114">
        <v>9.69</v>
      </c>
      <c r="I114">
        <v>0</v>
      </c>
      <c r="J114">
        <v>0</v>
      </c>
      <c r="K114">
        <v>10.1</v>
      </c>
      <c r="L114" t="s">
        <v>61</v>
      </c>
      <c r="M114">
        <v>343</v>
      </c>
      <c r="N114">
        <v>33.96</v>
      </c>
      <c r="O114" t="s">
        <v>62</v>
      </c>
      <c r="P114" t="s">
        <v>63</v>
      </c>
      <c r="Q114">
        <v>396</v>
      </c>
      <c r="R114">
        <v>973.77</v>
      </c>
    </row>
    <row r="115" spans="1:18" x14ac:dyDescent="0.35">
      <c r="A115" t="s">
        <v>56</v>
      </c>
      <c r="B115" t="s">
        <v>57</v>
      </c>
      <c r="C115" t="s">
        <v>58</v>
      </c>
      <c r="D115">
        <v>107221225</v>
      </c>
      <c r="E115" t="s">
        <v>87</v>
      </c>
      <c r="F115" t="s">
        <v>60</v>
      </c>
      <c r="G115">
        <v>0.41</v>
      </c>
      <c r="H115">
        <v>9.69</v>
      </c>
      <c r="I115">
        <v>0</v>
      </c>
      <c r="J115">
        <v>0</v>
      </c>
      <c r="K115">
        <v>10.1</v>
      </c>
      <c r="L115" t="s">
        <v>61</v>
      </c>
      <c r="M115">
        <v>343</v>
      </c>
      <c r="N115">
        <v>33.96</v>
      </c>
      <c r="O115" t="s">
        <v>62</v>
      </c>
      <c r="P115" t="s">
        <v>64</v>
      </c>
      <c r="Q115">
        <v>1637</v>
      </c>
      <c r="R115">
        <v>168.88</v>
      </c>
    </row>
    <row r="116" spans="1:18" x14ac:dyDescent="0.35">
      <c r="A116" t="s">
        <v>56</v>
      </c>
      <c r="B116" t="s">
        <v>57</v>
      </c>
      <c r="C116" t="s">
        <v>58</v>
      </c>
      <c r="D116">
        <v>107221225</v>
      </c>
      <c r="E116" t="s">
        <v>87</v>
      </c>
      <c r="F116" t="s">
        <v>60</v>
      </c>
      <c r="G116">
        <v>0.41</v>
      </c>
      <c r="H116">
        <v>9.69</v>
      </c>
      <c r="I116">
        <v>0</v>
      </c>
      <c r="J116">
        <v>0</v>
      </c>
      <c r="K116">
        <v>10.1</v>
      </c>
      <c r="L116" t="s">
        <v>61</v>
      </c>
      <c r="M116">
        <v>343</v>
      </c>
      <c r="N116">
        <v>33.96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58</v>
      </c>
      <c r="D117">
        <v>107221225</v>
      </c>
      <c r="E117" t="s">
        <v>87</v>
      </c>
      <c r="F117" t="s">
        <v>60</v>
      </c>
      <c r="G117">
        <v>0.41</v>
      </c>
      <c r="H117">
        <v>9.69</v>
      </c>
      <c r="I117">
        <v>0</v>
      </c>
      <c r="J117">
        <v>0</v>
      </c>
      <c r="K117">
        <v>10.1</v>
      </c>
      <c r="L117" t="s">
        <v>61</v>
      </c>
      <c r="M117">
        <v>343</v>
      </c>
      <c r="N117">
        <v>33.96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58</v>
      </c>
      <c r="D118">
        <v>107221225</v>
      </c>
      <c r="E118" t="s">
        <v>87</v>
      </c>
      <c r="F118" t="s">
        <v>60</v>
      </c>
      <c r="G118">
        <v>0.41</v>
      </c>
      <c r="H118">
        <v>9.69</v>
      </c>
      <c r="I118">
        <v>0</v>
      </c>
      <c r="J118">
        <v>0</v>
      </c>
      <c r="K118">
        <v>10.1</v>
      </c>
      <c r="L118" t="s">
        <v>61</v>
      </c>
      <c r="M118">
        <v>343</v>
      </c>
      <c r="N118">
        <v>33.96</v>
      </c>
      <c r="O118" t="s">
        <v>62</v>
      </c>
      <c r="P118" t="s">
        <v>67</v>
      </c>
      <c r="Q118">
        <v>2033</v>
      </c>
      <c r="R118">
        <v>201.29</v>
      </c>
    </row>
    <row r="119" spans="1:18" x14ac:dyDescent="0.35">
      <c r="A119" t="s">
        <v>56</v>
      </c>
      <c r="B119" t="s">
        <v>57</v>
      </c>
      <c r="C119" t="s">
        <v>58</v>
      </c>
      <c r="D119">
        <v>107221225</v>
      </c>
      <c r="E119" t="s">
        <v>87</v>
      </c>
      <c r="F119" t="s">
        <v>60</v>
      </c>
      <c r="G119">
        <v>0.41</v>
      </c>
      <c r="H119">
        <v>9.69</v>
      </c>
      <c r="I119">
        <v>0</v>
      </c>
      <c r="J119">
        <v>0</v>
      </c>
      <c r="K119">
        <v>10.1</v>
      </c>
      <c r="L119" t="s">
        <v>61</v>
      </c>
      <c r="M119">
        <v>343</v>
      </c>
      <c r="N119">
        <v>33.96</v>
      </c>
      <c r="O119" t="s">
        <v>68</v>
      </c>
      <c r="P119" t="s">
        <v>67</v>
      </c>
      <c r="Q119">
        <v>343</v>
      </c>
      <c r="R119">
        <v>33.96</v>
      </c>
    </row>
    <row r="120" spans="1:18" x14ac:dyDescent="0.35">
      <c r="A120" t="s">
        <v>56</v>
      </c>
      <c r="B120" t="s">
        <v>57</v>
      </c>
      <c r="C120" t="s">
        <v>58</v>
      </c>
      <c r="D120">
        <v>107221225</v>
      </c>
      <c r="E120" t="s">
        <v>87</v>
      </c>
      <c r="F120" t="s">
        <v>60</v>
      </c>
      <c r="G120">
        <v>0.41</v>
      </c>
      <c r="H120">
        <v>9.69</v>
      </c>
      <c r="I120">
        <v>0</v>
      </c>
      <c r="J120">
        <v>0</v>
      </c>
      <c r="K120">
        <v>10.1</v>
      </c>
      <c r="L120" t="s">
        <v>61</v>
      </c>
      <c r="M120">
        <v>343</v>
      </c>
      <c r="N120">
        <v>33.96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107221231</v>
      </c>
      <c r="E121" t="s">
        <v>88</v>
      </c>
      <c r="F121" t="s">
        <v>60</v>
      </c>
      <c r="G121">
        <v>0.32</v>
      </c>
      <c r="H121">
        <v>9.68</v>
      </c>
      <c r="I121">
        <v>0.01</v>
      </c>
      <c r="J121">
        <v>0</v>
      </c>
      <c r="K121">
        <v>10</v>
      </c>
      <c r="L121" t="s">
        <v>61</v>
      </c>
      <c r="M121">
        <v>423</v>
      </c>
      <c r="N121">
        <v>42.3</v>
      </c>
      <c r="O121" t="s">
        <v>62</v>
      </c>
      <c r="P121" t="s">
        <v>63</v>
      </c>
      <c r="Q121">
        <v>449</v>
      </c>
      <c r="R121">
        <v>1420.39</v>
      </c>
    </row>
    <row r="122" spans="1:18" x14ac:dyDescent="0.35">
      <c r="A122" t="s">
        <v>56</v>
      </c>
      <c r="B122" t="s">
        <v>57</v>
      </c>
      <c r="C122" t="s">
        <v>70</v>
      </c>
      <c r="D122">
        <v>107221231</v>
      </c>
      <c r="E122" t="s">
        <v>88</v>
      </c>
      <c r="F122" t="s">
        <v>60</v>
      </c>
      <c r="G122">
        <v>0.32</v>
      </c>
      <c r="H122">
        <v>9.68</v>
      </c>
      <c r="I122">
        <v>0.01</v>
      </c>
      <c r="J122">
        <v>0</v>
      </c>
      <c r="K122">
        <v>10</v>
      </c>
      <c r="L122" t="s">
        <v>61</v>
      </c>
      <c r="M122">
        <v>423</v>
      </c>
      <c r="N122">
        <v>42.3</v>
      </c>
      <c r="O122" t="s">
        <v>62</v>
      </c>
      <c r="P122" t="s">
        <v>64</v>
      </c>
      <c r="Q122">
        <v>2383</v>
      </c>
      <c r="R122">
        <v>246.24</v>
      </c>
    </row>
    <row r="123" spans="1:18" x14ac:dyDescent="0.35">
      <c r="A123" t="s">
        <v>56</v>
      </c>
      <c r="B123" t="s">
        <v>57</v>
      </c>
      <c r="C123" t="s">
        <v>70</v>
      </c>
      <c r="D123">
        <v>107221231</v>
      </c>
      <c r="E123" t="s">
        <v>88</v>
      </c>
      <c r="F123" t="s">
        <v>60</v>
      </c>
      <c r="G123">
        <v>0.32</v>
      </c>
      <c r="H123">
        <v>9.68</v>
      </c>
      <c r="I123">
        <v>0.01</v>
      </c>
      <c r="J123">
        <v>0</v>
      </c>
      <c r="K123">
        <v>10</v>
      </c>
      <c r="L123" t="s">
        <v>61</v>
      </c>
      <c r="M123">
        <v>423</v>
      </c>
      <c r="N123">
        <v>42.3</v>
      </c>
      <c r="O123" t="s">
        <v>62</v>
      </c>
      <c r="P123" t="s">
        <v>65</v>
      </c>
      <c r="Q123">
        <v>1</v>
      </c>
      <c r="R123">
        <v>171.43</v>
      </c>
    </row>
    <row r="124" spans="1:18" x14ac:dyDescent="0.35">
      <c r="A124" t="s">
        <v>56</v>
      </c>
      <c r="B124" t="s">
        <v>57</v>
      </c>
      <c r="C124" t="s">
        <v>70</v>
      </c>
      <c r="D124">
        <v>107221231</v>
      </c>
      <c r="E124" t="s">
        <v>88</v>
      </c>
      <c r="F124" t="s">
        <v>60</v>
      </c>
      <c r="G124">
        <v>0.32</v>
      </c>
      <c r="H124">
        <v>9.68</v>
      </c>
      <c r="I124">
        <v>0.01</v>
      </c>
      <c r="J124">
        <v>0</v>
      </c>
      <c r="K124">
        <v>10</v>
      </c>
      <c r="L124" t="s">
        <v>61</v>
      </c>
      <c r="M124">
        <v>423</v>
      </c>
      <c r="N124">
        <v>42.3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107221231</v>
      </c>
      <c r="E125" t="s">
        <v>88</v>
      </c>
      <c r="F125" t="s">
        <v>60</v>
      </c>
      <c r="G125">
        <v>0.32</v>
      </c>
      <c r="H125">
        <v>9.68</v>
      </c>
      <c r="I125">
        <v>0.01</v>
      </c>
      <c r="J125">
        <v>0</v>
      </c>
      <c r="K125">
        <v>10</v>
      </c>
      <c r="L125" t="s">
        <v>61</v>
      </c>
      <c r="M125">
        <v>423</v>
      </c>
      <c r="N125">
        <v>42.3</v>
      </c>
      <c r="O125" t="s">
        <v>62</v>
      </c>
      <c r="P125" t="s">
        <v>67</v>
      </c>
      <c r="Q125">
        <v>2833</v>
      </c>
      <c r="R125">
        <v>283.3</v>
      </c>
    </row>
    <row r="126" spans="1:18" x14ac:dyDescent="0.35">
      <c r="A126" t="s">
        <v>56</v>
      </c>
      <c r="B126" t="s">
        <v>57</v>
      </c>
      <c r="C126" t="s">
        <v>70</v>
      </c>
      <c r="D126">
        <v>107221231</v>
      </c>
      <c r="E126" t="s">
        <v>88</v>
      </c>
      <c r="F126" t="s">
        <v>60</v>
      </c>
      <c r="G126">
        <v>0.32</v>
      </c>
      <c r="H126">
        <v>9.68</v>
      </c>
      <c r="I126">
        <v>0.01</v>
      </c>
      <c r="J126">
        <v>0</v>
      </c>
      <c r="K126">
        <v>10</v>
      </c>
      <c r="L126" t="s">
        <v>61</v>
      </c>
      <c r="M126">
        <v>423</v>
      </c>
      <c r="N126">
        <v>42.3</v>
      </c>
      <c r="O126" t="s">
        <v>68</v>
      </c>
      <c r="P126" t="s">
        <v>67</v>
      </c>
      <c r="Q126">
        <v>423</v>
      </c>
      <c r="R126">
        <v>42.3</v>
      </c>
    </row>
    <row r="127" spans="1:18" x14ac:dyDescent="0.35">
      <c r="A127" t="s">
        <v>56</v>
      </c>
      <c r="B127" t="s">
        <v>57</v>
      </c>
      <c r="C127" t="s">
        <v>70</v>
      </c>
      <c r="D127">
        <v>107221231</v>
      </c>
      <c r="E127" t="s">
        <v>88</v>
      </c>
      <c r="F127" t="s">
        <v>60</v>
      </c>
      <c r="G127">
        <v>0.32</v>
      </c>
      <c r="H127">
        <v>9.68</v>
      </c>
      <c r="I127">
        <v>0.01</v>
      </c>
      <c r="J127">
        <v>0</v>
      </c>
      <c r="K127">
        <v>10</v>
      </c>
      <c r="L127" t="s">
        <v>61</v>
      </c>
      <c r="M127">
        <v>423</v>
      </c>
      <c r="N127">
        <v>42.3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58</v>
      </c>
      <c r="D128">
        <v>107221237</v>
      </c>
      <c r="E128" t="s">
        <v>89</v>
      </c>
      <c r="F128" t="s">
        <v>72</v>
      </c>
      <c r="G128">
        <v>0.95</v>
      </c>
      <c r="H128">
        <v>5.51</v>
      </c>
      <c r="I128">
        <v>0</v>
      </c>
      <c r="J128">
        <v>0</v>
      </c>
      <c r="K128">
        <v>6.46</v>
      </c>
      <c r="L128" t="s">
        <v>61</v>
      </c>
      <c r="M128">
        <v>289</v>
      </c>
      <c r="N128">
        <v>44.76</v>
      </c>
      <c r="O128" t="s">
        <v>62</v>
      </c>
      <c r="P128" t="s">
        <v>63</v>
      </c>
      <c r="Q128">
        <v>1334</v>
      </c>
      <c r="R128">
        <v>1404.62</v>
      </c>
    </row>
    <row r="129" spans="1:18" x14ac:dyDescent="0.35">
      <c r="A129" t="s">
        <v>56</v>
      </c>
      <c r="B129" t="s">
        <v>57</v>
      </c>
      <c r="C129" t="s">
        <v>58</v>
      </c>
      <c r="D129">
        <v>107221237</v>
      </c>
      <c r="E129" t="s">
        <v>89</v>
      </c>
      <c r="F129" t="s">
        <v>72</v>
      </c>
      <c r="G129">
        <v>0.95</v>
      </c>
      <c r="H129">
        <v>5.51</v>
      </c>
      <c r="I129">
        <v>0</v>
      </c>
      <c r="J129">
        <v>0</v>
      </c>
      <c r="K129">
        <v>6.46</v>
      </c>
      <c r="L129" t="s">
        <v>61</v>
      </c>
      <c r="M129">
        <v>289</v>
      </c>
      <c r="N129">
        <v>44.76</v>
      </c>
      <c r="O129" t="s">
        <v>62</v>
      </c>
      <c r="P129" t="s">
        <v>64</v>
      </c>
      <c r="Q129">
        <v>1342</v>
      </c>
      <c r="R129">
        <v>243.7</v>
      </c>
    </row>
    <row r="130" spans="1:18" x14ac:dyDescent="0.35">
      <c r="A130" t="s">
        <v>56</v>
      </c>
      <c r="B130" t="s">
        <v>57</v>
      </c>
      <c r="C130" t="s">
        <v>58</v>
      </c>
      <c r="D130">
        <v>107221237</v>
      </c>
      <c r="E130" t="s">
        <v>89</v>
      </c>
      <c r="F130" t="s">
        <v>72</v>
      </c>
      <c r="G130">
        <v>0.95</v>
      </c>
      <c r="H130">
        <v>5.51</v>
      </c>
      <c r="I130">
        <v>0</v>
      </c>
      <c r="J130">
        <v>0</v>
      </c>
      <c r="K130">
        <v>6.46</v>
      </c>
      <c r="L130" t="s">
        <v>61</v>
      </c>
      <c r="M130">
        <v>289</v>
      </c>
      <c r="N130">
        <v>44.76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58</v>
      </c>
      <c r="D131">
        <v>107221237</v>
      </c>
      <c r="E131" t="s">
        <v>89</v>
      </c>
      <c r="F131" t="s">
        <v>72</v>
      </c>
      <c r="G131">
        <v>0.95</v>
      </c>
      <c r="H131">
        <v>5.51</v>
      </c>
      <c r="I131">
        <v>0</v>
      </c>
      <c r="J131">
        <v>0</v>
      </c>
      <c r="K131">
        <v>6.46</v>
      </c>
      <c r="L131" t="s">
        <v>61</v>
      </c>
      <c r="M131">
        <v>289</v>
      </c>
      <c r="N131">
        <v>44.76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58</v>
      </c>
      <c r="D132">
        <v>107221237</v>
      </c>
      <c r="E132" t="s">
        <v>89</v>
      </c>
      <c r="F132" t="s">
        <v>72</v>
      </c>
      <c r="G132">
        <v>0.95</v>
      </c>
      <c r="H132">
        <v>5.51</v>
      </c>
      <c r="I132">
        <v>0</v>
      </c>
      <c r="J132">
        <v>0</v>
      </c>
      <c r="K132">
        <v>6.46</v>
      </c>
      <c r="L132" t="s">
        <v>61</v>
      </c>
      <c r="M132">
        <v>289</v>
      </c>
      <c r="N132">
        <v>44.76</v>
      </c>
      <c r="O132" t="s">
        <v>62</v>
      </c>
      <c r="P132" t="s">
        <v>67</v>
      </c>
      <c r="Q132">
        <v>2676</v>
      </c>
      <c r="R132">
        <v>414.46</v>
      </c>
    </row>
    <row r="133" spans="1:18" x14ac:dyDescent="0.35">
      <c r="A133" t="s">
        <v>56</v>
      </c>
      <c r="B133" t="s">
        <v>57</v>
      </c>
      <c r="C133" t="s">
        <v>58</v>
      </c>
      <c r="D133">
        <v>107221237</v>
      </c>
      <c r="E133" t="s">
        <v>89</v>
      </c>
      <c r="F133" t="s">
        <v>72</v>
      </c>
      <c r="G133">
        <v>0.95</v>
      </c>
      <c r="H133">
        <v>5.51</v>
      </c>
      <c r="I133">
        <v>0</v>
      </c>
      <c r="J133">
        <v>0</v>
      </c>
      <c r="K133">
        <v>6.46</v>
      </c>
      <c r="L133" t="s">
        <v>61</v>
      </c>
      <c r="M133">
        <v>289</v>
      </c>
      <c r="N133">
        <v>44.76</v>
      </c>
      <c r="O133" t="s">
        <v>68</v>
      </c>
      <c r="P133" t="s">
        <v>67</v>
      </c>
      <c r="Q133">
        <v>289</v>
      </c>
      <c r="R133">
        <v>44.76</v>
      </c>
    </row>
    <row r="134" spans="1:18" x14ac:dyDescent="0.35">
      <c r="A134" t="s">
        <v>56</v>
      </c>
      <c r="B134" t="s">
        <v>57</v>
      </c>
      <c r="C134" t="s">
        <v>58</v>
      </c>
      <c r="D134">
        <v>107221237</v>
      </c>
      <c r="E134" t="s">
        <v>89</v>
      </c>
      <c r="F134" t="s">
        <v>72</v>
      </c>
      <c r="G134">
        <v>0.95</v>
      </c>
      <c r="H134">
        <v>5.51</v>
      </c>
      <c r="I134">
        <v>0</v>
      </c>
      <c r="J134">
        <v>0</v>
      </c>
      <c r="K134">
        <v>6.46</v>
      </c>
      <c r="L134" t="s">
        <v>61</v>
      </c>
      <c r="M134">
        <v>289</v>
      </c>
      <c r="N134">
        <v>44.76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107284892</v>
      </c>
      <c r="E135" t="s">
        <v>579</v>
      </c>
      <c r="F135" t="s">
        <v>78</v>
      </c>
      <c r="G135">
        <v>0.36</v>
      </c>
      <c r="H135">
        <v>8.49</v>
      </c>
      <c r="I135">
        <v>0</v>
      </c>
      <c r="J135">
        <v>0</v>
      </c>
      <c r="K135">
        <v>8.85</v>
      </c>
      <c r="L135" t="s">
        <v>61</v>
      </c>
      <c r="M135">
        <v>467</v>
      </c>
      <c r="N135">
        <v>52.77</v>
      </c>
      <c r="O135" t="s">
        <v>62</v>
      </c>
      <c r="P135" t="s">
        <v>63</v>
      </c>
      <c r="Q135">
        <v>414</v>
      </c>
      <c r="R135">
        <v>1142.94</v>
      </c>
    </row>
    <row r="136" spans="1:18" x14ac:dyDescent="0.35">
      <c r="A136" t="s">
        <v>56</v>
      </c>
      <c r="B136" t="s">
        <v>57</v>
      </c>
      <c r="C136" t="s">
        <v>70</v>
      </c>
      <c r="D136">
        <v>107284892</v>
      </c>
      <c r="E136" t="s">
        <v>579</v>
      </c>
      <c r="F136" t="s">
        <v>78</v>
      </c>
      <c r="G136">
        <v>0.36</v>
      </c>
      <c r="H136">
        <v>8.49</v>
      </c>
      <c r="I136">
        <v>0</v>
      </c>
      <c r="J136">
        <v>0</v>
      </c>
      <c r="K136">
        <v>8.85</v>
      </c>
      <c r="L136" t="s">
        <v>61</v>
      </c>
      <c r="M136">
        <v>467</v>
      </c>
      <c r="N136">
        <v>52.77</v>
      </c>
      <c r="O136" t="s">
        <v>62</v>
      </c>
      <c r="P136" t="s">
        <v>64</v>
      </c>
      <c r="Q136">
        <v>1682</v>
      </c>
      <c r="R136">
        <v>198.19</v>
      </c>
    </row>
    <row r="137" spans="1:18" x14ac:dyDescent="0.35">
      <c r="A137" t="s">
        <v>56</v>
      </c>
      <c r="B137" t="s">
        <v>57</v>
      </c>
      <c r="C137" t="s">
        <v>70</v>
      </c>
      <c r="D137">
        <v>107284892</v>
      </c>
      <c r="E137" t="s">
        <v>579</v>
      </c>
      <c r="F137" t="s">
        <v>78</v>
      </c>
      <c r="G137">
        <v>0.36</v>
      </c>
      <c r="H137">
        <v>8.49</v>
      </c>
      <c r="I137">
        <v>0</v>
      </c>
      <c r="J137">
        <v>0</v>
      </c>
      <c r="K137">
        <v>8.85</v>
      </c>
      <c r="L137" t="s">
        <v>61</v>
      </c>
      <c r="M137">
        <v>467</v>
      </c>
      <c r="N137">
        <v>52.77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107284892</v>
      </c>
      <c r="E138" t="s">
        <v>579</v>
      </c>
      <c r="F138" t="s">
        <v>78</v>
      </c>
      <c r="G138">
        <v>0.36</v>
      </c>
      <c r="H138">
        <v>8.49</v>
      </c>
      <c r="I138">
        <v>0</v>
      </c>
      <c r="J138">
        <v>0</v>
      </c>
      <c r="K138">
        <v>8.85</v>
      </c>
      <c r="L138" t="s">
        <v>61</v>
      </c>
      <c r="M138">
        <v>467</v>
      </c>
      <c r="N138">
        <v>52.77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107284892</v>
      </c>
      <c r="E139" t="s">
        <v>579</v>
      </c>
      <c r="F139" t="s">
        <v>78</v>
      </c>
      <c r="G139">
        <v>0.36</v>
      </c>
      <c r="H139">
        <v>8.49</v>
      </c>
      <c r="I139">
        <v>0</v>
      </c>
      <c r="J139">
        <v>0</v>
      </c>
      <c r="K139">
        <v>8.85</v>
      </c>
      <c r="L139" t="s">
        <v>61</v>
      </c>
      <c r="M139">
        <v>467</v>
      </c>
      <c r="N139">
        <v>52.77</v>
      </c>
      <c r="O139" t="s">
        <v>62</v>
      </c>
      <c r="P139" t="s">
        <v>67</v>
      </c>
      <c r="Q139">
        <v>2096</v>
      </c>
      <c r="R139">
        <v>236.86</v>
      </c>
    </row>
    <row r="140" spans="1:18" x14ac:dyDescent="0.35">
      <c r="A140" t="s">
        <v>56</v>
      </c>
      <c r="B140" t="s">
        <v>57</v>
      </c>
      <c r="C140" t="s">
        <v>70</v>
      </c>
      <c r="D140">
        <v>107284892</v>
      </c>
      <c r="E140" t="s">
        <v>579</v>
      </c>
      <c r="F140" t="s">
        <v>78</v>
      </c>
      <c r="G140">
        <v>0.36</v>
      </c>
      <c r="H140">
        <v>8.49</v>
      </c>
      <c r="I140">
        <v>0</v>
      </c>
      <c r="J140">
        <v>0</v>
      </c>
      <c r="K140">
        <v>8.85</v>
      </c>
      <c r="L140" t="s">
        <v>61</v>
      </c>
      <c r="M140">
        <v>467</v>
      </c>
      <c r="N140">
        <v>52.77</v>
      </c>
      <c r="O140" t="s">
        <v>68</v>
      </c>
      <c r="P140" t="s">
        <v>67</v>
      </c>
      <c r="Q140">
        <v>467</v>
      </c>
      <c r="R140">
        <v>52.77</v>
      </c>
    </row>
    <row r="141" spans="1:18" x14ac:dyDescent="0.35">
      <c r="A141" t="s">
        <v>56</v>
      </c>
      <c r="B141" t="s">
        <v>57</v>
      </c>
      <c r="C141" t="s">
        <v>70</v>
      </c>
      <c r="D141">
        <v>107284892</v>
      </c>
      <c r="E141" t="s">
        <v>579</v>
      </c>
      <c r="F141" t="s">
        <v>78</v>
      </c>
      <c r="G141">
        <v>0.36</v>
      </c>
      <c r="H141">
        <v>8.49</v>
      </c>
      <c r="I141">
        <v>0</v>
      </c>
      <c r="J141">
        <v>0</v>
      </c>
      <c r="K141">
        <v>8.85</v>
      </c>
      <c r="L141" t="s">
        <v>61</v>
      </c>
      <c r="M141">
        <v>467</v>
      </c>
      <c r="N141">
        <v>52.77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107432433</v>
      </c>
      <c r="E142" t="s">
        <v>90</v>
      </c>
      <c r="F142" t="s">
        <v>60</v>
      </c>
      <c r="G142">
        <v>0.1</v>
      </c>
      <c r="H142">
        <v>4.8499999999999996</v>
      </c>
      <c r="I142">
        <v>0</v>
      </c>
      <c r="J142">
        <v>0</v>
      </c>
      <c r="K142">
        <v>4.95</v>
      </c>
      <c r="L142" t="s">
        <v>61</v>
      </c>
      <c r="M142">
        <v>147</v>
      </c>
      <c r="N142">
        <v>29.69</v>
      </c>
      <c r="O142" t="s">
        <v>62</v>
      </c>
      <c r="P142" t="s">
        <v>63</v>
      </c>
      <c r="Q142">
        <v>88</v>
      </c>
      <c r="R142">
        <v>870.33</v>
      </c>
    </row>
    <row r="143" spans="1:18" x14ac:dyDescent="0.35">
      <c r="A143" t="s">
        <v>56</v>
      </c>
      <c r="B143" t="s">
        <v>57</v>
      </c>
      <c r="C143" t="s">
        <v>70</v>
      </c>
      <c r="D143">
        <v>107432433</v>
      </c>
      <c r="E143" t="s">
        <v>90</v>
      </c>
      <c r="F143" t="s">
        <v>60</v>
      </c>
      <c r="G143">
        <v>0.1</v>
      </c>
      <c r="H143">
        <v>4.8499999999999996</v>
      </c>
      <c r="I143">
        <v>0</v>
      </c>
      <c r="J143">
        <v>0</v>
      </c>
      <c r="K143">
        <v>4.95</v>
      </c>
      <c r="L143" t="s">
        <v>61</v>
      </c>
      <c r="M143">
        <v>147</v>
      </c>
      <c r="N143">
        <v>29.69</v>
      </c>
      <c r="O143" t="s">
        <v>62</v>
      </c>
      <c r="P143" t="s">
        <v>64</v>
      </c>
      <c r="Q143">
        <v>731</v>
      </c>
      <c r="R143">
        <v>150.72</v>
      </c>
    </row>
    <row r="144" spans="1:18" x14ac:dyDescent="0.35">
      <c r="A144" t="s">
        <v>56</v>
      </c>
      <c r="B144" t="s">
        <v>57</v>
      </c>
      <c r="C144" t="s">
        <v>70</v>
      </c>
      <c r="D144">
        <v>107432433</v>
      </c>
      <c r="E144" t="s">
        <v>90</v>
      </c>
      <c r="F144" t="s">
        <v>60</v>
      </c>
      <c r="G144">
        <v>0.1</v>
      </c>
      <c r="H144">
        <v>4.8499999999999996</v>
      </c>
      <c r="I144">
        <v>0</v>
      </c>
      <c r="J144">
        <v>0</v>
      </c>
      <c r="K144">
        <v>4.95</v>
      </c>
      <c r="L144" t="s">
        <v>61</v>
      </c>
      <c r="M144">
        <v>147</v>
      </c>
      <c r="N144">
        <v>29.69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107432433</v>
      </c>
      <c r="E145" t="s">
        <v>90</v>
      </c>
      <c r="F145" t="s">
        <v>60</v>
      </c>
      <c r="G145">
        <v>0.1</v>
      </c>
      <c r="H145">
        <v>4.8499999999999996</v>
      </c>
      <c r="I145">
        <v>0</v>
      </c>
      <c r="J145">
        <v>0</v>
      </c>
      <c r="K145">
        <v>4.95</v>
      </c>
      <c r="L145" t="s">
        <v>61</v>
      </c>
      <c r="M145">
        <v>147</v>
      </c>
      <c r="N145">
        <v>29.69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107432433</v>
      </c>
      <c r="E146" t="s">
        <v>90</v>
      </c>
      <c r="F146" t="s">
        <v>60</v>
      </c>
      <c r="G146">
        <v>0.1</v>
      </c>
      <c r="H146">
        <v>4.8499999999999996</v>
      </c>
      <c r="I146">
        <v>0</v>
      </c>
      <c r="J146">
        <v>0</v>
      </c>
      <c r="K146">
        <v>4.95</v>
      </c>
      <c r="L146" t="s">
        <v>61</v>
      </c>
      <c r="M146">
        <v>147</v>
      </c>
      <c r="N146">
        <v>29.69</v>
      </c>
      <c r="O146" t="s">
        <v>62</v>
      </c>
      <c r="P146" t="s">
        <v>67</v>
      </c>
      <c r="Q146">
        <v>819</v>
      </c>
      <c r="R146">
        <v>165.41</v>
      </c>
    </row>
    <row r="147" spans="1:18" x14ac:dyDescent="0.35">
      <c r="A147" t="s">
        <v>56</v>
      </c>
      <c r="B147" t="s">
        <v>57</v>
      </c>
      <c r="C147" t="s">
        <v>70</v>
      </c>
      <c r="D147">
        <v>107432433</v>
      </c>
      <c r="E147" t="s">
        <v>90</v>
      </c>
      <c r="F147" t="s">
        <v>60</v>
      </c>
      <c r="G147">
        <v>0.1</v>
      </c>
      <c r="H147">
        <v>4.8499999999999996</v>
      </c>
      <c r="I147">
        <v>0</v>
      </c>
      <c r="J147">
        <v>0</v>
      </c>
      <c r="K147">
        <v>4.95</v>
      </c>
      <c r="L147" t="s">
        <v>61</v>
      </c>
      <c r="M147">
        <v>147</v>
      </c>
      <c r="N147">
        <v>29.69</v>
      </c>
      <c r="O147" t="s">
        <v>68</v>
      </c>
      <c r="P147" t="s">
        <v>67</v>
      </c>
      <c r="Q147">
        <v>147</v>
      </c>
      <c r="R147">
        <v>29.69</v>
      </c>
    </row>
    <row r="148" spans="1:18" x14ac:dyDescent="0.35">
      <c r="A148" t="s">
        <v>56</v>
      </c>
      <c r="B148" t="s">
        <v>57</v>
      </c>
      <c r="C148" t="s">
        <v>70</v>
      </c>
      <c r="D148">
        <v>107432433</v>
      </c>
      <c r="E148" t="s">
        <v>90</v>
      </c>
      <c r="F148" t="s">
        <v>60</v>
      </c>
      <c r="G148">
        <v>0.1</v>
      </c>
      <c r="H148">
        <v>4.8499999999999996</v>
      </c>
      <c r="I148">
        <v>0</v>
      </c>
      <c r="J148">
        <v>0</v>
      </c>
      <c r="K148">
        <v>4.95</v>
      </c>
      <c r="L148" t="s">
        <v>61</v>
      </c>
      <c r="M148">
        <v>147</v>
      </c>
      <c r="N148">
        <v>29.69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107463281</v>
      </c>
      <c r="E149" t="s">
        <v>91</v>
      </c>
      <c r="F149" t="s">
        <v>60</v>
      </c>
      <c r="G149">
        <v>0.15</v>
      </c>
      <c r="H149">
        <v>9.4600000000000009</v>
      </c>
      <c r="I149">
        <v>0</v>
      </c>
      <c r="J149">
        <v>0</v>
      </c>
      <c r="K149">
        <v>9.61</v>
      </c>
      <c r="L149" t="s">
        <v>61</v>
      </c>
      <c r="M149">
        <v>297</v>
      </c>
      <c r="N149">
        <v>30.91</v>
      </c>
      <c r="O149" t="s">
        <v>62</v>
      </c>
      <c r="P149" t="s">
        <v>63</v>
      </c>
      <c r="Q149">
        <v>120</v>
      </c>
      <c r="R149">
        <v>800</v>
      </c>
    </row>
    <row r="150" spans="1:18" x14ac:dyDescent="0.35">
      <c r="A150" t="s">
        <v>56</v>
      </c>
      <c r="B150" t="s">
        <v>57</v>
      </c>
      <c r="C150" t="s">
        <v>70</v>
      </c>
      <c r="D150">
        <v>107463281</v>
      </c>
      <c r="E150" t="s">
        <v>91</v>
      </c>
      <c r="F150" t="s">
        <v>60</v>
      </c>
      <c r="G150">
        <v>0.15</v>
      </c>
      <c r="H150">
        <v>9.4600000000000009</v>
      </c>
      <c r="I150">
        <v>0</v>
      </c>
      <c r="J150">
        <v>0</v>
      </c>
      <c r="K150">
        <v>9.61</v>
      </c>
      <c r="L150" t="s">
        <v>61</v>
      </c>
      <c r="M150">
        <v>297</v>
      </c>
      <c r="N150">
        <v>30.91</v>
      </c>
      <c r="O150" t="s">
        <v>62</v>
      </c>
      <c r="P150" t="s">
        <v>64</v>
      </c>
      <c r="Q150">
        <v>1313</v>
      </c>
      <c r="R150">
        <v>138.81</v>
      </c>
    </row>
    <row r="151" spans="1:18" x14ac:dyDescent="0.35">
      <c r="A151" t="s">
        <v>56</v>
      </c>
      <c r="B151" t="s">
        <v>57</v>
      </c>
      <c r="C151" t="s">
        <v>70</v>
      </c>
      <c r="D151">
        <v>107463281</v>
      </c>
      <c r="E151" t="s">
        <v>91</v>
      </c>
      <c r="F151" t="s">
        <v>60</v>
      </c>
      <c r="G151">
        <v>0.15</v>
      </c>
      <c r="H151">
        <v>9.4600000000000009</v>
      </c>
      <c r="I151">
        <v>0</v>
      </c>
      <c r="J151">
        <v>0</v>
      </c>
      <c r="K151">
        <v>9.61</v>
      </c>
      <c r="L151" t="s">
        <v>61</v>
      </c>
      <c r="M151">
        <v>297</v>
      </c>
      <c r="N151">
        <v>30.91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70</v>
      </c>
      <c r="D152">
        <v>107463281</v>
      </c>
      <c r="E152" t="s">
        <v>91</v>
      </c>
      <c r="F152" t="s">
        <v>60</v>
      </c>
      <c r="G152">
        <v>0.15</v>
      </c>
      <c r="H152">
        <v>9.4600000000000009</v>
      </c>
      <c r="I152">
        <v>0</v>
      </c>
      <c r="J152">
        <v>0</v>
      </c>
      <c r="K152">
        <v>9.61</v>
      </c>
      <c r="L152" t="s">
        <v>61</v>
      </c>
      <c r="M152">
        <v>297</v>
      </c>
      <c r="N152">
        <v>30.91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107463281</v>
      </c>
      <c r="E153" t="s">
        <v>91</v>
      </c>
      <c r="F153" t="s">
        <v>60</v>
      </c>
      <c r="G153">
        <v>0.15</v>
      </c>
      <c r="H153">
        <v>9.4600000000000009</v>
      </c>
      <c r="I153">
        <v>0</v>
      </c>
      <c r="J153">
        <v>0</v>
      </c>
      <c r="K153">
        <v>9.61</v>
      </c>
      <c r="L153" t="s">
        <v>61</v>
      </c>
      <c r="M153">
        <v>297</v>
      </c>
      <c r="N153">
        <v>30.91</v>
      </c>
      <c r="O153" t="s">
        <v>62</v>
      </c>
      <c r="P153" t="s">
        <v>67</v>
      </c>
      <c r="Q153">
        <v>1433</v>
      </c>
      <c r="R153">
        <v>149.12</v>
      </c>
    </row>
    <row r="154" spans="1:18" x14ac:dyDescent="0.35">
      <c r="A154" t="s">
        <v>56</v>
      </c>
      <c r="B154" t="s">
        <v>57</v>
      </c>
      <c r="C154" t="s">
        <v>70</v>
      </c>
      <c r="D154">
        <v>107463281</v>
      </c>
      <c r="E154" t="s">
        <v>91</v>
      </c>
      <c r="F154" t="s">
        <v>60</v>
      </c>
      <c r="G154">
        <v>0.15</v>
      </c>
      <c r="H154">
        <v>9.4600000000000009</v>
      </c>
      <c r="I154">
        <v>0</v>
      </c>
      <c r="J154">
        <v>0</v>
      </c>
      <c r="K154">
        <v>9.61</v>
      </c>
      <c r="L154" t="s">
        <v>61</v>
      </c>
      <c r="M154">
        <v>297</v>
      </c>
      <c r="N154">
        <v>30.91</v>
      </c>
      <c r="O154" t="s">
        <v>68</v>
      </c>
      <c r="P154" t="s">
        <v>67</v>
      </c>
      <c r="Q154">
        <v>297</v>
      </c>
      <c r="R154">
        <v>30.91</v>
      </c>
    </row>
    <row r="155" spans="1:18" x14ac:dyDescent="0.35">
      <c r="A155" t="s">
        <v>56</v>
      </c>
      <c r="B155" t="s">
        <v>57</v>
      </c>
      <c r="C155" t="s">
        <v>70</v>
      </c>
      <c r="D155">
        <v>107463281</v>
      </c>
      <c r="E155" t="s">
        <v>91</v>
      </c>
      <c r="F155" t="s">
        <v>60</v>
      </c>
      <c r="G155">
        <v>0.15</v>
      </c>
      <c r="H155">
        <v>9.4600000000000009</v>
      </c>
      <c r="I155">
        <v>0</v>
      </c>
      <c r="J155">
        <v>0</v>
      </c>
      <c r="K155">
        <v>9.61</v>
      </c>
      <c r="L155" t="s">
        <v>61</v>
      </c>
      <c r="M155">
        <v>297</v>
      </c>
      <c r="N155">
        <v>30.91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107674648</v>
      </c>
      <c r="E156" t="s">
        <v>92</v>
      </c>
      <c r="F156" t="s">
        <v>72</v>
      </c>
      <c r="G156">
        <v>0.24</v>
      </c>
      <c r="H156">
        <v>9.76</v>
      </c>
      <c r="I156">
        <v>0</v>
      </c>
      <c r="J156">
        <v>0</v>
      </c>
      <c r="K156">
        <v>10</v>
      </c>
      <c r="L156" t="s">
        <v>61</v>
      </c>
      <c r="M156">
        <v>354</v>
      </c>
      <c r="N156">
        <v>35.4</v>
      </c>
      <c r="O156" t="s">
        <v>62</v>
      </c>
      <c r="P156" t="s">
        <v>63</v>
      </c>
      <c r="Q156">
        <v>262</v>
      </c>
      <c r="R156">
        <v>1075.48</v>
      </c>
    </row>
    <row r="157" spans="1:18" x14ac:dyDescent="0.35">
      <c r="A157" t="s">
        <v>56</v>
      </c>
      <c r="B157" t="s">
        <v>57</v>
      </c>
      <c r="C157" t="s">
        <v>70</v>
      </c>
      <c r="D157">
        <v>107674648</v>
      </c>
      <c r="E157" t="s">
        <v>92</v>
      </c>
      <c r="F157" t="s">
        <v>72</v>
      </c>
      <c r="G157">
        <v>0.24</v>
      </c>
      <c r="H157">
        <v>9.76</v>
      </c>
      <c r="I157">
        <v>0</v>
      </c>
      <c r="J157">
        <v>0</v>
      </c>
      <c r="K157">
        <v>10</v>
      </c>
      <c r="L157" t="s">
        <v>61</v>
      </c>
      <c r="M157">
        <v>354</v>
      </c>
      <c r="N157">
        <v>35.4</v>
      </c>
      <c r="O157" t="s">
        <v>62</v>
      </c>
      <c r="P157" t="s">
        <v>64</v>
      </c>
      <c r="Q157">
        <v>1820</v>
      </c>
      <c r="R157">
        <v>186.55</v>
      </c>
    </row>
    <row r="158" spans="1:18" x14ac:dyDescent="0.35">
      <c r="A158" t="s">
        <v>56</v>
      </c>
      <c r="B158" t="s">
        <v>57</v>
      </c>
      <c r="C158" t="s">
        <v>70</v>
      </c>
      <c r="D158">
        <v>107674648</v>
      </c>
      <c r="E158" t="s">
        <v>92</v>
      </c>
      <c r="F158" t="s">
        <v>72</v>
      </c>
      <c r="G158">
        <v>0.24</v>
      </c>
      <c r="H158">
        <v>9.76</v>
      </c>
      <c r="I158">
        <v>0</v>
      </c>
      <c r="J158">
        <v>0</v>
      </c>
      <c r="K158">
        <v>10</v>
      </c>
      <c r="L158" t="s">
        <v>61</v>
      </c>
      <c r="M158">
        <v>354</v>
      </c>
      <c r="N158">
        <v>35.4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107674648</v>
      </c>
      <c r="E159" t="s">
        <v>92</v>
      </c>
      <c r="F159" t="s">
        <v>72</v>
      </c>
      <c r="G159">
        <v>0.24</v>
      </c>
      <c r="H159">
        <v>9.76</v>
      </c>
      <c r="I159">
        <v>0</v>
      </c>
      <c r="J159">
        <v>0</v>
      </c>
      <c r="K159">
        <v>10</v>
      </c>
      <c r="L159" t="s">
        <v>61</v>
      </c>
      <c r="M159">
        <v>354</v>
      </c>
      <c r="N159">
        <v>35.4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107674648</v>
      </c>
      <c r="E160" t="s">
        <v>92</v>
      </c>
      <c r="F160" t="s">
        <v>72</v>
      </c>
      <c r="G160">
        <v>0.24</v>
      </c>
      <c r="H160">
        <v>9.76</v>
      </c>
      <c r="I160">
        <v>0</v>
      </c>
      <c r="J160">
        <v>0</v>
      </c>
      <c r="K160">
        <v>10</v>
      </c>
      <c r="L160" t="s">
        <v>61</v>
      </c>
      <c r="M160">
        <v>354</v>
      </c>
      <c r="N160">
        <v>35.4</v>
      </c>
      <c r="O160" t="s">
        <v>62</v>
      </c>
      <c r="P160" t="s">
        <v>67</v>
      </c>
      <c r="Q160">
        <v>2082</v>
      </c>
      <c r="R160">
        <v>208.2</v>
      </c>
    </row>
    <row r="161" spans="1:18" x14ac:dyDescent="0.35">
      <c r="A161" t="s">
        <v>56</v>
      </c>
      <c r="B161" t="s">
        <v>57</v>
      </c>
      <c r="C161" t="s">
        <v>70</v>
      </c>
      <c r="D161">
        <v>107674648</v>
      </c>
      <c r="E161" t="s">
        <v>92</v>
      </c>
      <c r="F161" t="s">
        <v>72</v>
      </c>
      <c r="G161">
        <v>0.24</v>
      </c>
      <c r="H161">
        <v>9.76</v>
      </c>
      <c r="I161">
        <v>0</v>
      </c>
      <c r="J161">
        <v>0</v>
      </c>
      <c r="K161">
        <v>10</v>
      </c>
      <c r="L161" t="s">
        <v>61</v>
      </c>
      <c r="M161">
        <v>354</v>
      </c>
      <c r="N161">
        <v>35.4</v>
      </c>
      <c r="O161" t="s">
        <v>68</v>
      </c>
      <c r="P161" t="s">
        <v>67</v>
      </c>
      <c r="Q161">
        <v>354</v>
      </c>
      <c r="R161">
        <v>35.4</v>
      </c>
    </row>
    <row r="162" spans="1:18" x14ac:dyDescent="0.35">
      <c r="A162" t="s">
        <v>56</v>
      </c>
      <c r="B162" t="s">
        <v>57</v>
      </c>
      <c r="C162" t="s">
        <v>70</v>
      </c>
      <c r="D162">
        <v>107674648</v>
      </c>
      <c r="E162" t="s">
        <v>92</v>
      </c>
      <c r="F162" t="s">
        <v>72</v>
      </c>
      <c r="G162">
        <v>0.24</v>
      </c>
      <c r="H162">
        <v>9.76</v>
      </c>
      <c r="I162">
        <v>0</v>
      </c>
      <c r="J162">
        <v>0</v>
      </c>
      <c r="K162">
        <v>10</v>
      </c>
      <c r="L162" t="s">
        <v>61</v>
      </c>
      <c r="M162">
        <v>354</v>
      </c>
      <c r="N162">
        <v>35.4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58</v>
      </c>
      <c r="D163">
        <v>107704604</v>
      </c>
      <c r="E163" t="s">
        <v>93</v>
      </c>
      <c r="F163" t="s">
        <v>72</v>
      </c>
      <c r="G163">
        <v>0.34</v>
      </c>
      <c r="H163">
        <v>9.6300000000000008</v>
      </c>
      <c r="I163">
        <v>0.03</v>
      </c>
      <c r="J163">
        <v>0</v>
      </c>
      <c r="K163">
        <v>10</v>
      </c>
      <c r="L163" t="s">
        <v>61</v>
      </c>
      <c r="M163">
        <v>513</v>
      </c>
      <c r="N163">
        <v>51.3</v>
      </c>
      <c r="O163" t="s">
        <v>62</v>
      </c>
      <c r="P163" t="s">
        <v>63</v>
      </c>
      <c r="Q163">
        <v>376</v>
      </c>
      <c r="R163">
        <v>1096.92</v>
      </c>
    </row>
    <row r="164" spans="1:18" x14ac:dyDescent="0.35">
      <c r="A164" t="s">
        <v>56</v>
      </c>
      <c r="B164" t="s">
        <v>57</v>
      </c>
      <c r="C164" t="s">
        <v>58</v>
      </c>
      <c r="D164">
        <v>107704604</v>
      </c>
      <c r="E164" t="s">
        <v>93</v>
      </c>
      <c r="F164" t="s">
        <v>72</v>
      </c>
      <c r="G164">
        <v>0.34</v>
      </c>
      <c r="H164">
        <v>9.6300000000000008</v>
      </c>
      <c r="I164">
        <v>0.03</v>
      </c>
      <c r="J164">
        <v>0</v>
      </c>
      <c r="K164">
        <v>10</v>
      </c>
      <c r="L164" t="s">
        <v>61</v>
      </c>
      <c r="M164">
        <v>513</v>
      </c>
      <c r="N164">
        <v>51.3</v>
      </c>
      <c r="O164" t="s">
        <v>62</v>
      </c>
      <c r="P164" t="s">
        <v>64</v>
      </c>
      <c r="Q164">
        <v>1831</v>
      </c>
      <c r="R164">
        <v>190.22</v>
      </c>
    </row>
    <row r="165" spans="1:18" x14ac:dyDescent="0.35">
      <c r="A165" t="s">
        <v>56</v>
      </c>
      <c r="B165" t="s">
        <v>57</v>
      </c>
      <c r="C165" t="s">
        <v>58</v>
      </c>
      <c r="D165">
        <v>107704604</v>
      </c>
      <c r="E165" t="s">
        <v>93</v>
      </c>
      <c r="F165" t="s">
        <v>72</v>
      </c>
      <c r="G165">
        <v>0.34</v>
      </c>
      <c r="H165">
        <v>9.6300000000000008</v>
      </c>
      <c r="I165">
        <v>0.03</v>
      </c>
      <c r="J165">
        <v>0</v>
      </c>
      <c r="K165">
        <v>10</v>
      </c>
      <c r="L165" t="s">
        <v>61</v>
      </c>
      <c r="M165">
        <v>513</v>
      </c>
      <c r="N165">
        <v>51.3</v>
      </c>
      <c r="O165" t="s">
        <v>62</v>
      </c>
      <c r="P165" t="s">
        <v>65</v>
      </c>
      <c r="Q165">
        <v>4</v>
      </c>
      <c r="R165">
        <v>128.57</v>
      </c>
    </row>
    <row r="166" spans="1:18" x14ac:dyDescent="0.35">
      <c r="A166" t="s">
        <v>56</v>
      </c>
      <c r="B166" t="s">
        <v>57</v>
      </c>
      <c r="C166" t="s">
        <v>58</v>
      </c>
      <c r="D166">
        <v>107704604</v>
      </c>
      <c r="E166" t="s">
        <v>93</v>
      </c>
      <c r="F166" t="s">
        <v>72</v>
      </c>
      <c r="G166">
        <v>0.34</v>
      </c>
      <c r="H166">
        <v>9.6300000000000008</v>
      </c>
      <c r="I166">
        <v>0.03</v>
      </c>
      <c r="J166">
        <v>0</v>
      </c>
      <c r="K166">
        <v>10</v>
      </c>
      <c r="L166" t="s">
        <v>61</v>
      </c>
      <c r="M166">
        <v>513</v>
      </c>
      <c r="N166">
        <v>51.3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58</v>
      </c>
      <c r="D167">
        <v>107704604</v>
      </c>
      <c r="E167" t="s">
        <v>93</v>
      </c>
      <c r="F167" t="s">
        <v>72</v>
      </c>
      <c r="G167">
        <v>0.34</v>
      </c>
      <c r="H167">
        <v>9.6300000000000008</v>
      </c>
      <c r="I167">
        <v>0.03</v>
      </c>
      <c r="J167">
        <v>0</v>
      </c>
      <c r="K167">
        <v>10</v>
      </c>
      <c r="L167" t="s">
        <v>61</v>
      </c>
      <c r="M167">
        <v>513</v>
      </c>
      <c r="N167">
        <v>51.3</v>
      </c>
      <c r="O167" t="s">
        <v>62</v>
      </c>
      <c r="P167" t="s">
        <v>67</v>
      </c>
      <c r="Q167">
        <v>2211</v>
      </c>
      <c r="R167">
        <v>221.1</v>
      </c>
    </row>
    <row r="168" spans="1:18" x14ac:dyDescent="0.35">
      <c r="A168" t="s">
        <v>56</v>
      </c>
      <c r="B168" t="s">
        <v>57</v>
      </c>
      <c r="C168" t="s">
        <v>58</v>
      </c>
      <c r="D168">
        <v>107704604</v>
      </c>
      <c r="E168" t="s">
        <v>93</v>
      </c>
      <c r="F168" t="s">
        <v>72</v>
      </c>
      <c r="G168">
        <v>0.34</v>
      </c>
      <c r="H168">
        <v>9.6300000000000008</v>
      </c>
      <c r="I168">
        <v>0.03</v>
      </c>
      <c r="J168">
        <v>0</v>
      </c>
      <c r="K168">
        <v>10</v>
      </c>
      <c r="L168" t="s">
        <v>61</v>
      </c>
      <c r="M168">
        <v>513</v>
      </c>
      <c r="N168">
        <v>51.3</v>
      </c>
      <c r="O168" t="s">
        <v>68</v>
      </c>
      <c r="P168" t="s">
        <v>67</v>
      </c>
      <c r="Q168">
        <v>513</v>
      </c>
      <c r="R168">
        <v>51.3</v>
      </c>
    </row>
    <row r="169" spans="1:18" x14ac:dyDescent="0.35">
      <c r="A169" t="s">
        <v>56</v>
      </c>
      <c r="B169" t="s">
        <v>57</v>
      </c>
      <c r="C169" t="s">
        <v>58</v>
      </c>
      <c r="D169">
        <v>107704604</v>
      </c>
      <c r="E169" t="s">
        <v>93</v>
      </c>
      <c r="F169" t="s">
        <v>72</v>
      </c>
      <c r="G169">
        <v>0.34</v>
      </c>
      <c r="H169">
        <v>9.6300000000000008</v>
      </c>
      <c r="I169">
        <v>0.03</v>
      </c>
      <c r="J169">
        <v>0</v>
      </c>
      <c r="K169">
        <v>10</v>
      </c>
      <c r="L169" t="s">
        <v>61</v>
      </c>
      <c r="M169">
        <v>513</v>
      </c>
      <c r="N169">
        <v>51.3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58</v>
      </c>
      <c r="D170">
        <v>107704699</v>
      </c>
      <c r="E170" t="s">
        <v>94</v>
      </c>
      <c r="F170" t="s">
        <v>60</v>
      </c>
      <c r="G170">
        <v>0.28999999999999998</v>
      </c>
      <c r="H170">
        <v>8.65</v>
      </c>
      <c r="I170">
        <v>0</v>
      </c>
      <c r="J170">
        <v>0</v>
      </c>
      <c r="K170">
        <v>8.94</v>
      </c>
      <c r="L170" t="s">
        <v>61</v>
      </c>
      <c r="M170">
        <v>267</v>
      </c>
      <c r="N170">
        <v>29.86</v>
      </c>
      <c r="O170" t="s">
        <v>62</v>
      </c>
      <c r="P170" t="s">
        <v>63</v>
      </c>
      <c r="Q170">
        <v>324</v>
      </c>
      <c r="R170">
        <v>1119.3900000000001</v>
      </c>
    </row>
    <row r="171" spans="1:18" x14ac:dyDescent="0.35">
      <c r="A171" t="s">
        <v>56</v>
      </c>
      <c r="B171" t="s">
        <v>57</v>
      </c>
      <c r="C171" t="s">
        <v>58</v>
      </c>
      <c r="D171">
        <v>107704699</v>
      </c>
      <c r="E171" t="s">
        <v>94</v>
      </c>
      <c r="F171" t="s">
        <v>60</v>
      </c>
      <c r="G171">
        <v>0.28999999999999998</v>
      </c>
      <c r="H171">
        <v>8.65</v>
      </c>
      <c r="I171">
        <v>0</v>
      </c>
      <c r="J171">
        <v>0</v>
      </c>
      <c r="K171">
        <v>8.94</v>
      </c>
      <c r="L171" t="s">
        <v>61</v>
      </c>
      <c r="M171">
        <v>267</v>
      </c>
      <c r="N171">
        <v>29.86</v>
      </c>
      <c r="O171" t="s">
        <v>62</v>
      </c>
      <c r="P171" t="s">
        <v>64</v>
      </c>
      <c r="Q171">
        <v>1679</v>
      </c>
      <c r="R171">
        <v>194.06</v>
      </c>
    </row>
    <row r="172" spans="1:18" x14ac:dyDescent="0.35">
      <c r="A172" t="s">
        <v>56</v>
      </c>
      <c r="B172" t="s">
        <v>57</v>
      </c>
      <c r="C172" t="s">
        <v>58</v>
      </c>
      <c r="D172">
        <v>107704699</v>
      </c>
      <c r="E172" t="s">
        <v>94</v>
      </c>
      <c r="F172" t="s">
        <v>60</v>
      </c>
      <c r="G172">
        <v>0.28999999999999998</v>
      </c>
      <c r="H172">
        <v>8.65</v>
      </c>
      <c r="I172">
        <v>0</v>
      </c>
      <c r="J172">
        <v>0</v>
      </c>
      <c r="K172">
        <v>8.94</v>
      </c>
      <c r="L172" t="s">
        <v>61</v>
      </c>
      <c r="M172">
        <v>267</v>
      </c>
      <c r="N172">
        <v>29.86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58</v>
      </c>
      <c r="D173">
        <v>107704699</v>
      </c>
      <c r="E173" t="s">
        <v>94</v>
      </c>
      <c r="F173" t="s">
        <v>60</v>
      </c>
      <c r="G173">
        <v>0.28999999999999998</v>
      </c>
      <c r="H173">
        <v>8.65</v>
      </c>
      <c r="I173">
        <v>0</v>
      </c>
      <c r="J173">
        <v>0</v>
      </c>
      <c r="K173">
        <v>8.94</v>
      </c>
      <c r="L173" t="s">
        <v>61</v>
      </c>
      <c r="M173">
        <v>267</v>
      </c>
      <c r="N173">
        <v>29.86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58</v>
      </c>
      <c r="D174">
        <v>107704699</v>
      </c>
      <c r="E174" t="s">
        <v>94</v>
      </c>
      <c r="F174" t="s">
        <v>60</v>
      </c>
      <c r="G174">
        <v>0.28999999999999998</v>
      </c>
      <c r="H174">
        <v>8.65</v>
      </c>
      <c r="I174">
        <v>0</v>
      </c>
      <c r="J174">
        <v>0</v>
      </c>
      <c r="K174">
        <v>8.94</v>
      </c>
      <c r="L174" t="s">
        <v>61</v>
      </c>
      <c r="M174">
        <v>267</v>
      </c>
      <c r="N174">
        <v>29.86</v>
      </c>
      <c r="O174" t="s">
        <v>62</v>
      </c>
      <c r="P174" t="s">
        <v>67</v>
      </c>
      <c r="Q174">
        <v>2003</v>
      </c>
      <c r="R174">
        <v>224.01</v>
      </c>
    </row>
    <row r="175" spans="1:18" x14ac:dyDescent="0.35">
      <c r="A175" t="s">
        <v>56</v>
      </c>
      <c r="B175" t="s">
        <v>57</v>
      </c>
      <c r="C175" t="s">
        <v>58</v>
      </c>
      <c r="D175">
        <v>107704699</v>
      </c>
      <c r="E175" t="s">
        <v>94</v>
      </c>
      <c r="F175" t="s">
        <v>60</v>
      </c>
      <c r="G175">
        <v>0.28999999999999998</v>
      </c>
      <c r="H175">
        <v>8.65</v>
      </c>
      <c r="I175">
        <v>0</v>
      </c>
      <c r="J175">
        <v>0</v>
      </c>
      <c r="K175">
        <v>8.94</v>
      </c>
      <c r="L175" t="s">
        <v>61</v>
      </c>
      <c r="M175">
        <v>267</v>
      </c>
      <c r="N175">
        <v>29.86</v>
      </c>
      <c r="O175" t="s">
        <v>68</v>
      </c>
      <c r="P175" t="s">
        <v>67</v>
      </c>
      <c r="Q175">
        <v>267</v>
      </c>
      <c r="R175">
        <v>29.86</v>
      </c>
    </row>
    <row r="176" spans="1:18" x14ac:dyDescent="0.35">
      <c r="A176" t="s">
        <v>56</v>
      </c>
      <c r="B176" t="s">
        <v>57</v>
      </c>
      <c r="C176" t="s">
        <v>58</v>
      </c>
      <c r="D176">
        <v>107704699</v>
      </c>
      <c r="E176" t="s">
        <v>94</v>
      </c>
      <c r="F176" t="s">
        <v>60</v>
      </c>
      <c r="G176">
        <v>0.28999999999999998</v>
      </c>
      <c r="H176">
        <v>8.65</v>
      </c>
      <c r="I176">
        <v>0</v>
      </c>
      <c r="J176">
        <v>0</v>
      </c>
      <c r="K176">
        <v>8.94</v>
      </c>
      <c r="L176" t="s">
        <v>61</v>
      </c>
      <c r="M176">
        <v>267</v>
      </c>
      <c r="N176">
        <v>29.86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70</v>
      </c>
      <c r="D177">
        <v>107741579</v>
      </c>
      <c r="E177" t="s">
        <v>95</v>
      </c>
      <c r="F177" t="s">
        <v>60</v>
      </c>
      <c r="G177">
        <v>0.57999999999999996</v>
      </c>
      <c r="H177">
        <v>9.42</v>
      </c>
      <c r="I177">
        <v>0</v>
      </c>
      <c r="J177">
        <v>0</v>
      </c>
      <c r="K177">
        <v>10</v>
      </c>
      <c r="L177" t="s">
        <v>61</v>
      </c>
      <c r="M177">
        <v>515</v>
      </c>
      <c r="N177">
        <v>51.5</v>
      </c>
      <c r="O177" t="s">
        <v>62</v>
      </c>
      <c r="P177" t="s">
        <v>63</v>
      </c>
      <c r="Q177">
        <v>498</v>
      </c>
      <c r="R177">
        <v>859.86</v>
      </c>
    </row>
    <row r="178" spans="1:18" x14ac:dyDescent="0.35">
      <c r="A178" t="s">
        <v>56</v>
      </c>
      <c r="B178" t="s">
        <v>57</v>
      </c>
      <c r="C178" t="s">
        <v>70</v>
      </c>
      <c r="D178">
        <v>107741579</v>
      </c>
      <c r="E178" t="s">
        <v>95</v>
      </c>
      <c r="F178" t="s">
        <v>60</v>
      </c>
      <c r="G178">
        <v>0.57999999999999996</v>
      </c>
      <c r="H178">
        <v>9.42</v>
      </c>
      <c r="I178">
        <v>0</v>
      </c>
      <c r="J178">
        <v>0</v>
      </c>
      <c r="K178">
        <v>10</v>
      </c>
      <c r="L178" t="s">
        <v>61</v>
      </c>
      <c r="M178">
        <v>515</v>
      </c>
      <c r="N178">
        <v>51.5</v>
      </c>
      <c r="O178" t="s">
        <v>62</v>
      </c>
      <c r="P178" t="s">
        <v>64</v>
      </c>
      <c r="Q178">
        <v>1405</v>
      </c>
      <c r="R178">
        <v>149.13999999999999</v>
      </c>
    </row>
    <row r="179" spans="1:18" x14ac:dyDescent="0.35">
      <c r="A179" t="s">
        <v>56</v>
      </c>
      <c r="B179" t="s">
        <v>57</v>
      </c>
      <c r="C179" t="s">
        <v>70</v>
      </c>
      <c r="D179">
        <v>107741579</v>
      </c>
      <c r="E179" t="s">
        <v>95</v>
      </c>
      <c r="F179" t="s">
        <v>60</v>
      </c>
      <c r="G179">
        <v>0.57999999999999996</v>
      </c>
      <c r="H179">
        <v>9.42</v>
      </c>
      <c r="I179">
        <v>0</v>
      </c>
      <c r="J179">
        <v>0</v>
      </c>
      <c r="K179">
        <v>10</v>
      </c>
      <c r="L179" t="s">
        <v>61</v>
      </c>
      <c r="M179">
        <v>515</v>
      </c>
      <c r="N179">
        <v>51.5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107741579</v>
      </c>
      <c r="E180" t="s">
        <v>95</v>
      </c>
      <c r="F180" t="s">
        <v>60</v>
      </c>
      <c r="G180">
        <v>0.57999999999999996</v>
      </c>
      <c r="H180">
        <v>9.42</v>
      </c>
      <c r="I180">
        <v>0</v>
      </c>
      <c r="J180">
        <v>0</v>
      </c>
      <c r="K180">
        <v>10</v>
      </c>
      <c r="L180" t="s">
        <v>61</v>
      </c>
      <c r="M180">
        <v>515</v>
      </c>
      <c r="N180">
        <v>51.5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70</v>
      </c>
      <c r="D181">
        <v>107741579</v>
      </c>
      <c r="E181" t="s">
        <v>95</v>
      </c>
      <c r="F181" t="s">
        <v>60</v>
      </c>
      <c r="G181">
        <v>0.57999999999999996</v>
      </c>
      <c r="H181">
        <v>9.42</v>
      </c>
      <c r="I181">
        <v>0</v>
      </c>
      <c r="J181">
        <v>0</v>
      </c>
      <c r="K181">
        <v>10</v>
      </c>
      <c r="L181" t="s">
        <v>61</v>
      </c>
      <c r="M181">
        <v>515</v>
      </c>
      <c r="N181">
        <v>51.5</v>
      </c>
      <c r="O181" t="s">
        <v>62</v>
      </c>
      <c r="P181" t="s">
        <v>67</v>
      </c>
      <c r="Q181">
        <v>1903</v>
      </c>
      <c r="R181">
        <v>190.3</v>
      </c>
    </row>
    <row r="182" spans="1:18" x14ac:dyDescent="0.35">
      <c r="A182" t="s">
        <v>56</v>
      </c>
      <c r="B182" t="s">
        <v>57</v>
      </c>
      <c r="C182" t="s">
        <v>70</v>
      </c>
      <c r="D182">
        <v>107741579</v>
      </c>
      <c r="E182" t="s">
        <v>95</v>
      </c>
      <c r="F182" t="s">
        <v>60</v>
      </c>
      <c r="G182">
        <v>0.57999999999999996</v>
      </c>
      <c r="H182">
        <v>9.42</v>
      </c>
      <c r="I182">
        <v>0</v>
      </c>
      <c r="J182">
        <v>0</v>
      </c>
      <c r="K182">
        <v>10</v>
      </c>
      <c r="L182" t="s">
        <v>61</v>
      </c>
      <c r="M182">
        <v>515</v>
      </c>
      <c r="N182">
        <v>51.5</v>
      </c>
      <c r="O182" t="s">
        <v>68</v>
      </c>
      <c r="P182" t="s">
        <v>67</v>
      </c>
      <c r="Q182">
        <v>515</v>
      </c>
      <c r="R182">
        <v>51.5</v>
      </c>
    </row>
    <row r="183" spans="1:18" x14ac:dyDescent="0.35">
      <c r="A183" t="s">
        <v>56</v>
      </c>
      <c r="B183" t="s">
        <v>57</v>
      </c>
      <c r="C183" t="s">
        <v>70</v>
      </c>
      <c r="D183">
        <v>107741579</v>
      </c>
      <c r="E183" t="s">
        <v>95</v>
      </c>
      <c r="F183" t="s">
        <v>60</v>
      </c>
      <c r="G183">
        <v>0.57999999999999996</v>
      </c>
      <c r="H183">
        <v>9.42</v>
      </c>
      <c r="I183">
        <v>0</v>
      </c>
      <c r="J183">
        <v>0</v>
      </c>
      <c r="K183">
        <v>10</v>
      </c>
      <c r="L183" t="s">
        <v>61</v>
      </c>
      <c r="M183">
        <v>515</v>
      </c>
      <c r="N183">
        <v>51.5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70</v>
      </c>
      <c r="D184">
        <v>107741612</v>
      </c>
      <c r="E184" t="s">
        <v>96</v>
      </c>
      <c r="F184" t="s">
        <v>60</v>
      </c>
      <c r="G184">
        <v>0.25</v>
      </c>
      <c r="H184">
        <v>9.75</v>
      </c>
      <c r="I184">
        <v>0</v>
      </c>
      <c r="J184">
        <v>0</v>
      </c>
      <c r="K184">
        <v>10</v>
      </c>
      <c r="L184" t="s">
        <v>61</v>
      </c>
      <c r="M184">
        <v>446</v>
      </c>
      <c r="N184">
        <v>44.6</v>
      </c>
      <c r="O184" t="s">
        <v>62</v>
      </c>
      <c r="P184" t="s">
        <v>63</v>
      </c>
      <c r="Q184">
        <v>382</v>
      </c>
      <c r="R184">
        <v>1536.54</v>
      </c>
    </row>
    <row r="185" spans="1:18" x14ac:dyDescent="0.35">
      <c r="A185" t="s">
        <v>56</v>
      </c>
      <c r="B185" t="s">
        <v>57</v>
      </c>
      <c r="C185" t="s">
        <v>70</v>
      </c>
      <c r="D185">
        <v>107741612</v>
      </c>
      <c r="E185" t="s">
        <v>96</v>
      </c>
      <c r="F185" t="s">
        <v>60</v>
      </c>
      <c r="G185">
        <v>0.25</v>
      </c>
      <c r="H185">
        <v>9.75</v>
      </c>
      <c r="I185">
        <v>0</v>
      </c>
      <c r="J185">
        <v>0</v>
      </c>
      <c r="K185">
        <v>10</v>
      </c>
      <c r="L185" t="s">
        <v>61</v>
      </c>
      <c r="M185">
        <v>446</v>
      </c>
      <c r="N185">
        <v>44.6</v>
      </c>
      <c r="O185" t="s">
        <v>62</v>
      </c>
      <c r="P185" t="s">
        <v>64</v>
      </c>
      <c r="Q185">
        <v>2599</v>
      </c>
      <c r="R185">
        <v>266.52999999999997</v>
      </c>
    </row>
    <row r="186" spans="1:18" x14ac:dyDescent="0.35">
      <c r="A186" t="s">
        <v>56</v>
      </c>
      <c r="B186" t="s">
        <v>57</v>
      </c>
      <c r="C186" t="s">
        <v>70</v>
      </c>
      <c r="D186">
        <v>107741612</v>
      </c>
      <c r="E186" t="s">
        <v>96</v>
      </c>
      <c r="F186" t="s">
        <v>60</v>
      </c>
      <c r="G186">
        <v>0.25</v>
      </c>
      <c r="H186">
        <v>9.75</v>
      </c>
      <c r="I186">
        <v>0</v>
      </c>
      <c r="J186">
        <v>0</v>
      </c>
      <c r="K186">
        <v>10</v>
      </c>
      <c r="L186" t="s">
        <v>61</v>
      </c>
      <c r="M186">
        <v>446</v>
      </c>
      <c r="N186">
        <v>44.6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70</v>
      </c>
      <c r="D187">
        <v>107741612</v>
      </c>
      <c r="E187" t="s">
        <v>96</v>
      </c>
      <c r="F187" t="s">
        <v>60</v>
      </c>
      <c r="G187">
        <v>0.25</v>
      </c>
      <c r="H187">
        <v>9.75</v>
      </c>
      <c r="I187">
        <v>0</v>
      </c>
      <c r="J187">
        <v>0</v>
      </c>
      <c r="K187">
        <v>10</v>
      </c>
      <c r="L187" t="s">
        <v>61</v>
      </c>
      <c r="M187">
        <v>446</v>
      </c>
      <c r="N187">
        <v>44.6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70</v>
      </c>
      <c r="D188">
        <v>107741612</v>
      </c>
      <c r="E188" t="s">
        <v>96</v>
      </c>
      <c r="F188" t="s">
        <v>60</v>
      </c>
      <c r="G188">
        <v>0.25</v>
      </c>
      <c r="H188">
        <v>9.75</v>
      </c>
      <c r="I188">
        <v>0</v>
      </c>
      <c r="J188">
        <v>0</v>
      </c>
      <c r="K188">
        <v>10</v>
      </c>
      <c r="L188" t="s">
        <v>61</v>
      </c>
      <c r="M188">
        <v>446</v>
      </c>
      <c r="N188">
        <v>44.6</v>
      </c>
      <c r="O188" t="s">
        <v>62</v>
      </c>
      <c r="P188" t="s">
        <v>67</v>
      </c>
      <c r="Q188">
        <v>2981</v>
      </c>
      <c r="R188">
        <v>298.10000000000002</v>
      </c>
    </row>
    <row r="189" spans="1:18" x14ac:dyDescent="0.35">
      <c r="A189" t="s">
        <v>56</v>
      </c>
      <c r="B189" t="s">
        <v>57</v>
      </c>
      <c r="C189" t="s">
        <v>70</v>
      </c>
      <c r="D189">
        <v>107741612</v>
      </c>
      <c r="E189" t="s">
        <v>96</v>
      </c>
      <c r="F189" t="s">
        <v>60</v>
      </c>
      <c r="G189">
        <v>0.25</v>
      </c>
      <c r="H189">
        <v>9.75</v>
      </c>
      <c r="I189">
        <v>0</v>
      </c>
      <c r="J189">
        <v>0</v>
      </c>
      <c r="K189">
        <v>10</v>
      </c>
      <c r="L189" t="s">
        <v>61</v>
      </c>
      <c r="M189">
        <v>446</v>
      </c>
      <c r="N189">
        <v>44.6</v>
      </c>
      <c r="O189" t="s">
        <v>68</v>
      </c>
      <c r="P189" t="s">
        <v>67</v>
      </c>
      <c r="Q189">
        <v>446</v>
      </c>
      <c r="R189">
        <v>44.6</v>
      </c>
    </row>
    <row r="190" spans="1:18" x14ac:dyDescent="0.35">
      <c r="A190" t="s">
        <v>56</v>
      </c>
      <c r="B190" t="s">
        <v>57</v>
      </c>
      <c r="C190" t="s">
        <v>70</v>
      </c>
      <c r="D190">
        <v>107741612</v>
      </c>
      <c r="E190" t="s">
        <v>96</v>
      </c>
      <c r="F190" t="s">
        <v>60</v>
      </c>
      <c r="G190">
        <v>0.25</v>
      </c>
      <c r="H190">
        <v>9.75</v>
      </c>
      <c r="I190">
        <v>0</v>
      </c>
      <c r="J190">
        <v>0</v>
      </c>
      <c r="K190">
        <v>10</v>
      </c>
      <c r="L190" t="s">
        <v>61</v>
      </c>
      <c r="M190">
        <v>446</v>
      </c>
      <c r="N190">
        <v>44.6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58</v>
      </c>
      <c r="D191">
        <v>107741933</v>
      </c>
      <c r="E191" t="s">
        <v>97</v>
      </c>
      <c r="F191" t="s">
        <v>60</v>
      </c>
      <c r="G191">
        <v>0.43</v>
      </c>
      <c r="H191">
        <v>8.5399999999999991</v>
      </c>
      <c r="I191">
        <v>0.03</v>
      </c>
      <c r="J191">
        <v>0</v>
      </c>
      <c r="K191">
        <v>9</v>
      </c>
      <c r="L191" t="s">
        <v>61</v>
      </c>
      <c r="M191">
        <v>231</v>
      </c>
      <c r="N191">
        <v>25.67</v>
      </c>
      <c r="O191" t="s">
        <v>62</v>
      </c>
      <c r="P191" t="s">
        <v>63</v>
      </c>
      <c r="Q191">
        <v>361</v>
      </c>
      <c r="R191">
        <v>840.62</v>
      </c>
    </row>
    <row r="192" spans="1:18" x14ac:dyDescent="0.35">
      <c r="A192" t="s">
        <v>56</v>
      </c>
      <c r="B192" t="s">
        <v>57</v>
      </c>
      <c r="C192" t="s">
        <v>58</v>
      </c>
      <c r="D192">
        <v>107741933</v>
      </c>
      <c r="E192" t="s">
        <v>97</v>
      </c>
      <c r="F192" t="s">
        <v>60</v>
      </c>
      <c r="G192">
        <v>0.43</v>
      </c>
      <c r="H192">
        <v>8.5399999999999991</v>
      </c>
      <c r="I192">
        <v>0.03</v>
      </c>
      <c r="J192">
        <v>0</v>
      </c>
      <c r="K192">
        <v>9</v>
      </c>
      <c r="L192" t="s">
        <v>61</v>
      </c>
      <c r="M192">
        <v>231</v>
      </c>
      <c r="N192">
        <v>25.67</v>
      </c>
      <c r="O192" t="s">
        <v>62</v>
      </c>
      <c r="P192" t="s">
        <v>64</v>
      </c>
      <c r="Q192">
        <v>1245</v>
      </c>
      <c r="R192">
        <v>145.78</v>
      </c>
    </row>
    <row r="193" spans="1:18" x14ac:dyDescent="0.35">
      <c r="A193" t="s">
        <v>56</v>
      </c>
      <c r="B193" t="s">
        <v>57</v>
      </c>
      <c r="C193" t="s">
        <v>58</v>
      </c>
      <c r="D193">
        <v>107741933</v>
      </c>
      <c r="E193" t="s">
        <v>97</v>
      </c>
      <c r="F193" t="s">
        <v>60</v>
      </c>
      <c r="G193">
        <v>0.43</v>
      </c>
      <c r="H193">
        <v>8.5399999999999991</v>
      </c>
      <c r="I193">
        <v>0.03</v>
      </c>
      <c r="J193">
        <v>0</v>
      </c>
      <c r="K193">
        <v>9</v>
      </c>
      <c r="L193" t="s">
        <v>61</v>
      </c>
      <c r="M193">
        <v>231</v>
      </c>
      <c r="N193">
        <v>25.67</v>
      </c>
      <c r="O193" t="s">
        <v>62</v>
      </c>
      <c r="P193" t="s">
        <v>65</v>
      </c>
      <c r="Q193">
        <v>3</v>
      </c>
      <c r="R193">
        <v>98.18</v>
      </c>
    </row>
    <row r="194" spans="1:18" x14ac:dyDescent="0.35">
      <c r="A194" t="s">
        <v>56</v>
      </c>
      <c r="B194" t="s">
        <v>57</v>
      </c>
      <c r="C194" t="s">
        <v>58</v>
      </c>
      <c r="D194">
        <v>107741933</v>
      </c>
      <c r="E194" t="s">
        <v>97</v>
      </c>
      <c r="F194" t="s">
        <v>60</v>
      </c>
      <c r="G194">
        <v>0.43</v>
      </c>
      <c r="H194">
        <v>8.5399999999999991</v>
      </c>
      <c r="I194">
        <v>0.03</v>
      </c>
      <c r="J194">
        <v>0</v>
      </c>
      <c r="K194">
        <v>9</v>
      </c>
      <c r="L194" t="s">
        <v>61</v>
      </c>
      <c r="M194">
        <v>231</v>
      </c>
      <c r="N194">
        <v>25.67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58</v>
      </c>
      <c r="D195">
        <v>107741933</v>
      </c>
      <c r="E195" t="s">
        <v>97</v>
      </c>
      <c r="F195" t="s">
        <v>60</v>
      </c>
      <c r="G195">
        <v>0.43</v>
      </c>
      <c r="H195">
        <v>8.5399999999999991</v>
      </c>
      <c r="I195">
        <v>0.03</v>
      </c>
      <c r="J195">
        <v>0</v>
      </c>
      <c r="K195">
        <v>9</v>
      </c>
      <c r="L195" t="s">
        <v>61</v>
      </c>
      <c r="M195">
        <v>231</v>
      </c>
      <c r="N195">
        <v>25.67</v>
      </c>
      <c r="O195" t="s">
        <v>62</v>
      </c>
      <c r="P195" t="s">
        <v>67</v>
      </c>
      <c r="Q195">
        <v>1609</v>
      </c>
      <c r="R195">
        <v>178.77</v>
      </c>
    </row>
    <row r="196" spans="1:18" x14ac:dyDescent="0.35">
      <c r="A196" t="s">
        <v>56</v>
      </c>
      <c r="B196" t="s">
        <v>57</v>
      </c>
      <c r="C196" t="s">
        <v>58</v>
      </c>
      <c r="D196">
        <v>107741933</v>
      </c>
      <c r="E196" t="s">
        <v>97</v>
      </c>
      <c r="F196" t="s">
        <v>60</v>
      </c>
      <c r="G196">
        <v>0.43</v>
      </c>
      <c r="H196">
        <v>8.5399999999999991</v>
      </c>
      <c r="I196">
        <v>0.03</v>
      </c>
      <c r="J196">
        <v>0</v>
      </c>
      <c r="K196">
        <v>9</v>
      </c>
      <c r="L196" t="s">
        <v>61</v>
      </c>
      <c r="M196">
        <v>231</v>
      </c>
      <c r="N196">
        <v>25.67</v>
      </c>
      <c r="O196" t="s">
        <v>68</v>
      </c>
      <c r="P196" t="s">
        <v>67</v>
      </c>
      <c r="Q196">
        <v>231</v>
      </c>
      <c r="R196">
        <v>25.67</v>
      </c>
    </row>
    <row r="197" spans="1:18" x14ac:dyDescent="0.35">
      <c r="A197" t="s">
        <v>56</v>
      </c>
      <c r="B197" t="s">
        <v>57</v>
      </c>
      <c r="C197" t="s">
        <v>58</v>
      </c>
      <c r="D197">
        <v>107741933</v>
      </c>
      <c r="E197" t="s">
        <v>97</v>
      </c>
      <c r="F197" t="s">
        <v>60</v>
      </c>
      <c r="G197">
        <v>0.43</v>
      </c>
      <c r="H197">
        <v>8.5399999999999991</v>
      </c>
      <c r="I197">
        <v>0.03</v>
      </c>
      <c r="J197">
        <v>0</v>
      </c>
      <c r="K197">
        <v>9</v>
      </c>
      <c r="L197" t="s">
        <v>61</v>
      </c>
      <c r="M197">
        <v>231</v>
      </c>
      <c r="N197">
        <v>25.67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58</v>
      </c>
      <c r="D198">
        <v>107775413</v>
      </c>
      <c r="E198" t="s">
        <v>98</v>
      </c>
      <c r="F198" t="s">
        <v>72</v>
      </c>
      <c r="G198">
        <v>0.75</v>
      </c>
      <c r="H198">
        <v>9.25</v>
      </c>
      <c r="I198">
        <v>0</v>
      </c>
      <c r="J198">
        <v>0</v>
      </c>
      <c r="K198">
        <v>10</v>
      </c>
      <c r="L198" t="s">
        <v>61</v>
      </c>
      <c r="M198">
        <v>368</v>
      </c>
      <c r="N198">
        <v>36.799999999999997</v>
      </c>
      <c r="O198" t="s">
        <v>62</v>
      </c>
      <c r="P198" t="s">
        <v>63</v>
      </c>
      <c r="Q198">
        <v>1044</v>
      </c>
      <c r="R198">
        <v>1389.43</v>
      </c>
    </row>
    <row r="199" spans="1:18" x14ac:dyDescent="0.35">
      <c r="A199" t="s">
        <v>56</v>
      </c>
      <c r="B199" t="s">
        <v>57</v>
      </c>
      <c r="C199" t="s">
        <v>58</v>
      </c>
      <c r="D199">
        <v>107775413</v>
      </c>
      <c r="E199" t="s">
        <v>98</v>
      </c>
      <c r="F199" t="s">
        <v>72</v>
      </c>
      <c r="G199">
        <v>0.75</v>
      </c>
      <c r="H199">
        <v>9.25</v>
      </c>
      <c r="I199">
        <v>0</v>
      </c>
      <c r="J199">
        <v>0</v>
      </c>
      <c r="K199">
        <v>10</v>
      </c>
      <c r="L199" t="s">
        <v>61</v>
      </c>
      <c r="M199">
        <v>368</v>
      </c>
      <c r="N199">
        <v>36.799999999999997</v>
      </c>
      <c r="O199" t="s">
        <v>62</v>
      </c>
      <c r="P199" t="s">
        <v>64</v>
      </c>
      <c r="Q199">
        <v>2229</v>
      </c>
      <c r="R199">
        <v>241.02</v>
      </c>
    </row>
    <row r="200" spans="1:18" x14ac:dyDescent="0.35">
      <c r="A200" t="s">
        <v>56</v>
      </c>
      <c r="B200" t="s">
        <v>57</v>
      </c>
      <c r="C200" t="s">
        <v>58</v>
      </c>
      <c r="D200">
        <v>107775413</v>
      </c>
      <c r="E200" t="s">
        <v>98</v>
      </c>
      <c r="F200" t="s">
        <v>72</v>
      </c>
      <c r="G200">
        <v>0.75</v>
      </c>
      <c r="H200">
        <v>9.25</v>
      </c>
      <c r="I200">
        <v>0</v>
      </c>
      <c r="J200">
        <v>0</v>
      </c>
      <c r="K200">
        <v>10</v>
      </c>
      <c r="L200" t="s">
        <v>61</v>
      </c>
      <c r="M200">
        <v>368</v>
      </c>
      <c r="N200">
        <v>36.799999999999997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58</v>
      </c>
      <c r="D201">
        <v>107775413</v>
      </c>
      <c r="E201" t="s">
        <v>98</v>
      </c>
      <c r="F201" t="s">
        <v>72</v>
      </c>
      <c r="G201">
        <v>0.75</v>
      </c>
      <c r="H201">
        <v>9.25</v>
      </c>
      <c r="I201">
        <v>0</v>
      </c>
      <c r="J201">
        <v>0</v>
      </c>
      <c r="K201">
        <v>10</v>
      </c>
      <c r="L201" t="s">
        <v>61</v>
      </c>
      <c r="M201">
        <v>368</v>
      </c>
      <c r="N201">
        <v>36.799999999999997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58</v>
      </c>
      <c r="D202">
        <v>107775413</v>
      </c>
      <c r="E202" t="s">
        <v>98</v>
      </c>
      <c r="F202" t="s">
        <v>72</v>
      </c>
      <c r="G202">
        <v>0.75</v>
      </c>
      <c r="H202">
        <v>9.25</v>
      </c>
      <c r="I202">
        <v>0</v>
      </c>
      <c r="J202">
        <v>0</v>
      </c>
      <c r="K202">
        <v>10</v>
      </c>
      <c r="L202" t="s">
        <v>61</v>
      </c>
      <c r="M202">
        <v>368</v>
      </c>
      <c r="N202">
        <v>36.799999999999997</v>
      </c>
      <c r="O202" t="s">
        <v>62</v>
      </c>
      <c r="P202" t="s">
        <v>67</v>
      </c>
      <c r="Q202">
        <v>3273</v>
      </c>
      <c r="R202">
        <v>327.3</v>
      </c>
    </row>
    <row r="203" spans="1:18" x14ac:dyDescent="0.35">
      <c r="A203" t="s">
        <v>56</v>
      </c>
      <c r="B203" t="s">
        <v>57</v>
      </c>
      <c r="C203" t="s">
        <v>58</v>
      </c>
      <c r="D203">
        <v>107775413</v>
      </c>
      <c r="E203" t="s">
        <v>98</v>
      </c>
      <c r="F203" t="s">
        <v>72</v>
      </c>
      <c r="G203">
        <v>0.75</v>
      </c>
      <c r="H203">
        <v>9.25</v>
      </c>
      <c r="I203">
        <v>0</v>
      </c>
      <c r="J203">
        <v>0</v>
      </c>
      <c r="K203">
        <v>10</v>
      </c>
      <c r="L203" t="s">
        <v>61</v>
      </c>
      <c r="M203">
        <v>368</v>
      </c>
      <c r="N203">
        <v>36.799999999999997</v>
      </c>
      <c r="O203" t="s">
        <v>68</v>
      </c>
      <c r="P203" t="s">
        <v>67</v>
      </c>
      <c r="Q203">
        <v>368</v>
      </c>
      <c r="R203">
        <v>36.799999999999997</v>
      </c>
    </row>
    <row r="204" spans="1:18" x14ac:dyDescent="0.35">
      <c r="A204" t="s">
        <v>56</v>
      </c>
      <c r="B204" t="s">
        <v>57</v>
      </c>
      <c r="C204" t="s">
        <v>58</v>
      </c>
      <c r="D204">
        <v>107775413</v>
      </c>
      <c r="E204" t="s">
        <v>98</v>
      </c>
      <c r="F204" t="s">
        <v>72</v>
      </c>
      <c r="G204">
        <v>0.75</v>
      </c>
      <c r="H204">
        <v>9.25</v>
      </c>
      <c r="I204">
        <v>0</v>
      </c>
      <c r="J204">
        <v>0</v>
      </c>
      <c r="K204">
        <v>10</v>
      </c>
      <c r="L204" t="s">
        <v>61</v>
      </c>
      <c r="M204">
        <v>368</v>
      </c>
      <c r="N204">
        <v>36.799999999999997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107775521</v>
      </c>
      <c r="E205" t="s">
        <v>99</v>
      </c>
      <c r="F205" t="s">
        <v>72</v>
      </c>
      <c r="G205">
        <v>0.38</v>
      </c>
      <c r="H205">
        <v>9.5299999999999994</v>
      </c>
      <c r="I205">
        <v>0</v>
      </c>
      <c r="J205">
        <v>0</v>
      </c>
      <c r="K205">
        <v>9.91</v>
      </c>
      <c r="L205" t="s">
        <v>61</v>
      </c>
      <c r="M205">
        <v>408</v>
      </c>
      <c r="N205">
        <v>41.17</v>
      </c>
      <c r="O205" t="s">
        <v>62</v>
      </c>
      <c r="P205" t="s">
        <v>63</v>
      </c>
      <c r="Q205">
        <v>666</v>
      </c>
      <c r="R205">
        <v>1741.18</v>
      </c>
    </row>
    <row r="206" spans="1:18" x14ac:dyDescent="0.35">
      <c r="A206" t="s">
        <v>56</v>
      </c>
      <c r="B206" t="s">
        <v>57</v>
      </c>
      <c r="C206" t="s">
        <v>70</v>
      </c>
      <c r="D206">
        <v>107775521</v>
      </c>
      <c r="E206" t="s">
        <v>99</v>
      </c>
      <c r="F206" t="s">
        <v>72</v>
      </c>
      <c r="G206">
        <v>0.38</v>
      </c>
      <c r="H206">
        <v>9.5299999999999994</v>
      </c>
      <c r="I206">
        <v>0</v>
      </c>
      <c r="J206">
        <v>0</v>
      </c>
      <c r="K206">
        <v>9.91</v>
      </c>
      <c r="L206" t="s">
        <v>61</v>
      </c>
      <c r="M206">
        <v>408</v>
      </c>
      <c r="N206">
        <v>41.17</v>
      </c>
      <c r="O206" t="s">
        <v>62</v>
      </c>
      <c r="P206" t="s">
        <v>64</v>
      </c>
      <c r="Q206">
        <v>2877</v>
      </c>
      <c r="R206">
        <v>301.98</v>
      </c>
    </row>
    <row r="207" spans="1:18" x14ac:dyDescent="0.35">
      <c r="A207" t="s">
        <v>56</v>
      </c>
      <c r="B207" t="s">
        <v>57</v>
      </c>
      <c r="C207" t="s">
        <v>70</v>
      </c>
      <c r="D207">
        <v>107775521</v>
      </c>
      <c r="E207" t="s">
        <v>99</v>
      </c>
      <c r="F207" t="s">
        <v>72</v>
      </c>
      <c r="G207">
        <v>0.38</v>
      </c>
      <c r="H207">
        <v>9.5299999999999994</v>
      </c>
      <c r="I207">
        <v>0</v>
      </c>
      <c r="J207">
        <v>0</v>
      </c>
      <c r="K207">
        <v>9.91</v>
      </c>
      <c r="L207" t="s">
        <v>61</v>
      </c>
      <c r="M207">
        <v>408</v>
      </c>
      <c r="N207">
        <v>41.17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70</v>
      </c>
      <c r="D208">
        <v>107775521</v>
      </c>
      <c r="E208" t="s">
        <v>99</v>
      </c>
      <c r="F208" t="s">
        <v>72</v>
      </c>
      <c r="G208">
        <v>0.38</v>
      </c>
      <c r="H208">
        <v>9.5299999999999994</v>
      </c>
      <c r="I208">
        <v>0</v>
      </c>
      <c r="J208">
        <v>0</v>
      </c>
      <c r="K208">
        <v>9.91</v>
      </c>
      <c r="L208" t="s">
        <v>61</v>
      </c>
      <c r="M208">
        <v>408</v>
      </c>
      <c r="N208">
        <v>41.17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107775521</v>
      </c>
      <c r="E209" t="s">
        <v>99</v>
      </c>
      <c r="F209" t="s">
        <v>72</v>
      </c>
      <c r="G209">
        <v>0.38</v>
      </c>
      <c r="H209">
        <v>9.5299999999999994</v>
      </c>
      <c r="I209">
        <v>0</v>
      </c>
      <c r="J209">
        <v>0</v>
      </c>
      <c r="K209">
        <v>9.91</v>
      </c>
      <c r="L209" t="s">
        <v>61</v>
      </c>
      <c r="M209">
        <v>408</v>
      </c>
      <c r="N209">
        <v>41.17</v>
      </c>
      <c r="O209" t="s">
        <v>62</v>
      </c>
      <c r="P209" t="s">
        <v>67</v>
      </c>
      <c r="Q209">
        <v>3543</v>
      </c>
      <c r="R209">
        <v>357.52</v>
      </c>
    </row>
    <row r="210" spans="1:18" x14ac:dyDescent="0.35">
      <c r="A210" t="s">
        <v>56</v>
      </c>
      <c r="B210" t="s">
        <v>57</v>
      </c>
      <c r="C210" t="s">
        <v>70</v>
      </c>
      <c r="D210">
        <v>107775521</v>
      </c>
      <c r="E210" t="s">
        <v>99</v>
      </c>
      <c r="F210" t="s">
        <v>72</v>
      </c>
      <c r="G210">
        <v>0.38</v>
      </c>
      <c r="H210">
        <v>9.5299999999999994</v>
      </c>
      <c r="I210">
        <v>0</v>
      </c>
      <c r="J210">
        <v>0</v>
      </c>
      <c r="K210">
        <v>9.91</v>
      </c>
      <c r="L210" t="s">
        <v>61</v>
      </c>
      <c r="M210">
        <v>408</v>
      </c>
      <c r="N210">
        <v>41.17</v>
      </c>
      <c r="O210" t="s">
        <v>68</v>
      </c>
      <c r="P210" t="s">
        <v>67</v>
      </c>
      <c r="Q210">
        <v>408</v>
      </c>
      <c r="R210">
        <v>41.17</v>
      </c>
    </row>
    <row r="211" spans="1:18" x14ac:dyDescent="0.35">
      <c r="A211" t="s">
        <v>56</v>
      </c>
      <c r="B211" t="s">
        <v>57</v>
      </c>
      <c r="C211" t="s">
        <v>70</v>
      </c>
      <c r="D211">
        <v>107775521</v>
      </c>
      <c r="E211" t="s">
        <v>99</v>
      </c>
      <c r="F211" t="s">
        <v>72</v>
      </c>
      <c r="G211">
        <v>0.38</v>
      </c>
      <c r="H211">
        <v>9.5299999999999994</v>
      </c>
      <c r="I211">
        <v>0</v>
      </c>
      <c r="J211">
        <v>0</v>
      </c>
      <c r="K211">
        <v>9.91</v>
      </c>
      <c r="L211" t="s">
        <v>61</v>
      </c>
      <c r="M211">
        <v>408</v>
      </c>
      <c r="N211">
        <v>41.17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70</v>
      </c>
      <c r="D212">
        <v>107775986</v>
      </c>
      <c r="E212" t="s">
        <v>100</v>
      </c>
      <c r="F212" t="s">
        <v>72</v>
      </c>
      <c r="G212">
        <v>1.48</v>
      </c>
      <c r="H212">
        <v>8.6300000000000008</v>
      </c>
      <c r="I212">
        <v>0</v>
      </c>
      <c r="J212">
        <v>0</v>
      </c>
      <c r="K212">
        <v>10.119999999999999</v>
      </c>
      <c r="L212" t="s">
        <v>61</v>
      </c>
      <c r="M212">
        <v>632</v>
      </c>
      <c r="N212">
        <v>62.47</v>
      </c>
      <c r="O212" t="s">
        <v>62</v>
      </c>
      <c r="P212" t="s">
        <v>63</v>
      </c>
      <c r="Q212">
        <v>2956</v>
      </c>
      <c r="R212">
        <v>1993.93</v>
      </c>
    </row>
    <row r="213" spans="1:18" x14ac:dyDescent="0.35">
      <c r="A213" t="s">
        <v>56</v>
      </c>
      <c r="B213" t="s">
        <v>57</v>
      </c>
      <c r="C213" t="s">
        <v>70</v>
      </c>
      <c r="D213">
        <v>107775986</v>
      </c>
      <c r="E213" t="s">
        <v>100</v>
      </c>
      <c r="F213" t="s">
        <v>72</v>
      </c>
      <c r="G213">
        <v>1.48</v>
      </c>
      <c r="H213">
        <v>8.6300000000000008</v>
      </c>
      <c r="I213">
        <v>0</v>
      </c>
      <c r="J213">
        <v>0</v>
      </c>
      <c r="K213">
        <v>10.119999999999999</v>
      </c>
      <c r="L213" t="s">
        <v>61</v>
      </c>
      <c r="M213">
        <v>632</v>
      </c>
      <c r="N213">
        <v>62.47</v>
      </c>
      <c r="O213" t="s">
        <v>62</v>
      </c>
      <c r="P213" t="s">
        <v>64</v>
      </c>
      <c r="Q213">
        <v>2987</v>
      </c>
      <c r="R213">
        <v>345.96</v>
      </c>
    </row>
    <row r="214" spans="1:18" x14ac:dyDescent="0.35">
      <c r="A214" t="s">
        <v>56</v>
      </c>
      <c r="B214" t="s">
        <v>57</v>
      </c>
      <c r="C214" t="s">
        <v>70</v>
      </c>
      <c r="D214">
        <v>107775986</v>
      </c>
      <c r="E214" t="s">
        <v>100</v>
      </c>
      <c r="F214" t="s">
        <v>72</v>
      </c>
      <c r="G214">
        <v>1.48</v>
      </c>
      <c r="H214">
        <v>8.6300000000000008</v>
      </c>
      <c r="I214">
        <v>0</v>
      </c>
      <c r="J214">
        <v>0</v>
      </c>
      <c r="K214">
        <v>10.119999999999999</v>
      </c>
      <c r="L214" t="s">
        <v>61</v>
      </c>
      <c r="M214">
        <v>632</v>
      </c>
      <c r="N214">
        <v>62.47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70</v>
      </c>
      <c r="D215">
        <v>107775986</v>
      </c>
      <c r="E215" t="s">
        <v>100</v>
      </c>
      <c r="F215" t="s">
        <v>72</v>
      </c>
      <c r="G215">
        <v>1.48</v>
      </c>
      <c r="H215">
        <v>8.6300000000000008</v>
      </c>
      <c r="I215">
        <v>0</v>
      </c>
      <c r="J215">
        <v>0</v>
      </c>
      <c r="K215">
        <v>10.119999999999999</v>
      </c>
      <c r="L215" t="s">
        <v>61</v>
      </c>
      <c r="M215">
        <v>632</v>
      </c>
      <c r="N215">
        <v>62.47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70</v>
      </c>
      <c r="D216">
        <v>107775986</v>
      </c>
      <c r="E216" t="s">
        <v>100</v>
      </c>
      <c r="F216" t="s">
        <v>72</v>
      </c>
      <c r="G216">
        <v>1.48</v>
      </c>
      <c r="H216">
        <v>8.6300000000000008</v>
      </c>
      <c r="I216">
        <v>0</v>
      </c>
      <c r="J216">
        <v>0</v>
      </c>
      <c r="K216">
        <v>10.119999999999999</v>
      </c>
      <c r="L216" t="s">
        <v>61</v>
      </c>
      <c r="M216">
        <v>632</v>
      </c>
      <c r="N216">
        <v>62.47</v>
      </c>
      <c r="O216" t="s">
        <v>62</v>
      </c>
      <c r="P216" t="s">
        <v>67</v>
      </c>
      <c r="Q216">
        <v>5943</v>
      </c>
      <c r="R216">
        <v>587.45000000000005</v>
      </c>
    </row>
    <row r="217" spans="1:18" x14ac:dyDescent="0.35">
      <c r="A217" t="s">
        <v>56</v>
      </c>
      <c r="B217" t="s">
        <v>57</v>
      </c>
      <c r="C217" t="s">
        <v>70</v>
      </c>
      <c r="D217">
        <v>107775986</v>
      </c>
      <c r="E217" t="s">
        <v>100</v>
      </c>
      <c r="F217" t="s">
        <v>72</v>
      </c>
      <c r="G217">
        <v>1.48</v>
      </c>
      <c r="H217">
        <v>8.6300000000000008</v>
      </c>
      <c r="I217">
        <v>0</v>
      </c>
      <c r="J217">
        <v>0</v>
      </c>
      <c r="K217">
        <v>10.119999999999999</v>
      </c>
      <c r="L217" t="s">
        <v>61</v>
      </c>
      <c r="M217">
        <v>632</v>
      </c>
      <c r="N217">
        <v>62.47</v>
      </c>
      <c r="O217" t="s">
        <v>68</v>
      </c>
      <c r="P217" t="s">
        <v>67</v>
      </c>
      <c r="Q217">
        <v>632</v>
      </c>
      <c r="R217">
        <v>62.47</v>
      </c>
    </row>
    <row r="218" spans="1:18" x14ac:dyDescent="0.35">
      <c r="A218" t="s">
        <v>56</v>
      </c>
      <c r="B218" t="s">
        <v>57</v>
      </c>
      <c r="C218" t="s">
        <v>70</v>
      </c>
      <c r="D218">
        <v>107775986</v>
      </c>
      <c r="E218" t="s">
        <v>100</v>
      </c>
      <c r="F218" t="s">
        <v>72</v>
      </c>
      <c r="G218">
        <v>1.48</v>
      </c>
      <c r="H218">
        <v>8.6300000000000008</v>
      </c>
      <c r="I218">
        <v>0</v>
      </c>
      <c r="J218">
        <v>0</v>
      </c>
      <c r="K218">
        <v>10.119999999999999</v>
      </c>
      <c r="L218" t="s">
        <v>61</v>
      </c>
      <c r="M218">
        <v>632</v>
      </c>
      <c r="N218">
        <v>62.47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58</v>
      </c>
      <c r="D219">
        <v>107819512</v>
      </c>
      <c r="E219" t="s">
        <v>101</v>
      </c>
      <c r="F219" t="s">
        <v>60</v>
      </c>
      <c r="G219">
        <v>0.57999999999999996</v>
      </c>
      <c r="H219">
        <v>6.32</v>
      </c>
      <c r="I219">
        <v>0</v>
      </c>
      <c r="J219">
        <v>0</v>
      </c>
      <c r="K219">
        <v>6.9</v>
      </c>
      <c r="L219" t="s">
        <v>61</v>
      </c>
      <c r="M219">
        <v>205</v>
      </c>
      <c r="N219">
        <v>29.7</v>
      </c>
      <c r="O219" t="s">
        <v>62</v>
      </c>
      <c r="P219" t="s">
        <v>63</v>
      </c>
      <c r="Q219">
        <v>606</v>
      </c>
      <c r="R219">
        <v>1037.3800000000001</v>
      </c>
    </row>
    <row r="220" spans="1:18" x14ac:dyDescent="0.35">
      <c r="A220" t="s">
        <v>56</v>
      </c>
      <c r="B220" t="s">
        <v>57</v>
      </c>
      <c r="C220" t="s">
        <v>58</v>
      </c>
      <c r="D220">
        <v>107819512</v>
      </c>
      <c r="E220" t="s">
        <v>101</v>
      </c>
      <c r="F220" t="s">
        <v>60</v>
      </c>
      <c r="G220">
        <v>0.57999999999999996</v>
      </c>
      <c r="H220">
        <v>6.32</v>
      </c>
      <c r="I220">
        <v>0</v>
      </c>
      <c r="J220">
        <v>0</v>
      </c>
      <c r="K220">
        <v>6.9</v>
      </c>
      <c r="L220" t="s">
        <v>61</v>
      </c>
      <c r="M220">
        <v>205</v>
      </c>
      <c r="N220">
        <v>29.7</v>
      </c>
      <c r="O220" t="s">
        <v>62</v>
      </c>
      <c r="P220" t="s">
        <v>64</v>
      </c>
      <c r="Q220">
        <v>1137</v>
      </c>
      <c r="R220">
        <v>179.98</v>
      </c>
    </row>
    <row r="221" spans="1:18" x14ac:dyDescent="0.35">
      <c r="A221" t="s">
        <v>56</v>
      </c>
      <c r="B221" t="s">
        <v>57</v>
      </c>
      <c r="C221" t="s">
        <v>58</v>
      </c>
      <c r="D221">
        <v>107819512</v>
      </c>
      <c r="E221" t="s">
        <v>101</v>
      </c>
      <c r="F221" t="s">
        <v>60</v>
      </c>
      <c r="G221">
        <v>0.57999999999999996</v>
      </c>
      <c r="H221">
        <v>6.32</v>
      </c>
      <c r="I221">
        <v>0</v>
      </c>
      <c r="J221">
        <v>0</v>
      </c>
      <c r="K221">
        <v>6.9</v>
      </c>
      <c r="L221" t="s">
        <v>61</v>
      </c>
      <c r="M221">
        <v>205</v>
      </c>
      <c r="N221">
        <v>29.7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58</v>
      </c>
      <c r="D222">
        <v>107819512</v>
      </c>
      <c r="E222" t="s">
        <v>101</v>
      </c>
      <c r="F222" t="s">
        <v>60</v>
      </c>
      <c r="G222">
        <v>0.57999999999999996</v>
      </c>
      <c r="H222">
        <v>6.32</v>
      </c>
      <c r="I222">
        <v>0</v>
      </c>
      <c r="J222">
        <v>0</v>
      </c>
      <c r="K222">
        <v>6.9</v>
      </c>
      <c r="L222" t="s">
        <v>61</v>
      </c>
      <c r="M222">
        <v>205</v>
      </c>
      <c r="N222">
        <v>29.7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58</v>
      </c>
      <c r="D223">
        <v>107819512</v>
      </c>
      <c r="E223" t="s">
        <v>101</v>
      </c>
      <c r="F223" t="s">
        <v>60</v>
      </c>
      <c r="G223">
        <v>0.57999999999999996</v>
      </c>
      <c r="H223">
        <v>6.32</v>
      </c>
      <c r="I223">
        <v>0</v>
      </c>
      <c r="J223">
        <v>0</v>
      </c>
      <c r="K223">
        <v>6.9</v>
      </c>
      <c r="L223" t="s">
        <v>61</v>
      </c>
      <c r="M223">
        <v>205</v>
      </c>
      <c r="N223">
        <v>29.7</v>
      </c>
      <c r="O223" t="s">
        <v>62</v>
      </c>
      <c r="P223" t="s">
        <v>67</v>
      </c>
      <c r="Q223">
        <v>1743</v>
      </c>
      <c r="R223">
        <v>252.54</v>
      </c>
    </row>
    <row r="224" spans="1:18" x14ac:dyDescent="0.35">
      <c r="A224" t="s">
        <v>56</v>
      </c>
      <c r="B224" t="s">
        <v>57</v>
      </c>
      <c r="C224" t="s">
        <v>58</v>
      </c>
      <c r="D224">
        <v>107819512</v>
      </c>
      <c r="E224" t="s">
        <v>101</v>
      </c>
      <c r="F224" t="s">
        <v>60</v>
      </c>
      <c r="G224">
        <v>0.57999999999999996</v>
      </c>
      <c r="H224">
        <v>6.32</v>
      </c>
      <c r="I224">
        <v>0</v>
      </c>
      <c r="J224">
        <v>0</v>
      </c>
      <c r="K224">
        <v>6.9</v>
      </c>
      <c r="L224" t="s">
        <v>61</v>
      </c>
      <c r="M224">
        <v>205</v>
      </c>
      <c r="N224">
        <v>29.7</v>
      </c>
      <c r="O224" t="s">
        <v>68</v>
      </c>
      <c r="P224" t="s">
        <v>67</v>
      </c>
      <c r="Q224">
        <v>205</v>
      </c>
      <c r="R224">
        <v>29.7</v>
      </c>
    </row>
    <row r="225" spans="1:18" x14ac:dyDescent="0.35">
      <c r="A225" t="s">
        <v>56</v>
      </c>
      <c r="B225" t="s">
        <v>57</v>
      </c>
      <c r="C225" t="s">
        <v>58</v>
      </c>
      <c r="D225">
        <v>107819512</v>
      </c>
      <c r="E225" t="s">
        <v>101</v>
      </c>
      <c r="F225" t="s">
        <v>60</v>
      </c>
      <c r="G225">
        <v>0.57999999999999996</v>
      </c>
      <c r="H225">
        <v>6.32</v>
      </c>
      <c r="I225">
        <v>0</v>
      </c>
      <c r="J225">
        <v>0</v>
      </c>
      <c r="K225">
        <v>6.9</v>
      </c>
      <c r="L225" t="s">
        <v>61</v>
      </c>
      <c r="M225">
        <v>205</v>
      </c>
      <c r="N225">
        <v>29.7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58</v>
      </c>
      <c r="D226">
        <v>107820116</v>
      </c>
      <c r="E226" t="s">
        <v>102</v>
      </c>
      <c r="F226" t="s">
        <v>60</v>
      </c>
      <c r="G226">
        <v>0.28000000000000003</v>
      </c>
      <c r="H226">
        <v>9.8000000000000007</v>
      </c>
      <c r="I226">
        <v>0.03</v>
      </c>
      <c r="J226">
        <v>0</v>
      </c>
      <c r="K226">
        <v>10.119999999999999</v>
      </c>
      <c r="L226" t="s">
        <v>61</v>
      </c>
      <c r="M226">
        <v>363</v>
      </c>
      <c r="N226">
        <v>35.880000000000003</v>
      </c>
      <c r="O226" t="s">
        <v>62</v>
      </c>
      <c r="P226" t="s">
        <v>63</v>
      </c>
      <c r="Q226">
        <v>320</v>
      </c>
      <c r="R226">
        <v>1138.3399999999999</v>
      </c>
    </row>
    <row r="227" spans="1:18" x14ac:dyDescent="0.35">
      <c r="A227" t="s">
        <v>56</v>
      </c>
      <c r="B227" t="s">
        <v>57</v>
      </c>
      <c r="C227" t="s">
        <v>58</v>
      </c>
      <c r="D227">
        <v>107820116</v>
      </c>
      <c r="E227" t="s">
        <v>102</v>
      </c>
      <c r="F227" t="s">
        <v>60</v>
      </c>
      <c r="G227">
        <v>0.28000000000000003</v>
      </c>
      <c r="H227">
        <v>9.8000000000000007</v>
      </c>
      <c r="I227">
        <v>0.03</v>
      </c>
      <c r="J227">
        <v>0</v>
      </c>
      <c r="K227">
        <v>10.119999999999999</v>
      </c>
      <c r="L227" t="s">
        <v>61</v>
      </c>
      <c r="M227">
        <v>363</v>
      </c>
      <c r="N227">
        <v>35.880000000000003</v>
      </c>
      <c r="O227" t="s">
        <v>62</v>
      </c>
      <c r="P227" t="s">
        <v>64</v>
      </c>
      <c r="Q227">
        <v>1935</v>
      </c>
      <c r="R227">
        <v>197.35</v>
      </c>
    </row>
    <row r="228" spans="1:18" x14ac:dyDescent="0.35">
      <c r="A228" t="s">
        <v>56</v>
      </c>
      <c r="B228" t="s">
        <v>57</v>
      </c>
      <c r="C228" t="s">
        <v>58</v>
      </c>
      <c r="D228">
        <v>107820116</v>
      </c>
      <c r="E228" t="s">
        <v>102</v>
      </c>
      <c r="F228" t="s">
        <v>60</v>
      </c>
      <c r="G228">
        <v>0.28000000000000003</v>
      </c>
      <c r="H228">
        <v>9.8000000000000007</v>
      </c>
      <c r="I228">
        <v>0.03</v>
      </c>
      <c r="J228">
        <v>0</v>
      </c>
      <c r="K228">
        <v>10.119999999999999</v>
      </c>
      <c r="L228" t="s">
        <v>61</v>
      </c>
      <c r="M228">
        <v>363</v>
      </c>
      <c r="N228">
        <v>35.880000000000003</v>
      </c>
      <c r="O228" t="s">
        <v>62</v>
      </c>
      <c r="P228" t="s">
        <v>65</v>
      </c>
      <c r="Q228">
        <v>4</v>
      </c>
      <c r="R228">
        <v>133.33000000000001</v>
      </c>
    </row>
    <row r="229" spans="1:18" x14ac:dyDescent="0.35">
      <c r="A229" t="s">
        <v>56</v>
      </c>
      <c r="B229" t="s">
        <v>57</v>
      </c>
      <c r="C229" t="s">
        <v>58</v>
      </c>
      <c r="D229">
        <v>107820116</v>
      </c>
      <c r="E229" t="s">
        <v>102</v>
      </c>
      <c r="F229" t="s">
        <v>60</v>
      </c>
      <c r="G229">
        <v>0.28000000000000003</v>
      </c>
      <c r="H229">
        <v>9.8000000000000007</v>
      </c>
      <c r="I229">
        <v>0.03</v>
      </c>
      <c r="J229">
        <v>0</v>
      </c>
      <c r="K229">
        <v>10.119999999999999</v>
      </c>
      <c r="L229" t="s">
        <v>61</v>
      </c>
      <c r="M229">
        <v>363</v>
      </c>
      <c r="N229">
        <v>35.880000000000003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58</v>
      </c>
      <c r="D230">
        <v>107820116</v>
      </c>
      <c r="E230" t="s">
        <v>102</v>
      </c>
      <c r="F230" t="s">
        <v>60</v>
      </c>
      <c r="G230">
        <v>0.28000000000000003</v>
      </c>
      <c r="H230">
        <v>9.8000000000000007</v>
      </c>
      <c r="I230">
        <v>0.03</v>
      </c>
      <c r="J230">
        <v>0</v>
      </c>
      <c r="K230">
        <v>10.119999999999999</v>
      </c>
      <c r="L230" t="s">
        <v>61</v>
      </c>
      <c r="M230">
        <v>363</v>
      </c>
      <c r="N230">
        <v>35.880000000000003</v>
      </c>
      <c r="O230" t="s">
        <v>62</v>
      </c>
      <c r="P230" t="s">
        <v>67</v>
      </c>
      <c r="Q230">
        <v>2259</v>
      </c>
      <c r="R230">
        <v>223.29</v>
      </c>
    </row>
    <row r="231" spans="1:18" x14ac:dyDescent="0.35">
      <c r="A231" t="s">
        <v>56</v>
      </c>
      <c r="B231" t="s">
        <v>57</v>
      </c>
      <c r="C231" t="s">
        <v>58</v>
      </c>
      <c r="D231">
        <v>107820116</v>
      </c>
      <c r="E231" t="s">
        <v>102</v>
      </c>
      <c r="F231" t="s">
        <v>60</v>
      </c>
      <c r="G231">
        <v>0.28000000000000003</v>
      </c>
      <c r="H231">
        <v>9.8000000000000007</v>
      </c>
      <c r="I231">
        <v>0.03</v>
      </c>
      <c r="J231">
        <v>0</v>
      </c>
      <c r="K231">
        <v>10.119999999999999</v>
      </c>
      <c r="L231" t="s">
        <v>61</v>
      </c>
      <c r="M231">
        <v>363</v>
      </c>
      <c r="N231">
        <v>35.880000000000003</v>
      </c>
      <c r="O231" t="s">
        <v>68</v>
      </c>
      <c r="P231" t="s">
        <v>67</v>
      </c>
      <c r="Q231">
        <v>363</v>
      </c>
      <c r="R231">
        <v>35.880000000000003</v>
      </c>
    </row>
    <row r="232" spans="1:18" x14ac:dyDescent="0.35">
      <c r="A232" t="s">
        <v>56</v>
      </c>
      <c r="B232" t="s">
        <v>57</v>
      </c>
      <c r="C232" t="s">
        <v>58</v>
      </c>
      <c r="D232">
        <v>107820116</v>
      </c>
      <c r="E232" t="s">
        <v>102</v>
      </c>
      <c r="F232" t="s">
        <v>60</v>
      </c>
      <c r="G232">
        <v>0.28000000000000003</v>
      </c>
      <c r="H232">
        <v>9.8000000000000007</v>
      </c>
      <c r="I232">
        <v>0.03</v>
      </c>
      <c r="J232">
        <v>0</v>
      </c>
      <c r="K232">
        <v>10.119999999999999</v>
      </c>
      <c r="L232" t="s">
        <v>61</v>
      </c>
      <c r="M232">
        <v>363</v>
      </c>
      <c r="N232">
        <v>35.880000000000003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58</v>
      </c>
      <c r="D233">
        <v>107824169</v>
      </c>
      <c r="E233" t="s">
        <v>103</v>
      </c>
      <c r="F233" t="s">
        <v>60</v>
      </c>
      <c r="G233">
        <v>0.24</v>
      </c>
      <c r="H233">
        <v>9.7200000000000006</v>
      </c>
      <c r="I233">
        <v>0.04</v>
      </c>
      <c r="J233">
        <v>0</v>
      </c>
      <c r="K233">
        <v>10</v>
      </c>
      <c r="L233" t="s">
        <v>61</v>
      </c>
      <c r="M233">
        <v>238</v>
      </c>
      <c r="N233">
        <v>23.8</v>
      </c>
      <c r="O233" t="s">
        <v>62</v>
      </c>
      <c r="P233" t="s">
        <v>63</v>
      </c>
      <c r="Q233">
        <v>175</v>
      </c>
      <c r="R233">
        <v>727.48</v>
      </c>
    </row>
    <row r="234" spans="1:18" x14ac:dyDescent="0.35">
      <c r="A234" t="s">
        <v>56</v>
      </c>
      <c r="B234" t="s">
        <v>57</v>
      </c>
      <c r="C234" t="s">
        <v>58</v>
      </c>
      <c r="D234">
        <v>107824169</v>
      </c>
      <c r="E234" t="s">
        <v>103</v>
      </c>
      <c r="F234" t="s">
        <v>60</v>
      </c>
      <c r="G234">
        <v>0.24</v>
      </c>
      <c r="H234">
        <v>9.7200000000000006</v>
      </c>
      <c r="I234">
        <v>0.04</v>
      </c>
      <c r="J234">
        <v>0</v>
      </c>
      <c r="K234">
        <v>10</v>
      </c>
      <c r="L234" t="s">
        <v>61</v>
      </c>
      <c r="M234">
        <v>238</v>
      </c>
      <c r="N234">
        <v>23.8</v>
      </c>
      <c r="O234" t="s">
        <v>62</v>
      </c>
      <c r="P234" t="s">
        <v>64</v>
      </c>
      <c r="Q234">
        <v>1227</v>
      </c>
      <c r="R234">
        <v>126.18</v>
      </c>
    </row>
    <row r="235" spans="1:18" x14ac:dyDescent="0.35">
      <c r="A235" t="s">
        <v>56</v>
      </c>
      <c r="B235" t="s">
        <v>57</v>
      </c>
      <c r="C235" t="s">
        <v>58</v>
      </c>
      <c r="D235">
        <v>107824169</v>
      </c>
      <c r="E235" t="s">
        <v>103</v>
      </c>
      <c r="F235" t="s">
        <v>60</v>
      </c>
      <c r="G235">
        <v>0.24</v>
      </c>
      <c r="H235">
        <v>9.7200000000000006</v>
      </c>
      <c r="I235">
        <v>0.04</v>
      </c>
      <c r="J235">
        <v>0</v>
      </c>
      <c r="K235">
        <v>10</v>
      </c>
      <c r="L235" t="s">
        <v>61</v>
      </c>
      <c r="M235">
        <v>238</v>
      </c>
      <c r="N235">
        <v>23.8</v>
      </c>
      <c r="O235" t="s">
        <v>62</v>
      </c>
      <c r="P235" t="s">
        <v>65</v>
      </c>
      <c r="Q235">
        <v>3</v>
      </c>
      <c r="R235">
        <v>85.04</v>
      </c>
    </row>
    <row r="236" spans="1:18" x14ac:dyDescent="0.35">
      <c r="A236" t="s">
        <v>56</v>
      </c>
      <c r="B236" t="s">
        <v>57</v>
      </c>
      <c r="C236" t="s">
        <v>58</v>
      </c>
      <c r="D236">
        <v>107824169</v>
      </c>
      <c r="E236" t="s">
        <v>103</v>
      </c>
      <c r="F236" t="s">
        <v>60</v>
      </c>
      <c r="G236">
        <v>0.24</v>
      </c>
      <c r="H236">
        <v>9.7200000000000006</v>
      </c>
      <c r="I236">
        <v>0.04</v>
      </c>
      <c r="J236">
        <v>0</v>
      </c>
      <c r="K236">
        <v>10</v>
      </c>
      <c r="L236" t="s">
        <v>61</v>
      </c>
      <c r="M236">
        <v>238</v>
      </c>
      <c r="N236">
        <v>23.8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58</v>
      </c>
      <c r="D237">
        <v>107824169</v>
      </c>
      <c r="E237" t="s">
        <v>103</v>
      </c>
      <c r="F237" t="s">
        <v>60</v>
      </c>
      <c r="G237">
        <v>0.24</v>
      </c>
      <c r="H237">
        <v>9.7200000000000006</v>
      </c>
      <c r="I237">
        <v>0.04</v>
      </c>
      <c r="J237">
        <v>0</v>
      </c>
      <c r="K237">
        <v>10</v>
      </c>
      <c r="L237" t="s">
        <v>61</v>
      </c>
      <c r="M237">
        <v>238</v>
      </c>
      <c r="N237">
        <v>23.8</v>
      </c>
      <c r="O237" t="s">
        <v>62</v>
      </c>
      <c r="P237" t="s">
        <v>67</v>
      </c>
      <c r="Q237">
        <v>1405</v>
      </c>
      <c r="R237">
        <v>140.5</v>
      </c>
    </row>
    <row r="238" spans="1:18" x14ac:dyDescent="0.35">
      <c r="A238" t="s">
        <v>56</v>
      </c>
      <c r="B238" t="s">
        <v>57</v>
      </c>
      <c r="C238" t="s">
        <v>58</v>
      </c>
      <c r="D238">
        <v>107824169</v>
      </c>
      <c r="E238" t="s">
        <v>103</v>
      </c>
      <c r="F238" t="s">
        <v>60</v>
      </c>
      <c r="G238">
        <v>0.24</v>
      </c>
      <c r="H238">
        <v>9.7200000000000006</v>
      </c>
      <c r="I238">
        <v>0.04</v>
      </c>
      <c r="J238">
        <v>0</v>
      </c>
      <c r="K238">
        <v>10</v>
      </c>
      <c r="L238" t="s">
        <v>61</v>
      </c>
      <c r="M238">
        <v>238</v>
      </c>
      <c r="N238">
        <v>23.8</v>
      </c>
      <c r="O238" t="s">
        <v>68</v>
      </c>
      <c r="P238" t="s">
        <v>67</v>
      </c>
      <c r="Q238">
        <v>238</v>
      </c>
      <c r="R238">
        <v>23.8</v>
      </c>
    </row>
    <row r="239" spans="1:18" x14ac:dyDescent="0.35">
      <c r="A239" t="s">
        <v>56</v>
      </c>
      <c r="B239" t="s">
        <v>57</v>
      </c>
      <c r="C239" t="s">
        <v>58</v>
      </c>
      <c r="D239">
        <v>107824169</v>
      </c>
      <c r="E239" t="s">
        <v>103</v>
      </c>
      <c r="F239" t="s">
        <v>60</v>
      </c>
      <c r="G239">
        <v>0.24</v>
      </c>
      <c r="H239">
        <v>9.7200000000000006</v>
      </c>
      <c r="I239">
        <v>0.04</v>
      </c>
      <c r="J239">
        <v>0</v>
      </c>
      <c r="K239">
        <v>10</v>
      </c>
      <c r="L239" t="s">
        <v>61</v>
      </c>
      <c r="M239">
        <v>238</v>
      </c>
      <c r="N239">
        <v>23.8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58</v>
      </c>
      <c r="D240">
        <v>107868365</v>
      </c>
      <c r="E240" t="s">
        <v>104</v>
      </c>
      <c r="F240" t="s">
        <v>72</v>
      </c>
      <c r="G240">
        <v>0.43</v>
      </c>
      <c r="H240">
        <v>9.57</v>
      </c>
      <c r="I240">
        <v>0</v>
      </c>
      <c r="J240">
        <v>0</v>
      </c>
      <c r="K240">
        <v>10</v>
      </c>
      <c r="L240" t="s">
        <v>61</v>
      </c>
      <c r="M240">
        <v>430</v>
      </c>
      <c r="N240">
        <v>43</v>
      </c>
      <c r="O240" t="s">
        <v>62</v>
      </c>
      <c r="P240" t="s">
        <v>63</v>
      </c>
      <c r="Q240">
        <v>605</v>
      </c>
      <c r="R240">
        <v>1404.26</v>
      </c>
    </row>
    <row r="241" spans="1:18" x14ac:dyDescent="0.35">
      <c r="A241" t="s">
        <v>56</v>
      </c>
      <c r="B241" t="s">
        <v>57</v>
      </c>
      <c r="C241" t="s">
        <v>58</v>
      </c>
      <c r="D241">
        <v>107868365</v>
      </c>
      <c r="E241" t="s">
        <v>104</v>
      </c>
      <c r="F241" t="s">
        <v>72</v>
      </c>
      <c r="G241">
        <v>0.43</v>
      </c>
      <c r="H241">
        <v>9.57</v>
      </c>
      <c r="I241">
        <v>0</v>
      </c>
      <c r="J241">
        <v>0</v>
      </c>
      <c r="K241">
        <v>10</v>
      </c>
      <c r="L241" t="s">
        <v>61</v>
      </c>
      <c r="M241">
        <v>430</v>
      </c>
      <c r="N241">
        <v>43</v>
      </c>
      <c r="O241" t="s">
        <v>62</v>
      </c>
      <c r="P241" t="s">
        <v>64</v>
      </c>
      <c r="Q241">
        <v>2330</v>
      </c>
      <c r="R241">
        <v>243.5</v>
      </c>
    </row>
    <row r="242" spans="1:18" x14ac:dyDescent="0.35">
      <c r="A242" t="s">
        <v>56</v>
      </c>
      <c r="B242" t="s">
        <v>57</v>
      </c>
      <c r="C242" t="s">
        <v>58</v>
      </c>
      <c r="D242">
        <v>107868365</v>
      </c>
      <c r="E242" t="s">
        <v>104</v>
      </c>
      <c r="F242" t="s">
        <v>72</v>
      </c>
      <c r="G242">
        <v>0.43</v>
      </c>
      <c r="H242">
        <v>9.57</v>
      </c>
      <c r="I242">
        <v>0</v>
      </c>
      <c r="J242">
        <v>0</v>
      </c>
      <c r="K242">
        <v>10</v>
      </c>
      <c r="L242" t="s">
        <v>61</v>
      </c>
      <c r="M242">
        <v>430</v>
      </c>
      <c r="N242">
        <v>43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58</v>
      </c>
      <c r="D243">
        <v>107868365</v>
      </c>
      <c r="E243" t="s">
        <v>104</v>
      </c>
      <c r="F243" t="s">
        <v>72</v>
      </c>
      <c r="G243">
        <v>0.43</v>
      </c>
      <c r="H243">
        <v>9.57</v>
      </c>
      <c r="I243">
        <v>0</v>
      </c>
      <c r="J243">
        <v>0</v>
      </c>
      <c r="K243">
        <v>10</v>
      </c>
      <c r="L243" t="s">
        <v>61</v>
      </c>
      <c r="M243">
        <v>430</v>
      </c>
      <c r="N243">
        <v>43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58</v>
      </c>
      <c r="D244">
        <v>107868365</v>
      </c>
      <c r="E244" t="s">
        <v>104</v>
      </c>
      <c r="F244" t="s">
        <v>72</v>
      </c>
      <c r="G244">
        <v>0.43</v>
      </c>
      <c r="H244">
        <v>9.57</v>
      </c>
      <c r="I244">
        <v>0</v>
      </c>
      <c r="J244">
        <v>0</v>
      </c>
      <c r="K244">
        <v>10</v>
      </c>
      <c r="L244" t="s">
        <v>61</v>
      </c>
      <c r="M244">
        <v>430</v>
      </c>
      <c r="N244">
        <v>43</v>
      </c>
      <c r="O244" t="s">
        <v>62</v>
      </c>
      <c r="P244" t="s">
        <v>67</v>
      </c>
      <c r="Q244">
        <v>2935</v>
      </c>
      <c r="R244">
        <v>293.5</v>
      </c>
    </row>
    <row r="245" spans="1:18" x14ac:dyDescent="0.35">
      <c r="A245" t="s">
        <v>56</v>
      </c>
      <c r="B245" t="s">
        <v>57</v>
      </c>
      <c r="C245" t="s">
        <v>58</v>
      </c>
      <c r="D245">
        <v>107868365</v>
      </c>
      <c r="E245" t="s">
        <v>104</v>
      </c>
      <c r="F245" t="s">
        <v>72</v>
      </c>
      <c r="G245">
        <v>0.43</v>
      </c>
      <c r="H245">
        <v>9.57</v>
      </c>
      <c r="I245">
        <v>0</v>
      </c>
      <c r="J245">
        <v>0</v>
      </c>
      <c r="K245">
        <v>10</v>
      </c>
      <c r="L245" t="s">
        <v>61</v>
      </c>
      <c r="M245">
        <v>430</v>
      </c>
      <c r="N245">
        <v>43</v>
      </c>
      <c r="O245" t="s">
        <v>68</v>
      </c>
      <c r="P245" t="s">
        <v>67</v>
      </c>
      <c r="Q245">
        <v>430</v>
      </c>
      <c r="R245">
        <v>43</v>
      </c>
    </row>
    <row r="246" spans="1:18" x14ac:dyDescent="0.35">
      <c r="A246" t="s">
        <v>56</v>
      </c>
      <c r="B246" t="s">
        <v>57</v>
      </c>
      <c r="C246" t="s">
        <v>58</v>
      </c>
      <c r="D246">
        <v>107868365</v>
      </c>
      <c r="E246" t="s">
        <v>104</v>
      </c>
      <c r="F246" t="s">
        <v>72</v>
      </c>
      <c r="G246">
        <v>0.43</v>
      </c>
      <c r="H246">
        <v>9.57</v>
      </c>
      <c r="I246">
        <v>0</v>
      </c>
      <c r="J246">
        <v>0</v>
      </c>
      <c r="K246">
        <v>10</v>
      </c>
      <c r="L246" t="s">
        <v>61</v>
      </c>
      <c r="M246">
        <v>430</v>
      </c>
      <c r="N246">
        <v>43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58</v>
      </c>
      <c r="D247">
        <v>107907397</v>
      </c>
      <c r="E247" t="s">
        <v>105</v>
      </c>
      <c r="F247" t="s">
        <v>60</v>
      </c>
      <c r="G247">
        <v>0.72</v>
      </c>
      <c r="H247">
        <v>8.4700000000000006</v>
      </c>
      <c r="I247">
        <v>0.02</v>
      </c>
      <c r="J247">
        <v>0</v>
      </c>
      <c r="K247">
        <v>9.1999999999999993</v>
      </c>
      <c r="L247" t="s">
        <v>61</v>
      </c>
      <c r="M247">
        <v>261</v>
      </c>
      <c r="N247">
        <v>28.36</v>
      </c>
      <c r="O247" t="s">
        <v>62</v>
      </c>
      <c r="P247" t="s">
        <v>63</v>
      </c>
      <c r="Q247">
        <v>330</v>
      </c>
      <c r="R247">
        <v>458.86</v>
      </c>
    </row>
    <row r="248" spans="1:18" x14ac:dyDescent="0.35">
      <c r="A248" t="s">
        <v>56</v>
      </c>
      <c r="B248" t="s">
        <v>57</v>
      </c>
      <c r="C248" t="s">
        <v>58</v>
      </c>
      <c r="D248">
        <v>107907397</v>
      </c>
      <c r="E248" t="s">
        <v>105</v>
      </c>
      <c r="F248" t="s">
        <v>60</v>
      </c>
      <c r="G248">
        <v>0.72</v>
      </c>
      <c r="H248">
        <v>8.4700000000000006</v>
      </c>
      <c r="I248">
        <v>0.02</v>
      </c>
      <c r="J248">
        <v>0</v>
      </c>
      <c r="K248">
        <v>9.1999999999999993</v>
      </c>
      <c r="L248" t="s">
        <v>61</v>
      </c>
      <c r="M248">
        <v>261</v>
      </c>
      <c r="N248">
        <v>28.36</v>
      </c>
      <c r="O248" t="s">
        <v>62</v>
      </c>
      <c r="P248" t="s">
        <v>64</v>
      </c>
      <c r="Q248">
        <v>674</v>
      </c>
      <c r="R248">
        <v>79.61</v>
      </c>
    </row>
    <row r="249" spans="1:18" x14ac:dyDescent="0.35">
      <c r="A249" t="s">
        <v>56</v>
      </c>
      <c r="B249" t="s">
        <v>57</v>
      </c>
      <c r="C249" t="s">
        <v>58</v>
      </c>
      <c r="D249">
        <v>107907397</v>
      </c>
      <c r="E249" t="s">
        <v>105</v>
      </c>
      <c r="F249" t="s">
        <v>60</v>
      </c>
      <c r="G249">
        <v>0.72</v>
      </c>
      <c r="H249">
        <v>8.4700000000000006</v>
      </c>
      <c r="I249">
        <v>0.02</v>
      </c>
      <c r="J249">
        <v>0</v>
      </c>
      <c r="K249">
        <v>9.1999999999999993</v>
      </c>
      <c r="L249" t="s">
        <v>61</v>
      </c>
      <c r="M249">
        <v>261</v>
      </c>
      <c r="N249">
        <v>28.36</v>
      </c>
      <c r="O249" t="s">
        <v>62</v>
      </c>
      <c r="P249" t="s">
        <v>65</v>
      </c>
      <c r="Q249">
        <v>1</v>
      </c>
      <c r="R249">
        <v>53.73</v>
      </c>
    </row>
    <row r="250" spans="1:18" x14ac:dyDescent="0.35">
      <c r="A250" t="s">
        <v>56</v>
      </c>
      <c r="B250" t="s">
        <v>57</v>
      </c>
      <c r="C250" t="s">
        <v>58</v>
      </c>
      <c r="D250">
        <v>107907397</v>
      </c>
      <c r="E250" t="s">
        <v>105</v>
      </c>
      <c r="F250" t="s">
        <v>60</v>
      </c>
      <c r="G250">
        <v>0.72</v>
      </c>
      <c r="H250">
        <v>8.4700000000000006</v>
      </c>
      <c r="I250">
        <v>0.02</v>
      </c>
      <c r="J250">
        <v>0</v>
      </c>
      <c r="K250">
        <v>9.1999999999999993</v>
      </c>
      <c r="L250" t="s">
        <v>61</v>
      </c>
      <c r="M250">
        <v>261</v>
      </c>
      <c r="N250">
        <v>28.36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58</v>
      </c>
      <c r="D251">
        <v>107907397</v>
      </c>
      <c r="E251" t="s">
        <v>105</v>
      </c>
      <c r="F251" t="s">
        <v>60</v>
      </c>
      <c r="G251">
        <v>0.72</v>
      </c>
      <c r="H251">
        <v>8.4700000000000006</v>
      </c>
      <c r="I251">
        <v>0.02</v>
      </c>
      <c r="J251">
        <v>0</v>
      </c>
      <c r="K251">
        <v>9.1999999999999993</v>
      </c>
      <c r="L251" t="s">
        <v>61</v>
      </c>
      <c r="M251">
        <v>261</v>
      </c>
      <c r="N251">
        <v>28.36</v>
      </c>
      <c r="O251" t="s">
        <v>62</v>
      </c>
      <c r="P251" t="s">
        <v>67</v>
      </c>
      <c r="Q251">
        <v>1005</v>
      </c>
      <c r="R251">
        <v>109.19</v>
      </c>
    </row>
    <row r="252" spans="1:18" x14ac:dyDescent="0.35">
      <c r="A252" t="s">
        <v>56</v>
      </c>
      <c r="B252" t="s">
        <v>57</v>
      </c>
      <c r="C252" t="s">
        <v>58</v>
      </c>
      <c r="D252">
        <v>107907397</v>
      </c>
      <c r="E252" t="s">
        <v>105</v>
      </c>
      <c r="F252" t="s">
        <v>60</v>
      </c>
      <c r="G252">
        <v>0.72</v>
      </c>
      <c r="H252">
        <v>8.4700000000000006</v>
      </c>
      <c r="I252">
        <v>0.02</v>
      </c>
      <c r="J252">
        <v>0</v>
      </c>
      <c r="K252">
        <v>9.1999999999999993</v>
      </c>
      <c r="L252" t="s">
        <v>61</v>
      </c>
      <c r="M252">
        <v>261</v>
      </c>
      <c r="N252">
        <v>28.36</v>
      </c>
      <c r="O252" t="s">
        <v>68</v>
      </c>
      <c r="P252" t="s">
        <v>67</v>
      </c>
      <c r="Q252">
        <v>261</v>
      </c>
      <c r="R252">
        <v>28.36</v>
      </c>
    </row>
    <row r="253" spans="1:18" x14ac:dyDescent="0.35">
      <c r="A253" t="s">
        <v>56</v>
      </c>
      <c r="B253" t="s">
        <v>57</v>
      </c>
      <c r="C253" t="s">
        <v>58</v>
      </c>
      <c r="D253">
        <v>107907397</v>
      </c>
      <c r="E253" t="s">
        <v>105</v>
      </c>
      <c r="F253" t="s">
        <v>60</v>
      </c>
      <c r="G253">
        <v>0.72</v>
      </c>
      <c r="H253">
        <v>8.4700000000000006</v>
      </c>
      <c r="I253">
        <v>0.02</v>
      </c>
      <c r="J253">
        <v>0</v>
      </c>
      <c r="K253">
        <v>9.1999999999999993</v>
      </c>
      <c r="L253" t="s">
        <v>61</v>
      </c>
      <c r="M253">
        <v>261</v>
      </c>
      <c r="N253">
        <v>28.36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37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I16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106677842</v>
      </c>
      <c r="C2" t="s">
        <v>564</v>
      </c>
      <c r="D2" t="s">
        <v>60</v>
      </c>
      <c r="E2" t="s">
        <v>58</v>
      </c>
      <c r="F2">
        <v>273</v>
      </c>
      <c r="G2" t="s">
        <v>62</v>
      </c>
      <c r="H2" t="s">
        <v>67</v>
      </c>
      <c r="I2">
        <v>2737</v>
      </c>
    </row>
    <row r="3" spans="1:9" x14ac:dyDescent="0.35">
      <c r="A3" t="s">
        <v>61</v>
      </c>
      <c r="B3">
        <v>106677842</v>
      </c>
      <c r="C3" t="s">
        <v>564</v>
      </c>
      <c r="D3" t="s">
        <v>60</v>
      </c>
      <c r="E3" t="s">
        <v>58</v>
      </c>
      <c r="F3">
        <v>273</v>
      </c>
      <c r="G3" t="s">
        <v>62</v>
      </c>
      <c r="H3" t="s">
        <v>63</v>
      </c>
      <c r="I3">
        <v>1023</v>
      </c>
    </row>
    <row r="4" spans="1:9" x14ac:dyDescent="0.35">
      <c r="A4" t="s">
        <v>61</v>
      </c>
      <c r="B4">
        <v>106677842</v>
      </c>
      <c r="C4" t="s">
        <v>564</v>
      </c>
      <c r="D4" t="s">
        <v>60</v>
      </c>
      <c r="E4" t="s">
        <v>58</v>
      </c>
      <c r="F4">
        <v>273</v>
      </c>
      <c r="G4" t="s">
        <v>62</v>
      </c>
      <c r="H4" t="s">
        <v>64</v>
      </c>
      <c r="I4">
        <v>1709</v>
      </c>
    </row>
    <row r="5" spans="1:9" x14ac:dyDescent="0.35">
      <c r="A5" t="s">
        <v>61</v>
      </c>
      <c r="B5">
        <v>106677842</v>
      </c>
      <c r="C5" t="s">
        <v>564</v>
      </c>
      <c r="D5" t="s">
        <v>60</v>
      </c>
      <c r="E5" t="s">
        <v>58</v>
      </c>
      <c r="F5">
        <v>273</v>
      </c>
      <c r="G5" t="s">
        <v>62</v>
      </c>
      <c r="H5" t="s">
        <v>65</v>
      </c>
      <c r="I5">
        <v>5</v>
      </c>
    </row>
    <row r="6" spans="1:9" x14ac:dyDescent="0.35">
      <c r="A6" t="s">
        <v>61</v>
      </c>
      <c r="B6">
        <v>106677842</v>
      </c>
      <c r="C6" t="s">
        <v>564</v>
      </c>
      <c r="D6" t="s">
        <v>60</v>
      </c>
      <c r="E6" t="s">
        <v>58</v>
      </c>
      <c r="F6">
        <v>273</v>
      </c>
      <c r="G6" t="s">
        <v>68</v>
      </c>
      <c r="H6" t="s">
        <v>67</v>
      </c>
      <c r="I6">
        <v>273</v>
      </c>
    </row>
    <row r="7" spans="1:9" x14ac:dyDescent="0.35">
      <c r="A7" t="s">
        <v>61</v>
      </c>
      <c r="B7">
        <v>107826180</v>
      </c>
      <c r="C7" t="s">
        <v>566</v>
      </c>
      <c r="D7" t="s">
        <v>60</v>
      </c>
      <c r="E7" t="s">
        <v>70</v>
      </c>
      <c r="F7">
        <v>375</v>
      </c>
      <c r="G7" t="s">
        <v>62</v>
      </c>
      <c r="H7" t="s">
        <v>67</v>
      </c>
      <c r="I7">
        <v>2165</v>
      </c>
    </row>
    <row r="8" spans="1:9" x14ac:dyDescent="0.35">
      <c r="A8" t="s">
        <v>61</v>
      </c>
      <c r="B8">
        <v>107826180</v>
      </c>
      <c r="C8" t="s">
        <v>566</v>
      </c>
      <c r="D8" t="s">
        <v>60</v>
      </c>
      <c r="E8" t="s">
        <v>70</v>
      </c>
      <c r="F8">
        <v>375</v>
      </c>
      <c r="G8" t="s">
        <v>62</v>
      </c>
      <c r="H8" t="s">
        <v>63</v>
      </c>
      <c r="I8">
        <v>173</v>
      </c>
    </row>
    <row r="9" spans="1:9" x14ac:dyDescent="0.35">
      <c r="A9" t="s">
        <v>61</v>
      </c>
      <c r="B9">
        <v>107826180</v>
      </c>
      <c r="C9" t="s">
        <v>566</v>
      </c>
      <c r="D9" t="s">
        <v>60</v>
      </c>
      <c r="E9" t="s">
        <v>70</v>
      </c>
      <c r="F9">
        <v>375</v>
      </c>
      <c r="G9" t="s">
        <v>62</v>
      </c>
      <c r="H9" t="s">
        <v>64</v>
      </c>
      <c r="I9">
        <v>1992</v>
      </c>
    </row>
    <row r="10" spans="1:9" x14ac:dyDescent="0.35">
      <c r="A10" t="s">
        <v>61</v>
      </c>
      <c r="B10">
        <v>107826180</v>
      </c>
      <c r="C10" t="s">
        <v>566</v>
      </c>
      <c r="D10" t="s">
        <v>60</v>
      </c>
      <c r="E10" t="s">
        <v>70</v>
      </c>
      <c r="F10">
        <v>375</v>
      </c>
      <c r="G10" t="s">
        <v>68</v>
      </c>
      <c r="H10" t="s">
        <v>67</v>
      </c>
      <c r="I10">
        <v>375</v>
      </c>
    </row>
    <row r="11" spans="1:9" x14ac:dyDescent="0.35">
      <c r="A11" t="s">
        <v>61</v>
      </c>
      <c r="B11">
        <v>103162419</v>
      </c>
      <c r="C11" t="s">
        <v>76</v>
      </c>
      <c r="D11" t="s">
        <v>72</v>
      </c>
      <c r="E11" t="s">
        <v>70</v>
      </c>
      <c r="F11">
        <v>292</v>
      </c>
      <c r="G11" t="s">
        <v>62</v>
      </c>
      <c r="H11" t="s">
        <v>67</v>
      </c>
      <c r="I11">
        <v>2240</v>
      </c>
    </row>
    <row r="12" spans="1:9" x14ac:dyDescent="0.35">
      <c r="A12" t="s">
        <v>61</v>
      </c>
      <c r="B12">
        <v>103162419</v>
      </c>
      <c r="C12" t="s">
        <v>76</v>
      </c>
      <c r="D12" t="s">
        <v>72</v>
      </c>
      <c r="E12" t="s">
        <v>70</v>
      </c>
      <c r="F12">
        <v>292</v>
      </c>
      <c r="G12" t="s">
        <v>62</v>
      </c>
      <c r="H12" t="s">
        <v>63</v>
      </c>
      <c r="I12">
        <v>34</v>
      </c>
    </row>
    <row r="13" spans="1:9" x14ac:dyDescent="0.35">
      <c r="A13" t="s">
        <v>61</v>
      </c>
      <c r="B13">
        <v>103162419</v>
      </c>
      <c r="C13" t="s">
        <v>76</v>
      </c>
      <c r="D13" t="s">
        <v>72</v>
      </c>
      <c r="E13" t="s">
        <v>70</v>
      </c>
      <c r="F13">
        <v>292</v>
      </c>
      <c r="G13" t="s">
        <v>62</v>
      </c>
      <c r="H13" t="s">
        <v>64</v>
      </c>
      <c r="I13">
        <v>2206</v>
      </c>
    </row>
    <row r="14" spans="1:9" x14ac:dyDescent="0.35">
      <c r="A14" t="s">
        <v>61</v>
      </c>
      <c r="B14">
        <v>103162419</v>
      </c>
      <c r="C14" t="s">
        <v>76</v>
      </c>
      <c r="D14" t="s">
        <v>72</v>
      </c>
      <c r="E14" t="s">
        <v>70</v>
      </c>
      <c r="F14">
        <v>292</v>
      </c>
      <c r="G14" t="s">
        <v>68</v>
      </c>
      <c r="H14" t="s">
        <v>67</v>
      </c>
      <c r="I14">
        <v>292</v>
      </c>
    </row>
    <row r="15" spans="1:9" x14ac:dyDescent="0.35">
      <c r="A15" t="s">
        <v>61</v>
      </c>
      <c r="B15">
        <v>105611852</v>
      </c>
      <c r="C15" t="s">
        <v>575</v>
      </c>
      <c r="D15" t="s">
        <v>72</v>
      </c>
      <c r="E15" t="s">
        <v>70</v>
      </c>
      <c r="F15">
        <v>92</v>
      </c>
      <c r="G15" t="s">
        <v>62</v>
      </c>
      <c r="H15" t="s">
        <v>67</v>
      </c>
      <c r="I15">
        <v>1128</v>
      </c>
    </row>
    <row r="16" spans="1:9" x14ac:dyDescent="0.35">
      <c r="A16" t="s">
        <v>61</v>
      </c>
      <c r="B16">
        <v>105611852</v>
      </c>
      <c r="C16" t="s">
        <v>575</v>
      </c>
      <c r="D16" t="s">
        <v>72</v>
      </c>
      <c r="E16" t="s">
        <v>70</v>
      </c>
      <c r="F16">
        <v>92</v>
      </c>
      <c r="G16" t="s">
        <v>62</v>
      </c>
      <c r="H16" t="s">
        <v>63</v>
      </c>
      <c r="I16">
        <v>346</v>
      </c>
    </row>
    <row r="17" spans="1:9" x14ac:dyDescent="0.35">
      <c r="A17" t="s">
        <v>61</v>
      </c>
      <c r="B17">
        <v>105611852</v>
      </c>
      <c r="C17" t="s">
        <v>575</v>
      </c>
      <c r="D17" t="s">
        <v>72</v>
      </c>
      <c r="E17" t="s">
        <v>70</v>
      </c>
      <c r="F17">
        <v>92</v>
      </c>
      <c r="G17" t="s">
        <v>62</v>
      </c>
      <c r="H17" t="s">
        <v>64</v>
      </c>
      <c r="I17">
        <v>752</v>
      </c>
    </row>
    <row r="18" spans="1:9" x14ac:dyDescent="0.35">
      <c r="A18" t="s">
        <v>61</v>
      </c>
      <c r="B18">
        <v>105611852</v>
      </c>
      <c r="C18" t="s">
        <v>575</v>
      </c>
      <c r="D18" t="s">
        <v>72</v>
      </c>
      <c r="E18" t="s">
        <v>70</v>
      </c>
      <c r="F18">
        <v>92</v>
      </c>
      <c r="G18" t="s">
        <v>62</v>
      </c>
      <c r="H18" t="s">
        <v>65</v>
      </c>
      <c r="I18">
        <v>30</v>
      </c>
    </row>
    <row r="19" spans="1:9" x14ac:dyDescent="0.35">
      <c r="A19" t="s">
        <v>61</v>
      </c>
      <c r="B19">
        <v>105611852</v>
      </c>
      <c r="C19" t="s">
        <v>575</v>
      </c>
      <c r="D19" t="s">
        <v>72</v>
      </c>
      <c r="E19" t="s">
        <v>70</v>
      </c>
      <c r="F19">
        <v>92</v>
      </c>
      <c r="G19" t="s">
        <v>68</v>
      </c>
      <c r="H19" t="s">
        <v>67</v>
      </c>
      <c r="I19">
        <v>92</v>
      </c>
    </row>
    <row r="20" spans="1:9" x14ac:dyDescent="0.35">
      <c r="A20" t="s">
        <v>61</v>
      </c>
      <c r="B20">
        <v>107233183</v>
      </c>
      <c r="C20" t="s">
        <v>532</v>
      </c>
      <c r="D20" t="s">
        <v>72</v>
      </c>
      <c r="E20" t="s">
        <v>70</v>
      </c>
      <c r="F20">
        <v>244</v>
      </c>
      <c r="G20" t="s">
        <v>62</v>
      </c>
      <c r="H20" t="s">
        <v>67</v>
      </c>
      <c r="I20">
        <v>2625</v>
      </c>
    </row>
    <row r="21" spans="1:9" x14ac:dyDescent="0.35">
      <c r="A21" t="s">
        <v>61</v>
      </c>
      <c r="B21">
        <v>107233183</v>
      </c>
      <c r="C21" t="s">
        <v>532</v>
      </c>
      <c r="D21" t="s">
        <v>72</v>
      </c>
      <c r="E21" t="s">
        <v>70</v>
      </c>
      <c r="F21">
        <v>244</v>
      </c>
      <c r="G21" t="s">
        <v>62</v>
      </c>
      <c r="H21" t="s">
        <v>63</v>
      </c>
      <c r="I21">
        <v>830</v>
      </c>
    </row>
    <row r="22" spans="1:9" x14ac:dyDescent="0.35">
      <c r="A22" t="s">
        <v>61</v>
      </c>
      <c r="B22">
        <v>107233183</v>
      </c>
      <c r="C22" t="s">
        <v>532</v>
      </c>
      <c r="D22" t="s">
        <v>72</v>
      </c>
      <c r="E22" t="s">
        <v>70</v>
      </c>
      <c r="F22">
        <v>244</v>
      </c>
      <c r="G22" t="s">
        <v>62</v>
      </c>
      <c r="H22" t="s">
        <v>64</v>
      </c>
      <c r="I22">
        <v>1779</v>
      </c>
    </row>
    <row r="23" spans="1:9" x14ac:dyDescent="0.35">
      <c r="A23" t="s">
        <v>61</v>
      </c>
      <c r="B23">
        <v>107233183</v>
      </c>
      <c r="C23" t="s">
        <v>532</v>
      </c>
      <c r="D23" t="s">
        <v>72</v>
      </c>
      <c r="E23" t="s">
        <v>70</v>
      </c>
      <c r="F23">
        <v>244</v>
      </c>
      <c r="G23" t="s">
        <v>62</v>
      </c>
      <c r="H23" t="s">
        <v>65</v>
      </c>
      <c r="I23">
        <v>16</v>
      </c>
    </row>
    <row r="24" spans="1:9" x14ac:dyDescent="0.35">
      <c r="A24" t="s">
        <v>61</v>
      </c>
      <c r="B24">
        <v>107233183</v>
      </c>
      <c r="C24" t="s">
        <v>532</v>
      </c>
      <c r="D24" t="s">
        <v>72</v>
      </c>
      <c r="E24" t="s">
        <v>70</v>
      </c>
      <c r="F24">
        <v>244</v>
      </c>
      <c r="G24" t="s">
        <v>68</v>
      </c>
      <c r="H24" t="s">
        <v>67</v>
      </c>
      <c r="I24">
        <v>244</v>
      </c>
    </row>
    <row r="25" spans="1:9" x14ac:dyDescent="0.35">
      <c r="A25" t="s">
        <v>61</v>
      </c>
      <c r="B25">
        <v>107844157</v>
      </c>
      <c r="C25" t="s">
        <v>545</v>
      </c>
      <c r="D25" t="s">
        <v>72</v>
      </c>
      <c r="E25" t="s">
        <v>70</v>
      </c>
      <c r="F25">
        <v>227</v>
      </c>
      <c r="G25" t="s">
        <v>62</v>
      </c>
      <c r="H25" t="s">
        <v>67</v>
      </c>
      <c r="I25">
        <v>1419</v>
      </c>
    </row>
    <row r="26" spans="1:9" x14ac:dyDescent="0.35">
      <c r="A26" t="s">
        <v>61</v>
      </c>
      <c r="B26">
        <v>107844157</v>
      </c>
      <c r="C26" t="s">
        <v>545</v>
      </c>
      <c r="D26" t="s">
        <v>72</v>
      </c>
      <c r="E26" t="s">
        <v>70</v>
      </c>
      <c r="F26">
        <v>227</v>
      </c>
      <c r="G26" t="s">
        <v>62</v>
      </c>
      <c r="H26" t="s">
        <v>63</v>
      </c>
      <c r="I26">
        <v>418</v>
      </c>
    </row>
    <row r="27" spans="1:9" x14ac:dyDescent="0.35">
      <c r="A27" t="s">
        <v>61</v>
      </c>
      <c r="B27">
        <v>107844157</v>
      </c>
      <c r="C27" t="s">
        <v>545</v>
      </c>
      <c r="D27" t="s">
        <v>72</v>
      </c>
      <c r="E27" t="s">
        <v>70</v>
      </c>
      <c r="F27">
        <v>227</v>
      </c>
      <c r="G27" t="s">
        <v>62</v>
      </c>
      <c r="H27" t="s">
        <v>64</v>
      </c>
      <c r="I27">
        <v>1001</v>
      </c>
    </row>
    <row r="28" spans="1:9" x14ac:dyDescent="0.35">
      <c r="A28" t="s">
        <v>61</v>
      </c>
      <c r="B28">
        <v>107844157</v>
      </c>
      <c r="C28" t="s">
        <v>545</v>
      </c>
      <c r="D28" t="s">
        <v>72</v>
      </c>
      <c r="E28" t="s">
        <v>70</v>
      </c>
      <c r="F28">
        <v>227</v>
      </c>
      <c r="G28" t="s">
        <v>68</v>
      </c>
      <c r="H28" t="s">
        <v>67</v>
      </c>
      <c r="I28">
        <v>227</v>
      </c>
    </row>
    <row r="29" spans="1:9" x14ac:dyDescent="0.35">
      <c r="A29" t="s">
        <v>61</v>
      </c>
      <c r="B29">
        <v>107228984</v>
      </c>
      <c r="C29" t="s">
        <v>529</v>
      </c>
      <c r="D29" t="s">
        <v>60</v>
      </c>
      <c r="E29" t="s">
        <v>70</v>
      </c>
      <c r="F29">
        <v>424</v>
      </c>
      <c r="G29" t="s">
        <v>62</v>
      </c>
      <c r="H29" t="s">
        <v>67</v>
      </c>
      <c r="I29">
        <v>3842</v>
      </c>
    </row>
    <row r="30" spans="1:9" x14ac:dyDescent="0.35">
      <c r="A30" t="s">
        <v>61</v>
      </c>
      <c r="B30">
        <v>107228984</v>
      </c>
      <c r="C30" t="s">
        <v>529</v>
      </c>
      <c r="D30" t="s">
        <v>60</v>
      </c>
      <c r="E30" t="s">
        <v>70</v>
      </c>
      <c r="F30">
        <v>424</v>
      </c>
      <c r="G30" t="s">
        <v>62</v>
      </c>
      <c r="H30" t="s">
        <v>63</v>
      </c>
      <c r="I30">
        <v>562</v>
      </c>
    </row>
    <row r="31" spans="1:9" x14ac:dyDescent="0.35">
      <c r="A31" t="s">
        <v>61</v>
      </c>
      <c r="B31">
        <v>107228984</v>
      </c>
      <c r="C31" t="s">
        <v>529</v>
      </c>
      <c r="D31" t="s">
        <v>60</v>
      </c>
      <c r="E31" t="s">
        <v>70</v>
      </c>
      <c r="F31">
        <v>424</v>
      </c>
      <c r="G31" t="s">
        <v>62</v>
      </c>
      <c r="H31" t="s">
        <v>64</v>
      </c>
      <c r="I31">
        <v>3262</v>
      </c>
    </row>
    <row r="32" spans="1:9" x14ac:dyDescent="0.35">
      <c r="A32" t="s">
        <v>61</v>
      </c>
      <c r="B32">
        <v>107228984</v>
      </c>
      <c r="C32" t="s">
        <v>529</v>
      </c>
      <c r="D32" t="s">
        <v>60</v>
      </c>
      <c r="E32" t="s">
        <v>70</v>
      </c>
      <c r="F32">
        <v>424</v>
      </c>
      <c r="G32" t="s">
        <v>62</v>
      </c>
      <c r="H32" t="s">
        <v>65</v>
      </c>
      <c r="I32">
        <v>18</v>
      </c>
    </row>
    <row r="33" spans="1:9" x14ac:dyDescent="0.35">
      <c r="A33" t="s">
        <v>61</v>
      </c>
      <c r="B33">
        <v>107228984</v>
      </c>
      <c r="C33" t="s">
        <v>529</v>
      </c>
      <c r="D33" t="s">
        <v>60</v>
      </c>
      <c r="E33" t="s">
        <v>70</v>
      </c>
      <c r="F33">
        <v>424</v>
      </c>
      <c r="G33" t="s">
        <v>68</v>
      </c>
      <c r="H33" t="s">
        <v>67</v>
      </c>
      <c r="I33">
        <v>424</v>
      </c>
    </row>
    <row r="34" spans="1:9" x14ac:dyDescent="0.35">
      <c r="A34" t="s">
        <v>61</v>
      </c>
      <c r="B34">
        <v>107826232</v>
      </c>
      <c r="C34" t="s">
        <v>540</v>
      </c>
      <c r="D34" t="s">
        <v>60</v>
      </c>
      <c r="E34" t="s">
        <v>70</v>
      </c>
      <c r="F34">
        <v>264</v>
      </c>
      <c r="G34" t="s">
        <v>62</v>
      </c>
      <c r="H34" t="s">
        <v>67</v>
      </c>
      <c r="I34">
        <v>1634</v>
      </c>
    </row>
    <row r="35" spans="1:9" x14ac:dyDescent="0.35">
      <c r="A35" t="s">
        <v>61</v>
      </c>
      <c r="B35">
        <v>107826232</v>
      </c>
      <c r="C35" t="s">
        <v>540</v>
      </c>
      <c r="D35" t="s">
        <v>60</v>
      </c>
      <c r="E35" t="s">
        <v>70</v>
      </c>
      <c r="F35">
        <v>264</v>
      </c>
      <c r="G35" t="s">
        <v>62</v>
      </c>
      <c r="H35" t="s">
        <v>63</v>
      </c>
      <c r="I35">
        <v>193</v>
      </c>
    </row>
    <row r="36" spans="1:9" x14ac:dyDescent="0.35">
      <c r="A36" t="s">
        <v>61</v>
      </c>
      <c r="B36">
        <v>107826232</v>
      </c>
      <c r="C36" t="s">
        <v>540</v>
      </c>
      <c r="D36" t="s">
        <v>60</v>
      </c>
      <c r="E36" t="s">
        <v>70</v>
      </c>
      <c r="F36">
        <v>264</v>
      </c>
      <c r="G36" t="s">
        <v>62</v>
      </c>
      <c r="H36" t="s">
        <v>64</v>
      </c>
      <c r="I36">
        <v>1441</v>
      </c>
    </row>
    <row r="37" spans="1:9" x14ac:dyDescent="0.35">
      <c r="A37" t="s">
        <v>61</v>
      </c>
      <c r="B37">
        <v>107826232</v>
      </c>
      <c r="C37" t="s">
        <v>540</v>
      </c>
      <c r="D37" t="s">
        <v>60</v>
      </c>
      <c r="E37" t="s">
        <v>70</v>
      </c>
      <c r="F37">
        <v>264</v>
      </c>
      <c r="G37" t="s">
        <v>68</v>
      </c>
      <c r="H37" t="s">
        <v>67</v>
      </c>
      <c r="I37">
        <v>264</v>
      </c>
    </row>
    <row r="38" spans="1:9" x14ac:dyDescent="0.35">
      <c r="A38" t="s">
        <v>61</v>
      </c>
      <c r="B38">
        <v>107843891</v>
      </c>
      <c r="C38" t="s">
        <v>544</v>
      </c>
      <c r="D38" t="s">
        <v>72</v>
      </c>
      <c r="E38" t="s">
        <v>70</v>
      </c>
      <c r="F38">
        <v>297</v>
      </c>
      <c r="G38" t="s">
        <v>62</v>
      </c>
      <c r="H38" t="s">
        <v>67</v>
      </c>
      <c r="I38">
        <v>1876</v>
      </c>
    </row>
    <row r="39" spans="1:9" x14ac:dyDescent="0.35">
      <c r="A39" t="s">
        <v>61</v>
      </c>
      <c r="B39">
        <v>107843891</v>
      </c>
      <c r="C39" t="s">
        <v>544</v>
      </c>
      <c r="D39" t="s">
        <v>72</v>
      </c>
      <c r="E39" t="s">
        <v>70</v>
      </c>
      <c r="F39">
        <v>297</v>
      </c>
      <c r="G39" t="s">
        <v>62</v>
      </c>
      <c r="H39" t="s">
        <v>63</v>
      </c>
      <c r="I39">
        <v>604</v>
      </c>
    </row>
    <row r="40" spans="1:9" x14ac:dyDescent="0.35">
      <c r="A40" t="s">
        <v>61</v>
      </c>
      <c r="B40">
        <v>107843891</v>
      </c>
      <c r="C40" t="s">
        <v>544</v>
      </c>
      <c r="D40" t="s">
        <v>72</v>
      </c>
      <c r="E40" t="s">
        <v>70</v>
      </c>
      <c r="F40">
        <v>297</v>
      </c>
      <c r="G40" t="s">
        <v>62</v>
      </c>
      <c r="H40" t="s">
        <v>64</v>
      </c>
      <c r="I40">
        <v>1272</v>
      </c>
    </row>
    <row r="41" spans="1:9" x14ac:dyDescent="0.35">
      <c r="A41" t="s">
        <v>61</v>
      </c>
      <c r="B41">
        <v>107843891</v>
      </c>
      <c r="C41" t="s">
        <v>544</v>
      </c>
      <c r="D41" t="s">
        <v>72</v>
      </c>
      <c r="E41" t="s">
        <v>70</v>
      </c>
      <c r="F41">
        <v>297</v>
      </c>
      <c r="G41" t="s">
        <v>68</v>
      </c>
      <c r="H41" t="s">
        <v>67</v>
      </c>
      <c r="I41">
        <v>297</v>
      </c>
    </row>
    <row r="42" spans="1:9" x14ac:dyDescent="0.35">
      <c r="A42" t="s">
        <v>61</v>
      </c>
      <c r="B42">
        <v>106550554</v>
      </c>
      <c r="C42" t="s">
        <v>527</v>
      </c>
      <c r="D42" t="s">
        <v>60</v>
      </c>
      <c r="E42" t="s">
        <v>58</v>
      </c>
      <c r="F42">
        <v>449</v>
      </c>
      <c r="G42" t="s">
        <v>62</v>
      </c>
      <c r="H42" t="s">
        <v>67</v>
      </c>
      <c r="I42">
        <v>3131</v>
      </c>
    </row>
    <row r="43" spans="1:9" x14ac:dyDescent="0.35">
      <c r="A43" t="s">
        <v>61</v>
      </c>
      <c r="B43">
        <v>106550554</v>
      </c>
      <c r="C43" t="s">
        <v>527</v>
      </c>
      <c r="D43" t="s">
        <v>60</v>
      </c>
      <c r="E43" t="s">
        <v>58</v>
      </c>
      <c r="F43">
        <v>449</v>
      </c>
      <c r="G43" t="s">
        <v>62</v>
      </c>
      <c r="H43" t="s">
        <v>63</v>
      </c>
      <c r="I43">
        <v>323</v>
      </c>
    </row>
    <row r="44" spans="1:9" x14ac:dyDescent="0.35">
      <c r="A44" t="s">
        <v>61</v>
      </c>
      <c r="B44">
        <v>106550554</v>
      </c>
      <c r="C44" t="s">
        <v>527</v>
      </c>
      <c r="D44" t="s">
        <v>60</v>
      </c>
      <c r="E44" t="s">
        <v>58</v>
      </c>
      <c r="F44">
        <v>449</v>
      </c>
      <c r="G44" t="s">
        <v>62</v>
      </c>
      <c r="H44" t="s">
        <v>64</v>
      </c>
      <c r="I44">
        <v>2803</v>
      </c>
    </row>
    <row r="45" spans="1:9" x14ac:dyDescent="0.35">
      <c r="A45" t="s">
        <v>61</v>
      </c>
      <c r="B45">
        <v>106550554</v>
      </c>
      <c r="C45" t="s">
        <v>527</v>
      </c>
      <c r="D45" t="s">
        <v>60</v>
      </c>
      <c r="E45" t="s">
        <v>58</v>
      </c>
      <c r="F45">
        <v>449</v>
      </c>
      <c r="G45" t="s">
        <v>62</v>
      </c>
      <c r="H45" t="s">
        <v>65</v>
      </c>
      <c r="I45">
        <v>5</v>
      </c>
    </row>
    <row r="46" spans="1:9" x14ac:dyDescent="0.35">
      <c r="A46" t="s">
        <v>61</v>
      </c>
      <c r="B46">
        <v>106550554</v>
      </c>
      <c r="C46" t="s">
        <v>527</v>
      </c>
      <c r="D46" t="s">
        <v>60</v>
      </c>
      <c r="E46" t="s">
        <v>58</v>
      </c>
      <c r="F46">
        <v>449</v>
      </c>
      <c r="G46" t="s">
        <v>68</v>
      </c>
      <c r="H46" t="s">
        <v>67</v>
      </c>
      <c r="I46">
        <v>449</v>
      </c>
    </row>
    <row r="47" spans="1:9" x14ac:dyDescent="0.35">
      <c r="A47" t="s">
        <v>61</v>
      </c>
      <c r="B47">
        <v>107221237</v>
      </c>
      <c r="C47" t="s">
        <v>89</v>
      </c>
      <c r="D47" t="s">
        <v>72</v>
      </c>
      <c r="E47" t="s">
        <v>58</v>
      </c>
      <c r="F47">
        <v>265</v>
      </c>
      <c r="G47" t="s">
        <v>62</v>
      </c>
      <c r="H47" t="s">
        <v>67</v>
      </c>
      <c r="I47">
        <v>2617</v>
      </c>
    </row>
    <row r="48" spans="1:9" x14ac:dyDescent="0.35">
      <c r="A48" t="s">
        <v>61</v>
      </c>
      <c r="B48">
        <v>107221237</v>
      </c>
      <c r="C48" t="s">
        <v>89</v>
      </c>
      <c r="D48" t="s">
        <v>72</v>
      </c>
      <c r="E48" t="s">
        <v>58</v>
      </c>
      <c r="F48">
        <v>265</v>
      </c>
      <c r="G48" t="s">
        <v>62</v>
      </c>
      <c r="H48" t="s">
        <v>63</v>
      </c>
      <c r="I48">
        <v>696</v>
      </c>
    </row>
    <row r="49" spans="1:9" x14ac:dyDescent="0.35">
      <c r="A49" t="s">
        <v>61</v>
      </c>
      <c r="B49">
        <v>107221237</v>
      </c>
      <c r="C49" t="s">
        <v>89</v>
      </c>
      <c r="D49" t="s">
        <v>72</v>
      </c>
      <c r="E49" t="s">
        <v>58</v>
      </c>
      <c r="F49">
        <v>265</v>
      </c>
      <c r="G49" t="s">
        <v>62</v>
      </c>
      <c r="H49" t="s">
        <v>64</v>
      </c>
      <c r="I49">
        <v>1915</v>
      </c>
    </row>
    <row r="50" spans="1:9" x14ac:dyDescent="0.35">
      <c r="A50" t="s">
        <v>61</v>
      </c>
      <c r="B50">
        <v>107221237</v>
      </c>
      <c r="C50" t="s">
        <v>89</v>
      </c>
      <c r="D50" t="s">
        <v>72</v>
      </c>
      <c r="E50" t="s">
        <v>58</v>
      </c>
      <c r="F50">
        <v>265</v>
      </c>
      <c r="G50" t="s">
        <v>62</v>
      </c>
      <c r="H50" t="s">
        <v>65</v>
      </c>
      <c r="I50">
        <v>6</v>
      </c>
    </row>
    <row r="51" spans="1:9" x14ac:dyDescent="0.35">
      <c r="A51" t="s">
        <v>61</v>
      </c>
      <c r="B51">
        <v>107221237</v>
      </c>
      <c r="C51" t="s">
        <v>89</v>
      </c>
      <c r="D51" t="s">
        <v>72</v>
      </c>
      <c r="E51" t="s">
        <v>58</v>
      </c>
      <c r="F51">
        <v>265</v>
      </c>
      <c r="G51" t="s">
        <v>68</v>
      </c>
      <c r="H51" t="s">
        <v>67</v>
      </c>
      <c r="I51">
        <v>265</v>
      </c>
    </row>
    <row r="52" spans="1:9" x14ac:dyDescent="0.35">
      <c r="A52" t="s">
        <v>61</v>
      </c>
      <c r="B52">
        <v>107221222</v>
      </c>
      <c r="C52" t="s">
        <v>86</v>
      </c>
      <c r="D52" t="s">
        <v>72</v>
      </c>
      <c r="E52" t="s">
        <v>70</v>
      </c>
      <c r="F52">
        <v>370</v>
      </c>
      <c r="G52" t="s">
        <v>62</v>
      </c>
      <c r="H52" t="s">
        <v>67</v>
      </c>
      <c r="I52">
        <v>3533</v>
      </c>
    </row>
    <row r="53" spans="1:9" x14ac:dyDescent="0.35">
      <c r="A53" t="s">
        <v>61</v>
      </c>
      <c r="B53">
        <v>107221222</v>
      </c>
      <c r="C53" t="s">
        <v>86</v>
      </c>
      <c r="D53" t="s">
        <v>72</v>
      </c>
      <c r="E53" t="s">
        <v>70</v>
      </c>
      <c r="F53">
        <v>370</v>
      </c>
      <c r="G53" t="s">
        <v>62</v>
      </c>
      <c r="H53" t="s">
        <v>63</v>
      </c>
      <c r="I53">
        <v>651</v>
      </c>
    </row>
    <row r="54" spans="1:9" x14ac:dyDescent="0.35">
      <c r="A54" t="s">
        <v>61</v>
      </c>
      <c r="B54">
        <v>107221222</v>
      </c>
      <c r="C54" t="s">
        <v>86</v>
      </c>
      <c r="D54" t="s">
        <v>72</v>
      </c>
      <c r="E54" t="s">
        <v>70</v>
      </c>
      <c r="F54">
        <v>370</v>
      </c>
      <c r="G54" t="s">
        <v>62</v>
      </c>
      <c r="H54" t="s">
        <v>64</v>
      </c>
      <c r="I54">
        <v>2882</v>
      </c>
    </row>
    <row r="55" spans="1:9" x14ac:dyDescent="0.35">
      <c r="A55" t="s">
        <v>61</v>
      </c>
      <c r="B55">
        <v>107221222</v>
      </c>
      <c r="C55" t="s">
        <v>86</v>
      </c>
      <c r="D55" t="s">
        <v>72</v>
      </c>
      <c r="E55" t="s">
        <v>70</v>
      </c>
      <c r="F55">
        <v>370</v>
      </c>
      <c r="G55" t="s">
        <v>68</v>
      </c>
      <c r="H55" t="s">
        <v>67</v>
      </c>
      <c r="I55">
        <v>370</v>
      </c>
    </row>
    <row r="56" spans="1:9" x14ac:dyDescent="0.35">
      <c r="A56" t="s">
        <v>61</v>
      </c>
      <c r="B56">
        <v>107843844</v>
      </c>
      <c r="C56" t="s">
        <v>542</v>
      </c>
      <c r="D56" t="s">
        <v>72</v>
      </c>
      <c r="E56" t="s">
        <v>70</v>
      </c>
      <c r="F56">
        <v>451</v>
      </c>
      <c r="G56" t="s">
        <v>62</v>
      </c>
      <c r="H56" t="s">
        <v>67</v>
      </c>
      <c r="I56">
        <v>2867</v>
      </c>
    </row>
    <row r="57" spans="1:9" x14ac:dyDescent="0.35">
      <c r="A57" t="s">
        <v>61</v>
      </c>
      <c r="B57">
        <v>107843844</v>
      </c>
      <c r="C57" t="s">
        <v>542</v>
      </c>
      <c r="D57" t="s">
        <v>72</v>
      </c>
      <c r="E57" t="s">
        <v>70</v>
      </c>
      <c r="F57">
        <v>451</v>
      </c>
      <c r="G57" t="s">
        <v>62</v>
      </c>
      <c r="H57" t="s">
        <v>63</v>
      </c>
      <c r="I57">
        <v>516</v>
      </c>
    </row>
    <row r="58" spans="1:9" x14ac:dyDescent="0.35">
      <c r="A58" t="s">
        <v>61</v>
      </c>
      <c r="B58">
        <v>107843844</v>
      </c>
      <c r="C58" t="s">
        <v>542</v>
      </c>
      <c r="D58" t="s">
        <v>72</v>
      </c>
      <c r="E58" t="s">
        <v>70</v>
      </c>
      <c r="F58">
        <v>451</v>
      </c>
      <c r="G58" t="s">
        <v>62</v>
      </c>
      <c r="H58" t="s">
        <v>64</v>
      </c>
      <c r="I58">
        <v>2335</v>
      </c>
    </row>
    <row r="59" spans="1:9" x14ac:dyDescent="0.35">
      <c r="A59" t="s">
        <v>61</v>
      </c>
      <c r="B59">
        <v>107843844</v>
      </c>
      <c r="C59" t="s">
        <v>542</v>
      </c>
      <c r="D59" t="s">
        <v>72</v>
      </c>
      <c r="E59" t="s">
        <v>70</v>
      </c>
      <c r="F59">
        <v>451</v>
      </c>
      <c r="G59" t="s">
        <v>62</v>
      </c>
      <c r="H59" t="s">
        <v>65</v>
      </c>
      <c r="I59">
        <v>16</v>
      </c>
    </row>
    <row r="60" spans="1:9" x14ac:dyDescent="0.35">
      <c r="A60" t="s">
        <v>61</v>
      </c>
      <c r="B60">
        <v>107843844</v>
      </c>
      <c r="C60" t="s">
        <v>542</v>
      </c>
      <c r="D60" t="s">
        <v>72</v>
      </c>
      <c r="E60" t="s">
        <v>70</v>
      </c>
      <c r="F60">
        <v>451</v>
      </c>
      <c r="G60" t="s">
        <v>68</v>
      </c>
      <c r="H60" t="s">
        <v>67</v>
      </c>
      <c r="I60">
        <v>451</v>
      </c>
    </row>
    <row r="61" spans="1:9" x14ac:dyDescent="0.35">
      <c r="A61" t="s">
        <v>61</v>
      </c>
      <c r="B61">
        <v>107704604</v>
      </c>
      <c r="C61" t="s">
        <v>93</v>
      </c>
      <c r="D61" t="s">
        <v>72</v>
      </c>
      <c r="E61" t="s">
        <v>58</v>
      </c>
      <c r="F61">
        <v>377</v>
      </c>
      <c r="G61" t="s">
        <v>62</v>
      </c>
      <c r="H61" t="s">
        <v>67</v>
      </c>
      <c r="I61">
        <v>3986</v>
      </c>
    </row>
    <row r="62" spans="1:9" x14ac:dyDescent="0.35">
      <c r="A62" t="s">
        <v>61</v>
      </c>
      <c r="B62">
        <v>107704604</v>
      </c>
      <c r="C62" t="s">
        <v>93</v>
      </c>
      <c r="D62" t="s">
        <v>72</v>
      </c>
      <c r="E62" t="s">
        <v>58</v>
      </c>
      <c r="F62">
        <v>377</v>
      </c>
      <c r="G62" t="s">
        <v>62</v>
      </c>
      <c r="H62" t="s">
        <v>63</v>
      </c>
      <c r="I62">
        <v>1533</v>
      </c>
    </row>
    <row r="63" spans="1:9" x14ac:dyDescent="0.35">
      <c r="A63" t="s">
        <v>61</v>
      </c>
      <c r="B63">
        <v>107704604</v>
      </c>
      <c r="C63" t="s">
        <v>93</v>
      </c>
      <c r="D63" t="s">
        <v>72</v>
      </c>
      <c r="E63" t="s">
        <v>58</v>
      </c>
      <c r="F63">
        <v>377</v>
      </c>
      <c r="G63" t="s">
        <v>62</v>
      </c>
      <c r="H63" t="s">
        <v>64</v>
      </c>
      <c r="I63">
        <v>2453</v>
      </c>
    </row>
    <row r="64" spans="1:9" x14ac:dyDescent="0.35">
      <c r="A64" t="s">
        <v>61</v>
      </c>
      <c r="B64">
        <v>107704604</v>
      </c>
      <c r="C64" t="s">
        <v>93</v>
      </c>
      <c r="D64" t="s">
        <v>72</v>
      </c>
      <c r="E64" t="s">
        <v>58</v>
      </c>
      <c r="F64">
        <v>377</v>
      </c>
      <c r="G64" t="s">
        <v>68</v>
      </c>
      <c r="H64" t="s">
        <v>67</v>
      </c>
      <c r="I64">
        <v>377</v>
      </c>
    </row>
    <row r="65" spans="1:9" x14ac:dyDescent="0.35">
      <c r="A65" t="s">
        <v>61</v>
      </c>
      <c r="B65">
        <v>107065561</v>
      </c>
      <c r="C65" t="s">
        <v>528</v>
      </c>
      <c r="D65" t="s">
        <v>78</v>
      </c>
      <c r="E65" t="s">
        <v>58</v>
      </c>
      <c r="F65">
        <v>102</v>
      </c>
      <c r="G65" t="s">
        <v>62</v>
      </c>
      <c r="H65" t="s">
        <v>67</v>
      </c>
      <c r="I65">
        <v>869</v>
      </c>
    </row>
    <row r="66" spans="1:9" x14ac:dyDescent="0.35">
      <c r="A66" t="s">
        <v>61</v>
      </c>
      <c r="B66">
        <v>107065561</v>
      </c>
      <c r="C66" t="s">
        <v>528</v>
      </c>
      <c r="D66" t="s">
        <v>78</v>
      </c>
      <c r="E66" t="s">
        <v>58</v>
      </c>
      <c r="F66">
        <v>102</v>
      </c>
      <c r="G66" t="s">
        <v>62</v>
      </c>
      <c r="H66" t="s">
        <v>63</v>
      </c>
      <c r="I66">
        <v>100</v>
      </c>
    </row>
    <row r="67" spans="1:9" x14ac:dyDescent="0.35">
      <c r="A67" t="s">
        <v>61</v>
      </c>
      <c r="B67">
        <v>107065561</v>
      </c>
      <c r="C67" t="s">
        <v>528</v>
      </c>
      <c r="D67" t="s">
        <v>78</v>
      </c>
      <c r="E67" t="s">
        <v>58</v>
      </c>
      <c r="F67">
        <v>102</v>
      </c>
      <c r="G67" t="s">
        <v>62</v>
      </c>
      <c r="H67" t="s">
        <v>64</v>
      </c>
      <c r="I67">
        <v>769</v>
      </c>
    </row>
    <row r="68" spans="1:9" x14ac:dyDescent="0.35">
      <c r="A68" t="s">
        <v>61</v>
      </c>
      <c r="B68">
        <v>107065561</v>
      </c>
      <c r="C68" t="s">
        <v>528</v>
      </c>
      <c r="D68" t="s">
        <v>78</v>
      </c>
      <c r="E68" t="s">
        <v>58</v>
      </c>
      <c r="F68">
        <v>102</v>
      </c>
      <c r="G68" t="s">
        <v>68</v>
      </c>
      <c r="H68" t="s">
        <v>67</v>
      </c>
      <c r="I68">
        <v>102</v>
      </c>
    </row>
    <row r="69" spans="1:9" x14ac:dyDescent="0.35">
      <c r="A69" t="s">
        <v>61</v>
      </c>
      <c r="B69">
        <v>107229417</v>
      </c>
      <c r="C69" t="s">
        <v>565</v>
      </c>
      <c r="D69" t="s">
        <v>60</v>
      </c>
      <c r="E69" t="s">
        <v>70</v>
      </c>
      <c r="F69">
        <v>383</v>
      </c>
      <c r="G69" t="s">
        <v>62</v>
      </c>
      <c r="H69" t="s">
        <v>67</v>
      </c>
      <c r="I69">
        <v>4245</v>
      </c>
    </row>
    <row r="70" spans="1:9" x14ac:dyDescent="0.35">
      <c r="A70" t="s">
        <v>61</v>
      </c>
      <c r="B70">
        <v>107229417</v>
      </c>
      <c r="C70" t="s">
        <v>565</v>
      </c>
      <c r="D70" t="s">
        <v>60</v>
      </c>
      <c r="E70" t="s">
        <v>70</v>
      </c>
      <c r="F70">
        <v>383</v>
      </c>
      <c r="G70" t="s">
        <v>62</v>
      </c>
      <c r="H70" t="s">
        <v>63</v>
      </c>
      <c r="I70">
        <v>1572</v>
      </c>
    </row>
    <row r="71" spans="1:9" x14ac:dyDescent="0.35">
      <c r="A71" t="s">
        <v>61</v>
      </c>
      <c r="B71">
        <v>107229417</v>
      </c>
      <c r="C71" t="s">
        <v>565</v>
      </c>
      <c r="D71" t="s">
        <v>60</v>
      </c>
      <c r="E71" t="s">
        <v>70</v>
      </c>
      <c r="F71">
        <v>383</v>
      </c>
      <c r="G71" t="s">
        <v>62</v>
      </c>
      <c r="H71" t="s">
        <v>64</v>
      </c>
      <c r="I71">
        <v>2657</v>
      </c>
    </row>
    <row r="72" spans="1:9" x14ac:dyDescent="0.35">
      <c r="A72" t="s">
        <v>61</v>
      </c>
      <c r="B72">
        <v>107229417</v>
      </c>
      <c r="C72" t="s">
        <v>565</v>
      </c>
      <c r="D72" t="s">
        <v>60</v>
      </c>
      <c r="E72" t="s">
        <v>70</v>
      </c>
      <c r="F72">
        <v>383</v>
      </c>
      <c r="G72" t="s">
        <v>62</v>
      </c>
      <c r="H72" t="s">
        <v>65</v>
      </c>
      <c r="I72">
        <v>16</v>
      </c>
    </row>
    <row r="73" spans="1:9" x14ac:dyDescent="0.35">
      <c r="A73" t="s">
        <v>61</v>
      </c>
      <c r="B73">
        <v>107229417</v>
      </c>
      <c r="C73" t="s">
        <v>565</v>
      </c>
      <c r="D73" t="s">
        <v>60</v>
      </c>
      <c r="E73" t="s">
        <v>70</v>
      </c>
      <c r="F73">
        <v>383</v>
      </c>
      <c r="G73" t="s">
        <v>68</v>
      </c>
      <c r="H73" t="s">
        <v>67</v>
      </c>
      <c r="I73">
        <v>383</v>
      </c>
    </row>
    <row r="74" spans="1:9" x14ac:dyDescent="0.35">
      <c r="A74" t="s">
        <v>61</v>
      </c>
      <c r="B74">
        <v>107232917</v>
      </c>
      <c r="C74" t="s">
        <v>530</v>
      </c>
      <c r="D74" t="s">
        <v>72</v>
      </c>
      <c r="E74" t="s">
        <v>70</v>
      </c>
      <c r="F74">
        <v>4</v>
      </c>
      <c r="G74" t="s">
        <v>62</v>
      </c>
      <c r="H74" t="s">
        <v>67</v>
      </c>
      <c r="I74">
        <v>3370</v>
      </c>
    </row>
    <row r="75" spans="1:9" x14ac:dyDescent="0.35">
      <c r="A75" t="s">
        <v>61</v>
      </c>
      <c r="B75">
        <v>107232917</v>
      </c>
      <c r="C75" t="s">
        <v>530</v>
      </c>
      <c r="D75" t="s">
        <v>72</v>
      </c>
      <c r="E75" t="s">
        <v>70</v>
      </c>
      <c r="F75">
        <v>4</v>
      </c>
      <c r="G75" t="s">
        <v>62</v>
      </c>
      <c r="H75" t="s">
        <v>63</v>
      </c>
      <c r="I75">
        <v>496</v>
      </c>
    </row>
    <row r="76" spans="1:9" x14ac:dyDescent="0.35">
      <c r="A76" t="s">
        <v>61</v>
      </c>
      <c r="B76">
        <v>107232917</v>
      </c>
      <c r="C76" t="s">
        <v>530</v>
      </c>
      <c r="D76" t="s">
        <v>72</v>
      </c>
      <c r="E76" t="s">
        <v>70</v>
      </c>
      <c r="F76">
        <v>4</v>
      </c>
      <c r="G76" t="s">
        <v>62</v>
      </c>
      <c r="H76" t="s">
        <v>64</v>
      </c>
      <c r="I76">
        <v>2874</v>
      </c>
    </row>
    <row r="77" spans="1:9" x14ac:dyDescent="0.35">
      <c r="A77" t="s">
        <v>61</v>
      </c>
      <c r="B77">
        <v>107232917</v>
      </c>
      <c r="C77" t="s">
        <v>530</v>
      </c>
      <c r="D77" t="s">
        <v>72</v>
      </c>
      <c r="E77" t="s">
        <v>70</v>
      </c>
      <c r="F77">
        <v>4</v>
      </c>
      <c r="G77" t="s">
        <v>68</v>
      </c>
      <c r="H77" t="s">
        <v>67</v>
      </c>
      <c r="I77">
        <v>346</v>
      </c>
    </row>
    <row r="78" spans="1:9" x14ac:dyDescent="0.35">
      <c r="A78" t="s">
        <v>61</v>
      </c>
      <c r="B78">
        <v>107232917</v>
      </c>
      <c r="C78" t="s">
        <v>530</v>
      </c>
      <c r="D78" t="s">
        <v>72</v>
      </c>
      <c r="E78" t="s">
        <v>70</v>
      </c>
      <c r="F78">
        <v>4</v>
      </c>
      <c r="G78" t="s">
        <v>69</v>
      </c>
      <c r="H78" t="s">
        <v>67</v>
      </c>
      <c r="I78">
        <v>4</v>
      </c>
    </row>
    <row r="79" spans="1:9" x14ac:dyDescent="0.35">
      <c r="A79" t="s">
        <v>61</v>
      </c>
      <c r="B79">
        <v>107843876</v>
      </c>
      <c r="C79" t="s">
        <v>543</v>
      </c>
      <c r="D79" t="s">
        <v>72</v>
      </c>
      <c r="E79" t="s">
        <v>70</v>
      </c>
      <c r="F79">
        <v>323</v>
      </c>
      <c r="G79" t="s">
        <v>62</v>
      </c>
      <c r="H79" t="s">
        <v>67</v>
      </c>
      <c r="I79">
        <v>1915</v>
      </c>
    </row>
    <row r="80" spans="1:9" x14ac:dyDescent="0.35">
      <c r="A80" t="s">
        <v>61</v>
      </c>
      <c r="B80">
        <v>107843876</v>
      </c>
      <c r="C80" t="s">
        <v>543</v>
      </c>
      <c r="D80" t="s">
        <v>72</v>
      </c>
      <c r="E80" t="s">
        <v>70</v>
      </c>
      <c r="F80">
        <v>323</v>
      </c>
      <c r="G80" t="s">
        <v>62</v>
      </c>
      <c r="H80" t="s">
        <v>63</v>
      </c>
      <c r="I80">
        <v>190</v>
      </c>
    </row>
    <row r="81" spans="1:9" x14ac:dyDescent="0.35">
      <c r="A81" t="s">
        <v>61</v>
      </c>
      <c r="B81">
        <v>107843876</v>
      </c>
      <c r="C81" t="s">
        <v>543</v>
      </c>
      <c r="D81" t="s">
        <v>72</v>
      </c>
      <c r="E81" t="s">
        <v>70</v>
      </c>
      <c r="F81">
        <v>323</v>
      </c>
      <c r="G81" t="s">
        <v>62</v>
      </c>
      <c r="H81" t="s">
        <v>64</v>
      </c>
      <c r="I81">
        <v>1725</v>
      </c>
    </row>
    <row r="82" spans="1:9" x14ac:dyDescent="0.35">
      <c r="A82" t="s">
        <v>61</v>
      </c>
      <c r="B82">
        <v>107843876</v>
      </c>
      <c r="C82" t="s">
        <v>543</v>
      </c>
      <c r="D82" t="s">
        <v>72</v>
      </c>
      <c r="E82" t="s">
        <v>70</v>
      </c>
      <c r="F82">
        <v>323</v>
      </c>
      <c r="G82" t="s">
        <v>68</v>
      </c>
      <c r="H82" t="s">
        <v>67</v>
      </c>
      <c r="I82">
        <v>323</v>
      </c>
    </row>
    <row r="83" spans="1:9" x14ac:dyDescent="0.35">
      <c r="A83" t="s">
        <v>61</v>
      </c>
      <c r="B83">
        <v>107233197</v>
      </c>
      <c r="C83" t="s">
        <v>553</v>
      </c>
      <c r="D83" t="s">
        <v>72</v>
      </c>
      <c r="E83" t="s">
        <v>70</v>
      </c>
      <c r="F83">
        <v>182</v>
      </c>
      <c r="G83" t="s">
        <v>62</v>
      </c>
      <c r="H83" t="s">
        <v>67</v>
      </c>
      <c r="I83">
        <v>1843</v>
      </c>
    </row>
    <row r="84" spans="1:9" x14ac:dyDescent="0.35">
      <c r="A84" t="s">
        <v>61</v>
      </c>
      <c r="B84">
        <v>107233197</v>
      </c>
      <c r="C84" t="s">
        <v>553</v>
      </c>
      <c r="D84" t="s">
        <v>72</v>
      </c>
      <c r="E84" t="s">
        <v>70</v>
      </c>
      <c r="F84">
        <v>182</v>
      </c>
      <c r="G84" t="s">
        <v>62</v>
      </c>
      <c r="H84" t="s">
        <v>63</v>
      </c>
      <c r="I84">
        <v>768</v>
      </c>
    </row>
    <row r="85" spans="1:9" x14ac:dyDescent="0.35">
      <c r="A85" t="s">
        <v>61</v>
      </c>
      <c r="B85">
        <v>107233197</v>
      </c>
      <c r="C85" t="s">
        <v>553</v>
      </c>
      <c r="D85" t="s">
        <v>72</v>
      </c>
      <c r="E85" t="s">
        <v>70</v>
      </c>
      <c r="F85">
        <v>182</v>
      </c>
      <c r="G85" t="s">
        <v>62</v>
      </c>
      <c r="H85" t="s">
        <v>64</v>
      </c>
      <c r="I85">
        <v>1046</v>
      </c>
    </row>
    <row r="86" spans="1:9" x14ac:dyDescent="0.35">
      <c r="A86" t="s">
        <v>61</v>
      </c>
      <c r="B86">
        <v>107233197</v>
      </c>
      <c r="C86" t="s">
        <v>553</v>
      </c>
      <c r="D86" t="s">
        <v>72</v>
      </c>
      <c r="E86" t="s">
        <v>70</v>
      </c>
      <c r="F86">
        <v>182</v>
      </c>
      <c r="G86" t="s">
        <v>62</v>
      </c>
      <c r="H86" t="s">
        <v>65</v>
      </c>
      <c r="I86">
        <v>29</v>
      </c>
    </row>
    <row r="87" spans="1:9" x14ac:dyDescent="0.35">
      <c r="A87" t="s">
        <v>61</v>
      </c>
      <c r="B87">
        <v>107233197</v>
      </c>
      <c r="C87" t="s">
        <v>553</v>
      </c>
      <c r="D87" t="s">
        <v>72</v>
      </c>
      <c r="E87" t="s">
        <v>70</v>
      </c>
      <c r="F87">
        <v>182</v>
      </c>
      <c r="G87" t="s">
        <v>68</v>
      </c>
      <c r="H87" t="s">
        <v>67</v>
      </c>
      <c r="I87">
        <v>182</v>
      </c>
    </row>
    <row r="88" spans="1:9" x14ac:dyDescent="0.35">
      <c r="A88" t="s">
        <v>61</v>
      </c>
      <c r="B88">
        <v>100753604</v>
      </c>
      <c r="C88" t="s">
        <v>71</v>
      </c>
      <c r="D88" t="s">
        <v>72</v>
      </c>
      <c r="E88" t="s">
        <v>70</v>
      </c>
      <c r="F88">
        <v>365</v>
      </c>
      <c r="G88" t="s">
        <v>62</v>
      </c>
      <c r="H88" t="s">
        <v>67</v>
      </c>
      <c r="I88">
        <v>4235</v>
      </c>
    </row>
    <row r="89" spans="1:9" x14ac:dyDescent="0.35">
      <c r="A89" t="s">
        <v>61</v>
      </c>
      <c r="B89">
        <v>100753604</v>
      </c>
      <c r="C89" t="s">
        <v>71</v>
      </c>
      <c r="D89" t="s">
        <v>72</v>
      </c>
      <c r="E89" t="s">
        <v>70</v>
      </c>
      <c r="F89">
        <v>365</v>
      </c>
      <c r="G89" t="s">
        <v>62</v>
      </c>
      <c r="H89" t="s">
        <v>63</v>
      </c>
      <c r="I89">
        <v>1582</v>
      </c>
    </row>
    <row r="90" spans="1:9" x14ac:dyDescent="0.35">
      <c r="A90" t="s">
        <v>61</v>
      </c>
      <c r="B90">
        <v>100753604</v>
      </c>
      <c r="C90" t="s">
        <v>71</v>
      </c>
      <c r="D90" t="s">
        <v>72</v>
      </c>
      <c r="E90" t="s">
        <v>70</v>
      </c>
      <c r="F90">
        <v>365</v>
      </c>
      <c r="G90" t="s">
        <v>62</v>
      </c>
      <c r="H90" t="s">
        <v>64</v>
      </c>
      <c r="I90">
        <v>2647</v>
      </c>
    </row>
    <row r="91" spans="1:9" x14ac:dyDescent="0.35">
      <c r="A91" t="s">
        <v>61</v>
      </c>
      <c r="B91">
        <v>100753604</v>
      </c>
      <c r="C91" t="s">
        <v>71</v>
      </c>
      <c r="D91" t="s">
        <v>72</v>
      </c>
      <c r="E91" t="s">
        <v>70</v>
      </c>
      <c r="F91">
        <v>365</v>
      </c>
      <c r="G91" t="s">
        <v>62</v>
      </c>
      <c r="H91" t="s">
        <v>65</v>
      </c>
      <c r="I91">
        <v>6</v>
      </c>
    </row>
    <row r="92" spans="1:9" x14ac:dyDescent="0.35">
      <c r="A92" t="s">
        <v>61</v>
      </c>
      <c r="B92">
        <v>100753604</v>
      </c>
      <c r="C92" t="s">
        <v>71</v>
      </c>
      <c r="D92" t="s">
        <v>72</v>
      </c>
      <c r="E92" t="s">
        <v>70</v>
      </c>
      <c r="F92">
        <v>365</v>
      </c>
      <c r="G92" t="s">
        <v>68</v>
      </c>
      <c r="H92" t="s">
        <v>67</v>
      </c>
      <c r="I92">
        <v>365</v>
      </c>
    </row>
    <row r="93" spans="1:9" x14ac:dyDescent="0.35">
      <c r="A93" t="s">
        <v>61</v>
      </c>
      <c r="B93">
        <v>106513473</v>
      </c>
      <c r="C93" t="s">
        <v>80</v>
      </c>
      <c r="D93" t="s">
        <v>72</v>
      </c>
      <c r="E93" t="s">
        <v>58</v>
      </c>
      <c r="F93">
        <v>305</v>
      </c>
      <c r="G93" t="s">
        <v>62</v>
      </c>
      <c r="H93" t="s">
        <v>67</v>
      </c>
      <c r="I93">
        <v>2401</v>
      </c>
    </row>
    <row r="94" spans="1:9" x14ac:dyDescent="0.35">
      <c r="A94" t="s">
        <v>61</v>
      </c>
      <c r="B94">
        <v>106513473</v>
      </c>
      <c r="C94" t="s">
        <v>80</v>
      </c>
      <c r="D94" t="s">
        <v>72</v>
      </c>
      <c r="E94" t="s">
        <v>58</v>
      </c>
      <c r="F94">
        <v>305</v>
      </c>
      <c r="G94" t="s">
        <v>62</v>
      </c>
      <c r="H94" t="s">
        <v>63</v>
      </c>
      <c r="I94">
        <v>429</v>
      </c>
    </row>
    <row r="95" spans="1:9" x14ac:dyDescent="0.35">
      <c r="A95" t="s">
        <v>61</v>
      </c>
      <c r="B95">
        <v>106513473</v>
      </c>
      <c r="C95" t="s">
        <v>80</v>
      </c>
      <c r="D95" t="s">
        <v>72</v>
      </c>
      <c r="E95" t="s">
        <v>58</v>
      </c>
      <c r="F95">
        <v>305</v>
      </c>
      <c r="G95" t="s">
        <v>62</v>
      </c>
      <c r="H95" t="s">
        <v>64</v>
      </c>
      <c r="I95">
        <v>1966</v>
      </c>
    </row>
    <row r="96" spans="1:9" x14ac:dyDescent="0.35">
      <c r="A96" t="s">
        <v>61</v>
      </c>
      <c r="B96">
        <v>106513473</v>
      </c>
      <c r="C96" t="s">
        <v>80</v>
      </c>
      <c r="D96" t="s">
        <v>72</v>
      </c>
      <c r="E96" t="s">
        <v>58</v>
      </c>
      <c r="F96">
        <v>305</v>
      </c>
      <c r="G96" t="s">
        <v>62</v>
      </c>
      <c r="H96" t="s">
        <v>65</v>
      </c>
      <c r="I96">
        <v>6</v>
      </c>
    </row>
    <row r="97" spans="1:9" x14ac:dyDescent="0.35">
      <c r="A97" t="s">
        <v>61</v>
      </c>
      <c r="B97">
        <v>106513473</v>
      </c>
      <c r="C97" t="s">
        <v>80</v>
      </c>
      <c r="D97" t="s">
        <v>72</v>
      </c>
      <c r="E97" t="s">
        <v>58</v>
      </c>
      <c r="F97">
        <v>305</v>
      </c>
      <c r="G97" t="s">
        <v>68</v>
      </c>
      <c r="H97" t="s">
        <v>67</v>
      </c>
      <c r="I97">
        <v>305</v>
      </c>
    </row>
    <row r="98" spans="1:9" x14ac:dyDescent="0.35">
      <c r="A98" t="s">
        <v>61</v>
      </c>
      <c r="B98">
        <v>107826201</v>
      </c>
      <c r="C98" t="s">
        <v>539</v>
      </c>
      <c r="D98" t="s">
        <v>60</v>
      </c>
      <c r="E98" t="s">
        <v>58</v>
      </c>
      <c r="F98">
        <v>357</v>
      </c>
      <c r="G98" t="s">
        <v>62</v>
      </c>
      <c r="H98" t="s">
        <v>67</v>
      </c>
      <c r="I98">
        <v>2186</v>
      </c>
    </row>
    <row r="99" spans="1:9" x14ac:dyDescent="0.35">
      <c r="A99" t="s">
        <v>61</v>
      </c>
      <c r="B99">
        <v>107826201</v>
      </c>
      <c r="C99" t="s">
        <v>539</v>
      </c>
      <c r="D99" t="s">
        <v>60</v>
      </c>
      <c r="E99" t="s">
        <v>58</v>
      </c>
      <c r="F99">
        <v>357</v>
      </c>
      <c r="G99" t="s">
        <v>62</v>
      </c>
      <c r="H99" t="s">
        <v>63</v>
      </c>
      <c r="I99">
        <v>588</v>
      </c>
    </row>
    <row r="100" spans="1:9" x14ac:dyDescent="0.35">
      <c r="A100" t="s">
        <v>61</v>
      </c>
      <c r="B100">
        <v>107826201</v>
      </c>
      <c r="C100" t="s">
        <v>539</v>
      </c>
      <c r="D100" t="s">
        <v>60</v>
      </c>
      <c r="E100" t="s">
        <v>58</v>
      </c>
      <c r="F100">
        <v>357</v>
      </c>
      <c r="G100" t="s">
        <v>62</v>
      </c>
      <c r="H100" t="s">
        <v>64</v>
      </c>
      <c r="I100">
        <v>1598</v>
      </c>
    </row>
    <row r="101" spans="1:9" x14ac:dyDescent="0.35">
      <c r="A101" t="s">
        <v>61</v>
      </c>
      <c r="B101">
        <v>107826201</v>
      </c>
      <c r="C101" t="s">
        <v>539</v>
      </c>
      <c r="D101" t="s">
        <v>60</v>
      </c>
      <c r="E101" t="s">
        <v>58</v>
      </c>
      <c r="F101">
        <v>357</v>
      </c>
      <c r="G101" t="s">
        <v>68</v>
      </c>
      <c r="H101" t="s">
        <v>67</v>
      </c>
      <c r="I101">
        <v>357</v>
      </c>
    </row>
    <row r="102" spans="1:9" x14ac:dyDescent="0.35">
      <c r="A102" t="s">
        <v>61</v>
      </c>
      <c r="B102">
        <v>107674648</v>
      </c>
      <c r="C102" t="s">
        <v>92</v>
      </c>
      <c r="D102" t="s">
        <v>72</v>
      </c>
      <c r="E102" t="s">
        <v>70</v>
      </c>
      <c r="F102">
        <v>361</v>
      </c>
      <c r="G102" t="s">
        <v>62</v>
      </c>
      <c r="H102" t="s">
        <v>67</v>
      </c>
      <c r="I102">
        <v>2737</v>
      </c>
    </row>
    <row r="103" spans="1:9" x14ac:dyDescent="0.35">
      <c r="A103" t="s">
        <v>61</v>
      </c>
      <c r="B103">
        <v>107674648</v>
      </c>
      <c r="C103" t="s">
        <v>92</v>
      </c>
      <c r="D103" t="s">
        <v>72</v>
      </c>
      <c r="E103" t="s">
        <v>70</v>
      </c>
      <c r="F103">
        <v>361</v>
      </c>
      <c r="G103" t="s">
        <v>62</v>
      </c>
      <c r="H103" t="s">
        <v>63</v>
      </c>
      <c r="I103">
        <v>592</v>
      </c>
    </row>
    <row r="104" spans="1:9" x14ac:dyDescent="0.35">
      <c r="A104" t="s">
        <v>61</v>
      </c>
      <c r="B104">
        <v>107674648</v>
      </c>
      <c r="C104" t="s">
        <v>92</v>
      </c>
      <c r="D104" t="s">
        <v>72</v>
      </c>
      <c r="E104" t="s">
        <v>70</v>
      </c>
      <c r="F104">
        <v>361</v>
      </c>
      <c r="G104" t="s">
        <v>62</v>
      </c>
      <c r="H104" t="s">
        <v>64</v>
      </c>
      <c r="I104">
        <v>2145</v>
      </c>
    </row>
    <row r="105" spans="1:9" x14ac:dyDescent="0.35">
      <c r="A105" t="s">
        <v>61</v>
      </c>
      <c r="B105">
        <v>107674648</v>
      </c>
      <c r="C105" t="s">
        <v>92</v>
      </c>
      <c r="D105" t="s">
        <v>72</v>
      </c>
      <c r="E105" t="s">
        <v>70</v>
      </c>
      <c r="F105">
        <v>361</v>
      </c>
      <c r="G105" t="s">
        <v>68</v>
      </c>
      <c r="H105" t="s">
        <v>67</v>
      </c>
      <c r="I105">
        <v>361</v>
      </c>
    </row>
    <row r="106" spans="1:9" x14ac:dyDescent="0.35">
      <c r="A106" t="s">
        <v>61</v>
      </c>
      <c r="B106">
        <v>107232968</v>
      </c>
      <c r="C106" t="s">
        <v>552</v>
      </c>
      <c r="D106" t="s">
        <v>72</v>
      </c>
      <c r="E106" t="s">
        <v>70</v>
      </c>
      <c r="F106">
        <v>602</v>
      </c>
      <c r="G106" t="s">
        <v>62</v>
      </c>
      <c r="H106" t="s">
        <v>67</v>
      </c>
      <c r="I106">
        <v>4604</v>
      </c>
    </row>
    <row r="107" spans="1:9" x14ac:dyDescent="0.35">
      <c r="A107" t="s">
        <v>61</v>
      </c>
      <c r="B107">
        <v>107232968</v>
      </c>
      <c r="C107" t="s">
        <v>552</v>
      </c>
      <c r="D107" t="s">
        <v>72</v>
      </c>
      <c r="E107" t="s">
        <v>70</v>
      </c>
      <c r="F107">
        <v>602</v>
      </c>
      <c r="G107" t="s">
        <v>62</v>
      </c>
      <c r="H107" t="s">
        <v>63</v>
      </c>
      <c r="I107">
        <v>194</v>
      </c>
    </row>
    <row r="108" spans="1:9" x14ac:dyDescent="0.35">
      <c r="A108" t="s">
        <v>61</v>
      </c>
      <c r="B108">
        <v>107232968</v>
      </c>
      <c r="C108" t="s">
        <v>552</v>
      </c>
      <c r="D108" t="s">
        <v>72</v>
      </c>
      <c r="E108" t="s">
        <v>70</v>
      </c>
      <c r="F108">
        <v>602</v>
      </c>
      <c r="G108" t="s">
        <v>62</v>
      </c>
      <c r="H108" t="s">
        <v>64</v>
      </c>
      <c r="I108">
        <v>4410</v>
      </c>
    </row>
    <row r="109" spans="1:9" x14ac:dyDescent="0.35">
      <c r="A109" t="s">
        <v>61</v>
      </c>
      <c r="B109">
        <v>107232968</v>
      </c>
      <c r="C109" t="s">
        <v>552</v>
      </c>
      <c r="D109" t="s">
        <v>72</v>
      </c>
      <c r="E109" t="s">
        <v>70</v>
      </c>
      <c r="F109">
        <v>602</v>
      </c>
      <c r="G109" t="s">
        <v>68</v>
      </c>
      <c r="H109" t="s">
        <v>67</v>
      </c>
      <c r="I109">
        <v>602</v>
      </c>
    </row>
    <row r="110" spans="1:9" x14ac:dyDescent="0.35">
      <c r="A110" t="s">
        <v>61</v>
      </c>
      <c r="B110">
        <v>107775521</v>
      </c>
      <c r="C110" t="s">
        <v>99</v>
      </c>
      <c r="D110" t="s">
        <v>72</v>
      </c>
      <c r="E110" t="s">
        <v>70</v>
      </c>
      <c r="F110">
        <v>536</v>
      </c>
      <c r="G110" t="s">
        <v>62</v>
      </c>
      <c r="H110" t="s">
        <v>67</v>
      </c>
      <c r="I110">
        <v>2013</v>
      </c>
    </row>
    <row r="111" spans="1:9" x14ac:dyDescent="0.35">
      <c r="A111" t="s">
        <v>61</v>
      </c>
      <c r="B111">
        <v>107775521</v>
      </c>
      <c r="C111" t="s">
        <v>99</v>
      </c>
      <c r="D111" t="s">
        <v>72</v>
      </c>
      <c r="E111" t="s">
        <v>70</v>
      </c>
      <c r="F111">
        <v>536</v>
      </c>
      <c r="G111" t="s">
        <v>62</v>
      </c>
      <c r="H111" t="s">
        <v>63</v>
      </c>
      <c r="I111">
        <v>92</v>
      </c>
    </row>
    <row r="112" spans="1:9" x14ac:dyDescent="0.35">
      <c r="A112" t="s">
        <v>61</v>
      </c>
      <c r="B112">
        <v>107775521</v>
      </c>
      <c r="C112" t="s">
        <v>99</v>
      </c>
      <c r="D112" t="s">
        <v>72</v>
      </c>
      <c r="E112" t="s">
        <v>70</v>
      </c>
      <c r="F112">
        <v>536</v>
      </c>
      <c r="G112" t="s">
        <v>62</v>
      </c>
      <c r="H112" t="s">
        <v>64</v>
      </c>
      <c r="I112">
        <v>1921</v>
      </c>
    </row>
    <row r="113" spans="1:9" x14ac:dyDescent="0.35">
      <c r="A113" t="s">
        <v>61</v>
      </c>
      <c r="B113">
        <v>107775521</v>
      </c>
      <c r="C113" t="s">
        <v>99</v>
      </c>
      <c r="D113" t="s">
        <v>72</v>
      </c>
      <c r="E113" t="s">
        <v>70</v>
      </c>
      <c r="F113">
        <v>536</v>
      </c>
      <c r="G113" t="s">
        <v>68</v>
      </c>
      <c r="H113" t="s">
        <v>67</v>
      </c>
      <c r="I113">
        <v>536</v>
      </c>
    </row>
    <row r="114" spans="1:9" x14ac:dyDescent="0.35">
      <c r="A114" t="s">
        <v>61</v>
      </c>
      <c r="B114">
        <v>107775986</v>
      </c>
      <c r="C114" t="s">
        <v>100</v>
      </c>
      <c r="D114" t="s">
        <v>72</v>
      </c>
      <c r="E114" t="s">
        <v>70</v>
      </c>
      <c r="F114">
        <v>334</v>
      </c>
      <c r="G114" t="s">
        <v>62</v>
      </c>
      <c r="H114" t="s">
        <v>67</v>
      </c>
      <c r="I114">
        <v>3227</v>
      </c>
    </row>
    <row r="115" spans="1:9" x14ac:dyDescent="0.35">
      <c r="A115" t="s">
        <v>61</v>
      </c>
      <c r="B115">
        <v>107775986</v>
      </c>
      <c r="C115" t="s">
        <v>100</v>
      </c>
      <c r="D115" t="s">
        <v>72</v>
      </c>
      <c r="E115" t="s">
        <v>70</v>
      </c>
      <c r="F115">
        <v>334</v>
      </c>
      <c r="G115" t="s">
        <v>62</v>
      </c>
      <c r="H115" t="s">
        <v>63</v>
      </c>
      <c r="I115">
        <v>638</v>
      </c>
    </row>
    <row r="116" spans="1:9" x14ac:dyDescent="0.35">
      <c r="A116" t="s">
        <v>61</v>
      </c>
      <c r="B116">
        <v>107775986</v>
      </c>
      <c r="C116" t="s">
        <v>100</v>
      </c>
      <c r="D116" t="s">
        <v>72</v>
      </c>
      <c r="E116" t="s">
        <v>70</v>
      </c>
      <c r="F116">
        <v>334</v>
      </c>
      <c r="G116" t="s">
        <v>62</v>
      </c>
      <c r="H116" t="s">
        <v>64</v>
      </c>
      <c r="I116">
        <v>2589</v>
      </c>
    </row>
    <row r="117" spans="1:9" x14ac:dyDescent="0.35">
      <c r="A117" t="s">
        <v>61</v>
      </c>
      <c r="B117">
        <v>107775986</v>
      </c>
      <c r="C117" t="s">
        <v>100</v>
      </c>
      <c r="D117" t="s">
        <v>72</v>
      </c>
      <c r="E117" t="s">
        <v>70</v>
      </c>
      <c r="F117">
        <v>334</v>
      </c>
      <c r="G117" t="s">
        <v>68</v>
      </c>
      <c r="H117" t="s">
        <v>67</v>
      </c>
      <c r="I117">
        <v>334</v>
      </c>
    </row>
    <row r="118" spans="1:9" x14ac:dyDescent="0.35">
      <c r="A118" t="s">
        <v>61</v>
      </c>
      <c r="B118">
        <v>107775413</v>
      </c>
      <c r="C118" t="s">
        <v>98</v>
      </c>
      <c r="D118" t="s">
        <v>72</v>
      </c>
      <c r="E118" t="s">
        <v>58</v>
      </c>
      <c r="F118">
        <v>288</v>
      </c>
      <c r="G118" t="s">
        <v>62</v>
      </c>
      <c r="H118" t="s">
        <v>67</v>
      </c>
      <c r="I118">
        <v>2910</v>
      </c>
    </row>
    <row r="119" spans="1:9" x14ac:dyDescent="0.35">
      <c r="A119" t="s">
        <v>61</v>
      </c>
      <c r="B119">
        <v>107775413</v>
      </c>
      <c r="C119" t="s">
        <v>98</v>
      </c>
      <c r="D119" t="s">
        <v>72</v>
      </c>
      <c r="E119" t="s">
        <v>58</v>
      </c>
      <c r="F119">
        <v>288</v>
      </c>
      <c r="G119" t="s">
        <v>62</v>
      </c>
      <c r="H119" t="s">
        <v>63</v>
      </c>
      <c r="I119">
        <v>999</v>
      </c>
    </row>
    <row r="120" spans="1:9" x14ac:dyDescent="0.35">
      <c r="A120" t="s">
        <v>61</v>
      </c>
      <c r="B120">
        <v>107775413</v>
      </c>
      <c r="C120" t="s">
        <v>98</v>
      </c>
      <c r="D120" t="s">
        <v>72</v>
      </c>
      <c r="E120" t="s">
        <v>58</v>
      </c>
      <c r="F120">
        <v>288</v>
      </c>
      <c r="G120" t="s">
        <v>62</v>
      </c>
      <c r="H120" t="s">
        <v>64</v>
      </c>
      <c r="I120">
        <v>1911</v>
      </c>
    </row>
    <row r="121" spans="1:9" x14ac:dyDescent="0.35">
      <c r="A121" t="s">
        <v>61</v>
      </c>
      <c r="B121">
        <v>107775413</v>
      </c>
      <c r="C121" t="s">
        <v>98</v>
      </c>
      <c r="D121" t="s">
        <v>72</v>
      </c>
      <c r="E121" t="s">
        <v>58</v>
      </c>
      <c r="F121">
        <v>288</v>
      </c>
      <c r="G121" t="s">
        <v>68</v>
      </c>
      <c r="H121" t="s">
        <v>67</v>
      </c>
      <c r="I121">
        <v>288</v>
      </c>
    </row>
    <row r="122" spans="1:9" x14ac:dyDescent="0.35">
      <c r="A122" t="s">
        <v>61</v>
      </c>
      <c r="B122">
        <v>107233200</v>
      </c>
      <c r="C122" t="s">
        <v>533</v>
      </c>
      <c r="D122" t="s">
        <v>72</v>
      </c>
      <c r="E122" t="s">
        <v>70</v>
      </c>
      <c r="F122">
        <v>438</v>
      </c>
      <c r="G122" t="s">
        <v>62</v>
      </c>
      <c r="H122" t="s">
        <v>67</v>
      </c>
      <c r="I122">
        <v>4186</v>
      </c>
    </row>
    <row r="123" spans="1:9" x14ac:dyDescent="0.35">
      <c r="A123" t="s">
        <v>61</v>
      </c>
      <c r="B123">
        <v>107233200</v>
      </c>
      <c r="C123" t="s">
        <v>533</v>
      </c>
      <c r="D123" t="s">
        <v>72</v>
      </c>
      <c r="E123" t="s">
        <v>70</v>
      </c>
      <c r="F123">
        <v>438</v>
      </c>
      <c r="G123" t="s">
        <v>62</v>
      </c>
      <c r="H123" t="s">
        <v>63</v>
      </c>
      <c r="I123">
        <v>679</v>
      </c>
    </row>
    <row r="124" spans="1:9" x14ac:dyDescent="0.35">
      <c r="A124" t="s">
        <v>61</v>
      </c>
      <c r="B124">
        <v>107233200</v>
      </c>
      <c r="C124" t="s">
        <v>533</v>
      </c>
      <c r="D124" t="s">
        <v>72</v>
      </c>
      <c r="E124" t="s">
        <v>70</v>
      </c>
      <c r="F124">
        <v>438</v>
      </c>
      <c r="G124" t="s">
        <v>62</v>
      </c>
      <c r="H124" t="s">
        <v>64</v>
      </c>
      <c r="I124">
        <v>3507</v>
      </c>
    </row>
    <row r="125" spans="1:9" x14ac:dyDescent="0.35">
      <c r="A125" t="s">
        <v>61</v>
      </c>
      <c r="B125">
        <v>107233200</v>
      </c>
      <c r="C125" t="s">
        <v>533</v>
      </c>
      <c r="D125" t="s">
        <v>72</v>
      </c>
      <c r="E125" t="s">
        <v>70</v>
      </c>
      <c r="F125">
        <v>438</v>
      </c>
      <c r="G125" t="s">
        <v>68</v>
      </c>
      <c r="H125" t="s">
        <v>67</v>
      </c>
      <c r="I125">
        <v>438</v>
      </c>
    </row>
    <row r="126" spans="1:9" x14ac:dyDescent="0.35">
      <c r="A126" t="s">
        <v>61</v>
      </c>
      <c r="B126">
        <v>104378003</v>
      </c>
      <c r="C126" t="s">
        <v>526</v>
      </c>
      <c r="D126" t="s">
        <v>72</v>
      </c>
      <c r="E126" t="s">
        <v>70</v>
      </c>
      <c r="F126">
        <v>401</v>
      </c>
      <c r="G126" t="s">
        <v>62</v>
      </c>
      <c r="H126" t="s">
        <v>67</v>
      </c>
      <c r="I126">
        <v>2039</v>
      </c>
    </row>
    <row r="127" spans="1:9" x14ac:dyDescent="0.35">
      <c r="A127" t="s">
        <v>61</v>
      </c>
      <c r="B127">
        <v>104378003</v>
      </c>
      <c r="C127" t="s">
        <v>526</v>
      </c>
      <c r="D127" t="s">
        <v>72</v>
      </c>
      <c r="E127" t="s">
        <v>70</v>
      </c>
      <c r="F127">
        <v>401</v>
      </c>
      <c r="G127" t="s">
        <v>62</v>
      </c>
      <c r="H127" t="s">
        <v>63</v>
      </c>
      <c r="I127">
        <v>176</v>
      </c>
    </row>
    <row r="128" spans="1:9" x14ac:dyDescent="0.35">
      <c r="A128" t="s">
        <v>61</v>
      </c>
      <c r="B128">
        <v>104378003</v>
      </c>
      <c r="C128" t="s">
        <v>526</v>
      </c>
      <c r="D128" t="s">
        <v>72</v>
      </c>
      <c r="E128" t="s">
        <v>70</v>
      </c>
      <c r="F128">
        <v>401</v>
      </c>
      <c r="G128" t="s">
        <v>62</v>
      </c>
      <c r="H128" t="s">
        <v>64</v>
      </c>
      <c r="I128">
        <v>1863</v>
      </c>
    </row>
    <row r="129" spans="1:9" x14ac:dyDescent="0.35">
      <c r="A129" t="s">
        <v>61</v>
      </c>
      <c r="B129">
        <v>104378003</v>
      </c>
      <c r="C129" t="s">
        <v>526</v>
      </c>
      <c r="D129" t="s">
        <v>72</v>
      </c>
      <c r="E129" t="s">
        <v>70</v>
      </c>
      <c r="F129">
        <v>401</v>
      </c>
      <c r="G129" t="s">
        <v>68</v>
      </c>
      <c r="H129" t="s">
        <v>67</v>
      </c>
      <c r="I129">
        <v>400</v>
      </c>
    </row>
    <row r="130" spans="1:9" x14ac:dyDescent="0.35">
      <c r="A130" t="s">
        <v>61</v>
      </c>
      <c r="B130">
        <v>106556401</v>
      </c>
      <c r="C130" t="s">
        <v>550</v>
      </c>
      <c r="D130" t="s">
        <v>72</v>
      </c>
      <c r="E130" t="s">
        <v>58</v>
      </c>
      <c r="F130">
        <v>663</v>
      </c>
      <c r="G130" t="s">
        <v>62</v>
      </c>
      <c r="H130" t="s">
        <v>67</v>
      </c>
      <c r="I130">
        <v>5401</v>
      </c>
    </row>
    <row r="131" spans="1:9" x14ac:dyDescent="0.35">
      <c r="A131" t="s">
        <v>61</v>
      </c>
      <c r="B131">
        <v>106556401</v>
      </c>
      <c r="C131" t="s">
        <v>550</v>
      </c>
      <c r="D131" t="s">
        <v>72</v>
      </c>
      <c r="E131" t="s">
        <v>58</v>
      </c>
      <c r="F131">
        <v>663</v>
      </c>
      <c r="G131" t="s">
        <v>68</v>
      </c>
      <c r="H131" t="s">
        <v>67</v>
      </c>
      <c r="I131">
        <v>663</v>
      </c>
    </row>
    <row r="132" spans="1:9" x14ac:dyDescent="0.35">
      <c r="A132" t="s">
        <v>61</v>
      </c>
      <c r="B132">
        <v>107826193</v>
      </c>
      <c r="C132" t="s">
        <v>538</v>
      </c>
      <c r="D132" t="s">
        <v>60</v>
      </c>
      <c r="E132" t="s">
        <v>58</v>
      </c>
      <c r="F132">
        <v>256</v>
      </c>
      <c r="G132" t="s">
        <v>62</v>
      </c>
      <c r="H132" t="s">
        <v>67</v>
      </c>
      <c r="I132">
        <v>3045</v>
      </c>
    </row>
    <row r="133" spans="1:9" x14ac:dyDescent="0.35">
      <c r="A133" t="s">
        <v>61</v>
      </c>
      <c r="B133">
        <v>107826193</v>
      </c>
      <c r="C133" t="s">
        <v>538</v>
      </c>
      <c r="D133" t="s">
        <v>60</v>
      </c>
      <c r="E133" t="s">
        <v>58</v>
      </c>
      <c r="F133">
        <v>256</v>
      </c>
      <c r="G133" t="s">
        <v>62</v>
      </c>
      <c r="H133" t="s">
        <v>63</v>
      </c>
      <c r="I133">
        <v>1380</v>
      </c>
    </row>
    <row r="134" spans="1:9" x14ac:dyDescent="0.35">
      <c r="A134" t="s">
        <v>61</v>
      </c>
      <c r="B134">
        <v>107826193</v>
      </c>
      <c r="C134" t="s">
        <v>538</v>
      </c>
      <c r="D134" t="s">
        <v>60</v>
      </c>
      <c r="E134" t="s">
        <v>58</v>
      </c>
      <c r="F134">
        <v>256</v>
      </c>
      <c r="G134" t="s">
        <v>62</v>
      </c>
      <c r="H134" t="s">
        <v>64</v>
      </c>
      <c r="I134">
        <v>1665</v>
      </c>
    </row>
    <row r="135" spans="1:9" x14ac:dyDescent="0.35">
      <c r="A135" t="s">
        <v>61</v>
      </c>
      <c r="B135">
        <v>107826193</v>
      </c>
      <c r="C135" t="s">
        <v>538</v>
      </c>
      <c r="D135" t="s">
        <v>60</v>
      </c>
      <c r="E135" t="s">
        <v>58</v>
      </c>
      <c r="F135">
        <v>256</v>
      </c>
      <c r="G135" t="s">
        <v>68</v>
      </c>
      <c r="H135" t="s">
        <v>67</v>
      </c>
      <c r="I135">
        <v>256</v>
      </c>
    </row>
    <row r="136" spans="1:9" x14ac:dyDescent="0.35">
      <c r="A136" t="s">
        <v>61</v>
      </c>
      <c r="B136">
        <v>107264616</v>
      </c>
      <c r="C136" t="s">
        <v>534</v>
      </c>
      <c r="D136" t="s">
        <v>72</v>
      </c>
      <c r="E136" t="s">
        <v>70</v>
      </c>
      <c r="F136">
        <v>366</v>
      </c>
      <c r="G136" t="s">
        <v>62</v>
      </c>
      <c r="H136" t="s">
        <v>67</v>
      </c>
      <c r="I136">
        <v>2957</v>
      </c>
    </row>
    <row r="137" spans="1:9" x14ac:dyDescent="0.35">
      <c r="A137" t="s">
        <v>61</v>
      </c>
      <c r="B137">
        <v>107264616</v>
      </c>
      <c r="C137" t="s">
        <v>534</v>
      </c>
      <c r="D137" t="s">
        <v>72</v>
      </c>
      <c r="E137" t="s">
        <v>70</v>
      </c>
      <c r="F137">
        <v>366</v>
      </c>
      <c r="G137" t="s">
        <v>62</v>
      </c>
      <c r="H137" t="s">
        <v>63</v>
      </c>
      <c r="I137">
        <v>852</v>
      </c>
    </row>
    <row r="138" spans="1:9" x14ac:dyDescent="0.35">
      <c r="A138" t="s">
        <v>61</v>
      </c>
      <c r="B138">
        <v>107264616</v>
      </c>
      <c r="C138" t="s">
        <v>534</v>
      </c>
      <c r="D138" t="s">
        <v>72</v>
      </c>
      <c r="E138" t="s">
        <v>70</v>
      </c>
      <c r="F138">
        <v>366</v>
      </c>
      <c r="G138" t="s">
        <v>62</v>
      </c>
      <c r="H138" t="s">
        <v>64</v>
      </c>
      <c r="I138">
        <v>2105</v>
      </c>
    </row>
    <row r="139" spans="1:9" x14ac:dyDescent="0.35">
      <c r="A139" t="s">
        <v>61</v>
      </c>
      <c r="B139">
        <v>107264616</v>
      </c>
      <c r="C139" t="s">
        <v>534</v>
      </c>
      <c r="D139" t="s">
        <v>72</v>
      </c>
      <c r="E139" t="s">
        <v>70</v>
      </c>
      <c r="F139">
        <v>366</v>
      </c>
      <c r="G139" t="s">
        <v>68</v>
      </c>
      <c r="H139" t="s">
        <v>67</v>
      </c>
      <c r="I139">
        <v>366</v>
      </c>
    </row>
    <row r="140" spans="1:9" x14ac:dyDescent="0.35">
      <c r="A140" t="s">
        <v>61</v>
      </c>
      <c r="B140">
        <v>100414680</v>
      </c>
      <c r="C140" t="s">
        <v>576</v>
      </c>
      <c r="D140" t="s">
        <v>60</v>
      </c>
      <c r="E140" t="s">
        <v>70</v>
      </c>
      <c r="F140">
        <v>323</v>
      </c>
      <c r="G140" t="s">
        <v>62</v>
      </c>
      <c r="H140" t="s">
        <v>67</v>
      </c>
      <c r="I140">
        <v>2405</v>
      </c>
    </row>
    <row r="141" spans="1:9" x14ac:dyDescent="0.35">
      <c r="A141" t="s">
        <v>61</v>
      </c>
      <c r="B141">
        <v>100414680</v>
      </c>
      <c r="C141" t="s">
        <v>576</v>
      </c>
      <c r="D141" t="s">
        <v>60</v>
      </c>
      <c r="E141" t="s">
        <v>70</v>
      </c>
      <c r="F141">
        <v>323</v>
      </c>
      <c r="G141" t="s">
        <v>62</v>
      </c>
      <c r="H141" t="s">
        <v>63</v>
      </c>
      <c r="I141">
        <v>453</v>
      </c>
    </row>
    <row r="142" spans="1:9" x14ac:dyDescent="0.35">
      <c r="A142" t="s">
        <v>61</v>
      </c>
      <c r="B142">
        <v>100414680</v>
      </c>
      <c r="C142" t="s">
        <v>576</v>
      </c>
      <c r="D142" t="s">
        <v>60</v>
      </c>
      <c r="E142" t="s">
        <v>70</v>
      </c>
      <c r="F142">
        <v>323</v>
      </c>
      <c r="G142" t="s">
        <v>62</v>
      </c>
      <c r="H142" t="s">
        <v>64</v>
      </c>
      <c r="I142">
        <v>1939</v>
      </c>
    </row>
    <row r="143" spans="1:9" x14ac:dyDescent="0.35">
      <c r="A143" t="s">
        <v>61</v>
      </c>
      <c r="B143">
        <v>100414680</v>
      </c>
      <c r="C143" t="s">
        <v>576</v>
      </c>
      <c r="D143" t="s">
        <v>60</v>
      </c>
      <c r="E143" t="s">
        <v>70</v>
      </c>
      <c r="F143">
        <v>323</v>
      </c>
      <c r="G143" t="s">
        <v>62</v>
      </c>
      <c r="H143" t="s">
        <v>65</v>
      </c>
      <c r="I143">
        <v>13</v>
      </c>
    </row>
    <row r="144" spans="1:9" x14ac:dyDescent="0.35">
      <c r="A144" t="s">
        <v>61</v>
      </c>
      <c r="B144">
        <v>100414680</v>
      </c>
      <c r="C144" t="s">
        <v>576</v>
      </c>
      <c r="D144" t="s">
        <v>60</v>
      </c>
      <c r="E144" t="s">
        <v>70</v>
      </c>
      <c r="F144">
        <v>323</v>
      </c>
      <c r="G144" t="s">
        <v>68</v>
      </c>
      <c r="H144" t="s">
        <v>67</v>
      </c>
      <c r="I144">
        <v>323</v>
      </c>
    </row>
    <row r="145" spans="1:9" x14ac:dyDescent="0.35">
      <c r="A145" t="s">
        <v>61</v>
      </c>
      <c r="B145">
        <v>107232971</v>
      </c>
      <c r="C145" t="s">
        <v>531</v>
      </c>
      <c r="D145" t="s">
        <v>72</v>
      </c>
      <c r="E145" t="s">
        <v>70</v>
      </c>
      <c r="F145">
        <v>457</v>
      </c>
      <c r="G145" t="s">
        <v>62</v>
      </c>
      <c r="H145" t="s">
        <v>67</v>
      </c>
      <c r="I145">
        <v>2905</v>
      </c>
    </row>
    <row r="146" spans="1:9" x14ac:dyDescent="0.35">
      <c r="A146" t="s">
        <v>61</v>
      </c>
      <c r="B146">
        <v>107232971</v>
      </c>
      <c r="C146" t="s">
        <v>531</v>
      </c>
      <c r="D146" t="s">
        <v>72</v>
      </c>
      <c r="E146" t="s">
        <v>70</v>
      </c>
      <c r="F146">
        <v>457</v>
      </c>
      <c r="G146" t="s">
        <v>62</v>
      </c>
      <c r="H146" t="s">
        <v>63</v>
      </c>
      <c r="I146">
        <v>389</v>
      </c>
    </row>
    <row r="147" spans="1:9" x14ac:dyDescent="0.35">
      <c r="A147" t="s">
        <v>61</v>
      </c>
      <c r="B147">
        <v>107232971</v>
      </c>
      <c r="C147" t="s">
        <v>531</v>
      </c>
      <c r="D147" t="s">
        <v>72</v>
      </c>
      <c r="E147" t="s">
        <v>70</v>
      </c>
      <c r="F147">
        <v>457</v>
      </c>
      <c r="G147" t="s">
        <v>62</v>
      </c>
      <c r="H147" t="s">
        <v>64</v>
      </c>
      <c r="I147">
        <v>2516</v>
      </c>
    </row>
    <row r="148" spans="1:9" x14ac:dyDescent="0.35">
      <c r="A148" t="s">
        <v>61</v>
      </c>
      <c r="B148">
        <v>107232971</v>
      </c>
      <c r="C148" t="s">
        <v>531</v>
      </c>
      <c r="D148" t="s">
        <v>72</v>
      </c>
      <c r="E148" t="s">
        <v>70</v>
      </c>
      <c r="F148">
        <v>457</v>
      </c>
      <c r="G148" t="s">
        <v>68</v>
      </c>
      <c r="H148" t="s">
        <v>67</v>
      </c>
      <c r="I148">
        <v>457</v>
      </c>
    </row>
    <row r="149" spans="1:9" x14ac:dyDescent="0.35">
      <c r="A149" t="s">
        <v>61</v>
      </c>
      <c r="B149">
        <v>107221179</v>
      </c>
      <c r="C149" t="s">
        <v>83</v>
      </c>
      <c r="D149" t="s">
        <v>72</v>
      </c>
      <c r="E149" t="s">
        <v>58</v>
      </c>
      <c r="F149">
        <v>289</v>
      </c>
      <c r="G149" t="s">
        <v>62</v>
      </c>
      <c r="H149" t="s">
        <v>67</v>
      </c>
      <c r="I149">
        <v>2006</v>
      </c>
    </row>
    <row r="150" spans="1:9" x14ac:dyDescent="0.35">
      <c r="A150" t="s">
        <v>61</v>
      </c>
      <c r="B150">
        <v>107221179</v>
      </c>
      <c r="C150" t="s">
        <v>83</v>
      </c>
      <c r="D150" t="s">
        <v>72</v>
      </c>
      <c r="E150" t="s">
        <v>58</v>
      </c>
      <c r="F150">
        <v>289</v>
      </c>
      <c r="G150" t="s">
        <v>62</v>
      </c>
      <c r="H150" t="s">
        <v>63</v>
      </c>
      <c r="I150">
        <v>224</v>
      </c>
    </row>
    <row r="151" spans="1:9" x14ac:dyDescent="0.35">
      <c r="A151" t="s">
        <v>61</v>
      </c>
      <c r="B151">
        <v>107221179</v>
      </c>
      <c r="C151" t="s">
        <v>83</v>
      </c>
      <c r="D151" t="s">
        <v>72</v>
      </c>
      <c r="E151" t="s">
        <v>58</v>
      </c>
      <c r="F151">
        <v>289</v>
      </c>
      <c r="G151" t="s">
        <v>62</v>
      </c>
      <c r="H151" t="s">
        <v>64</v>
      </c>
      <c r="I151">
        <v>1782</v>
      </c>
    </row>
    <row r="152" spans="1:9" x14ac:dyDescent="0.35">
      <c r="A152" t="s">
        <v>61</v>
      </c>
      <c r="B152">
        <v>107221179</v>
      </c>
      <c r="C152" t="s">
        <v>83</v>
      </c>
      <c r="D152" t="s">
        <v>72</v>
      </c>
      <c r="E152" t="s">
        <v>58</v>
      </c>
      <c r="F152">
        <v>289</v>
      </c>
      <c r="G152" t="s">
        <v>68</v>
      </c>
      <c r="H152" t="s">
        <v>67</v>
      </c>
      <c r="I152">
        <v>289</v>
      </c>
    </row>
    <row r="153" spans="1:9" x14ac:dyDescent="0.35">
      <c r="A153" t="s">
        <v>61</v>
      </c>
      <c r="B153">
        <v>105749066</v>
      </c>
      <c r="C153" t="s">
        <v>666</v>
      </c>
      <c r="D153" t="s">
        <v>72</v>
      </c>
      <c r="E153" t="s">
        <v>70</v>
      </c>
      <c r="F153">
        <v>94</v>
      </c>
      <c r="G153" t="s">
        <v>62</v>
      </c>
      <c r="H153" t="s">
        <v>67</v>
      </c>
      <c r="I153">
        <v>733</v>
      </c>
    </row>
    <row r="154" spans="1:9" x14ac:dyDescent="0.35">
      <c r="A154" t="s">
        <v>61</v>
      </c>
      <c r="B154">
        <v>105749066</v>
      </c>
      <c r="C154" t="s">
        <v>666</v>
      </c>
      <c r="D154" t="s">
        <v>72</v>
      </c>
      <c r="E154" t="s">
        <v>70</v>
      </c>
      <c r="F154">
        <v>94</v>
      </c>
      <c r="G154" t="s">
        <v>62</v>
      </c>
      <c r="H154" t="s">
        <v>63</v>
      </c>
      <c r="I154">
        <v>60</v>
      </c>
    </row>
    <row r="155" spans="1:9" x14ac:dyDescent="0.35">
      <c r="A155" t="s">
        <v>61</v>
      </c>
      <c r="B155">
        <v>105749066</v>
      </c>
      <c r="C155" t="s">
        <v>666</v>
      </c>
      <c r="D155" t="s">
        <v>72</v>
      </c>
      <c r="E155" t="s">
        <v>70</v>
      </c>
      <c r="F155">
        <v>94</v>
      </c>
      <c r="G155" t="s">
        <v>62</v>
      </c>
      <c r="H155" t="s">
        <v>64</v>
      </c>
      <c r="I155">
        <v>673</v>
      </c>
    </row>
    <row r="156" spans="1:9" x14ac:dyDescent="0.35">
      <c r="A156" t="s">
        <v>61</v>
      </c>
      <c r="B156">
        <v>105749066</v>
      </c>
      <c r="C156" t="s">
        <v>666</v>
      </c>
      <c r="D156" t="s">
        <v>72</v>
      </c>
      <c r="E156" t="s">
        <v>70</v>
      </c>
      <c r="F156">
        <v>94</v>
      </c>
      <c r="G156" t="s">
        <v>68</v>
      </c>
      <c r="H156" t="s">
        <v>67</v>
      </c>
      <c r="I156">
        <v>94</v>
      </c>
    </row>
    <row r="157" spans="1:9" x14ac:dyDescent="0.35">
      <c r="A157" t="s">
        <v>61</v>
      </c>
      <c r="B157">
        <v>107868365</v>
      </c>
      <c r="C157" t="s">
        <v>104</v>
      </c>
      <c r="D157" t="s">
        <v>72</v>
      </c>
      <c r="E157" t="s">
        <v>58</v>
      </c>
      <c r="F157">
        <v>305</v>
      </c>
      <c r="G157" t="s">
        <v>62</v>
      </c>
      <c r="H157" t="s">
        <v>67</v>
      </c>
      <c r="I157">
        <v>2521</v>
      </c>
    </row>
    <row r="158" spans="1:9" x14ac:dyDescent="0.35">
      <c r="A158" t="s">
        <v>61</v>
      </c>
      <c r="B158">
        <v>107868365</v>
      </c>
      <c r="C158" t="s">
        <v>104</v>
      </c>
      <c r="D158" t="s">
        <v>72</v>
      </c>
      <c r="E158" t="s">
        <v>58</v>
      </c>
      <c r="F158">
        <v>305</v>
      </c>
      <c r="G158" t="s">
        <v>62</v>
      </c>
      <c r="H158" t="s">
        <v>63</v>
      </c>
      <c r="I158">
        <v>811</v>
      </c>
    </row>
    <row r="159" spans="1:9" x14ac:dyDescent="0.35">
      <c r="A159" t="s">
        <v>61</v>
      </c>
      <c r="B159">
        <v>107868365</v>
      </c>
      <c r="C159" t="s">
        <v>104</v>
      </c>
      <c r="D159" t="s">
        <v>72</v>
      </c>
      <c r="E159" t="s">
        <v>58</v>
      </c>
      <c r="F159">
        <v>305</v>
      </c>
      <c r="G159" t="s">
        <v>62</v>
      </c>
      <c r="H159" t="s">
        <v>64</v>
      </c>
      <c r="I159">
        <v>1710</v>
      </c>
    </row>
    <row r="160" spans="1:9" x14ac:dyDescent="0.35">
      <c r="A160" t="s">
        <v>61</v>
      </c>
      <c r="B160">
        <v>107868365</v>
      </c>
      <c r="C160" t="s">
        <v>104</v>
      </c>
      <c r="D160" t="s">
        <v>72</v>
      </c>
      <c r="E160" t="s">
        <v>58</v>
      </c>
      <c r="F160">
        <v>305</v>
      </c>
      <c r="G160" t="s">
        <v>68</v>
      </c>
      <c r="H160" t="s">
        <v>67</v>
      </c>
      <c r="I160">
        <v>305</v>
      </c>
    </row>
    <row r="161" spans="1:9" x14ac:dyDescent="0.35">
      <c r="A161" t="s">
        <v>61</v>
      </c>
      <c r="B161">
        <v>100865064</v>
      </c>
      <c r="C161" t="s">
        <v>525</v>
      </c>
      <c r="D161" t="s">
        <v>72</v>
      </c>
      <c r="E161" t="s">
        <v>70</v>
      </c>
      <c r="F161">
        <v>338</v>
      </c>
      <c r="G161" t="s">
        <v>62</v>
      </c>
      <c r="H161" t="s">
        <v>67</v>
      </c>
      <c r="I161">
        <v>2369</v>
      </c>
    </row>
    <row r="162" spans="1:9" x14ac:dyDescent="0.35">
      <c r="A162" t="s">
        <v>61</v>
      </c>
      <c r="B162">
        <v>100865064</v>
      </c>
      <c r="C162" t="s">
        <v>525</v>
      </c>
      <c r="D162" t="s">
        <v>72</v>
      </c>
      <c r="E162" t="s">
        <v>70</v>
      </c>
      <c r="F162">
        <v>338</v>
      </c>
      <c r="G162" t="s">
        <v>62</v>
      </c>
      <c r="H162" t="s">
        <v>63</v>
      </c>
      <c r="I162">
        <v>600</v>
      </c>
    </row>
    <row r="163" spans="1:9" x14ac:dyDescent="0.35">
      <c r="A163" t="s">
        <v>61</v>
      </c>
      <c r="B163">
        <v>100865064</v>
      </c>
      <c r="C163" t="s">
        <v>525</v>
      </c>
      <c r="D163" t="s">
        <v>72</v>
      </c>
      <c r="E163" t="s">
        <v>70</v>
      </c>
      <c r="F163">
        <v>338</v>
      </c>
      <c r="G163" t="s">
        <v>62</v>
      </c>
      <c r="H163" t="s">
        <v>64</v>
      </c>
      <c r="I163">
        <v>1769</v>
      </c>
    </row>
    <row r="164" spans="1:9" x14ac:dyDescent="0.35">
      <c r="A164" t="s">
        <v>61</v>
      </c>
      <c r="B164">
        <v>100865064</v>
      </c>
      <c r="C164" t="s">
        <v>525</v>
      </c>
      <c r="D164" t="s">
        <v>72</v>
      </c>
      <c r="E164" t="s">
        <v>70</v>
      </c>
      <c r="F164">
        <v>338</v>
      </c>
      <c r="G164" t="s">
        <v>68</v>
      </c>
      <c r="H164" t="s">
        <v>67</v>
      </c>
      <c r="I164">
        <v>338</v>
      </c>
    </row>
    <row r="165" spans="1:9" x14ac:dyDescent="0.35">
      <c r="A165" t="s">
        <v>61</v>
      </c>
      <c r="B165">
        <v>107844158</v>
      </c>
      <c r="C165" t="s">
        <v>546</v>
      </c>
      <c r="D165" t="s">
        <v>72</v>
      </c>
      <c r="E165" t="s">
        <v>70</v>
      </c>
      <c r="F165">
        <v>434</v>
      </c>
      <c r="G165" t="s">
        <v>62</v>
      </c>
      <c r="H165" t="s">
        <v>67</v>
      </c>
      <c r="I165">
        <v>3105</v>
      </c>
    </row>
    <row r="166" spans="1:9" x14ac:dyDescent="0.35">
      <c r="A166" t="s">
        <v>61</v>
      </c>
      <c r="B166">
        <v>107844158</v>
      </c>
      <c r="C166" t="s">
        <v>546</v>
      </c>
      <c r="D166" t="s">
        <v>72</v>
      </c>
      <c r="E166" t="s">
        <v>70</v>
      </c>
      <c r="F166">
        <v>434</v>
      </c>
      <c r="G166" t="s">
        <v>62</v>
      </c>
      <c r="H166" t="s">
        <v>63</v>
      </c>
      <c r="I166">
        <v>786</v>
      </c>
    </row>
    <row r="167" spans="1:9" x14ac:dyDescent="0.35">
      <c r="A167" t="s">
        <v>61</v>
      </c>
      <c r="B167">
        <v>107844158</v>
      </c>
      <c r="C167" t="s">
        <v>546</v>
      </c>
      <c r="D167" t="s">
        <v>72</v>
      </c>
      <c r="E167" t="s">
        <v>70</v>
      </c>
      <c r="F167">
        <v>434</v>
      </c>
      <c r="G167" t="s">
        <v>62</v>
      </c>
      <c r="H167" t="s">
        <v>64</v>
      </c>
      <c r="I167">
        <v>2319</v>
      </c>
    </row>
    <row r="168" spans="1:9" x14ac:dyDescent="0.35">
      <c r="A168" t="s">
        <v>61</v>
      </c>
      <c r="B168">
        <v>107844158</v>
      </c>
      <c r="C168" t="s">
        <v>546</v>
      </c>
      <c r="D168" t="s">
        <v>72</v>
      </c>
      <c r="E168" t="s">
        <v>70</v>
      </c>
      <c r="F168">
        <v>434</v>
      </c>
      <c r="G168" t="s">
        <v>68</v>
      </c>
      <c r="H168" t="s">
        <v>67</v>
      </c>
      <c r="I168">
        <v>434</v>
      </c>
    </row>
    <row r="169" spans="1:9" x14ac:dyDescent="0.35">
      <c r="A169" t="s">
        <v>37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I157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107826180</v>
      </c>
      <c r="C2" t="s">
        <v>566</v>
      </c>
      <c r="D2" t="s">
        <v>60</v>
      </c>
      <c r="E2" t="s">
        <v>70</v>
      </c>
      <c r="F2">
        <v>338</v>
      </c>
      <c r="G2" t="s">
        <v>62</v>
      </c>
      <c r="H2" t="s">
        <v>67</v>
      </c>
      <c r="I2">
        <v>2423</v>
      </c>
    </row>
    <row r="3" spans="1:9" x14ac:dyDescent="0.35">
      <c r="A3" t="s">
        <v>61</v>
      </c>
      <c r="B3">
        <v>107826180</v>
      </c>
      <c r="C3" t="s">
        <v>566</v>
      </c>
      <c r="D3" t="s">
        <v>60</v>
      </c>
      <c r="E3" t="s">
        <v>70</v>
      </c>
      <c r="F3">
        <v>338</v>
      </c>
      <c r="G3" t="s">
        <v>62</v>
      </c>
      <c r="H3" t="s">
        <v>63</v>
      </c>
      <c r="I3">
        <v>623</v>
      </c>
    </row>
    <row r="4" spans="1:9" x14ac:dyDescent="0.35">
      <c r="A4" t="s">
        <v>61</v>
      </c>
      <c r="B4">
        <v>107826180</v>
      </c>
      <c r="C4" t="s">
        <v>566</v>
      </c>
      <c r="D4" t="s">
        <v>60</v>
      </c>
      <c r="E4" t="s">
        <v>70</v>
      </c>
      <c r="F4">
        <v>338</v>
      </c>
      <c r="G4" t="s">
        <v>62</v>
      </c>
      <c r="H4" t="s">
        <v>64</v>
      </c>
      <c r="I4">
        <v>1800</v>
      </c>
    </row>
    <row r="5" spans="1:9" x14ac:dyDescent="0.35">
      <c r="A5" t="s">
        <v>61</v>
      </c>
      <c r="B5">
        <v>107826180</v>
      </c>
      <c r="C5" t="s">
        <v>566</v>
      </c>
      <c r="D5" t="s">
        <v>60</v>
      </c>
      <c r="E5" t="s">
        <v>70</v>
      </c>
      <c r="F5">
        <v>338</v>
      </c>
      <c r="G5" t="s">
        <v>68</v>
      </c>
      <c r="H5" t="s">
        <v>67</v>
      </c>
      <c r="I5">
        <v>338</v>
      </c>
    </row>
    <row r="6" spans="1:9" x14ac:dyDescent="0.35">
      <c r="A6" t="s">
        <v>61</v>
      </c>
      <c r="B6">
        <v>106640096</v>
      </c>
      <c r="C6" t="s">
        <v>82</v>
      </c>
      <c r="D6" t="s">
        <v>72</v>
      </c>
      <c r="E6" t="s">
        <v>70</v>
      </c>
      <c r="F6">
        <v>345</v>
      </c>
      <c r="G6" t="s">
        <v>62</v>
      </c>
      <c r="H6" t="s">
        <v>67</v>
      </c>
      <c r="I6">
        <v>2104</v>
      </c>
    </row>
    <row r="7" spans="1:9" x14ac:dyDescent="0.35">
      <c r="A7" t="s">
        <v>61</v>
      </c>
      <c r="B7">
        <v>106640096</v>
      </c>
      <c r="C7" t="s">
        <v>82</v>
      </c>
      <c r="D7" t="s">
        <v>72</v>
      </c>
      <c r="E7" t="s">
        <v>70</v>
      </c>
      <c r="F7">
        <v>345</v>
      </c>
      <c r="G7" t="s">
        <v>62</v>
      </c>
      <c r="H7" t="s">
        <v>63</v>
      </c>
      <c r="I7">
        <v>363</v>
      </c>
    </row>
    <row r="8" spans="1:9" x14ac:dyDescent="0.35">
      <c r="A8" t="s">
        <v>61</v>
      </c>
      <c r="B8">
        <v>106640096</v>
      </c>
      <c r="C8" t="s">
        <v>82</v>
      </c>
      <c r="D8" t="s">
        <v>72</v>
      </c>
      <c r="E8" t="s">
        <v>70</v>
      </c>
      <c r="F8">
        <v>345</v>
      </c>
      <c r="G8" t="s">
        <v>62</v>
      </c>
      <c r="H8" t="s">
        <v>64</v>
      </c>
      <c r="I8">
        <v>1741</v>
      </c>
    </row>
    <row r="9" spans="1:9" x14ac:dyDescent="0.35">
      <c r="A9" t="s">
        <v>61</v>
      </c>
      <c r="B9">
        <v>106640096</v>
      </c>
      <c r="C9" t="s">
        <v>82</v>
      </c>
      <c r="D9" t="s">
        <v>72</v>
      </c>
      <c r="E9" t="s">
        <v>70</v>
      </c>
      <c r="F9">
        <v>345</v>
      </c>
      <c r="G9" t="s">
        <v>68</v>
      </c>
      <c r="H9" t="s">
        <v>67</v>
      </c>
      <c r="I9">
        <v>345</v>
      </c>
    </row>
    <row r="10" spans="1:9" x14ac:dyDescent="0.35">
      <c r="A10" t="s">
        <v>61</v>
      </c>
      <c r="B10">
        <v>107233183</v>
      </c>
      <c r="C10" t="s">
        <v>532</v>
      </c>
      <c r="D10" t="s">
        <v>72</v>
      </c>
      <c r="E10" t="s">
        <v>70</v>
      </c>
      <c r="F10">
        <v>328</v>
      </c>
      <c r="G10" t="s">
        <v>62</v>
      </c>
      <c r="H10" t="s">
        <v>67</v>
      </c>
      <c r="I10">
        <v>2397</v>
      </c>
    </row>
    <row r="11" spans="1:9" x14ac:dyDescent="0.35">
      <c r="A11" t="s">
        <v>61</v>
      </c>
      <c r="B11">
        <v>107233183</v>
      </c>
      <c r="C11" t="s">
        <v>532</v>
      </c>
      <c r="D11" t="s">
        <v>72</v>
      </c>
      <c r="E11" t="s">
        <v>70</v>
      </c>
      <c r="F11">
        <v>328</v>
      </c>
      <c r="G11" t="s">
        <v>62</v>
      </c>
      <c r="H11" t="s">
        <v>63</v>
      </c>
      <c r="I11">
        <v>890</v>
      </c>
    </row>
    <row r="12" spans="1:9" x14ac:dyDescent="0.35">
      <c r="A12" t="s">
        <v>61</v>
      </c>
      <c r="B12">
        <v>107233183</v>
      </c>
      <c r="C12" t="s">
        <v>532</v>
      </c>
      <c r="D12" t="s">
        <v>72</v>
      </c>
      <c r="E12" t="s">
        <v>70</v>
      </c>
      <c r="F12">
        <v>328</v>
      </c>
      <c r="G12" t="s">
        <v>62</v>
      </c>
      <c r="H12" t="s">
        <v>64</v>
      </c>
      <c r="I12">
        <v>1507</v>
      </c>
    </row>
    <row r="13" spans="1:9" x14ac:dyDescent="0.35">
      <c r="A13" t="s">
        <v>61</v>
      </c>
      <c r="B13">
        <v>107233183</v>
      </c>
      <c r="C13" t="s">
        <v>532</v>
      </c>
      <c r="D13" t="s">
        <v>72</v>
      </c>
      <c r="E13" t="s">
        <v>70</v>
      </c>
      <c r="F13">
        <v>328</v>
      </c>
      <c r="G13" t="s">
        <v>68</v>
      </c>
      <c r="H13" t="s">
        <v>67</v>
      </c>
      <c r="I13">
        <v>328</v>
      </c>
    </row>
    <row r="14" spans="1:9" x14ac:dyDescent="0.35">
      <c r="A14" t="s">
        <v>61</v>
      </c>
      <c r="B14">
        <v>107844157</v>
      </c>
      <c r="C14" t="s">
        <v>545</v>
      </c>
      <c r="D14" t="s">
        <v>72</v>
      </c>
      <c r="E14" t="s">
        <v>70</v>
      </c>
      <c r="F14">
        <v>233</v>
      </c>
      <c r="G14" t="s">
        <v>62</v>
      </c>
      <c r="H14" t="s">
        <v>67</v>
      </c>
      <c r="I14">
        <v>1680</v>
      </c>
    </row>
    <row r="15" spans="1:9" x14ac:dyDescent="0.35">
      <c r="A15" t="s">
        <v>61</v>
      </c>
      <c r="B15">
        <v>107844157</v>
      </c>
      <c r="C15" t="s">
        <v>545</v>
      </c>
      <c r="D15" t="s">
        <v>72</v>
      </c>
      <c r="E15" t="s">
        <v>70</v>
      </c>
      <c r="F15">
        <v>233</v>
      </c>
      <c r="G15" t="s">
        <v>62</v>
      </c>
      <c r="H15" t="s">
        <v>63</v>
      </c>
      <c r="I15">
        <v>487</v>
      </c>
    </row>
    <row r="16" spans="1:9" x14ac:dyDescent="0.35">
      <c r="A16" t="s">
        <v>61</v>
      </c>
      <c r="B16">
        <v>107844157</v>
      </c>
      <c r="C16" t="s">
        <v>545</v>
      </c>
      <c r="D16" t="s">
        <v>72</v>
      </c>
      <c r="E16" t="s">
        <v>70</v>
      </c>
      <c r="F16">
        <v>233</v>
      </c>
      <c r="G16" t="s">
        <v>62</v>
      </c>
      <c r="H16" t="s">
        <v>64</v>
      </c>
      <c r="I16">
        <v>1193</v>
      </c>
    </row>
    <row r="17" spans="1:9" x14ac:dyDescent="0.35">
      <c r="A17" t="s">
        <v>61</v>
      </c>
      <c r="B17">
        <v>107844157</v>
      </c>
      <c r="C17" t="s">
        <v>545</v>
      </c>
      <c r="D17" t="s">
        <v>72</v>
      </c>
      <c r="E17" t="s">
        <v>70</v>
      </c>
      <c r="F17">
        <v>233</v>
      </c>
      <c r="G17" t="s">
        <v>68</v>
      </c>
      <c r="H17" t="s">
        <v>67</v>
      </c>
      <c r="I17">
        <v>233</v>
      </c>
    </row>
    <row r="18" spans="1:9" x14ac:dyDescent="0.35">
      <c r="A18" t="s">
        <v>61</v>
      </c>
      <c r="B18">
        <v>107843891</v>
      </c>
      <c r="C18" t="s">
        <v>544</v>
      </c>
      <c r="D18" t="s">
        <v>72</v>
      </c>
      <c r="E18" t="s">
        <v>70</v>
      </c>
      <c r="F18">
        <v>226</v>
      </c>
      <c r="G18" t="s">
        <v>62</v>
      </c>
      <c r="H18" t="s">
        <v>67</v>
      </c>
      <c r="I18">
        <v>1256</v>
      </c>
    </row>
    <row r="19" spans="1:9" x14ac:dyDescent="0.35">
      <c r="A19" t="s">
        <v>61</v>
      </c>
      <c r="B19">
        <v>107843891</v>
      </c>
      <c r="C19" t="s">
        <v>544</v>
      </c>
      <c r="D19" t="s">
        <v>72</v>
      </c>
      <c r="E19" t="s">
        <v>70</v>
      </c>
      <c r="F19">
        <v>226</v>
      </c>
      <c r="G19" t="s">
        <v>62</v>
      </c>
      <c r="H19" t="s">
        <v>63</v>
      </c>
      <c r="I19">
        <v>96</v>
      </c>
    </row>
    <row r="20" spans="1:9" x14ac:dyDescent="0.35">
      <c r="A20" t="s">
        <v>61</v>
      </c>
      <c r="B20">
        <v>107843891</v>
      </c>
      <c r="C20" t="s">
        <v>544</v>
      </c>
      <c r="D20" t="s">
        <v>72</v>
      </c>
      <c r="E20" t="s">
        <v>70</v>
      </c>
      <c r="F20">
        <v>226</v>
      </c>
      <c r="G20" t="s">
        <v>62</v>
      </c>
      <c r="H20" t="s">
        <v>64</v>
      </c>
      <c r="I20">
        <v>1160</v>
      </c>
    </row>
    <row r="21" spans="1:9" x14ac:dyDescent="0.35">
      <c r="A21" t="s">
        <v>61</v>
      </c>
      <c r="B21">
        <v>107843891</v>
      </c>
      <c r="C21" t="s">
        <v>544</v>
      </c>
      <c r="D21" t="s">
        <v>72</v>
      </c>
      <c r="E21" t="s">
        <v>70</v>
      </c>
      <c r="F21">
        <v>226</v>
      </c>
      <c r="G21" t="s">
        <v>68</v>
      </c>
      <c r="H21" t="s">
        <v>67</v>
      </c>
      <c r="I21">
        <v>226</v>
      </c>
    </row>
    <row r="22" spans="1:9" x14ac:dyDescent="0.35">
      <c r="A22" t="s">
        <v>61</v>
      </c>
      <c r="B22">
        <v>106140648</v>
      </c>
      <c r="C22" t="s">
        <v>671</v>
      </c>
      <c r="D22" t="s">
        <v>60</v>
      </c>
      <c r="E22" t="s">
        <v>70</v>
      </c>
      <c r="F22">
        <v>309</v>
      </c>
      <c r="G22" t="s">
        <v>62</v>
      </c>
      <c r="H22" t="s">
        <v>67</v>
      </c>
      <c r="I22">
        <v>2145</v>
      </c>
    </row>
    <row r="23" spans="1:9" x14ac:dyDescent="0.35">
      <c r="A23" t="s">
        <v>61</v>
      </c>
      <c r="B23">
        <v>106140648</v>
      </c>
      <c r="C23" t="s">
        <v>671</v>
      </c>
      <c r="D23" t="s">
        <v>60</v>
      </c>
      <c r="E23" t="s">
        <v>70</v>
      </c>
      <c r="F23">
        <v>309</v>
      </c>
      <c r="G23" t="s">
        <v>62</v>
      </c>
      <c r="H23" t="s">
        <v>63</v>
      </c>
      <c r="I23">
        <v>344</v>
      </c>
    </row>
    <row r="24" spans="1:9" x14ac:dyDescent="0.35">
      <c r="A24" t="s">
        <v>61</v>
      </c>
      <c r="B24">
        <v>106140648</v>
      </c>
      <c r="C24" t="s">
        <v>671</v>
      </c>
      <c r="D24" t="s">
        <v>60</v>
      </c>
      <c r="E24" t="s">
        <v>70</v>
      </c>
      <c r="F24">
        <v>309</v>
      </c>
      <c r="G24" t="s">
        <v>62</v>
      </c>
      <c r="H24" t="s">
        <v>64</v>
      </c>
      <c r="I24">
        <v>1801</v>
      </c>
    </row>
    <row r="25" spans="1:9" x14ac:dyDescent="0.35">
      <c r="A25" t="s">
        <v>61</v>
      </c>
      <c r="B25">
        <v>106140648</v>
      </c>
      <c r="C25" t="s">
        <v>671</v>
      </c>
      <c r="D25" t="s">
        <v>60</v>
      </c>
      <c r="E25" t="s">
        <v>70</v>
      </c>
      <c r="F25">
        <v>309</v>
      </c>
      <c r="G25" t="s">
        <v>68</v>
      </c>
      <c r="H25" t="s">
        <v>67</v>
      </c>
      <c r="I25">
        <v>309</v>
      </c>
    </row>
    <row r="26" spans="1:9" x14ac:dyDescent="0.35">
      <c r="A26" t="s">
        <v>61</v>
      </c>
      <c r="B26">
        <v>107221237</v>
      </c>
      <c r="C26" t="s">
        <v>89</v>
      </c>
      <c r="D26" t="s">
        <v>72</v>
      </c>
      <c r="E26" t="s">
        <v>58</v>
      </c>
      <c r="F26">
        <v>396</v>
      </c>
      <c r="G26" t="s">
        <v>62</v>
      </c>
      <c r="H26" t="s">
        <v>67</v>
      </c>
      <c r="I26">
        <v>2627</v>
      </c>
    </row>
    <row r="27" spans="1:9" x14ac:dyDescent="0.35">
      <c r="A27" t="s">
        <v>61</v>
      </c>
      <c r="B27">
        <v>107221237</v>
      </c>
      <c r="C27" t="s">
        <v>89</v>
      </c>
      <c r="D27" t="s">
        <v>72</v>
      </c>
      <c r="E27" t="s">
        <v>58</v>
      </c>
      <c r="F27">
        <v>396</v>
      </c>
      <c r="G27" t="s">
        <v>62</v>
      </c>
      <c r="H27" t="s">
        <v>63</v>
      </c>
      <c r="I27">
        <v>525</v>
      </c>
    </row>
    <row r="28" spans="1:9" x14ac:dyDescent="0.35">
      <c r="A28" t="s">
        <v>61</v>
      </c>
      <c r="B28">
        <v>107221237</v>
      </c>
      <c r="C28" t="s">
        <v>89</v>
      </c>
      <c r="D28" t="s">
        <v>72</v>
      </c>
      <c r="E28" t="s">
        <v>58</v>
      </c>
      <c r="F28">
        <v>396</v>
      </c>
      <c r="G28" t="s">
        <v>62</v>
      </c>
      <c r="H28" t="s">
        <v>64</v>
      </c>
      <c r="I28">
        <v>2102</v>
      </c>
    </row>
    <row r="29" spans="1:9" x14ac:dyDescent="0.35">
      <c r="A29" t="s">
        <v>61</v>
      </c>
      <c r="B29">
        <v>107221237</v>
      </c>
      <c r="C29" t="s">
        <v>89</v>
      </c>
      <c r="D29" t="s">
        <v>72</v>
      </c>
      <c r="E29" t="s">
        <v>58</v>
      </c>
      <c r="F29">
        <v>396</v>
      </c>
      <c r="G29" t="s">
        <v>68</v>
      </c>
      <c r="H29" t="s">
        <v>67</v>
      </c>
      <c r="I29">
        <v>396</v>
      </c>
    </row>
    <row r="30" spans="1:9" x14ac:dyDescent="0.35">
      <c r="A30" t="s">
        <v>61</v>
      </c>
      <c r="B30">
        <v>107791373</v>
      </c>
      <c r="C30" t="s">
        <v>554</v>
      </c>
      <c r="D30" t="s">
        <v>72</v>
      </c>
      <c r="E30" t="s">
        <v>70</v>
      </c>
      <c r="F30">
        <v>442</v>
      </c>
      <c r="G30" t="s">
        <v>62</v>
      </c>
      <c r="H30" t="s">
        <v>67</v>
      </c>
      <c r="I30">
        <v>3104</v>
      </c>
    </row>
    <row r="31" spans="1:9" x14ac:dyDescent="0.35">
      <c r="A31" t="s">
        <v>61</v>
      </c>
      <c r="B31">
        <v>107791373</v>
      </c>
      <c r="C31" t="s">
        <v>554</v>
      </c>
      <c r="D31" t="s">
        <v>72</v>
      </c>
      <c r="E31" t="s">
        <v>70</v>
      </c>
      <c r="F31">
        <v>442</v>
      </c>
      <c r="G31" t="s">
        <v>62</v>
      </c>
      <c r="H31" t="s">
        <v>63</v>
      </c>
      <c r="I31">
        <v>771</v>
      </c>
    </row>
    <row r="32" spans="1:9" x14ac:dyDescent="0.35">
      <c r="A32" t="s">
        <v>61</v>
      </c>
      <c r="B32">
        <v>107791373</v>
      </c>
      <c r="C32" t="s">
        <v>554</v>
      </c>
      <c r="D32" t="s">
        <v>72</v>
      </c>
      <c r="E32" t="s">
        <v>70</v>
      </c>
      <c r="F32">
        <v>442</v>
      </c>
      <c r="G32" t="s">
        <v>62</v>
      </c>
      <c r="H32" t="s">
        <v>64</v>
      </c>
      <c r="I32">
        <v>2333</v>
      </c>
    </row>
    <row r="33" spans="1:9" x14ac:dyDescent="0.35">
      <c r="A33" t="s">
        <v>61</v>
      </c>
      <c r="B33">
        <v>107791373</v>
      </c>
      <c r="C33" t="s">
        <v>554</v>
      </c>
      <c r="D33" t="s">
        <v>72</v>
      </c>
      <c r="E33" t="s">
        <v>70</v>
      </c>
      <c r="F33">
        <v>442</v>
      </c>
      <c r="G33" t="s">
        <v>68</v>
      </c>
      <c r="H33" t="s">
        <v>67</v>
      </c>
      <c r="I33">
        <v>442</v>
      </c>
    </row>
    <row r="34" spans="1:9" x14ac:dyDescent="0.35">
      <c r="A34" t="s">
        <v>61</v>
      </c>
      <c r="B34">
        <v>106533893</v>
      </c>
      <c r="C34" t="s">
        <v>672</v>
      </c>
      <c r="D34" t="s">
        <v>60</v>
      </c>
      <c r="E34" t="s">
        <v>70</v>
      </c>
      <c r="F34">
        <v>86</v>
      </c>
      <c r="G34" t="s">
        <v>62</v>
      </c>
      <c r="H34" t="s">
        <v>67</v>
      </c>
      <c r="I34">
        <v>796</v>
      </c>
    </row>
    <row r="35" spans="1:9" x14ac:dyDescent="0.35">
      <c r="A35" t="s">
        <v>61</v>
      </c>
      <c r="B35">
        <v>106533893</v>
      </c>
      <c r="C35" t="s">
        <v>672</v>
      </c>
      <c r="D35" t="s">
        <v>60</v>
      </c>
      <c r="E35" t="s">
        <v>70</v>
      </c>
      <c r="F35">
        <v>86</v>
      </c>
      <c r="G35" t="s">
        <v>62</v>
      </c>
      <c r="H35" t="s">
        <v>63</v>
      </c>
      <c r="I35">
        <v>293</v>
      </c>
    </row>
    <row r="36" spans="1:9" x14ac:dyDescent="0.35">
      <c r="A36" t="s">
        <v>61</v>
      </c>
      <c r="B36">
        <v>106533893</v>
      </c>
      <c r="C36" t="s">
        <v>672</v>
      </c>
      <c r="D36" t="s">
        <v>60</v>
      </c>
      <c r="E36" t="s">
        <v>70</v>
      </c>
      <c r="F36">
        <v>86</v>
      </c>
      <c r="G36" t="s">
        <v>62</v>
      </c>
      <c r="H36" t="s">
        <v>64</v>
      </c>
      <c r="I36">
        <v>503</v>
      </c>
    </row>
    <row r="37" spans="1:9" x14ac:dyDescent="0.35">
      <c r="A37" t="s">
        <v>61</v>
      </c>
      <c r="B37">
        <v>106533893</v>
      </c>
      <c r="C37" t="s">
        <v>672</v>
      </c>
      <c r="D37" t="s">
        <v>60</v>
      </c>
      <c r="E37" t="s">
        <v>70</v>
      </c>
      <c r="F37">
        <v>86</v>
      </c>
      <c r="G37" t="s">
        <v>68</v>
      </c>
      <c r="H37" t="s">
        <v>67</v>
      </c>
      <c r="I37">
        <v>86</v>
      </c>
    </row>
    <row r="38" spans="1:9" x14ac:dyDescent="0.35">
      <c r="A38" t="s">
        <v>61</v>
      </c>
      <c r="B38">
        <v>107221222</v>
      </c>
      <c r="C38" t="s">
        <v>86</v>
      </c>
      <c r="D38" t="s">
        <v>72</v>
      </c>
      <c r="E38" t="s">
        <v>70</v>
      </c>
      <c r="F38">
        <v>308</v>
      </c>
      <c r="G38" t="s">
        <v>62</v>
      </c>
      <c r="H38" t="s">
        <v>67</v>
      </c>
      <c r="I38">
        <v>2565</v>
      </c>
    </row>
    <row r="39" spans="1:9" x14ac:dyDescent="0.35">
      <c r="A39" t="s">
        <v>61</v>
      </c>
      <c r="B39">
        <v>107221222</v>
      </c>
      <c r="C39" t="s">
        <v>86</v>
      </c>
      <c r="D39" t="s">
        <v>72</v>
      </c>
      <c r="E39" t="s">
        <v>70</v>
      </c>
      <c r="F39">
        <v>308</v>
      </c>
      <c r="G39" t="s">
        <v>62</v>
      </c>
      <c r="H39" t="s">
        <v>63</v>
      </c>
      <c r="I39">
        <v>843</v>
      </c>
    </row>
    <row r="40" spans="1:9" x14ac:dyDescent="0.35">
      <c r="A40" t="s">
        <v>61</v>
      </c>
      <c r="B40">
        <v>107221222</v>
      </c>
      <c r="C40" t="s">
        <v>86</v>
      </c>
      <c r="D40" t="s">
        <v>72</v>
      </c>
      <c r="E40" t="s">
        <v>70</v>
      </c>
      <c r="F40">
        <v>308</v>
      </c>
      <c r="G40" t="s">
        <v>62</v>
      </c>
      <c r="H40" t="s">
        <v>64</v>
      </c>
      <c r="I40">
        <v>1722</v>
      </c>
    </row>
    <row r="41" spans="1:9" x14ac:dyDescent="0.35">
      <c r="A41" t="s">
        <v>61</v>
      </c>
      <c r="B41">
        <v>107221222</v>
      </c>
      <c r="C41" t="s">
        <v>86</v>
      </c>
      <c r="D41" t="s">
        <v>72</v>
      </c>
      <c r="E41" t="s">
        <v>70</v>
      </c>
      <c r="F41">
        <v>308</v>
      </c>
      <c r="G41" t="s">
        <v>68</v>
      </c>
      <c r="H41" t="s">
        <v>67</v>
      </c>
      <c r="I41">
        <v>308</v>
      </c>
    </row>
    <row r="42" spans="1:9" x14ac:dyDescent="0.35">
      <c r="A42" t="s">
        <v>61</v>
      </c>
      <c r="B42">
        <v>107843844</v>
      </c>
      <c r="C42" t="s">
        <v>542</v>
      </c>
      <c r="D42" t="s">
        <v>72</v>
      </c>
      <c r="E42" t="s">
        <v>70</v>
      </c>
      <c r="F42">
        <v>363</v>
      </c>
      <c r="G42" t="s">
        <v>62</v>
      </c>
      <c r="H42" t="s">
        <v>67</v>
      </c>
      <c r="I42">
        <v>3439</v>
      </c>
    </row>
    <row r="43" spans="1:9" x14ac:dyDescent="0.35">
      <c r="A43" t="s">
        <v>61</v>
      </c>
      <c r="B43">
        <v>107843844</v>
      </c>
      <c r="C43" t="s">
        <v>542</v>
      </c>
      <c r="D43" t="s">
        <v>72</v>
      </c>
      <c r="E43" t="s">
        <v>70</v>
      </c>
      <c r="F43">
        <v>363</v>
      </c>
      <c r="G43" t="s">
        <v>62</v>
      </c>
      <c r="H43" t="s">
        <v>63</v>
      </c>
      <c r="I43">
        <v>580</v>
      </c>
    </row>
    <row r="44" spans="1:9" x14ac:dyDescent="0.35">
      <c r="A44" t="s">
        <v>61</v>
      </c>
      <c r="B44">
        <v>107843844</v>
      </c>
      <c r="C44" t="s">
        <v>542</v>
      </c>
      <c r="D44" t="s">
        <v>72</v>
      </c>
      <c r="E44" t="s">
        <v>70</v>
      </c>
      <c r="F44">
        <v>363</v>
      </c>
      <c r="G44" t="s">
        <v>62</v>
      </c>
      <c r="H44" t="s">
        <v>64</v>
      </c>
      <c r="I44">
        <v>2858</v>
      </c>
    </row>
    <row r="45" spans="1:9" x14ac:dyDescent="0.35">
      <c r="A45" t="s">
        <v>61</v>
      </c>
      <c r="B45">
        <v>107843844</v>
      </c>
      <c r="C45" t="s">
        <v>542</v>
      </c>
      <c r="D45" t="s">
        <v>72</v>
      </c>
      <c r="E45" t="s">
        <v>70</v>
      </c>
      <c r="F45">
        <v>363</v>
      </c>
      <c r="G45" t="s">
        <v>62</v>
      </c>
      <c r="H45" t="s">
        <v>65</v>
      </c>
      <c r="I45">
        <v>1</v>
      </c>
    </row>
    <row r="46" spans="1:9" x14ac:dyDescent="0.35">
      <c r="A46" t="s">
        <v>61</v>
      </c>
      <c r="B46">
        <v>107843844</v>
      </c>
      <c r="C46" t="s">
        <v>542</v>
      </c>
      <c r="D46" t="s">
        <v>72</v>
      </c>
      <c r="E46" t="s">
        <v>70</v>
      </c>
      <c r="F46">
        <v>363</v>
      </c>
      <c r="G46" t="s">
        <v>68</v>
      </c>
      <c r="H46" t="s">
        <v>67</v>
      </c>
      <c r="I46">
        <v>363</v>
      </c>
    </row>
    <row r="47" spans="1:9" x14ac:dyDescent="0.35">
      <c r="A47" t="s">
        <v>61</v>
      </c>
      <c r="B47">
        <v>107704604</v>
      </c>
      <c r="C47" t="s">
        <v>93</v>
      </c>
      <c r="D47" t="s">
        <v>72</v>
      </c>
      <c r="E47" t="s">
        <v>58</v>
      </c>
      <c r="F47">
        <v>452</v>
      </c>
      <c r="G47" t="s">
        <v>62</v>
      </c>
      <c r="H47" t="s">
        <v>67</v>
      </c>
      <c r="I47">
        <v>3408</v>
      </c>
    </row>
    <row r="48" spans="1:9" x14ac:dyDescent="0.35">
      <c r="A48" t="s">
        <v>61</v>
      </c>
      <c r="B48">
        <v>107704604</v>
      </c>
      <c r="C48" t="s">
        <v>93</v>
      </c>
      <c r="D48" t="s">
        <v>72</v>
      </c>
      <c r="E48" t="s">
        <v>58</v>
      </c>
      <c r="F48">
        <v>452</v>
      </c>
      <c r="G48" t="s">
        <v>62</v>
      </c>
      <c r="H48" t="s">
        <v>63</v>
      </c>
      <c r="I48">
        <v>878</v>
      </c>
    </row>
    <row r="49" spans="1:9" x14ac:dyDescent="0.35">
      <c r="A49" t="s">
        <v>61</v>
      </c>
      <c r="B49">
        <v>107704604</v>
      </c>
      <c r="C49" t="s">
        <v>93</v>
      </c>
      <c r="D49" t="s">
        <v>72</v>
      </c>
      <c r="E49" t="s">
        <v>58</v>
      </c>
      <c r="F49">
        <v>452</v>
      </c>
      <c r="G49" t="s">
        <v>62</v>
      </c>
      <c r="H49" t="s">
        <v>64</v>
      </c>
      <c r="I49">
        <v>2522</v>
      </c>
    </row>
    <row r="50" spans="1:9" x14ac:dyDescent="0.35">
      <c r="A50" t="s">
        <v>61</v>
      </c>
      <c r="B50">
        <v>107704604</v>
      </c>
      <c r="C50" t="s">
        <v>93</v>
      </c>
      <c r="D50" t="s">
        <v>72</v>
      </c>
      <c r="E50" t="s">
        <v>58</v>
      </c>
      <c r="F50">
        <v>452</v>
      </c>
      <c r="G50" t="s">
        <v>62</v>
      </c>
      <c r="H50" t="s">
        <v>65</v>
      </c>
      <c r="I50">
        <v>8</v>
      </c>
    </row>
    <row r="51" spans="1:9" x14ac:dyDescent="0.35">
      <c r="A51" t="s">
        <v>61</v>
      </c>
      <c r="B51">
        <v>107704604</v>
      </c>
      <c r="C51" t="s">
        <v>93</v>
      </c>
      <c r="D51" t="s">
        <v>72</v>
      </c>
      <c r="E51" t="s">
        <v>58</v>
      </c>
      <c r="F51">
        <v>452</v>
      </c>
      <c r="G51" t="s">
        <v>68</v>
      </c>
      <c r="H51" t="s">
        <v>67</v>
      </c>
      <c r="I51">
        <v>452</v>
      </c>
    </row>
    <row r="52" spans="1:9" x14ac:dyDescent="0.35">
      <c r="A52" t="s">
        <v>61</v>
      </c>
      <c r="B52">
        <v>107232917</v>
      </c>
      <c r="C52" t="s">
        <v>530</v>
      </c>
      <c r="D52" t="s">
        <v>72</v>
      </c>
      <c r="E52" t="s">
        <v>70</v>
      </c>
      <c r="F52">
        <v>518</v>
      </c>
      <c r="G52" t="s">
        <v>62</v>
      </c>
      <c r="H52" t="s">
        <v>67</v>
      </c>
      <c r="I52">
        <v>5769</v>
      </c>
    </row>
    <row r="53" spans="1:9" x14ac:dyDescent="0.35">
      <c r="A53" t="s">
        <v>61</v>
      </c>
      <c r="B53">
        <v>107232917</v>
      </c>
      <c r="C53" t="s">
        <v>530</v>
      </c>
      <c r="D53" t="s">
        <v>72</v>
      </c>
      <c r="E53" t="s">
        <v>70</v>
      </c>
      <c r="F53">
        <v>518</v>
      </c>
      <c r="G53" t="s">
        <v>62</v>
      </c>
      <c r="H53" t="s">
        <v>63</v>
      </c>
      <c r="I53">
        <v>3322</v>
      </c>
    </row>
    <row r="54" spans="1:9" x14ac:dyDescent="0.35">
      <c r="A54" t="s">
        <v>61</v>
      </c>
      <c r="B54">
        <v>107232917</v>
      </c>
      <c r="C54" t="s">
        <v>530</v>
      </c>
      <c r="D54" t="s">
        <v>72</v>
      </c>
      <c r="E54" t="s">
        <v>70</v>
      </c>
      <c r="F54">
        <v>518</v>
      </c>
      <c r="G54" t="s">
        <v>62</v>
      </c>
      <c r="H54" t="s">
        <v>64</v>
      </c>
      <c r="I54">
        <v>2447</v>
      </c>
    </row>
    <row r="55" spans="1:9" x14ac:dyDescent="0.35">
      <c r="A55" t="s">
        <v>61</v>
      </c>
      <c r="B55">
        <v>107232917</v>
      </c>
      <c r="C55" t="s">
        <v>530</v>
      </c>
      <c r="D55" t="s">
        <v>72</v>
      </c>
      <c r="E55" t="s">
        <v>70</v>
      </c>
      <c r="F55">
        <v>518</v>
      </c>
      <c r="G55" t="s">
        <v>68</v>
      </c>
      <c r="H55" t="s">
        <v>67</v>
      </c>
      <c r="I55">
        <v>518</v>
      </c>
    </row>
    <row r="56" spans="1:9" x14ac:dyDescent="0.35">
      <c r="A56" t="s">
        <v>61</v>
      </c>
      <c r="B56">
        <v>107843876</v>
      </c>
      <c r="C56" t="s">
        <v>543</v>
      </c>
      <c r="D56" t="s">
        <v>72</v>
      </c>
      <c r="E56" t="s">
        <v>70</v>
      </c>
      <c r="F56">
        <v>466</v>
      </c>
      <c r="G56" t="s">
        <v>62</v>
      </c>
      <c r="H56" t="s">
        <v>67</v>
      </c>
      <c r="I56">
        <v>2369</v>
      </c>
    </row>
    <row r="57" spans="1:9" x14ac:dyDescent="0.35">
      <c r="A57" t="s">
        <v>61</v>
      </c>
      <c r="B57">
        <v>107843876</v>
      </c>
      <c r="C57" t="s">
        <v>543</v>
      </c>
      <c r="D57" t="s">
        <v>72</v>
      </c>
      <c r="E57" t="s">
        <v>70</v>
      </c>
      <c r="F57">
        <v>466</v>
      </c>
      <c r="G57" t="s">
        <v>62</v>
      </c>
      <c r="H57" t="s">
        <v>63</v>
      </c>
      <c r="I57">
        <v>256</v>
      </c>
    </row>
    <row r="58" spans="1:9" x14ac:dyDescent="0.35">
      <c r="A58" t="s">
        <v>61</v>
      </c>
      <c r="B58">
        <v>107843876</v>
      </c>
      <c r="C58" t="s">
        <v>543</v>
      </c>
      <c r="D58" t="s">
        <v>72</v>
      </c>
      <c r="E58" t="s">
        <v>70</v>
      </c>
      <c r="F58">
        <v>466</v>
      </c>
      <c r="G58" t="s">
        <v>62</v>
      </c>
      <c r="H58" t="s">
        <v>64</v>
      </c>
      <c r="I58">
        <v>2113</v>
      </c>
    </row>
    <row r="59" spans="1:9" x14ac:dyDescent="0.35">
      <c r="A59" t="s">
        <v>61</v>
      </c>
      <c r="B59">
        <v>107843876</v>
      </c>
      <c r="C59" t="s">
        <v>543</v>
      </c>
      <c r="D59" t="s">
        <v>72</v>
      </c>
      <c r="E59" t="s">
        <v>70</v>
      </c>
      <c r="F59">
        <v>466</v>
      </c>
      <c r="G59" t="s">
        <v>68</v>
      </c>
      <c r="H59" t="s">
        <v>67</v>
      </c>
      <c r="I59">
        <v>467</v>
      </c>
    </row>
    <row r="60" spans="1:9" x14ac:dyDescent="0.35">
      <c r="A60" t="s">
        <v>61</v>
      </c>
      <c r="B60">
        <v>101750120</v>
      </c>
      <c r="C60" t="s">
        <v>667</v>
      </c>
      <c r="D60" t="s">
        <v>72</v>
      </c>
      <c r="E60" t="s">
        <v>70</v>
      </c>
      <c r="F60">
        <v>369</v>
      </c>
      <c r="G60" t="s">
        <v>62</v>
      </c>
      <c r="H60" t="s">
        <v>67</v>
      </c>
      <c r="I60">
        <v>2788</v>
      </c>
    </row>
    <row r="61" spans="1:9" x14ac:dyDescent="0.35">
      <c r="A61" t="s">
        <v>61</v>
      </c>
      <c r="B61">
        <v>101750120</v>
      </c>
      <c r="C61" t="s">
        <v>667</v>
      </c>
      <c r="D61" t="s">
        <v>72</v>
      </c>
      <c r="E61" t="s">
        <v>70</v>
      </c>
      <c r="F61">
        <v>369</v>
      </c>
      <c r="G61" t="s">
        <v>62</v>
      </c>
      <c r="H61" t="s">
        <v>63</v>
      </c>
      <c r="I61">
        <v>674</v>
      </c>
    </row>
    <row r="62" spans="1:9" x14ac:dyDescent="0.35">
      <c r="A62" t="s">
        <v>61</v>
      </c>
      <c r="B62">
        <v>101750120</v>
      </c>
      <c r="C62" t="s">
        <v>667</v>
      </c>
      <c r="D62" t="s">
        <v>72</v>
      </c>
      <c r="E62" t="s">
        <v>70</v>
      </c>
      <c r="F62">
        <v>369</v>
      </c>
      <c r="G62" t="s">
        <v>62</v>
      </c>
      <c r="H62" t="s">
        <v>64</v>
      </c>
      <c r="I62">
        <v>2114</v>
      </c>
    </row>
    <row r="63" spans="1:9" x14ac:dyDescent="0.35">
      <c r="A63" t="s">
        <v>61</v>
      </c>
      <c r="B63">
        <v>101750120</v>
      </c>
      <c r="C63" t="s">
        <v>667</v>
      </c>
      <c r="D63" t="s">
        <v>72</v>
      </c>
      <c r="E63" t="s">
        <v>70</v>
      </c>
      <c r="F63">
        <v>369</v>
      </c>
      <c r="G63" t="s">
        <v>68</v>
      </c>
      <c r="H63" t="s">
        <v>67</v>
      </c>
      <c r="I63">
        <v>369</v>
      </c>
    </row>
    <row r="64" spans="1:9" x14ac:dyDescent="0.35">
      <c r="A64" t="s">
        <v>61</v>
      </c>
      <c r="B64">
        <v>102457590</v>
      </c>
      <c r="C64" t="s">
        <v>668</v>
      </c>
      <c r="D64" t="s">
        <v>72</v>
      </c>
      <c r="E64" t="s">
        <v>70</v>
      </c>
      <c r="F64">
        <v>396</v>
      </c>
      <c r="G64" t="s">
        <v>62</v>
      </c>
      <c r="H64" t="s">
        <v>67</v>
      </c>
      <c r="I64">
        <v>2885</v>
      </c>
    </row>
    <row r="65" spans="1:9" x14ac:dyDescent="0.35">
      <c r="A65" t="s">
        <v>61</v>
      </c>
      <c r="B65">
        <v>102457590</v>
      </c>
      <c r="C65" t="s">
        <v>668</v>
      </c>
      <c r="D65" t="s">
        <v>72</v>
      </c>
      <c r="E65" t="s">
        <v>70</v>
      </c>
      <c r="F65">
        <v>396</v>
      </c>
      <c r="G65" t="s">
        <v>62</v>
      </c>
      <c r="H65" t="s">
        <v>63</v>
      </c>
      <c r="I65">
        <v>869</v>
      </c>
    </row>
    <row r="66" spans="1:9" x14ac:dyDescent="0.35">
      <c r="A66" t="s">
        <v>61</v>
      </c>
      <c r="B66">
        <v>102457590</v>
      </c>
      <c r="C66" t="s">
        <v>668</v>
      </c>
      <c r="D66" t="s">
        <v>72</v>
      </c>
      <c r="E66" t="s">
        <v>70</v>
      </c>
      <c r="F66">
        <v>396</v>
      </c>
      <c r="G66" t="s">
        <v>62</v>
      </c>
      <c r="H66" t="s">
        <v>64</v>
      </c>
      <c r="I66">
        <v>2016</v>
      </c>
    </row>
    <row r="67" spans="1:9" x14ac:dyDescent="0.35">
      <c r="A67" t="s">
        <v>61</v>
      </c>
      <c r="B67">
        <v>102457590</v>
      </c>
      <c r="C67" t="s">
        <v>668</v>
      </c>
      <c r="D67" t="s">
        <v>72</v>
      </c>
      <c r="E67" t="s">
        <v>70</v>
      </c>
      <c r="F67">
        <v>396</v>
      </c>
      <c r="G67" t="s">
        <v>68</v>
      </c>
      <c r="H67" t="s">
        <v>67</v>
      </c>
      <c r="I67">
        <v>396</v>
      </c>
    </row>
    <row r="68" spans="1:9" x14ac:dyDescent="0.35">
      <c r="A68" t="s">
        <v>61</v>
      </c>
      <c r="B68">
        <v>100753604</v>
      </c>
      <c r="C68" t="s">
        <v>71</v>
      </c>
      <c r="D68" t="s">
        <v>72</v>
      </c>
      <c r="E68" t="s">
        <v>70</v>
      </c>
      <c r="F68">
        <v>572</v>
      </c>
      <c r="G68" t="s">
        <v>62</v>
      </c>
      <c r="H68" t="s">
        <v>67</v>
      </c>
      <c r="I68">
        <v>3165</v>
      </c>
    </row>
    <row r="69" spans="1:9" x14ac:dyDescent="0.35">
      <c r="A69" t="s">
        <v>61</v>
      </c>
      <c r="B69">
        <v>100753604</v>
      </c>
      <c r="C69" t="s">
        <v>71</v>
      </c>
      <c r="D69" t="s">
        <v>72</v>
      </c>
      <c r="E69" t="s">
        <v>70</v>
      </c>
      <c r="F69">
        <v>572</v>
      </c>
      <c r="G69" t="s">
        <v>62</v>
      </c>
      <c r="H69" t="s">
        <v>63</v>
      </c>
      <c r="I69">
        <v>531</v>
      </c>
    </row>
    <row r="70" spans="1:9" x14ac:dyDescent="0.35">
      <c r="A70" t="s">
        <v>61</v>
      </c>
      <c r="B70">
        <v>100753604</v>
      </c>
      <c r="C70" t="s">
        <v>71</v>
      </c>
      <c r="D70" t="s">
        <v>72</v>
      </c>
      <c r="E70" t="s">
        <v>70</v>
      </c>
      <c r="F70">
        <v>572</v>
      </c>
      <c r="G70" t="s">
        <v>62</v>
      </c>
      <c r="H70" t="s">
        <v>64</v>
      </c>
      <c r="I70">
        <v>2634</v>
      </c>
    </row>
    <row r="71" spans="1:9" x14ac:dyDescent="0.35">
      <c r="A71" t="s">
        <v>61</v>
      </c>
      <c r="B71">
        <v>100753604</v>
      </c>
      <c r="C71" t="s">
        <v>71</v>
      </c>
      <c r="D71" t="s">
        <v>72</v>
      </c>
      <c r="E71" t="s">
        <v>70</v>
      </c>
      <c r="F71">
        <v>572</v>
      </c>
      <c r="G71" t="s">
        <v>68</v>
      </c>
      <c r="H71" t="s">
        <v>67</v>
      </c>
      <c r="I71">
        <v>572</v>
      </c>
    </row>
    <row r="72" spans="1:9" x14ac:dyDescent="0.35">
      <c r="A72" t="s">
        <v>61</v>
      </c>
      <c r="B72">
        <v>106513473</v>
      </c>
      <c r="C72" t="s">
        <v>80</v>
      </c>
      <c r="D72" t="s">
        <v>72</v>
      </c>
      <c r="E72" t="s">
        <v>58</v>
      </c>
      <c r="F72">
        <v>385</v>
      </c>
      <c r="G72" t="s">
        <v>62</v>
      </c>
      <c r="H72" t="s">
        <v>67</v>
      </c>
      <c r="I72">
        <v>3168</v>
      </c>
    </row>
    <row r="73" spans="1:9" x14ac:dyDescent="0.35">
      <c r="A73" t="s">
        <v>61</v>
      </c>
      <c r="B73">
        <v>106513473</v>
      </c>
      <c r="C73" t="s">
        <v>80</v>
      </c>
      <c r="D73" t="s">
        <v>72</v>
      </c>
      <c r="E73" t="s">
        <v>58</v>
      </c>
      <c r="F73">
        <v>385</v>
      </c>
      <c r="G73" t="s">
        <v>62</v>
      </c>
      <c r="H73" t="s">
        <v>63</v>
      </c>
      <c r="I73">
        <v>771</v>
      </c>
    </row>
    <row r="74" spans="1:9" x14ac:dyDescent="0.35">
      <c r="A74" t="s">
        <v>61</v>
      </c>
      <c r="B74">
        <v>106513473</v>
      </c>
      <c r="C74" t="s">
        <v>80</v>
      </c>
      <c r="D74" t="s">
        <v>72</v>
      </c>
      <c r="E74" t="s">
        <v>58</v>
      </c>
      <c r="F74">
        <v>385</v>
      </c>
      <c r="G74" t="s">
        <v>62</v>
      </c>
      <c r="H74" t="s">
        <v>64</v>
      </c>
      <c r="I74">
        <v>2396</v>
      </c>
    </row>
    <row r="75" spans="1:9" x14ac:dyDescent="0.35">
      <c r="A75" t="s">
        <v>61</v>
      </c>
      <c r="B75">
        <v>106513473</v>
      </c>
      <c r="C75" t="s">
        <v>80</v>
      </c>
      <c r="D75" t="s">
        <v>72</v>
      </c>
      <c r="E75" t="s">
        <v>58</v>
      </c>
      <c r="F75">
        <v>385</v>
      </c>
      <c r="G75" t="s">
        <v>62</v>
      </c>
      <c r="H75" t="s">
        <v>65</v>
      </c>
      <c r="I75">
        <v>1</v>
      </c>
    </row>
    <row r="76" spans="1:9" x14ac:dyDescent="0.35">
      <c r="A76" t="s">
        <v>61</v>
      </c>
      <c r="B76">
        <v>106513473</v>
      </c>
      <c r="C76" t="s">
        <v>80</v>
      </c>
      <c r="D76" t="s">
        <v>72</v>
      </c>
      <c r="E76" t="s">
        <v>58</v>
      </c>
      <c r="F76">
        <v>385</v>
      </c>
      <c r="G76" t="s">
        <v>68</v>
      </c>
      <c r="H76" t="s">
        <v>67</v>
      </c>
      <c r="I76">
        <v>385</v>
      </c>
    </row>
    <row r="77" spans="1:9" x14ac:dyDescent="0.35">
      <c r="A77" t="s">
        <v>61</v>
      </c>
      <c r="B77">
        <v>107674648</v>
      </c>
      <c r="C77" t="s">
        <v>92</v>
      </c>
      <c r="D77" t="s">
        <v>72</v>
      </c>
      <c r="E77" t="s">
        <v>70</v>
      </c>
      <c r="F77">
        <v>351</v>
      </c>
      <c r="G77" t="s">
        <v>62</v>
      </c>
      <c r="H77" t="s">
        <v>67</v>
      </c>
      <c r="I77">
        <v>2437</v>
      </c>
    </row>
    <row r="78" spans="1:9" x14ac:dyDescent="0.35">
      <c r="A78" t="s">
        <v>61</v>
      </c>
      <c r="B78">
        <v>107674648</v>
      </c>
      <c r="C78" t="s">
        <v>92</v>
      </c>
      <c r="D78" t="s">
        <v>72</v>
      </c>
      <c r="E78" t="s">
        <v>70</v>
      </c>
      <c r="F78">
        <v>351</v>
      </c>
      <c r="G78" t="s">
        <v>62</v>
      </c>
      <c r="H78" t="s">
        <v>63</v>
      </c>
      <c r="I78">
        <v>318</v>
      </c>
    </row>
    <row r="79" spans="1:9" x14ac:dyDescent="0.35">
      <c r="A79" t="s">
        <v>61</v>
      </c>
      <c r="B79">
        <v>107674648</v>
      </c>
      <c r="C79" t="s">
        <v>92</v>
      </c>
      <c r="D79" t="s">
        <v>72</v>
      </c>
      <c r="E79" t="s">
        <v>70</v>
      </c>
      <c r="F79">
        <v>351</v>
      </c>
      <c r="G79" t="s">
        <v>62</v>
      </c>
      <c r="H79" t="s">
        <v>64</v>
      </c>
      <c r="I79">
        <v>2119</v>
      </c>
    </row>
    <row r="80" spans="1:9" x14ac:dyDescent="0.35">
      <c r="A80" t="s">
        <v>61</v>
      </c>
      <c r="B80">
        <v>107674648</v>
      </c>
      <c r="C80" t="s">
        <v>92</v>
      </c>
      <c r="D80" t="s">
        <v>72</v>
      </c>
      <c r="E80" t="s">
        <v>70</v>
      </c>
      <c r="F80">
        <v>351</v>
      </c>
      <c r="G80" t="s">
        <v>68</v>
      </c>
      <c r="H80" t="s">
        <v>67</v>
      </c>
      <c r="I80">
        <v>351</v>
      </c>
    </row>
    <row r="81" spans="1:9" x14ac:dyDescent="0.35">
      <c r="A81" t="s">
        <v>61</v>
      </c>
      <c r="B81">
        <v>106276317</v>
      </c>
      <c r="C81" t="s">
        <v>548</v>
      </c>
      <c r="D81" t="s">
        <v>72</v>
      </c>
      <c r="E81" t="s">
        <v>70</v>
      </c>
      <c r="F81">
        <v>504</v>
      </c>
      <c r="G81" t="s">
        <v>62</v>
      </c>
      <c r="H81" t="s">
        <v>67</v>
      </c>
      <c r="I81">
        <v>3075</v>
      </c>
    </row>
    <row r="82" spans="1:9" x14ac:dyDescent="0.35">
      <c r="A82" t="s">
        <v>61</v>
      </c>
      <c r="B82">
        <v>106276317</v>
      </c>
      <c r="C82" t="s">
        <v>548</v>
      </c>
      <c r="D82" t="s">
        <v>72</v>
      </c>
      <c r="E82" t="s">
        <v>70</v>
      </c>
      <c r="F82">
        <v>504</v>
      </c>
      <c r="G82" t="s">
        <v>62</v>
      </c>
      <c r="H82" t="s">
        <v>63</v>
      </c>
      <c r="I82">
        <v>729</v>
      </c>
    </row>
    <row r="83" spans="1:9" x14ac:dyDescent="0.35">
      <c r="A83" t="s">
        <v>61</v>
      </c>
      <c r="B83">
        <v>106276317</v>
      </c>
      <c r="C83" t="s">
        <v>548</v>
      </c>
      <c r="D83" t="s">
        <v>72</v>
      </c>
      <c r="E83" t="s">
        <v>70</v>
      </c>
      <c r="F83">
        <v>504</v>
      </c>
      <c r="G83" t="s">
        <v>62</v>
      </c>
      <c r="H83" t="s">
        <v>64</v>
      </c>
      <c r="I83">
        <v>2346</v>
      </c>
    </row>
    <row r="84" spans="1:9" x14ac:dyDescent="0.35">
      <c r="A84" t="s">
        <v>61</v>
      </c>
      <c r="B84">
        <v>106276317</v>
      </c>
      <c r="C84" t="s">
        <v>548</v>
      </c>
      <c r="D84" t="s">
        <v>72</v>
      </c>
      <c r="E84" t="s">
        <v>70</v>
      </c>
      <c r="F84">
        <v>504</v>
      </c>
      <c r="G84" t="s">
        <v>68</v>
      </c>
      <c r="H84" t="s">
        <v>67</v>
      </c>
      <c r="I84">
        <v>504</v>
      </c>
    </row>
    <row r="85" spans="1:9" x14ac:dyDescent="0.35">
      <c r="A85" t="s">
        <v>61</v>
      </c>
      <c r="B85">
        <v>107775521</v>
      </c>
      <c r="C85" t="s">
        <v>99</v>
      </c>
      <c r="D85" t="s">
        <v>72</v>
      </c>
      <c r="E85" t="s">
        <v>70</v>
      </c>
      <c r="F85">
        <v>529</v>
      </c>
      <c r="G85" t="s">
        <v>62</v>
      </c>
      <c r="H85" t="s">
        <v>67</v>
      </c>
      <c r="I85">
        <v>2783</v>
      </c>
    </row>
    <row r="86" spans="1:9" x14ac:dyDescent="0.35">
      <c r="A86" t="s">
        <v>61</v>
      </c>
      <c r="B86">
        <v>107775521</v>
      </c>
      <c r="C86" t="s">
        <v>99</v>
      </c>
      <c r="D86" t="s">
        <v>72</v>
      </c>
      <c r="E86" t="s">
        <v>70</v>
      </c>
      <c r="F86">
        <v>529</v>
      </c>
      <c r="G86" t="s">
        <v>62</v>
      </c>
      <c r="H86" t="s">
        <v>63</v>
      </c>
      <c r="I86">
        <v>454</v>
      </c>
    </row>
    <row r="87" spans="1:9" x14ac:dyDescent="0.35">
      <c r="A87" t="s">
        <v>61</v>
      </c>
      <c r="B87">
        <v>107775521</v>
      </c>
      <c r="C87" t="s">
        <v>99</v>
      </c>
      <c r="D87" t="s">
        <v>72</v>
      </c>
      <c r="E87" t="s">
        <v>70</v>
      </c>
      <c r="F87">
        <v>529</v>
      </c>
      <c r="G87" t="s">
        <v>62</v>
      </c>
      <c r="H87" t="s">
        <v>64</v>
      </c>
      <c r="I87">
        <v>2329</v>
      </c>
    </row>
    <row r="88" spans="1:9" x14ac:dyDescent="0.35">
      <c r="A88" t="s">
        <v>61</v>
      </c>
      <c r="B88">
        <v>107775521</v>
      </c>
      <c r="C88" t="s">
        <v>99</v>
      </c>
      <c r="D88" t="s">
        <v>72</v>
      </c>
      <c r="E88" t="s">
        <v>70</v>
      </c>
      <c r="F88">
        <v>529</v>
      </c>
      <c r="G88" t="s">
        <v>68</v>
      </c>
      <c r="H88" t="s">
        <v>67</v>
      </c>
      <c r="I88">
        <v>529</v>
      </c>
    </row>
    <row r="89" spans="1:9" x14ac:dyDescent="0.35">
      <c r="A89" t="s">
        <v>61</v>
      </c>
      <c r="B89">
        <v>107775986</v>
      </c>
      <c r="C89" t="s">
        <v>100</v>
      </c>
      <c r="D89" t="s">
        <v>72</v>
      </c>
      <c r="E89" t="s">
        <v>70</v>
      </c>
      <c r="F89">
        <v>513</v>
      </c>
      <c r="G89" t="s">
        <v>62</v>
      </c>
      <c r="H89" t="s">
        <v>67</v>
      </c>
      <c r="I89">
        <v>3507</v>
      </c>
    </row>
    <row r="90" spans="1:9" x14ac:dyDescent="0.35">
      <c r="A90" t="s">
        <v>61</v>
      </c>
      <c r="B90">
        <v>107775986</v>
      </c>
      <c r="C90" t="s">
        <v>100</v>
      </c>
      <c r="D90" t="s">
        <v>72</v>
      </c>
      <c r="E90" t="s">
        <v>70</v>
      </c>
      <c r="F90">
        <v>513</v>
      </c>
      <c r="G90" t="s">
        <v>62</v>
      </c>
      <c r="H90" t="s">
        <v>63</v>
      </c>
      <c r="I90">
        <v>1232</v>
      </c>
    </row>
    <row r="91" spans="1:9" x14ac:dyDescent="0.35">
      <c r="A91" t="s">
        <v>61</v>
      </c>
      <c r="B91">
        <v>107775986</v>
      </c>
      <c r="C91" t="s">
        <v>100</v>
      </c>
      <c r="D91" t="s">
        <v>72</v>
      </c>
      <c r="E91" t="s">
        <v>70</v>
      </c>
      <c r="F91">
        <v>513</v>
      </c>
      <c r="G91" t="s">
        <v>62</v>
      </c>
      <c r="H91" t="s">
        <v>64</v>
      </c>
      <c r="I91">
        <v>2275</v>
      </c>
    </row>
    <row r="92" spans="1:9" x14ac:dyDescent="0.35">
      <c r="A92" t="s">
        <v>61</v>
      </c>
      <c r="B92">
        <v>107775986</v>
      </c>
      <c r="C92" t="s">
        <v>100</v>
      </c>
      <c r="D92" t="s">
        <v>72</v>
      </c>
      <c r="E92" t="s">
        <v>70</v>
      </c>
      <c r="F92">
        <v>513</v>
      </c>
      <c r="G92" t="s">
        <v>68</v>
      </c>
      <c r="H92" t="s">
        <v>67</v>
      </c>
      <c r="I92">
        <v>513</v>
      </c>
    </row>
    <row r="93" spans="1:9" x14ac:dyDescent="0.35">
      <c r="A93" t="s">
        <v>61</v>
      </c>
      <c r="B93">
        <v>102476407</v>
      </c>
      <c r="C93" t="s">
        <v>74</v>
      </c>
      <c r="D93" t="s">
        <v>75</v>
      </c>
      <c r="E93" t="s">
        <v>58</v>
      </c>
      <c r="F93">
        <v>273</v>
      </c>
      <c r="G93" t="s">
        <v>62</v>
      </c>
      <c r="H93" t="s">
        <v>67</v>
      </c>
      <c r="I93">
        <v>1606</v>
      </c>
    </row>
    <row r="94" spans="1:9" x14ac:dyDescent="0.35">
      <c r="A94" t="s">
        <v>61</v>
      </c>
      <c r="B94">
        <v>102476407</v>
      </c>
      <c r="C94" t="s">
        <v>74</v>
      </c>
      <c r="D94" t="s">
        <v>75</v>
      </c>
      <c r="E94" t="s">
        <v>58</v>
      </c>
      <c r="F94">
        <v>273</v>
      </c>
      <c r="G94" t="s">
        <v>62</v>
      </c>
      <c r="H94" t="s">
        <v>63</v>
      </c>
      <c r="I94">
        <v>430</v>
      </c>
    </row>
    <row r="95" spans="1:9" x14ac:dyDescent="0.35">
      <c r="A95" t="s">
        <v>61</v>
      </c>
      <c r="B95">
        <v>102476407</v>
      </c>
      <c r="C95" t="s">
        <v>74</v>
      </c>
      <c r="D95" t="s">
        <v>75</v>
      </c>
      <c r="E95" t="s">
        <v>58</v>
      </c>
      <c r="F95">
        <v>273</v>
      </c>
      <c r="G95" t="s">
        <v>62</v>
      </c>
      <c r="H95" t="s">
        <v>64</v>
      </c>
      <c r="I95">
        <v>1176</v>
      </c>
    </row>
    <row r="96" spans="1:9" x14ac:dyDescent="0.35">
      <c r="A96" t="s">
        <v>61</v>
      </c>
      <c r="B96">
        <v>102476407</v>
      </c>
      <c r="C96" t="s">
        <v>74</v>
      </c>
      <c r="D96" t="s">
        <v>75</v>
      </c>
      <c r="E96" t="s">
        <v>58</v>
      </c>
      <c r="F96">
        <v>273</v>
      </c>
      <c r="G96" t="s">
        <v>68</v>
      </c>
      <c r="H96" t="s">
        <v>67</v>
      </c>
      <c r="I96">
        <v>273</v>
      </c>
    </row>
    <row r="97" spans="1:9" x14ac:dyDescent="0.35">
      <c r="A97" t="s">
        <v>61</v>
      </c>
      <c r="B97">
        <v>107775413</v>
      </c>
      <c r="C97" t="s">
        <v>98</v>
      </c>
      <c r="D97" t="s">
        <v>72</v>
      </c>
      <c r="E97" t="s">
        <v>58</v>
      </c>
      <c r="F97">
        <v>246</v>
      </c>
      <c r="G97" t="s">
        <v>62</v>
      </c>
      <c r="H97" t="s">
        <v>67</v>
      </c>
      <c r="I97">
        <v>1820</v>
      </c>
    </row>
    <row r="98" spans="1:9" x14ac:dyDescent="0.35">
      <c r="A98" t="s">
        <v>61</v>
      </c>
      <c r="B98">
        <v>107775413</v>
      </c>
      <c r="C98" t="s">
        <v>98</v>
      </c>
      <c r="D98" t="s">
        <v>72</v>
      </c>
      <c r="E98" t="s">
        <v>58</v>
      </c>
      <c r="F98">
        <v>246</v>
      </c>
      <c r="G98" t="s">
        <v>62</v>
      </c>
      <c r="H98" t="s">
        <v>63</v>
      </c>
      <c r="I98">
        <v>524</v>
      </c>
    </row>
    <row r="99" spans="1:9" x14ac:dyDescent="0.35">
      <c r="A99" t="s">
        <v>61</v>
      </c>
      <c r="B99">
        <v>107775413</v>
      </c>
      <c r="C99" t="s">
        <v>98</v>
      </c>
      <c r="D99" t="s">
        <v>72</v>
      </c>
      <c r="E99" t="s">
        <v>58</v>
      </c>
      <c r="F99">
        <v>246</v>
      </c>
      <c r="G99" t="s">
        <v>62</v>
      </c>
      <c r="H99" t="s">
        <v>64</v>
      </c>
      <c r="I99">
        <v>1296</v>
      </c>
    </row>
    <row r="100" spans="1:9" x14ac:dyDescent="0.35">
      <c r="A100" t="s">
        <v>61</v>
      </c>
      <c r="B100">
        <v>107775413</v>
      </c>
      <c r="C100" t="s">
        <v>98</v>
      </c>
      <c r="D100" t="s">
        <v>72</v>
      </c>
      <c r="E100" t="s">
        <v>58</v>
      </c>
      <c r="F100">
        <v>246</v>
      </c>
      <c r="G100" t="s">
        <v>68</v>
      </c>
      <c r="H100" t="s">
        <v>67</v>
      </c>
      <c r="I100">
        <v>246</v>
      </c>
    </row>
    <row r="101" spans="1:9" x14ac:dyDescent="0.35">
      <c r="A101" t="s">
        <v>61</v>
      </c>
      <c r="B101">
        <v>107233200</v>
      </c>
      <c r="C101" t="s">
        <v>533</v>
      </c>
      <c r="D101" t="s">
        <v>72</v>
      </c>
      <c r="E101" t="s">
        <v>70</v>
      </c>
      <c r="F101">
        <v>450</v>
      </c>
      <c r="G101" t="s">
        <v>62</v>
      </c>
      <c r="H101" t="s">
        <v>67</v>
      </c>
      <c r="I101">
        <v>2256</v>
      </c>
    </row>
    <row r="102" spans="1:9" x14ac:dyDescent="0.35">
      <c r="A102" t="s">
        <v>61</v>
      </c>
      <c r="B102">
        <v>107233200</v>
      </c>
      <c r="C102" t="s">
        <v>533</v>
      </c>
      <c r="D102" t="s">
        <v>72</v>
      </c>
      <c r="E102" t="s">
        <v>70</v>
      </c>
      <c r="F102">
        <v>450</v>
      </c>
      <c r="G102" t="s">
        <v>62</v>
      </c>
      <c r="H102" t="s">
        <v>63</v>
      </c>
      <c r="I102">
        <v>486</v>
      </c>
    </row>
    <row r="103" spans="1:9" x14ac:dyDescent="0.35">
      <c r="A103" t="s">
        <v>61</v>
      </c>
      <c r="B103">
        <v>107233200</v>
      </c>
      <c r="C103" t="s">
        <v>533</v>
      </c>
      <c r="D103" t="s">
        <v>72</v>
      </c>
      <c r="E103" t="s">
        <v>70</v>
      </c>
      <c r="F103">
        <v>450</v>
      </c>
      <c r="G103" t="s">
        <v>62</v>
      </c>
      <c r="H103" t="s">
        <v>64</v>
      </c>
      <c r="I103">
        <v>1770</v>
      </c>
    </row>
    <row r="104" spans="1:9" x14ac:dyDescent="0.35">
      <c r="A104" t="s">
        <v>61</v>
      </c>
      <c r="B104">
        <v>107233200</v>
      </c>
      <c r="C104" t="s">
        <v>533</v>
      </c>
      <c r="D104" t="s">
        <v>72</v>
      </c>
      <c r="E104" t="s">
        <v>70</v>
      </c>
      <c r="F104">
        <v>450</v>
      </c>
      <c r="G104" t="s">
        <v>68</v>
      </c>
      <c r="H104" t="s">
        <v>67</v>
      </c>
      <c r="I104">
        <v>450</v>
      </c>
    </row>
    <row r="105" spans="1:9" x14ac:dyDescent="0.35">
      <c r="A105" t="s">
        <v>61</v>
      </c>
      <c r="B105">
        <v>104378003</v>
      </c>
      <c r="C105" t="s">
        <v>526</v>
      </c>
      <c r="D105" t="s">
        <v>72</v>
      </c>
      <c r="E105" t="s">
        <v>70</v>
      </c>
      <c r="F105">
        <v>320</v>
      </c>
      <c r="G105" t="s">
        <v>62</v>
      </c>
      <c r="H105" t="s">
        <v>67</v>
      </c>
      <c r="I105">
        <v>2731</v>
      </c>
    </row>
    <row r="106" spans="1:9" x14ac:dyDescent="0.35">
      <c r="A106" t="s">
        <v>61</v>
      </c>
      <c r="B106">
        <v>104378003</v>
      </c>
      <c r="C106" t="s">
        <v>526</v>
      </c>
      <c r="D106" t="s">
        <v>72</v>
      </c>
      <c r="E106" t="s">
        <v>70</v>
      </c>
      <c r="F106">
        <v>320</v>
      </c>
      <c r="G106" t="s">
        <v>62</v>
      </c>
      <c r="H106" t="s">
        <v>63</v>
      </c>
      <c r="I106">
        <v>668</v>
      </c>
    </row>
    <row r="107" spans="1:9" x14ac:dyDescent="0.35">
      <c r="A107" t="s">
        <v>61</v>
      </c>
      <c r="B107">
        <v>104378003</v>
      </c>
      <c r="C107" t="s">
        <v>526</v>
      </c>
      <c r="D107" t="s">
        <v>72</v>
      </c>
      <c r="E107" t="s">
        <v>70</v>
      </c>
      <c r="F107">
        <v>320</v>
      </c>
      <c r="G107" t="s">
        <v>62</v>
      </c>
      <c r="H107" t="s">
        <v>64</v>
      </c>
      <c r="I107">
        <v>2063</v>
      </c>
    </row>
    <row r="108" spans="1:9" x14ac:dyDescent="0.35">
      <c r="A108" t="s">
        <v>61</v>
      </c>
      <c r="B108">
        <v>104378003</v>
      </c>
      <c r="C108" t="s">
        <v>526</v>
      </c>
      <c r="D108" t="s">
        <v>72</v>
      </c>
      <c r="E108" t="s">
        <v>70</v>
      </c>
      <c r="F108">
        <v>320</v>
      </c>
      <c r="G108" t="s">
        <v>68</v>
      </c>
      <c r="H108" t="s">
        <v>67</v>
      </c>
      <c r="I108">
        <v>319</v>
      </c>
    </row>
    <row r="109" spans="1:9" x14ac:dyDescent="0.35">
      <c r="A109" t="s">
        <v>61</v>
      </c>
      <c r="B109">
        <v>107264616</v>
      </c>
      <c r="C109" t="s">
        <v>534</v>
      </c>
      <c r="D109" t="s">
        <v>72</v>
      </c>
      <c r="E109" t="s">
        <v>70</v>
      </c>
      <c r="F109">
        <v>554</v>
      </c>
      <c r="G109" t="s">
        <v>62</v>
      </c>
      <c r="H109" t="s">
        <v>67</v>
      </c>
      <c r="I109">
        <v>2666</v>
      </c>
    </row>
    <row r="110" spans="1:9" x14ac:dyDescent="0.35">
      <c r="A110" t="s">
        <v>61</v>
      </c>
      <c r="B110">
        <v>107264616</v>
      </c>
      <c r="C110" t="s">
        <v>534</v>
      </c>
      <c r="D110" t="s">
        <v>72</v>
      </c>
      <c r="E110" t="s">
        <v>70</v>
      </c>
      <c r="F110">
        <v>554</v>
      </c>
      <c r="G110" t="s">
        <v>62</v>
      </c>
      <c r="H110" t="s">
        <v>63</v>
      </c>
      <c r="I110">
        <v>383</v>
      </c>
    </row>
    <row r="111" spans="1:9" x14ac:dyDescent="0.35">
      <c r="A111" t="s">
        <v>61</v>
      </c>
      <c r="B111">
        <v>107264616</v>
      </c>
      <c r="C111" t="s">
        <v>534</v>
      </c>
      <c r="D111" t="s">
        <v>72</v>
      </c>
      <c r="E111" t="s">
        <v>70</v>
      </c>
      <c r="F111">
        <v>554</v>
      </c>
      <c r="G111" t="s">
        <v>62</v>
      </c>
      <c r="H111" t="s">
        <v>64</v>
      </c>
      <c r="I111">
        <v>2283</v>
      </c>
    </row>
    <row r="112" spans="1:9" x14ac:dyDescent="0.35">
      <c r="A112" t="s">
        <v>61</v>
      </c>
      <c r="B112">
        <v>107264616</v>
      </c>
      <c r="C112" t="s">
        <v>534</v>
      </c>
      <c r="D112" t="s">
        <v>72</v>
      </c>
      <c r="E112" t="s">
        <v>70</v>
      </c>
      <c r="F112">
        <v>554</v>
      </c>
      <c r="G112" t="s">
        <v>68</v>
      </c>
      <c r="H112" t="s">
        <v>67</v>
      </c>
      <c r="I112">
        <v>554</v>
      </c>
    </row>
    <row r="113" spans="1:9" x14ac:dyDescent="0.35">
      <c r="A113" t="s">
        <v>61</v>
      </c>
      <c r="B113">
        <v>106550610</v>
      </c>
      <c r="C113" t="s">
        <v>572</v>
      </c>
      <c r="D113" t="s">
        <v>72</v>
      </c>
      <c r="E113" t="s">
        <v>70</v>
      </c>
      <c r="F113">
        <v>3</v>
      </c>
      <c r="G113" t="s">
        <v>62</v>
      </c>
      <c r="H113" t="s">
        <v>67</v>
      </c>
      <c r="I113">
        <v>5263</v>
      </c>
    </row>
    <row r="114" spans="1:9" x14ac:dyDescent="0.35">
      <c r="A114" t="s">
        <v>61</v>
      </c>
      <c r="B114">
        <v>106550610</v>
      </c>
      <c r="C114" t="s">
        <v>572</v>
      </c>
      <c r="D114" t="s">
        <v>72</v>
      </c>
      <c r="E114" t="s">
        <v>70</v>
      </c>
      <c r="F114">
        <v>3</v>
      </c>
      <c r="G114" t="s">
        <v>62</v>
      </c>
      <c r="H114" t="s">
        <v>63</v>
      </c>
      <c r="I114">
        <v>4320</v>
      </c>
    </row>
    <row r="115" spans="1:9" x14ac:dyDescent="0.35">
      <c r="A115" t="s">
        <v>61</v>
      </c>
      <c r="B115">
        <v>106550610</v>
      </c>
      <c r="C115" t="s">
        <v>572</v>
      </c>
      <c r="D115" t="s">
        <v>72</v>
      </c>
      <c r="E115" t="s">
        <v>70</v>
      </c>
      <c r="F115">
        <v>3</v>
      </c>
      <c r="G115" t="s">
        <v>62</v>
      </c>
      <c r="H115" t="s">
        <v>64</v>
      </c>
      <c r="I115">
        <v>943</v>
      </c>
    </row>
    <row r="116" spans="1:9" x14ac:dyDescent="0.35">
      <c r="A116" t="s">
        <v>61</v>
      </c>
      <c r="B116">
        <v>106550610</v>
      </c>
      <c r="C116" t="s">
        <v>572</v>
      </c>
      <c r="D116" t="s">
        <v>72</v>
      </c>
      <c r="E116" t="s">
        <v>70</v>
      </c>
      <c r="F116">
        <v>3</v>
      </c>
      <c r="G116" t="s">
        <v>68</v>
      </c>
      <c r="H116" t="s">
        <v>67</v>
      </c>
      <c r="I116">
        <v>297</v>
      </c>
    </row>
    <row r="117" spans="1:9" x14ac:dyDescent="0.35">
      <c r="A117" t="s">
        <v>61</v>
      </c>
      <c r="B117">
        <v>106550610</v>
      </c>
      <c r="C117" t="s">
        <v>572</v>
      </c>
      <c r="D117" t="s">
        <v>72</v>
      </c>
      <c r="E117" t="s">
        <v>70</v>
      </c>
      <c r="F117">
        <v>3</v>
      </c>
      <c r="G117" t="s">
        <v>69</v>
      </c>
      <c r="H117" t="s">
        <v>67</v>
      </c>
      <c r="I117">
        <v>3</v>
      </c>
    </row>
    <row r="118" spans="1:9" x14ac:dyDescent="0.35">
      <c r="A118" t="s">
        <v>61</v>
      </c>
      <c r="B118">
        <v>107232971</v>
      </c>
      <c r="C118" t="s">
        <v>531</v>
      </c>
      <c r="D118" t="s">
        <v>72</v>
      </c>
      <c r="E118" t="s">
        <v>70</v>
      </c>
      <c r="F118">
        <v>573</v>
      </c>
      <c r="G118" t="s">
        <v>62</v>
      </c>
      <c r="H118" t="s">
        <v>67</v>
      </c>
      <c r="I118">
        <v>2395</v>
      </c>
    </row>
    <row r="119" spans="1:9" x14ac:dyDescent="0.35">
      <c r="A119" t="s">
        <v>61</v>
      </c>
      <c r="B119">
        <v>107232971</v>
      </c>
      <c r="C119" t="s">
        <v>531</v>
      </c>
      <c r="D119" t="s">
        <v>72</v>
      </c>
      <c r="E119" t="s">
        <v>70</v>
      </c>
      <c r="F119">
        <v>573</v>
      </c>
      <c r="G119" t="s">
        <v>62</v>
      </c>
      <c r="H119" t="s">
        <v>63</v>
      </c>
      <c r="I119">
        <v>286</v>
      </c>
    </row>
    <row r="120" spans="1:9" x14ac:dyDescent="0.35">
      <c r="A120" t="s">
        <v>61</v>
      </c>
      <c r="B120">
        <v>107232971</v>
      </c>
      <c r="C120" t="s">
        <v>531</v>
      </c>
      <c r="D120" t="s">
        <v>72</v>
      </c>
      <c r="E120" t="s">
        <v>70</v>
      </c>
      <c r="F120">
        <v>573</v>
      </c>
      <c r="G120" t="s">
        <v>62</v>
      </c>
      <c r="H120" t="s">
        <v>64</v>
      </c>
      <c r="I120">
        <v>2109</v>
      </c>
    </row>
    <row r="121" spans="1:9" x14ac:dyDescent="0.35">
      <c r="A121" t="s">
        <v>61</v>
      </c>
      <c r="B121">
        <v>107232971</v>
      </c>
      <c r="C121" t="s">
        <v>531</v>
      </c>
      <c r="D121" t="s">
        <v>72</v>
      </c>
      <c r="E121" t="s">
        <v>70</v>
      </c>
      <c r="F121">
        <v>573</v>
      </c>
      <c r="G121" t="s">
        <v>68</v>
      </c>
      <c r="H121" t="s">
        <v>67</v>
      </c>
      <c r="I121">
        <v>573</v>
      </c>
    </row>
    <row r="122" spans="1:9" x14ac:dyDescent="0.35">
      <c r="A122" t="s">
        <v>61</v>
      </c>
      <c r="B122">
        <v>107221179</v>
      </c>
      <c r="C122" t="s">
        <v>83</v>
      </c>
      <c r="D122" t="s">
        <v>72</v>
      </c>
      <c r="E122" t="s">
        <v>58</v>
      </c>
      <c r="F122">
        <v>336</v>
      </c>
      <c r="G122" t="s">
        <v>62</v>
      </c>
      <c r="H122" t="s">
        <v>67</v>
      </c>
      <c r="I122">
        <v>1526</v>
      </c>
    </row>
    <row r="123" spans="1:9" x14ac:dyDescent="0.35">
      <c r="A123" t="s">
        <v>61</v>
      </c>
      <c r="B123">
        <v>107221179</v>
      </c>
      <c r="C123" t="s">
        <v>83</v>
      </c>
      <c r="D123" t="s">
        <v>72</v>
      </c>
      <c r="E123" t="s">
        <v>58</v>
      </c>
      <c r="F123">
        <v>336</v>
      </c>
      <c r="G123" t="s">
        <v>62</v>
      </c>
      <c r="H123" t="s">
        <v>63</v>
      </c>
      <c r="I123">
        <v>308</v>
      </c>
    </row>
    <row r="124" spans="1:9" x14ac:dyDescent="0.35">
      <c r="A124" t="s">
        <v>61</v>
      </c>
      <c r="B124">
        <v>107221179</v>
      </c>
      <c r="C124" t="s">
        <v>83</v>
      </c>
      <c r="D124" t="s">
        <v>72</v>
      </c>
      <c r="E124" t="s">
        <v>58</v>
      </c>
      <c r="F124">
        <v>336</v>
      </c>
      <c r="G124" t="s">
        <v>62</v>
      </c>
      <c r="H124" t="s">
        <v>64</v>
      </c>
      <c r="I124">
        <v>1218</v>
      </c>
    </row>
    <row r="125" spans="1:9" x14ac:dyDescent="0.35">
      <c r="A125" t="s">
        <v>61</v>
      </c>
      <c r="B125">
        <v>107221179</v>
      </c>
      <c r="C125" t="s">
        <v>83</v>
      </c>
      <c r="D125" t="s">
        <v>72</v>
      </c>
      <c r="E125" t="s">
        <v>58</v>
      </c>
      <c r="F125">
        <v>336</v>
      </c>
      <c r="G125" t="s">
        <v>68</v>
      </c>
      <c r="H125" t="s">
        <v>67</v>
      </c>
      <c r="I125">
        <v>336</v>
      </c>
    </row>
    <row r="126" spans="1:9" x14ac:dyDescent="0.35">
      <c r="A126" t="s">
        <v>61</v>
      </c>
      <c r="B126">
        <v>105749066</v>
      </c>
      <c r="C126" t="s">
        <v>666</v>
      </c>
      <c r="D126" t="s">
        <v>72</v>
      </c>
      <c r="E126" t="s">
        <v>70</v>
      </c>
      <c r="F126">
        <v>355</v>
      </c>
      <c r="G126" t="s">
        <v>62</v>
      </c>
      <c r="H126" t="s">
        <v>67</v>
      </c>
      <c r="I126">
        <v>2579</v>
      </c>
    </row>
    <row r="127" spans="1:9" x14ac:dyDescent="0.35">
      <c r="A127" t="s">
        <v>61</v>
      </c>
      <c r="B127">
        <v>105749066</v>
      </c>
      <c r="C127" t="s">
        <v>666</v>
      </c>
      <c r="D127" t="s">
        <v>72</v>
      </c>
      <c r="E127" t="s">
        <v>70</v>
      </c>
      <c r="F127">
        <v>355</v>
      </c>
      <c r="G127" t="s">
        <v>62</v>
      </c>
      <c r="H127" t="s">
        <v>63</v>
      </c>
      <c r="I127">
        <v>626</v>
      </c>
    </row>
    <row r="128" spans="1:9" x14ac:dyDescent="0.35">
      <c r="A128" t="s">
        <v>61</v>
      </c>
      <c r="B128">
        <v>105749066</v>
      </c>
      <c r="C128" t="s">
        <v>666</v>
      </c>
      <c r="D128" t="s">
        <v>72</v>
      </c>
      <c r="E128" t="s">
        <v>70</v>
      </c>
      <c r="F128">
        <v>355</v>
      </c>
      <c r="G128" t="s">
        <v>62</v>
      </c>
      <c r="H128" t="s">
        <v>64</v>
      </c>
      <c r="I128">
        <v>1953</v>
      </c>
    </row>
    <row r="129" spans="1:9" x14ac:dyDescent="0.35">
      <c r="A129" t="s">
        <v>61</v>
      </c>
      <c r="B129">
        <v>105749066</v>
      </c>
      <c r="C129" t="s">
        <v>666</v>
      </c>
      <c r="D129" t="s">
        <v>72</v>
      </c>
      <c r="E129" t="s">
        <v>70</v>
      </c>
      <c r="F129">
        <v>355</v>
      </c>
      <c r="G129" t="s">
        <v>68</v>
      </c>
      <c r="H129" t="s">
        <v>67</v>
      </c>
      <c r="I129">
        <v>355</v>
      </c>
    </row>
    <row r="130" spans="1:9" x14ac:dyDescent="0.35">
      <c r="A130" t="s">
        <v>61</v>
      </c>
      <c r="B130">
        <v>104385509</v>
      </c>
      <c r="C130" t="s">
        <v>574</v>
      </c>
      <c r="D130" t="s">
        <v>72</v>
      </c>
      <c r="E130" t="s">
        <v>70</v>
      </c>
      <c r="F130">
        <v>418</v>
      </c>
      <c r="G130" t="s">
        <v>62</v>
      </c>
      <c r="H130" t="s">
        <v>67</v>
      </c>
      <c r="I130">
        <v>2964</v>
      </c>
    </row>
    <row r="131" spans="1:9" x14ac:dyDescent="0.35">
      <c r="A131" t="s">
        <v>61</v>
      </c>
      <c r="B131">
        <v>104385509</v>
      </c>
      <c r="C131" t="s">
        <v>574</v>
      </c>
      <c r="D131" t="s">
        <v>72</v>
      </c>
      <c r="E131" t="s">
        <v>70</v>
      </c>
      <c r="F131">
        <v>418</v>
      </c>
      <c r="G131" t="s">
        <v>62</v>
      </c>
      <c r="H131" t="s">
        <v>63</v>
      </c>
      <c r="I131">
        <v>744</v>
      </c>
    </row>
    <row r="132" spans="1:9" x14ac:dyDescent="0.35">
      <c r="A132" t="s">
        <v>61</v>
      </c>
      <c r="B132">
        <v>104385509</v>
      </c>
      <c r="C132" t="s">
        <v>574</v>
      </c>
      <c r="D132" t="s">
        <v>72</v>
      </c>
      <c r="E132" t="s">
        <v>70</v>
      </c>
      <c r="F132">
        <v>418</v>
      </c>
      <c r="G132" t="s">
        <v>62</v>
      </c>
      <c r="H132" t="s">
        <v>64</v>
      </c>
      <c r="I132">
        <v>2207</v>
      </c>
    </row>
    <row r="133" spans="1:9" x14ac:dyDescent="0.35">
      <c r="A133" t="s">
        <v>61</v>
      </c>
      <c r="B133">
        <v>104385509</v>
      </c>
      <c r="C133" t="s">
        <v>574</v>
      </c>
      <c r="D133" t="s">
        <v>72</v>
      </c>
      <c r="E133" t="s">
        <v>70</v>
      </c>
      <c r="F133">
        <v>418</v>
      </c>
      <c r="G133" t="s">
        <v>62</v>
      </c>
      <c r="H133" t="s">
        <v>65</v>
      </c>
      <c r="I133">
        <v>13</v>
      </c>
    </row>
    <row r="134" spans="1:9" x14ac:dyDescent="0.35">
      <c r="A134" t="s">
        <v>61</v>
      </c>
      <c r="B134">
        <v>104385509</v>
      </c>
      <c r="C134" t="s">
        <v>574</v>
      </c>
      <c r="D134" t="s">
        <v>72</v>
      </c>
      <c r="E134" t="s">
        <v>70</v>
      </c>
      <c r="F134">
        <v>418</v>
      </c>
      <c r="G134" t="s">
        <v>68</v>
      </c>
      <c r="H134" t="s">
        <v>67</v>
      </c>
      <c r="I134">
        <v>418</v>
      </c>
    </row>
    <row r="135" spans="1:9" x14ac:dyDescent="0.35">
      <c r="A135" t="s">
        <v>61</v>
      </c>
      <c r="B135">
        <v>107868365</v>
      </c>
      <c r="C135" t="s">
        <v>104</v>
      </c>
      <c r="D135" t="s">
        <v>72</v>
      </c>
      <c r="E135" t="s">
        <v>58</v>
      </c>
      <c r="F135">
        <v>369</v>
      </c>
      <c r="G135" t="s">
        <v>62</v>
      </c>
      <c r="H135" t="s">
        <v>67</v>
      </c>
      <c r="I135">
        <v>2318</v>
      </c>
    </row>
    <row r="136" spans="1:9" x14ac:dyDescent="0.35">
      <c r="A136" t="s">
        <v>61</v>
      </c>
      <c r="B136">
        <v>107868365</v>
      </c>
      <c r="C136" t="s">
        <v>104</v>
      </c>
      <c r="D136" t="s">
        <v>72</v>
      </c>
      <c r="E136" t="s">
        <v>58</v>
      </c>
      <c r="F136">
        <v>369</v>
      </c>
      <c r="G136" t="s">
        <v>62</v>
      </c>
      <c r="H136" t="s">
        <v>63</v>
      </c>
      <c r="I136">
        <v>898</v>
      </c>
    </row>
    <row r="137" spans="1:9" x14ac:dyDescent="0.35">
      <c r="A137" t="s">
        <v>61</v>
      </c>
      <c r="B137">
        <v>107868365</v>
      </c>
      <c r="C137" t="s">
        <v>104</v>
      </c>
      <c r="D137" t="s">
        <v>72</v>
      </c>
      <c r="E137" t="s">
        <v>58</v>
      </c>
      <c r="F137">
        <v>369</v>
      </c>
      <c r="G137" t="s">
        <v>62</v>
      </c>
      <c r="H137" t="s">
        <v>64</v>
      </c>
      <c r="I137">
        <v>1420</v>
      </c>
    </row>
    <row r="138" spans="1:9" x14ac:dyDescent="0.35">
      <c r="A138" t="s">
        <v>61</v>
      </c>
      <c r="B138">
        <v>107868365</v>
      </c>
      <c r="C138" t="s">
        <v>104</v>
      </c>
      <c r="D138" t="s">
        <v>72</v>
      </c>
      <c r="E138" t="s">
        <v>58</v>
      </c>
      <c r="F138">
        <v>369</v>
      </c>
      <c r="G138" t="s">
        <v>68</v>
      </c>
      <c r="H138" t="s">
        <v>67</v>
      </c>
      <c r="I138">
        <v>369</v>
      </c>
    </row>
    <row r="139" spans="1:9" x14ac:dyDescent="0.35">
      <c r="A139" t="s">
        <v>61</v>
      </c>
      <c r="B139">
        <v>100865064</v>
      </c>
      <c r="C139" t="s">
        <v>525</v>
      </c>
      <c r="D139" t="s">
        <v>72</v>
      </c>
      <c r="E139" t="s">
        <v>70</v>
      </c>
      <c r="F139">
        <v>317</v>
      </c>
      <c r="G139" t="s">
        <v>62</v>
      </c>
      <c r="H139" t="s">
        <v>67</v>
      </c>
      <c r="I139">
        <v>1980</v>
      </c>
    </row>
    <row r="140" spans="1:9" x14ac:dyDescent="0.35">
      <c r="A140" t="s">
        <v>61</v>
      </c>
      <c r="B140">
        <v>100865064</v>
      </c>
      <c r="C140" t="s">
        <v>525</v>
      </c>
      <c r="D140" t="s">
        <v>72</v>
      </c>
      <c r="E140" t="s">
        <v>70</v>
      </c>
      <c r="F140">
        <v>317</v>
      </c>
      <c r="G140" t="s">
        <v>62</v>
      </c>
      <c r="H140" t="s">
        <v>63</v>
      </c>
      <c r="I140">
        <v>470</v>
      </c>
    </row>
    <row r="141" spans="1:9" x14ac:dyDescent="0.35">
      <c r="A141" t="s">
        <v>61</v>
      </c>
      <c r="B141">
        <v>100865064</v>
      </c>
      <c r="C141" t="s">
        <v>525</v>
      </c>
      <c r="D141" t="s">
        <v>72</v>
      </c>
      <c r="E141" t="s">
        <v>70</v>
      </c>
      <c r="F141">
        <v>317</v>
      </c>
      <c r="G141" t="s">
        <v>62</v>
      </c>
      <c r="H141" t="s">
        <v>64</v>
      </c>
      <c r="I141">
        <v>1510</v>
      </c>
    </row>
    <row r="142" spans="1:9" x14ac:dyDescent="0.35">
      <c r="A142" t="s">
        <v>61</v>
      </c>
      <c r="B142">
        <v>100865064</v>
      </c>
      <c r="C142" t="s">
        <v>525</v>
      </c>
      <c r="D142" t="s">
        <v>72</v>
      </c>
      <c r="E142" t="s">
        <v>70</v>
      </c>
      <c r="F142">
        <v>317</v>
      </c>
      <c r="G142" t="s">
        <v>68</v>
      </c>
      <c r="H142" t="s">
        <v>67</v>
      </c>
      <c r="I142">
        <v>316</v>
      </c>
    </row>
    <row r="143" spans="1:9" x14ac:dyDescent="0.35">
      <c r="A143" t="s">
        <v>61</v>
      </c>
      <c r="B143">
        <v>106488400</v>
      </c>
      <c r="C143" t="s">
        <v>549</v>
      </c>
      <c r="D143" t="s">
        <v>60</v>
      </c>
      <c r="E143" t="s">
        <v>70</v>
      </c>
      <c r="F143">
        <v>1</v>
      </c>
      <c r="G143" t="s">
        <v>62</v>
      </c>
      <c r="H143" t="s">
        <v>67</v>
      </c>
      <c r="I143">
        <v>10659</v>
      </c>
    </row>
    <row r="144" spans="1:9" x14ac:dyDescent="0.35">
      <c r="A144" t="s">
        <v>61</v>
      </c>
      <c r="B144">
        <v>106488400</v>
      </c>
      <c r="C144" t="s">
        <v>549</v>
      </c>
      <c r="D144" t="s">
        <v>60</v>
      </c>
      <c r="E144" t="s">
        <v>70</v>
      </c>
      <c r="F144">
        <v>1</v>
      </c>
      <c r="G144" t="s">
        <v>62</v>
      </c>
      <c r="H144" t="s">
        <v>63</v>
      </c>
      <c r="I144">
        <v>9298</v>
      </c>
    </row>
    <row r="145" spans="1:9" x14ac:dyDescent="0.35">
      <c r="A145" t="s">
        <v>61</v>
      </c>
      <c r="B145">
        <v>106488400</v>
      </c>
      <c r="C145" t="s">
        <v>549</v>
      </c>
      <c r="D145" t="s">
        <v>60</v>
      </c>
      <c r="E145" t="s">
        <v>70</v>
      </c>
      <c r="F145">
        <v>1</v>
      </c>
      <c r="G145" t="s">
        <v>62</v>
      </c>
      <c r="H145" t="s">
        <v>64</v>
      </c>
      <c r="I145">
        <v>1361</v>
      </c>
    </row>
    <row r="146" spans="1:9" x14ac:dyDescent="0.35">
      <c r="A146" t="s">
        <v>61</v>
      </c>
      <c r="B146">
        <v>106488400</v>
      </c>
      <c r="C146" t="s">
        <v>549</v>
      </c>
      <c r="D146" t="s">
        <v>60</v>
      </c>
      <c r="E146" t="s">
        <v>70</v>
      </c>
      <c r="F146">
        <v>1</v>
      </c>
      <c r="G146" t="s">
        <v>68</v>
      </c>
      <c r="H146" t="s">
        <v>67</v>
      </c>
      <c r="I146">
        <v>531</v>
      </c>
    </row>
    <row r="147" spans="1:9" x14ac:dyDescent="0.35">
      <c r="A147" t="s">
        <v>61</v>
      </c>
      <c r="B147">
        <v>106488400</v>
      </c>
      <c r="C147" t="s">
        <v>549</v>
      </c>
      <c r="D147" t="s">
        <v>60</v>
      </c>
      <c r="E147" t="s">
        <v>70</v>
      </c>
      <c r="F147">
        <v>1</v>
      </c>
      <c r="G147" t="s">
        <v>69</v>
      </c>
      <c r="H147" t="s">
        <v>67</v>
      </c>
      <c r="I147">
        <v>1</v>
      </c>
    </row>
    <row r="148" spans="1:9" x14ac:dyDescent="0.35">
      <c r="A148" t="s">
        <v>61</v>
      </c>
      <c r="B148">
        <v>107844158</v>
      </c>
      <c r="C148" t="s">
        <v>546</v>
      </c>
      <c r="D148" t="s">
        <v>72</v>
      </c>
      <c r="E148" t="s">
        <v>70</v>
      </c>
      <c r="F148">
        <v>474</v>
      </c>
      <c r="G148" t="s">
        <v>62</v>
      </c>
      <c r="H148" t="s">
        <v>67</v>
      </c>
      <c r="I148">
        <v>3643</v>
      </c>
    </row>
    <row r="149" spans="1:9" x14ac:dyDescent="0.35">
      <c r="A149" t="s">
        <v>61</v>
      </c>
      <c r="B149">
        <v>107844158</v>
      </c>
      <c r="C149" t="s">
        <v>546</v>
      </c>
      <c r="D149" t="s">
        <v>72</v>
      </c>
      <c r="E149" t="s">
        <v>70</v>
      </c>
      <c r="F149">
        <v>474</v>
      </c>
      <c r="G149" t="s">
        <v>62</v>
      </c>
      <c r="H149" t="s">
        <v>63</v>
      </c>
      <c r="I149">
        <v>926</v>
      </c>
    </row>
    <row r="150" spans="1:9" x14ac:dyDescent="0.35">
      <c r="A150" t="s">
        <v>61</v>
      </c>
      <c r="B150">
        <v>107844158</v>
      </c>
      <c r="C150" t="s">
        <v>546</v>
      </c>
      <c r="D150" t="s">
        <v>72</v>
      </c>
      <c r="E150" t="s">
        <v>70</v>
      </c>
      <c r="F150">
        <v>474</v>
      </c>
      <c r="G150" t="s">
        <v>62</v>
      </c>
      <c r="H150" t="s">
        <v>64</v>
      </c>
      <c r="I150">
        <v>2714</v>
      </c>
    </row>
    <row r="151" spans="1:9" x14ac:dyDescent="0.35">
      <c r="A151" t="s">
        <v>61</v>
      </c>
      <c r="B151">
        <v>107844158</v>
      </c>
      <c r="C151" t="s">
        <v>546</v>
      </c>
      <c r="D151" t="s">
        <v>72</v>
      </c>
      <c r="E151" t="s">
        <v>70</v>
      </c>
      <c r="F151">
        <v>474</v>
      </c>
      <c r="G151" t="s">
        <v>62</v>
      </c>
      <c r="H151" t="s">
        <v>65</v>
      </c>
      <c r="I151">
        <v>3</v>
      </c>
    </row>
    <row r="152" spans="1:9" x14ac:dyDescent="0.35">
      <c r="A152" t="s">
        <v>61</v>
      </c>
      <c r="B152">
        <v>107844158</v>
      </c>
      <c r="C152" t="s">
        <v>546</v>
      </c>
      <c r="D152" t="s">
        <v>72</v>
      </c>
      <c r="E152" t="s">
        <v>70</v>
      </c>
      <c r="F152">
        <v>474</v>
      </c>
      <c r="G152" t="s">
        <v>68</v>
      </c>
      <c r="H152" t="s">
        <v>67</v>
      </c>
      <c r="I152">
        <v>473</v>
      </c>
    </row>
    <row r="153" spans="1:9" x14ac:dyDescent="0.35">
      <c r="A153" t="s">
        <v>61</v>
      </c>
      <c r="B153">
        <v>106064835</v>
      </c>
      <c r="C153" t="s">
        <v>669</v>
      </c>
      <c r="D153" t="s">
        <v>670</v>
      </c>
      <c r="E153" t="s">
        <v>70</v>
      </c>
      <c r="F153">
        <v>423</v>
      </c>
      <c r="G153" t="s">
        <v>62</v>
      </c>
      <c r="H153" t="s">
        <v>67</v>
      </c>
      <c r="I153">
        <v>1821</v>
      </c>
    </row>
    <row r="154" spans="1:9" x14ac:dyDescent="0.35">
      <c r="A154" t="s">
        <v>61</v>
      </c>
      <c r="B154">
        <v>106064835</v>
      </c>
      <c r="C154" t="s">
        <v>669</v>
      </c>
      <c r="D154" t="s">
        <v>670</v>
      </c>
      <c r="E154" t="s">
        <v>70</v>
      </c>
      <c r="F154">
        <v>423</v>
      </c>
      <c r="G154" t="s">
        <v>62</v>
      </c>
      <c r="H154" t="s">
        <v>63</v>
      </c>
      <c r="I154">
        <v>218</v>
      </c>
    </row>
    <row r="155" spans="1:9" x14ac:dyDescent="0.35">
      <c r="A155" t="s">
        <v>61</v>
      </c>
      <c r="B155">
        <v>106064835</v>
      </c>
      <c r="C155" t="s">
        <v>669</v>
      </c>
      <c r="D155" t="s">
        <v>670</v>
      </c>
      <c r="E155" t="s">
        <v>70</v>
      </c>
      <c r="F155">
        <v>423</v>
      </c>
      <c r="G155" t="s">
        <v>62</v>
      </c>
      <c r="H155" t="s">
        <v>64</v>
      </c>
      <c r="I155">
        <v>1603</v>
      </c>
    </row>
    <row r="156" spans="1:9" x14ac:dyDescent="0.35">
      <c r="A156" t="s">
        <v>61</v>
      </c>
      <c r="B156">
        <v>106064835</v>
      </c>
      <c r="C156" t="s">
        <v>669</v>
      </c>
      <c r="D156" t="s">
        <v>670</v>
      </c>
      <c r="E156" t="s">
        <v>70</v>
      </c>
      <c r="F156">
        <v>423</v>
      </c>
      <c r="G156" t="s">
        <v>68</v>
      </c>
      <c r="H156" t="s">
        <v>67</v>
      </c>
      <c r="I156">
        <v>423</v>
      </c>
    </row>
    <row r="157" spans="1:9" x14ac:dyDescent="0.35">
      <c r="A157" t="s">
        <v>37</v>
      </c>
    </row>
  </sheetData>
  <pageMargins left="0.7" right="0.7" top="0.75" bottom="0.75" header="0.3" footer="0.3"/>
  <pageSetup paperSize="256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107826180</v>
      </c>
      <c r="C2" t="s">
        <v>566</v>
      </c>
      <c r="D2" t="s">
        <v>60</v>
      </c>
      <c r="E2" t="s">
        <v>70</v>
      </c>
      <c r="F2">
        <v>528</v>
      </c>
      <c r="G2" t="s">
        <v>62</v>
      </c>
      <c r="H2" t="s">
        <v>67</v>
      </c>
      <c r="I2">
        <v>2422</v>
      </c>
    </row>
    <row r="3" spans="1:9" x14ac:dyDescent="0.35">
      <c r="A3" t="s">
        <v>61</v>
      </c>
      <c r="B3">
        <v>107826180</v>
      </c>
      <c r="C3" t="s">
        <v>566</v>
      </c>
      <c r="D3" t="s">
        <v>60</v>
      </c>
      <c r="E3" t="s">
        <v>70</v>
      </c>
      <c r="F3">
        <v>528</v>
      </c>
      <c r="G3" t="s">
        <v>62</v>
      </c>
      <c r="H3" t="s">
        <v>63</v>
      </c>
      <c r="I3">
        <v>316</v>
      </c>
    </row>
    <row r="4" spans="1:9" x14ac:dyDescent="0.35">
      <c r="A4" t="s">
        <v>61</v>
      </c>
      <c r="B4">
        <v>107826180</v>
      </c>
      <c r="C4" t="s">
        <v>566</v>
      </c>
      <c r="D4" t="s">
        <v>60</v>
      </c>
      <c r="E4" t="s">
        <v>70</v>
      </c>
      <c r="F4">
        <v>528</v>
      </c>
      <c r="G4" t="s">
        <v>62</v>
      </c>
      <c r="H4" t="s">
        <v>64</v>
      </c>
      <c r="I4">
        <v>2106</v>
      </c>
    </row>
    <row r="5" spans="1:9" x14ac:dyDescent="0.35">
      <c r="A5" t="s">
        <v>61</v>
      </c>
      <c r="B5">
        <v>107826180</v>
      </c>
      <c r="C5" t="s">
        <v>566</v>
      </c>
      <c r="D5" t="s">
        <v>60</v>
      </c>
      <c r="E5" t="s">
        <v>70</v>
      </c>
      <c r="F5">
        <v>528</v>
      </c>
      <c r="G5" t="s">
        <v>68</v>
      </c>
      <c r="H5" t="s">
        <v>67</v>
      </c>
      <c r="I5">
        <v>528</v>
      </c>
    </row>
    <row r="6" spans="1:9" x14ac:dyDescent="0.35">
      <c r="A6" t="s">
        <v>61</v>
      </c>
      <c r="B6">
        <v>107844157</v>
      </c>
      <c r="C6" t="s">
        <v>545</v>
      </c>
      <c r="D6" t="s">
        <v>72</v>
      </c>
      <c r="E6" t="s">
        <v>70</v>
      </c>
      <c r="F6">
        <v>419</v>
      </c>
      <c r="G6" t="s">
        <v>62</v>
      </c>
      <c r="H6" t="s">
        <v>67</v>
      </c>
      <c r="I6">
        <v>2069</v>
      </c>
    </row>
    <row r="7" spans="1:9" x14ac:dyDescent="0.35">
      <c r="A7" t="s">
        <v>61</v>
      </c>
      <c r="B7">
        <v>107844157</v>
      </c>
      <c r="C7" t="s">
        <v>545</v>
      </c>
      <c r="D7" t="s">
        <v>72</v>
      </c>
      <c r="E7" t="s">
        <v>70</v>
      </c>
      <c r="F7">
        <v>419</v>
      </c>
      <c r="G7" t="s">
        <v>62</v>
      </c>
      <c r="H7" t="s">
        <v>63</v>
      </c>
      <c r="I7">
        <v>435</v>
      </c>
    </row>
    <row r="8" spans="1:9" x14ac:dyDescent="0.35">
      <c r="A8" t="s">
        <v>61</v>
      </c>
      <c r="B8">
        <v>107844157</v>
      </c>
      <c r="C8" t="s">
        <v>545</v>
      </c>
      <c r="D8" t="s">
        <v>72</v>
      </c>
      <c r="E8" t="s">
        <v>70</v>
      </c>
      <c r="F8">
        <v>419</v>
      </c>
      <c r="G8" t="s">
        <v>62</v>
      </c>
      <c r="H8" t="s">
        <v>64</v>
      </c>
      <c r="I8">
        <v>1634</v>
      </c>
    </row>
    <row r="9" spans="1:9" x14ac:dyDescent="0.35">
      <c r="A9" t="s">
        <v>61</v>
      </c>
      <c r="B9">
        <v>107844157</v>
      </c>
      <c r="C9" t="s">
        <v>545</v>
      </c>
      <c r="D9" t="s">
        <v>72</v>
      </c>
      <c r="E9" t="s">
        <v>70</v>
      </c>
      <c r="F9">
        <v>419</v>
      </c>
      <c r="G9" t="s">
        <v>68</v>
      </c>
      <c r="H9" t="s">
        <v>67</v>
      </c>
      <c r="I9">
        <v>419</v>
      </c>
    </row>
    <row r="10" spans="1:9" x14ac:dyDescent="0.35">
      <c r="A10" t="s">
        <v>61</v>
      </c>
      <c r="B10">
        <v>107284887</v>
      </c>
      <c r="C10" t="s">
        <v>578</v>
      </c>
      <c r="D10" t="s">
        <v>78</v>
      </c>
      <c r="E10" t="s">
        <v>70</v>
      </c>
      <c r="F10">
        <v>10</v>
      </c>
      <c r="G10" t="s">
        <v>62</v>
      </c>
      <c r="H10" t="s">
        <v>67</v>
      </c>
      <c r="I10">
        <v>14</v>
      </c>
    </row>
    <row r="11" spans="1:9" x14ac:dyDescent="0.35">
      <c r="A11" t="s">
        <v>61</v>
      </c>
      <c r="B11">
        <v>107284887</v>
      </c>
      <c r="C11" t="s">
        <v>578</v>
      </c>
      <c r="D11" t="s">
        <v>78</v>
      </c>
      <c r="E11" t="s">
        <v>70</v>
      </c>
      <c r="F11">
        <v>10</v>
      </c>
      <c r="G11" t="s">
        <v>68</v>
      </c>
      <c r="H11" t="s">
        <v>67</v>
      </c>
      <c r="I11">
        <v>10</v>
      </c>
    </row>
    <row r="12" spans="1:9" x14ac:dyDescent="0.35">
      <c r="A12" t="s">
        <v>61</v>
      </c>
      <c r="B12">
        <v>107843891</v>
      </c>
      <c r="C12" t="s">
        <v>544</v>
      </c>
      <c r="D12" t="s">
        <v>72</v>
      </c>
      <c r="E12" t="s">
        <v>70</v>
      </c>
      <c r="F12">
        <v>434</v>
      </c>
      <c r="G12" t="s">
        <v>62</v>
      </c>
      <c r="H12" t="s">
        <v>67</v>
      </c>
      <c r="I12">
        <v>4339</v>
      </c>
    </row>
    <row r="13" spans="1:9" x14ac:dyDescent="0.35">
      <c r="A13" t="s">
        <v>61</v>
      </c>
      <c r="B13">
        <v>107843891</v>
      </c>
      <c r="C13" t="s">
        <v>544</v>
      </c>
      <c r="D13" t="s">
        <v>72</v>
      </c>
      <c r="E13" t="s">
        <v>70</v>
      </c>
      <c r="F13">
        <v>434</v>
      </c>
      <c r="G13" t="s">
        <v>62</v>
      </c>
      <c r="H13" t="s">
        <v>63</v>
      </c>
      <c r="I13">
        <v>1590</v>
      </c>
    </row>
    <row r="14" spans="1:9" x14ac:dyDescent="0.35">
      <c r="A14" t="s">
        <v>61</v>
      </c>
      <c r="B14">
        <v>107843891</v>
      </c>
      <c r="C14" t="s">
        <v>544</v>
      </c>
      <c r="D14" t="s">
        <v>72</v>
      </c>
      <c r="E14" t="s">
        <v>70</v>
      </c>
      <c r="F14">
        <v>434</v>
      </c>
      <c r="G14" t="s">
        <v>62</v>
      </c>
      <c r="H14" t="s">
        <v>64</v>
      </c>
      <c r="I14">
        <v>2744</v>
      </c>
    </row>
    <row r="15" spans="1:9" x14ac:dyDescent="0.35">
      <c r="A15" t="s">
        <v>61</v>
      </c>
      <c r="B15">
        <v>107843891</v>
      </c>
      <c r="C15" t="s">
        <v>544</v>
      </c>
      <c r="D15" t="s">
        <v>72</v>
      </c>
      <c r="E15" t="s">
        <v>70</v>
      </c>
      <c r="F15">
        <v>434</v>
      </c>
      <c r="G15" t="s">
        <v>62</v>
      </c>
      <c r="H15" t="s">
        <v>65</v>
      </c>
      <c r="I15">
        <v>5</v>
      </c>
    </row>
    <row r="16" spans="1:9" x14ac:dyDescent="0.35">
      <c r="A16" t="s">
        <v>61</v>
      </c>
      <c r="B16">
        <v>107843891</v>
      </c>
      <c r="C16" t="s">
        <v>544</v>
      </c>
      <c r="D16" t="s">
        <v>72</v>
      </c>
      <c r="E16" t="s">
        <v>70</v>
      </c>
      <c r="F16">
        <v>434</v>
      </c>
      <c r="G16" t="s">
        <v>68</v>
      </c>
      <c r="H16" t="s">
        <v>67</v>
      </c>
      <c r="I16">
        <v>435</v>
      </c>
    </row>
    <row r="17" spans="1:9" x14ac:dyDescent="0.35">
      <c r="A17" t="s">
        <v>61</v>
      </c>
      <c r="B17">
        <v>106140648</v>
      </c>
      <c r="C17" t="s">
        <v>671</v>
      </c>
      <c r="D17" t="s">
        <v>60</v>
      </c>
      <c r="E17" t="s">
        <v>70</v>
      </c>
      <c r="F17">
        <v>358</v>
      </c>
      <c r="G17" t="s">
        <v>62</v>
      </c>
      <c r="H17" t="s">
        <v>67</v>
      </c>
      <c r="I17">
        <v>3287</v>
      </c>
    </row>
    <row r="18" spans="1:9" x14ac:dyDescent="0.35">
      <c r="A18" t="s">
        <v>61</v>
      </c>
      <c r="B18">
        <v>106140648</v>
      </c>
      <c r="C18" t="s">
        <v>671</v>
      </c>
      <c r="D18" t="s">
        <v>60</v>
      </c>
      <c r="E18" t="s">
        <v>70</v>
      </c>
      <c r="F18">
        <v>358</v>
      </c>
      <c r="G18" t="s">
        <v>62</v>
      </c>
      <c r="H18" t="s">
        <v>63</v>
      </c>
      <c r="I18">
        <v>1261</v>
      </c>
    </row>
    <row r="19" spans="1:9" x14ac:dyDescent="0.35">
      <c r="A19" t="s">
        <v>61</v>
      </c>
      <c r="B19">
        <v>106140648</v>
      </c>
      <c r="C19" t="s">
        <v>671</v>
      </c>
      <c r="D19" t="s">
        <v>60</v>
      </c>
      <c r="E19" t="s">
        <v>70</v>
      </c>
      <c r="F19">
        <v>358</v>
      </c>
      <c r="G19" t="s">
        <v>62</v>
      </c>
      <c r="H19" t="s">
        <v>64</v>
      </c>
      <c r="I19">
        <v>1945</v>
      </c>
    </row>
    <row r="20" spans="1:9" x14ac:dyDescent="0.35">
      <c r="A20" t="s">
        <v>61</v>
      </c>
      <c r="B20">
        <v>106140648</v>
      </c>
      <c r="C20" t="s">
        <v>671</v>
      </c>
      <c r="D20" t="s">
        <v>60</v>
      </c>
      <c r="E20" t="s">
        <v>70</v>
      </c>
      <c r="F20">
        <v>358</v>
      </c>
      <c r="G20" t="s">
        <v>62</v>
      </c>
      <c r="H20" t="s">
        <v>65</v>
      </c>
      <c r="I20">
        <v>81</v>
      </c>
    </row>
    <row r="21" spans="1:9" x14ac:dyDescent="0.35">
      <c r="A21" t="s">
        <v>61</v>
      </c>
      <c r="B21">
        <v>106140648</v>
      </c>
      <c r="C21" t="s">
        <v>671</v>
      </c>
      <c r="D21" t="s">
        <v>60</v>
      </c>
      <c r="E21" t="s">
        <v>70</v>
      </c>
      <c r="F21">
        <v>358</v>
      </c>
      <c r="G21" t="s">
        <v>68</v>
      </c>
      <c r="H21" t="s">
        <v>67</v>
      </c>
      <c r="I21">
        <v>358</v>
      </c>
    </row>
    <row r="22" spans="1:9" x14ac:dyDescent="0.35">
      <c r="A22" t="s">
        <v>61</v>
      </c>
      <c r="B22">
        <v>107221237</v>
      </c>
      <c r="C22" t="s">
        <v>89</v>
      </c>
      <c r="D22" t="s">
        <v>72</v>
      </c>
      <c r="E22" t="s">
        <v>58</v>
      </c>
      <c r="F22">
        <v>324</v>
      </c>
      <c r="G22" t="s">
        <v>62</v>
      </c>
      <c r="H22" t="s">
        <v>67</v>
      </c>
      <c r="I22">
        <v>1903</v>
      </c>
    </row>
    <row r="23" spans="1:9" x14ac:dyDescent="0.35">
      <c r="A23" t="s">
        <v>61</v>
      </c>
      <c r="B23">
        <v>107221237</v>
      </c>
      <c r="C23" t="s">
        <v>89</v>
      </c>
      <c r="D23" t="s">
        <v>72</v>
      </c>
      <c r="E23" t="s">
        <v>58</v>
      </c>
      <c r="F23">
        <v>324</v>
      </c>
      <c r="G23" t="s">
        <v>62</v>
      </c>
      <c r="H23" t="s">
        <v>63</v>
      </c>
      <c r="I23">
        <v>369</v>
      </c>
    </row>
    <row r="24" spans="1:9" x14ac:dyDescent="0.35">
      <c r="A24" t="s">
        <v>61</v>
      </c>
      <c r="B24">
        <v>107221237</v>
      </c>
      <c r="C24" t="s">
        <v>89</v>
      </c>
      <c r="D24" t="s">
        <v>72</v>
      </c>
      <c r="E24" t="s">
        <v>58</v>
      </c>
      <c r="F24">
        <v>324</v>
      </c>
      <c r="G24" t="s">
        <v>62</v>
      </c>
      <c r="H24" t="s">
        <v>64</v>
      </c>
      <c r="I24">
        <v>1534</v>
      </c>
    </row>
    <row r="25" spans="1:9" x14ac:dyDescent="0.35">
      <c r="A25" t="s">
        <v>61</v>
      </c>
      <c r="B25">
        <v>107221237</v>
      </c>
      <c r="C25" t="s">
        <v>89</v>
      </c>
      <c r="D25" t="s">
        <v>72</v>
      </c>
      <c r="E25" t="s">
        <v>58</v>
      </c>
      <c r="F25">
        <v>324</v>
      </c>
      <c r="G25" t="s">
        <v>68</v>
      </c>
      <c r="H25" t="s">
        <v>67</v>
      </c>
      <c r="I25">
        <v>324</v>
      </c>
    </row>
    <row r="26" spans="1:9" x14ac:dyDescent="0.35">
      <c r="A26" t="s">
        <v>61</v>
      </c>
      <c r="B26">
        <v>107791373</v>
      </c>
      <c r="C26" t="s">
        <v>554</v>
      </c>
      <c r="D26" t="s">
        <v>72</v>
      </c>
      <c r="E26" t="s">
        <v>70</v>
      </c>
      <c r="F26">
        <v>530</v>
      </c>
      <c r="G26" t="s">
        <v>62</v>
      </c>
      <c r="H26" t="s">
        <v>67</v>
      </c>
      <c r="I26">
        <v>2207</v>
      </c>
    </row>
    <row r="27" spans="1:9" x14ac:dyDescent="0.35">
      <c r="A27" t="s">
        <v>61</v>
      </c>
      <c r="B27">
        <v>107791373</v>
      </c>
      <c r="C27" t="s">
        <v>554</v>
      </c>
      <c r="D27" t="s">
        <v>72</v>
      </c>
      <c r="E27" t="s">
        <v>70</v>
      </c>
      <c r="F27">
        <v>530</v>
      </c>
      <c r="G27" t="s">
        <v>62</v>
      </c>
      <c r="H27" t="s">
        <v>63</v>
      </c>
      <c r="I27">
        <v>320</v>
      </c>
    </row>
    <row r="28" spans="1:9" x14ac:dyDescent="0.35">
      <c r="A28" t="s">
        <v>61</v>
      </c>
      <c r="B28">
        <v>107791373</v>
      </c>
      <c r="C28" t="s">
        <v>554</v>
      </c>
      <c r="D28" t="s">
        <v>72</v>
      </c>
      <c r="E28" t="s">
        <v>70</v>
      </c>
      <c r="F28">
        <v>530</v>
      </c>
      <c r="G28" t="s">
        <v>62</v>
      </c>
      <c r="H28" t="s">
        <v>64</v>
      </c>
      <c r="I28">
        <v>1887</v>
      </c>
    </row>
    <row r="29" spans="1:9" x14ac:dyDescent="0.35">
      <c r="A29" t="s">
        <v>61</v>
      </c>
      <c r="B29">
        <v>107791373</v>
      </c>
      <c r="C29" t="s">
        <v>554</v>
      </c>
      <c r="D29" t="s">
        <v>72</v>
      </c>
      <c r="E29" t="s">
        <v>70</v>
      </c>
      <c r="F29">
        <v>530</v>
      </c>
      <c r="G29" t="s">
        <v>68</v>
      </c>
      <c r="H29" t="s">
        <v>67</v>
      </c>
      <c r="I29">
        <v>530</v>
      </c>
    </row>
    <row r="30" spans="1:9" x14ac:dyDescent="0.35">
      <c r="A30" t="s">
        <v>61</v>
      </c>
      <c r="B30">
        <v>107221222</v>
      </c>
      <c r="C30" t="s">
        <v>86</v>
      </c>
      <c r="D30" t="s">
        <v>72</v>
      </c>
      <c r="E30" t="s">
        <v>70</v>
      </c>
      <c r="F30">
        <v>372</v>
      </c>
      <c r="G30" t="s">
        <v>62</v>
      </c>
      <c r="H30" t="s">
        <v>67</v>
      </c>
      <c r="I30">
        <v>2179</v>
      </c>
    </row>
    <row r="31" spans="1:9" x14ac:dyDescent="0.35">
      <c r="A31" t="s">
        <v>61</v>
      </c>
      <c r="B31">
        <v>107221222</v>
      </c>
      <c r="C31" t="s">
        <v>86</v>
      </c>
      <c r="D31" t="s">
        <v>72</v>
      </c>
      <c r="E31" t="s">
        <v>70</v>
      </c>
      <c r="F31">
        <v>372</v>
      </c>
      <c r="G31" t="s">
        <v>62</v>
      </c>
      <c r="H31" t="s">
        <v>63</v>
      </c>
      <c r="I31">
        <v>621</v>
      </c>
    </row>
    <row r="32" spans="1:9" x14ac:dyDescent="0.35">
      <c r="A32" t="s">
        <v>61</v>
      </c>
      <c r="B32">
        <v>107221222</v>
      </c>
      <c r="C32" t="s">
        <v>86</v>
      </c>
      <c r="D32" t="s">
        <v>72</v>
      </c>
      <c r="E32" t="s">
        <v>70</v>
      </c>
      <c r="F32">
        <v>372</v>
      </c>
      <c r="G32" t="s">
        <v>62</v>
      </c>
      <c r="H32" t="s">
        <v>64</v>
      </c>
      <c r="I32">
        <v>1558</v>
      </c>
    </row>
    <row r="33" spans="1:9" x14ac:dyDescent="0.35">
      <c r="A33" t="s">
        <v>61</v>
      </c>
      <c r="B33">
        <v>107221222</v>
      </c>
      <c r="C33" t="s">
        <v>86</v>
      </c>
      <c r="D33" t="s">
        <v>72</v>
      </c>
      <c r="E33" t="s">
        <v>70</v>
      </c>
      <c r="F33">
        <v>372</v>
      </c>
      <c r="G33" t="s">
        <v>68</v>
      </c>
      <c r="H33" t="s">
        <v>67</v>
      </c>
      <c r="I33">
        <v>372</v>
      </c>
    </row>
    <row r="34" spans="1:9" x14ac:dyDescent="0.35">
      <c r="A34" t="s">
        <v>61</v>
      </c>
      <c r="B34">
        <v>107843844</v>
      </c>
      <c r="C34" t="s">
        <v>542</v>
      </c>
      <c r="D34" t="s">
        <v>72</v>
      </c>
      <c r="E34" t="s">
        <v>70</v>
      </c>
      <c r="F34">
        <v>544</v>
      </c>
      <c r="G34" t="s">
        <v>62</v>
      </c>
      <c r="H34" t="s">
        <v>67</v>
      </c>
      <c r="I34">
        <v>3604</v>
      </c>
    </row>
    <row r="35" spans="1:9" x14ac:dyDescent="0.35">
      <c r="A35" t="s">
        <v>61</v>
      </c>
      <c r="B35">
        <v>107843844</v>
      </c>
      <c r="C35" t="s">
        <v>542</v>
      </c>
      <c r="D35" t="s">
        <v>72</v>
      </c>
      <c r="E35" t="s">
        <v>70</v>
      </c>
      <c r="F35">
        <v>544</v>
      </c>
      <c r="G35" t="s">
        <v>62</v>
      </c>
      <c r="H35" t="s">
        <v>63</v>
      </c>
      <c r="I35">
        <v>913</v>
      </c>
    </row>
    <row r="36" spans="1:9" x14ac:dyDescent="0.35">
      <c r="A36" t="s">
        <v>61</v>
      </c>
      <c r="B36">
        <v>107843844</v>
      </c>
      <c r="C36" t="s">
        <v>542</v>
      </c>
      <c r="D36" t="s">
        <v>72</v>
      </c>
      <c r="E36" t="s">
        <v>70</v>
      </c>
      <c r="F36">
        <v>544</v>
      </c>
      <c r="G36" t="s">
        <v>62</v>
      </c>
      <c r="H36" t="s">
        <v>64</v>
      </c>
      <c r="I36">
        <v>2691</v>
      </c>
    </row>
    <row r="37" spans="1:9" x14ac:dyDescent="0.35">
      <c r="A37" t="s">
        <v>61</v>
      </c>
      <c r="B37">
        <v>107843844</v>
      </c>
      <c r="C37" t="s">
        <v>542</v>
      </c>
      <c r="D37" t="s">
        <v>72</v>
      </c>
      <c r="E37" t="s">
        <v>70</v>
      </c>
      <c r="F37">
        <v>544</v>
      </c>
      <c r="G37" t="s">
        <v>68</v>
      </c>
      <c r="H37" t="s">
        <v>67</v>
      </c>
      <c r="I37">
        <v>544</v>
      </c>
    </row>
    <row r="38" spans="1:9" x14ac:dyDescent="0.35">
      <c r="A38" t="s">
        <v>61</v>
      </c>
      <c r="B38">
        <v>107704604</v>
      </c>
      <c r="C38" t="s">
        <v>93</v>
      </c>
      <c r="D38" t="s">
        <v>72</v>
      </c>
      <c r="E38" t="s">
        <v>58</v>
      </c>
      <c r="F38">
        <v>604</v>
      </c>
      <c r="G38" t="s">
        <v>62</v>
      </c>
      <c r="H38" t="s">
        <v>67</v>
      </c>
      <c r="I38">
        <v>2295</v>
      </c>
    </row>
    <row r="39" spans="1:9" x14ac:dyDescent="0.35">
      <c r="A39" t="s">
        <v>61</v>
      </c>
      <c r="B39">
        <v>107704604</v>
      </c>
      <c r="C39" t="s">
        <v>93</v>
      </c>
      <c r="D39" t="s">
        <v>72</v>
      </c>
      <c r="E39" t="s">
        <v>58</v>
      </c>
      <c r="F39">
        <v>604</v>
      </c>
      <c r="G39" t="s">
        <v>62</v>
      </c>
      <c r="H39" t="s">
        <v>63</v>
      </c>
      <c r="I39">
        <v>366</v>
      </c>
    </row>
    <row r="40" spans="1:9" x14ac:dyDescent="0.35">
      <c r="A40" t="s">
        <v>61</v>
      </c>
      <c r="B40">
        <v>107704604</v>
      </c>
      <c r="C40" t="s">
        <v>93</v>
      </c>
      <c r="D40" t="s">
        <v>72</v>
      </c>
      <c r="E40" t="s">
        <v>58</v>
      </c>
      <c r="F40">
        <v>604</v>
      </c>
      <c r="G40" t="s">
        <v>62</v>
      </c>
      <c r="H40" t="s">
        <v>64</v>
      </c>
      <c r="I40">
        <v>1929</v>
      </c>
    </row>
    <row r="41" spans="1:9" x14ac:dyDescent="0.35">
      <c r="A41" t="s">
        <v>61</v>
      </c>
      <c r="B41">
        <v>107704604</v>
      </c>
      <c r="C41" t="s">
        <v>93</v>
      </c>
      <c r="D41" t="s">
        <v>72</v>
      </c>
      <c r="E41" t="s">
        <v>58</v>
      </c>
      <c r="F41">
        <v>604</v>
      </c>
      <c r="G41" t="s">
        <v>68</v>
      </c>
      <c r="H41" t="s">
        <v>67</v>
      </c>
      <c r="I41">
        <v>604</v>
      </c>
    </row>
    <row r="42" spans="1:9" x14ac:dyDescent="0.35">
      <c r="A42" t="s">
        <v>61</v>
      </c>
      <c r="B42">
        <v>103223305</v>
      </c>
      <c r="C42" t="s">
        <v>573</v>
      </c>
      <c r="D42" t="s">
        <v>72</v>
      </c>
      <c r="E42" t="s">
        <v>70</v>
      </c>
      <c r="F42">
        <v>451</v>
      </c>
      <c r="G42" t="s">
        <v>62</v>
      </c>
      <c r="H42" t="s">
        <v>67</v>
      </c>
      <c r="I42">
        <v>3439</v>
      </c>
    </row>
    <row r="43" spans="1:9" x14ac:dyDescent="0.35">
      <c r="A43" t="s">
        <v>61</v>
      </c>
      <c r="B43">
        <v>103223305</v>
      </c>
      <c r="C43" t="s">
        <v>573</v>
      </c>
      <c r="D43" t="s">
        <v>72</v>
      </c>
      <c r="E43" t="s">
        <v>70</v>
      </c>
      <c r="F43">
        <v>451</v>
      </c>
      <c r="G43" t="s">
        <v>62</v>
      </c>
      <c r="H43" t="s">
        <v>63</v>
      </c>
      <c r="I43">
        <v>1594</v>
      </c>
    </row>
    <row r="44" spans="1:9" x14ac:dyDescent="0.35">
      <c r="A44" t="s">
        <v>61</v>
      </c>
      <c r="B44">
        <v>103223305</v>
      </c>
      <c r="C44" t="s">
        <v>573</v>
      </c>
      <c r="D44" t="s">
        <v>72</v>
      </c>
      <c r="E44" t="s">
        <v>70</v>
      </c>
      <c r="F44">
        <v>451</v>
      </c>
      <c r="G44" t="s">
        <v>62</v>
      </c>
      <c r="H44" t="s">
        <v>64</v>
      </c>
      <c r="I44">
        <v>1845</v>
      </c>
    </row>
    <row r="45" spans="1:9" x14ac:dyDescent="0.35">
      <c r="A45" t="s">
        <v>61</v>
      </c>
      <c r="B45">
        <v>103223305</v>
      </c>
      <c r="C45" t="s">
        <v>573</v>
      </c>
      <c r="D45" t="s">
        <v>72</v>
      </c>
      <c r="E45" t="s">
        <v>70</v>
      </c>
      <c r="F45">
        <v>451</v>
      </c>
      <c r="G45" t="s">
        <v>68</v>
      </c>
      <c r="H45" t="s">
        <v>67</v>
      </c>
      <c r="I45">
        <v>451</v>
      </c>
    </row>
    <row r="46" spans="1:9" x14ac:dyDescent="0.35">
      <c r="A46" t="s">
        <v>61</v>
      </c>
      <c r="B46">
        <v>107232917</v>
      </c>
      <c r="C46" t="s">
        <v>530</v>
      </c>
      <c r="D46" t="s">
        <v>72</v>
      </c>
      <c r="E46" t="s">
        <v>70</v>
      </c>
      <c r="F46">
        <v>424</v>
      </c>
      <c r="G46" t="s">
        <v>62</v>
      </c>
      <c r="H46" t="s">
        <v>67</v>
      </c>
      <c r="I46">
        <v>3105</v>
      </c>
    </row>
    <row r="47" spans="1:9" x14ac:dyDescent="0.35">
      <c r="A47" t="s">
        <v>61</v>
      </c>
      <c r="B47">
        <v>107232917</v>
      </c>
      <c r="C47" t="s">
        <v>530</v>
      </c>
      <c r="D47" t="s">
        <v>72</v>
      </c>
      <c r="E47" t="s">
        <v>70</v>
      </c>
      <c r="F47">
        <v>424</v>
      </c>
      <c r="G47" t="s">
        <v>62</v>
      </c>
      <c r="H47" t="s">
        <v>63</v>
      </c>
      <c r="I47">
        <v>964</v>
      </c>
    </row>
    <row r="48" spans="1:9" x14ac:dyDescent="0.35">
      <c r="A48" t="s">
        <v>61</v>
      </c>
      <c r="B48">
        <v>107232917</v>
      </c>
      <c r="C48" t="s">
        <v>530</v>
      </c>
      <c r="D48" t="s">
        <v>72</v>
      </c>
      <c r="E48" t="s">
        <v>70</v>
      </c>
      <c r="F48">
        <v>424</v>
      </c>
      <c r="G48" t="s">
        <v>62</v>
      </c>
      <c r="H48" t="s">
        <v>64</v>
      </c>
      <c r="I48">
        <v>2141</v>
      </c>
    </row>
    <row r="49" spans="1:9" x14ac:dyDescent="0.35">
      <c r="A49" t="s">
        <v>61</v>
      </c>
      <c r="B49">
        <v>107232917</v>
      </c>
      <c r="C49" t="s">
        <v>530</v>
      </c>
      <c r="D49" t="s">
        <v>72</v>
      </c>
      <c r="E49" t="s">
        <v>70</v>
      </c>
      <c r="F49">
        <v>424</v>
      </c>
      <c r="G49" t="s">
        <v>68</v>
      </c>
      <c r="H49" t="s">
        <v>67</v>
      </c>
      <c r="I49">
        <v>424</v>
      </c>
    </row>
    <row r="50" spans="1:9" x14ac:dyDescent="0.35">
      <c r="A50" t="s">
        <v>61</v>
      </c>
      <c r="B50">
        <v>107843876</v>
      </c>
      <c r="C50" t="s">
        <v>543</v>
      </c>
      <c r="D50" t="s">
        <v>72</v>
      </c>
      <c r="E50" t="s">
        <v>70</v>
      </c>
      <c r="F50">
        <v>443</v>
      </c>
      <c r="G50" t="s">
        <v>62</v>
      </c>
      <c r="H50" t="s">
        <v>67</v>
      </c>
      <c r="I50">
        <v>4488</v>
      </c>
    </row>
    <row r="51" spans="1:9" x14ac:dyDescent="0.35">
      <c r="A51" t="s">
        <v>61</v>
      </c>
      <c r="B51">
        <v>107843876</v>
      </c>
      <c r="C51" t="s">
        <v>543</v>
      </c>
      <c r="D51" t="s">
        <v>72</v>
      </c>
      <c r="E51" t="s">
        <v>70</v>
      </c>
      <c r="F51">
        <v>443</v>
      </c>
      <c r="G51" t="s">
        <v>62</v>
      </c>
      <c r="H51" t="s">
        <v>63</v>
      </c>
      <c r="I51">
        <v>2577</v>
      </c>
    </row>
    <row r="52" spans="1:9" x14ac:dyDescent="0.35">
      <c r="A52" t="s">
        <v>61</v>
      </c>
      <c r="B52">
        <v>107843876</v>
      </c>
      <c r="C52" t="s">
        <v>543</v>
      </c>
      <c r="D52" t="s">
        <v>72</v>
      </c>
      <c r="E52" t="s">
        <v>70</v>
      </c>
      <c r="F52">
        <v>443</v>
      </c>
      <c r="G52" t="s">
        <v>62</v>
      </c>
      <c r="H52" t="s">
        <v>64</v>
      </c>
      <c r="I52">
        <v>1911</v>
      </c>
    </row>
    <row r="53" spans="1:9" x14ac:dyDescent="0.35">
      <c r="A53" t="s">
        <v>61</v>
      </c>
      <c r="B53">
        <v>107843876</v>
      </c>
      <c r="C53" t="s">
        <v>543</v>
      </c>
      <c r="D53" t="s">
        <v>72</v>
      </c>
      <c r="E53" t="s">
        <v>70</v>
      </c>
      <c r="F53">
        <v>443</v>
      </c>
      <c r="G53" t="s">
        <v>68</v>
      </c>
      <c r="H53" t="s">
        <v>67</v>
      </c>
      <c r="I53">
        <v>443</v>
      </c>
    </row>
    <row r="54" spans="1:9" x14ac:dyDescent="0.35">
      <c r="A54" t="s">
        <v>61</v>
      </c>
      <c r="B54">
        <v>101750120</v>
      </c>
      <c r="C54" t="s">
        <v>667</v>
      </c>
      <c r="D54" t="s">
        <v>72</v>
      </c>
      <c r="E54" t="s">
        <v>70</v>
      </c>
      <c r="F54">
        <v>134</v>
      </c>
      <c r="G54" t="s">
        <v>62</v>
      </c>
      <c r="H54" t="s">
        <v>67</v>
      </c>
      <c r="I54">
        <v>634</v>
      </c>
    </row>
    <row r="55" spans="1:9" x14ac:dyDescent="0.35">
      <c r="A55" t="s">
        <v>61</v>
      </c>
      <c r="B55">
        <v>101750120</v>
      </c>
      <c r="C55" t="s">
        <v>667</v>
      </c>
      <c r="D55" t="s">
        <v>72</v>
      </c>
      <c r="E55" t="s">
        <v>70</v>
      </c>
      <c r="F55">
        <v>134</v>
      </c>
      <c r="G55" t="s">
        <v>62</v>
      </c>
      <c r="H55" t="s">
        <v>63</v>
      </c>
      <c r="I55">
        <v>66</v>
      </c>
    </row>
    <row r="56" spans="1:9" x14ac:dyDescent="0.35">
      <c r="A56" t="s">
        <v>61</v>
      </c>
      <c r="B56">
        <v>101750120</v>
      </c>
      <c r="C56" t="s">
        <v>667</v>
      </c>
      <c r="D56" t="s">
        <v>72</v>
      </c>
      <c r="E56" t="s">
        <v>70</v>
      </c>
      <c r="F56">
        <v>134</v>
      </c>
      <c r="G56" t="s">
        <v>62</v>
      </c>
      <c r="H56" t="s">
        <v>64</v>
      </c>
      <c r="I56">
        <v>568</v>
      </c>
    </row>
    <row r="57" spans="1:9" x14ac:dyDescent="0.35">
      <c r="A57" t="s">
        <v>61</v>
      </c>
      <c r="B57">
        <v>101750120</v>
      </c>
      <c r="C57" t="s">
        <v>667</v>
      </c>
      <c r="D57" t="s">
        <v>72</v>
      </c>
      <c r="E57" t="s">
        <v>70</v>
      </c>
      <c r="F57">
        <v>134</v>
      </c>
      <c r="G57" t="s">
        <v>68</v>
      </c>
      <c r="H57" t="s">
        <v>67</v>
      </c>
      <c r="I57">
        <v>134</v>
      </c>
    </row>
    <row r="58" spans="1:9" x14ac:dyDescent="0.35">
      <c r="A58" t="s">
        <v>61</v>
      </c>
      <c r="B58">
        <v>102457590</v>
      </c>
      <c r="C58" t="s">
        <v>668</v>
      </c>
      <c r="D58" t="s">
        <v>72</v>
      </c>
      <c r="E58" t="s">
        <v>70</v>
      </c>
      <c r="F58">
        <v>628</v>
      </c>
      <c r="G58" t="s">
        <v>62</v>
      </c>
      <c r="H58" t="s">
        <v>67</v>
      </c>
      <c r="I58">
        <v>1641</v>
      </c>
    </row>
    <row r="59" spans="1:9" x14ac:dyDescent="0.35">
      <c r="A59" t="s">
        <v>61</v>
      </c>
      <c r="B59">
        <v>102457590</v>
      </c>
      <c r="C59" t="s">
        <v>668</v>
      </c>
      <c r="D59" t="s">
        <v>72</v>
      </c>
      <c r="E59" t="s">
        <v>70</v>
      </c>
      <c r="F59">
        <v>628</v>
      </c>
      <c r="G59" t="s">
        <v>62</v>
      </c>
      <c r="H59" t="s">
        <v>63</v>
      </c>
      <c r="I59">
        <v>243</v>
      </c>
    </row>
    <row r="60" spans="1:9" x14ac:dyDescent="0.35">
      <c r="A60" t="s">
        <v>61</v>
      </c>
      <c r="B60">
        <v>102457590</v>
      </c>
      <c r="C60" t="s">
        <v>668</v>
      </c>
      <c r="D60" t="s">
        <v>72</v>
      </c>
      <c r="E60" t="s">
        <v>70</v>
      </c>
      <c r="F60">
        <v>628</v>
      </c>
      <c r="G60" t="s">
        <v>62</v>
      </c>
      <c r="H60" t="s">
        <v>64</v>
      </c>
      <c r="I60">
        <v>1398</v>
      </c>
    </row>
    <row r="61" spans="1:9" x14ac:dyDescent="0.35">
      <c r="A61" t="s">
        <v>61</v>
      </c>
      <c r="B61">
        <v>102457590</v>
      </c>
      <c r="C61" t="s">
        <v>668</v>
      </c>
      <c r="D61" t="s">
        <v>72</v>
      </c>
      <c r="E61" t="s">
        <v>70</v>
      </c>
      <c r="F61">
        <v>628</v>
      </c>
      <c r="G61" t="s">
        <v>68</v>
      </c>
      <c r="H61" t="s">
        <v>67</v>
      </c>
      <c r="I61">
        <v>628</v>
      </c>
    </row>
    <row r="62" spans="1:9" x14ac:dyDescent="0.35">
      <c r="A62" t="s">
        <v>61</v>
      </c>
      <c r="B62">
        <v>106064826</v>
      </c>
      <c r="C62" t="s">
        <v>569</v>
      </c>
      <c r="D62" t="s">
        <v>72</v>
      </c>
      <c r="E62" t="s">
        <v>70</v>
      </c>
      <c r="F62">
        <v>114</v>
      </c>
      <c r="G62" t="s">
        <v>62</v>
      </c>
      <c r="H62" t="s">
        <v>67</v>
      </c>
      <c r="I62">
        <v>878</v>
      </c>
    </row>
    <row r="63" spans="1:9" x14ac:dyDescent="0.35">
      <c r="A63" t="s">
        <v>61</v>
      </c>
      <c r="B63">
        <v>106064826</v>
      </c>
      <c r="C63" t="s">
        <v>569</v>
      </c>
      <c r="D63" t="s">
        <v>72</v>
      </c>
      <c r="E63" t="s">
        <v>70</v>
      </c>
      <c r="F63">
        <v>114</v>
      </c>
      <c r="G63" t="s">
        <v>62</v>
      </c>
      <c r="H63" t="s">
        <v>63</v>
      </c>
      <c r="I63">
        <v>212</v>
      </c>
    </row>
    <row r="64" spans="1:9" x14ac:dyDescent="0.35">
      <c r="A64" t="s">
        <v>61</v>
      </c>
      <c r="B64">
        <v>106064826</v>
      </c>
      <c r="C64" t="s">
        <v>569</v>
      </c>
      <c r="D64" t="s">
        <v>72</v>
      </c>
      <c r="E64" t="s">
        <v>70</v>
      </c>
      <c r="F64">
        <v>114</v>
      </c>
      <c r="G64" t="s">
        <v>62</v>
      </c>
      <c r="H64" t="s">
        <v>64</v>
      </c>
      <c r="I64">
        <v>666</v>
      </c>
    </row>
    <row r="65" spans="1:9" x14ac:dyDescent="0.35">
      <c r="A65" t="s">
        <v>61</v>
      </c>
      <c r="B65">
        <v>106064826</v>
      </c>
      <c r="C65" t="s">
        <v>569</v>
      </c>
      <c r="D65" t="s">
        <v>72</v>
      </c>
      <c r="E65" t="s">
        <v>70</v>
      </c>
      <c r="F65">
        <v>114</v>
      </c>
      <c r="G65" t="s">
        <v>68</v>
      </c>
      <c r="H65" t="s">
        <v>67</v>
      </c>
      <c r="I65">
        <v>114</v>
      </c>
    </row>
    <row r="66" spans="1:9" x14ac:dyDescent="0.35">
      <c r="A66" t="s">
        <v>61</v>
      </c>
      <c r="B66">
        <v>100753604</v>
      </c>
      <c r="C66" t="s">
        <v>71</v>
      </c>
      <c r="D66" t="s">
        <v>72</v>
      </c>
      <c r="E66" t="s">
        <v>70</v>
      </c>
      <c r="F66">
        <v>337</v>
      </c>
      <c r="G66" t="s">
        <v>62</v>
      </c>
      <c r="H66" t="s">
        <v>67</v>
      </c>
      <c r="I66">
        <v>1926</v>
      </c>
    </row>
    <row r="67" spans="1:9" x14ac:dyDescent="0.35">
      <c r="A67" t="s">
        <v>61</v>
      </c>
      <c r="B67">
        <v>100753604</v>
      </c>
      <c r="C67" t="s">
        <v>71</v>
      </c>
      <c r="D67" t="s">
        <v>72</v>
      </c>
      <c r="E67" t="s">
        <v>70</v>
      </c>
      <c r="F67">
        <v>337</v>
      </c>
      <c r="G67" t="s">
        <v>62</v>
      </c>
      <c r="H67" t="s">
        <v>63</v>
      </c>
      <c r="I67">
        <v>308</v>
      </c>
    </row>
    <row r="68" spans="1:9" x14ac:dyDescent="0.35">
      <c r="A68" t="s">
        <v>61</v>
      </c>
      <c r="B68">
        <v>100753604</v>
      </c>
      <c r="C68" t="s">
        <v>71</v>
      </c>
      <c r="D68" t="s">
        <v>72</v>
      </c>
      <c r="E68" t="s">
        <v>70</v>
      </c>
      <c r="F68">
        <v>337</v>
      </c>
      <c r="G68" t="s">
        <v>62</v>
      </c>
      <c r="H68" t="s">
        <v>64</v>
      </c>
      <c r="I68">
        <v>1618</v>
      </c>
    </row>
    <row r="69" spans="1:9" x14ac:dyDescent="0.35">
      <c r="A69" t="s">
        <v>61</v>
      </c>
      <c r="B69">
        <v>100753604</v>
      </c>
      <c r="C69" t="s">
        <v>71</v>
      </c>
      <c r="D69" t="s">
        <v>72</v>
      </c>
      <c r="E69" t="s">
        <v>70</v>
      </c>
      <c r="F69">
        <v>337</v>
      </c>
      <c r="G69" t="s">
        <v>68</v>
      </c>
      <c r="H69" t="s">
        <v>67</v>
      </c>
      <c r="I69">
        <v>337</v>
      </c>
    </row>
    <row r="70" spans="1:9" x14ac:dyDescent="0.35">
      <c r="A70" t="s">
        <v>61</v>
      </c>
      <c r="B70">
        <v>107674648</v>
      </c>
      <c r="C70" t="s">
        <v>92</v>
      </c>
      <c r="D70" t="s">
        <v>72</v>
      </c>
      <c r="E70" t="s">
        <v>70</v>
      </c>
      <c r="F70">
        <v>293</v>
      </c>
      <c r="G70" t="s">
        <v>62</v>
      </c>
      <c r="H70" t="s">
        <v>67</v>
      </c>
      <c r="I70">
        <v>1643</v>
      </c>
    </row>
    <row r="71" spans="1:9" x14ac:dyDescent="0.35">
      <c r="A71" t="s">
        <v>61</v>
      </c>
      <c r="B71">
        <v>107674648</v>
      </c>
      <c r="C71" t="s">
        <v>92</v>
      </c>
      <c r="D71" t="s">
        <v>72</v>
      </c>
      <c r="E71" t="s">
        <v>70</v>
      </c>
      <c r="F71">
        <v>293</v>
      </c>
      <c r="G71" t="s">
        <v>62</v>
      </c>
      <c r="H71" t="s">
        <v>63</v>
      </c>
      <c r="I71">
        <v>217</v>
      </c>
    </row>
    <row r="72" spans="1:9" x14ac:dyDescent="0.35">
      <c r="A72" t="s">
        <v>61</v>
      </c>
      <c r="B72">
        <v>107674648</v>
      </c>
      <c r="C72" t="s">
        <v>92</v>
      </c>
      <c r="D72" t="s">
        <v>72</v>
      </c>
      <c r="E72" t="s">
        <v>70</v>
      </c>
      <c r="F72">
        <v>293</v>
      </c>
      <c r="G72" t="s">
        <v>62</v>
      </c>
      <c r="H72" t="s">
        <v>64</v>
      </c>
      <c r="I72">
        <v>1426</v>
      </c>
    </row>
    <row r="73" spans="1:9" x14ac:dyDescent="0.35">
      <c r="A73" t="s">
        <v>61</v>
      </c>
      <c r="B73">
        <v>107674648</v>
      </c>
      <c r="C73" t="s">
        <v>92</v>
      </c>
      <c r="D73" t="s">
        <v>72</v>
      </c>
      <c r="E73" t="s">
        <v>70</v>
      </c>
      <c r="F73">
        <v>293</v>
      </c>
      <c r="G73" t="s">
        <v>68</v>
      </c>
      <c r="H73" t="s">
        <v>67</v>
      </c>
      <c r="I73">
        <v>293</v>
      </c>
    </row>
    <row r="74" spans="1:9" x14ac:dyDescent="0.35">
      <c r="A74" t="s">
        <v>61</v>
      </c>
      <c r="B74">
        <v>107232968</v>
      </c>
      <c r="C74" t="s">
        <v>552</v>
      </c>
      <c r="D74" t="s">
        <v>72</v>
      </c>
      <c r="E74" t="s">
        <v>70</v>
      </c>
      <c r="F74">
        <v>562</v>
      </c>
      <c r="G74" t="s">
        <v>62</v>
      </c>
      <c r="H74" t="s">
        <v>67</v>
      </c>
      <c r="I74">
        <v>7418</v>
      </c>
    </row>
    <row r="75" spans="1:9" x14ac:dyDescent="0.35">
      <c r="A75" t="s">
        <v>61</v>
      </c>
      <c r="B75">
        <v>107232968</v>
      </c>
      <c r="C75" t="s">
        <v>552</v>
      </c>
      <c r="D75" t="s">
        <v>72</v>
      </c>
      <c r="E75" t="s">
        <v>70</v>
      </c>
      <c r="F75">
        <v>562</v>
      </c>
      <c r="G75" t="s">
        <v>62</v>
      </c>
      <c r="H75" t="s">
        <v>63</v>
      </c>
      <c r="I75">
        <v>4718</v>
      </c>
    </row>
    <row r="76" spans="1:9" x14ac:dyDescent="0.35">
      <c r="A76" t="s">
        <v>61</v>
      </c>
      <c r="B76">
        <v>107232968</v>
      </c>
      <c r="C76" t="s">
        <v>552</v>
      </c>
      <c r="D76" t="s">
        <v>72</v>
      </c>
      <c r="E76" t="s">
        <v>70</v>
      </c>
      <c r="F76">
        <v>562</v>
      </c>
      <c r="G76" t="s">
        <v>62</v>
      </c>
      <c r="H76" t="s">
        <v>64</v>
      </c>
      <c r="I76">
        <v>2700</v>
      </c>
    </row>
    <row r="77" spans="1:9" x14ac:dyDescent="0.35">
      <c r="A77" t="s">
        <v>61</v>
      </c>
      <c r="B77">
        <v>107232968</v>
      </c>
      <c r="C77" t="s">
        <v>552</v>
      </c>
      <c r="D77" t="s">
        <v>72</v>
      </c>
      <c r="E77" t="s">
        <v>70</v>
      </c>
      <c r="F77">
        <v>562</v>
      </c>
      <c r="G77" t="s">
        <v>68</v>
      </c>
      <c r="H77" t="s">
        <v>67</v>
      </c>
      <c r="I77">
        <v>562</v>
      </c>
    </row>
    <row r="78" spans="1:9" x14ac:dyDescent="0.35">
      <c r="A78" t="s">
        <v>61</v>
      </c>
      <c r="B78">
        <v>106276317</v>
      </c>
      <c r="C78" t="s">
        <v>548</v>
      </c>
      <c r="D78" t="s">
        <v>72</v>
      </c>
      <c r="E78" t="s">
        <v>70</v>
      </c>
      <c r="F78">
        <v>507</v>
      </c>
      <c r="G78" t="s">
        <v>62</v>
      </c>
      <c r="H78" t="s">
        <v>67</v>
      </c>
      <c r="I78">
        <v>2501</v>
      </c>
    </row>
    <row r="79" spans="1:9" x14ac:dyDescent="0.35">
      <c r="A79" t="s">
        <v>61</v>
      </c>
      <c r="B79">
        <v>106276317</v>
      </c>
      <c r="C79" t="s">
        <v>548</v>
      </c>
      <c r="D79" t="s">
        <v>72</v>
      </c>
      <c r="E79" t="s">
        <v>70</v>
      </c>
      <c r="F79">
        <v>507</v>
      </c>
      <c r="G79" t="s">
        <v>62</v>
      </c>
      <c r="H79" t="s">
        <v>63</v>
      </c>
      <c r="I79">
        <v>702</v>
      </c>
    </row>
    <row r="80" spans="1:9" x14ac:dyDescent="0.35">
      <c r="A80" t="s">
        <v>61</v>
      </c>
      <c r="B80">
        <v>106276317</v>
      </c>
      <c r="C80" t="s">
        <v>548</v>
      </c>
      <c r="D80" t="s">
        <v>72</v>
      </c>
      <c r="E80" t="s">
        <v>70</v>
      </c>
      <c r="F80">
        <v>507</v>
      </c>
      <c r="G80" t="s">
        <v>62</v>
      </c>
      <c r="H80" t="s">
        <v>64</v>
      </c>
      <c r="I80">
        <v>1799</v>
      </c>
    </row>
    <row r="81" spans="1:9" x14ac:dyDescent="0.35">
      <c r="A81" t="s">
        <v>61</v>
      </c>
      <c r="B81">
        <v>106276317</v>
      </c>
      <c r="C81" t="s">
        <v>548</v>
      </c>
      <c r="D81" t="s">
        <v>72</v>
      </c>
      <c r="E81" t="s">
        <v>70</v>
      </c>
      <c r="F81">
        <v>507</v>
      </c>
      <c r="G81" t="s">
        <v>68</v>
      </c>
      <c r="H81" t="s">
        <v>67</v>
      </c>
      <c r="I81">
        <v>507</v>
      </c>
    </row>
    <row r="82" spans="1:9" x14ac:dyDescent="0.35">
      <c r="A82" t="s">
        <v>61</v>
      </c>
      <c r="B82">
        <v>107775521</v>
      </c>
      <c r="C82" t="s">
        <v>99</v>
      </c>
      <c r="D82" t="s">
        <v>72</v>
      </c>
      <c r="E82" t="s">
        <v>70</v>
      </c>
      <c r="F82">
        <v>258</v>
      </c>
      <c r="G82" t="s">
        <v>62</v>
      </c>
      <c r="H82" t="s">
        <v>67</v>
      </c>
      <c r="I82">
        <v>1432</v>
      </c>
    </row>
    <row r="83" spans="1:9" x14ac:dyDescent="0.35">
      <c r="A83" t="s">
        <v>61</v>
      </c>
      <c r="B83">
        <v>107775521</v>
      </c>
      <c r="C83" t="s">
        <v>99</v>
      </c>
      <c r="D83" t="s">
        <v>72</v>
      </c>
      <c r="E83" t="s">
        <v>70</v>
      </c>
      <c r="F83">
        <v>258</v>
      </c>
      <c r="G83" t="s">
        <v>62</v>
      </c>
      <c r="H83" t="s">
        <v>63</v>
      </c>
      <c r="I83">
        <v>174</v>
      </c>
    </row>
    <row r="84" spans="1:9" x14ac:dyDescent="0.35">
      <c r="A84" t="s">
        <v>61</v>
      </c>
      <c r="B84">
        <v>107775521</v>
      </c>
      <c r="C84" t="s">
        <v>99</v>
      </c>
      <c r="D84" t="s">
        <v>72</v>
      </c>
      <c r="E84" t="s">
        <v>70</v>
      </c>
      <c r="F84">
        <v>258</v>
      </c>
      <c r="G84" t="s">
        <v>62</v>
      </c>
      <c r="H84" t="s">
        <v>64</v>
      </c>
      <c r="I84">
        <v>1258</v>
      </c>
    </row>
    <row r="85" spans="1:9" x14ac:dyDescent="0.35">
      <c r="A85" t="s">
        <v>61</v>
      </c>
      <c r="B85">
        <v>107775521</v>
      </c>
      <c r="C85" t="s">
        <v>99</v>
      </c>
      <c r="D85" t="s">
        <v>72</v>
      </c>
      <c r="E85" t="s">
        <v>70</v>
      </c>
      <c r="F85">
        <v>258</v>
      </c>
      <c r="G85" t="s">
        <v>68</v>
      </c>
      <c r="H85" t="s">
        <v>67</v>
      </c>
      <c r="I85">
        <v>258</v>
      </c>
    </row>
    <row r="86" spans="1:9" x14ac:dyDescent="0.35">
      <c r="A86" t="s">
        <v>61</v>
      </c>
      <c r="B86">
        <v>107775986</v>
      </c>
      <c r="C86" t="s">
        <v>100</v>
      </c>
      <c r="D86" t="s">
        <v>72</v>
      </c>
      <c r="E86" t="s">
        <v>70</v>
      </c>
      <c r="F86">
        <v>488</v>
      </c>
      <c r="G86" t="s">
        <v>62</v>
      </c>
      <c r="H86" t="s">
        <v>67</v>
      </c>
      <c r="I86">
        <v>5474</v>
      </c>
    </row>
    <row r="87" spans="1:9" x14ac:dyDescent="0.35">
      <c r="A87" t="s">
        <v>61</v>
      </c>
      <c r="B87">
        <v>107775986</v>
      </c>
      <c r="C87" t="s">
        <v>100</v>
      </c>
      <c r="D87" t="s">
        <v>72</v>
      </c>
      <c r="E87" t="s">
        <v>70</v>
      </c>
      <c r="F87">
        <v>488</v>
      </c>
      <c r="G87" t="s">
        <v>62</v>
      </c>
      <c r="H87" t="s">
        <v>63</v>
      </c>
      <c r="I87">
        <v>1898</v>
      </c>
    </row>
    <row r="88" spans="1:9" x14ac:dyDescent="0.35">
      <c r="A88" t="s">
        <v>61</v>
      </c>
      <c r="B88">
        <v>107775986</v>
      </c>
      <c r="C88" t="s">
        <v>100</v>
      </c>
      <c r="D88" t="s">
        <v>72</v>
      </c>
      <c r="E88" t="s">
        <v>70</v>
      </c>
      <c r="F88">
        <v>488</v>
      </c>
      <c r="G88" t="s">
        <v>62</v>
      </c>
      <c r="H88" t="s">
        <v>64</v>
      </c>
      <c r="I88">
        <v>3576</v>
      </c>
    </row>
    <row r="89" spans="1:9" x14ac:dyDescent="0.35">
      <c r="A89" t="s">
        <v>61</v>
      </c>
      <c r="B89">
        <v>107775986</v>
      </c>
      <c r="C89" t="s">
        <v>100</v>
      </c>
      <c r="D89" t="s">
        <v>72</v>
      </c>
      <c r="E89" t="s">
        <v>70</v>
      </c>
      <c r="F89">
        <v>488</v>
      </c>
      <c r="G89" t="s">
        <v>68</v>
      </c>
      <c r="H89" t="s">
        <v>67</v>
      </c>
      <c r="I89">
        <v>488</v>
      </c>
    </row>
    <row r="90" spans="1:9" x14ac:dyDescent="0.35">
      <c r="A90" t="s">
        <v>61</v>
      </c>
      <c r="B90">
        <v>102476407</v>
      </c>
      <c r="C90" t="s">
        <v>74</v>
      </c>
      <c r="D90" t="s">
        <v>75</v>
      </c>
      <c r="E90" t="s">
        <v>58</v>
      </c>
      <c r="F90">
        <v>345</v>
      </c>
      <c r="G90" t="s">
        <v>62</v>
      </c>
      <c r="H90" t="s">
        <v>67</v>
      </c>
      <c r="I90">
        <v>1067</v>
      </c>
    </row>
    <row r="91" spans="1:9" x14ac:dyDescent="0.35">
      <c r="A91" t="s">
        <v>61</v>
      </c>
      <c r="B91">
        <v>102476407</v>
      </c>
      <c r="C91" t="s">
        <v>74</v>
      </c>
      <c r="D91" t="s">
        <v>75</v>
      </c>
      <c r="E91" t="s">
        <v>58</v>
      </c>
      <c r="F91">
        <v>345</v>
      </c>
      <c r="G91" t="s">
        <v>62</v>
      </c>
      <c r="H91" t="s">
        <v>63</v>
      </c>
      <c r="I91">
        <v>87</v>
      </c>
    </row>
    <row r="92" spans="1:9" x14ac:dyDescent="0.35">
      <c r="A92" t="s">
        <v>61</v>
      </c>
      <c r="B92">
        <v>102476407</v>
      </c>
      <c r="C92" t="s">
        <v>74</v>
      </c>
      <c r="D92" t="s">
        <v>75</v>
      </c>
      <c r="E92" t="s">
        <v>58</v>
      </c>
      <c r="F92">
        <v>345</v>
      </c>
      <c r="G92" t="s">
        <v>62</v>
      </c>
      <c r="H92" t="s">
        <v>64</v>
      </c>
      <c r="I92">
        <v>980</v>
      </c>
    </row>
    <row r="93" spans="1:9" x14ac:dyDescent="0.35">
      <c r="A93" t="s">
        <v>61</v>
      </c>
      <c r="B93">
        <v>102476407</v>
      </c>
      <c r="C93" t="s">
        <v>74</v>
      </c>
      <c r="D93" t="s">
        <v>75</v>
      </c>
      <c r="E93" t="s">
        <v>58</v>
      </c>
      <c r="F93">
        <v>345</v>
      </c>
      <c r="G93" t="s">
        <v>68</v>
      </c>
      <c r="H93" t="s">
        <v>67</v>
      </c>
      <c r="I93">
        <v>346</v>
      </c>
    </row>
    <row r="94" spans="1:9" x14ac:dyDescent="0.35">
      <c r="A94" t="s">
        <v>61</v>
      </c>
      <c r="B94">
        <v>107775413</v>
      </c>
      <c r="C94" t="s">
        <v>98</v>
      </c>
      <c r="D94" t="s">
        <v>72</v>
      </c>
      <c r="E94" t="s">
        <v>58</v>
      </c>
      <c r="F94">
        <v>272</v>
      </c>
      <c r="G94" t="s">
        <v>62</v>
      </c>
      <c r="H94" t="s">
        <v>67</v>
      </c>
      <c r="I94">
        <v>1065</v>
      </c>
    </row>
    <row r="95" spans="1:9" x14ac:dyDescent="0.35">
      <c r="A95" t="s">
        <v>61</v>
      </c>
      <c r="B95">
        <v>107775413</v>
      </c>
      <c r="C95" t="s">
        <v>98</v>
      </c>
      <c r="D95" t="s">
        <v>72</v>
      </c>
      <c r="E95" t="s">
        <v>58</v>
      </c>
      <c r="F95">
        <v>272</v>
      </c>
      <c r="G95" t="s">
        <v>62</v>
      </c>
      <c r="H95" t="s">
        <v>63</v>
      </c>
      <c r="I95">
        <v>234</v>
      </c>
    </row>
    <row r="96" spans="1:9" x14ac:dyDescent="0.35">
      <c r="A96" t="s">
        <v>61</v>
      </c>
      <c r="B96">
        <v>107775413</v>
      </c>
      <c r="C96" t="s">
        <v>98</v>
      </c>
      <c r="D96" t="s">
        <v>72</v>
      </c>
      <c r="E96" t="s">
        <v>58</v>
      </c>
      <c r="F96">
        <v>272</v>
      </c>
      <c r="G96" t="s">
        <v>62</v>
      </c>
      <c r="H96" t="s">
        <v>64</v>
      </c>
      <c r="I96">
        <v>831</v>
      </c>
    </row>
    <row r="97" spans="1:9" x14ac:dyDescent="0.35">
      <c r="A97" t="s">
        <v>61</v>
      </c>
      <c r="B97">
        <v>107775413</v>
      </c>
      <c r="C97" t="s">
        <v>98</v>
      </c>
      <c r="D97" t="s">
        <v>72</v>
      </c>
      <c r="E97" t="s">
        <v>58</v>
      </c>
      <c r="F97">
        <v>272</v>
      </c>
      <c r="G97" t="s">
        <v>68</v>
      </c>
      <c r="H97" t="s">
        <v>67</v>
      </c>
      <c r="I97">
        <v>272</v>
      </c>
    </row>
    <row r="98" spans="1:9" x14ac:dyDescent="0.35">
      <c r="A98" t="s">
        <v>61</v>
      </c>
      <c r="B98">
        <v>107233200</v>
      </c>
      <c r="C98" t="s">
        <v>533</v>
      </c>
      <c r="D98" t="s">
        <v>72</v>
      </c>
      <c r="E98" t="s">
        <v>70</v>
      </c>
      <c r="F98">
        <v>439</v>
      </c>
      <c r="G98" t="s">
        <v>62</v>
      </c>
      <c r="H98" t="s">
        <v>67</v>
      </c>
      <c r="I98">
        <v>2189</v>
      </c>
    </row>
    <row r="99" spans="1:9" x14ac:dyDescent="0.35">
      <c r="A99" t="s">
        <v>61</v>
      </c>
      <c r="B99">
        <v>107233200</v>
      </c>
      <c r="C99" t="s">
        <v>533</v>
      </c>
      <c r="D99" t="s">
        <v>72</v>
      </c>
      <c r="E99" t="s">
        <v>70</v>
      </c>
      <c r="F99">
        <v>439</v>
      </c>
      <c r="G99" t="s">
        <v>62</v>
      </c>
      <c r="H99" t="s">
        <v>63</v>
      </c>
      <c r="I99">
        <v>330</v>
      </c>
    </row>
    <row r="100" spans="1:9" x14ac:dyDescent="0.35">
      <c r="A100" t="s">
        <v>61</v>
      </c>
      <c r="B100">
        <v>107233200</v>
      </c>
      <c r="C100" t="s">
        <v>533</v>
      </c>
      <c r="D100" t="s">
        <v>72</v>
      </c>
      <c r="E100" t="s">
        <v>70</v>
      </c>
      <c r="F100">
        <v>439</v>
      </c>
      <c r="G100" t="s">
        <v>62</v>
      </c>
      <c r="H100" t="s">
        <v>64</v>
      </c>
      <c r="I100">
        <v>1859</v>
      </c>
    </row>
    <row r="101" spans="1:9" x14ac:dyDescent="0.35">
      <c r="A101" t="s">
        <v>61</v>
      </c>
      <c r="B101">
        <v>107233200</v>
      </c>
      <c r="C101" t="s">
        <v>533</v>
      </c>
      <c r="D101" t="s">
        <v>72</v>
      </c>
      <c r="E101" t="s">
        <v>70</v>
      </c>
      <c r="F101">
        <v>439</v>
      </c>
      <c r="G101" t="s">
        <v>68</v>
      </c>
      <c r="H101" t="s">
        <v>67</v>
      </c>
      <c r="I101">
        <v>439</v>
      </c>
    </row>
    <row r="102" spans="1:9" x14ac:dyDescent="0.35">
      <c r="A102" t="s">
        <v>61</v>
      </c>
      <c r="B102">
        <v>104378003</v>
      </c>
      <c r="C102" t="s">
        <v>526</v>
      </c>
      <c r="D102" t="s">
        <v>72</v>
      </c>
      <c r="E102" t="s">
        <v>70</v>
      </c>
      <c r="F102">
        <v>489</v>
      </c>
      <c r="G102" t="s">
        <v>62</v>
      </c>
      <c r="H102" t="s">
        <v>67</v>
      </c>
      <c r="I102">
        <v>6132</v>
      </c>
    </row>
    <row r="103" spans="1:9" x14ac:dyDescent="0.35">
      <c r="A103" t="s">
        <v>61</v>
      </c>
      <c r="B103">
        <v>104378003</v>
      </c>
      <c r="C103" t="s">
        <v>526</v>
      </c>
      <c r="D103" t="s">
        <v>72</v>
      </c>
      <c r="E103" t="s">
        <v>70</v>
      </c>
      <c r="F103">
        <v>489</v>
      </c>
      <c r="G103" t="s">
        <v>62</v>
      </c>
      <c r="H103" t="s">
        <v>63</v>
      </c>
      <c r="I103">
        <v>2372</v>
      </c>
    </row>
    <row r="104" spans="1:9" x14ac:dyDescent="0.35">
      <c r="A104" t="s">
        <v>61</v>
      </c>
      <c r="B104">
        <v>104378003</v>
      </c>
      <c r="C104" t="s">
        <v>526</v>
      </c>
      <c r="D104" t="s">
        <v>72</v>
      </c>
      <c r="E104" t="s">
        <v>70</v>
      </c>
      <c r="F104">
        <v>489</v>
      </c>
      <c r="G104" t="s">
        <v>62</v>
      </c>
      <c r="H104" t="s">
        <v>64</v>
      </c>
      <c r="I104">
        <v>3760</v>
      </c>
    </row>
    <row r="105" spans="1:9" x14ac:dyDescent="0.35">
      <c r="A105" t="s">
        <v>61</v>
      </c>
      <c r="B105">
        <v>104378003</v>
      </c>
      <c r="C105" t="s">
        <v>526</v>
      </c>
      <c r="D105" t="s">
        <v>72</v>
      </c>
      <c r="E105" t="s">
        <v>70</v>
      </c>
      <c r="F105">
        <v>489</v>
      </c>
      <c r="G105" t="s">
        <v>68</v>
      </c>
      <c r="H105" t="s">
        <v>67</v>
      </c>
      <c r="I105">
        <v>489</v>
      </c>
    </row>
    <row r="106" spans="1:9" x14ac:dyDescent="0.35">
      <c r="A106" t="s">
        <v>61</v>
      </c>
      <c r="B106">
        <v>106556401</v>
      </c>
      <c r="C106" t="s">
        <v>550</v>
      </c>
      <c r="D106" t="s">
        <v>72</v>
      </c>
      <c r="E106" t="s">
        <v>58</v>
      </c>
      <c r="F106">
        <v>467</v>
      </c>
      <c r="G106" t="s">
        <v>62</v>
      </c>
      <c r="H106" t="s">
        <v>67</v>
      </c>
      <c r="I106">
        <v>8284</v>
      </c>
    </row>
    <row r="107" spans="1:9" x14ac:dyDescent="0.35">
      <c r="A107" t="s">
        <v>61</v>
      </c>
      <c r="B107">
        <v>106556401</v>
      </c>
      <c r="C107" t="s">
        <v>550</v>
      </c>
      <c r="D107" t="s">
        <v>72</v>
      </c>
      <c r="E107" t="s">
        <v>58</v>
      </c>
      <c r="F107">
        <v>467</v>
      </c>
      <c r="G107" t="s">
        <v>62</v>
      </c>
      <c r="H107" t="s">
        <v>63</v>
      </c>
      <c r="I107">
        <v>6356</v>
      </c>
    </row>
    <row r="108" spans="1:9" x14ac:dyDescent="0.35">
      <c r="A108" t="s">
        <v>61</v>
      </c>
      <c r="B108">
        <v>106556401</v>
      </c>
      <c r="C108" t="s">
        <v>550</v>
      </c>
      <c r="D108" t="s">
        <v>72</v>
      </c>
      <c r="E108" t="s">
        <v>58</v>
      </c>
      <c r="F108">
        <v>467</v>
      </c>
      <c r="G108" t="s">
        <v>62</v>
      </c>
      <c r="H108" t="s">
        <v>64</v>
      </c>
      <c r="I108">
        <v>1928</v>
      </c>
    </row>
    <row r="109" spans="1:9" x14ac:dyDescent="0.35">
      <c r="A109" t="s">
        <v>61</v>
      </c>
      <c r="B109">
        <v>106556401</v>
      </c>
      <c r="C109" t="s">
        <v>550</v>
      </c>
      <c r="D109" t="s">
        <v>72</v>
      </c>
      <c r="E109" t="s">
        <v>58</v>
      </c>
      <c r="F109">
        <v>467</v>
      </c>
      <c r="G109" t="s">
        <v>68</v>
      </c>
      <c r="H109" t="s">
        <v>67</v>
      </c>
      <c r="I109">
        <v>468</v>
      </c>
    </row>
    <row r="110" spans="1:9" x14ac:dyDescent="0.35">
      <c r="A110" t="s">
        <v>61</v>
      </c>
      <c r="B110">
        <v>106550610</v>
      </c>
      <c r="C110" t="s">
        <v>572</v>
      </c>
      <c r="D110" t="s">
        <v>72</v>
      </c>
      <c r="E110" t="s">
        <v>70</v>
      </c>
      <c r="F110">
        <v>131</v>
      </c>
      <c r="G110" t="s">
        <v>62</v>
      </c>
      <c r="H110" t="s">
        <v>67</v>
      </c>
      <c r="I110">
        <v>1033</v>
      </c>
    </row>
    <row r="111" spans="1:9" x14ac:dyDescent="0.35">
      <c r="A111" t="s">
        <v>61</v>
      </c>
      <c r="B111">
        <v>106550610</v>
      </c>
      <c r="C111" t="s">
        <v>572</v>
      </c>
      <c r="D111" t="s">
        <v>72</v>
      </c>
      <c r="E111" t="s">
        <v>70</v>
      </c>
      <c r="F111">
        <v>131</v>
      </c>
      <c r="G111" t="s">
        <v>62</v>
      </c>
      <c r="H111" t="s">
        <v>63</v>
      </c>
      <c r="I111">
        <v>340</v>
      </c>
    </row>
    <row r="112" spans="1:9" x14ac:dyDescent="0.35">
      <c r="A112" t="s">
        <v>61</v>
      </c>
      <c r="B112">
        <v>106550610</v>
      </c>
      <c r="C112" t="s">
        <v>572</v>
      </c>
      <c r="D112" t="s">
        <v>72</v>
      </c>
      <c r="E112" t="s">
        <v>70</v>
      </c>
      <c r="F112">
        <v>131</v>
      </c>
      <c r="G112" t="s">
        <v>62</v>
      </c>
      <c r="H112" t="s">
        <v>64</v>
      </c>
      <c r="I112">
        <v>693</v>
      </c>
    </row>
    <row r="113" spans="1:9" x14ac:dyDescent="0.35">
      <c r="A113" t="s">
        <v>61</v>
      </c>
      <c r="B113">
        <v>106550610</v>
      </c>
      <c r="C113" t="s">
        <v>572</v>
      </c>
      <c r="D113" t="s">
        <v>72</v>
      </c>
      <c r="E113" t="s">
        <v>70</v>
      </c>
      <c r="F113">
        <v>131</v>
      </c>
      <c r="G113" t="s">
        <v>68</v>
      </c>
      <c r="H113" t="s">
        <v>67</v>
      </c>
      <c r="I113">
        <v>132</v>
      </c>
    </row>
    <row r="114" spans="1:9" x14ac:dyDescent="0.35">
      <c r="A114" t="s">
        <v>61</v>
      </c>
      <c r="B114">
        <v>107232971</v>
      </c>
      <c r="C114" t="s">
        <v>531</v>
      </c>
      <c r="D114" t="s">
        <v>72</v>
      </c>
      <c r="E114" t="s">
        <v>70</v>
      </c>
      <c r="F114">
        <v>388</v>
      </c>
      <c r="G114" t="s">
        <v>62</v>
      </c>
      <c r="H114" t="s">
        <v>67</v>
      </c>
      <c r="I114">
        <v>2775</v>
      </c>
    </row>
    <row r="115" spans="1:9" x14ac:dyDescent="0.35">
      <c r="A115" t="s">
        <v>61</v>
      </c>
      <c r="B115">
        <v>107232971</v>
      </c>
      <c r="C115" t="s">
        <v>531</v>
      </c>
      <c r="D115" t="s">
        <v>72</v>
      </c>
      <c r="E115" t="s">
        <v>70</v>
      </c>
      <c r="F115">
        <v>388</v>
      </c>
      <c r="G115" t="s">
        <v>62</v>
      </c>
      <c r="H115" t="s">
        <v>63</v>
      </c>
      <c r="I115">
        <v>1325</v>
      </c>
    </row>
    <row r="116" spans="1:9" x14ac:dyDescent="0.35">
      <c r="A116" t="s">
        <v>61</v>
      </c>
      <c r="B116">
        <v>107232971</v>
      </c>
      <c r="C116" t="s">
        <v>531</v>
      </c>
      <c r="D116" t="s">
        <v>72</v>
      </c>
      <c r="E116" t="s">
        <v>70</v>
      </c>
      <c r="F116">
        <v>388</v>
      </c>
      <c r="G116" t="s">
        <v>62</v>
      </c>
      <c r="H116" t="s">
        <v>64</v>
      </c>
      <c r="I116">
        <v>1450</v>
      </c>
    </row>
    <row r="117" spans="1:9" x14ac:dyDescent="0.35">
      <c r="A117" t="s">
        <v>61</v>
      </c>
      <c r="B117">
        <v>107232971</v>
      </c>
      <c r="C117" t="s">
        <v>531</v>
      </c>
      <c r="D117" t="s">
        <v>72</v>
      </c>
      <c r="E117" t="s">
        <v>70</v>
      </c>
      <c r="F117">
        <v>388</v>
      </c>
      <c r="G117" t="s">
        <v>68</v>
      </c>
      <c r="H117" t="s">
        <v>67</v>
      </c>
      <c r="I117">
        <v>388</v>
      </c>
    </row>
    <row r="118" spans="1:9" x14ac:dyDescent="0.35">
      <c r="A118" t="s">
        <v>61</v>
      </c>
      <c r="B118">
        <v>107221179</v>
      </c>
      <c r="C118" t="s">
        <v>83</v>
      </c>
      <c r="D118" t="s">
        <v>72</v>
      </c>
      <c r="E118" t="s">
        <v>58</v>
      </c>
      <c r="F118">
        <v>595</v>
      </c>
      <c r="G118" t="s">
        <v>62</v>
      </c>
      <c r="H118" t="s">
        <v>67</v>
      </c>
      <c r="I118">
        <v>3856</v>
      </c>
    </row>
    <row r="119" spans="1:9" x14ac:dyDescent="0.35">
      <c r="A119" t="s">
        <v>61</v>
      </c>
      <c r="B119">
        <v>107221179</v>
      </c>
      <c r="C119" t="s">
        <v>83</v>
      </c>
      <c r="D119" t="s">
        <v>72</v>
      </c>
      <c r="E119" t="s">
        <v>58</v>
      </c>
      <c r="F119">
        <v>595</v>
      </c>
      <c r="G119" t="s">
        <v>62</v>
      </c>
      <c r="H119" t="s">
        <v>63</v>
      </c>
      <c r="I119">
        <v>1122</v>
      </c>
    </row>
    <row r="120" spans="1:9" x14ac:dyDescent="0.35">
      <c r="A120" t="s">
        <v>61</v>
      </c>
      <c r="B120">
        <v>107221179</v>
      </c>
      <c r="C120" t="s">
        <v>83</v>
      </c>
      <c r="D120" t="s">
        <v>72</v>
      </c>
      <c r="E120" t="s">
        <v>58</v>
      </c>
      <c r="F120">
        <v>595</v>
      </c>
      <c r="G120" t="s">
        <v>62</v>
      </c>
      <c r="H120" t="s">
        <v>64</v>
      </c>
      <c r="I120">
        <v>2707</v>
      </c>
    </row>
    <row r="121" spans="1:9" x14ac:dyDescent="0.35">
      <c r="A121" t="s">
        <v>61</v>
      </c>
      <c r="B121">
        <v>107221179</v>
      </c>
      <c r="C121" t="s">
        <v>83</v>
      </c>
      <c r="D121" t="s">
        <v>72</v>
      </c>
      <c r="E121" t="s">
        <v>58</v>
      </c>
      <c r="F121">
        <v>595</v>
      </c>
      <c r="G121" t="s">
        <v>62</v>
      </c>
      <c r="H121" t="s">
        <v>65</v>
      </c>
      <c r="I121">
        <v>27</v>
      </c>
    </row>
    <row r="122" spans="1:9" x14ac:dyDescent="0.35">
      <c r="A122" t="s">
        <v>61</v>
      </c>
      <c r="B122">
        <v>107221179</v>
      </c>
      <c r="C122" t="s">
        <v>83</v>
      </c>
      <c r="D122" t="s">
        <v>72</v>
      </c>
      <c r="E122" t="s">
        <v>58</v>
      </c>
      <c r="F122">
        <v>595</v>
      </c>
      <c r="G122" t="s">
        <v>68</v>
      </c>
      <c r="H122" t="s">
        <v>67</v>
      </c>
      <c r="I122">
        <v>595</v>
      </c>
    </row>
    <row r="123" spans="1:9" x14ac:dyDescent="0.35">
      <c r="A123" t="s">
        <v>61</v>
      </c>
      <c r="B123">
        <v>107868365</v>
      </c>
      <c r="C123" t="s">
        <v>104</v>
      </c>
      <c r="D123" t="s">
        <v>72</v>
      </c>
      <c r="E123" t="s">
        <v>58</v>
      </c>
      <c r="F123">
        <v>597</v>
      </c>
      <c r="G123" t="s">
        <v>62</v>
      </c>
      <c r="H123" t="s">
        <v>67</v>
      </c>
      <c r="I123">
        <v>5102</v>
      </c>
    </row>
    <row r="124" spans="1:9" x14ac:dyDescent="0.35">
      <c r="A124" t="s">
        <v>61</v>
      </c>
      <c r="B124">
        <v>107868365</v>
      </c>
      <c r="C124" t="s">
        <v>104</v>
      </c>
      <c r="D124" t="s">
        <v>72</v>
      </c>
      <c r="E124" t="s">
        <v>58</v>
      </c>
      <c r="F124">
        <v>597</v>
      </c>
      <c r="G124" t="s">
        <v>62</v>
      </c>
      <c r="H124" t="s">
        <v>63</v>
      </c>
      <c r="I124">
        <v>1338</v>
      </c>
    </row>
    <row r="125" spans="1:9" x14ac:dyDescent="0.35">
      <c r="A125" t="s">
        <v>61</v>
      </c>
      <c r="B125">
        <v>107868365</v>
      </c>
      <c r="C125" t="s">
        <v>104</v>
      </c>
      <c r="D125" t="s">
        <v>72</v>
      </c>
      <c r="E125" t="s">
        <v>58</v>
      </c>
      <c r="F125">
        <v>597</v>
      </c>
      <c r="G125" t="s">
        <v>62</v>
      </c>
      <c r="H125" t="s">
        <v>64</v>
      </c>
      <c r="I125">
        <v>3764</v>
      </c>
    </row>
    <row r="126" spans="1:9" x14ac:dyDescent="0.35">
      <c r="A126" t="s">
        <v>61</v>
      </c>
      <c r="B126">
        <v>107868365</v>
      </c>
      <c r="C126" t="s">
        <v>104</v>
      </c>
      <c r="D126" t="s">
        <v>72</v>
      </c>
      <c r="E126" t="s">
        <v>58</v>
      </c>
      <c r="F126">
        <v>597</v>
      </c>
      <c r="G126" t="s">
        <v>68</v>
      </c>
      <c r="H126" t="s">
        <v>67</v>
      </c>
      <c r="I126">
        <v>597</v>
      </c>
    </row>
    <row r="127" spans="1:9" x14ac:dyDescent="0.35">
      <c r="A127" t="s">
        <v>61</v>
      </c>
      <c r="B127">
        <v>100865064</v>
      </c>
      <c r="C127" t="s">
        <v>525</v>
      </c>
      <c r="D127" t="s">
        <v>72</v>
      </c>
      <c r="E127" t="s">
        <v>70</v>
      </c>
      <c r="F127">
        <v>262</v>
      </c>
      <c r="G127" t="s">
        <v>62</v>
      </c>
      <c r="H127" t="s">
        <v>67</v>
      </c>
      <c r="I127">
        <v>1326</v>
      </c>
    </row>
    <row r="128" spans="1:9" x14ac:dyDescent="0.35">
      <c r="A128" t="s">
        <v>61</v>
      </c>
      <c r="B128">
        <v>100865064</v>
      </c>
      <c r="C128" t="s">
        <v>525</v>
      </c>
      <c r="D128" t="s">
        <v>72</v>
      </c>
      <c r="E128" t="s">
        <v>70</v>
      </c>
      <c r="F128">
        <v>262</v>
      </c>
      <c r="G128" t="s">
        <v>62</v>
      </c>
      <c r="H128" t="s">
        <v>63</v>
      </c>
      <c r="I128">
        <v>314</v>
      </c>
    </row>
    <row r="129" spans="1:9" x14ac:dyDescent="0.35">
      <c r="A129" t="s">
        <v>61</v>
      </c>
      <c r="B129">
        <v>100865064</v>
      </c>
      <c r="C129" t="s">
        <v>525</v>
      </c>
      <c r="D129" t="s">
        <v>72</v>
      </c>
      <c r="E129" t="s">
        <v>70</v>
      </c>
      <c r="F129">
        <v>262</v>
      </c>
      <c r="G129" t="s">
        <v>62</v>
      </c>
      <c r="H129" t="s">
        <v>64</v>
      </c>
      <c r="I129">
        <v>1012</v>
      </c>
    </row>
    <row r="130" spans="1:9" x14ac:dyDescent="0.35">
      <c r="A130" t="s">
        <v>61</v>
      </c>
      <c r="B130">
        <v>100865064</v>
      </c>
      <c r="C130" t="s">
        <v>525</v>
      </c>
      <c r="D130" t="s">
        <v>72</v>
      </c>
      <c r="E130" t="s">
        <v>70</v>
      </c>
      <c r="F130">
        <v>262</v>
      </c>
      <c r="G130" t="s">
        <v>68</v>
      </c>
      <c r="H130" t="s">
        <v>67</v>
      </c>
      <c r="I130">
        <v>262</v>
      </c>
    </row>
    <row r="131" spans="1:9" x14ac:dyDescent="0.35">
      <c r="A131" t="s">
        <v>61</v>
      </c>
      <c r="B131">
        <v>106488400</v>
      </c>
      <c r="C131" t="s">
        <v>549</v>
      </c>
      <c r="D131" t="s">
        <v>60</v>
      </c>
      <c r="E131" t="s">
        <v>70</v>
      </c>
      <c r="F131">
        <v>459</v>
      </c>
      <c r="G131" t="s">
        <v>62</v>
      </c>
      <c r="H131" t="s">
        <v>67</v>
      </c>
      <c r="I131">
        <v>4601</v>
      </c>
    </row>
    <row r="132" spans="1:9" x14ac:dyDescent="0.35">
      <c r="A132" t="s">
        <v>61</v>
      </c>
      <c r="B132">
        <v>106488400</v>
      </c>
      <c r="C132" t="s">
        <v>549</v>
      </c>
      <c r="D132" t="s">
        <v>60</v>
      </c>
      <c r="E132" t="s">
        <v>70</v>
      </c>
      <c r="F132">
        <v>459</v>
      </c>
      <c r="G132" t="s">
        <v>62</v>
      </c>
      <c r="H132" t="s">
        <v>63</v>
      </c>
      <c r="I132">
        <v>3142</v>
      </c>
    </row>
    <row r="133" spans="1:9" x14ac:dyDescent="0.35">
      <c r="A133" t="s">
        <v>61</v>
      </c>
      <c r="B133">
        <v>106488400</v>
      </c>
      <c r="C133" t="s">
        <v>549</v>
      </c>
      <c r="D133" t="s">
        <v>60</v>
      </c>
      <c r="E133" t="s">
        <v>70</v>
      </c>
      <c r="F133">
        <v>459</v>
      </c>
      <c r="G133" t="s">
        <v>62</v>
      </c>
      <c r="H133" t="s">
        <v>64</v>
      </c>
      <c r="I133">
        <v>1459</v>
      </c>
    </row>
    <row r="134" spans="1:9" x14ac:dyDescent="0.35">
      <c r="A134" t="s">
        <v>61</v>
      </c>
      <c r="B134">
        <v>106488400</v>
      </c>
      <c r="C134" t="s">
        <v>549</v>
      </c>
      <c r="D134" t="s">
        <v>60</v>
      </c>
      <c r="E134" t="s">
        <v>70</v>
      </c>
      <c r="F134">
        <v>459</v>
      </c>
      <c r="G134" t="s">
        <v>68</v>
      </c>
      <c r="H134" t="s">
        <v>67</v>
      </c>
      <c r="I134">
        <v>459</v>
      </c>
    </row>
    <row r="135" spans="1:9" x14ac:dyDescent="0.35">
      <c r="A135" t="s">
        <v>61</v>
      </c>
      <c r="B135">
        <v>107844158</v>
      </c>
      <c r="C135" t="s">
        <v>546</v>
      </c>
      <c r="D135" t="s">
        <v>72</v>
      </c>
      <c r="E135" t="s">
        <v>70</v>
      </c>
      <c r="F135">
        <v>504</v>
      </c>
      <c r="G135" t="s">
        <v>62</v>
      </c>
      <c r="H135" t="s">
        <v>67</v>
      </c>
      <c r="I135">
        <v>3436</v>
      </c>
    </row>
    <row r="136" spans="1:9" x14ac:dyDescent="0.35">
      <c r="A136" t="s">
        <v>61</v>
      </c>
      <c r="B136">
        <v>107844158</v>
      </c>
      <c r="C136" t="s">
        <v>546</v>
      </c>
      <c r="D136" t="s">
        <v>72</v>
      </c>
      <c r="E136" t="s">
        <v>70</v>
      </c>
      <c r="F136">
        <v>504</v>
      </c>
      <c r="G136" t="s">
        <v>62</v>
      </c>
      <c r="H136" t="s">
        <v>63</v>
      </c>
      <c r="I136">
        <v>638</v>
      </c>
    </row>
    <row r="137" spans="1:9" x14ac:dyDescent="0.35">
      <c r="A137" t="s">
        <v>61</v>
      </c>
      <c r="B137">
        <v>107844158</v>
      </c>
      <c r="C137" t="s">
        <v>546</v>
      </c>
      <c r="D137" t="s">
        <v>72</v>
      </c>
      <c r="E137" t="s">
        <v>70</v>
      </c>
      <c r="F137">
        <v>504</v>
      </c>
      <c r="G137" t="s">
        <v>62</v>
      </c>
      <c r="H137" t="s">
        <v>64</v>
      </c>
      <c r="I137">
        <v>2798</v>
      </c>
    </row>
    <row r="138" spans="1:9" x14ac:dyDescent="0.35">
      <c r="A138" t="s">
        <v>61</v>
      </c>
      <c r="B138">
        <v>107844158</v>
      </c>
      <c r="C138" t="s">
        <v>546</v>
      </c>
      <c r="D138" t="s">
        <v>72</v>
      </c>
      <c r="E138" t="s">
        <v>70</v>
      </c>
      <c r="F138">
        <v>504</v>
      </c>
      <c r="G138" t="s">
        <v>68</v>
      </c>
      <c r="H138" t="s">
        <v>67</v>
      </c>
      <c r="I138">
        <v>504</v>
      </c>
    </row>
    <row r="139" spans="1:9" x14ac:dyDescent="0.35">
      <c r="A139" t="s">
        <v>37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15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106534472</v>
      </c>
      <c r="C2" t="s">
        <v>81</v>
      </c>
      <c r="D2" t="s">
        <v>60</v>
      </c>
      <c r="E2" t="s">
        <v>70</v>
      </c>
      <c r="F2">
        <v>386</v>
      </c>
      <c r="G2" t="s">
        <v>62</v>
      </c>
      <c r="H2" t="s">
        <v>67</v>
      </c>
      <c r="I2">
        <v>1282</v>
      </c>
    </row>
    <row r="3" spans="1:9" x14ac:dyDescent="0.35">
      <c r="A3" t="s">
        <v>61</v>
      </c>
      <c r="B3">
        <v>106534472</v>
      </c>
      <c r="C3" t="s">
        <v>81</v>
      </c>
      <c r="D3" t="s">
        <v>60</v>
      </c>
      <c r="E3" t="s">
        <v>70</v>
      </c>
      <c r="F3">
        <v>386</v>
      </c>
      <c r="G3" t="s">
        <v>62</v>
      </c>
      <c r="H3" t="s">
        <v>63</v>
      </c>
      <c r="I3">
        <v>210</v>
      </c>
    </row>
    <row r="4" spans="1:9" x14ac:dyDescent="0.35">
      <c r="A4" t="s">
        <v>61</v>
      </c>
      <c r="B4">
        <v>106534472</v>
      </c>
      <c r="C4" t="s">
        <v>81</v>
      </c>
      <c r="D4" t="s">
        <v>60</v>
      </c>
      <c r="E4" t="s">
        <v>70</v>
      </c>
      <c r="F4">
        <v>386</v>
      </c>
      <c r="G4" t="s">
        <v>62</v>
      </c>
      <c r="H4" t="s">
        <v>64</v>
      </c>
      <c r="I4">
        <v>1072</v>
      </c>
    </row>
    <row r="5" spans="1:9" x14ac:dyDescent="0.35">
      <c r="A5" t="s">
        <v>61</v>
      </c>
      <c r="B5">
        <v>106534472</v>
      </c>
      <c r="C5" t="s">
        <v>81</v>
      </c>
      <c r="D5" t="s">
        <v>60</v>
      </c>
      <c r="E5" t="s">
        <v>70</v>
      </c>
      <c r="F5">
        <v>386</v>
      </c>
      <c r="G5" t="s">
        <v>68</v>
      </c>
      <c r="H5" t="s">
        <v>67</v>
      </c>
      <c r="I5">
        <v>386</v>
      </c>
    </row>
    <row r="6" spans="1:9" x14ac:dyDescent="0.35">
      <c r="A6" t="s">
        <v>61</v>
      </c>
      <c r="B6">
        <v>107432433</v>
      </c>
      <c r="C6" t="s">
        <v>90</v>
      </c>
      <c r="D6" t="s">
        <v>60</v>
      </c>
      <c r="E6" t="s">
        <v>70</v>
      </c>
      <c r="F6">
        <v>147</v>
      </c>
      <c r="G6" t="s">
        <v>62</v>
      </c>
      <c r="H6" t="s">
        <v>67</v>
      </c>
      <c r="I6">
        <v>819</v>
      </c>
    </row>
    <row r="7" spans="1:9" x14ac:dyDescent="0.35">
      <c r="A7" t="s">
        <v>61</v>
      </c>
      <c r="B7">
        <v>107432433</v>
      </c>
      <c r="C7" t="s">
        <v>90</v>
      </c>
      <c r="D7" t="s">
        <v>60</v>
      </c>
      <c r="E7" t="s">
        <v>70</v>
      </c>
      <c r="F7">
        <v>147</v>
      </c>
      <c r="G7" t="s">
        <v>62</v>
      </c>
      <c r="H7" t="s">
        <v>63</v>
      </c>
      <c r="I7">
        <v>88</v>
      </c>
    </row>
    <row r="8" spans="1:9" x14ac:dyDescent="0.35">
      <c r="A8" t="s">
        <v>61</v>
      </c>
      <c r="B8">
        <v>107432433</v>
      </c>
      <c r="C8" t="s">
        <v>90</v>
      </c>
      <c r="D8" t="s">
        <v>60</v>
      </c>
      <c r="E8" t="s">
        <v>70</v>
      </c>
      <c r="F8">
        <v>147</v>
      </c>
      <c r="G8" t="s">
        <v>62</v>
      </c>
      <c r="H8" t="s">
        <v>64</v>
      </c>
      <c r="I8">
        <v>731</v>
      </c>
    </row>
    <row r="9" spans="1:9" x14ac:dyDescent="0.35">
      <c r="A9" t="s">
        <v>61</v>
      </c>
      <c r="B9">
        <v>107432433</v>
      </c>
      <c r="C9" t="s">
        <v>90</v>
      </c>
      <c r="D9" t="s">
        <v>60</v>
      </c>
      <c r="E9" t="s">
        <v>70</v>
      </c>
      <c r="F9">
        <v>147</v>
      </c>
      <c r="G9" t="s">
        <v>68</v>
      </c>
      <c r="H9" t="s">
        <v>67</v>
      </c>
      <c r="I9">
        <v>147</v>
      </c>
    </row>
    <row r="10" spans="1:9" x14ac:dyDescent="0.35">
      <c r="A10" t="s">
        <v>61</v>
      </c>
      <c r="B10">
        <v>102530855</v>
      </c>
      <c r="C10" t="s">
        <v>560</v>
      </c>
      <c r="D10" t="s">
        <v>60</v>
      </c>
      <c r="E10" t="s">
        <v>70</v>
      </c>
      <c r="F10">
        <v>6</v>
      </c>
      <c r="G10" t="s">
        <v>62</v>
      </c>
      <c r="H10" t="s">
        <v>67</v>
      </c>
      <c r="I10">
        <v>4595</v>
      </c>
    </row>
    <row r="11" spans="1:9" x14ac:dyDescent="0.35">
      <c r="A11" t="s">
        <v>61</v>
      </c>
      <c r="B11">
        <v>102530855</v>
      </c>
      <c r="C11" t="s">
        <v>560</v>
      </c>
      <c r="D11" t="s">
        <v>60</v>
      </c>
      <c r="E11" t="s">
        <v>70</v>
      </c>
      <c r="F11">
        <v>6</v>
      </c>
      <c r="G11" t="s">
        <v>62</v>
      </c>
      <c r="H11" t="s">
        <v>63</v>
      </c>
      <c r="I11">
        <v>1324</v>
      </c>
    </row>
    <row r="12" spans="1:9" x14ac:dyDescent="0.35">
      <c r="A12" t="s">
        <v>61</v>
      </c>
      <c r="B12">
        <v>102530855</v>
      </c>
      <c r="C12" t="s">
        <v>560</v>
      </c>
      <c r="D12" t="s">
        <v>60</v>
      </c>
      <c r="E12" t="s">
        <v>70</v>
      </c>
      <c r="F12">
        <v>6</v>
      </c>
      <c r="G12" t="s">
        <v>62</v>
      </c>
      <c r="H12" t="s">
        <v>64</v>
      </c>
      <c r="I12">
        <v>3271</v>
      </c>
    </row>
    <row r="13" spans="1:9" x14ac:dyDescent="0.35">
      <c r="A13" t="s">
        <v>61</v>
      </c>
      <c r="B13">
        <v>102530855</v>
      </c>
      <c r="C13" t="s">
        <v>560</v>
      </c>
      <c r="D13" t="s">
        <v>60</v>
      </c>
      <c r="E13" t="s">
        <v>70</v>
      </c>
      <c r="F13">
        <v>6</v>
      </c>
      <c r="G13" t="s">
        <v>68</v>
      </c>
      <c r="H13" t="s">
        <v>67</v>
      </c>
      <c r="I13">
        <v>309</v>
      </c>
    </row>
    <row r="14" spans="1:9" x14ac:dyDescent="0.35">
      <c r="A14" t="s">
        <v>61</v>
      </c>
      <c r="B14">
        <v>102530855</v>
      </c>
      <c r="C14" t="s">
        <v>560</v>
      </c>
      <c r="D14" t="s">
        <v>60</v>
      </c>
      <c r="E14" t="s">
        <v>70</v>
      </c>
      <c r="F14">
        <v>6</v>
      </c>
      <c r="G14" t="s">
        <v>69</v>
      </c>
      <c r="H14" t="s">
        <v>67</v>
      </c>
      <c r="I14">
        <v>6</v>
      </c>
    </row>
    <row r="15" spans="1:9" x14ac:dyDescent="0.35">
      <c r="A15" t="s">
        <v>61</v>
      </c>
      <c r="B15">
        <v>107284892</v>
      </c>
      <c r="C15" t="s">
        <v>579</v>
      </c>
      <c r="D15" t="s">
        <v>78</v>
      </c>
      <c r="E15" t="s">
        <v>70</v>
      </c>
      <c r="F15">
        <v>467</v>
      </c>
      <c r="G15" t="s">
        <v>62</v>
      </c>
      <c r="H15" t="s">
        <v>67</v>
      </c>
      <c r="I15">
        <v>2096</v>
      </c>
    </row>
    <row r="16" spans="1:9" x14ac:dyDescent="0.35">
      <c r="A16" t="s">
        <v>61</v>
      </c>
      <c r="B16">
        <v>107284892</v>
      </c>
      <c r="C16" t="s">
        <v>579</v>
      </c>
      <c r="D16" t="s">
        <v>78</v>
      </c>
      <c r="E16" t="s">
        <v>70</v>
      </c>
      <c r="F16">
        <v>467</v>
      </c>
      <c r="G16" t="s">
        <v>62</v>
      </c>
      <c r="H16" t="s">
        <v>63</v>
      </c>
      <c r="I16">
        <v>414</v>
      </c>
    </row>
    <row r="17" spans="1:9" x14ac:dyDescent="0.35">
      <c r="A17" t="s">
        <v>61</v>
      </c>
      <c r="B17">
        <v>107284892</v>
      </c>
      <c r="C17" t="s">
        <v>579</v>
      </c>
      <c r="D17" t="s">
        <v>78</v>
      </c>
      <c r="E17" t="s">
        <v>70</v>
      </c>
      <c r="F17">
        <v>467</v>
      </c>
      <c r="G17" t="s">
        <v>62</v>
      </c>
      <c r="H17" t="s">
        <v>64</v>
      </c>
      <c r="I17">
        <v>1682</v>
      </c>
    </row>
    <row r="18" spans="1:9" x14ac:dyDescent="0.35">
      <c r="A18" t="s">
        <v>61</v>
      </c>
      <c r="B18">
        <v>107284892</v>
      </c>
      <c r="C18" t="s">
        <v>579</v>
      </c>
      <c r="D18" t="s">
        <v>78</v>
      </c>
      <c r="E18" t="s">
        <v>70</v>
      </c>
      <c r="F18">
        <v>467</v>
      </c>
      <c r="G18" t="s">
        <v>68</v>
      </c>
      <c r="H18" t="s">
        <v>67</v>
      </c>
      <c r="I18">
        <v>467</v>
      </c>
    </row>
    <row r="19" spans="1:9" x14ac:dyDescent="0.35">
      <c r="A19" t="s">
        <v>61</v>
      </c>
      <c r="B19">
        <v>107820116</v>
      </c>
      <c r="C19" t="s">
        <v>102</v>
      </c>
      <c r="D19" t="s">
        <v>60</v>
      </c>
      <c r="E19" t="s">
        <v>58</v>
      </c>
      <c r="F19">
        <v>363</v>
      </c>
      <c r="G19" t="s">
        <v>62</v>
      </c>
      <c r="H19" t="s">
        <v>67</v>
      </c>
      <c r="I19">
        <v>2259</v>
      </c>
    </row>
    <row r="20" spans="1:9" x14ac:dyDescent="0.35">
      <c r="A20" t="s">
        <v>61</v>
      </c>
      <c r="B20">
        <v>107820116</v>
      </c>
      <c r="C20" t="s">
        <v>102</v>
      </c>
      <c r="D20" t="s">
        <v>60</v>
      </c>
      <c r="E20" t="s">
        <v>58</v>
      </c>
      <c r="F20">
        <v>363</v>
      </c>
      <c r="G20" t="s">
        <v>62</v>
      </c>
      <c r="H20" t="s">
        <v>63</v>
      </c>
      <c r="I20">
        <v>320</v>
      </c>
    </row>
    <row r="21" spans="1:9" x14ac:dyDescent="0.35">
      <c r="A21" t="s">
        <v>61</v>
      </c>
      <c r="B21">
        <v>107820116</v>
      </c>
      <c r="C21" t="s">
        <v>102</v>
      </c>
      <c r="D21" t="s">
        <v>60</v>
      </c>
      <c r="E21" t="s">
        <v>58</v>
      </c>
      <c r="F21">
        <v>363</v>
      </c>
      <c r="G21" t="s">
        <v>62</v>
      </c>
      <c r="H21" t="s">
        <v>64</v>
      </c>
      <c r="I21">
        <v>1935</v>
      </c>
    </row>
    <row r="22" spans="1:9" x14ac:dyDescent="0.35">
      <c r="A22" t="s">
        <v>61</v>
      </c>
      <c r="B22">
        <v>107820116</v>
      </c>
      <c r="C22" t="s">
        <v>102</v>
      </c>
      <c r="D22" t="s">
        <v>60</v>
      </c>
      <c r="E22" t="s">
        <v>58</v>
      </c>
      <c r="F22">
        <v>363</v>
      </c>
      <c r="G22" t="s">
        <v>62</v>
      </c>
      <c r="H22" t="s">
        <v>65</v>
      </c>
      <c r="I22">
        <v>4</v>
      </c>
    </row>
    <row r="23" spans="1:9" x14ac:dyDescent="0.35">
      <c r="A23" t="s">
        <v>61</v>
      </c>
      <c r="B23">
        <v>107820116</v>
      </c>
      <c r="C23" t="s">
        <v>102</v>
      </c>
      <c r="D23" t="s">
        <v>60</v>
      </c>
      <c r="E23" t="s">
        <v>58</v>
      </c>
      <c r="F23">
        <v>363</v>
      </c>
      <c r="G23" t="s">
        <v>68</v>
      </c>
      <c r="H23" t="s">
        <v>67</v>
      </c>
      <c r="I23">
        <v>363</v>
      </c>
    </row>
    <row r="24" spans="1:9" x14ac:dyDescent="0.35">
      <c r="A24" t="s">
        <v>61</v>
      </c>
      <c r="B24">
        <v>107704699</v>
      </c>
      <c r="C24" t="s">
        <v>94</v>
      </c>
      <c r="D24" t="s">
        <v>60</v>
      </c>
      <c r="E24" t="s">
        <v>58</v>
      </c>
      <c r="F24">
        <v>267</v>
      </c>
      <c r="G24" t="s">
        <v>62</v>
      </c>
      <c r="H24" t="s">
        <v>67</v>
      </c>
      <c r="I24">
        <v>2003</v>
      </c>
    </row>
    <row r="25" spans="1:9" x14ac:dyDescent="0.35">
      <c r="A25" t="s">
        <v>61</v>
      </c>
      <c r="B25">
        <v>107704699</v>
      </c>
      <c r="C25" t="s">
        <v>94</v>
      </c>
      <c r="D25" t="s">
        <v>60</v>
      </c>
      <c r="E25" t="s">
        <v>58</v>
      </c>
      <c r="F25">
        <v>267</v>
      </c>
      <c r="G25" t="s">
        <v>62</v>
      </c>
      <c r="H25" t="s">
        <v>63</v>
      </c>
      <c r="I25">
        <v>324</v>
      </c>
    </row>
    <row r="26" spans="1:9" x14ac:dyDescent="0.35">
      <c r="A26" t="s">
        <v>61</v>
      </c>
      <c r="B26">
        <v>107704699</v>
      </c>
      <c r="C26" t="s">
        <v>94</v>
      </c>
      <c r="D26" t="s">
        <v>60</v>
      </c>
      <c r="E26" t="s">
        <v>58</v>
      </c>
      <c r="F26">
        <v>267</v>
      </c>
      <c r="G26" t="s">
        <v>62</v>
      </c>
      <c r="H26" t="s">
        <v>64</v>
      </c>
      <c r="I26">
        <v>1679</v>
      </c>
    </row>
    <row r="27" spans="1:9" x14ac:dyDescent="0.35">
      <c r="A27" t="s">
        <v>61</v>
      </c>
      <c r="B27">
        <v>107704699</v>
      </c>
      <c r="C27" t="s">
        <v>94</v>
      </c>
      <c r="D27" t="s">
        <v>60</v>
      </c>
      <c r="E27" t="s">
        <v>58</v>
      </c>
      <c r="F27">
        <v>267</v>
      </c>
      <c r="G27" t="s">
        <v>68</v>
      </c>
      <c r="H27" t="s">
        <v>67</v>
      </c>
      <c r="I27">
        <v>267</v>
      </c>
    </row>
    <row r="28" spans="1:9" x14ac:dyDescent="0.35">
      <c r="A28" t="s">
        <v>61</v>
      </c>
      <c r="B28">
        <v>106036050</v>
      </c>
      <c r="C28" t="s">
        <v>79</v>
      </c>
      <c r="D28" t="s">
        <v>60</v>
      </c>
      <c r="E28" t="s">
        <v>70</v>
      </c>
      <c r="F28">
        <v>441</v>
      </c>
      <c r="G28" t="s">
        <v>62</v>
      </c>
      <c r="H28" t="s">
        <v>67</v>
      </c>
      <c r="I28">
        <v>2475</v>
      </c>
    </row>
    <row r="29" spans="1:9" x14ac:dyDescent="0.35">
      <c r="A29" t="s">
        <v>61</v>
      </c>
      <c r="B29">
        <v>106036050</v>
      </c>
      <c r="C29" t="s">
        <v>79</v>
      </c>
      <c r="D29" t="s">
        <v>60</v>
      </c>
      <c r="E29" t="s">
        <v>70</v>
      </c>
      <c r="F29">
        <v>441</v>
      </c>
      <c r="G29" t="s">
        <v>62</v>
      </c>
      <c r="H29" t="s">
        <v>63</v>
      </c>
      <c r="I29">
        <v>696</v>
      </c>
    </row>
    <row r="30" spans="1:9" x14ac:dyDescent="0.35">
      <c r="A30" t="s">
        <v>61</v>
      </c>
      <c r="B30">
        <v>106036050</v>
      </c>
      <c r="C30" t="s">
        <v>79</v>
      </c>
      <c r="D30" t="s">
        <v>60</v>
      </c>
      <c r="E30" t="s">
        <v>70</v>
      </c>
      <c r="F30">
        <v>441</v>
      </c>
      <c r="G30" t="s">
        <v>62</v>
      </c>
      <c r="H30" t="s">
        <v>64</v>
      </c>
      <c r="I30">
        <v>1773</v>
      </c>
    </row>
    <row r="31" spans="1:9" x14ac:dyDescent="0.35">
      <c r="A31" t="s">
        <v>61</v>
      </c>
      <c r="B31">
        <v>106036050</v>
      </c>
      <c r="C31" t="s">
        <v>79</v>
      </c>
      <c r="D31" t="s">
        <v>60</v>
      </c>
      <c r="E31" t="s">
        <v>70</v>
      </c>
      <c r="F31">
        <v>441</v>
      </c>
      <c r="G31" t="s">
        <v>62</v>
      </c>
      <c r="H31" t="s">
        <v>65</v>
      </c>
      <c r="I31">
        <v>6</v>
      </c>
    </row>
    <row r="32" spans="1:9" x14ac:dyDescent="0.35">
      <c r="A32" t="s">
        <v>61</v>
      </c>
      <c r="B32">
        <v>106036050</v>
      </c>
      <c r="C32" t="s">
        <v>79</v>
      </c>
      <c r="D32" t="s">
        <v>60</v>
      </c>
      <c r="E32" t="s">
        <v>70</v>
      </c>
      <c r="F32">
        <v>441</v>
      </c>
      <c r="G32" t="s">
        <v>68</v>
      </c>
      <c r="H32" t="s">
        <v>67</v>
      </c>
      <c r="I32">
        <v>441</v>
      </c>
    </row>
    <row r="33" spans="1:9" x14ac:dyDescent="0.35">
      <c r="A33" t="s">
        <v>61</v>
      </c>
      <c r="B33">
        <v>106140648</v>
      </c>
      <c r="C33" t="s">
        <v>671</v>
      </c>
      <c r="D33" t="s">
        <v>60</v>
      </c>
      <c r="E33" t="s">
        <v>70</v>
      </c>
      <c r="F33">
        <v>577</v>
      </c>
      <c r="G33" t="s">
        <v>62</v>
      </c>
      <c r="H33" t="s">
        <v>67</v>
      </c>
      <c r="I33">
        <v>5739</v>
      </c>
    </row>
    <row r="34" spans="1:9" x14ac:dyDescent="0.35">
      <c r="A34" t="s">
        <v>61</v>
      </c>
      <c r="B34">
        <v>106140648</v>
      </c>
      <c r="C34" t="s">
        <v>671</v>
      </c>
      <c r="D34" t="s">
        <v>60</v>
      </c>
      <c r="E34" t="s">
        <v>70</v>
      </c>
      <c r="F34">
        <v>577</v>
      </c>
      <c r="G34" t="s">
        <v>62</v>
      </c>
      <c r="H34" t="s">
        <v>63</v>
      </c>
      <c r="I34">
        <v>2506</v>
      </c>
    </row>
    <row r="35" spans="1:9" x14ac:dyDescent="0.35">
      <c r="A35" t="s">
        <v>61</v>
      </c>
      <c r="B35">
        <v>106140648</v>
      </c>
      <c r="C35" t="s">
        <v>671</v>
      </c>
      <c r="D35" t="s">
        <v>60</v>
      </c>
      <c r="E35" t="s">
        <v>70</v>
      </c>
      <c r="F35">
        <v>577</v>
      </c>
      <c r="G35" t="s">
        <v>62</v>
      </c>
      <c r="H35" t="s">
        <v>64</v>
      </c>
      <c r="I35">
        <v>3233</v>
      </c>
    </row>
    <row r="36" spans="1:9" x14ac:dyDescent="0.35">
      <c r="A36" t="s">
        <v>61</v>
      </c>
      <c r="B36">
        <v>106140648</v>
      </c>
      <c r="C36" t="s">
        <v>671</v>
      </c>
      <c r="D36" t="s">
        <v>60</v>
      </c>
      <c r="E36" t="s">
        <v>70</v>
      </c>
      <c r="F36">
        <v>577</v>
      </c>
      <c r="G36" t="s">
        <v>68</v>
      </c>
      <c r="H36" t="s">
        <v>67</v>
      </c>
      <c r="I36">
        <v>577</v>
      </c>
    </row>
    <row r="37" spans="1:9" x14ac:dyDescent="0.35">
      <c r="A37" t="s">
        <v>61</v>
      </c>
      <c r="B37">
        <v>107741933</v>
      </c>
      <c r="C37" t="s">
        <v>97</v>
      </c>
      <c r="D37" t="s">
        <v>60</v>
      </c>
      <c r="E37" t="s">
        <v>58</v>
      </c>
      <c r="F37">
        <v>231</v>
      </c>
      <c r="G37" t="s">
        <v>62</v>
      </c>
      <c r="H37" t="s">
        <v>67</v>
      </c>
      <c r="I37">
        <v>1609</v>
      </c>
    </row>
    <row r="38" spans="1:9" x14ac:dyDescent="0.35">
      <c r="A38" t="s">
        <v>61</v>
      </c>
      <c r="B38">
        <v>107741933</v>
      </c>
      <c r="C38" t="s">
        <v>97</v>
      </c>
      <c r="D38" t="s">
        <v>60</v>
      </c>
      <c r="E38" t="s">
        <v>58</v>
      </c>
      <c r="F38">
        <v>231</v>
      </c>
      <c r="G38" t="s">
        <v>62</v>
      </c>
      <c r="H38" t="s">
        <v>63</v>
      </c>
      <c r="I38">
        <v>361</v>
      </c>
    </row>
    <row r="39" spans="1:9" x14ac:dyDescent="0.35">
      <c r="A39" t="s">
        <v>61</v>
      </c>
      <c r="B39">
        <v>107741933</v>
      </c>
      <c r="C39" t="s">
        <v>97</v>
      </c>
      <c r="D39" t="s">
        <v>60</v>
      </c>
      <c r="E39" t="s">
        <v>58</v>
      </c>
      <c r="F39">
        <v>231</v>
      </c>
      <c r="G39" t="s">
        <v>62</v>
      </c>
      <c r="H39" t="s">
        <v>64</v>
      </c>
      <c r="I39">
        <v>1245</v>
      </c>
    </row>
    <row r="40" spans="1:9" x14ac:dyDescent="0.35">
      <c r="A40" t="s">
        <v>61</v>
      </c>
      <c r="B40">
        <v>107741933</v>
      </c>
      <c r="C40" t="s">
        <v>97</v>
      </c>
      <c r="D40" t="s">
        <v>60</v>
      </c>
      <c r="E40" t="s">
        <v>58</v>
      </c>
      <c r="F40">
        <v>231</v>
      </c>
      <c r="G40" t="s">
        <v>62</v>
      </c>
      <c r="H40" t="s">
        <v>65</v>
      </c>
      <c r="I40">
        <v>3</v>
      </c>
    </row>
    <row r="41" spans="1:9" x14ac:dyDescent="0.35">
      <c r="A41" t="s">
        <v>61</v>
      </c>
      <c r="B41">
        <v>107741933</v>
      </c>
      <c r="C41" t="s">
        <v>97</v>
      </c>
      <c r="D41" t="s">
        <v>60</v>
      </c>
      <c r="E41" t="s">
        <v>58</v>
      </c>
      <c r="F41">
        <v>231</v>
      </c>
      <c r="G41" t="s">
        <v>68</v>
      </c>
      <c r="H41" t="s">
        <v>67</v>
      </c>
      <c r="I41">
        <v>231</v>
      </c>
    </row>
    <row r="42" spans="1:9" x14ac:dyDescent="0.35">
      <c r="A42" t="s">
        <v>61</v>
      </c>
      <c r="B42">
        <v>107221237</v>
      </c>
      <c r="C42" t="s">
        <v>89</v>
      </c>
      <c r="D42" t="s">
        <v>72</v>
      </c>
      <c r="E42" t="s">
        <v>58</v>
      </c>
      <c r="F42">
        <v>289</v>
      </c>
      <c r="G42" t="s">
        <v>62</v>
      </c>
      <c r="H42" t="s">
        <v>67</v>
      </c>
      <c r="I42">
        <v>2676</v>
      </c>
    </row>
    <row r="43" spans="1:9" x14ac:dyDescent="0.35">
      <c r="A43" t="s">
        <v>61</v>
      </c>
      <c r="B43">
        <v>107221237</v>
      </c>
      <c r="C43" t="s">
        <v>89</v>
      </c>
      <c r="D43" t="s">
        <v>72</v>
      </c>
      <c r="E43" t="s">
        <v>58</v>
      </c>
      <c r="F43">
        <v>289</v>
      </c>
      <c r="G43" t="s">
        <v>62</v>
      </c>
      <c r="H43" t="s">
        <v>63</v>
      </c>
      <c r="I43">
        <v>1334</v>
      </c>
    </row>
    <row r="44" spans="1:9" x14ac:dyDescent="0.35">
      <c r="A44" t="s">
        <v>61</v>
      </c>
      <c r="B44">
        <v>107221237</v>
      </c>
      <c r="C44" t="s">
        <v>89</v>
      </c>
      <c r="D44" t="s">
        <v>72</v>
      </c>
      <c r="E44" t="s">
        <v>58</v>
      </c>
      <c r="F44">
        <v>289</v>
      </c>
      <c r="G44" t="s">
        <v>62</v>
      </c>
      <c r="H44" t="s">
        <v>64</v>
      </c>
      <c r="I44">
        <v>1342</v>
      </c>
    </row>
    <row r="45" spans="1:9" x14ac:dyDescent="0.35">
      <c r="A45" t="s">
        <v>61</v>
      </c>
      <c r="B45">
        <v>107221237</v>
      </c>
      <c r="C45" t="s">
        <v>89</v>
      </c>
      <c r="D45" t="s">
        <v>72</v>
      </c>
      <c r="E45" t="s">
        <v>58</v>
      </c>
      <c r="F45">
        <v>289</v>
      </c>
      <c r="G45" t="s">
        <v>68</v>
      </c>
      <c r="H45" t="s">
        <v>67</v>
      </c>
      <c r="I45">
        <v>289</v>
      </c>
    </row>
    <row r="46" spans="1:9" x14ac:dyDescent="0.35">
      <c r="A46" t="s">
        <v>61</v>
      </c>
      <c r="B46">
        <v>107212683</v>
      </c>
      <c r="C46" t="s">
        <v>673</v>
      </c>
      <c r="D46" t="s">
        <v>60</v>
      </c>
      <c r="E46" t="s">
        <v>70</v>
      </c>
      <c r="F46">
        <v>475</v>
      </c>
      <c r="G46" t="s">
        <v>62</v>
      </c>
      <c r="H46" t="s">
        <v>67</v>
      </c>
      <c r="I46">
        <v>2654</v>
      </c>
    </row>
    <row r="47" spans="1:9" x14ac:dyDescent="0.35">
      <c r="A47" t="s">
        <v>61</v>
      </c>
      <c r="B47">
        <v>107212683</v>
      </c>
      <c r="C47" t="s">
        <v>673</v>
      </c>
      <c r="D47" t="s">
        <v>60</v>
      </c>
      <c r="E47" t="s">
        <v>70</v>
      </c>
      <c r="F47">
        <v>475</v>
      </c>
      <c r="G47" t="s">
        <v>62</v>
      </c>
      <c r="H47" t="s">
        <v>63</v>
      </c>
      <c r="I47">
        <v>440</v>
      </c>
    </row>
    <row r="48" spans="1:9" x14ac:dyDescent="0.35">
      <c r="A48" t="s">
        <v>61</v>
      </c>
      <c r="B48">
        <v>107212683</v>
      </c>
      <c r="C48" t="s">
        <v>673</v>
      </c>
      <c r="D48" t="s">
        <v>60</v>
      </c>
      <c r="E48" t="s">
        <v>70</v>
      </c>
      <c r="F48">
        <v>475</v>
      </c>
      <c r="G48" t="s">
        <v>62</v>
      </c>
      <c r="H48" t="s">
        <v>64</v>
      </c>
      <c r="I48">
        <v>2214</v>
      </c>
    </row>
    <row r="49" spans="1:9" x14ac:dyDescent="0.35">
      <c r="A49" t="s">
        <v>61</v>
      </c>
      <c r="B49">
        <v>107212683</v>
      </c>
      <c r="C49" t="s">
        <v>673</v>
      </c>
      <c r="D49" t="s">
        <v>60</v>
      </c>
      <c r="E49" t="s">
        <v>70</v>
      </c>
      <c r="F49">
        <v>475</v>
      </c>
      <c r="G49" t="s">
        <v>68</v>
      </c>
      <c r="H49" t="s">
        <v>67</v>
      </c>
      <c r="I49">
        <v>475</v>
      </c>
    </row>
    <row r="50" spans="1:9" x14ac:dyDescent="0.35">
      <c r="A50" t="s">
        <v>61</v>
      </c>
      <c r="B50">
        <v>106533893</v>
      </c>
      <c r="C50" t="s">
        <v>672</v>
      </c>
      <c r="D50" t="s">
        <v>60</v>
      </c>
      <c r="E50" t="s">
        <v>70</v>
      </c>
      <c r="F50">
        <v>1</v>
      </c>
      <c r="G50" t="s">
        <v>62</v>
      </c>
      <c r="H50" t="s">
        <v>67</v>
      </c>
      <c r="I50">
        <v>3128</v>
      </c>
    </row>
    <row r="51" spans="1:9" x14ac:dyDescent="0.35">
      <c r="A51" t="s">
        <v>61</v>
      </c>
      <c r="B51">
        <v>106533893</v>
      </c>
      <c r="C51" t="s">
        <v>672</v>
      </c>
      <c r="D51" t="s">
        <v>60</v>
      </c>
      <c r="E51" t="s">
        <v>70</v>
      </c>
      <c r="F51">
        <v>1</v>
      </c>
      <c r="G51" t="s">
        <v>62</v>
      </c>
      <c r="H51" t="s">
        <v>63</v>
      </c>
      <c r="I51">
        <v>1534</v>
      </c>
    </row>
    <row r="52" spans="1:9" x14ac:dyDescent="0.35">
      <c r="A52" t="s">
        <v>61</v>
      </c>
      <c r="B52">
        <v>106533893</v>
      </c>
      <c r="C52" t="s">
        <v>672</v>
      </c>
      <c r="D52" t="s">
        <v>60</v>
      </c>
      <c r="E52" t="s">
        <v>70</v>
      </c>
      <c r="F52">
        <v>1</v>
      </c>
      <c r="G52" t="s">
        <v>62</v>
      </c>
      <c r="H52" t="s">
        <v>64</v>
      </c>
      <c r="I52">
        <v>1594</v>
      </c>
    </row>
    <row r="53" spans="1:9" x14ac:dyDescent="0.35">
      <c r="A53" t="s">
        <v>61</v>
      </c>
      <c r="B53">
        <v>106533893</v>
      </c>
      <c r="C53" t="s">
        <v>672</v>
      </c>
      <c r="D53" t="s">
        <v>60</v>
      </c>
      <c r="E53" t="s">
        <v>70</v>
      </c>
      <c r="F53">
        <v>1</v>
      </c>
      <c r="G53" t="s">
        <v>68</v>
      </c>
      <c r="H53" t="s">
        <v>67</v>
      </c>
      <c r="I53">
        <v>280</v>
      </c>
    </row>
    <row r="54" spans="1:9" x14ac:dyDescent="0.35">
      <c r="A54" t="s">
        <v>61</v>
      </c>
      <c r="B54">
        <v>106533893</v>
      </c>
      <c r="C54" t="s">
        <v>672</v>
      </c>
      <c r="D54" t="s">
        <v>60</v>
      </c>
      <c r="E54" t="s">
        <v>70</v>
      </c>
      <c r="F54">
        <v>1</v>
      </c>
      <c r="G54" t="s">
        <v>69</v>
      </c>
      <c r="H54" t="s">
        <v>67</v>
      </c>
      <c r="I54">
        <v>1</v>
      </c>
    </row>
    <row r="55" spans="1:9" x14ac:dyDescent="0.35">
      <c r="A55" t="s">
        <v>61</v>
      </c>
      <c r="B55">
        <v>107221222</v>
      </c>
      <c r="C55" t="s">
        <v>86</v>
      </c>
      <c r="D55" t="s">
        <v>72</v>
      </c>
      <c r="E55" t="s">
        <v>70</v>
      </c>
      <c r="F55">
        <v>545</v>
      </c>
      <c r="G55" t="s">
        <v>62</v>
      </c>
      <c r="H55" t="s">
        <v>67</v>
      </c>
      <c r="I55">
        <v>4633</v>
      </c>
    </row>
    <row r="56" spans="1:9" x14ac:dyDescent="0.35">
      <c r="A56" t="s">
        <v>61</v>
      </c>
      <c r="B56">
        <v>107221222</v>
      </c>
      <c r="C56" t="s">
        <v>86</v>
      </c>
      <c r="D56" t="s">
        <v>72</v>
      </c>
      <c r="E56" t="s">
        <v>70</v>
      </c>
      <c r="F56">
        <v>545</v>
      </c>
      <c r="G56" t="s">
        <v>62</v>
      </c>
      <c r="H56" t="s">
        <v>63</v>
      </c>
      <c r="I56">
        <v>1651</v>
      </c>
    </row>
    <row r="57" spans="1:9" x14ac:dyDescent="0.35">
      <c r="A57" t="s">
        <v>61</v>
      </c>
      <c r="B57">
        <v>107221222</v>
      </c>
      <c r="C57" t="s">
        <v>86</v>
      </c>
      <c r="D57" t="s">
        <v>72</v>
      </c>
      <c r="E57" t="s">
        <v>70</v>
      </c>
      <c r="F57">
        <v>545</v>
      </c>
      <c r="G57" t="s">
        <v>62</v>
      </c>
      <c r="H57" t="s">
        <v>64</v>
      </c>
      <c r="I57">
        <v>2955</v>
      </c>
    </row>
    <row r="58" spans="1:9" x14ac:dyDescent="0.35">
      <c r="A58" t="s">
        <v>61</v>
      </c>
      <c r="B58">
        <v>107221222</v>
      </c>
      <c r="C58" t="s">
        <v>86</v>
      </c>
      <c r="D58" t="s">
        <v>72</v>
      </c>
      <c r="E58" t="s">
        <v>70</v>
      </c>
      <c r="F58">
        <v>545</v>
      </c>
      <c r="G58" t="s">
        <v>62</v>
      </c>
      <c r="H58" t="s">
        <v>65</v>
      </c>
      <c r="I58">
        <v>27</v>
      </c>
    </row>
    <row r="59" spans="1:9" x14ac:dyDescent="0.35">
      <c r="A59" t="s">
        <v>61</v>
      </c>
      <c r="B59">
        <v>107221222</v>
      </c>
      <c r="C59" t="s">
        <v>86</v>
      </c>
      <c r="D59" t="s">
        <v>72</v>
      </c>
      <c r="E59" t="s">
        <v>70</v>
      </c>
      <c r="F59">
        <v>545</v>
      </c>
      <c r="G59" t="s">
        <v>68</v>
      </c>
      <c r="H59" t="s">
        <v>67</v>
      </c>
      <c r="I59">
        <v>545</v>
      </c>
    </row>
    <row r="60" spans="1:9" x14ac:dyDescent="0.35">
      <c r="A60" t="s">
        <v>61</v>
      </c>
      <c r="B60">
        <v>107704604</v>
      </c>
      <c r="C60" t="s">
        <v>93</v>
      </c>
      <c r="D60" t="s">
        <v>72</v>
      </c>
      <c r="E60" t="s">
        <v>58</v>
      </c>
      <c r="F60">
        <v>513</v>
      </c>
      <c r="G60" t="s">
        <v>62</v>
      </c>
      <c r="H60" t="s">
        <v>67</v>
      </c>
      <c r="I60">
        <v>2211</v>
      </c>
    </row>
    <row r="61" spans="1:9" x14ac:dyDescent="0.35">
      <c r="A61" t="s">
        <v>61</v>
      </c>
      <c r="B61">
        <v>107704604</v>
      </c>
      <c r="C61" t="s">
        <v>93</v>
      </c>
      <c r="D61" t="s">
        <v>72</v>
      </c>
      <c r="E61" t="s">
        <v>58</v>
      </c>
      <c r="F61">
        <v>513</v>
      </c>
      <c r="G61" t="s">
        <v>62</v>
      </c>
      <c r="H61" t="s">
        <v>63</v>
      </c>
      <c r="I61">
        <v>376</v>
      </c>
    </row>
    <row r="62" spans="1:9" x14ac:dyDescent="0.35">
      <c r="A62" t="s">
        <v>61</v>
      </c>
      <c r="B62">
        <v>107704604</v>
      </c>
      <c r="C62" t="s">
        <v>93</v>
      </c>
      <c r="D62" t="s">
        <v>72</v>
      </c>
      <c r="E62" t="s">
        <v>58</v>
      </c>
      <c r="F62">
        <v>513</v>
      </c>
      <c r="G62" t="s">
        <v>62</v>
      </c>
      <c r="H62" t="s">
        <v>64</v>
      </c>
      <c r="I62">
        <v>1831</v>
      </c>
    </row>
    <row r="63" spans="1:9" x14ac:dyDescent="0.35">
      <c r="A63" t="s">
        <v>61</v>
      </c>
      <c r="B63">
        <v>107704604</v>
      </c>
      <c r="C63" t="s">
        <v>93</v>
      </c>
      <c r="D63" t="s">
        <v>72</v>
      </c>
      <c r="E63" t="s">
        <v>58</v>
      </c>
      <c r="F63">
        <v>513</v>
      </c>
      <c r="G63" t="s">
        <v>62</v>
      </c>
      <c r="H63" t="s">
        <v>65</v>
      </c>
      <c r="I63">
        <v>4</v>
      </c>
    </row>
    <row r="64" spans="1:9" x14ac:dyDescent="0.35">
      <c r="A64" t="s">
        <v>61</v>
      </c>
      <c r="B64">
        <v>107704604</v>
      </c>
      <c r="C64" t="s">
        <v>93</v>
      </c>
      <c r="D64" t="s">
        <v>72</v>
      </c>
      <c r="E64" t="s">
        <v>58</v>
      </c>
      <c r="F64">
        <v>513</v>
      </c>
      <c r="G64" t="s">
        <v>68</v>
      </c>
      <c r="H64" t="s">
        <v>67</v>
      </c>
      <c r="I64">
        <v>513</v>
      </c>
    </row>
    <row r="65" spans="1:9" x14ac:dyDescent="0.35">
      <c r="A65" t="s">
        <v>61</v>
      </c>
      <c r="B65">
        <v>107741612</v>
      </c>
      <c r="C65" t="s">
        <v>96</v>
      </c>
      <c r="D65" t="s">
        <v>60</v>
      </c>
      <c r="E65" t="s">
        <v>70</v>
      </c>
      <c r="F65">
        <v>446</v>
      </c>
      <c r="G65" t="s">
        <v>62</v>
      </c>
      <c r="H65" t="s">
        <v>67</v>
      </c>
      <c r="I65">
        <v>2981</v>
      </c>
    </row>
    <row r="66" spans="1:9" x14ac:dyDescent="0.35">
      <c r="A66" t="s">
        <v>61</v>
      </c>
      <c r="B66">
        <v>107741612</v>
      </c>
      <c r="C66" t="s">
        <v>96</v>
      </c>
      <c r="D66" t="s">
        <v>60</v>
      </c>
      <c r="E66" t="s">
        <v>70</v>
      </c>
      <c r="F66">
        <v>446</v>
      </c>
      <c r="G66" t="s">
        <v>62</v>
      </c>
      <c r="H66" t="s">
        <v>63</v>
      </c>
      <c r="I66">
        <v>382</v>
      </c>
    </row>
    <row r="67" spans="1:9" x14ac:dyDescent="0.35">
      <c r="A67" t="s">
        <v>61</v>
      </c>
      <c r="B67">
        <v>107741612</v>
      </c>
      <c r="C67" t="s">
        <v>96</v>
      </c>
      <c r="D67" t="s">
        <v>60</v>
      </c>
      <c r="E67" t="s">
        <v>70</v>
      </c>
      <c r="F67">
        <v>446</v>
      </c>
      <c r="G67" t="s">
        <v>62</v>
      </c>
      <c r="H67" t="s">
        <v>64</v>
      </c>
      <c r="I67">
        <v>2599</v>
      </c>
    </row>
    <row r="68" spans="1:9" x14ac:dyDescent="0.35">
      <c r="A68" t="s">
        <v>61</v>
      </c>
      <c r="B68">
        <v>107741612</v>
      </c>
      <c r="C68" t="s">
        <v>96</v>
      </c>
      <c r="D68" t="s">
        <v>60</v>
      </c>
      <c r="E68" t="s">
        <v>70</v>
      </c>
      <c r="F68">
        <v>446</v>
      </c>
      <c r="G68" t="s">
        <v>68</v>
      </c>
      <c r="H68" t="s">
        <v>67</v>
      </c>
      <c r="I68">
        <v>446</v>
      </c>
    </row>
    <row r="69" spans="1:9" x14ac:dyDescent="0.35">
      <c r="A69" t="s">
        <v>61</v>
      </c>
      <c r="B69">
        <v>101750120</v>
      </c>
      <c r="C69" t="s">
        <v>667</v>
      </c>
      <c r="D69" t="s">
        <v>72</v>
      </c>
      <c r="E69" t="s">
        <v>70</v>
      </c>
      <c r="F69">
        <v>422</v>
      </c>
      <c r="G69" t="s">
        <v>62</v>
      </c>
      <c r="H69" t="s">
        <v>67</v>
      </c>
      <c r="I69">
        <v>4244</v>
      </c>
    </row>
    <row r="70" spans="1:9" x14ac:dyDescent="0.35">
      <c r="A70" t="s">
        <v>61</v>
      </c>
      <c r="B70">
        <v>101750120</v>
      </c>
      <c r="C70" t="s">
        <v>667</v>
      </c>
      <c r="D70" t="s">
        <v>72</v>
      </c>
      <c r="E70" t="s">
        <v>70</v>
      </c>
      <c r="F70">
        <v>422</v>
      </c>
      <c r="G70" t="s">
        <v>62</v>
      </c>
      <c r="H70" t="s">
        <v>63</v>
      </c>
      <c r="I70">
        <v>2109</v>
      </c>
    </row>
    <row r="71" spans="1:9" x14ac:dyDescent="0.35">
      <c r="A71" t="s">
        <v>61</v>
      </c>
      <c r="B71">
        <v>101750120</v>
      </c>
      <c r="C71" t="s">
        <v>667</v>
      </c>
      <c r="D71" t="s">
        <v>72</v>
      </c>
      <c r="E71" t="s">
        <v>70</v>
      </c>
      <c r="F71">
        <v>422</v>
      </c>
      <c r="G71" t="s">
        <v>62</v>
      </c>
      <c r="H71" t="s">
        <v>64</v>
      </c>
      <c r="I71">
        <v>2111</v>
      </c>
    </row>
    <row r="72" spans="1:9" x14ac:dyDescent="0.35">
      <c r="A72" t="s">
        <v>61</v>
      </c>
      <c r="B72">
        <v>101750120</v>
      </c>
      <c r="C72" t="s">
        <v>667</v>
      </c>
      <c r="D72" t="s">
        <v>72</v>
      </c>
      <c r="E72" t="s">
        <v>70</v>
      </c>
      <c r="F72">
        <v>422</v>
      </c>
      <c r="G72" t="s">
        <v>62</v>
      </c>
      <c r="H72" t="s">
        <v>65</v>
      </c>
      <c r="I72">
        <v>24</v>
      </c>
    </row>
    <row r="73" spans="1:9" x14ac:dyDescent="0.35">
      <c r="A73" t="s">
        <v>61</v>
      </c>
      <c r="B73">
        <v>101750120</v>
      </c>
      <c r="C73" t="s">
        <v>667</v>
      </c>
      <c r="D73" t="s">
        <v>72</v>
      </c>
      <c r="E73" t="s">
        <v>70</v>
      </c>
      <c r="F73">
        <v>422</v>
      </c>
      <c r="G73" t="s">
        <v>68</v>
      </c>
      <c r="H73" t="s">
        <v>67</v>
      </c>
      <c r="I73">
        <v>422</v>
      </c>
    </row>
    <row r="74" spans="1:9" x14ac:dyDescent="0.35">
      <c r="A74" t="s">
        <v>61</v>
      </c>
      <c r="B74">
        <v>106660730</v>
      </c>
      <c r="C74" t="s">
        <v>571</v>
      </c>
      <c r="D74" t="s">
        <v>72</v>
      </c>
      <c r="E74" t="s">
        <v>70</v>
      </c>
      <c r="F74">
        <v>338</v>
      </c>
      <c r="G74" t="s">
        <v>62</v>
      </c>
      <c r="H74" t="s">
        <v>67</v>
      </c>
      <c r="I74">
        <v>1797</v>
      </c>
    </row>
    <row r="75" spans="1:9" x14ac:dyDescent="0.35">
      <c r="A75" t="s">
        <v>61</v>
      </c>
      <c r="B75">
        <v>106660730</v>
      </c>
      <c r="C75" t="s">
        <v>571</v>
      </c>
      <c r="D75" t="s">
        <v>72</v>
      </c>
      <c r="E75" t="s">
        <v>70</v>
      </c>
      <c r="F75">
        <v>338</v>
      </c>
      <c r="G75" t="s">
        <v>62</v>
      </c>
      <c r="H75" t="s">
        <v>63</v>
      </c>
      <c r="I75">
        <v>518</v>
      </c>
    </row>
    <row r="76" spans="1:9" x14ac:dyDescent="0.35">
      <c r="A76" t="s">
        <v>61</v>
      </c>
      <c r="B76">
        <v>106660730</v>
      </c>
      <c r="C76" t="s">
        <v>571</v>
      </c>
      <c r="D76" t="s">
        <v>72</v>
      </c>
      <c r="E76" t="s">
        <v>70</v>
      </c>
      <c r="F76">
        <v>338</v>
      </c>
      <c r="G76" t="s">
        <v>62</v>
      </c>
      <c r="H76" t="s">
        <v>64</v>
      </c>
      <c r="I76">
        <v>1279</v>
      </c>
    </row>
    <row r="77" spans="1:9" x14ac:dyDescent="0.35">
      <c r="A77" t="s">
        <v>61</v>
      </c>
      <c r="B77">
        <v>106660730</v>
      </c>
      <c r="C77" t="s">
        <v>571</v>
      </c>
      <c r="D77" t="s">
        <v>72</v>
      </c>
      <c r="E77" t="s">
        <v>70</v>
      </c>
      <c r="F77">
        <v>338</v>
      </c>
      <c r="G77" t="s">
        <v>68</v>
      </c>
      <c r="H77" t="s">
        <v>67</v>
      </c>
      <c r="I77">
        <v>338</v>
      </c>
    </row>
    <row r="78" spans="1:9" x14ac:dyDescent="0.35">
      <c r="A78" t="s">
        <v>61</v>
      </c>
      <c r="B78">
        <v>107221225</v>
      </c>
      <c r="C78" t="s">
        <v>87</v>
      </c>
      <c r="D78" t="s">
        <v>60</v>
      </c>
      <c r="E78" t="s">
        <v>58</v>
      </c>
      <c r="F78">
        <v>343</v>
      </c>
      <c r="G78" t="s">
        <v>62</v>
      </c>
      <c r="H78" t="s">
        <v>67</v>
      </c>
      <c r="I78">
        <v>2033</v>
      </c>
    </row>
    <row r="79" spans="1:9" x14ac:dyDescent="0.35">
      <c r="A79" t="s">
        <v>61</v>
      </c>
      <c r="B79">
        <v>107221225</v>
      </c>
      <c r="C79" t="s">
        <v>87</v>
      </c>
      <c r="D79" t="s">
        <v>60</v>
      </c>
      <c r="E79" t="s">
        <v>58</v>
      </c>
      <c r="F79">
        <v>343</v>
      </c>
      <c r="G79" t="s">
        <v>62</v>
      </c>
      <c r="H79" t="s">
        <v>63</v>
      </c>
      <c r="I79">
        <v>396</v>
      </c>
    </row>
    <row r="80" spans="1:9" x14ac:dyDescent="0.35">
      <c r="A80" t="s">
        <v>61</v>
      </c>
      <c r="B80">
        <v>107221225</v>
      </c>
      <c r="C80" t="s">
        <v>87</v>
      </c>
      <c r="D80" t="s">
        <v>60</v>
      </c>
      <c r="E80" t="s">
        <v>58</v>
      </c>
      <c r="F80">
        <v>343</v>
      </c>
      <c r="G80" t="s">
        <v>62</v>
      </c>
      <c r="H80" t="s">
        <v>64</v>
      </c>
      <c r="I80">
        <v>1637</v>
      </c>
    </row>
    <row r="81" spans="1:9" x14ac:dyDescent="0.35">
      <c r="A81" t="s">
        <v>61</v>
      </c>
      <c r="B81">
        <v>107221225</v>
      </c>
      <c r="C81" t="s">
        <v>87</v>
      </c>
      <c r="D81" t="s">
        <v>60</v>
      </c>
      <c r="E81" t="s">
        <v>58</v>
      </c>
      <c r="F81">
        <v>343</v>
      </c>
      <c r="G81" t="s">
        <v>68</v>
      </c>
      <c r="H81" t="s">
        <v>67</v>
      </c>
      <c r="I81">
        <v>343</v>
      </c>
    </row>
    <row r="82" spans="1:9" x14ac:dyDescent="0.35">
      <c r="A82" t="s">
        <v>61</v>
      </c>
      <c r="B82">
        <v>106534121</v>
      </c>
      <c r="C82" t="s">
        <v>562</v>
      </c>
      <c r="D82" t="s">
        <v>60</v>
      </c>
      <c r="E82" t="s">
        <v>70</v>
      </c>
      <c r="F82">
        <v>443</v>
      </c>
      <c r="G82" t="s">
        <v>62</v>
      </c>
      <c r="H82" t="s">
        <v>67</v>
      </c>
      <c r="I82">
        <v>1665</v>
      </c>
    </row>
    <row r="83" spans="1:9" x14ac:dyDescent="0.35">
      <c r="A83" t="s">
        <v>61</v>
      </c>
      <c r="B83">
        <v>106534121</v>
      </c>
      <c r="C83" t="s">
        <v>562</v>
      </c>
      <c r="D83" t="s">
        <v>60</v>
      </c>
      <c r="E83" t="s">
        <v>70</v>
      </c>
      <c r="F83">
        <v>443</v>
      </c>
      <c r="G83" t="s">
        <v>62</v>
      </c>
      <c r="H83" t="s">
        <v>63</v>
      </c>
      <c r="I83">
        <v>37</v>
      </c>
    </row>
    <row r="84" spans="1:9" x14ac:dyDescent="0.35">
      <c r="A84" t="s">
        <v>61</v>
      </c>
      <c r="B84">
        <v>106534121</v>
      </c>
      <c r="C84" t="s">
        <v>562</v>
      </c>
      <c r="D84" t="s">
        <v>60</v>
      </c>
      <c r="E84" t="s">
        <v>70</v>
      </c>
      <c r="F84">
        <v>443</v>
      </c>
      <c r="G84" t="s">
        <v>62</v>
      </c>
      <c r="H84" t="s">
        <v>64</v>
      </c>
      <c r="I84">
        <v>1628</v>
      </c>
    </row>
    <row r="85" spans="1:9" x14ac:dyDescent="0.35">
      <c r="A85" t="s">
        <v>61</v>
      </c>
      <c r="B85">
        <v>106534121</v>
      </c>
      <c r="C85" t="s">
        <v>562</v>
      </c>
      <c r="D85" t="s">
        <v>60</v>
      </c>
      <c r="E85" t="s">
        <v>70</v>
      </c>
      <c r="F85">
        <v>443</v>
      </c>
      <c r="G85" t="s">
        <v>68</v>
      </c>
      <c r="H85" t="s">
        <v>67</v>
      </c>
      <c r="I85">
        <v>443</v>
      </c>
    </row>
    <row r="86" spans="1:9" x14ac:dyDescent="0.35">
      <c r="A86" t="s">
        <v>61</v>
      </c>
      <c r="B86">
        <v>100753604</v>
      </c>
      <c r="C86" t="s">
        <v>71</v>
      </c>
      <c r="D86" t="s">
        <v>72</v>
      </c>
      <c r="E86" t="s">
        <v>70</v>
      </c>
      <c r="F86">
        <v>57</v>
      </c>
      <c r="G86" t="s">
        <v>62</v>
      </c>
      <c r="H86" t="s">
        <v>67</v>
      </c>
      <c r="I86">
        <v>824</v>
      </c>
    </row>
    <row r="87" spans="1:9" x14ac:dyDescent="0.35">
      <c r="A87" t="s">
        <v>61</v>
      </c>
      <c r="B87">
        <v>100753604</v>
      </c>
      <c r="C87" t="s">
        <v>71</v>
      </c>
      <c r="D87" t="s">
        <v>72</v>
      </c>
      <c r="E87" t="s">
        <v>70</v>
      </c>
      <c r="F87">
        <v>57</v>
      </c>
      <c r="G87" t="s">
        <v>62</v>
      </c>
      <c r="H87" t="s">
        <v>63</v>
      </c>
      <c r="I87">
        <v>192</v>
      </c>
    </row>
    <row r="88" spans="1:9" x14ac:dyDescent="0.35">
      <c r="A88" t="s">
        <v>61</v>
      </c>
      <c r="B88">
        <v>100753604</v>
      </c>
      <c r="C88" t="s">
        <v>71</v>
      </c>
      <c r="D88" t="s">
        <v>72</v>
      </c>
      <c r="E88" t="s">
        <v>70</v>
      </c>
      <c r="F88">
        <v>57</v>
      </c>
      <c r="G88" t="s">
        <v>62</v>
      </c>
      <c r="H88" t="s">
        <v>64</v>
      </c>
      <c r="I88">
        <v>632</v>
      </c>
    </row>
    <row r="89" spans="1:9" x14ac:dyDescent="0.35">
      <c r="A89" t="s">
        <v>61</v>
      </c>
      <c r="B89">
        <v>100753604</v>
      </c>
      <c r="C89" t="s">
        <v>71</v>
      </c>
      <c r="D89" t="s">
        <v>72</v>
      </c>
      <c r="E89" t="s">
        <v>70</v>
      </c>
      <c r="F89">
        <v>57</v>
      </c>
      <c r="G89" t="s">
        <v>68</v>
      </c>
      <c r="H89" t="s">
        <v>67</v>
      </c>
      <c r="I89">
        <v>57</v>
      </c>
    </row>
    <row r="90" spans="1:9" x14ac:dyDescent="0.35">
      <c r="A90" t="s">
        <v>61</v>
      </c>
      <c r="B90">
        <v>107221231</v>
      </c>
      <c r="C90" t="s">
        <v>88</v>
      </c>
      <c r="D90" t="s">
        <v>60</v>
      </c>
      <c r="E90" t="s">
        <v>70</v>
      </c>
      <c r="F90">
        <v>423</v>
      </c>
      <c r="G90" t="s">
        <v>62</v>
      </c>
      <c r="H90" t="s">
        <v>67</v>
      </c>
      <c r="I90">
        <v>2833</v>
      </c>
    </row>
    <row r="91" spans="1:9" x14ac:dyDescent="0.35">
      <c r="A91" t="s">
        <v>61</v>
      </c>
      <c r="B91">
        <v>107221231</v>
      </c>
      <c r="C91" t="s">
        <v>88</v>
      </c>
      <c r="D91" t="s">
        <v>60</v>
      </c>
      <c r="E91" t="s">
        <v>70</v>
      </c>
      <c r="F91">
        <v>423</v>
      </c>
      <c r="G91" t="s">
        <v>62</v>
      </c>
      <c r="H91" t="s">
        <v>63</v>
      </c>
      <c r="I91">
        <v>449</v>
      </c>
    </row>
    <row r="92" spans="1:9" x14ac:dyDescent="0.35">
      <c r="A92" t="s">
        <v>61</v>
      </c>
      <c r="B92">
        <v>107221231</v>
      </c>
      <c r="C92" t="s">
        <v>88</v>
      </c>
      <c r="D92" t="s">
        <v>60</v>
      </c>
      <c r="E92" t="s">
        <v>70</v>
      </c>
      <c r="F92">
        <v>423</v>
      </c>
      <c r="G92" t="s">
        <v>62</v>
      </c>
      <c r="H92" t="s">
        <v>64</v>
      </c>
      <c r="I92">
        <v>2383</v>
      </c>
    </row>
    <row r="93" spans="1:9" x14ac:dyDescent="0.35">
      <c r="A93" t="s">
        <v>61</v>
      </c>
      <c r="B93">
        <v>107221231</v>
      </c>
      <c r="C93" t="s">
        <v>88</v>
      </c>
      <c r="D93" t="s">
        <v>60</v>
      </c>
      <c r="E93" t="s">
        <v>70</v>
      </c>
      <c r="F93">
        <v>423</v>
      </c>
      <c r="G93" t="s">
        <v>62</v>
      </c>
      <c r="H93" t="s">
        <v>65</v>
      </c>
      <c r="I93">
        <v>1</v>
      </c>
    </row>
    <row r="94" spans="1:9" x14ac:dyDescent="0.35">
      <c r="A94" t="s">
        <v>61</v>
      </c>
      <c r="B94">
        <v>107221231</v>
      </c>
      <c r="C94" t="s">
        <v>88</v>
      </c>
      <c r="D94" t="s">
        <v>60</v>
      </c>
      <c r="E94" t="s">
        <v>70</v>
      </c>
      <c r="F94">
        <v>423</v>
      </c>
      <c r="G94" t="s">
        <v>68</v>
      </c>
      <c r="H94" t="s">
        <v>67</v>
      </c>
      <c r="I94">
        <v>423</v>
      </c>
    </row>
    <row r="95" spans="1:9" x14ac:dyDescent="0.35">
      <c r="A95" t="s">
        <v>61</v>
      </c>
      <c r="B95">
        <v>107674648</v>
      </c>
      <c r="C95" t="s">
        <v>92</v>
      </c>
      <c r="D95" t="s">
        <v>72</v>
      </c>
      <c r="E95" t="s">
        <v>70</v>
      </c>
      <c r="F95">
        <v>354</v>
      </c>
      <c r="G95" t="s">
        <v>62</v>
      </c>
      <c r="H95" t="s">
        <v>67</v>
      </c>
      <c r="I95">
        <v>2082</v>
      </c>
    </row>
    <row r="96" spans="1:9" x14ac:dyDescent="0.35">
      <c r="A96" t="s">
        <v>61</v>
      </c>
      <c r="B96">
        <v>107674648</v>
      </c>
      <c r="C96" t="s">
        <v>92</v>
      </c>
      <c r="D96" t="s">
        <v>72</v>
      </c>
      <c r="E96" t="s">
        <v>70</v>
      </c>
      <c r="F96">
        <v>354</v>
      </c>
      <c r="G96" t="s">
        <v>62</v>
      </c>
      <c r="H96" t="s">
        <v>63</v>
      </c>
      <c r="I96">
        <v>262</v>
      </c>
    </row>
    <row r="97" spans="1:9" x14ac:dyDescent="0.35">
      <c r="A97" t="s">
        <v>61</v>
      </c>
      <c r="B97">
        <v>107674648</v>
      </c>
      <c r="C97" t="s">
        <v>92</v>
      </c>
      <c r="D97" t="s">
        <v>72</v>
      </c>
      <c r="E97" t="s">
        <v>70</v>
      </c>
      <c r="F97">
        <v>354</v>
      </c>
      <c r="G97" t="s">
        <v>62</v>
      </c>
      <c r="H97" t="s">
        <v>64</v>
      </c>
      <c r="I97">
        <v>1820</v>
      </c>
    </row>
    <row r="98" spans="1:9" x14ac:dyDescent="0.35">
      <c r="A98" t="s">
        <v>61</v>
      </c>
      <c r="B98">
        <v>107674648</v>
      </c>
      <c r="C98" t="s">
        <v>92</v>
      </c>
      <c r="D98" t="s">
        <v>72</v>
      </c>
      <c r="E98" t="s">
        <v>70</v>
      </c>
      <c r="F98">
        <v>354</v>
      </c>
      <c r="G98" t="s">
        <v>68</v>
      </c>
      <c r="H98" t="s">
        <v>67</v>
      </c>
      <c r="I98">
        <v>354</v>
      </c>
    </row>
    <row r="99" spans="1:9" x14ac:dyDescent="0.35">
      <c r="A99" t="s">
        <v>61</v>
      </c>
      <c r="B99">
        <v>107775521</v>
      </c>
      <c r="C99" t="s">
        <v>99</v>
      </c>
      <c r="D99" t="s">
        <v>72</v>
      </c>
      <c r="E99" t="s">
        <v>70</v>
      </c>
      <c r="F99">
        <v>408</v>
      </c>
      <c r="G99" t="s">
        <v>62</v>
      </c>
      <c r="H99" t="s">
        <v>67</v>
      </c>
      <c r="I99">
        <v>3543</v>
      </c>
    </row>
    <row r="100" spans="1:9" x14ac:dyDescent="0.35">
      <c r="A100" t="s">
        <v>61</v>
      </c>
      <c r="B100">
        <v>107775521</v>
      </c>
      <c r="C100" t="s">
        <v>99</v>
      </c>
      <c r="D100" t="s">
        <v>72</v>
      </c>
      <c r="E100" t="s">
        <v>70</v>
      </c>
      <c r="F100">
        <v>408</v>
      </c>
      <c r="G100" t="s">
        <v>62</v>
      </c>
      <c r="H100" t="s">
        <v>63</v>
      </c>
      <c r="I100">
        <v>666</v>
      </c>
    </row>
    <row r="101" spans="1:9" x14ac:dyDescent="0.35">
      <c r="A101" t="s">
        <v>61</v>
      </c>
      <c r="B101">
        <v>107775521</v>
      </c>
      <c r="C101" t="s">
        <v>99</v>
      </c>
      <c r="D101" t="s">
        <v>72</v>
      </c>
      <c r="E101" t="s">
        <v>70</v>
      </c>
      <c r="F101">
        <v>408</v>
      </c>
      <c r="G101" t="s">
        <v>62</v>
      </c>
      <c r="H101" t="s">
        <v>64</v>
      </c>
      <c r="I101">
        <v>2877</v>
      </c>
    </row>
    <row r="102" spans="1:9" x14ac:dyDescent="0.35">
      <c r="A102" t="s">
        <v>61</v>
      </c>
      <c r="B102">
        <v>107775521</v>
      </c>
      <c r="C102" t="s">
        <v>99</v>
      </c>
      <c r="D102" t="s">
        <v>72</v>
      </c>
      <c r="E102" t="s">
        <v>70</v>
      </c>
      <c r="F102">
        <v>408</v>
      </c>
      <c r="G102" t="s">
        <v>68</v>
      </c>
      <c r="H102" t="s">
        <v>67</v>
      </c>
      <c r="I102">
        <v>408</v>
      </c>
    </row>
    <row r="103" spans="1:9" x14ac:dyDescent="0.35">
      <c r="A103" t="s">
        <v>61</v>
      </c>
      <c r="B103">
        <v>107775986</v>
      </c>
      <c r="C103" t="s">
        <v>100</v>
      </c>
      <c r="D103" t="s">
        <v>72</v>
      </c>
      <c r="E103" t="s">
        <v>70</v>
      </c>
      <c r="F103">
        <v>632</v>
      </c>
      <c r="G103" t="s">
        <v>62</v>
      </c>
      <c r="H103" t="s">
        <v>67</v>
      </c>
      <c r="I103">
        <v>5943</v>
      </c>
    </row>
    <row r="104" spans="1:9" x14ac:dyDescent="0.35">
      <c r="A104" t="s">
        <v>61</v>
      </c>
      <c r="B104">
        <v>107775986</v>
      </c>
      <c r="C104" t="s">
        <v>100</v>
      </c>
      <c r="D104" t="s">
        <v>72</v>
      </c>
      <c r="E104" t="s">
        <v>70</v>
      </c>
      <c r="F104">
        <v>632</v>
      </c>
      <c r="G104" t="s">
        <v>62</v>
      </c>
      <c r="H104" t="s">
        <v>63</v>
      </c>
      <c r="I104">
        <v>2956</v>
      </c>
    </row>
    <row r="105" spans="1:9" x14ac:dyDescent="0.35">
      <c r="A105" t="s">
        <v>61</v>
      </c>
      <c r="B105">
        <v>107775986</v>
      </c>
      <c r="C105" t="s">
        <v>100</v>
      </c>
      <c r="D105" t="s">
        <v>72</v>
      </c>
      <c r="E105" t="s">
        <v>70</v>
      </c>
      <c r="F105">
        <v>632</v>
      </c>
      <c r="G105" t="s">
        <v>62</v>
      </c>
      <c r="H105" t="s">
        <v>64</v>
      </c>
      <c r="I105">
        <v>2987</v>
      </c>
    </row>
    <row r="106" spans="1:9" x14ac:dyDescent="0.35">
      <c r="A106" t="s">
        <v>61</v>
      </c>
      <c r="B106">
        <v>107775986</v>
      </c>
      <c r="C106" t="s">
        <v>100</v>
      </c>
      <c r="D106" t="s">
        <v>72</v>
      </c>
      <c r="E106" t="s">
        <v>70</v>
      </c>
      <c r="F106">
        <v>632</v>
      </c>
      <c r="G106" t="s">
        <v>68</v>
      </c>
      <c r="H106" t="s">
        <v>67</v>
      </c>
      <c r="I106">
        <v>632</v>
      </c>
    </row>
    <row r="107" spans="1:9" x14ac:dyDescent="0.35">
      <c r="A107" t="s">
        <v>61</v>
      </c>
      <c r="B107">
        <v>102476407</v>
      </c>
      <c r="C107" t="s">
        <v>74</v>
      </c>
      <c r="D107" t="s">
        <v>75</v>
      </c>
      <c r="E107" t="s">
        <v>58</v>
      </c>
      <c r="F107">
        <v>446</v>
      </c>
      <c r="G107" t="s">
        <v>62</v>
      </c>
      <c r="H107" t="s">
        <v>67</v>
      </c>
      <c r="I107">
        <v>2432</v>
      </c>
    </row>
    <row r="108" spans="1:9" x14ac:dyDescent="0.35">
      <c r="A108" t="s">
        <v>61</v>
      </c>
      <c r="B108">
        <v>102476407</v>
      </c>
      <c r="C108" t="s">
        <v>74</v>
      </c>
      <c r="D108" t="s">
        <v>75</v>
      </c>
      <c r="E108" t="s">
        <v>58</v>
      </c>
      <c r="F108">
        <v>446</v>
      </c>
      <c r="G108" t="s">
        <v>62</v>
      </c>
      <c r="H108" t="s">
        <v>63</v>
      </c>
      <c r="I108">
        <v>640</v>
      </c>
    </row>
    <row r="109" spans="1:9" x14ac:dyDescent="0.35">
      <c r="A109" t="s">
        <v>61</v>
      </c>
      <c r="B109">
        <v>102476407</v>
      </c>
      <c r="C109" t="s">
        <v>74</v>
      </c>
      <c r="D109" t="s">
        <v>75</v>
      </c>
      <c r="E109" t="s">
        <v>58</v>
      </c>
      <c r="F109">
        <v>446</v>
      </c>
      <c r="G109" t="s">
        <v>62</v>
      </c>
      <c r="H109" t="s">
        <v>64</v>
      </c>
      <c r="I109">
        <v>1792</v>
      </c>
    </row>
    <row r="110" spans="1:9" x14ac:dyDescent="0.35">
      <c r="A110" t="s">
        <v>61</v>
      </c>
      <c r="B110">
        <v>102476407</v>
      </c>
      <c r="C110" t="s">
        <v>74</v>
      </c>
      <c r="D110" t="s">
        <v>75</v>
      </c>
      <c r="E110" t="s">
        <v>58</v>
      </c>
      <c r="F110">
        <v>446</v>
      </c>
      <c r="G110" t="s">
        <v>68</v>
      </c>
      <c r="H110" t="s">
        <v>67</v>
      </c>
      <c r="I110">
        <v>446</v>
      </c>
    </row>
    <row r="111" spans="1:9" x14ac:dyDescent="0.35">
      <c r="A111" t="s">
        <v>61</v>
      </c>
      <c r="B111">
        <v>107775413</v>
      </c>
      <c r="C111" t="s">
        <v>98</v>
      </c>
      <c r="D111" t="s">
        <v>72</v>
      </c>
      <c r="E111" t="s">
        <v>58</v>
      </c>
      <c r="F111">
        <v>368</v>
      </c>
      <c r="G111" t="s">
        <v>62</v>
      </c>
      <c r="H111" t="s">
        <v>67</v>
      </c>
      <c r="I111">
        <v>3273</v>
      </c>
    </row>
    <row r="112" spans="1:9" x14ac:dyDescent="0.35">
      <c r="A112" t="s">
        <v>61</v>
      </c>
      <c r="B112">
        <v>107775413</v>
      </c>
      <c r="C112" t="s">
        <v>98</v>
      </c>
      <c r="D112" t="s">
        <v>72</v>
      </c>
      <c r="E112" t="s">
        <v>58</v>
      </c>
      <c r="F112">
        <v>368</v>
      </c>
      <c r="G112" t="s">
        <v>62</v>
      </c>
      <c r="H112" t="s">
        <v>63</v>
      </c>
      <c r="I112">
        <v>1044</v>
      </c>
    </row>
    <row r="113" spans="1:9" x14ac:dyDescent="0.35">
      <c r="A113" t="s">
        <v>61</v>
      </c>
      <c r="B113">
        <v>107775413</v>
      </c>
      <c r="C113" t="s">
        <v>98</v>
      </c>
      <c r="D113" t="s">
        <v>72</v>
      </c>
      <c r="E113" t="s">
        <v>58</v>
      </c>
      <c r="F113">
        <v>368</v>
      </c>
      <c r="G113" t="s">
        <v>62</v>
      </c>
      <c r="H113" t="s">
        <v>64</v>
      </c>
      <c r="I113">
        <v>2229</v>
      </c>
    </row>
    <row r="114" spans="1:9" x14ac:dyDescent="0.35">
      <c r="A114" t="s">
        <v>61</v>
      </c>
      <c r="B114">
        <v>107775413</v>
      </c>
      <c r="C114" t="s">
        <v>98</v>
      </c>
      <c r="D114" t="s">
        <v>72</v>
      </c>
      <c r="E114" t="s">
        <v>58</v>
      </c>
      <c r="F114">
        <v>368</v>
      </c>
      <c r="G114" t="s">
        <v>68</v>
      </c>
      <c r="H114" t="s">
        <v>67</v>
      </c>
      <c r="I114">
        <v>368</v>
      </c>
    </row>
    <row r="115" spans="1:9" x14ac:dyDescent="0.35">
      <c r="A115" t="s">
        <v>61</v>
      </c>
      <c r="B115">
        <v>106576095</v>
      </c>
      <c r="C115" t="s">
        <v>563</v>
      </c>
      <c r="D115" t="s">
        <v>72</v>
      </c>
      <c r="E115" t="s">
        <v>70</v>
      </c>
      <c r="F115">
        <v>4</v>
      </c>
      <c r="G115" t="s">
        <v>62</v>
      </c>
      <c r="H115" t="s">
        <v>67</v>
      </c>
      <c r="I115">
        <v>5560</v>
      </c>
    </row>
    <row r="116" spans="1:9" x14ac:dyDescent="0.35">
      <c r="A116" t="s">
        <v>61</v>
      </c>
      <c r="B116">
        <v>106576095</v>
      </c>
      <c r="C116" t="s">
        <v>563</v>
      </c>
      <c r="D116" t="s">
        <v>72</v>
      </c>
      <c r="E116" t="s">
        <v>70</v>
      </c>
      <c r="F116">
        <v>4</v>
      </c>
      <c r="G116" t="s">
        <v>62</v>
      </c>
      <c r="H116" t="s">
        <v>63</v>
      </c>
      <c r="I116">
        <v>3244</v>
      </c>
    </row>
    <row r="117" spans="1:9" x14ac:dyDescent="0.35">
      <c r="A117" t="s">
        <v>61</v>
      </c>
      <c r="B117">
        <v>106576095</v>
      </c>
      <c r="C117" t="s">
        <v>563</v>
      </c>
      <c r="D117" t="s">
        <v>72</v>
      </c>
      <c r="E117" t="s">
        <v>70</v>
      </c>
      <c r="F117">
        <v>4</v>
      </c>
      <c r="G117" t="s">
        <v>62</v>
      </c>
      <c r="H117" t="s">
        <v>64</v>
      </c>
      <c r="I117">
        <v>2316</v>
      </c>
    </row>
    <row r="118" spans="1:9" x14ac:dyDescent="0.35">
      <c r="A118" t="s">
        <v>61</v>
      </c>
      <c r="B118">
        <v>106576095</v>
      </c>
      <c r="C118" t="s">
        <v>563</v>
      </c>
      <c r="D118" t="s">
        <v>72</v>
      </c>
      <c r="E118" t="s">
        <v>70</v>
      </c>
      <c r="F118">
        <v>4</v>
      </c>
      <c r="G118" t="s">
        <v>68</v>
      </c>
      <c r="H118" t="s">
        <v>67</v>
      </c>
      <c r="I118">
        <v>262</v>
      </c>
    </row>
    <row r="119" spans="1:9" x14ac:dyDescent="0.35">
      <c r="A119" t="s">
        <v>61</v>
      </c>
      <c r="B119">
        <v>106576095</v>
      </c>
      <c r="C119" t="s">
        <v>563</v>
      </c>
      <c r="D119" t="s">
        <v>72</v>
      </c>
      <c r="E119" t="s">
        <v>70</v>
      </c>
      <c r="F119">
        <v>4</v>
      </c>
      <c r="G119" t="s">
        <v>69</v>
      </c>
      <c r="H119" t="s">
        <v>67</v>
      </c>
      <c r="I119">
        <v>4</v>
      </c>
    </row>
    <row r="120" spans="1:9" x14ac:dyDescent="0.35">
      <c r="A120" t="s">
        <v>61</v>
      </c>
      <c r="B120">
        <v>107907397</v>
      </c>
      <c r="C120" t="s">
        <v>105</v>
      </c>
      <c r="D120" t="s">
        <v>60</v>
      </c>
      <c r="E120" t="s">
        <v>58</v>
      </c>
      <c r="F120">
        <v>261</v>
      </c>
      <c r="G120" t="s">
        <v>62</v>
      </c>
      <c r="H120" t="s">
        <v>67</v>
      </c>
      <c r="I120">
        <v>1005</v>
      </c>
    </row>
    <row r="121" spans="1:9" x14ac:dyDescent="0.35">
      <c r="A121" t="s">
        <v>61</v>
      </c>
      <c r="B121">
        <v>107907397</v>
      </c>
      <c r="C121" t="s">
        <v>105</v>
      </c>
      <c r="D121" t="s">
        <v>60</v>
      </c>
      <c r="E121" t="s">
        <v>58</v>
      </c>
      <c r="F121">
        <v>261</v>
      </c>
      <c r="G121" t="s">
        <v>62</v>
      </c>
      <c r="H121" t="s">
        <v>63</v>
      </c>
      <c r="I121">
        <v>30</v>
      </c>
    </row>
    <row r="122" spans="1:9" x14ac:dyDescent="0.35">
      <c r="A122" t="s">
        <v>61</v>
      </c>
      <c r="B122">
        <v>107907397</v>
      </c>
      <c r="C122" t="s">
        <v>105</v>
      </c>
      <c r="D122" t="s">
        <v>60</v>
      </c>
      <c r="E122" t="s">
        <v>58</v>
      </c>
      <c r="F122">
        <v>261</v>
      </c>
      <c r="G122" t="s">
        <v>62</v>
      </c>
      <c r="H122" t="s">
        <v>64</v>
      </c>
      <c r="I122">
        <v>674</v>
      </c>
    </row>
    <row r="123" spans="1:9" x14ac:dyDescent="0.35">
      <c r="A123" t="s">
        <v>61</v>
      </c>
      <c r="B123">
        <v>107907397</v>
      </c>
      <c r="C123" t="s">
        <v>105</v>
      </c>
      <c r="D123" t="s">
        <v>60</v>
      </c>
      <c r="E123" t="s">
        <v>58</v>
      </c>
      <c r="F123">
        <v>261</v>
      </c>
      <c r="G123" t="s">
        <v>62</v>
      </c>
      <c r="H123" t="s">
        <v>65</v>
      </c>
      <c r="I123">
        <v>1</v>
      </c>
    </row>
    <row r="124" spans="1:9" x14ac:dyDescent="0.35">
      <c r="A124" t="s">
        <v>61</v>
      </c>
      <c r="B124">
        <v>107907397</v>
      </c>
      <c r="C124" t="s">
        <v>105</v>
      </c>
      <c r="D124" t="s">
        <v>60</v>
      </c>
      <c r="E124" t="s">
        <v>58</v>
      </c>
      <c r="F124">
        <v>261</v>
      </c>
      <c r="G124" t="s">
        <v>68</v>
      </c>
      <c r="H124" t="s">
        <v>67</v>
      </c>
      <c r="I124">
        <v>261</v>
      </c>
    </row>
    <row r="125" spans="1:9" x14ac:dyDescent="0.35">
      <c r="A125" t="s">
        <v>61</v>
      </c>
      <c r="B125">
        <v>107824169</v>
      </c>
      <c r="C125" t="s">
        <v>103</v>
      </c>
      <c r="D125" t="s">
        <v>60</v>
      </c>
      <c r="E125" t="s">
        <v>58</v>
      </c>
      <c r="F125">
        <v>238</v>
      </c>
      <c r="G125" t="s">
        <v>62</v>
      </c>
      <c r="H125" t="s">
        <v>67</v>
      </c>
      <c r="I125">
        <v>1405</v>
      </c>
    </row>
    <row r="126" spans="1:9" x14ac:dyDescent="0.35">
      <c r="A126" t="s">
        <v>61</v>
      </c>
      <c r="B126">
        <v>107824169</v>
      </c>
      <c r="C126" t="s">
        <v>103</v>
      </c>
      <c r="D126" t="s">
        <v>60</v>
      </c>
      <c r="E126" t="s">
        <v>58</v>
      </c>
      <c r="F126">
        <v>238</v>
      </c>
      <c r="G126" t="s">
        <v>62</v>
      </c>
      <c r="H126" t="s">
        <v>63</v>
      </c>
      <c r="I126">
        <v>175</v>
      </c>
    </row>
    <row r="127" spans="1:9" x14ac:dyDescent="0.35">
      <c r="A127" t="s">
        <v>61</v>
      </c>
      <c r="B127">
        <v>107824169</v>
      </c>
      <c r="C127" t="s">
        <v>103</v>
      </c>
      <c r="D127" t="s">
        <v>60</v>
      </c>
      <c r="E127" t="s">
        <v>58</v>
      </c>
      <c r="F127">
        <v>238</v>
      </c>
      <c r="G127" t="s">
        <v>62</v>
      </c>
      <c r="H127" t="s">
        <v>64</v>
      </c>
      <c r="I127">
        <v>1227</v>
      </c>
    </row>
    <row r="128" spans="1:9" x14ac:dyDescent="0.35">
      <c r="A128" t="s">
        <v>61</v>
      </c>
      <c r="B128">
        <v>107824169</v>
      </c>
      <c r="C128" t="s">
        <v>103</v>
      </c>
      <c r="D128" t="s">
        <v>60</v>
      </c>
      <c r="E128" t="s">
        <v>58</v>
      </c>
      <c r="F128">
        <v>238</v>
      </c>
      <c r="G128" t="s">
        <v>62</v>
      </c>
      <c r="H128" t="s">
        <v>65</v>
      </c>
      <c r="I128">
        <v>3</v>
      </c>
    </row>
    <row r="129" spans="1:9" x14ac:dyDescent="0.35">
      <c r="A129" t="s">
        <v>61</v>
      </c>
      <c r="B129">
        <v>107824169</v>
      </c>
      <c r="C129" t="s">
        <v>103</v>
      </c>
      <c r="D129" t="s">
        <v>60</v>
      </c>
      <c r="E129" t="s">
        <v>58</v>
      </c>
      <c r="F129">
        <v>238</v>
      </c>
      <c r="G129" t="s">
        <v>68</v>
      </c>
      <c r="H129" t="s">
        <v>67</v>
      </c>
      <c r="I129">
        <v>238</v>
      </c>
    </row>
    <row r="130" spans="1:9" x14ac:dyDescent="0.35">
      <c r="A130" t="s">
        <v>61</v>
      </c>
      <c r="B130">
        <v>107741579</v>
      </c>
      <c r="C130" t="s">
        <v>95</v>
      </c>
      <c r="D130" t="s">
        <v>60</v>
      </c>
      <c r="E130" t="s">
        <v>70</v>
      </c>
      <c r="F130">
        <v>515</v>
      </c>
      <c r="G130" t="s">
        <v>62</v>
      </c>
      <c r="H130" t="s">
        <v>67</v>
      </c>
      <c r="I130">
        <v>1903</v>
      </c>
    </row>
    <row r="131" spans="1:9" x14ac:dyDescent="0.35">
      <c r="A131" t="s">
        <v>61</v>
      </c>
      <c r="B131">
        <v>107741579</v>
      </c>
      <c r="C131" t="s">
        <v>95</v>
      </c>
      <c r="D131" t="s">
        <v>60</v>
      </c>
      <c r="E131" t="s">
        <v>70</v>
      </c>
      <c r="F131">
        <v>515</v>
      </c>
      <c r="G131" t="s">
        <v>62</v>
      </c>
      <c r="H131" t="s">
        <v>63</v>
      </c>
      <c r="I131">
        <v>498</v>
      </c>
    </row>
    <row r="132" spans="1:9" x14ac:dyDescent="0.35">
      <c r="A132" t="s">
        <v>61</v>
      </c>
      <c r="B132">
        <v>107741579</v>
      </c>
      <c r="C132" t="s">
        <v>95</v>
      </c>
      <c r="D132" t="s">
        <v>60</v>
      </c>
      <c r="E132" t="s">
        <v>70</v>
      </c>
      <c r="F132">
        <v>515</v>
      </c>
      <c r="G132" t="s">
        <v>62</v>
      </c>
      <c r="H132" t="s">
        <v>64</v>
      </c>
      <c r="I132">
        <v>1405</v>
      </c>
    </row>
    <row r="133" spans="1:9" x14ac:dyDescent="0.35">
      <c r="A133" t="s">
        <v>61</v>
      </c>
      <c r="B133">
        <v>107741579</v>
      </c>
      <c r="C133" t="s">
        <v>95</v>
      </c>
      <c r="D133" t="s">
        <v>60</v>
      </c>
      <c r="E133" t="s">
        <v>70</v>
      </c>
      <c r="F133">
        <v>515</v>
      </c>
      <c r="G133" t="s">
        <v>68</v>
      </c>
      <c r="H133" t="s">
        <v>67</v>
      </c>
      <c r="I133">
        <v>515</v>
      </c>
    </row>
    <row r="134" spans="1:9" x14ac:dyDescent="0.35">
      <c r="A134" t="s">
        <v>61</v>
      </c>
      <c r="B134">
        <v>101446428</v>
      </c>
      <c r="C134" t="s">
        <v>73</v>
      </c>
      <c r="D134" t="s">
        <v>60</v>
      </c>
      <c r="E134" t="s">
        <v>58</v>
      </c>
      <c r="F134">
        <v>432</v>
      </c>
      <c r="G134" t="s">
        <v>62</v>
      </c>
      <c r="H134" t="s">
        <v>67</v>
      </c>
      <c r="I134">
        <v>2925</v>
      </c>
    </row>
    <row r="135" spans="1:9" x14ac:dyDescent="0.35">
      <c r="A135" t="s">
        <v>61</v>
      </c>
      <c r="B135">
        <v>101446428</v>
      </c>
      <c r="C135" t="s">
        <v>73</v>
      </c>
      <c r="D135" t="s">
        <v>60</v>
      </c>
      <c r="E135" t="s">
        <v>58</v>
      </c>
      <c r="F135">
        <v>432</v>
      </c>
      <c r="G135" t="s">
        <v>62</v>
      </c>
      <c r="H135" t="s">
        <v>63</v>
      </c>
      <c r="I135">
        <v>372</v>
      </c>
    </row>
    <row r="136" spans="1:9" x14ac:dyDescent="0.35">
      <c r="A136" t="s">
        <v>61</v>
      </c>
      <c r="B136">
        <v>101446428</v>
      </c>
      <c r="C136" t="s">
        <v>73</v>
      </c>
      <c r="D136" t="s">
        <v>60</v>
      </c>
      <c r="E136" t="s">
        <v>58</v>
      </c>
      <c r="F136">
        <v>432</v>
      </c>
      <c r="G136" t="s">
        <v>62</v>
      </c>
      <c r="H136" t="s">
        <v>64</v>
      </c>
      <c r="I136">
        <v>2547</v>
      </c>
    </row>
    <row r="137" spans="1:9" x14ac:dyDescent="0.35">
      <c r="A137" t="s">
        <v>61</v>
      </c>
      <c r="B137">
        <v>101446428</v>
      </c>
      <c r="C137" t="s">
        <v>73</v>
      </c>
      <c r="D137" t="s">
        <v>60</v>
      </c>
      <c r="E137" t="s">
        <v>58</v>
      </c>
      <c r="F137">
        <v>432</v>
      </c>
      <c r="G137" t="s">
        <v>62</v>
      </c>
      <c r="H137" t="s">
        <v>65</v>
      </c>
      <c r="I137">
        <v>6</v>
      </c>
    </row>
    <row r="138" spans="1:9" x14ac:dyDescent="0.35">
      <c r="A138" t="s">
        <v>61</v>
      </c>
      <c r="B138">
        <v>101446428</v>
      </c>
      <c r="C138" t="s">
        <v>73</v>
      </c>
      <c r="D138" t="s">
        <v>60</v>
      </c>
      <c r="E138" t="s">
        <v>58</v>
      </c>
      <c r="F138">
        <v>432</v>
      </c>
      <c r="G138" t="s">
        <v>68</v>
      </c>
      <c r="H138" t="s">
        <v>67</v>
      </c>
      <c r="I138">
        <v>433</v>
      </c>
    </row>
    <row r="139" spans="1:9" x14ac:dyDescent="0.35">
      <c r="A139" t="s">
        <v>61</v>
      </c>
      <c r="B139">
        <v>107221213</v>
      </c>
      <c r="C139" t="s">
        <v>85</v>
      </c>
      <c r="D139" t="s">
        <v>60</v>
      </c>
      <c r="E139" t="s">
        <v>70</v>
      </c>
      <c r="F139">
        <v>383</v>
      </c>
      <c r="G139" t="s">
        <v>62</v>
      </c>
      <c r="H139" t="s">
        <v>67</v>
      </c>
      <c r="I139">
        <v>5198</v>
      </c>
    </row>
    <row r="140" spans="1:9" x14ac:dyDescent="0.35">
      <c r="A140" t="s">
        <v>61</v>
      </c>
      <c r="B140">
        <v>107221213</v>
      </c>
      <c r="C140" t="s">
        <v>85</v>
      </c>
      <c r="D140" t="s">
        <v>60</v>
      </c>
      <c r="E140" t="s">
        <v>70</v>
      </c>
      <c r="F140">
        <v>383</v>
      </c>
      <c r="G140" t="s">
        <v>62</v>
      </c>
      <c r="H140" t="s">
        <v>63</v>
      </c>
      <c r="I140">
        <v>2436</v>
      </c>
    </row>
    <row r="141" spans="1:9" x14ac:dyDescent="0.35">
      <c r="A141" t="s">
        <v>61</v>
      </c>
      <c r="B141">
        <v>107221213</v>
      </c>
      <c r="C141" t="s">
        <v>85</v>
      </c>
      <c r="D141" t="s">
        <v>60</v>
      </c>
      <c r="E141" t="s">
        <v>70</v>
      </c>
      <c r="F141">
        <v>383</v>
      </c>
      <c r="G141" t="s">
        <v>62</v>
      </c>
      <c r="H141" t="s">
        <v>64</v>
      </c>
      <c r="I141">
        <v>2762</v>
      </c>
    </row>
    <row r="142" spans="1:9" x14ac:dyDescent="0.35">
      <c r="A142" t="s">
        <v>61</v>
      </c>
      <c r="B142">
        <v>107221213</v>
      </c>
      <c r="C142" t="s">
        <v>85</v>
      </c>
      <c r="D142" t="s">
        <v>60</v>
      </c>
      <c r="E142" t="s">
        <v>70</v>
      </c>
      <c r="F142">
        <v>383</v>
      </c>
      <c r="G142" t="s">
        <v>68</v>
      </c>
      <c r="H142" t="s">
        <v>67</v>
      </c>
      <c r="I142">
        <v>383</v>
      </c>
    </row>
    <row r="143" spans="1:9" x14ac:dyDescent="0.35">
      <c r="A143" t="s">
        <v>61</v>
      </c>
      <c r="B143">
        <v>107221179</v>
      </c>
      <c r="C143" t="s">
        <v>83</v>
      </c>
      <c r="D143" t="s">
        <v>72</v>
      </c>
      <c r="E143" t="s">
        <v>58</v>
      </c>
      <c r="F143">
        <v>488</v>
      </c>
      <c r="G143" t="s">
        <v>62</v>
      </c>
      <c r="H143" t="s">
        <v>67</v>
      </c>
      <c r="I143">
        <v>3782</v>
      </c>
    </row>
    <row r="144" spans="1:9" x14ac:dyDescent="0.35">
      <c r="A144" t="s">
        <v>61</v>
      </c>
      <c r="B144">
        <v>107221179</v>
      </c>
      <c r="C144" t="s">
        <v>83</v>
      </c>
      <c r="D144" t="s">
        <v>72</v>
      </c>
      <c r="E144" t="s">
        <v>58</v>
      </c>
      <c r="F144">
        <v>488</v>
      </c>
      <c r="G144" t="s">
        <v>62</v>
      </c>
      <c r="H144" t="s">
        <v>63</v>
      </c>
      <c r="I144">
        <v>1242</v>
      </c>
    </row>
    <row r="145" spans="1:9" x14ac:dyDescent="0.35">
      <c r="A145" t="s">
        <v>61</v>
      </c>
      <c r="B145">
        <v>107221179</v>
      </c>
      <c r="C145" t="s">
        <v>83</v>
      </c>
      <c r="D145" t="s">
        <v>72</v>
      </c>
      <c r="E145" t="s">
        <v>58</v>
      </c>
      <c r="F145">
        <v>488</v>
      </c>
      <c r="G145" t="s">
        <v>62</v>
      </c>
      <c r="H145" t="s">
        <v>64</v>
      </c>
      <c r="I145">
        <v>2540</v>
      </c>
    </row>
    <row r="146" spans="1:9" x14ac:dyDescent="0.35">
      <c r="A146" t="s">
        <v>61</v>
      </c>
      <c r="B146">
        <v>107221179</v>
      </c>
      <c r="C146" t="s">
        <v>83</v>
      </c>
      <c r="D146" t="s">
        <v>72</v>
      </c>
      <c r="E146" t="s">
        <v>58</v>
      </c>
      <c r="F146">
        <v>488</v>
      </c>
      <c r="G146" t="s">
        <v>68</v>
      </c>
      <c r="H146" t="s">
        <v>67</v>
      </c>
      <c r="I146">
        <v>488</v>
      </c>
    </row>
    <row r="147" spans="1:9" x14ac:dyDescent="0.35">
      <c r="A147" t="s">
        <v>61</v>
      </c>
      <c r="B147">
        <v>107868365</v>
      </c>
      <c r="C147" t="s">
        <v>104</v>
      </c>
      <c r="D147" t="s">
        <v>72</v>
      </c>
      <c r="E147" t="s">
        <v>58</v>
      </c>
      <c r="F147">
        <v>430</v>
      </c>
      <c r="G147" t="s">
        <v>62</v>
      </c>
      <c r="H147" t="s">
        <v>67</v>
      </c>
      <c r="I147">
        <v>2935</v>
      </c>
    </row>
    <row r="148" spans="1:9" x14ac:dyDescent="0.35">
      <c r="A148" t="s">
        <v>61</v>
      </c>
      <c r="B148">
        <v>107868365</v>
      </c>
      <c r="C148" t="s">
        <v>104</v>
      </c>
      <c r="D148" t="s">
        <v>72</v>
      </c>
      <c r="E148" t="s">
        <v>58</v>
      </c>
      <c r="F148">
        <v>430</v>
      </c>
      <c r="G148" t="s">
        <v>62</v>
      </c>
      <c r="H148" t="s">
        <v>63</v>
      </c>
      <c r="I148">
        <v>605</v>
      </c>
    </row>
    <row r="149" spans="1:9" x14ac:dyDescent="0.35">
      <c r="A149" t="s">
        <v>61</v>
      </c>
      <c r="B149">
        <v>107868365</v>
      </c>
      <c r="C149" t="s">
        <v>104</v>
      </c>
      <c r="D149" t="s">
        <v>72</v>
      </c>
      <c r="E149" t="s">
        <v>58</v>
      </c>
      <c r="F149">
        <v>430</v>
      </c>
      <c r="G149" t="s">
        <v>62</v>
      </c>
      <c r="H149" t="s">
        <v>64</v>
      </c>
      <c r="I149">
        <v>2330</v>
      </c>
    </row>
    <row r="150" spans="1:9" x14ac:dyDescent="0.35">
      <c r="A150" t="s">
        <v>61</v>
      </c>
      <c r="B150">
        <v>107868365</v>
      </c>
      <c r="C150" t="s">
        <v>104</v>
      </c>
      <c r="D150" t="s">
        <v>72</v>
      </c>
      <c r="E150" t="s">
        <v>58</v>
      </c>
      <c r="F150">
        <v>430</v>
      </c>
      <c r="G150" t="s">
        <v>68</v>
      </c>
      <c r="H150" t="s">
        <v>67</v>
      </c>
      <c r="I150">
        <v>430</v>
      </c>
    </row>
    <row r="151" spans="1:9" x14ac:dyDescent="0.35">
      <c r="A151" t="s">
        <v>61</v>
      </c>
      <c r="B151">
        <v>107819512</v>
      </c>
      <c r="C151" t="s">
        <v>101</v>
      </c>
      <c r="D151" t="s">
        <v>60</v>
      </c>
      <c r="E151" t="s">
        <v>58</v>
      </c>
      <c r="F151">
        <v>205</v>
      </c>
      <c r="G151" t="s">
        <v>62</v>
      </c>
      <c r="H151" t="s">
        <v>67</v>
      </c>
      <c r="I151">
        <v>1743</v>
      </c>
    </row>
    <row r="152" spans="1:9" x14ac:dyDescent="0.35">
      <c r="A152" t="s">
        <v>61</v>
      </c>
      <c r="B152">
        <v>107819512</v>
      </c>
      <c r="C152" t="s">
        <v>101</v>
      </c>
      <c r="D152" t="s">
        <v>60</v>
      </c>
      <c r="E152" t="s">
        <v>58</v>
      </c>
      <c r="F152">
        <v>205</v>
      </c>
      <c r="G152" t="s">
        <v>62</v>
      </c>
      <c r="H152" t="s">
        <v>63</v>
      </c>
      <c r="I152">
        <v>606</v>
      </c>
    </row>
    <row r="153" spans="1:9" x14ac:dyDescent="0.35">
      <c r="A153" t="s">
        <v>61</v>
      </c>
      <c r="B153">
        <v>107819512</v>
      </c>
      <c r="C153" t="s">
        <v>101</v>
      </c>
      <c r="D153" t="s">
        <v>60</v>
      </c>
      <c r="E153" t="s">
        <v>58</v>
      </c>
      <c r="F153">
        <v>205</v>
      </c>
      <c r="G153" t="s">
        <v>62</v>
      </c>
      <c r="H153" t="s">
        <v>64</v>
      </c>
      <c r="I153">
        <v>1137</v>
      </c>
    </row>
    <row r="154" spans="1:9" x14ac:dyDescent="0.35">
      <c r="A154" t="s">
        <v>61</v>
      </c>
      <c r="B154">
        <v>107819512</v>
      </c>
      <c r="C154" t="s">
        <v>101</v>
      </c>
      <c r="D154" t="s">
        <v>60</v>
      </c>
      <c r="E154" t="s">
        <v>58</v>
      </c>
      <c r="F154">
        <v>205</v>
      </c>
      <c r="G154" t="s">
        <v>68</v>
      </c>
      <c r="H154" t="s">
        <v>67</v>
      </c>
      <c r="I154">
        <v>205</v>
      </c>
    </row>
    <row r="155" spans="1:9" x14ac:dyDescent="0.35">
      <c r="A155" t="s">
        <v>61</v>
      </c>
      <c r="B155">
        <v>107463281</v>
      </c>
      <c r="C155" t="s">
        <v>91</v>
      </c>
      <c r="D155" t="s">
        <v>60</v>
      </c>
      <c r="E155" t="s">
        <v>70</v>
      </c>
      <c r="F155">
        <v>297</v>
      </c>
      <c r="G155" t="s">
        <v>62</v>
      </c>
      <c r="H155" t="s">
        <v>67</v>
      </c>
      <c r="I155">
        <v>1433</v>
      </c>
    </row>
    <row r="156" spans="1:9" x14ac:dyDescent="0.35">
      <c r="A156" t="s">
        <v>61</v>
      </c>
      <c r="B156">
        <v>107463281</v>
      </c>
      <c r="C156" t="s">
        <v>91</v>
      </c>
      <c r="D156" t="s">
        <v>60</v>
      </c>
      <c r="E156" t="s">
        <v>70</v>
      </c>
      <c r="F156">
        <v>297</v>
      </c>
      <c r="G156" t="s">
        <v>62</v>
      </c>
      <c r="H156" t="s">
        <v>63</v>
      </c>
      <c r="I156">
        <v>120</v>
      </c>
    </row>
    <row r="157" spans="1:9" x14ac:dyDescent="0.35">
      <c r="A157" t="s">
        <v>61</v>
      </c>
      <c r="B157">
        <v>107463281</v>
      </c>
      <c r="C157" t="s">
        <v>91</v>
      </c>
      <c r="D157" t="s">
        <v>60</v>
      </c>
      <c r="E157" t="s">
        <v>70</v>
      </c>
      <c r="F157">
        <v>297</v>
      </c>
      <c r="G157" t="s">
        <v>62</v>
      </c>
      <c r="H157" t="s">
        <v>64</v>
      </c>
      <c r="I157">
        <v>1313</v>
      </c>
    </row>
    <row r="158" spans="1:9" x14ac:dyDescent="0.35">
      <c r="A158" t="s">
        <v>61</v>
      </c>
      <c r="B158">
        <v>107463281</v>
      </c>
      <c r="C158" t="s">
        <v>91</v>
      </c>
      <c r="D158" t="s">
        <v>60</v>
      </c>
      <c r="E158" t="s">
        <v>70</v>
      </c>
      <c r="F158">
        <v>297</v>
      </c>
      <c r="G158" t="s">
        <v>68</v>
      </c>
      <c r="H158" t="s">
        <v>67</v>
      </c>
      <c r="I158">
        <v>297</v>
      </c>
    </row>
    <row r="159" spans="1:9" x14ac:dyDescent="0.35">
      <c r="A159" t="s">
        <v>37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49321</v>
      </c>
      <c r="I2">
        <v>46.4166666666666</v>
      </c>
      <c r="J2">
        <v>1062.57091561938</v>
      </c>
      <c r="K2">
        <v>995.00000399999999</v>
      </c>
      <c r="L2">
        <v>49.568844021833698</v>
      </c>
      <c r="M2">
        <v>3.1521773551671202</v>
      </c>
      <c r="N2">
        <v>1.0679104636660699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921</v>
      </c>
      <c r="I3">
        <v>3.2377777777777701</v>
      </c>
      <c r="J3">
        <v>284.45435827041803</v>
      </c>
      <c r="K3">
        <v>275.00000399999999</v>
      </c>
      <c r="L3">
        <v>3.3490908603768599</v>
      </c>
      <c r="M3">
        <v>0.111313082599082</v>
      </c>
      <c r="N3">
        <v>1.0343794695741799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990</v>
      </c>
      <c r="I4">
        <v>11.031666666666601</v>
      </c>
      <c r="J4">
        <v>89.741652817646099</v>
      </c>
      <c r="K4">
        <v>101.999988</v>
      </c>
      <c r="L4">
        <v>9.7058834948098198</v>
      </c>
      <c r="M4">
        <v>-1.32578317185684</v>
      </c>
      <c r="N4">
        <v>0.87982022917145997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77</v>
      </c>
      <c r="I5">
        <v>5.6280555555555498</v>
      </c>
      <c r="J5">
        <v>13.681456986328399</v>
      </c>
      <c r="K5">
        <v>52.999991999999999</v>
      </c>
      <c r="L5">
        <v>1.4528304079744001</v>
      </c>
      <c r="M5">
        <v>-4.1752251475811502</v>
      </c>
      <c r="N5">
        <v>0.25814073681989202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7</v>
      </c>
      <c r="I6">
        <v>0.142777777777777</v>
      </c>
      <c r="J6">
        <v>49.027237354085599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1995</v>
      </c>
      <c r="I7">
        <v>20.0402777777777</v>
      </c>
      <c r="J7">
        <v>99.5495183311386</v>
      </c>
      <c r="K7">
        <v>137.512189650208</v>
      </c>
      <c r="L7">
        <v>14.507804763160999</v>
      </c>
      <c r="M7">
        <v>-5.5324730146166896</v>
      </c>
      <c r="N7">
        <v>0.723932318904704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8996</v>
      </c>
      <c r="I14">
        <v>8.6988888888888791</v>
      </c>
      <c r="J14">
        <v>1034.1550645037601</v>
      </c>
      <c r="K14">
        <v>524.99998800000003</v>
      </c>
      <c r="L14">
        <v>17.135238486900601</v>
      </c>
      <c r="M14">
        <v>8.4363495980117893</v>
      </c>
      <c r="N14">
        <v>1.9698192155078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26</v>
      </c>
      <c r="I15">
        <v>3.1094444444444398</v>
      </c>
      <c r="J15">
        <v>8.3616222976594603</v>
      </c>
      <c r="K15">
        <v>11.999988</v>
      </c>
      <c r="L15">
        <v>2.1666688333355002</v>
      </c>
      <c r="M15">
        <v>-0.94277561110894403</v>
      </c>
      <c r="N15">
        <v>0.69680255494084298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49321</v>
      </c>
      <c r="I16">
        <v>35.561111111111103</v>
      </c>
      <c r="J16">
        <v>1386.9364161849701</v>
      </c>
      <c r="K16">
        <v>2000.00001599999</v>
      </c>
      <c r="L16">
        <v>24.660499802716</v>
      </c>
      <c r="M16">
        <v>-10.900611308395099</v>
      </c>
      <c r="N16">
        <v>0.69346820254473995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49321</v>
      </c>
      <c r="I17">
        <v>113.826388888888</v>
      </c>
      <c r="J17">
        <v>433.30022573363402</v>
      </c>
      <c r="K17">
        <v>456.51083846959102</v>
      </c>
      <c r="L17">
        <v>108.039055907947</v>
      </c>
      <c r="M17">
        <v>-5.7873329809418301</v>
      </c>
      <c r="N17">
        <v>0.94915649141262703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15</v>
      </c>
      <c r="I30">
        <v>9.5277777777777697E-2</v>
      </c>
      <c r="J30">
        <v>157.434402332361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57</v>
      </c>
      <c r="I31">
        <v>0.73750000000000004</v>
      </c>
      <c r="J31">
        <v>77.288135593220304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9</v>
      </c>
      <c r="I32">
        <v>0.62083333333333302</v>
      </c>
      <c r="J32">
        <v>14.496644295302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81</v>
      </c>
      <c r="I34">
        <v>1.4536111111111101</v>
      </c>
      <c r="J34">
        <v>55.723294477355203</v>
      </c>
      <c r="K34">
        <v>0</v>
      </c>
      <c r="L34">
        <v>0</v>
      </c>
      <c r="M34">
        <v>-1.4536111111111101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81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81</v>
      </c>
      <c r="I36">
        <v>1.4536111111111101</v>
      </c>
      <c r="J36">
        <v>55.723294477355203</v>
      </c>
      <c r="K36">
        <v>0</v>
      </c>
      <c r="L36">
        <v>0</v>
      </c>
      <c r="M36">
        <v>-1.4536111111111101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9286</v>
      </c>
      <c r="I46">
        <v>113.575277777777</v>
      </c>
      <c r="J46">
        <v>81.7607509458973</v>
      </c>
      <c r="K46">
        <v>86.000004000000004</v>
      </c>
      <c r="L46">
        <v>107.976739163872</v>
      </c>
      <c r="M46">
        <v>-5.5985386139051698</v>
      </c>
      <c r="N46">
        <v>0.95070636212874304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9</v>
      </c>
      <c r="I48">
        <v>0.57888888888888801</v>
      </c>
      <c r="J48">
        <v>15.547024952015301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147739</v>
      </c>
      <c r="I50">
        <v>48.825555555555503</v>
      </c>
      <c r="J50">
        <v>3025.8539471588101</v>
      </c>
      <c r="K50">
        <v>15000.0000119999</v>
      </c>
      <c r="L50">
        <v>9.8492666587872506</v>
      </c>
      <c r="M50">
        <v>-38.976288896768303</v>
      </c>
      <c r="N50">
        <v>0.201723596315875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147739</v>
      </c>
      <c r="I51">
        <v>162.97972222222199</v>
      </c>
      <c r="J51">
        <v>906.48700332522606</v>
      </c>
      <c r="K51">
        <v>1253.87429513958</v>
      </c>
      <c r="L51">
        <v>117.826005822659</v>
      </c>
      <c r="M51">
        <v>-45.153716399562299</v>
      </c>
      <c r="N51">
        <v>0.72294886882924303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49321</v>
      </c>
      <c r="I52">
        <v>15.883333333333301</v>
      </c>
      <c r="J52">
        <v>3105.2046169989499</v>
      </c>
      <c r="K52">
        <v>4500</v>
      </c>
      <c r="L52">
        <v>10.9602222222222</v>
      </c>
      <c r="M52">
        <v>-4.9231111111111101</v>
      </c>
      <c r="N52">
        <v>0.69004547044421105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49321</v>
      </c>
      <c r="I53">
        <v>27.1</v>
      </c>
      <c r="J53">
        <v>1819.96309963099</v>
      </c>
      <c r="K53">
        <v>1850.000004</v>
      </c>
      <c r="L53">
        <v>26.659999942356698</v>
      </c>
      <c r="M53">
        <v>-0.44000005764324401</v>
      </c>
      <c r="N53">
        <v>0.98376383551131896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49321</v>
      </c>
      <c r="I54">
        <v>321.24305555555497</v>
      </c>
      <c r="J54">
        <v>153.53172355649701</v>
      </c>
      <c r="K54">
        <v>187.18692471500501</v>
      </c>
      <c r="L54">
        <v>263.48528389518498</v>
      </c>
      <c r="M54">
        <v>-57.757771660369599</v>
      </c>
      <c r="N54">
        <v>0.82020538448532698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243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22841</v>
      </c>
      <c r="I65">
        <v>18.4022222222222</v>
      </c>
      <c r="J65">
        <v>1241.20879120879</v>
      </c>
      <c r="K65">
        <v>1244.000016</v>
      </c>
      <c r="L65">
        <v>18.360932239730701</v>
      </c>
      <c r="M65">
        <v>-4.12899824914469E-2</v>
      </c>
      <c r="N65">
        <v>0.997756250196697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77084</v>
      </c>
      <c r="I66">
        <v>333.36277777777701</v>
      </c>
      <c r="J66">
        <v>231.23157454424799</v>
      </c>
      <c r="K66">
        <v>288</v>
      </c>
      <c r="L66">
        <v>267.65277777777698</v>
      </c>
      <c r="M66">
        <v>-65.709999999999994</v>
      </c>
      <c r="N66">
        <v>0.80288741161197397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101</v>
      </c>
      <c r="I67">
        <v>0.57888888888888801</v>
      </c>
      <c r="J67">
        <v>174.47216890595001</v>
      </c>
      <c r="K67">
        <v>117</v>
      </c>
      <c r="L67">
        <v>0.86324786324786296</v>
      </c>
      <c r="M67">
        <v>0.284358974358974</v>
      </c>
      <c r="N67">
        <v>1.4912151188542699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100026</v>
      </c>
      <c r="I69">
        <v>352.34388888888799</v>
      </c>
      <c r="J69">
        <v>283.88742689827899</v>
      </c>
      <c r="K69">
        <v>348.67213016660901</v>
      </c>
      <c r="L69">
        <v>286.87695788075598</v>
      </c>
      <c r="M69">
        <v>-65.466931008132406</v>
      </c>
      <c r="N69">
        <v>0.81419592315172096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98418</v>
      </c>
      <c r="I70">
        <v>16.960555555555501</v>
      </c>
      <c r="J70">
        <v>5802.7580333453398</v>
      </c>
      <c r="K70">
        <v>3465</v>
      </c>
      <c r="L70">
        <v>28.4034632034632</v>
      </c>
      <c r="M70">
        <v>11.4429076479076</v>
      </c>
      <c r="N70">
        <v>1.6746776431010999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98418</v>
      </c>
      <c r="I71">
        <v>56.6516666666666</v>
      </c>
      <c r="J71">
        <v>1737.2480950839899</v>
      </c>
      <c r="K71">
        <v>1524.999996</v>
      </c>
      <c r="L71">
        <v>64.536393611898703</v>
      </c>
      <c r="M71">
        <v>7.8847269452320603</v>
      </c>
      <c r="N71">
        <v>1.1391790817316101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98418</v>
      </c>
      <c r="I72">
        <v>22.439166666666601</v>
      </c>
      <c r="J72">
        <v>4385.9917554870499</v>
      </c>
      <c r="K72">
        <v>3499.999992</v>
      </c>
      <c r="L72">
        <v>28.1194286357015</v>
      </c>
      <c r="M72">
        <v>5.6802619690348797</v>
      </c>
      <c r="N72">
        <v>1.2531405044320501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98418</v>
      </c>
      <c r="I73">
        <v>12.216666666666599</v>
      </c>
      <c r="J73">
        <v>8056.0436562073601</v>
      </c>
      <c r="K73">
        <v>5000.0000040000004</v>
      </c>
      <c r="L73">
        <v>19.6835999842531</v>
      </c>
      <c r="M73">
        <v>7.4669333175864496</v>
      </c>
      <c r="N73">
        <v>1.6112087299525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98418</v>
      </c>
      <c r="I74">
        <v>460.61194444444402</v>
      </c>
      <c r="J74">
        <v>213.66792847437799</v>
      </c>
      <c r="K74">
        <v>230.15302385594501</v>
      </c>
      <c r="L74">
        <v>427.619843316073</v>
      </c>
      <c r="M74">
        <v>-32.992101128371402</v>
      </c>
      <c r="N74">
        <v>0.92837332699184705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100026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98418</v>
      </c>
      <c r="I161">
        <v>131.171111111111</v>
      </c>
      <c r="J161">
        <v>750.30240398461694</v>
      </c>
      <c r="K161">
        <v>1193.9585102511201</v>
      </c>
      <c r="L161">
        <v>82.43</v>
      </c>
      <c r="M161">
        <v>-48.741111111111103</v>
      </c>
      <c r="N161">
        <v>0.62841580971419797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98418</v>
      </c>
      <c r="I162">
        <v>7.4316666666666604</v>
      </c>
      <c r="J162">
        <v>13243.0589818344</v>
      </c>
      <c r="K162">
        <v>7306.4587973273901</v>
      </c>
      <c r="L162">
        <v>13.47</v>
      </c>
      <c r="M162">
        <v>6.0383333333333304</v>
      </c>
      <c r="N162">
        <v>1.8125140165956399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98418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98418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147739</v>
      </c>
      <c r="I165">
        <v>67.933333333333294</v>
      </c>
      <c r="J165">
        <v>2174.76447497546</v>
      </c>
      <c r="K165">
        <v>2499.999984</v>
      </c>
      <c r="L165">
        <v>59.095600378211799</v>
      </c>
      <c r="M165">
        <v>-8.8377329551214903</v>
      </c>
      <c r="N165">
        <v>0.86990579555758296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98418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49321</v>
      </c>
      <c r="I170">
        <v>321.24305555555497</v>
      </c>
      <c r="J170">
        <v>153.53172355649701</v>
      </c>
      <c r="K170">
        <v>187.18692471500501</v>
      </c>
      <c r="L170">
        <v>263.48528389518498</v>
      </c>
      <c r="M170">
        <v>-57.757771660369599</v>
      </c>
      <c r="N170">
        <v>0.82020538448532698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49321</v>
      </c>
      <c r="I172">
        <v>321.24305555555497</v>
      </c>
      <c r="J172">
        <v>153.53172355649701</v>
      </c>
      <c r="K172">
        <v>187.18692471500501</v>
      </c>
      <c r="L172">
        <v>263.48528389518498</v>
      </c>
      <c r="M172">
        <v>-57.757771660369599</v>
      </c>
      <c r="N172">
        <v>0.82020538448532698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98418</v>
      </c>
      <c r="I174">
        <v>460.61194444444402</v>
      </c>
      <c r="J174">
        <v>213.66792847437799</v>
      </c>
      <c r="K174">
        <v>230.15302385594501</v>
      </c>
      <c r="L174">
        <v>427.619843316073</v>
      </c>
      <c r="M174">
        <v>-32.992101128371402</v>
      </c>
      <c r="N174">
        <v>0.92837332699184705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98418</v>
      </c>
      <c r="I177">
        <v>206.53611111111101</v>
      </c>
      <c r="J177">
        <v>476.51715465414901</v>
      </c>
      <c r="K177">
        <v>634.97286219638295</v>
      </c>
      <c r="L177">
        <v>154.99560037821101</v>
      </c>
      <c r="M177">
        <v>-51.5405107328992</v>
      </c>
      <c r="N177">
        <v>0.75045278786540204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147739</v>
      </c>
      <c r="I179">
        <v>988.39111111111094</v>
      </c>
      <c r="J179">
        <v>149.47422972462499</v>
      </c>
      <c r="K179">
        <v>174.61159786601999</v>
      </c>
      <c r="L179">
        <v>846.10072758947001</v>
      </c>
      <c r="M179">
        <v>-142.29038352164</v>
      </c>
      <c r="N179">
        <v>0.85603838205132798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49321</v>
      </c>
      <c r="I180">
        <v>321.24305555555497</v>
      </c>
      <c r="J180">
        <v>153.53172355649701</v>
      </c>
      <c r="K180">
        <v>187.18692471500501</v>
      </c>
      <c r="L180">
        <v>263.48528389518498</v>
      </c>
      <c r="M180">
        <v>-57.757771660369599</v>
      </c>
      <c r="N180">
        <v>0.82020538448532698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98418</v>
      </c>
      <c r="I181">
        <v>460.61194444444402</v>
      </c>
      <c r="J181">
        <v>213.66792847437799</v>
      </c>
      <c r="K181">
        <v>230.15302385594501</v>
      </c>
      <c r="L181">
        <v>427.619843316073</v>
      </c>
      <c r="M181">
        <v>-32.992101128371402</v>
      </c>
      <c r="N181">
        <v>0.92837332699184705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98418</v>
      </c>
      <c r="I183">
        <v>206.53611111111101</v>
      </c>
      <c r="J183">
        <v>476.51715465414901</v>
      </c>
      <c r="K183">
        <v>634.97286219638295</v>
      </c>
      <c r="L183">
        <v>154.99560037821101</v>
      </c>
      <c r="M183">
        <v>-51.5405107328992</v>
      </c>
      <c r="N183">
        <v>0.75045278786540204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147739</v>
      </c>
      <c r="I185">
        <v>988.39111111111094</v>
      </c>
      <c r="J185">
        <v>149.47422972462499</v>
      </c>
      <c r="K185">
        <v>174.61159786601999</v>
      </c>
      <c r="L185">
        <v>846.10072758947001</v>
      </c>
      <c r="M185">
        <v>-142.29038352164</v>
      </c>
      <c r="N185">
        <v>0.85603838205132798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630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487</v>
      </c>
    </row>
    <row r="5" spans="1:2" x14ac:dyDescent="0.35">
      <c r="A5" t="s">
        <v>523</v>
      </c>
      <c r="B5">
        <v>832.45454545454504</v>
      </c>
    </row>
    <row r="6" spans="1:2" x14ac:dyDescent="0.35">
      <c r="A6" t="s">
        <v>524</v>
      </c>
      <c r="B6">
        <v>1215</v>
      </c>
    </row>
    <row r="7" spans="1:2" x14ac:dyDescent="0.35">
      <c r="A7" t="s">
        <v>631</v>
      </c>
      <c r="B7">
        <v>969</v>
      </c>
    </row>
    <row r="8" spans="1:2" x14ac:dyDescent="0.35">
      <c r="A8" t="s">
        <v>632</v>
      </c>
      <c r="B8">
        <v>1215</v>
      </c>
    </row>
    <row r="9" spans="1:2" x14ac:dyDescent="0.35">
      <c r="A9" t="s">
        <v>633</v>
      </c>
      <c r="B9">
        <v>550</v>
      </c>
    </row>
    <row r="10" spans="1:2" x14ac:dyDescent="0.35">
      <c r="A10" t="s">
        <v>634</v>
      </c>
      <c r="B10">
        <v>1145</v>
      </c>
    </row>
    <row r="11" spans="1:2" x14ac:dyDescent="0.35">
      <c r="A11" t="s">
        <v>635</v>
      </c>
      <c r="B11">
        <v>557</v>
      </c>
    </row>
    <row r="12" spans="1:2" x14ac:dyDescent="0.35">
      <c r="A12" t="s">
        <v>636</v>
      </c>
      <c r="B12">
        <v>790</v>
      </c>
    </row>
    <row r="13" spans="1:2" x14ac:dyDescent="0.35">
      <c r="A13" t="s">
        <v>637</v>
      </c>
      <c r="B13">
        <v>1093</v>
      </c>
    </row>
    <row r="14" spans="1:2" x14ac:dyDescent="0.35">
      <c r="A14" t="s">
        <v>638</v>
      </c>
      <c r="B14">
        <v>487</v>
      </c>
    </row>
    <row r="15" spans="1:2" x14ac:dyDescent="0.35">
      <c r="A15" t="s">
        <v>639</v>
      </c>
      <c r="B15">
        <v>918</v>
      </c>
    </row>
    <row r="16" spans="1:2" x14ac:dyDescent="0.35">
      <c r="A16" t="s">
        <v>640</v>
      </c>
      <c r="B16">
        <v>938</v>
      </c>
    </row>
    <row r="17" spans="1:2" x14ac:dyDescent="0.35">
      <c r="A17" t="s">
        <v>641</v>
      </c>
      <c r="B17">
        <v>495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R268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58</v>
      </c>
      <c r="D2">
        <v>100633196</v>
      </c>
      <c r="E2" t="s">
        <v>59</v>
      </c>
      <c r="F2" t="s">
        <v>60</v>
      </c>
      <c r="G2">
        <v>0.72</v>
      </c>
      <c r="H2">
        <v>8.48</v>
      </c>
      <c r="I2">
        <v>0.21</v>
      </c>
      <c r="J2">
        <v>0</v>
      </c>
      <c r="K2">
        <v>9.41</v>
      </c>
      <c r="L2" t="s">
        <v>61</v>
      </c>
      <c r="M2">
        <v>223</v>
      </c>
      <c r="N2">
        <v>23.7</v>
      </c>
      <c r="O2" t="s">
        <v>62</v>
      </c>
      <c r="P2" t="s">
        <v>63</v>
      </c>
      <c r="Q2">
        <v>484</v>
      </c>
      <c r="R2">
        <v>670.67</v>
      </c>
    </row>
    <row r="3" spans="1:18" x14ac:dyDescent="0.35">
      <c r="A3" t="s">
        <v>56</v>
      </c>
      <c r="B3" t="s">
        <v>57</v>
      </c>
      <c r="C3" t="s">
        <v>58</v>
      </c>
      <c r="D3">
        <v>100633196</v>
      </c>
      <c r="E3" t="s">
        <v>59</v>
      </c>
      <c r="F3" t="s">
        <v>60</v>
      </c>
      <c r="G3">
        <v>0.72</v>
      </c>
      <c r="H3">
        <v>8.48</v>
      </c>
      <c r="I3">
        <v>0.21</v>
      </c>
      <c r="J3">
        <v>0</v>
      </c>
      <c r="K3">
        <v>9.41</v>
      </c>
      <c r="L3" t="s">
        <v>61</v>
      </c>
      <c r="M3">
        <v>223</v>
      </c>
      <c r="N3">
        <v>23.7</v>
      </c>
      <c r="O3" t="s">
        <v>62</v>
      </c>
      <c r="P3" t="s">
        <v>64</v>
      </c>
      <c r="Q3">
        <v>1059</v>
      </c>
      <c r="R3">
        <v>124.93</v>
      </c>
    </row>
    <row r="4" spans="1:18" x14ac:dyDescent="0.35">
      <c r="A4" t="s">
        <v>56</v>
      </c>
      <c r="B4" t="s">
        <v>57</v>
      </c>
      <c r="C4" t="s">
        <v>58</v>
      </c>
      <c r="D4">
        <v>100633196</v>
      </c>
      <c r="E4" t="s">
        <v>59</v>
      </c>
      <c r="F4" t="s">
        <v>60</v>
      </c>
      <c r="G4">
        <v>0.72</v>
      </c>
      <c r="H4">
        <v>8.48</v>
      </c>
      <c r="I4">
        <v>0.21</v>
      </c>
      <c r="J4">
        <v>0</v>
      </c>
      <c r="K4">
        <v>9.41</v>
      </c>
      <c r="L4" t="s">
        <v>61</v>
      </c>
      <c r="M4">
        <v>223</v>
      </c>
      <c r="N4">
        <v>23.7</v>
      </c>
      <c r="O4" t="s">
        <v>62</v>
      </c>
      <c r="P4" t="s">
        <v>65</v>
      </c>
      <c r="Q4">
        <v>20</v>
      </c>
      <c r="R4">
        <v>94.36</v>
      </c>
    </row>
    <row r="5" spans="1:18" x14ac:dyDescent="0.35">
      <c r="A5" t="s">
        <v>56</v>
      </c>
      <c r="B5" t="s">
        <v>57</v>
      </c>
      <c r="C5" t="s">
        <v>58</v>
      </c>
      <c r="D5">
        <v>100633196</v>
      </c>
      <c r="E5" t="s">
        <v>59</v>
      </c>
      <c r="F5" t="s">
        <v>60</v>
      </c>
      <c r="G5">
        <v>0.72</v>
      </c>
      <c r="H5">
        <v>8.48</v>
      </c>
      <c r="I5">
        <v>0.21</v>
      </c>
      <c r="J5">
        <v>0</v>
      </c>
      <c r="K5">
        <v>9.41</v>
      </c>
      <c r="L5" t="s">
        <v>61</v>
      </c>
      <c r="M5">
        <v>223</v>
      </c>
      <c r="N5">
        <v>23.7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58</v>
      </c>
      <c r="D6">
        <v>100633196</v>
      </c>
      <c r="E6" t="s">
        <v>59</v>
      </c>
      <c r="F6" t="s">
        <v>60</v>
      </c>
      <c r="G6">
        <v>0.72</v>
      </c>
      <c r="H6">
        <v>8.48</v>
      </c>
      <c r="I6">
        <v>0.21</v>
      </c>
      <c r="J6">
        <v>0</v>
      </c>
      <c r="K6">
        <v>9.41</v>
      </c>
      <c r="L6" t="s">
        <v>61</v>
      </c>
      <c r="M6">
        <v>223</v>
      </c>
      <c r="N6">
        <v>23.7</v>
      </c>
      <c r="O6" t="s">
        <v>62</v>
      </c>
      <c r="P6" t="s">
        <v>67</v>
      </c>
      <c r="Q6">
        <v>1563</v>
      </c>
      <c r="R6">
        <v>166.08</v>
      </c>
    </row>
    <row r="7" spans="1:18" x14ac:dyDescent="0.35">
      <c r="A7" t="s">
        <v>56</v>
      </c>
      <c r="B7" t="s">
        <v>57</v>
      </c>
      <c r="C7" t="s">
        <v>58</v>
      </c>
      <c r="D7">
        <v>100633196</v>
      </c>
      <c r="E7" t="s">
        <v>59</v>
      </c>
      <c r="F7" t="s">
        <v>60</v>
      </c>
      <c r="G7">
        <v>0.72</v>
      </c>
      <c r="H7">
        <v>8.48</v>
      </c>
      <c r="I7">
        <v>0.21</v>
      </c>
      <c r="J7">
        <v>0</v>
      </c>
      <c r="K7">
        <v>9.41</v>
      </c>
      <c r="L7" t="s">
        <v>61</v>
      </c>
      <c r="M7">
        <v>223</v>
      </c>
      <c r="N7">
        <v>23.7</v>
      </c>
      <c r="O7" t="s">
        <v>68</v>
      </c>
      <c r="P7" t="s">
        <v>67</v>
      </c>
      <c r="Q7">
        <v>223</v>
      </c>
      <c r="R7">
        <v>23.7</v>
      </c>
    </row>
    <row r="8" spans="1:18" x14ac:dyDescent="0.35">
      <c r="A8" t="s">
        <v>56</v>
      </c>
      <c r="B8" t="s">
        <v>57</v>
      </c>
      <c r="C8" t="s">
        <v>58</v>
      </c>
      <c r="D8">
        <v>100633196</v>
      </c>
      <c r="E8" t="s">
        <v>59</v>
      </c>
      <c r="F8" t="s">
        <v>60</v>
      </c>
      <c r="G8">
        <v>0.72</v>
      </c>
      <c r="H8">
        <v>8.48</v>
      </c>
      <c r="I8">
        <v>0.21</v>
      </c>
      <c r="J8">
        <v>0</v>
      </c>
      <c r="K8">
        <v>9.41</v>
      </c>
      <c r="L8" t="s">
        <v>61</v>
      </c>
      <c r="M8">
        <v>223</v>
      </c>
      <c r="N8">
        <v>23.7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58</v>
      </c>
      <c r="D9">
        <v>101446428</v>
      </c>
      <c r="E9" t="s">
        <v>73</v>
      </c>
      <c r="F9" t="s">
        <v>60</v>
      </c>
      <c r="G9">
        <v>0.43</v>
      </c>
      <c r="H9">
        <v>9.56</v>
      </c>
      <c r="I9">
        <v>0.01</v>
      </c>
      <c r="J9">
        <v>0</v>
      </c>
      <c r="K9">
        <v>10</v>
      </c>
      <c r="L9" t="s">
        <v>61</v>
      </c>
      <c r="M9">
        <v>367</v>
      </c>
      <c r="N9">
        <v>36.700000000000003</v>
      </c>
      <c r="O9" t="s">
        <v>62</v>
      </c>
      <c r="P9" t="s">
        <v>63</v>
      </c>
      <c r="Q9">
        <v>717</v>
      </c>
      <c r="R9">
        <v>1649.33</v>
      </c>
    </row>
    <row r="10" spans="1:18" x14ac:dyDescent="0.35">
      <c r="A10" t="s">
        <v>56</v>
      </c>
      <c r="B10" t="s">
        <v>57</v>
      </c>
      <c r="C10" t="s">
        <v>58</v>
      </c>
      <c r="D10">
        <v>101446428</v>
      </c>
      <c r="E10" t="s">
        <v>73</v>
      </c>
      <c r="F10" t="s">
        <v>60</v>
      </c>
      <c r="G10">
        <v>0.43</v>
      </c>
      <c r="H10">
        <v>9.56</v>
      </c>
      <c r="I10">
        <v>0.01</v>
      </c>
      <c r="J10">
        <v>0</v>
      </c>
      <c r="K10">
        <v>10</v>
      </c>
      <c r="L10" t="s">
        <v>61</v>
      </c>
      <c r="M10">
        <v>367</v>
      </c>
      <c r="N10">
        <v>36.700000000000003</v>
      </c>
      <c r="O10" t="s">
        <v>62</v>
      </c>
      <c r="P10" t="s">
        <v>64</v>
      </c>
      <c r="Q10">
        <v>2936</v>
      </c>
      <c r="R10">
        <v>307.23</v>
      </c>
    </row>
    <row r="11" spans="1:18" x14ac:dyDescent="0.35">
      <c r="A11" t="s">
        <v>56</v>
      </c>
      <c r="B11" t="s">
        <v>57</v>
      </c>
      <c r="C11" t="s">
        <v>58</v>
      </c>
      <c r="D11">
        <v>101446428</v>
      </c>
      <c r="E11" t="s">
        <v>73</v>
      </c>
      <c r="F11" t="s">
        <v>60</v>
      </c>
      <c r="G11">
        <v>0.43</v>
      </c>
      <c r="H11">
        <v>9.56</v>
      </c>
      <c r="I11">
        <v>0.01</v>
      </c>
      <c r="J11">
        <v>0</v>
      </c>
      <c r="K11">
        <v>10</v>
      </c>
      <c r="L11" t="s">
        <v>61</v>
      </c>
      <c r="M11">
        <v>367</v>
      </c>
      <c r="N11">
        <v>36.700000000000003</v>
      </c>
      <c r="O11" t="s">
        <v>62</v>
      </c>
      <c r="P11" t="s">
        <v>65</v>
      </c>
      <c r="Q11">
        <v>2</v>
      </c>
      <c r="R11">
        <v>232.26</v>
      </c>
    </row>
    <row r="12" spans="1:18" x14ac:dyDescent="0.35">
      <c r="A12" t="s">
        <v>56</v>
      </c>
      <c r="B12" t="s">
        <v>57</v>
      </c>
      <c r="C12" t="s">
        <v>58</v>
      </c>
      <c r="D12">
        <v>101446428</v>
      </c>
      <c r="E12" t="s">
        <v>73</v>
      </c>
      <c r="F12" t="s">
        <v>60</v>
      </c>
      <c r="G12">
        <v>0.43</v>
      </c>
      <c r="H12">
        <v>9.56</v>
      </c>
      <c r="I12">
        <v>0.01</v>
      </c>
      <c r="J12">
        <v>0</v>
      </c>
      <c r="K12">
        <v>10</v>
      </c>
      <c r="L12" t="s">
        <v>61</v>
      </c>
      <c r="M12">
        <v>367</v>
      </c>
      <c r="N12">
        <v>36.700000000000003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58</v>
      </c>
      <c r="D13">
        <v>101446428</v>
      </c>
      <c r="E13" t="s">
        <v>73</v>
      </c>
      <c r="F13" t="s">
        <v>60</v>
      </c>
      <c r="G13">
        <v>0.43</v>
      </c>
      <c r="H13">
        <v>9.56</v>
      </c>
      <c r="I13">
        <v>0.01</v>
      </c>
      <c r="J13">
        <v>0</v>
      </c>
      <c r="K13">
        <v>10</v>
      </c>
      <c r="L13" t="s">
        <v>61</v>
      </c>
      <c r="M13">
        <v>367</v>
      </c>
      <c r="N13">
        <v>36.700000000000003</v>
      </c>
      <c r="O13" t="s">
        <v>62</v>
      </c>
      <c r="P13" t="s">
        <v>67</v>
      </c>
      <c r="Q13">
        <v>3655</v>
      </c>
      <c r="R13">
        <v>365.5</v>
      </c>
    </row>
    <row r="14" spans="1:18" x14ac:dyDescent="0.35">
      <c r="A14" t="s">
        <v>56</v>
      </c>
      <c r="B14" t="s">
        <v>57</v>
      </c>
      <c r="C14" t="s">
        <v>58</v>
      </c>
      <c r="D14">
        <v>101446428</v>
      </c>
      <c r="E14" t="s">
        <v>73</v>
      </c>
      <c r="F14" t="s">
        <v>60</v>
      </c>
      <c r="G14">
        <v>0.43</v>
      </c>
      <c r="H14">
        <v>9.56</v>
      </c>
      <c r="I14">
        <v>0.01</v>
      </c>
      <c r="J14">
        <v>0</v>
      </c>
      <c r="K14">
        <v>10</v>
      </c>
      <c r="L14" t="s">
        <v>61</v>
      </c>
      <c r="M14">
        <v>367</v>
      </c>
      <c r="N14">
        <v>36.700000000000003</v>
      </c>
      <c r="O14" t="s">
        <v>68</v>
      </c>
      <c r="P14" t="s">
        <v>67</v>
      </c>
      <c r="Q14">
        <v>367</v>
      </c>
      <c r="R14">
        <v>36.700000000000003</v>
      </c>
    </row>
    <row r="15" spans="1:18" x14ac:dyDescent="0.35">
      <c r="A15" t="s">
        <v>56</v>
      </c>
      <c r="B15" t="s">
        <v>57</v>
      </c>
      <c r="C15" t="s">
        <v>58</v>
      </c>
      <c r="D15">
        <v>101446428</v>
      </c>
      <c r="E15" t="s">
        <v>73</v>
      </c>
      <c r="F15" t="s">
        <v>60</v>
      </c>
      <c r="G15">
        <v>0.43</v>
      </c>
      <c r="H15">
        <v>9.56</v>
      </c>
      <c r="I15">
        <v>0.01</v>
      </c>
      <c r="J15">
        <v>0</v>
      </c>
      <c r="K15">
        <v>10</v>
      </c>
      <c r="L15" t="s">
        <v>61</v>
      </c>
      <c r="M15">
        <v>367</v>
      </c>
      <c r="N15">
        <v>36.700000000000003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70</v>
      </c>
      <c r="D16">
        <v>102457590</v>
      </c>
      <c r="E16" t="s">
        <v>668</v>
      </c>
      <c r="F16" t="s">
        <v>72</v>
      </c>
      <c r="G16">
        <v>0.59</v>
      </c>
      <c r="H16">
        <v>9.41</v>
      </c>
      <c r="I16">
        <v>0</v>
      </c>
      <c r="J16">
        <v>0</v>
      </c>
      <c r="K16">
        <v>10</v>
      </c>
      <c r="L16" t="s">
        <v>61</v>
      </c>
      <c r="M16">
        <v>410</v>
      </c>
      <c r="N16">
        <v>41</v>
      </c>
      <c r="O16" t="s">
        <v>62</v>
      </c>
      <c r="P16" t="s">
        <v>63</v>
      </c>
      <c r="Q16">
        <v>1058</v>
      </c>
      <c r="R16">
        <v>1788.17</v>
      </c>
    </row>
    <row r="17" spans="1:18" x14ac:dyDescent="0.35">
      <c r="A17" t="s">
        <v>56</v>
      </c>
      <c r="B17" t="s">
        <v>57</v>
      </c>
      <c r="C17" t="s">
        <v>70</v>
      </c>
      <c r="D17">
        <v>102457590</v>
      </c>
      <c r="E17" t="s">
        <v>668</v>
      </c>
      <c r="F17" t="s">
        <v>72</v>
      </c>
      <c r="G17">
        <v>0.59</v>
      </c>
      <c r="H17">
        <v>9.41</v>
      </c>
      <c r="I17">
        <v>0</v>
      </c>
      <c r="J17">
        <v>0</v>
      </c>
      <c r="K17">
        <v>10</v>
      </c>
      <c r="L17" t="s">
        <v>61</v>
      </c>
      <c r="M17">
        <v>410</v>
      </c>
      <c r="N17">
        <v>41</v>
      </c>
      <c r="O17" t="s">
        <v>62</v>
      </c>
      <c r="P17" t="s">
        <v>64</v>
      </c>
      <c r="Q17">
        <v>3134</v>
      </c>
      <c r="R17">
        <v>333.12</v>
      </c>
    </row>
    <row r="18" spans="1:18" x14ac:dyDescent="0.35">
      <c r="A18" t="s">
        <v>56</v>
      </c>
      <c r="B18" t="s">
        <v>57</v>
      </c>
      <c r="C18" t="s">
        <v>70</v>
      </c>
      <c r="D18">
        <v>102457590</v>
      </c>
      <c r="E18" t="s">
        <v>668</v>
      </c>
      <c r="F18" t="s">
        <v>72</v>
      </c>
      <c r="G18">
        <v>0.59</v>
      </c>
      <c r="H18">
        <v>9.41</v>
      </c>
      <c r="I18">
        <v>0</v>
      </c>
      <c r="J18">
        <v>0</v>
      </c>
      <c r="K18">
        <v>10</v>
      </c>
      <c r="L18" t="s">
        <v>61</v>
      </c>
      <c r="M18">
        <v>410</v>
      </c>
      <c r="N18">
        <v>41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70</v>
      </c>
      <c r="D19">
        <v>102457590</v>
      </c>
      <c r="E19" t="s">
        <v>668</v>
      </c>
      <c r="F19" t="s">
        <v>72</v>
      </c>
      <c r="G19">
        <v>0.59</v>
      </c>
      <c r="H19">
        <v>9.41</v>
      </c>
      <c r="I19">
        <v>0</v>
      </c>
      <c r="J19">
        <v>0</v>
      </c>
      <c r="K19">
        <v>10</v>
      </c>
      <c r="L19" t="s">
        <v>61</v>
      </c>
      <c r="M19">
        <v>410</v>
      </c>
      <c r="N19">
        <v>41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70</v>
      </c>
      <c r="D20">
        <v>102457590</v>
      </c>
      <c r="E20" t="s">
        <v>668</v>
      </c>
      <c r="F20" t="s">
        <v>72</v>
      </c>
      <c r="G20">
        <v>0.59</v>
      </c>
      <c r="H20">
        <v>9.41</v>
      </c>
      <c r="I20">
        <v>0</v>
      </c>
      <c r="J20">
        <v>0</v>
      </c>
      <c r="K20">
        <v>10</v>
      </c>
      <c r="L20" t="s">
        <v>61</v>
      </c>
      <c r="M20">
        <v>410</v>
      </c>
      <c r="N20">
        <v>41</v>
      </c>
      <c r="O20" t="s">
        <v>62</v>
      </c>
      <c r="P20" t="s">
        <v>67</v>
      </c>
      <c r="Q20">
        <v>4192</v>
      </c>
      <c r="R20">
        <v>419.2</v>
      </c>
    </row>
    <row r="21" spans="1:18" x14ac:dyDescent="0.35">
      <c r="A21" t="s">
        <v>56</v>
      </c>
      <c r="B21" t="s">
        <v>57</v>
      </c>
      <c r="C21" t="s">
        <v>70</v>
      </c>
      <c r="D21">
        <v>102457590</v>
      </c>
      <c r="E21" t="s">
        <v>668</v>
      </c>
      <c r="F21" t="s">
        <v>72</v>
      </c>
      <c r="G21">
        <v>0.59</v>
      </c>
      <c r="H21">
        <v>9.41</v>
      </c>
      <c r="I21">
        <v>0</v>
      </c>
      <c r="J21">
        <v>0</v>
      </c>
      <c r="K21">
        <v>10</v>
      </c>
      <c r="L21" t="s">
        <v>61</v>
      </c>
      <c r="M21">
        <v>410</v>
      </c>
      <c r="N21">
        <v>41</v>
      </c>
      <c r="O21" t="s">
        <v>68</v>
      </c>
      <c r="P21" t="s">
        <v>67</v>
      </c>
      <c r="Q21">
        <v>410</v>
      </c>
      <c r="R21">
        <v>41</v>
      </c>
    </row>
    <row r="22" spans="1:18" x14ac:dyDescent="0.35">
      <c r="A22" t="s">
        <v>56</v>
      </c>
      <c r="B22" t="s">
        <v>57</v>
      </c>
      <c r="C22" t="s">
        <v>70</v>
      </c>
      <c r="D22">
        <v>102457590</v>
      </c>
      <c r="E22" t="s">
        <v>668</v>
      </c>
      <c r="F22" t="s">
        <v>72</v>
      </c>
      <c r="G22">
        <v>0.59</v>
      </c>
      <c r="H22">
        <v>9.41</v>
      </c>
      <c r="I22">
        <v>0</v>
      </c>
      <c r="J22">
        <v>0</v>
      </c>
      <c r="K22">
        <v>10</v>
      </c>
      <c r="L22" t="s">
        <v>61</v>
      </c>
      <c r="M22">
        <v>410</v>
      </c>
      <c r="N22">
        <v>41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102530855</v>
      </c>
      <c r="E23" t="s">
        <v>560</v>
      </c>
      <c r="F23" t="s">
        <v>60</v>
      </c>
      <c r="G23">
        <v>0.8</v>
      </c>
      <c r="H23">
        <v>8.75</v>
      </c>
      <c r="I23">
        <v>0</v>
      </c>
      <c r="J23">
        <v>0</v>
      </c>
      <c r="K23">
        <v>9.5500000000000007</v>
      </c>
      <c r="L23" t="s">
        <v>61</v>
      </c>
      <c r="M23">
        <v>377</v>
      </c>
      <c r="N23">
        <v>39.46</v>
      </c>
      <c r="O23" t="s">
        <v>62</v>
      </c>
      <c r="P23" t="s">
        <v>63</v>
      </c>
      <c r="Q23">
        <v>856</v>
      </c>
      <c r="R23">
        <v>1065.19</v>
      </c>
    </row>
    <row r="24" spans="1:18" x14ac:dyDescent="0.35">
      <c r="A24" t="s">
        <v>56</v>
      </c>
      <c r="B24" t="s">
        <v>57</v>
      </c>
      <c r="C24" t="s">
        <v>70</v>
      </c>
      <c r="D24">
        <v>102530855</v>
      </c>
      <c r="E24" t="s">
        <v>560</v>
      </c>
      <c r="F24" t="s">
        <v>60</v>
      </c>
      <c r="G24">
        <v>0.8</v>
      </c>
      <c r="H24">
        <v>8.75</v>
      </c>
      <c r="I24">
        <v>0</v>
      </c>
      <c r="J24">
        <v>0</v>
      </c>
      <c r="K24">
        <v>9.5500000000000007</v>
      </c>
      <c r="L24" t="s">
        <v>61</v>
      </c>
      <c r="M24">
        <v>377</v>
      </c>
      <c r="N24">
        <v>39.46</v>
      </c>
      <c r="O24" t="s">
        <v>62</v>
      </c>
      <c r="P24" t="s">
        <v>64</v>
      </c>
      <c r="Q24">
        <v>1736</v>
      </c>
      <c r="R24">
        <v>198.43</v>
      </c>
    </row>
    <row r="25" spans="1:18" x14ac:dyDescent="0.35">
      <c r="A25" t="s">
        <v>56</v>
      </c>
      <c r="B25" t="s">
        <v>57</v>
      </c>
      <c r="C25" t="s">
        <v>70</v>
      </c>
      <c r="D25">
        <v>102530855</v>
      </c>
      <c r="E25" t="s">
        <v>560</v>
      </c>
      <c r="F25" t="s">
        <v>60</v>
      </c>
      <c r="G25">
        <v>0.8</v>
      </c>
      <c r="H25">
        <v>8.75</v>
      </c>
      <c r="I25">
        <v>0</v>
      </c>
      <c r="J25">
        <v>0</v>
      </c>
      <c r="K25">
        <v>9.5500000000000007</v>
      </c>
      <c r="L25" t="s">
        <v>61</v>
      </c>
      <c r="M25">
        <v>377</v>
      </c>
      <c r="N25">
        <v>39.46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102530855</v>
      </c>
      <c r="E26" t="s">
        <v>560</v>
      </c>
      <c r="F26" t="s">
        <v>60</v>
      </c>
      <c r="G26">
        <v>0.8</v>
      </c>
      <c r="H26">
        <v>8.75</v>
      </c>
      <c r="I26">
        <v>0</v>
      </c>
      <c r="J26">
        <v>0</v>
      </c>
      <c r="K26">
        <v>9.5500000000000007</v>
      </c>
      <c r="L26" t="s">
        <v>61</v>
      </c>
      <c r="M26">
        <v>377</v>
      </c>
      <c r="N26">
        <v>39.46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102530855</v>
      </c>
      <c r="E27" t="s">
        <v>560</v>
      </c>
      <c r="F27" t="s">
        <v>60</v>
      </c>
      <c r="G27">
        <v>0.8</v>
      </c>
      <c r="H27">
        <v>8.75</v>
      </c>
      <c r="I27">
        <v>0</v>
      </c>
      <c r="J27">
        <v>0</v>
      </c>
      <c r="K27">
        <v>9.5500000000000007</v>
      </c>
      <c r="L27" t="s">
        <v>61</v>
      </c>
      <c r="M27">
        <v>377</v>
      </c>
      <c r="N27">
        <v>39.46</v>
      </c>
      <c r="O27" t="s">
        <v>62</v>
      </c>
      <c r="P27" t="s">
        <v>67</v>
      </c>
      <c r="Q27">
        <v>2592</v>
      </c>
      <c r="R27">
        <v>271.33</v>
      </c>
    </row>
    <row r="28" spans="1:18" x14ac:dyDescent="0.35">
      <c r="A28" t="s">
        <v>56</v>
      </c>
      <c r="B28" t="s">
        <v>57</v>
      </c>
      <c r="C28" t="s">
        <v>70</v>
      </c>
      <c r="D28">
        <v>102530855</v>
      </c>
      <c r="E28" t="s">
        <v>560</v>
      </c>
      <c r="F28" t="s">
        <v>60</v>
      </c>
      <c r="G28">
        <v>0.8</v>
      </c>
      <c r="H28">
        <v>8.75</v>
      </c>
      <c r="I28">
        <v>0</v>
      </c>
      <c r="J28">
        <v>0</v>
      </c>
      <c r="K28">
        <v>9.5500000000000007</v>
      </c>
      <c r="L28" t="s">
        <v>61</v>
      </c>
      <c r="M28">
        <v>377</v>
      </c>
      <c r="N28">
        <v>39.46</v>
      </c>
      <c r="O28" t="s">
        <v>68</v>
      </c>
      <c r="P28" t="s">
        <v>67</v>
      </c>
      <c r="Q28">
        <v>377</v>
      </c>
      <c r="R28">
        <v>39.46</v>
      </c>
    </row>
    <row r="29" spans="1:18" x14ac:dyDescent="0.35">
      <c r="A29" t="s">
        <v>56</v>
      </c>
      <c r="B29" t="s">
        <v>57</v>
      </c>
      <c r="C29" t="s">
        <v>70</v>
      </c>
      <c r="D29">
        <v>102530855</v>
      </c>
      <c r="E29" t="s">
        <v>560</v>
      </c>
      <c r="F29" t="s">
        <v>60</v>
      </c>
      <c r="G29">
        <v>0.8</v>
      </c>
      <c r="H29">
        <v>8.75</v>
      </c>
      <c r="I29">
        <v>0</v>
      </c>
      <c r="J29">
        <v>0</v>
      </c>
      <c r="K29">
        <v>9.5500000000000007</v>
      </c>
      <c r="L29" t="s">
        <v>61</v>
      </c>
      <c r="M29">
        <v>377</v>
      </c>
      <c r="N29">
        <v>39.46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106036050</v>
      </c>
      <c r="E30" t="s">
        <v>79</v>
      </c>
      <c r="F30" t="s">
        <v>60</v>
      </c>
      <c r="G30">
        <v>1.38</v>
      </c>
      <c r="H30">
        <v>8.6199999999999992</v>
      </c>
      <c r="I30">
        <v>0</v>
      </c>
      <c r="J30">
        <v>0</v>
      </c>
      <c r="K30">
        <v>10</v>
      </c>
      <c r="L30" t="s">
        <v>61</v>
      </c>
      <c r="M30">
        <v>362</v>
      </c>
      <c r="N30">
        <v>36.200000000000003</v>
      </c>
      <c r="O30" t="s">
        <v>62</v>
      </c>
      <c r="P30" t="s">
        <v>63</v>
      </c>
      <c r="Q30">
        <v>2144</v>
      </c>
      <c r="R30">
        <v>1558.01</v>
      </c>
    </row>
    <row r="31" spans="1:18" x14ac:dyDescent="0.35">
      <c r="A31" t="s">
        <v>56</v>
      </c>
      <c r="B31" t="s">
        <v>57</v>
      </c>
      <c r="C31" t="s">
        <v>70</v>
      </c>
      <c r="D31">
        <v>106036050</v>
      </c>
      <c r="E31" t="s">
        <v>79</v>
      </c>
      <c r="F31" t="s">
        <v>60</v>
      </c>
      <c r="G31">
        <v>1.38</v>
      </c>
      <c r="H31">
        <v>8.6199999999999992</v>
      </c>
      <c r="I31">
        <v>0</v>
      </c>
      <c r="J31">
        <v>0</v>
      </c>
      <c r="K31">
        <v>10</v>
      </c>
      <c r="L31" t="s">
        <v>61</v>
      </c>
      <c r="M31">
        <v>362</v>
      </c>
      <c r="N31">
        <v>36.200000000000003</v>
      </c>
      <c r="O31" t="s">
        <v>62</v>
      </c>
      <c r="P31" t="s">
        <v>64</v>
      </c>
      <c r="Q31">
        <v>2503</v>
      </c>
      <c r="R31">
        <v>290.25</v>
      </c>
    </row>
    <row r="32" spans="1:18" x14ac:dyDescent="0.35">
      <c r="A32" t="s">
        <v>56</v>
      </c>
      <c r="B32" t="s">
        <v>57</v>
      </c>
      <c r="C32" t="s">
        <v>70</v>
      </c>
      <c r="D32">
        <v>106036050</v>
      </c>
      <c r="E32" t="s">
        <v>79</v>
      </c>
      <c r="F32" t="s">
        <v>60</v>
      </c>
      <c r="G32">
        <v>1.38</v>
      </c>
      <c r="H32">
        <v>8.6199999999999992</v>
      </c>
      <c r="I32">
        <v>0</v>
      </c>
      <c r="J32">
        <v>0</v>
      </c>
      <c r="K32">
        <v>10</v>
      </c>
      <c r="L32" t="s">
        <v>61</v>
      </c>
      <c r="M32">
        <v>362</v>
      </c>
      <c r="N32">
        <v>36.200000000000003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106036050</v>
      </c>
      <c r="E33" t="s">
        <v>79</v>
      </c>
      <c r="F33" t="s">
        <v>60</v>
      </c>
      <c r="G33">
        <v>1.38</v>
      </c>
      <c r="H33">
        <v>8.6199999999999992</v>
      </c>
      <c r="I33">
        <v>0</v>
      </c>
      <c r="J33">
        <v>0</v>
      </c>
      <c r="K33">
        <v>10</v>
      </c>
      <c r="L33" t="s">
        <v>61</v>
      </c>
      <c r="M33">
        <v>362</v>
      </c>
      <c r="N33">
        <v>36.200000000000003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106036050</v>
      </c>
      <c r="E34" t="s">
        <v>79</v>
      </c>
      <c r="F34" t="s">
        <v>60</v>
      </c>
      <c r="G34">
        <v>1.38</v>
      </c>
      <c r="H34">
        <v>8.6199999999999992</v>
      </c>
      <c r="I34">
        <v>0</v>
      </c>
      <c r="J34">
        <v>0</v>
      </c>
      <c r="K34">
        <v>10</v>
      </c>
      <c r="L34" t="s">
        <v>61</v>
      </c>
      <c r="M34">
        <v>362</v>
      </c>
      <c r="N34">
        <v>36.200000000000003</v>
      </c>
      <c r="O34" t="s">
        <v>62</v>
      </c>
      <c r="P34" t="s">
        <v>67</v>
      </c>
      <c r="Q34">
        <v>4647</v>
      </c>
      <c r="R34">
        <v>464.7</v>
      </c>
    </row>
    <row r="35" spans="1:18" x14ac:dyDescent="0.35">
      <c r="A35" t="s">
        <v>56</v>
      </c>
      <c r="B35" t="s">
        <v>57</v>
      </c>
      <c r="C35" t="s">
        <v>70</v>
      </c>
      <c r="D35">
        <v>106036050</v>
      </c>
      <c r="E35" t="s">
        <v>79</v>
      </c>
      <c r="F35" t="s">
        <v>60</v>
      </c>
      <c r="G35">
        <v>1.38</v>
      </c>
      <c r="H35">
        <v>8.6199999999999992</v>
      </c>
      <c r="I35">
        <v>0</v>
      </c>
      <c r="J35">
        <v>0</v>
      </c>
      <c r="K35">
        <v>10</v>
      </c>
      <c r="L35" t="s">
        <v>61</v>
      </c>
      <c r="M35">
        <v>362</v>
      </c>
      <c r="N35">
        <v>36.200000000000003</v>
      </c>
      <c r="O35" t="s">
        <v>68</v>
      </c>
      <c r="P35" t="s">
        <v>67</v>
      </c>
      <c r="Q35">
        <v>360</v>
      </c>
      <c r="R35">
        <v>36</v>
      </c>
    </row>
    <row r="36" spans="1:18" x14ac:dyDescent="0.35">
      <c r="A36" t="s">
        <v>56</v>
      </c>
      <c r="B36" t="s">
        <v>57</v>
      </c>
      <c r="C36" t="s">
        <v>70</v>
      </c>
      <c r="D36">
        <v>106036050</v>
      </c>
      <c r="E36" t="s">
        <v>79</v>
      </c>
      <c r="F36" t="s">
        <v>60</v>
      </c>
      <c r="G36">
        <v>1.38</v>
      </c>
      <c r="H36">
        <v>8.6199999999999992</v>
      </c>
      <c r="I36">
        <v>0</v>
      </c>
      <c r="J36">
        <v>0</v>
      </c>
      <c r="K36">
        <v>10</v>
      </c>
      <c r="L36" t="s">
        <v>61</v>
      </c>
      <c r="M36">
        <v>362</v>
      </c>
      <c r="N36">
        <v>36.200000000000003</v>
      </c>
      <c r="O36" t="s">
        <v>69</v>
      </c>
      <c r="P36" t="s">
        <v>67</v>
      </c>
      <c r="Q36">
        <v>2</v>
      </c>
      <c r="R36">
        <v>0.2</v>
      </c>
    </row>
    <row r="37" spans="1:18" x14ac:dyDescent="0.35">
      <c r="A37" t="s">
        <v>56</v>
      </c>
      <c r="B37" t="s">
        <v>57</v>
      </c>
      <c r="C37" t="s">
        <v>70</v>
      </c>
      <c r="D37">
        <v>106276317</v>
      </c>
      <c r="E37" t="s">
        <v>548</v>
      </c>
      <c r="F37" t="s">
        <v>72</v>
      </c>
      <c r="G37">
        <v>0.47</v>
      </c>
      <c r="H37">
        <v>9.77</v>
      </c>
      <c r="I37">
        <v>0</v>
      </c>
      <c r="J37">
        <v>0</v>
      </c>
      <c r="K37">
        <v>10.23</v>
      </c>
      <c r="L37" t="s">
        <v>61</v>
      </c>
      <c r="M37">
        <v>461</v>
      </c>
      <c r="N37">
        <v>45.05</v>
      </c>
      <c r="O37" t="s">
        <v>62</v>
      </c>
      <c r="P37" t="s">
        <v>63</v>
      </c>
      <c r="Q37">
        <v>522</v>
      </c>
      <c r="R37">
        <v>1119.9000000000001</v>
      </c>
    </row>
    <row r="38" spans="1:18" x14ac:dyDescent="0.35">
      <c r="A38" t="s">
        <v>56</v>
      </c>
      <c r="B38" t="s">
        <v>57</v>
      </c>
      <c r="C38" t="s">
        <v>70</v>
      </c>
      <c r="D38">
        <v>106276317</v>
      </c>
      <c r="E38" t="s">
        <v>548</v>
      </c>
      <c r="F38" t="s">
        <v>72</v>
      </c>
      <c r="G38">
        <v>0.47</v>
      </c>
      <c r="H38">
        <v>9.77</v>
      </c>
      <c r="I38">
        <v>0</v>
      </c>
      <c r="J38">
        <v>0</v>
      </c>
      <c r="K38">
        <v>10.23</v>
      </c>
      <c r="L38" t="s">
        <v>61</v>
      </c>
      <c r="M38">
        <v>461</v>
      </c>
      <c r="N38">
        <v>45.05</v>
      </c>
      <c r="O38" t="s">
        <v>62</v>
      </c>
      <c r="P38" t="s">
        <v>64</v>
      </c>
      <c r="Q38">
        <v>2037</v>
      </c>
      <c r="R38">
        <v>208.56</v>
      </c>
    </row>
    <row r="39" spans="1:18" x14ac:dyDescent="0.35">
      <c r="A39" t="s">
        <v>56</v>
      </c>
      <c r="B39" t="s">
        <v>57</v>
      </c>
      <c r="C39" t="s">
        <v>70</v>
      </c>
      <c r="D39">
        <v>106276317</v>
      </c>
      <c r="E39" t="s">
        <v>548</v>
      </c>
      <c r="F39" t="s">
        <v>72</v>
      </c>
      <c r="G39">
        <v>0.47</v>
      </c>
      <c r="H39">
        <v>9.77</v>
      </c>
      <c r="I39">
        <v>0</v>
      </c>
      <c r="J39">
        <v>0</v>
      </c>
      <c r="K39">
        <v>10.23</v>
      </c>
      <c r="L39" t="s">
        <v>61</v>
      </c>
      <c r="M39">
        <v>461</v>
      </c>
      <c r="N39">
        <v>45.05</v>
      </c>
      <c r="O39" t="s">
        <v>62</v>
      </c>
      <c r="P39" t="s">
        <v>65</v>
      </c>
      <c r="Q39">
        <v>0</v>
      </c>
      <c r="R39">
        <v>0</v>
      </c>
    </row>
    <row r="40" spans="1:18" x14ac:dyDescent="0.35">
      <c r="A40" t="s">
        <v>56</v>
      </c>
      <c r="B40" t="s">
        <v>57</v>
      </c>
      <c r="C40" t="s">
        <v>70</v>
      </c>
      <c r="D40">
        <v>106276317</v>
      </c>
      <c r="E40" t="s">
        <v>548</v>
      </c>
      <c r="F40" t="s">
        <v>72</v>
      </c>
      <c r="G40">
        <v>0.47</v>
      </c>
      <c r="H40">
        <v>9.77</v>
      </c>
      <c r="I40">
        <v>0</v>
      </c>
      <c r="J40">
        <v>0</v>
      </c>
      <c r="K40">
        <v>10.23</v>
      </c>
      <c r="L40" t="s">
        <v>61</v>
      </c>
      <c r="M40">
        <v>461</v>
      </c>
      <c r="N40">
        <v>45.05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106276317</v>
      </c>
      <c r="E41" t="s">
        <v>548</v>
      </c>
      <c r="F41" t="s">
        <v>72</v>
      </c>
      <c r="G41">
        <v>0.47</v>
      </c>
      <c r="H41">
        <v>9.77</v>
      </c>
      <c r="I41">
        <v>0</v>
      </c>
      <c r="J41">
        <v>0</v>
      </c>
      <c r="K41">
        <v>10.23</v>
      </c>
      <c r="L41" t="s">
        <v>61</v>
      </c>
      <c r="M41">
        <v>461</v>
      </c>
      <c r="N41">
        <v>45.05</v>
      </c>
      <c r="O41" t="s">
        <v>62</v>
      </c>
      <c r="P41" t="s">
        <v>67</v>
      </c>
      <c r="Q41">
        <v>2559</v>
      </c>
      <c r="R41">
        <v>250.07</v>
      </c>
    </row>
    <row r="42" spans="1:18" x14ac:dyDescent="0.35">
      <c r="A42" t="s">
        <v>56</v>
      </c>
      <c r="B42" t="s">
        <v>57</v>
      </c>
      <c r="C42" t="s">
        <v>70</v>
      </c>
      <c r="D42">
        <v>106276317</v>
      </c>
      <c r="E42" t="s">
        <v>548</v>
      </c>
      <c r="F42" t="s">
        <v>72</v>
      </c>
      <c r="G42">
        <v>0.47</v>
      </c>
      <c r="H42">
        <v>9.77</v>
      </c>
      <c r="I42">
        <v>0</v>
      </c>
      <c r="J42">
        <v>0</v>
      </c>
      <c r="K42">
        <v>10.23</v>
      </c>
      <c r="L42" t="s">
        <v>61</v>
      </c>
      <c r="M42">
        <v>461</v>
      </c>
      <c r="N42">
        <v>45.05</v>
      </c>
      <c r="O42" t="s">
        <v>68</v>
      </c>
      <c r="P42" t="s">
        <v>67</v>
      </c>
      <c r="Q42">
        <v>461</v>
      </c>
      <c r="R42">
        <v>45.05</v>
      </c>
    </row>
    <row r="43" spans="1:18" x14ac:dyDescent="0.35">
      <c r="A43" t="s">
        <v>56</v>
      </c>
      <c r="B43" t="s">
        <v>57</v>
      </c>
      <c r="C43" t="s">
        <v>70</v>
      </c>
      <c r="D43">
        <v>106276317</v>
      </c>
      <c r="E43" t="s">
        <v>548</v>
      </c>
      <c r="F43" t="s">
        <v>72</v>
      </c>
      <c r="G43">
        <v>0.47</v>
      </c>
      <c r="H43">
        <v>9.77</v>
      </c>
      <c r="I43">
        <v>0</v>
      </c>
      <c r="J43">
        <v>0</v>
      </c>
      <c r="K43">
        <v>10.23</v>
      </c>
      <c r="L43" t="s">
        <v>61</v>
      </c>
      <c r="M43">
        <v>461</v>
      </c>
      <c r="N43">
        <v>45.05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106488400</v>
      </c>
      <c r="E44" t="s">
        <v>549</v>
      </c>
      <c r="F44" t="s">
        <v>60</v>
      </c>
      <c r="G44">
        <v>0.3</v>
      </c>
      <c r="H44">
        <v>9.1999999999999993</v>
      </c>
      <c r="I44">
        <v>0</v>
      </c>
      <c r="J44">
        <v>0</v>
      </c>
      <c r="K44">
        <v>9.5</v>
      </c>
      <c r="L44" t="s">
        <v>61</v>
      </c>
      <c r="M44">
        <v>477</v>
      </c>
      <c r="N44">
        <v>50.21</v>
      </c>
      <c r="O44" t="s">
        <v>62</v>
      </c>
      <c r="P44" t="s">
        <v>63</v>
      </c>
      <c r="Q44">
        <v>314</v>
      </c>
      <c r="R44">
        <v>1043.77</v>
      </c>
    </row>
    <row r="45" spans="1:18" x14ac:dyDescent="0.35">
      <c r="A45" t="s">
        <v>56</v>
      </c>
      <c r="B45" t="s">
        <v>57</v>
      </c>
      <c r="C45" t="s">
        <v>70</v>
      </c>
      <c r="D45">
        <v>106488400</v>
      </c>
      <c r="E45" t="s">
        <v>549</v>
      </c>
      <c r="F45" t="s">
        <v>60</v>
      </c>
      <c r="G45">
        <v>0.3</v>
      </c>
      <c r="H45">
        <v>9.1999999999999993</v>
      </c>
      <c r="I45">
        <v>0</v>
      </c>
      <c r="J45">
        <v>0</v>
      </c>
      <c r="K45">
        <v>9.5</v>
      </c>
      <c r="L45" t="s">
        <v>61</v>
      </c>
      <c r="M45">
        <v>477</v>
      </c>
      <c r="N45">
        <v>50.21</v>
      </c>
      <c r="O45" t="s">
        <v>62</v>
      </c>
      <c r="P45" t="s">
        <v>64</v>
      </c>
      <c r="Q45">
        <v>1788</v>
      </c>
      <c r="R45">
        <v>194.37</v>
      </c>
    </row>
    <row r="46" spans="1:18" x14ac:dyDescent="0.35">
      <c r="A46" t="s">
        <v>56</v>
      </c>
      <c r="B46" t="s">
        <v>57</v>
      </c>
      <c r="C46" t="s">
        <v>70</v>
      </c>
      <c r="D46">
        <v>106488400</v>
      </c>
      <c r="E46" t="s">
        <v>549</v>
      </c>
      <c r="F46" t="s">
        <v>60</v>
      </c>
      <c r="G46">
        <v>0.3</v>
      </c>
      <c r="H46">
        <v>9.1999999999999993</v>
      </c>
      <c r="I46">
        <v>0</v>
      </c>
      <c r="J46">
        <v>0</v>
      </c>
      <c r="K46">
        <v>9.5</v>
      </c>
      <c r="L46" t="s">
        <v>61</v>
      </c>
      <c r="M46">
        <v>477</v>
      </c>
      <c r="N46">
        <v>50.21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106488400</v>
      </c>
      <c r="E47" t="s">
        <v>549</v>
      </c>
      <c r="F47" t="s">
        <v>60</v>
      </c>
      <c r="G47">
        <v>0.3</v>
      </c>
      <c r="H47">
        <v>9.1999999999999993</v>
      </c>
      <c r="I47">
        <v>0</v>
      </c>
      <c r="J47">
        <v>0</v>
      </c>
      <c r="K47">
        <v>9.5</v>
      </c>
      <c r="L47" t="s">
        <v>61</v>
      </c>
      <c r="M47">
        <v>477</v>
      </c>
      <c r="N47">
        <v>50.21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106488400</v>
      </c>
      <c r="E48" t="s">
        <v>549</v>
      </c>
      <c r="F48" t="s">
        <v>60</v>
      </c>
      <c r="G48">
        <v>0.3</v>
      </c>
      <c r="H48">
        <v>9.1999999999999993</v>
      </c>
      <c r="I48">
        <v>0</v>
      </c>
      <c r="J48">
        <v>0</v>
      </c>
      <c r="K48">
        <v>9.5</v>
      </c>
      <c r="L48" t="s">
        <v>61</v>
      </c>
      <c r="M48">
        <v>477</v>
      </c>
      <c r="N48">
        <v>50.21</v>
      </c>
      <c r="O48" t="s">
        <v>62</v>
      </c>
      <c r="P48" t="s">
        <v>67</v>
      </c>
      <c r="Q48">
        <v>2102</v>
      </c>
      <c r="R48">
        <v>221.26</v>
      </c>
    </row>
    <row r="49" spans="1:18" x14ac:dyDescent="0.35">
      <c r="A49" t="s">
        <v>56</v>
      </c>
      <c r="B49" t="s">
        <v>57</v>
      </c>
      <c r="C49" t="s">
        <v>70</v>
      </c>
      <c r="D49">
        <v>106488400</v>
      </c>
      <c r="E49" t="s">
        <v>549</v>
      </c>
      <c r="F49" t="s">
        <v>60</v>
      </c>
      <c r="G49">
        <v>0.3</v>
      </c>
      <c r="H49">
        <v>9.1999999999999993</v>
      </c>
      <c r="I49">
        <v>0</v>
      </c>
      <c r="J49">
        <v>0</v>
      </c>
      <c r="K49">
        <v>9.5</v>
      </c>
      <c r="L49" t="s">
        <v>61</v>
      </c>
      <c r="M49">
        <v>477</v>
      </c>
      <c r="N49">
        <v>50.21</v>
      </c>
      <c r="O49" t="s">
        <v>68</v>
      </c>
      <c r="P49" t="s">
        <v>67</v>
      </c>
      <c r="Q49">
        <v>477</v>
      </c>
      <c r="R49">
        <v>50.21</v>
      </c>
    </row>
    <row r="50" spans="1:18" x14ac:dyDescent="0.35">
      <c r="A50" t="s">
        <v>56</v>
      </c>
      <c r="B50" t="s">
        <v>57</v>
      </c>
      <c r="C50" t="s">
        <v>70</v>
      </c>
      <c r="D50">
        <v>106488400</v>
      </c>
      <c r="E50" t="s">
        <v>549</v>
      </c>
      <c r="F50" t="s">
        <v>60</v>
      </c>
      <c r="G50">
        <v>0.3</v>
      </c>
      <c r="H50">
        <v>9.1999999999999993</v>
      </c>
      <c r="I50">
        <v>0</v>
      </c>
      <c r="J50">
        <v>0</v>
      </c>
      <c r="K50">
        <v>9.5</v>
      </c>
      <c r="L50" t="s">
        <v>61</v>
      </c>
      <c r="M50">
        <v>477</v>
      </c>
      <c r="N50">
        <v>50.21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106533893</v>
      </c>
      <c r="E51" t="s">
        <v>672</v>
      </c>
      <c r="F51" t="s">
        <v>60</v>
      </c>
      <c r="G51">
        <v>1.1000000000000001</v>
      </c>
      <c r="H51">
        <v>6.83</v>
      </c>
      <c r="I51">
        <v>0</v>
      </c>
      <c r="J51">
        <v>0</v>
      </c>
      <c r="K51">
        <v>7.92</v>
      </c>
      <c r="L51" t="s">
        <v>61</v>
      </c>
      <c r="M51">
        <v>225</v>
      </c>
      <c r="N51">
        <v>28.4</v>
      </c>
      <c r="O51" t="s">
        <v>62</v>
      </c>
      <c r="P51" t="s">
        <v>63</v>
      </c>
      <c r="Q51">
        <v>1152</v>
      </c>
      <c r="R51">
        <v>1051.25</v>
      </c>
    </row>
    <row r="52" spans="1:18" x14ac:dyDescent="0.35">
      <c r="A52" t="s">
        <v>56</v>
      </c>
      <c r="B52" t="s">
        <v>57</v>
      </c>
      <c r="C52" t="s">
        <v>70</v>
      </c>
      <c r="D52">
        <v>106533893</v>
      </c>
      <c r="E52" t="s">
        <v>672</v>
      </c>
      <c r="F52" t="s">
        <v>60</v>
      </c>
      <c r="G52">
        <v>1.1000000000000001</v>
      </c>
      <c r="H52">
        <v>6.83</v>
      </c>
      <c r="I52">
        <v>0</v>
      </c>
      <c r="J52">
        <v>0</v>
      </c>
      <c r="K52">
        <v>7.92</v>
      </c>
      <c r="L52" t="s">
        <v>61</v>
      </c>
      <c r="M52">
        <v>225</v>
      </c>
      <c r="N52">
        <v>28.4</v>
      </c>
      <c r="O52" t="s">
        <v>62</v>
      </c>
      <c r="P52" t="s">
        <v>64</v>
      </c>
      <c r="Q52">
        <v>1337</v>
      </c>
      <c r="R52">
        <v>195.85</v>
      </c>
    </row>
    <row r="53" spans="1:18" x14ac:dyDescent="0.35">
      <c r="A53" t="s">
        <v>56</v>
      </c>
      <c r="B53" t="s">
        <v>57</v>
      </c>
      <c r="C53" t="s">
        <v>70</v>
      </c>
      <c r="D53">
        <v>106533893</v>
      </c>
      <c r="E53" t="s">
        <v>672</v>
      </c>
      <c r="F53" t="s">
        <v>60</v>
      </c>
      <c r="G53">
        <v>1.1000000000000001</v>
      </c>
      <c r="H53">
        <v>6.83</v>
      </c>
      <c r="I53">
        <v>0</v>
      </c>
      <c r="J53">
        <v>0</v>
      </c>
      <c r="K53">
        <v>7.92</v>
      </c>
      <c r="L53" t="s">
        <v>61</v>
      </c>
      <c r="M53">
        <v>225</v>
      </c>
      <c r="N53">
        <v>28.4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106533893</v>
      </c>
      <c r="E54" t="s">
        <v>672</v>
      </c>
      <c r="F54" t="s">
        <v>60</v>
      </c>
      <c r="G54">
        <v>1.1000000000000001</v>
      </c>
      <c r="H54">
        <v>6.83</v>
      </c>
      <c r="I54">
        <v>0</v>
      </c>
      <c r="J54">
        <v>0</v>
      </c>
      <c r="K54">
        <v>7.92</v>
      </c>
      <c r="L54" t="s">
        <v>61</v>
      </c>
      <c r="M54">
        <v>225</v>
      </c>
      <c r="N54">
        <v>28.4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106533893</v>
      </c>
      <c r="E55" t="s">
        <v>672</v>
      </c>
      <c r="F55" t="s">
        <v>60</v>
      </c>
      <c r="G55">
        <v>1.1000000000000001</v>
      </c>
      <c r="H55">
        <v>6.83</v>
      </c>
      <c r="I55">
        <v>0</v>
      </c>
      <c r="J55">
        <v>0</v>
      </c>
      <c r="K55">
        <v>7.92</v>
      </c>
      <c r="L55" t="s">
        <v>61</v>
      </c>
      <c r="M55">
        <v>225</v>
      </c>
      <c r="N55">
        <v>28.4</v>
      </c>
      <c r="O55" t="s">
        <v>62</v>
      </c>
      <c r="P55" t="s">
        <v>67</v>
      </c>
      <c r="Q55">
        <v>2489</v>
      </c>
      <c r="R55">
        <v>314.16000000000003</v>
      </c>
    </row>
    <row r="56" spans="1:18" x14ac:dyDescent="0.35">
      <c r="A56" t="s">
        <v>56</v>
      </c>
      <c r="B56" t="s">
        <v>57</v>
      </c>
      <c r="C56" t="s">
        <v>70</v>
      </c>
      <c r="D56">
        <v>106533893</v>
      </c>
      <c r="E56" t="s">
        <v>672</v>
      </c>
      <c r="F56" t="s">
        <v>60</v>
      </c>
      <c r="G56">
        <v>1.1000000000000001</v>
      </c>
      <c r="H56">
        <v>6.83</v>
      </c>
      <c r="I56">
        <v>0</v>
      </c>
      <c r="J56">
        <v>0</v>
      </c>
      <c r="K56">
        <v>7.92</v>
      </c>
      <c r="L56" t="s">
        <v>61</v>
      </c>
      <c r="M56">
        <v>225</v>
      </c>
      <c r="N56">
        <v>28.4</v>
      </c>
      <c r="O56" t="s">
        <v>68</v>
      </c>
      <c r="P56" t="s">
        <v>67</v>
      </c>
      <c r="Q56">
        <v>223</v>
      </c>
      <c r="R56">
        <v>28.15</v>
      </c>
    </row>
    <row r="57" spans="1:18" x14ac:dyDescent="0.35">
      <c r="A57" t="s">
        <v>56</v>
      </c>
      <c r="B57" t="s">
        <v>57</v>
      </c>
      <c r="C57" t="s">
        <v>70</v>
      </c>
      <c r="D57">
        <v>106533893</v>
      </c>
      <c r="E57" t="s">
        <v>672</v>
      </c>
      <c r="F57" t="s">
        <v>60</v>
      </c>
      <c r="G57">
        <v>1.1000000000000001</v>
      </c>
      <c r="H57">
        <v>6.83</v>
      </c>
      <c r="I57">
        <v>0</v>
      </c>
      <c r="J57">
        <v>0</v>
      </c>
      <c r="K57">
        <v>7.92</v>
      </c>
      <c r="L57" t="s">
        <v>61</v>
      </c>
      <c r="M57">
        <v>225</v>
      </c>
      <c r="N57">
        <v>28.4</v>
      </c>
      <c r="O57" t="s">
        <v>69</v>
      </c>
      <c r="P57" t="s">
        <v>67</v>
      </c>
      <c r="Q57">
        <v>2</v>
      </c>
      <c r="R57">
        <v>0.25</v>
      </c>
    </row>
    <row r="58" spans="1:18" x14ac:dyDescent="0.35">
      <c r="A58" t="s">
        <v>56</v>
      </c>
      <c r="B58" t="s">
        <v>57</v>
      </c>
      <c r="C58" t="s">
        <v>70</v>
      </c>
      <c r="D58">
        <v>106534121</v>
      </c>
      <c r="E58" t="s">
        <v>562</v>
      </c>
      <c r="F58" t="s">
        <v>60</v>
      </c>
      <c r="G58">
        <v>0.31</v>
      </c>
      <c r="H58">
        <v>9.6300000000000008</v>
      </c>
      <c r="I58">
        <v>0.05</v>
      </c>
      <c r="J58">
        <v>0</v>
      </c>
      <c r="K58">
        <v>10</v>
      </c>
      <c r="L58" t="s">
        <v>61</v>
      </c>
      <c r="M58">
        <v>442</v>
      </c>
      <c r="N58">
        <v>44.2</v>
      </c>
      <c r="O58" t="s">
        <v>62</v>
      </c>
      <c r="P58" t="s">
        <v>63</v>
      </c>
      <c r="Q58">
        <v>518</v>
      </c>
      <c r="R58">
        <v>1651.73</v>
      </c>
    </row>
    <row r="59" spans="1:18" x14ac:dyDescent="0.35">
      <c r="A59" t="s">
        <v>56</v>
      </c>
      <c r="B59" t="s">
        <v>57</v>
      </c>
      <c r="C59" t="s">
        <v>70</v>
      </c>
      <c r="D59">
        <v>106534121</v>
      </c>
      <c r="E59" t="s">
        <v>562</v>
      </c>
      <c r="F59" t="s">
        <v>60</v>
      </c>
      <c r="G59">
        <v>0.31</v>
      </c>
      <c r="H59">
        <v>9.6300000000000008</v>
      </c>
      <c r="I59">
        <v>0.05</v>
      </c>
      <c r="J59">
        <v>0</v>
      </c>
      <c r="K59">
        <v>10</v>
      </c>
      <c r="L59" t="s">
        <v>61</v>
      </c>
      <c r="M59">
        <v>442</v>
      </c>
      <c r="N59">
        <v>44.2</v>
      </c>
      <c r="O59" t="s">
        <v>62</v>
      </c>
      <c r="P59" t="s">
        <v>64</v>
      </c>
      <c r="Q59">
        <v>2963</v>
      </c>
      <c r="R59">
        <v>307.54000000000002</v>
      </c>
    </row>
    <row r="60" spans="1:18" x14ac:dyDescent="0.35">
      <c r="A60" t="s">
        <v>56</v>
      </c>
      <c r="B60" t="s">
        <v>57</v>
      </c>
      <c r="C60" t="s">
        <v>70</v>
      </c>
      <c r="D60">
        <v>106534121</v>
      </c>
      <c r="E60" t="s">
        <v>562</v>
      </c>
      <c r="F60" t="s">
        <v>60</v>
      </c>
      <c r="G60">
        <v>0.31</v>
      </c>
      <c r="H60">
        <v>9.6300000000000008</v>
      </c>
      <c r="I60">
        <v>0.05</v>
      </c>
      <c r="J60">
        <v>0</v>
      </c>
      <c r="K60">
        <v>10</v>
      </c>
      <c r="L60" t="s">
        <v>61</v>
      </c>
      <c r="M60">
        <v>442</v>
      </c>
      <c r="N60">
        <v>44.2</v>
      </c>
      <c r="O60" t="s">
        <v>62</v>
      </c>
      <c r="P60" t="s">
        <v>65</v>
      </c>
      <c r="Q60">
        <v>12</v>
      </c>
      <c r="R60">
        <v>232.26</v>
      </c>
    </row>
    <row r="61" spans="1:18" x14ac:dyDescent="0.35">
      <c r="A61" t="s">
        <v>56</v>
      </c>
      <c r="B61" t="s">
        <v>57</v>
      </c>
      <c r="C61" t="s">
        <v>70</v>
      </c>
      <c r="D61">
        <v>106534121</v>
      </c>
      <c r="E61" t="s">
        <v>562</v>
      </c>
      <c r="F61" t="s">
        <v>60</v>
      </c>
      <c r="G61">
        <v>0.31</v>
      </c>
      <c r="H61">
        <v>9.6300000000000008</v>
      </c>
      <c r="I61">
        <v>0.05</v>
      </c>
      <c r="J61">
        <v>0</v>
      </c>
      <c r="K61">
        <v>10</v>
      </c>
      <c r="L61" t="s">
        <v>61</v>
      </c>
      <c r="M61">
        <v>442</v>
      </c>
      <c r="N61">
        <v>44.2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106534121</v>
      </c>
      <c r="E62" t="s">
        <v>562</v>
      </c>
      <c r="F62" t="s">
        <v>60</v>
      </c>
      <c r="G62">
        <v>0.31</v>
      </c>
      <c r="H62">
        <v>9.6300000000000008</v>
      </c>
      <c r="I62">
        <v>0.05</v>
      </c>
      <c r="J62">
        <v>0</v>
      </c>
      <c r="K62">
        <v>10</v>
      </c>
      <c r="L62" t="s">
        <v>61</v>
      </c>
      <c r="M62">
        <v>442</v>
      </c>
      <c r="N62">
        <v>44.2</v>
      </c>
      <c r="O62" t="s">
        <v>62</v>
      </c>
      <c r="P62" t="s">
        <v>67</v>
      </c>
      <c r="Q62">
        <v>3493</v>
      </c>
      <c r="R62">
        <v>349.3</v>
      </c>
    </row>
    <row r="63" spans="1:18" x14ac:dyDescent="0.35">
      <c r="A63" t="s">
        <v>56</v>
      </c>
      <c r="B63" t="s">
        <v>57</v>
      </c>
      <c r="C63" t="s">
        <v>70</v>
      </c>
      <c r="D63">
        <v>106534121</v>
      </c>
      <c r="E63" t="s">
        <v>562</v>
      </c>
      <c r="F63" t="s">
        <v>60</v>
      </c>
      <c r="G63">
        <v>0.31</v>
      </c>
      <c r="H63">
        <v>9.6300000000000008</v>
      </c>
      <c r="I63">
        <v>0.05</v>
      </c>
      <c r="J63">
        <v>0</v>
      </c>
      <c r="K63">
        <v>10</v>
      </c>
      <c r="L63" t="s">
        <v>61</v>
      </c>
      <c r="M63">
        <v>442</v>
      </c>
      <c r="N63">
        <v>44.2</v>
      </c>
      <c r="O63" t="s">
        <v>68</v>
      </c>
      <c r="P63" t="s">
        <v>67</v>
      </c>
      <c r="Q63">
        <v>442</v>
      </c>
      <c r="R63">
        <v>44.2</v>
      </c>
    </row>
    <row r="64" spans="1:18" x14ac:dyDescent="0.35">
      <c r="A64" t="s">
        <v>56</v>
      </c>
      <c r="B64" t="s">
        <v>57</v>
      </c>
      <c r="C64" t="s">
        <v>70</v>
      </c>
      <c r="D64">
        <v>106534121</v>
      </c>
      <c r="E64" t="s">
        <v>562</v>
      </c>
      <c r="F64" t="s">
        <v>60</v>
      </c>
      <c r="G64">
        <v>0.31</v>
      </c>
      <c r="H64">
        <v>9.6300000000000008</v>
      </c>
      <c r="I64">
        <v>0.05</v>
      </c>
      <c r="J64">
        <v>0</v>
      </c>
      <c r="K64">
        <v>10</v>
      </c>
      <c r="L64" t="s">
        <v>61</v>
      </c>
      <c r="M64">
        <v>442</v>
      </c>
      <c r="N64">
        <v>44.2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106534472</v>
      </c>
      <c r="E65" t="s">
        <v>81</v>
      </c>
      <c r="F65" t="s">
        <v>60</v>
      </c>
      <c r="G65">
        <v>0.5</v>
      </c>
      <c r="H65">
        <v>7.97</v>
      </c>
      <c r="I65">
        <v>0</v>
      </c>
      <c r="J65">
        <v>0</v>
      </c>
      <c r="K65">
        <v>8.4700000000000006</v>
      </c>
      <c r="L65" t="s">
        <v>61</v>
      </c>
      <c r="M65">
        <v>235</v>
      </c>
      <c r="N65">
        <v>27.76</v>
      </c>
      <c r="O65" t="s">
        <v>62</v>
      </c>
      <c r="P65" t="s">
        <v>63</v>
      </c>
      <c r="Q65">
        <v>658</v>
      </c>
      <c r="R65">
        <v>1318.93</v>
      </c>
    </row>
    <row r="66" spans="1:18" x14ac:dyDescent="0.35">
      <c r="A66" t="s">
        <v>56</v>
      </c>
      <c r="B66" t="s">
        <v>57</v>
      </c>
      <c r="C66" t="s">
        <v>70</v>
      </c>
      <c r="D66">
        <v>106534472</v>
      </c>
      <c r="E66" t="s">
        <v>81</v>
      </c>
      <c r="F66" t="s">
        <v>60</v>
      </c>
      <c r="G66">
        <v>0.5</v>
      </c>
      <c r="H66">
        <v>7.97</v>
      </c>
      <c r="I66">
        <v>0</v>
      </c>
      <c r="J66">
        <v>0</v>
      </c>
      <c r="K66">
        <v>8.4700000000000006</v>
      </c>
      <c r="L66" t="s">
        <v>61</v>
      </c>
      <c r="M66">
        <v>235</v>
      </c>
      <c r="N66">
        <v>27.76</v>
      </c>
      <c r="O66" t="s">
        <v>62</v>
      </c>
      <c r="P66" t="s">
        <v>64</v>
      </c>
      <c r="Q66">
        <v>1957</v>
      </c>
      <c r="R66">
        <v>245.62</v>
      </c>
    </row>
    <row r="67" spans="1:18" x14ac:dyDescent="0.35">
      <c r="A67" t="s">
        <v>56</v>
      </c>
      <c r="B67" t="s">
        <v>57</v>
      </c>
      <c r="C67" t="s">
        <v>70</v>
      </c>
      <c r="D67">
        <v>106534472</v>
      </c>
      <c r="E67" t="s">
        <v>81</v>
      </c>
      <c r="F67" t="s">
        <v>60</v>
      </c>
      <c r="G67">
        <v>0.5</v>
      </c>
      <c r="H67">
        <v>7.97</v>
      </c>
      <c r="I67">
        <v>0</v>
      </c>
      <c r="J67">
        <v>0</v>
      </c>
      <c r="K67">
        <v>8.4700000000000006</v>
      </c>
      <c r="L67" t="s">
        <v>61</v>
      </c>
      <c r="M67">
        <v>235</v>
      </c>
      <c r="N67">
        <v>27.76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70</v>
      </c>
      <c r="D68">
        <v>106534472</v>
      </c>
      <c r="E68" t="s">
        <v>81</v>
      </c>
      <c r="F68" t="s">
        <v>60</v>
      </c>
      <c r="G68">
        <v>0.5</v>
      </c>
      <c r="H68">
        <v>7.97</v>
      </c>
      <c r="I68">
        <v>0</v>
      </c>
      <c r="J68">
        <v>0</v>
      </c>
      <c r="K68">
        <v>8.4700000000000006</v>
      </c>
      <c r="L68" t="s">
        <v>61</v>
      </c>
      <c r="M68">
        <v>235</v>
      </c>
      <c r="N68">
        <v>27.76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106534472</v>
      </c>
      <c r="E69" t="s">
        <v>81</v>
      </c>
      <c r="F69" t="s">
        <v>60</v>
      </c>
      <c r="G69">
        <v>0.5</v>
      </c>
      <c r="H69">
        <v>7.97</v>
      </c>
      <c r="I69">
        <v>0</v>
      </c>
      <c r="J69">
        <v>0</v>
      </c>
      <c r="K69">
        <v>8.4700000000000006</v>
      </c>
      <c r="L69" t="s">
        <v>61</v>
      </c>
      <c r="M69">
        <v>235</v>
      </c>
      <c r="N69">
        <v>27.76</v>
      </c>
      <c r="O69" t="s">
        <v>62</v>
      </c>
      <c r="P69" t="s">
        <v>67</v>
      </c>
      <c r="Q69">
        <v>2615</v>
      </c>
      <c r="R69">
        <v>308.86</v>
      </c>
    </row>
    <row r="70" spans="1:18" x14ac:dyDescent="0.35">
      <c r="A70" t="s">
        <v>56</v>
      </c>
      <c r="B70" t="s">
        <v>57</v>
      </c>
      <c r="C70" t="s">
        <v>70</v>
      </c>
      <c r="D70">
        <v>106534472</v>
      </c>
      <c r="E70" t="s">
        <v>81</v>
      </c>
      <c r="F70" t="s">
        <v>60</v>
      </c>
      <c r="G70">
        <v>0.5</v>
      </c>
      <c r="H70">
        <v>7.97</v>
      </c>
      <c r="I70">
        <v>0</v>
      </c>
      <c r="J70">
        <v>0</v>
      </c>
      <c r="K70">
        <v>8.4700000000000006</v>
      </c>
      <c r="L70" t="s">
        <v>61</v>
      </c>
      <c r="M70">
        <v>235</v>
      </c>
      <c r="N70">
        <v>27.76</v>
      </c>
      <c r="O70" t="s">
        <v>68</v>
      </c>
      <c r="P70" t="s">
        <v>67</v>
      </c>
      <c r="Q70">
        <v>235</v>
      </c>
      <c r="R70">
        <v>27.76</v>
      </c>
    </row>
    <row r="71" spans="1:18" x14ac:dyDescent="0.35">
      <c r="A71" t="s">
        <v>56</v>
      </c>
      <c r="B71" t="s">
        <v>57</v>
      </c>
      <c r="C71" t="s">
        <v>70</v>
      </c>
      <c r="D71">
        <v>106534472</v>
      </c>
      <c r="E71" t="s">
        <v>81</v>
      </c>
      <c r="F71" t="s">
        <v>60</v>
      </c>
      <c r="G71">
        <v>0.5</v>
      </c>
      <c r="H71">
        <v>7.97</v>
      </c>
      <c r="I71">
        <v>0</v>
      </c>
      <c r="J71">
        <v>0</v>
      </c>
      <c r="K71">
        <v>8.4700000000000006</v>
      </c>
      <c r="L71" t="s">
        <v>61</v>
      </c>
      <c r="M71">
        <v>235</v>
      </c>
      <c r="N71">
        <v>27.76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58</v>
      </c>
      <c r="D72">
        <v>106550554</v>
      </c>
      <c r="E72" t="s">
        <v>527</v>
      </c>
      <c r="F72" t="s">
        <v>60</v>
      </c>
      <c r="G72">
        <v>0.21</v>
      </c>
      <c r="H72">
        <v>9.81</v>
      </c>
      <c r="I72">
        <v>0</v>
      </c>
      <c r="J72">
        <v>0</v>
      </c>
      <c r="K72">
        <v>10.02</v>
      </c>
      <c r="L72" t="s">
        <v>61</v>
      </c>
      <c r="M72">
        <v>554</v>
      </c>
      <c r="N72">
        <v>55.31</v>
      </c>
      <c r="O72" t="s">
        <v>62</v>
      </c>
      <c r="P72" t="s">
        <v>63</v>
      </c>
      <c r="Q72">
        <v>284</v>
      </c>
      <c r="R72">
        <v>1383.49</v>
      </c>
    </row>
    <row r="73" spans="1:18" x14ac:dyDescent="0.35">
      <c r="A73" t="s">
        <v>56</v>
      </c>
      <c r="B73" t="s">
        <v>57</v>
      </c>
      <c r="C73" t="s">
        <v>58</v>
      </c>
      <c r="D73">
        <v>106550554</v>
      </c>
      <c r="E73" t="s">
        <v>527</v>
      </c>
      <c r="F73" t="s">
        <v>60</v>
      </c>
      <c r="G73">
        <v>0.21</v>
      </c>
      <c r="H73">
        <v>9.81</v>
      </c>
      <c r="I73">
        <v>0</v>
      </c>
      <c r="J73">
        <v>0</v>
      </c>
      <c r="K73">
        <v>10.02</v>
      </c>
      <c r="L73" t="s">
        <v>61</v>
      </c>
      <c r="M73">
        <v>554</v>
      </c>
      <c r="N73">
        <v>55.31</v>
      </c>
      <c r="O73" t="s">
        <v>62</v>
      </c>
      <c r="P73" t="s">
        <v>64</v>
      </c>
      <c r="Q73">
        <v>2526</v>
      </c>
      <c r="R73">
        <v>257.45999999999998</v>
      </c>
    </row>
    <row r="74" spans="1:18" x14ac:dyDescent="0.35">
      <c r="A74" t="s">
        <v>56</v>
      </c>
      <c r="B74" t="s">
        <v>57</v>
      </c>
      <c r="C74" t="s">
        <v>58</v>
      </c>
      <c r="D74">
        <v>106550554</v>
      </c>
      <c r="E74" t="s">
        <v>527</v>
      </c>
      <c r="F74" t="s">
        <v>60</v>
      </c>
      <c r="G74">
        <v>0.21</v>
      </c>
      <c r="H74">
        <v>9.81</v>
      </c>
      <c r="I74">
        <v>0</v>
      </c>
      <c r="J74">
        <v>0</v>
      </c>
      <c r="K74">
        <v>10.02</v>
      </c>
      <c r="L74" t="s">
        <v>61</v>
      </c>
      <c r="M74">
        <v>554</v>
      </c>
      <c r="N74">
        <v>55.31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58</v>
      </c>
      <c r="D75">
        <v>106550554</v>
      </c>
      <c r="E75" t="s">
        <v>527</v>
      </c>
      <c r="F75" t="s">
        <v>60</v>
      </c>
      <c r="G75">
        <v>0.21</v>
      </c>
      <c r="H75">
        <v>9.81</v>
      </c>
      <c r="I75">
        <v>0</v>
      </c>
      <c r="J75">
        <v>0</v>
      </c>
      <c r="K75">
        <v>10.02</v>
      </c>
      <c r="L75" t="s">
        <v>61</v>
      </c>
      <c r="M75">
        <v>554</v>
      </c>
      <c r="N75">
        <v>55.31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58</v>
      </c>
      <c r="D76">
        <v>106550554</v>
      </c>
      <c r="E76" t="s">
        <v>527</v>
      </c>
      <c r="F76" t="s">
        <v>60</v>
      </c>
      <c r="G76">
        <v>0.21</v>
      </c>
      <c r="H76">
        <v>9.81</v>
      </c>
      <c r="I76">
        <v>0</v>
      </c>
      <c r="J76">
        <v>0</v>
      </c>
      <c r="K76">
        <v>10.02</v>
      </c>
      <c r="L76" t="s">
        <v>61</v>
      </c>
      <c r="M76">
        <v>554</v>
      </c>
      <c r="N76">
        <v>55.31</v>
      </c>
      <c r="O76" t="s">
        <v>62</v>
      </c>
      <c r="P76" t="s">
        <v>67</v>
      </c>
      <c r="Q76">
        <v>2810</v>
      </c>
      <c r="R76">
        <v>280.52999999999997</v>
      </c>
    </row>
    <row r="77" spans="1:18" x14ac:dyDescent="0.35">
      <c r="A77" t="s">
        <v>56</v>
      </c>
      <c r="B77" t="s">
        <v>57</v>
      </c>
      <c r="C77" t="s">
        <v>58</v>
      </c>
      <c r="D77">
        <v>106550554</v>
      </c>
      <c r="E77" t="s">
        <v>527</v>
      </c>
      <c r="F77" t="s">
        <v>60</v>
      </c>
      <c r="G77">
        <v>0.21</v>
      </c>
      <c r="H77">
        <v>9.81</v>
      </c>
      <c r="I77">
        <v>0</v>
      </c>
      <c r="J77">
        <v>0</v>
      </c>
      <c r="K77">
        <v>10.02</v>
      </c>
      <c r="L77" t="s">
        <v>61</v>
      </c>
      <c r="M77">
        <v>554</v>
      </c>
      <c r="N77">
        <v>55.31</v>
      </c>
      <c r="O77" t="s">
        <v>68</v>
      </c>
      <c r="P77" t="s">
        <v>67</v>
      </c>
      <c r="Q77">
        <v>554</v>
      </c>
      <c r="R77">
        <v>55.31</v>
      </c>
    </row>
    <row r="78" spans="1:18" x14ac:dyDescent="0.35">
      <c r="A78" t="s">
        <v>56</v>
      </c>
      <c r="B78" t="s">
        <v>57</v>
      </c>
      <c r="C78" t="s">
        <v>58</v>
      </c>
      <c r="D78">
        <v>106550554</v>
      </c>
      <c r="E78" t="s">
        <v>527</v>
      </c>
      <c r="F78" t="s">
        <v>60</v>
      </c>
      <c r="G78">
        <v>0.21</v>
      </c>
      <c r="H78">
        <v>9.81</v>
      </c>
      <c r="I78">
        <v>0</v>
      </c>
      <c r="J78">
        <v>0</v>
      </c>
      <c r="K78">
        <v>10.02</v>
      </c>
      <c r="L78" t="s">
        <v>61</v>
      </c>
      <c r="M78">
        <v>554</v>
      </c>
      <c r="N78">
        <v>55.31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70</v>
      </c>
      <c r="D79">
        <v>106616226</v>
      </c>
      <c r="E79" t="s">
        <v>551</v>
      </c>
      <c r="F79" t="s">
        <v>72</v>
      </c>
      <c r="G79">
        <v>0.56000000000000005</v>
      </c>
      <c r="H79">
        <v>9.34</v>
      </c>
      <c r="I79">
        <v>0.1</v>
      </c>
      <c r="J79">
        <v>0</v>
      </c>
      <c r="K79">
        <v>10</v>
      </c>
      <c r="L79" t="s">
        <v>61</v>
      </c>
      <c r="M79">
        <v>426</v>
      </c>
      <c r="N79">
        <v>42.6</v>
      </c>
      <c r="O79" t="s">
        <v>62</v>
      </c>
      <c r="P79" t="s">
        <v>63</v>
      </c>
      <c r="Q79">
        <v>1032</v>
      </c>
      <c r="R79">
        <v>1852.04</v>
      </c>
    </row>
    <row r="80" spans="1:18" x14ac:dyDescent="0.35">
      <c r="A80" t="s">
        <v>56</v>
      </c>
      <c r="B80" t="s">
        <v>57</v>
      </c>
      <c r="C80" t="s">
        <v>70</v>
      </c>
      <c r="D80">
        <v>106616226</v>
      </c>
      <c r="E80" t="s">
        <v>551</v>
      </c>
      <c r="F80" t="s">
        <v>72</v>
      </c>
      <c r="G80">
        <v>0.56000000000000005</v>
      </c>
      <c r="H80">
        <v>9.34</v>
      </c>
      <c r="I80">
        <v>0.1</v>
      </c>
      <c r="J80">
        <v>0</v>
      </c>
      <c r="K80">
        <v>10</v>
      </c>
      <c r="L80" t="s">
        <v>61</v>
      </c>
      <c r="M80">
        <v>426</v>
      </c>
      <c r="N80">
        <v>42.6</v>
      </c>
      <c r="O80" t="s">
        <v>62</v>
      </c>
      <c r="P80" t="s">
        <v>64</v>
      </c>
      <c r="Q80">
        <v>3221</v>
      </c>
      <c r="R80">
        <v>344.91</v>
      </c>
    </row>
    <row r="81" spans="1:18" x14ac:dyDescent="0.35">
      <c r="A81" t="s">
        <v>56</v>
      </c>
      <c r="B81" t="s">
        <v>57</v>
      </c>
      <c r="C81" t="s">
        <v>70</v>
      </c>
      <c r="D81">
        <v>106616226</v>
      </c>
      <c r="E81" t="s">
        <v>551</v>
      </c>
      <c r="F81" t="s">
        <v>72</v>
      </c>
      <c r="G81">
        <v>0.56000000000000005</v>
      </c>
      <c r="H81">
        <v>9.34</v>
      </c>
      <c r="I81">
        <v>0.1</v>
      </c>
      <c r="J81">
        <v>0</v>
      </c>
      <c r="K81">
        <v>10</v>
      </c>
      <c r="L81" t="s">
        <v>61</v>
      </c>
      <c r="M81">
        <v>426</v>
      </c>
      <c r="N81">
        <v>42.6</v>
      </c>
      <c r="O81" t="s">
        <v>62</v>
      </c>
      <c r="P81" t="s">
        <v>65</v>
      </c>
      <c r="Q81">
        <v>27</v>
      </c>
      <c r="R81">
        <v>260.58999999999997</v>
      </c>
    </row>
    <row r="82" spans="1:18" x14ac:dyDescent="0.35">
      <c r="A82" t="s">
        <v>56</v>
      </c>
      <c r="B82" t="s">
        <v>57</v>
      </c>
      <c r="C82" t="s">
        <v>70</v>
      </c>
      <c r="D82">
        <v>106616226</v>
      </c>
      <c r="E82" t="s">
        <v>551</v>
      </c>
      <c r="F82" t="s">
        <v>72</v>
      </c>
      <c r="G82">
        <v>0.56000000000000005</v>
      </c>
      <c r="H82">
        <v>9.34</v>
      </c>
      <c r="I82">
        <v>0.1</v>
      </c>
      <c r="J82">
        <v>0</v>
      </c>
      <c r="K82">
        <v>10</v>
      </c>
      <c r="L82" t="s">
        <v>61</v>
      </c>
      <c r="M82">
        <v>426</v>
      </c>
      <c r="N82">
        <v>42.6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106616226</v>
      </c>
      <c r="E83" t="s">
        <v>551</v>
      </c>
      <c r="F83" t="s">
        <v>72</v>
      </c>
      <c r="G83">
        <v>0.56000000000000005</v>
      </c>
      <c r="H83">
        <v>9.34</v>
      </c>
      <c r="I83">
        <v>0.1</v>
      </c>
      <c r="J83">
        <v>0</v>
      </c>
      <c r="K83">
        <v>10</v>
      </c>
      <c r="L83" t="s">
        <v>61</v>
      </c>
      <c r="M83">
        <v>426</v>
      </c>
      <c r="N83">
        <v>42.6</v>
      </c>
      <c r="O83" t="s">
        <v>62</v>
      </c>
      <c r="P83" t="s">
        <v>67</v>
      </c>
      <c r="Q83">
        <v>4280</v>
      </c>
      <c r="R83">
        <v>428</v>
      </c>
    </row>
    <row r="84" spans="1:18" x14ac:dyDescent="0.35">
      <c r="A84" t="s">
        <v>56</v>
      </c>
      <c r="B84" t="s">
        <v>57</v>
      </c>
      <c r="C84" t="s">
        <v>70</v>
      </c>
      <c r="D84">
        <v>106616226</v>
      </c>
      <c r="E84" t="s">
        <v>551</v>
      </c>
      <c r="F84" t="s">
        <v>72</v>
      </c>
      <c r="G84">
        <v>0.56000000000000005</v>
      </c>
      <c r="H84">
        <v>9.34</v>
      </c>
      <c r="I84">
        <v>0.1</v>
      </c>
      <c r="J84">
        <v>0</v>
      </c>
      <c r="K84">
        <v>10</v>
      </c>
      <c r="L84" t="s">
        <v>61</v>
      </c>
      <c r="M84">
        <v>426</v>
      </c>
      <c r="N84">
        <v>42.6</v>
      </c>
      <c r="O84" t="s">
        <v>68</v>
      </c>
      <c r="P84" t="s">
        <v>67</v>
      </c>
      <c r="Q84">
        <v>426</v>
      </c>
      <c r="R84">
        <v>42.6</v>
      </c>
    </row>
    <row r="85" spans="1:18" x14ac:dyDescent="0.35">
      <c r="A85" t="s">
        <v>56</v>
      </c>
      <c r="B85" t="s">
        <v>57</v>
      </c>
      <c r="C85" t="s">
        <v>70</v>
      </c>
      <c r="D85">
        <v>106616226</v>
      </c>
      <c r="E85" t="s">
        <v>551</v>
      </c>
      <c r="F85" t="s">
        <v>72</v>
      </c>
      <c r="G85">
        <v>0.56000000000000005</v>
      </c>
      <c r="H85">
        <v>9.34</v>
      </c>
      <c r="I85">
        <v>0.1</v>
      </c>
      <c r="J85">
        <v>0</v>
      </c>
      <c r="K85">
        <v>10</v>
      </c>
      <c r="L85" t="s">
        <v>61</v>
      </c>
      <c r="M85">
        <v>426</v>
      </c>
      <c r="N85">
        <v>42.6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58</v>
      </c>
      <c r="D86">
        <v>106677842</v>
      </c>
      <c r="E86" t="s">
        <v>564</v>
      </c>
      <c r="F86" t="s">
        <v>60</v>
      </c>
      <c r="G86">
        <v>0.27</v>
      </c>
      <c r="H86">
        <v>9.73</v>
      </c>
      <c r="I86">
        <v>0</v>
      </c>
      <c r="J86">
        <v>0</v>
      </c>
      <c r="K86">
        <v>10</v>
      </c>
      <c r="L86" t="s">
        <v>61</v>
      </c>
      <c r="M86">
        <v>450</v>
      </c>
      <c r="N86">
        <v>45</v>
      </c>
      <c r="O86" t="s">
        <v>62</v>
      </c>
      <c r="P86" t="s">
        <v>63</v>
      </c>
      <c r="Q86">
        <v>362</v>
      </c>
      <c r="R86">
        <v>1366.04</v>
      </c>
    </row>
    <row r="87" spans="1:18" x14ac:dyDescent="0.35">
      <c r="A87" t="s">
        <v>56</v>
      </c>
      <c r="B87" t="s">
        <v>57</v>
      </c>
      <c r="C87" t="s">
        <v>58</v>
      </c>
      <c r="D87">
        <v>106677842</v>
      </c>
      <c r="E87" t="s">
        <v>564</v>
      </c>
      <c r="F87" t="s">
        <v>60</v>
      </c>
      <c r="G87">
        <v>0.27</v>
      </c>
      <c r="H87">
        <v>9.73</v>
      </c>
      <c r="I87">
        <v>0</v>
      </c>
      <c r="J87">
        <v>0</v>
      </c>
      <c r="K87">
        <v>10</v>
      </c>
      <c r="L87" t="s">
        <v>61</v>
      </c>
      <c r="M87">
        <v>450</v>
      </c>
      <c r="N87">
        <v>45</v>
      </c>
      <c r="O87" t="s">
        <v>62</v>
      </c>
      <c r="P87" t="s">
        <v>64</v>
      </c>
      <c r="Q87">
        <v>2477</v>
      </c>
      <c r="R87">
        <v>254.45</v>
      </c>
    </row>
    <row r="88" spans="1:18" x14ac:dyDescent="0.35">
      <c r="A88" t="s">
        <v>56</v>
      </c>
      <c r="B88" t="s">
        <v>57</v>
      </c>
      <c r="C88" t="s">
        <v>58</v>
      </c>
      <c r="D88">
        <v>106677842</v>
      </c>
      <c r="E88" t="s">
        <v>564</v>
      </c>
      <c r="F88" t="s">
        <v>60</v>
      </c>
      <c r="G88">
        <v>0.27</v>
      </c>
      <c r="H88">
        <v>9.73</v>
      </c>
      <c r="I88">
        <v>0</v>
      </c>
      <c r="J88">
        <v>0</v>
      </c>
      <c r="K88">
        <v>10</v>
      </c>
      <c r="L88" t="s">
        <v>61</v>
      </c>
      <c r="M88">
        <v>450</v>
      </c>
      <c r="N88">
        <v>45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58</v>
      </c>
      <c r="D89">
        <v>106677842</v>
      </c>
      <c r="E89" t="s">
        <v>564</v>
      </c>
      <c r="F89" t="s">
        <v>60</v>
      </c>
      <c r="G89">
        <v>0.27</v>
      </c>
      <c r="H89">
        <v>9.73</v>
      </c>
      <c r="I89">
        <v>0</v>
      </c>
      <c r="J89">
        <v>0</v>
      </c>
      <c r="K89">
        <v>10</v>
      </c>
      <c r="L89" t="s">
        <v>61</v>
      </c>
      <c r="M89">
        <v>450</v>
      </c>
      <c r="N89">
        <v>45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58</v>
      </c>
      <c r="D90">
        <v>106677842</v>
      </c>
      <c r="E90" t="s">
        <v>564</v>
      </c>
      <c r="F90" t="s">
        <v>60</v>
      </c>
      <c r="G90">
        <v>0.27</v>
      </c>
      <c r="H90">
        <v>9.73</v>
      </c>
      <c r="I90">
        <v>0</v>
      </c>
      <c r="J90">
        <v>0</v>
      </c>
      <c r="K90">
        <v>10</v>
      </c>
      <c r="L90" t="s">
        <v>61</v>
      </c>
      <c r="M90">
        <v>450</v>
      </c>
      <c r="N90">
        <v>45</v>
      </c>
      <c r="O90" t="s">
        <v>62</v>
      </c>
      <c r="P90" t="s">
        <v>67</v>
      </c>
      <c r="Q90">
        <v>2839</v>
      </c>
      <c r="R90">
        <v>283.89999999999998</v>
      </c>
    </row>
    <row r="91" spans="1:18" x14ac:dyDescent="0.35">
      <c r="A91" t="s">
        <v>56</v>
      </c>
      <c r="B91" t="s">
        <v>57</v>
      </c>
      <c r="C91" t="s">
        <v>58</v>
      </c>
      <c r="D91">
        <v>106677842</v>
      </c>
      <c r="E91" t="s">
        <v>564</v>
      </c>
      <c r="F91" t="s">
        <v>60</v>
      </c>
      <c r="G91">
        <v>0.27</v>
      </c>
      <c r="H91">
        <v>9.73</v>
      </c>
      <c r="I91">
        <v>0</v>
      </c>
      <c r="J91">
        <v>0</v>
      </c>
      <c r="K91">
        <v>10</v>
      </c>
      <c r="L91" t="s">
        <v>61</v>
      </c>
      <c r="M91">
        <v>450</v>
      </c>
      <c r="N91">
        <v>45</v>
      </c>
      <c r="O91" t="s">
        <v>68</v>
      </c>
      <c r="P91" t="s">
        <v>67</v>
      </c>
      <c r="Q91">
        <v>450</v>
      </c>
      <c r="R91">
        <v>45</v>
      </c>
    </row>
    <row r="92" spans="1:18" x14ac:dyDescent="0.35">
      <c r="A92" t="s">
        <v>56</v>
      </c>
      <c r="B92" t="s">
        <v>57</v>
      </c>
      <c r="C92" t="s">
        <v>58</v>
      </c>
      <c r="D92">
        <v>106677842</v>
      </c>
      <c r="E92" t="s">
        <v>564</v>
      </c>
      <c r="F92" t="s">
        <v>60</v>
      </c>
      <c r="G92">
        <v>0.27</v>
      </c>
      <c r="H92">
        <v>9.73</v>
      </c>
      <c r="I92">
        <v>0</v>
      </c>
      <c r="J92">
        <v>0</v>
      </c>
      <c r="K92">
        <v>10</v>
      </c>
      <c r="L92" t="s">
        <v>61</v>
      </c>
      <c r="M92">
        <v>450</v>
      </c>
      <c r="N92">
        <v>45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107212683</v>
      </c>
      <c r="E93" t="s">
        <v>673</v>
      </c>
      <c r="F93" t="s">
        <v>60</v>
      </c>
      <c r="G93">
        <v>0.26</v>
      </c>
      <c r="H93">
        <v>7.96</v>
      </c>
      <c r="I93">
        <v>0</v>
      </c>
      <c r="J93">
        <v>0</v>
      </c>
      <c r="K93">
        <v>8.2200000000000006</v>
      </c>
      <c r="L93" t="s">
        <v>61</v>
      </c>
      <c r="M93">
        <v>288</v>
      </c>
      <c r="N93">
        <v>35.020000000000003</v>
      </c>
      <c r="O93" t="s">
        <v>62</v>
      </c>
      <c r="P93" t="s">
        <v>63</v>
      </c>
      <c r="Q93">
        <v>449</v>
      </c>
      <c r="R93">
        <v>1723.24</v>
      </c>
    </row>
    <row r="94" spans="1:18" x14ac:dyDescent="0.35">
      <c r="A94" t="s">
        <v>56</v>
      </c>
      <c r="B94" t="s">
        <v>57</v>
      </c>
      <c r="C94" t="s">
        <v>70</v>
      </c>
      <c r="D94">
        <v>107212683</v>
      </c>
      <c r="E94" t="s">
        <v>673</v>
      </c>
      <c r="F94" t="s">
        <v>60</v>
      </c>
      <c r="G94">
        <v>0.26</v>
      </c>
      <c r="H94">
        <v>7.96</v>
      </c>
      <c r="I94">
        <v>0</v>
      </c>
      <c r="J94">
        <v>0</v>
      </c>
      <c r="K94">
        <v>8.2200000000000006</v>
      </c>
      <c r="L94" t="s">
        <v>61</v>
      </c>
      <c r="M94">
        <v>288</v>
      </c>
      <c r="N94">
        <v>35.020000000000003</v>
      </c>
      <c r="O94" t="s">
        <v>62</v>
      </c>
      <c r="P94" t="s">
        <v>64</v>
      </c>
      <c r="Q94">
        <v>2556</v>
      </c>
      <c r="R94">
        <v>320.95</v>
      </c>
    </row>
    <row r="95" spans="1:18" x14ac:dyDescent="0.35">
      <c r="A95" t="s">
        <v>56</v>
      </c>
      <c r="B95" t="s">
        <v>57</v>
      </c>
      <c r="C95" t="s">
        <v>70</v>
      </c>
      <c r="D95">
        <v>107212683</v>
      </c>
      <c r="E95" t="s">
        <v>673</v>
      </c>
      <c r="F95" t="s">
        <v>60</v>
      </c>
      <c r="G95">
        <v>0.26</v>
      </c>
      <c r="H95">
        <v>7.96</v>
      </c>
      <c r="I95">
        <v>0</v>
      </c>
      <c r="J95">
        <v>0</v>
      </c>
      <c r="K95">
        <v>8.2200000000000006</v>
      </c>
      <c r="L95" t="s">
        <v>61</v>
      </c>
      <c r="M95">
        <v>288</v>
      </c>
      <c r="N95">
        <v>35.020000000000003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107212683</v>
      </c>
      <c r="E96" t="s">
        <v>673</v>
      </c>
      <c r="F96" t="s">
        <v>60</v>
      </c>
      <c r="G96">
        <v>0.26</v>
      </c>
      <c r="H96">
        <v>7.96</v>
      </c>
      <c r="I96">
        <v>0</v>
      </c>
      <c r="J96">
        <v>0</v>
      </c>
      <c r="K96">
        <v>8.2200000000000006</v>
      </c>
      <c r="L96" t="s">
        <v>61</v>
      </c>
      <c r="M96">
        <v>288</v>
      </c>
      <c r="N96">
        <v>35.020000000000003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107212683</v>
      </c>
      <c r="E97" t="s">
        <v>673</v>
      </c>
      <c r="F97" t="s">
        <v>60</v>
      </c>
      <c r="G97">
        <v>0.26</v>
      </c>
      <c r="H97">
        <v>7.96</v>
      </c>
      <c r="I97">
        <v>0</v>
      </c>
      <c r="J97">
        <v>0</v>
      </c>
      <c r="K97">
        <v>8.2200000000000006</v>
      </c>
      <c r="L97" t="s">
        <v>61</v>
      </c>
      <c r="M97">
        <v>288</v>
      </c>
      <c r="N97">
        <v>35.020000000000003</v>
      </c>
      <c r="O97" t="s">
        <v>62</v>
      </c>
      <c r="P97" t="s">
        <v>67</v>
      </c>
      <c r="Q97">
        <v>3005</v>
      </c>
      <c r="R97">
        <v>365.36</v>
      </c>
    </row>
    <row r="98" spans="1:18" x14ac:dyDescent="0.35">
      <c r="A98" t="s">
        <v>56</v>
      </c>
      <c r="B98" t="s">
        <v>57</v>
      </c>
      <c r="C98" t="s">
        <v>70</v>
      </c>
      <c r="D98">
        <v>107212683</v>
      </c>
      <c r="E98" t="s">
        <v>673</v>
      </c>
      <c r="F98" t="s">
        <v>60</v>
      </c>
      <c r="G98">
        <v>0.26</v>
      </c>
      <c r="H98">
        <v>7.96</v>
      </c>
      <c r="I98">
        <v>0</v>
      </c>
      <c r="J98">
        <v>0</v>
      </c>
      <c r="K98">
        <v>8.2200000000000006</v>
      </c>
      <c r="L98" t="s">
        <v>61</v>
      </c>
      <c r="M98">
        <v>288</v>
      </c>
      <c r="N98">
        <v>35.020000000000003</v>
      </c>
      <c r="O98" t="s">
        <v>68</v>
      </c>
      <c r="P98" t="s">
        <v>67</v>
      </c>
      <c r="Q98">
        <v>288</v>
      </c>
      <c r="R98">
        <v>35.020000000000003</v>
      </c>
    </row>
    <row r="99" spans="1:18" x14ac:dyDescent="0.35">
      <c r="A99" t="s">
        <v>56</v>
      </c>
      <c r="B99" t="s">
        <v>57</v>
      </c>
      <c r="C99" t="s">
        <v>70</v>
      </c>
      <c r="D99">
        <v>107212683</v>
      </c>
      <c r="E99" t="s">
        <v>673</v>
      </c>
      <c r="F99" t="s">
        <v>60</v>
      </c>
      <c r="G99">
        <v>0.26</v>
      </c>
      <c r="H99">
        <v>7.96</v>
      </c>
      <c r="I99">
        <v>0</v>
      </c>
      <c r="J99">
        <v>0</v>
      </c>
      <c r="K99">
        <v>8.2200000000000006</v>
      </c>
      <c r="L99" t="s">
        <v>61</v>
      </c>
      <c r="M99">
        <v>288</v>
      </c>
      <c r="N99">
        <v>35.020000000000003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70</v>
      </c>
      <c r="D100">
        <v>107221210</v>
      </c>
      <c r="E100" t="s">
        <v>84</v>
      </c>
      <c r="F100" t="s">
        <v>60</v>
      </c>
      <c r="G100">
        <v>0.33</v>
      </c>
      <c r="H100">
        <v>8.35</v>
      </c>
      <c r="I100">
        <v>0</v>
      </c>
      <c r="J100">
        <v>0</v>
      </c>
      <c r="K100">
        <v>8.69</v>
      </c>
      <c r="L100" t="s">
        <v>61</v>
      </c>
      <c r="M100">
        <v>331</v>
      </c>
      <c r="N100">
        <v>38.08</v>
      </c>
      <c r="O100" t="s">
        <v>62</v>
      </c>
      <c r="P100" t="s">
        <v>63</v>
      </c>
      <c r="Q100">
        <v>502</v>
      </c>
      <c r="R100">
        <v>1502.24</v>
      </c>
    </row>
    <row r="101" spans="1:18" x14ac:dyDescent="0.35">
      <c r="A101" t="s">
        <v>56</v>
      </c>
      <c r="B101" t="s">
        <v>57</v>
      </c>
      <c r="C101" t="s">
        <v>70</v>
      </c>
      <c r="D101">
        <v>107221210</v>
      </c>
      <c r="E101" t="s">
        <v>84</v>
      </c>
      <c r="F101" t="s">
        <v>60</v>
      </c>
      <c r="G101">
        <v>0.33</v>
      </c>
      <c r="H101">
        <v>8.35</v>
      </c>
      <c r="I101">
        <v>0</v>
      </c>
      <c r="J101">
        <v>0</v>
      </c>
      <c r="K101">
        <v>8.69</v>
      </c>
      <c r="L101" t="s">
        <v>61</v>
      </c>
      <c r="M101">
        <v>331</v>
      </c>
      <c r="N101">
        <v>38.08</v>
      </c>
      <c r="O101" t="s">
        <v>62</v>
      </c>
      <c r="P101" t="s">
        <v>64</v>
      </c>
      <c r="Q101">
        <v>2336</v>
      </c>
      <c r="R101">
        <v>279.66000000000003</v>
      </c>
    </row>
    <row r="102" spans="1:18" x14ac:dyDescent="0.35">
      <c r="A102" t="s">
        <v>56</v>
      </c>
      <c r="B102" t="s">
        <v>57</v>
      </c>
      <c r="C102" t="s">
        <v>70</v>
      </c>
      <c r="D102">
        <v>107221210</v>
      </c>
      <c r="E102" t="s">
        <v>84</v>
      </c>
      <c r="F102" t="s">
        <v>60</v>
      </c>
      <c r="G102">
        <v>0.33</v>
      </c>
      <c r="H102">
        <v>8.35</v>
      </c>
      <c r="I102">
        <v>0</v>
      </c>
      <c r="J102">
        <v>0</v>
      </c>
      <c r="K102">
        <v>8.69</v>
      </c>
      <c r="L102" t="s">
        <v>61</v>
      </c>
      <c r="M102">
        <v>331</v>
      </c>
      <c r="N102">
        <v>38.08</v>
      </c>
      <c r="O102" t="s">
        <v>62</v>
      </c>
      <c r="P102" t="s">
        <v>65</v>
      </c>
      <c r="Q102">
        <v>1</v>
      </c>
      <c r="R102">
        <v>211.76</v>
      </c>
    </row>
    <row r="103" spans="1:18" x14ac:dyDescent="0.35">
      <c r="A103" t="s">
        <v>56</v>
      </c>
      <c r="B103" t="s">
        <v>57</v>
      </c>
      <c r="C103" t="s">
        <v>70</v>
      </c>
      <c r="D103">
        <v>107221210</v>
      </c>
      <c r="E103" t="s">
        <v>84</v>
      </c>
      <c r="F103" t="s">
        <v>60</v>
      </c>
      <c r="G103">
        <v>0.33</v>
      </c>
      <c r="H103">
        <v>8.35</v>
      </c>
      <c r="I103">
        <v>0</v>
      </c>
      <c r="J103">
        <v>0</v>
      </c>
      <c r="K103">
        <v>8.69</v>
      </c>
      <c r="L103" t="s">
        <v>61</v>
      </c>
      <c r="M103">
        <v>331</v>
      </c>
      <c r="N103">
        <v>38.08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107221210</v>
      </c>
      <c r="E104" t="s">
        <v>84</v>
      </c>
      <c r="F104" t="s">
        <v>60</v>
      </c>
      <c r="G104">
        <v>0.33</v>
      </c>
      <c r="H104">
        <v>8.35</v>
      </c>
      <c r="I104">
        <v>0</v>
      </c>
      <c r="J104">
        <v>0</v>
      </c>
      <c r="K104">
        <v>8.69</v>
      </c>
      <c r="L104" t="s">
        <v>61</v>
      </c>
      <c r="M104">
        <v>331</v>
      </c>
      <c r="N104">
        <v>38.08</v>
      </c>
      <c r="O104" t="s">
        <v>62</v>
      </c>
      <c r="P104" t="s">
        <v>67</v>
      </c>
      <c r="Q104">
        <v>2839</v>
      </c>
      <c r="R104">
        <v>326.61</v>
      </c>
    </row>
    <row r="105" spans="1:18" x14ac:dyDescent="0.35">
      <c r="A105" t="s">
        <v>56</v>
      </c>
      <c r="B105" t="s">
        <v>57</v>
      </c>
      <c r="C105" t="s">
        <v>70</v>
      </c>
      <c r="D105">
        <v>107221210</v>
      </c>
      <c r="E105" t="s">
        <v>84</v>
      </c>
      <c r="F105" t="s">
        <v>60</v>
      </c>
      <c r="G105">
        <v>0.33</v>
      </c>
      <c r="H105">
        <v>8.35</v>
      </c>
      <c r="I105">
        <v>0</v>
      </c>
      <c r="J105">
        <v>0</v>
      </c>
      <c r="K105">
        <v>8.69</v>
      </c>
      <c r="L105" t="s">
        <v>61</v>
      </c>
      <c r="M105">
        <v>331</v>
      </c>
      <c r="N105">
        <v>38.08</v>
      </c>
      <c r="O105" t="s">
        <v>68</v>
      </c>
      <c r="P105" t="s">
        <v>67</v>
      </c>
      <c r="Q105">
        <v>331</v>
      </c>
      <c r="R105">
        <v>38.08</v>
      </c>
    </row>
    <row r="106" spans="1:18" x14ac:dyDescent="0.35">
      <c r="A106" t="s">
        <v>56</v>
      </c>
      <c r="B106" t="s">
        <v>57</v>
      </c>
      <c r="C106" t="s">
        <v>70</v>
      </c>
      <c r="D106">
        <v>107221210</v>
      </c>
      <c r="E106" t="s">
        <v>84</v>
      </c>
      <c r="F106" t="s">
        <v>60</v>
      </c>
      <c r="G106">
        <v>0.33</v>
      </c>
      <c r="H106">
        <v>8.35</v>
      </c>
      <c r="I106">
        <v>0</v>
      </c>
      <c r="J106">
        <v>0</v>
      </c>
      <c r="K106">
        <v>8.69</v>
      </c>
      <c r="L106" t="s">
        <v>61</v>
      </c>
      <c r="M106">
        <v>331</v>
      </c>
      <c r="N106">
        <v>38.08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107221213</v>
      </c>
      <c r="E107" t="s">
        <v>85</v>
      </c>
      <c r="F107" t="s">
        <v>60</v>
      </c>
      <c r="G107">
        <v>0.52</v>
      </c>
      <c r="H107">
        <v>9.3800000000000008</v>
      </c>
      <c r="I107">
        <v>0</v>
      </c>
      <c r="J107">
        <v>0</v>
      </c>
      <c r="K107">
        <v>9.9</v>
      </c>
      <c r="L107" t="s">
        <v>61</v>
      </c>
      <c r="M107">
        <v>348</v>
      </c>
      <c r="N107">
        <v>35.15</v>
      </c>
      <c r="O107" t="s">
        <v>62</v>
      </c>
      <c r="P107" t="s">
        <v>63</v>
      </c>
      <c r="Q107">
        <v>1013</v>
      </c>
      <c r="R107">
        <v>1942.89</v>
      </c>
    </row>
    <row r="108" spans="1:18" x14ac:dyDescent="0.35">
      <c r="A108" t="s">
        <v>56</v>
      </c>
      <c r="B108" t="s">
        <v>57</v>
      </c>
      <c r="C108" t="s">
        <v>70</v>
      </c>
      <c r="D108">
        <v>107221213</v>
      </c>
      <c r="E108" t="s">
        <v>85</v>
      </c>
      <c r="F108" t="s">
        <v>60</v>
      </c>
      <c r="G108">
        <v>0.52</v>
      </c>
      <c r="H108">
        <v>9.3800000000000008</v>
      </c>
      <c r="I108">
        <v>0</v>
      </c>
      <c r="J108">
        <v>0</v>
      </c>
      <c r="K108">
        <v>9.9</v>
      </c>
      <c r="L108" t="s">
        <v>61</v>
      </c>
      <c r="M108">
        <v>348</v>
      </c>
      <c r="N108">
        <v>35.15</v>
      </c>
      <c r="O108" t="s">
        <v>62</v>
      </c>
      <c r="P108" t="s">
        <v>64</v>
      </c>
      <c r="Q108">
        <v>3394</v>
      </c>
      <c r="R108">
        <v>361.9</v>
      </c>
    </row>
    <row r="109" spans="1:18" x14ac:dyDescent="0.35">
      <c r="A109" t="s">
        <v>56</v>
      </c>
      <c r="B109" t="s">
        <v>57</v>
      </c>
      <c r="C109" t="s">
        <v>70</v>
      </c>
      <c r="D109">
        <v>107221213</v>
      </c>
      <c r="E109" t="s">
        <v>85</v>
      </c>
      <c r="F109" t="s">
        <v>60</v>
      </c>
      <c r="G109">
        <v>0.52</v>
      </c>
      <c r="H109">
        <v>9.3800000000000008</v>
      </c>
      <c r="I109">
        <v>0</v>
      </c>
      <c r="J109">
        <v>0</v>
      </c>
      <c r="K109">
        <v>9.9</v>
      </c>
      <c r="L109" t="s">
        <v>61</v>
      </c>
      <c r="M109">
        <v>348</v>
      </c>
      <c r="N109">
        <v>35.15</v>
      </c>
      <c r="O109" t="s">
        <v>62</v>
      </c>
      <c r="P109" t="s">
        <v>65</v>
      </c>
      <c r="Q109">
        <v>0</v>
      </c>
      <c r="R109">
        <v>0</v>
      </c>
    </row>
    <row r="110" spans="1:18" x14ac:dyDescent="0.35">
      <c r="A110" t="s">
        <v>56</v>
      </c>
      <c r="B110" t="s">
        <v>57</v>
      </c>
      <c r="C110" t="s">
        <v>70</v>
      </c>
      <c r="D110">
        <v>107221213</v>
      </c>
      <c r="E110" t="s">
        <v>85</v>
      </c>
      <c r="F110" t="s">
        <v>60</v>
      </c>
      <c r="G110">
        <v>0.52</v>
      </c>
      <c r="H110">
        <v>9.3800000000000008</v>
      </c>
      <c r="I110">
        <v>0</v>
      </c>
      <c r="J110">
        <v>0</v>
      </c>
      <c r="K110">
        <v>9.9</v>
      </c>
      <c r="L110" t="s">
        <v>61</v>
      </c>
      <c r="M110">
        <v>348</v>
      </c>
      <c r="N110">
        <v>35.15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107221213</v>
      </c>
      <c r="E111" t="s">
        <v>85</v>
      </c>
      <c r="F111" t="s">
        <v>60</v>
      </c>
      <c r="G111">
        <v>0.52</v>
      </c>
      <c r="H111">
        <v>9.3800000000000008</v>
      </c>
      <c r="I111">
        <v>0</v>
      </c>
      <c r="J111">
        <v>0</v>
      </c>
      <c r="K111">
        <v>9.9</v>
      </c>
      <c r="L111" t="s">
        <v>61</v>
      </c>
      <c r="M111">
        <v>348</v>
      </c>
      <c r="N111">
        <v>35.15</v>
      </c>
      <c r="O111" t="s">
        <v>62</v>
      </c>
      <c r="P111" t="s">
        <v>67</v>
      </c>
      <c r="Q111">
        <v>4407</v>
      </c>
      <c r="R111">
        <v>445.15</v>
      </c>
    </row>
    <row r="112" spans="1:18" x14ac:dyDescent="0.35">
      <c r="A112" t="s">
        <v>56</v>
      </c>
      <c r="B112" t="s">
        <v>57</v>
      </c>
      <c r="C112" t="s">
        <v>70</v>
      </c>
      <c r="D112">
        <v>107221213</v>
      </c>
      <c r="E112" t="s">
        <v>85</v>
      </c>
      <c r="F112" t="s">
        <v>60</v>
      </c>
      <c r="G112">
        <v>0.52</v>
      </c>
      <c r="H112">
        <v>9.3800000000000008</v>
      </c>
      <c r="I112">
        <v>0</v>
      </c>
      <c r="J112">
        <v>0</v>
      </c>
      <c r="K112">
        <v>9.9</v>
      </c>
      <c r="L112" t="s">
        <v>61</v>
      </c>
      <c r="M112">
        <v>348</v>
      </c>
      <c r="N112">
        <v>35.15</v>
      </c>
      <c r="O112" t="s">
        <v>68</v>
      </c>
      <c r="P112" t="s">
        <v>67</v>
      </c>
      <c r="Q112">
        <v>349</v>
      </c>
      <c r="R112">
        <v>35.25</v>
      </c>
    </row>
    <row r="113" spans="1:18" x14ac:dyDescent="0.35">
      <c r="A113" t="s">
        <v>56</v>
      </c>
      <c r="B113" t="s">
        <v>57</v>
      </c>
      <c r="C113" t="s">
        <v>70</v>
      </c>
      <c r="D113">
        <v>107221213</v>
      </c>
      <c r="E113" t="s">
        <v>85</v>
      </c>
      <c r="F113" t="s">
        <v>60</v>
      </c>
      <c r="G113">
        <v>0.52</v>
      </c>
      <c r="H113">
        <v>9.3800000000000008</v>
      </c>
      <c r="I113">
        <v>0</v>
      </c>
      <c r="J113">
        <v>0</v>
      </c>
      <c r="K113">
        <v>9.9</v>
      </c>
      <c r="L113" t="s">
        <v>61</v>
      </c>
      <c r="M113">
        <v>348</v>
      </c>
      <c r="N113">
        <v>35.15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58</v>
      </c>
      <c r="D114">
        <v>107221225</v>
      </c>
      <c r="E114" t="s">
        <v>87</v>
      </c>
      <c r="F114" t="s">
        <v>60</v>
      </c>
      <c r="G114">
        <v>0.28999999999999998</v>
      </c>
      <c r="H114">
        <v>9.81</v>
      </c>
      <c r="I114">
        <v>0</v>
      </c>
      <c r="J114">
        <v>0</v>
      </c>
      <c r="K114">
        <v>10.1</v>
      </c>
      <c r="L114" t="s">
        <v>61</v>
      </c>
      <c r="M114">
        <v>306</v>
      </c>
      <c r="N114">
        <v>30.3</v>
      </c>
      <c r="O114" t="s">
        <v>62</v>
      </c>
      <c r="P114" t="s">
        <v>63</v>
      </c>
      <c r="Q114">
        <v>322</v>
      </c>
      <c r="R114">
        <v>1114.6199999999999</v>
      </c>
    </row>
    <row r="115" spans="1:18" x14ac:dyDescent="0.35">
      <c r="A115" t="s">
        <v>56</v>
      </c>
      <c r="B115" t="s">
        <v>57</v>
      </c>
      <c r="C115" t="s">
        <v>58</v>
      </c>
      <c r="D115">
        <v>107221225</v>
      </c>
      <c r="E115" t="s">
        <v>87</v>
      </c>
      <c r="F115" t="s">
        <v>60</v>
      </c>
      <c r="G115">
        <v>0.28999999999999998</v>
      </c>
      <c r="H115">
        <v>9.81</v>
      </c>
      <c r="I115">
        <v>0</v>
      </c>
      <c r="J115">
        <v>0</v>
      </c>
      <c r="K115">
        <v>10.1</v>
      </c>
      <c r="L115" t="s">
        <v>61</v>
      </c>
      <c r="M115">
        <v>306</v>
      </c>
      <c r="N115">
        <v>30.3</v>
      </c>
      <c r="O115" t="s">
        <v>62</v>
      </c>
      <c r="P115" t="s">
        <v>64</v>
      </c>
      <c r="Q115">
        <v>2036</v>
      </c>
      <c r="R115">
        <v>207.53</v>
      </c>
    </row>
    <row r="116" spans="1:18" x14ac:dyDescent="0.35">
      <c r="A116" t="s">
        <v>56</v>
      </c>
      <c r="B116" t="s">
        <v>57</v>
      </c>
      <c r="C116" t="s">
        <v>58</v>
      </c>
      <c r="D116">
        <v>107221225</v>
      </c>
      <c r="E116" t="s">
        <v>87</v>
      </c>
      <c r="F116" t="s">
        <v>60</v>
      </c>
      <c r="G116">
        <v>0.28999999999999998</v>
      </c>
      <c r="H116">
        <v>9.81</v>
      </c>
      <c r="I116">
        <v>0</v>
      </c>
      <c r="J116">
        <v>0</v>
      </c>
      <c r="K116">
        <v>10.1</v>
      </c>
      <c r="L116" t="s">
        <v>61</v>
      </c>
      <c r="M116">
        <v>306</v>
      </c>
      <c r="N116">
        <v>30.3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58</v>
      </c>
      <c r="D117">
        <v>107221225</v>
      </c>
      <c r="E117" t="s">
        <v>87</v>
      </c>
      <c r="F117" t="s">
        <v>60</v>
      </c>
      <c r="G117">
        <v>0.28999999999999998</v>
      </c>
      <c r="H117">
        <v>9.81</v>
      </c>
      <c r="I117">
        <v>0</v>
      </c>
      <c r="J117">
        <v>0</v>
      </c>
      <c r="K117">
        <v>10.1</v>
      </c>
      <c r="L117" t="s">
        <v>61</v>
      </c>
      <c r="M117">
        <v>306</v>
      </c>
      <c r="N117">
        <v>30.3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58</v>
      </c>
      <c r="D118">
        <v>107221225</v>
      </c>
      <c r="E118" t="s">
        <v>87</v>
      </c>
      <c r="F118" t="s">
        <v>60</v>
      </c>
      <c r="G118">
        <v>0.28999999999999998</v>
      </c>
      <c r="H118">
        <v>9.81</v>
      </c>
      <c r="I118">
        <v>0</v>
      </c>
      <c r="J118">
        <v>0</v>
      </c>
      <c r="K118">
        <v>10.1</v>
      </c>
      <c r="L118" t="s">
        <v>61</v>
      </c>
      <c r="M118">
        <v>306</v>
      </c>
      <c r="N118">
        <v>30.3</v>
      </c>
      <c r="O118" t="s">
        <v>62</v>
      </c>
      <c r="P118" t="s">
        <v>67</v>
      </c>
      <c r="Q118">
        <v>2358</v>
      </c>
      <c r="R118">
        <v>233.47</v>
      </c>
    </row>
    <row r="119" spans="1:18" x14ac:dyDescent="0.35">
      <c r="A119" t="s">
        <v>56</v>
      </c>
      <c r="B119" t="s">
        <v>57</v>
      </c>
      <c r="C119" t="s">
        <v>58</v>
      </c>
      <c r="D119">
        <v>107221225</v>
      </c>
      <c r="E119" t="s">
        <v>87</v>
      </c>
      <c r="F119" t="s">
        <v>60</v>
      </c>
      <c r="G119">
        <v>0.28999999999999998</v>
      </c>
      <c r="H119">
        <v>9.81</v>
      </c>
      <c r="I119">
        <v>0</v>
      </c>
      <c r="J119">
        <v>0</v>
      </c>
      <c r="K119">
        <v>10.1</v>
      </c>
      <c r="L119" t="s">
        <v>61</v>
      </c>
      <c r="M119">
        <v>306</v>
      </c>
      <c r="N119">
        <v>30.3</v>
      </c>
      <c r="O119" t="s">
        <v>68</v>
      </c>
      <c r="P119" t="s">
        <v>67</v>
      </c>
      <c r="Q119">
        <v>307</v>
      </c>
      <c r="R119">
        <v>30.4</v>
      </c>
    </row>
    <row r="120" spans="1:18" x14ac:dyDescent="0.35">
      <c r="A120" t="s">
        <v>56</v>
      </c>
      <c r="B120" t="s">
        <v>57</v>
      </c>
      <c r="C120" t="s">
        <v>58</v>
      </c>
      <c r="D120">
        <v>107221225</v>
      </c>
      <c r="E120" t="s">
        <v>87</v>
      </c>
      <c r="F120" t="s">
        <v>60</v>
      </c>
      <c r="G120">
        <v>0.28999999999999998</v>
      </c>
      <c r="H120">
        <v>9.81</v>
      </c>
      <c r="I120">
        <v>0</v>
      </c>
      <c r="J120">
        <v>0</v>
      </c>
      <c r="K120">
        <v>10.1</v>
      </c>
      <c r="L120" t="s">
        <v>61</v>
      </c>
      <c r="M120">
        <v>306</v>
      </c>
      <c r="N120">
        <v>30.3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107221231</v>
      </c>
      <c r="E121" t="s">
        <v>88</v>
      </c>
      <c r="F121" t="s">
        <v>60</v>
      </c>
      <c r="G121">
        <v>0.24</v>
      </c>
      <c r="H121">
        <v>9.76</v>
      </c>
      <c r="I121">
        <v>0</v>
      </c>
      <c r="J121">
        <v>0</v>
      </c>
      <c r="K121">
        <v>10</v>
      </c>
      <c r="L121" t="s">
        <v>61</v>
      </c>
      <c r="M121">
        <v>329</v>
      </c>
      <c r="N121">
        <v>32.9</v>
      </c>
      <c r="O121" t="s">
        <v>62</v>
      </c>
      <c r="P121" t="s">
        <v>63</v>
      </c>
      <c r="Q121">
        <v>381</v>
      </c>
      <c r="R121">
        <v>1602.34</v>
      </c>
    </row>
    <row r="122" spans="1:18" x14ac:dyDescent="0.35">
      <c r="A122" t="s">
        <v>56</v>
      </c>
      <c r="B122" t="s">
        <v>57</v>
      </c>
      <c r="C122" t="s">
        <v>70</v>
      </c>
      <c r="D122">
        <v>107221231</v>
      </c>
      <c r="E122" t="s">
        <v>88</v>
      </c>
      <c r="F122" t="s">
        <v>60</v>
      </c>
      <c r="G122">
        <v>0.24</v>
      </c>
      <c r="H122">
        <v>9.76</v>
      </c>
      <c r="I122">
        <v>0</v>
      </c>
      <c r="J122">
        <v>0</v>
      </c>
      <c r="K122">
        <v>10</v>
      </c>
      <c r="L122" t="s">
        <v>61</v>
      </c>
      <c r="M122">
        <v>329</v>
      </c>
      <c r="N122">
        <v>32.9</v>
      </c>
      <c r="O122" t="s">
        <v>62</v>
      </c>
      <c r="P122" t="s">
        <v>64</v>
      </c>
      <c r="Q122">
        <v>2911</v>
      </c>
      <c r="R122">
        <v>298.33</v>
      </c>
    </row>
    <row r="123" spans="1:18" x14ac:dyDescent="0.35">
      <c r="A123" t="s">
        <v>56</v>
      </c>
      <c r="B123" t="s">
        <v>57</v>
      </c>
      <c r="C123" t="s">
        <v>70</v>
      </c>
      <c r="D123">
        <v>107221231</v>
      </c>
      <c r="E123" t="s">
        <v>88</v>
      </c>
      <c r="F123" t="s">
        <v>60</v>
      </c>
      <c r="G123">
        <v>0.24</v>
      </c>
      <c r="H123">
        <v>9.76</v>
      </c>
      <c r="I123">
        <v>0</v>
      </c>
      <c r="J123">
        <v>0</v>
      </c>
      <c r="K123">
        <v>10</v>
      </c>
      <c r="L123" t="s">
        <v>61</v>
      </c>
      <c r="M123">
        <v>329</v>
      </c>
      <c r="N123">
        <v>32.9</v>
      </c>
      <c r="O123" t="s">
        <v>62</v>
      </c>
      <c r="P123" t="s">
        <v>65</v>
      </c>
      <c r="Q123">
        <v>1</v>
      </c>
      <c r="R123">
        <v>240</v>
      </c>
    </row>
    <row r="124" spans="1:18" x14ac:dyDescent="0.35">
      <c r="A124" t="s">
        <v>56</v>
      </c>
      <c r="B124" t="s">
        <v>57</v>
      </c>
      <c r="C124" t="s">
        <v>70</v>
      </c>
      <c r="D124">
        <v>107221231</v>
      </c>
      <c r="E124" t="s">
        <v>88</v>
      </c>
      <c r="F124" t="s">
        <v>60</v>
      </c>
      <c r="G124">
        <v>0.24</v>
      </c>
      <c r="H124">
        <v>9.76</v>
      </c>
      <c r="I124">
        <v>0</v>
      </c>
      <c r="J124">
        <v>0</v>
      </c>
      <c r="K124">
        <v>10</v>
      </c>
      <c r="L124" t="s">
        <v>61</v>
      </c>
      <c r="M124">
        <v>329</v>
      </c>
      <c r="N124">
        <v>32.9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107221231</v>
      </c>
      <c r="E125" t="s">
        <v>88</v>
      </c>
      <c r="F125" t="s">
        <v>60</v>
      </c>
      <c r="G125">
        <v>0.24</v>
      </c>
      <c r="H125">
        <v>9.76</v>
      </c>
      <c r="I125">
        <v>0</v>
      </c>
      <c r="J125">
        <v>0</v>
      </c>
      <c r="K125">
        <v>10</v>
      </c>
      <c r="L125" t="s">
        <v>61</v>
      </c>
      <c r="M125">
        <v>329</v>
      </c>
      <c r="N125">
        <v>32.9</v>
      </c>
      <c r="O125" t="s">
        <v>62</v>
      </c>
      <c r="P125" t="s">
        <v>67</v>
      </c>
      <c r="Q125">
        <v>3293</v>
      </c>
      <c r="R125">
        <v>329.3</v>
      </c>
    </row>
    <row r="126" spans="1:18" x14ac:dyDescent="0.35">
      <c r="A126" t="s">
        <v>56</v>
      </c>
      <c r="B126" t="s">
        <v>57</v>
      </c>
      <c r="C126" t="s">
        <v>70</v>
      </c>
      <c r="D126">
        <v>107221231</v>
      </c>
      <c r="E126" t="s">
        <v>88</v>
      </c>
      <c r="F126" t="s">
        <v>60</v>
      </c>
      <c r="G126">
        <v>0.24</v>
      </c>
      <c r="H126">
        <v>9.76</v>
      </c>
      <c r="I126">
        <v>0</v>
      </c>
      <c r="J126">
        <v>0</v>
      </c>
      <c r="K126">
        <v>10</v>
      </c>
      <c r="L126" t="s">
        <v>61</v>
      </c>
      <c r="M126">
        <v>329</v>
      </c>
      <c r="N126">
        <v>32.9</v>
      </c>
      <c r="O126" t="s">
        <v>68</v>
      </c>
      <c r="P126" t="s">
        <v>67</v>
      </c>
      <c r="Q126">
        <v>329</v>
      </c>
      <c r="R126">
        <v>32.9</v>
      </c>
    </row>
    <row r="127" spans="1:18" x14ac:dyDescent="0.35">
      <c r="A127" t="s">
        <v>56</v>
      </c>
      <c r="B127" t="s">
        <v>57</v>
      </c>
      <c r="C127" t="s">
        <v>70</v>
      </c>
      <c r="D127">
        <v>107221231</v>
      </c>
      <c r="E127" t="s">
        <v>88</v>
      </c>
      <c r="F127" t="s">
        <v>60</v>
      </c>
      <c r="G127">
        <v>0.24</v>
      </c>
      <c r="H127">
        <v>9.76</v>
      </c>
      <c r="I127">
        <v>0</v>
      </c>
      <c r="J127">
        <v>0</v>
      </c>
      <c r="K127">
        <v>10</v>
      </c>
      <c r="L127" t="s">
        <v>61</v>
      </c>
      <c r="M127">
        <v>329</v>
      </c>
      <c r="N127">
        <v>32.9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70</v>
      </c>
      <c r="D128">
        <v>107229417</v>
      </c>
      <c r="E128" t="s">
        <v>565</v>
      </c>
      <c r="F128" t="s">
        <v>60</v>
      </c>
      <c r="G128">
        <v>0.61</v>
      </c>
      <c r="H128">
        <v>9.49</v>
      </c>
      <c r="I128">
        <v>0</v>
      </c>
      <c r="J128">
        <v>0</v>
      </c>
      <c r="K128">
        <v>10.1</v>
      </c>
      <c r="L128" t="s">
        <v>61</v>
      </c>
      <c r="M128">
        <v>469</v>
      </c>
      <c r="N128">
        <v>46.44</v>
      </c>
      <c r="O128" t="s">
        <v>62</v>
      </c>
      <c r="P128" t="s">
        <v>63</v>
      </c>
      <c r="Q128">
        <v>678</v>
      </c>
      <c r="R128">
        <v>1105.43</v>
      </c>
    </row>
    <row r="129" spans="1:18" x14ac:dyDescent="0.35">
      <c r="A129" t="s">
        <v>56</v>
      </c>
      <c r="B129" t="s">
        <v>57</v>
      </c>
      <c r="C129" t="s">
        <v>70</v>
      </c>
      <c r="D129">
        <v>107229417</v>
      </c>
      <c r="E129" t="s">
        <v>565</v>
      </c>
      <c r="F129" t="s">
        <v>60</v>
      </c>
      <c r="G129">
        <v>0.61</v>
      </c>
      <c r="H129">
        <v>9.49</v>
      </c>
      <c r="I129">
        <v>0</v>
      </c>
      <c r="J129">
        <v>0</v>
      </c>
      <c r="K129">
        <v>10.1</v>
      </c>
      <c r="L129" t="s">
        <v>61</v>
      </c>
      <c r="M129">
        <v>469</v>
      </c>
      <c r="N129">
        <v>46.44</v>
      </c>
      <c r="O129" t="s">
        <v>62</v>
      </c>
      <c r="P129" t="s">
        <v>64</v>
      </c>
      <c r="Q129">
        <v>1953</v>
      </c>
      <c r="R129">
        <v>205.87</v>
      </c>
    </row>
    <row r="130" spans="1:18" x14ac:dyDescent="0.35">
      <c r="A130" t="s">
        <v>56</v>
      </c>
      <c r="B130" t="s">
        <v>57</v>
      </c>
      <c r="C130" t="s">
        <v>70</v>
      </c>
      <c r="D130">
        <v>107229417</v>
      </c>
      <c r="E130" t="s">
        <v>565</v>
      </c>
      <c r="F130" t="s">
        <v>60</v>
      </c>
      <c r="G130">
        <v>0.61</v>
      </c>
      <c r="H130">
        <v>9.49</v>
      </c>
      <c r="I130">
        <v>0</v>
      </c>
      <c r="J130">
        <v>0</v>
      </c>
      <c r="K130">
        <v>10.1</v>
      </c>
      <c r="L130" t="s">
        <v>61</v>
      </c>
      <c r="M130">
        <v>469</v>
      </c>
      <c r="N130">
        <v>46.44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107229417</v>
      </c>
      <c r="E131" t="s">
        <v>565</v>
      </c>
      <c r="F131" t="s">
        <v>60</v>
      </c>
      <c r="G131">
        <v>0.61</v>
      </c>
      <c r="H131">
        <v>9.49</v>
      </c>
      <c r="I131">
        <v>0</v>
      </c>
      <c r="J131">
        <v>0</v>
      </c>
      <c r="K131">
        <v>10.1</v>
      </c>
      <c r="L131" t="s">
        <v>61</v>
      </c>
      <c r="M131">
        <v>469</v>
      </c>
      <c r="N131">
        <v>46.44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107229417</v>
      </c>
      <c r="E132" t="s">
        <v>565</v>
      </c>
      <c r="F132" t="s">
        <v>60</v>
      </c>
      <c r="G132">
        <v>0.61</v>
      </c>
      <c r="H132">
        <v>9.49</v>
      </c>
      <c r="I132">
        <v>0</v>
      </c>
      <c r="J132">
        <v>0</v>
      </c>
      <c r="K132">
        <v>10.1</v>
      </c>
      <c r="L132" t="s">
        <v>61</v>
      </c>
      <c r="M132">
        <v>469</v>
      </c>
      <c r="N132">
        <v>46.44</v>
      </c>
      <c r="O132" t="s">
        <v>62</v>
      </c>
      <c r="P132" t="s">
        <v>67</v>
      </c>
      <c r="Q132">
        <v>2631</v>
      </c>
      <c r="R132">
        <v>260.5</v>
      </c>
    </row>
    <row r="133" spans="1:18" x14ac:dyDescent="0.35">
      <c r="A133" t="s">
        <v>56</v>
      </c>
      <c r="B133" t="s">
        <v>57</v>
      </c>
      <c r="C133" t="s">
        <v>70</v>
      </c>
      <c r="D133">
        <v>107229417</v>
      </c>
      <c r="E133" t="s">
        <v>565</v>
      </c>
      <c r="F133" t="s">
        <v>60</v>
      </c>
      <c r="G133">
        <v>0.61</v>
      </c>
      <c r="H133">
        <v>9.49</v>
      </c>
      <c r="I133">
        <v>0</v>
      </c>
      <c r="J133">
        <v>0</v>
      </c>
      <c r="K133">
        <v>10.1</v>
      </c>
      <c r="L133" t="s">
        <v>61</v>
      </c>
      <c r="M133">
        <v>469</v>
      </c>
      <c r="N133">
        <v>46.44</v>
      </c>
      <c r="O133" t="s">
        <v>68</v>
      </c>
      <c r="P133" t="s">
        <v>67</v>
      </c>
      <c r="Q133">
        <v>469</v>
      </c>
      <c r="R133">
        <v>46.44</v>
      </c>
    </row>
    <row r="134" spans="1:18" x14ac:dyDescent="0.35">
      <c r="A134" t="s">
        <v>56</v>
      </c>
      <c r="B134" t="s">
        <v>57</v>
      </c>
      <c r="C134" t="s">
        <v>70</v>
      </c>
      <c r="D134">
        <v>107229417</v>
      </c>
      <c r="E134" t="s">
        <v>565</v>
      </c>
      <c r="F134" t="s">
        <v>60</v>
      </c>
      <c r="G134">
        <v>0.61</v>
      </c>
      <c r="H134">
        <v>9.49</v>
      </c>
      <c r="I134">
        <v>0</v>
      </c>
      <c r="J134">
        <v>0</v>
      </c>
      <c r="K134">
        <v>10.1</v>
      </c>
      <c r="L134" t="s">
        <v>61</v>
      </c>
      <c r="M134">
        <v>469</v>
      </c>
      <c r="N134">
        <v>46.44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107432433</v>
      </c>
      <c r="E135" t="s">
        <v>90</v>
      </c>
      <c r="F135" t="s">
        <v>60</v>
      </c>
      <c r="G135">
        <v>0.47</v>
      </c>
      <c r="H135">
        <v>5.67</v>
      </c>
      <c r="I135">
        <v>0</v>
      </c>
      <c r="J135">
        <v>0</v>
      </c>
      <c r="K135">
        <v>6.14</v>
      </c>
      <c r="L135" t="s">
        <v>61</v>
      </c>
      <c r="M135">
        <v>109</v>
      </c>
      <c r="N135">
        <v>17.75</v>
      </c>
      <c r="O135" t="s">
        <v>62</v>
      </c>
      <c r="P135" t="s">
        <v>63</v>
      </c>
      <c r="Q135">
        <v>305</v>
      </c>
      <c r="R135">
        <v>648.94000000000005</v>
      </c>
    </row>
    <row r="136" spans="1:18" x14ac:dyDescent="0.35">
      <c r="A136" t="s">
        <v>56</v>
      </c>
      <c r="B136" t="s">
        <v>57</v>
      </c>
      <c r="C136" t="s">
        <v>70</v>
      </c>
      <c r="D136">
        <v>107432433</v>
      </c>
      <c r="E136" t="s">
        <v>90</v>
      </c>
      <c r="F136" t="s">
        <v>60</v>
      </c>
      <c r="G136">
        <v>0.47</v>
      </c>
      <c r="H136">
        <v>5.67</v>
      </c>
      <c r="I136">
        <v>0</v>
      </c>
      <c r="J136">
        <v>0</v>
      </c>
      <c r="K136">
        <v>6.14</v>
      </c>
      <c r="L136" t="s">
        <v>61</v>
      </c>
      <c r="M136">
        <v>109</v>
      </c>
      <c r="N136">
        <v>17.75</v>
      </c>
      <c r="O136" t="s">
        <v>62</v>
      </c>
      <c r="P136" t="s">
        <v>64</v>
      </c>
      <c r="Q136">
        <v>685</v>
      </c>
      <c r="R136">
        <v>120.83</v>
      </c>
    </row>
    <row r="137" spans="1:18" x14ac:dyDescent="0.35">
      <c r="A137" t="s">
        <v>56</v>
      </c>
      <c r="B137" t="s">
        <v>57</v>
      </c>
      <c r="C137" t="s">
        <v>70</v>
      </c>
      <c r="D137">
        <v>107432433</v>
      </c>
      <c r="E137" t="s">
        <v>90</v>
      </c>
      <c r="F137" t="s">
        <v>60</v>
      </c>
      <c r="G137">
        <v>0.47</v>
      </c>
      <c r="H137">
        <v>5.67</v>
      </c>
      <c r="I137">
        <v>0</v>
      </c>
      <c r="J137">
        <v>0</v>
      </c>
      <c r="K137">
        <v>6.14</v>
      </c>
      <c r="L137" t="s">
        <v>61</v>
      </c>
      <c r="M137">
        <v>109</v>
      </c>
      <c r="N137">
        <v>17.75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107432433</v>
      </c>
      <c r="E138" t="s">
        <v>90</v>
      </c>
      <c r="F138" t="s">
        <v>60</v>
      </c>
      <c r="G138">
        <v>0.47</v>
      </c>
      <c r="H138">
        <v>5.67</v>
      </c>
      <c r="I138">
        <v>0</v>
      </c>
      <c r="J138">
        <v>0</v>
      </c>
      <c r="K138">
        <v>6.14</v>
      </c>
      <c r="L138" t="s">
        <v>61</v>
      </c>
      <c r="M138">
        <v>109</v>
      </c>
      <c r="N138">
        <v>17.75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107432433</v>
      </c>
      <c r="E139" t="s">
        <v>90</v>
      </c>
      <c r="F139" t="s">
        <v>60</v>
      </c>
      <c r="G139">
        <v>0.47</v>
      </c>
      <c r="H139">
        <v>5.67</v>
      </c>
      <c r="I139">
        <v>0</v>
      </c>
      <c r="J139">
        <v>0</v>
      </c>
      <c r="K139">
        <v>6.14</v>
      </c>
      <c r="L139" t="s">
        <v>61</v>
      </c>
      <c r="M139">
        <v>109</v>
      </c>
      <c r="N139">
        <v>17.75</v>
      </c>
      <c r="O139" t="s">
        <v>62</v>
      </c>
      <c r="P139" t="s">
        <v>67</v>
      </c>
      <c r="Q139">
        <v>990</v>
      </c>
      <c r="R139">
        <v>161.26</v>
      </c>
    </row>
    <row r="140" spans="1:18" x14ac:dyDescent="0.35">
      <c r="A140" t="s">
        <v>56</v>
      </c>
      <c r="B140" t="s">
        <v>57</v>
      </c>
      <c r="C140" t="s">
        <v>70</v>
      </c>
      <c r="D140">
        <v>107432433</v>
      </c>
      <c r="E140" t="s">
        <v>90</v>
      </c>
      <c r="F140" t="s">
        <v>60</v>
      </c>
      <c r="G140">
        <v>0.47</v>
      </c>
      <c r="H140">
        <v>5.67</v>
      </c>
      <c r="I140">
        <v>0</v>
      </c>
      <c r="J140">
        <v>0</v>
      </c>
      <c r="K140">
        <v>6.14</v>
      </c>
      <c r="L140" t="s">
        <v>61</v>
      </c>
      <c r="M140">
        <v>109</v>
      </c>
      <c r="N140">
        <v>17.75</v>
      </c>
      <c r="O140" t="s">
        <v>68</v>
      </c>
      <c r="P140" t="s">
        <v>67</v>
      </c>
      <c r="Q140">
        <v>109</v>
      </c>
      <c r="R140">
        <v>17.75</v>
      </c>
    </row>
    <row r="141" spans="1:18" x14ac:dyDescent="0.35">
      <c r="A141" t="s">
        <v>56</v>
      </c>
      <c r="B141" t="s">
        <v>57</v>
      </c>
      <c r="C141" t="s">
        <v>70</v>
      </c>
      <c r="D141">
        <v>107432433</v>
      </c>
      <c r="E141" t="s">
        <v>90</v>
      </c>
      <c r="F141" t="s">
        <v>60</v>
      </c>
      <c r="G141">
        <v>0.47</v>
      </c>
      <c r="H141">
        <v>5.67</v>
      </c>
      <c r="I141">
        <v>0</v>
      </c>
      <c r="J141">
        <v>0</v>
      </c>
      <c r="K141">
        <v>6.14</v>
      </c>
      <c r="L141" t="s">
        <v>61</v>
      </c>
      <c r="M141">
        <v>109</v>
      </c>
      <c r="N141">
        <v>17.75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107463281</v>
      </c>
      <c r="E142" t="s">
        <v>91</v>
      </c>
      <c r="F142" t="s">
        <v>60</v>
      </c>
      <c r="G142">
        <v>0.4</v>
      </c>
      <c r="H142">
        <v>9.32</v>
      </c>
      <c r="I142">
        <v>0</v>
      </c>
      <c r="J142">
        <v>0</v>
      </c>
      <c r="K142">
        <v>9.7200000000000006</v>
      </c>
      <c r="L142" t="s">
        <v>61</v>
      </c>
      <c r="M142">
        <v>356</v>
      </c>
      <c r="N142">
        <v>36.619999999999997</v>
      </c>
      <c r="O142" t="s">
        <v>62</v>
      </c>
      <c r="P142" t="s">
        <v>63</v>
      </c>
      <c r="Q142">
        <v>516</v>
      </c>
      <c r="R142">
        <v>1295.4000000000001</v>
      </c>
    </row>
    <row r="143" spans="1:18" x14ac:dyDescent="0.35">
      <c r="A143" t="s">
        <v>56</v>
      </c>
      <c r="B143" t="s">
        <v>57</v>
      </c>
      <c r="C143" t="s">
        <v>70</v>
      </c>
      <c r="D143">
        <v>107463281</v>
      </c>
      <c r="E143" t="s">
        <v>91</v>
      </c>
      <c r="F143" t="s">
        <v>60</v>
      </c>
      <c r="G143">
        <v>0.4</v>
      </c>
      <c r="H143">
        <v>9.32</v>
      </c>
      <c r="I143">
        <v>0</v>
      </c>
      <c r="J143">
        <v>0</v>
      </c>
      <c r="K143">
        <v>9.7200000000000006</v>
      </c>
      <c r="L143" t="s">
        <v>61</v>
      </c>
      <c r="M143">
        <v>356</v>
      </c>
      <c r="N143">
        <v>36.619999999999997</v>
      </c>
      <c r="O143" t="s">
        <v>62</v>
      </c>
      <c r="P143" t="s">
        <v>64</v>
      </c>
      <c r="Q143">
        <v>2249</v>
      </c>
      <c r="R143">
        <v>241.23</v>
      </c>
    </row>
    <row r="144" spans="1:18" x14ac:dyDescent="0.35">
      <c r="A144" t="s">
        <v>56</v>
      </c>
      <c r="B144" t="s">
        <v>57</v>
      </c>
      <c r="C144" t="s">
        <v>70</v>
      </c>
      <c r="D144">
        <v>107463281</v>
      </c>
      <c r="E144" t="s">
        <v>91</v>
      </c>
      <c r="F144" t="s">
        <v>60</v>
      </c>
      <c r="G144">
        <v>0.4</v>
      </c>
      <c r="H144">
        <v>9.32</v>
      </c>
      <c r="I144">
        <v>0</v>
      </c>
      <c r="J144">
        <v>0</v>
      </c>
      <c r="K144">
        <v>9.7200000000000006</v>
      </c>
      <c r="L144" t="s">
        <v>61</v>
      </c>
      <c r="M144">
        <v>356</v>
      </c>
      <c r="N144">
        <v>36.619999999999997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107463281</v>
      </c>
      <c r="E145" t="s">
        <v>91</v>
      </c>
      <c r="F145" t="s">
        <v>60</v>
      </c>
      <c r="G145">
        <v>0.4</v>
      </c>
      <c r="H145">
        <v>9.32</v>
      </c>
      <c r="I145">
        <v>0</v>
      </c>
      <c r="J145">
        <v>0</v>
      </c>
      <c r="K145">
        <v>9.7200000000000006</v>
      </c>
      <c r="L145" t="s">
        <v>61</v>
      </c>
      <c r="M145">
        <v>356</v>
      </c>
      <c r="N145">
        <v>36.619999999999997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107463281</v>
      </c>
      <c r="E146" t="s">
        <v>91</v>
      </c>
      <c r="F146" t="s">
        <v>60</v>
      </c>
      <c r="G146">
        <v>0.4</v>
      </c>
      <c r="H146">
        <v>9.32</v>
      </c>
      <c r="I146">
        <v>0</v>
      </c>
      <c r="J146">
        <v>0</v>
      </c>
      <c r="K146">
        <v>9.7200000000000006</v>
      </c>
      <c r="L146" t="s">
        <v>61</v>
      </c>
      <c r="M146">
        <v>356</v>
      </c>
      <c r="N146">
        <v>36.619999999999997</v>
      </c>
      <c r="O146" t="s">
        <v>62</v>
      </c>
      <c r="P146" t="s">
        <v>67</v>
      </c>
      <c r="Q146">
        <v>2765</v>
      </c>
      <c r="R146">
        <v>284.42</v>
      </c>
    </row>
    <row r="147" spans="1:18" x14ac:dyDescent="0.35">
      <c r="A147" t="s">
        <v>56</v>
      </c>
      <c r="B147" t="s">
        <v>57</v>
      </c>
      <c r="C147" t="s">
        <v>70</v>
      </c>
      <c r="D147">
        <v>107463281</v>
      </c>
      <c r="E147" t="s">
        <v>91</v>
      </c>
      <c r="F147" t="s">
        <v>60</v>
      </c>
      <c r="G147">
        <v>0.4</v>
      </c>
      <c r="H147">
        <v>9.32</v>
      </c>
      <c r="I147">
        <v>0</v>
      </c>
      <c r="J147">
        <v>0</v>
      </c>
      <c r="K147">
        <v>9.7200000000000006</v>
      </c>
      <c r="L147" t="s">
        <v>61</v>
      </c>
      <c r="M147">
        <v>356</v>
      </c>
      <c r="N147">
        <v>36.619999999999997</v>
      </c>
      <c r="O147" t="s">
        <v>68</v>
      </c>
      <c r="P147" t="s">
        <v>67</v>
      </c>
      <c r="Q147">
        <v>356</v>
      </c>
      <c r="R147">
        <v>36.619999999999997</v>
      </c>
    </row>
    <row r="148" spans="1:18" x14ac:dyDescent="0.35">
      <c r="A148" t="s">
        <v>56</v>
      </c>
      <c r="B148" t="s">
        <v>57</v>
      </c>
      <c r="C148" t="s">
        <v>70</v>
      </c>
      <c r="D148">
        <v>107463281</v>
      </c>
      <c r="E148" t="s">
        <v>91</v>
      </c>
      <c r="F148" t="s">
        <v>60</v>
      </c>
      <c r="G148">
        <v>0.4</v>
      </c>
      <c r="H148">
        <v>9.32</v>
      </c>
      <c r="I148">
        <v>0</v>
      </c>
      <c r="J148">
        <v>0</v>
      </c>
      <c r="K148">
        <v>9.7200000000000006</v>
      </c>
      <c r="L148" t="s">
        <v>61</v>
      </c>
      <c r="M148">
        <v>356</v>
      </c>
      <c r="N148">
        <v>36.619999999999997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58</v>
      </c>
      <c r="D149">
        <v>107704699</v>
      </c>
      <c r="E149" t="s">
        <v>94</v>
      </c>
      <c r="F149" t="s">
        <v>60</v>
      </c>
      <c r="G149">
        <v>1.25</v>
      </c>
      <c r="H149">
        <v>6.15</v>
      </c>
      <c r="I149">
        <v>0</v>
      </c>
      <c r="J149">
        <v>0</v>
      </c>
      <c r="K149">
        <v>7.4</v>
      </c>
      <c r="L149" t="s">
        <v>61</v>
      </c>
      <c r="M149">
        <v>153</v>
      </c>
      <c r="N149">
        <v>20.67</v>
      </c>
      <c r="O149" t="s">
        <v>62</v>
      </c>
      <c r="P149" t="s">
        <v>63</v>
      </c>
      <c r="Q149">
        <v>686</v>
      </c>
      <c r="R149">
        <v>550.39</v>
      </c>
    </row>
    <row r="150" spans="1:18" x14ac:dyDescent="0.35">
      <c r="A150" t="s">
        <v>56</v>
      </c>
      <c r="B150" t="s">
        <v>57</v>
      </c>
      <c r="C150" t="s">
        <v>58</v>
      </c>
      <c r="D150">
        <v>107704699</v>
      </c>
      <c r="E150" t="s">
        <v>94</v>
      </c>
      <c r="F150" t="s">
        <v>60</v>
      </c>
      <c r="G150">
        <v>1.25</v>
      </c>
      <c r="H150">
        <v>6.15</v>
      </c>
      <c r="I150">
        <v>0</v>
      </c>
      <c r="J150">
        <v>0</v>
      </c>
      <c r="K150">
        <v>7.4</v>
      </c>
      <c r="L150" t="s">
        <v>61</v>
      </c>
      <c r="M150">
        <v>153</v>
      </c>
      <c r="N150">
        <v>20.67</v>
      </c>
      <c r="O150" t="s">
        <v>62</v>
      </c>
      <c r="P150" t="s">
        <v>64</v>
      </c>
      <c r="Q150">
        <v>631</v>
      </c>
      <c r="R150">
        <v>102.52</v>
      </c>
    </row>
    <row r="151" spans="1:18" x14ac:dyDescent="0.35">
      <c r="A151" t="s">
        <v>56</v>
      </c>
      <c r="B151" t="s">
        <v>57</v>
      </c>
      <c r="C151" t="s">
        <v>58</v>
      </c>
      <c r="D151">
        <v>107704699</v>
      </c>
      <c r="E151" t="s">
        <v>94</v>
      </c>
      <c r="F151" t="s">
        <v>60</v>
      </c>
      <c r="G151">
        <v>1.25</v>
      </c>
      <c r="H151">
        <v>6.15</v>
      </c>
      <c r="I151">
        <v>0</v>
      </c>
      <c r="J151">
        <v>0</v>
      </c>
      <c r="K151">
        <v>7.4</v>
      </c>
      <c r="L151" t="s">
        <v>61</v>
      </c>
      <c r="M151">
        <v>153</v>
      </c>
      <c r="N151">
        <v>20.67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58</v>
      </c>
      <c r="D152">
        <v>107704699</v>
      </c>
      <c r="E152" t="s">
        <v>94</v>
      </c>
      <c r="F152" t="s">
        <v>60</v>
      </c>
      <c r="G152">
        <v>1.25</v>
      </c>
      <c r="H152">
        <v>6.15</v>
      </c>
      <c r="I152">
        <v>0</v>
      </c>
      <c r="J152">
        <v>0</v>
      </c>
      <c r="K152">
        <v>7.4</v>
      </c>
      <c r="L152" t="s">
        <v>61</v>
      </c>
      <c r="M152">
        <v>153</v>
      </c>
      <c r="N152">
        <v>20.67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58</v>
      </c>
      <c r="D153">
        <v>107704699</v>
      </c>
      <c r="E153" t="s">
        <v>94</v>
      </c>
      <c r="F153" t="s">
        <v>60</v>
      </c>
      <c r="G153">
        <v>1.25</v>
      </c>
      <c r="H153">
        <v>6.15</v>
      </c>
      <c r="I153">
        <v>0</v>
      </c>
      <c r="J153">
        <v>0</v>
      </c>
      <c r="K153">
        <v>7.4</v>
      </c>
      <c r="L153" t="s">
        <v>61</v>
      </c>
      <c r="M153">
        <v>153</v>
      </c>
      <c r="N153">
        <v>20.67</v>
      </c>
      <c r="O153" t="s">
        <v>62</v>
      </c>
      <c r="P153" t="s">
        <v>67</v>
      </c>
      <c r="Q153">
        <v>1317</v>
      </c>
      <c r="R153">
        <v>177.94</v>
      </c>
    </row>
    <row r="154" spans="1:18" x14ac:dyDescent="0.35">
      <c r="A154" t="s">
        <v>56</v>
      </c>
      <c r="B154" t="s">
        <v>57</v>
      </c>
      <c r="C154" t="s">
        <v>58</v>
      </c>
      <c r="D154">
        <v>107704699</v>
      </c>
      <c r="E154" t="s">
        <v>94</v>
      </c>
      <c r="F154" t="s">
        <v>60</v>
      </c>
      <c r="G154">
        <v>1.25</v>
      </c>
      <c r="H154">
        <v>6.15</v>
      </c>
      <c r="I154">
        <v>0</v>
      </c>
      <c r="J154">
        <v>0</v>
      </c>
      <c r="K154">
        <v>7.4</v>
      </c>
      <c r="L154" t="s">
        <v>61</v>
      </c>
      <c r="M154">
        <v>153</v>
      </c>
      <c r="N154">
        <v>20.67</v>
      </c>
      <c r="O154" t="s">
        <v>68</v>
      </c>
      <c r="P154" t="s">
        <v>67</v>
      </c>
      <c r="Q154">
        <v>153</v>
      </c>
      <c r="R154">
        <v>20.67</v>
      </c>
    </row>
    <row r="155" spans="1:18" x14ac:dyDescent="0.35">
      <c r="A155" t="s">
        <v>56</v>
      </c>
      <c r="B155" t="s">
        <v>57</v>
      </c>
      <c r="C155" t="s">
        <v>58</v>
      </c>
      <c r="D155">
        <v>107704699</v>
      </c>
      <c r="E155" t="s">
        <v>94</v>
      </c>
      <c r="F155" t="s">
        <v>60</v>
      </c>
      <c r="G155">
        <v>1.25</v>
      </c>
      <c r="H155">
        <v>6.15</v>
      </c>
      <c r="I155">
        <v>0</v>
      </c>
      <c r="J155">
        <v>0</v>
      </c>
      <c r="K155">
        <v>7.4</v>
      </c>
      <c r="L155" t="s">
        <v>61</v>
      </c>
      <c r="M155">
        <v>153</v>
      </c>
      <c r="N155">
        <v>20.67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107741579</v>
      </c>
      <c r="E156" t="s">
        <v>95</v>
      </c>
      <c r="F156" t="s">
        <v>60</v>
      </c>
      <c r="G156">
        <v>0.61</v>
      </c>
      <c r="H156">
        <v>9.39</v>
      </c>
      <c r="I156">
        <v>0</v>
      </c>
      <c r="J156">
        <v>0</v>
      </c>
      <c r="K156">
        <v>10</v>
      </c>
      <c r="L156" t="s">
        <v>61</v>
      </c>
      <c r="M156">
        <v>364</v>
      </c>
      <c r="N156">
        <v>36.4</v>
      </c>
      <c r="O156" t="s">
        <v>62</v>
      </c>
      <c r="P156" t="s">
        <v>63</v>
      </c>
      <c r="Q156">
        <v>909</v>
      </c>
      <c r="R156">
        <v>1499.04</v>
      </c>
    </row>
    <row r="157" spans="1:18" x14ac:dyDescent="0.35">
      <c r="A157" t="s">
        <v>56</v>
      </c>
      <c r="B157" t="s">
        <v>57</v>
      </c>
      <c r="C157" t="s">
        <v>70</v>
      </c>
      <c r="D157">
        <v>107741579</v>
      </c>
      <c r="E157" t="s">
        <v>95</v>
      </c>
      <c r="F157" t="s">
        <v>60</v>
      </c>
      <c r="G157">
        <v>0.61</v>
      </c>
      <c r="H157">
        <v>9.39</v>
      </c>
      <c r="I157">
        <v>0</v>
      </c>
      <c r="J157">
        <v>0</v>
      </c>
      <c r="K157">
        <v>10</v>
      </c>
      <c r="L157" t="s">
        <v>61</v>
      </c>
      <c r="M157">
        <v>364</v>
      </c>
      <c r="N157">
        <v>36.4</v>
      </c>
      <c r="O157" t="s">
        <v>62</v>
      </c>
      <c r="P157" t="s">
        <v>64</v>
      </c>
      <c r="Q157">
        <v>2623</v>
      </c>
      <c r="R157">
        <v>279.24</v>
      </c>
    </row>
    <row r="158" spans="1:18" x14ac:dyDescent="0.35">
      <c r="A158" t="s">
        <v>56</v>
      </c>
      <c r="B158" t="s">
        <v>57</v>
      </c>
      <c r="C158" t="s">
        <v>70</v>
      </c>
      <c r="D158">
        <v>107741579</v>
      </c>
      <c r="E158" t="s">
        <v>95</v>
      </c>
      <c r="F158" t="s">
        <v>60</v>
      </c>
      <c r="G158">
        <v>0.61</v>
      </c>
      <c r="H158">
        <v>9.39</v>
      </c>
      <c r="I158">
        <v>0</v>
      </c>
      <c r="J158">
        <v>0</v>
      </c>
      <c r="K158">
        <v>10</v>
      </c>
      <c r="L158" t="s">
        <v>61</v>
      </c>
      <c r="M158">
        <v>364</v>
      </c>
      <c r="N158">
        <v>36.4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107741579</v>
      </c>
      <c r="E159" t="s">
        <v>95</v>
      </c>
      <c r="F159" t="s">
        <v>60</v>
      </c>
      <c r="G159">
        <v>0.61</v>
      </c>
      <c r="H159">
        <v>9.39</v>
      </c>
      <c r="I159">
        <v>0</v>
      </c>
      <c r="J159">
        <v>0</v>
      </c>
      <c r="K159">
        <v>10</v>
      </c>
      <c r="L159" t="s">
        <v>61</v>
      </c>
      <c r="M159">
        <v>364</v>
      </c>
      <c r="N159">
        <v>36.4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107741579</v>
      </c>
      <c r="E160" t="s">
        <v>95</v>
      </c>
      <c r="F160" t="s">
        <v>60</v>
      </c>
      <c r="G160">
        <v>0.61</v>
      </c>
      <c r="H160">
        <v>9.39</v>
      </c>
      <c r="I160">
        <v>0</v>
      </c>
      <c r="J160">
        <v>0</v>
      </c>
      <c r="K160">
        <v>10</v>
      </c>
      <c r="L160" t="s">
        <v>61</v>
      </c>
      <c r="M160">
        <v>364</v>
      </c>
      <c r="N160">
        <v>36.4</v>
      </c>
      <c r="O160" t="s">
        <v>62</v>
      </c>
      <c r="P160" t="s">
        <v>67</v>
      </c>
      <c r="Q160">
        <v>3532</v>
      </c>
      <c r="R160">
        <v>353.2</v>
      </c>
    </row>
    <row r="161" spans="1:18" x14ac:dyDescent="0.35">
      <c r="A161" t="s">
        <v>56</v>
      </c>
      <c r="B161" t="s">
        <v>57</v>
      </c>
      <c r="C161" t="s">
        <v>70</v>
      </c>
      <c r="D161">
        <v>107741579</v>
      </c>
      <c r="E161" t="s">
        <v>95</v>
      </c>
      <c r="F161" t="s">
        <v>60</v>
      </c>
      <c r="G161">
        <v>0.61</v>
      </c>
      <c r="H161">
        <v>9.39</v>
      </c>
      <c r="I161">
        <v>0</v>
      </c>
      <c r="J161">
        <v>0</v>
      </c>
      <c r="K161">
        <v>10</v>
      </c>
      <c r="L161" t="s">
        <v>61</v>
      </c>
      <c r="M161">
        <v>364</v>
      </c>
      <c r="N161">
        <v>36.4</v>
      </c>
      <c r="O161" t="s">
        <v>68</v>
      </c>
      <c r="P161" t="s">
        <v>67</v>
      </c>
      <c r="Q161">
        <v>364</v>
      </c>
      <c r="R161">
        <v>36.4</v>
      </c>
    </row>
    <row r="162" spans="1:18" x14ac:dyDescent="0.35">
      <c r="A162" t="s">
        <v>56</v>
      </c>
      <c r="B162" t="s">
        <v>57</v>
      </c>
      <c r="C162" t="s">
        <v>70</v>
      </c>
      <c r="D162">
        <v>107741579</v>
      </c>
      <c r="E162" t="s">
        <v>95</v>
      </c>
      <c r="F162" t="s">
        <v>60</v>
      </c>
      <c r="G162">
        <v>0.61</v>
      </c>
      <c r="H162">
        <v>9.39</v>
      </c>
      <c r="I162">
        <v>0</v>
      </c>
      <c r="J162">
        <v>0</v>
      </c>
      <c r="K162">
        <v>10</v>
      </c>
      <c r="L162" t="s">
        <v>61</v>
      </c>
      <c r="M162">
        <v>364</v>
      </c>
      <c r="N162">
        <v>36.4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70</v>
      </c>
      <c r="D163">
        <v>107741612</v>
      </c>
      <c r="E163" t="s">
        <v>96</v>
      </c>
      <c r="F163" t="s">
        <v>60</v>
      </c>
      <c r="G163">
        <v>0.26</v>
      </c>
      <c r="H163">
        <v>9.65</v>
      </c>
      <c r="I163">
        <v>0.1</v>
      </c>
      <c r="J163">
        <v>0</v>
      </c>
      <c r="K163">
        <v>10</v>
      </c>
      <c r="L163" t="s">
        <v>61</v>
      </c>
      <c r="M163">
        <v>341</v>
      </c>
      <c r="N163">
        <v>34.1</v>
      </c>
      <c r="O163" t="s">
        <v>62</v>
      </c>
      <c r="P163" t="s">
        <v>63</v>
      </c>
      <c r="Q163">
        <v>374</v>
      </c>
      <c r="R163">
        <v>1461.89</v>
      </c>
    </row>
    <row r="164" spans="1:18" x14ac:dyDescent="0.35">
      <c r="A164" t="s">
        <v>56</v>
      </c>
      <c r="B164" t="s">
        <v>57</v>
      </c>
      <c r="C164" t="s">
        <v>70</v>
      </c>
      <c r="D164">
        <v>107741612</v>
      </c>
      <c r="E164" t="s">
        <v>96</v>
      </c>
      <c r="F164" t="s">
        <v>60</v>
      </c>
      <c r="G164">
        <v>0.26</v>
      </c>
      <c r="H164">
        <v>9.65</v>
      </c>
      <c r="I164">
        <v>0.1</v>
      </c>
      <c r="J164">
        <v>0</v>
      </c>
      <c r="K164">
        <v>10</v>
      </c>
      <c r="L164" t="s">
        <v>61</v>
      </c>
      <c r="M164">
        <v>341</v>
      </c>
      <c r="N164">
        <v>34.1</v>
      </c>
      <c r="O164" t="s">
        <v>62</v>
      </c>
      <c r="P164" t="s">
        <v>64</v>
      </c>
      <c r="Q164">
        <v>2627</v>
      </c>
      <c r="R164">
        <v>272.32</v>
      </c>
    </row>
    <row r="165" spans="1:18" x14ac:dyDescent="0.35">
      <c r="A165" t="s">
        <v>56</v>
      </c>
      <c r="B165" t="s">
        <v>57</v>
      </c>
      <c r="C165" t="s">
        <v>70</v>
      </c>
      <c r="D165">
        <v>107741612</v>
      </c>
      <c r="E165" t="s">
        <v>96</v>
      </c>
      <c r="F165" t="s">
        <v>60</v>
      </c>
      <c r="G165">
        <v>0.26</v>
      </c>
      <c r="H165">
        <v>9.65</v>
      </c>
      <c r="I165">
        <v>0.1</v>
      </c>
      <c r="J165">
        <v>0</v>
      </c>
      <c r="K165">
        <v>10</v>
      </c>
      <c r="L165" t="s">
        <v>61</v>
      </c>
      <c r="M165">
        <v>341</v>
      </c>
      <c r="N165">
        <v>34.1</v>
      </c>
      <c r="O165" t="s">
        <v>62</v>
      </c>
      <c r="P165" t="s">
        <v>65</v>
      </c>
      <c r="Q165">
        <v>20</v>
      </c>
      <c r="R165">
        <v>205.71</v>
      </c>
    </row>
    <row r="166" spans="1:18" x14ac:dyDescent="0.35">
      <c r="A166" t="s">
        <v>56</v>
      </c>
      <c r="B166" t="s">
        <v>57</v>
      </c>
      <c r="C166" t="s">
        <v>70</v>
      </c>
      <c r="D166">
        <v>107741612</v>
      </c>
      <c r="E166" t="s">
        <v>96</v>
      </c>
      <c r="F166" t="s">
        <v>60</v>
      </c>
      <c r="G166">
        <v>0.26</v>
      </c>
      <c r="H166">
        <v>9.65</v>
      </c>
      <c r="I166">
        <v>0.1</v>
      </c>
      <c r="J166">
        <v>0</v>
      </c>
      <c r="K166">
        <v>10</v>
      </c>
      <c r="L166" t="s">
        <v>61</v>
      </c>
      <c r="M166">
        <v>341</v>
      </c>
      <c r="N166">
        <v>34.1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107741612</v>
      </c>
      <c r="E167" t="s">
        <v>96</v>
      </c>
      <c r="F167" t="s">
        <v>60</v>
      </c>
      <c r="G167">
        <v>0.26</v>
      </c>
      <c r="H167">
        <v>9.65</v>
      </c>
      <c r="I167">
        <v>0.1</v>
      </c>
      <c r="J167">
        <v>0</v>
      </c>
      <c r="K167">
        <v>10</v>
      </c>
      <c r="L167" t="s">
        <v>61</v>
      </c>
      <c r="M167">
        <v>341</v>
      </c>
      <c r="N167">
        <v>34.1</v>
      </c>
      <c r="O167" t="s">
        <v>62</v>
      </c>
      <c r="P167" t="s">
        <v>67</v>
      </c>
      <c r="Q167">
        <v>3021</v>
      </c>
      <c r="R167">
        <v>302.10000000000002</v>
      </c>
    </row>
    <row r="168" spans="1:18" x14ac:dyDescent="0.35">
      <c r="A168" t="s">
        <v>56</v>
      </c>
      <c r="B168" t="s">
        <v>57</v>
      </c>
      <c r="C168" t="s">
        <v>70</v>
      </c>
      <c r="D168">
        <v>107741612</v>
      </c>
      <c r="E168" t="s">
        <v>96</v>
      </c>
      <c r="F168" t="s">
        <v>60</v>
      </c>
      <c r="G168">
        <v>0.26</v>
      </c>
      <c r="H168">
        <v>9.65</v>
      </c>
      <c r="I168">
        <v>0.1</v>
      </c>
      <c r="J168">
        <v>0</v>
      </c>
      <c r="K168">
        <v>10</v>
      </c>
      <c r="L168" t="s">
        <v>61</v>
      </c>
      <c r="M168">
        <v>341</v>
      </c>
      <c r="N168">
        <v>34.1</v>
      </c>
      <c r="O168" t="s">
        <v>68</v>
      </c>
      <c r="P168" t="s">
        <v>67</v>
      </c>
      <c r="Q168">
        <v>341</v>
      </c>
      <c r="R168">
        <v>34.1</v>
      </c>
    </row>
    <row r="169" spans="1:18" x14ac:dyDescent="0.35">
      <c r="A169" t="s">
        <v>56</v>
      </c>
      <c r="B169" t="s">
        <v>57</v>
      </c>
      <c r="C169" t="s">
        <v>70</v>
      </c>
      <c r="D169">
        <v>107741612</v>
      </c>
      <c r="E169" t="s">
        <v>96</v>
      </c>
      <c r="F169" t="s">
        <v>60</v>
      </c>
      <c r="G169">
        <v>0.26</v>
      </c>
      <c r="H169">
        <v>9.65</v>
      </c>
      <c r="I169">
        <v>0.1</v>
      </c>
      <c r="J169">
        <v>0</v>
      </c>
      <c r="K169">
        <v>10</v>
      </c>
      <c r="L169" t="s">
        <v>61</v>
      </c>
      <c r="M169">
        <v>341</v>
      </c>
      <c r="N169">
        <v>34.1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58</v>
      </c>
      <c r="D170">
        <v>107741933</v>
      </c>
      <c r="E170" t="s">
        <v>97</v>
      </c>
      <c r="F170" t="s">
        <v>60</v>
      </c>
      <c r="G170">
        <v>0.26</v>
      </c>
      <c r="H170">
        <v>9.61</v>
      </c>
      <c r="I170">
        <v>0</v>
      </c>
      <c r="J170">
        <v>0</v>
      </c>
      <c r="K170">
        <v>9.8699999999999992</v>
      </c>
      <c r="L170" t="s">
        <v>61</v>
      </c>
      <c r="M170">
        <v>224</v>
      </c>
      <c r="N170">
        <v>22.7</v>
      </c>
      <c r="O170" t="s">
        <v>62</v>
      </c>
      <c r="P170" t="s">
        <v>63</v>
      </c>
      <c r="Q170">
        <v>192</v>
      </c>
      <c r="R170">
        <v>750.49</v>
      </c>
    </row>
    <row r="171" spans="1:18" x14ac:dyDescent="0.35">
      <c r="A171" t="s">
        <v>56</v>
      </c>
      <c r="B171" t="s">
        <v>57</v>
      </c>
      <c r="C171" t="s">
        <v>58</v>
      </c>
      <c r="D171">
        <v>107741933</v>
      </c>
      <c r="E171" t="s">
        <v>97</v>
      </c>
      <c r="F171" t="s">
        <v>60</v>
      </c>
      <c r="G171">
        <v>0.26</v>
      </c>
      <c r="H171">
        <v>9.61</v>
      </c>
      <c r="I171">
        <v>0</v>
      </c>
      <c r="J171">
        <v>0</v>
      </c>
      <c r="K171">
        <v>9.8699999999999992</v>
      </c>
      <c r="L171" t="s">
        <v>61</v>
      </c>
      <c r="M171">
        <v>224</v>
      </c>
      <c r="N171">
        <v>22.7</v>
      </c>
      <c r="O171" t="s">
        <v>62</v>
      </c>
      <c r="P171" t="s">
        <v>64</v>
      </c>
      <c r="Q171">
        <v>1343</v>
      </c>
      <c r="R171">
        <v>139.74</v>
      </c>
    </row>
    <row r="172" spans="1:18" x14ac:dyDescent="0.35">
      <c r="A172" t="s">
        <v>56</v>
      </c>
      <c r="B172" t="s">
        <v>57</v>
      </c>
      <c r="C172" t="s">
        <v>58</v>
      </c>
      <c r="D172">
        <v>107741933</v>
      </c>
      <c r="E172" t="s">
        <v>97</v>
      </c>
      <c r="F172" t="s">
        <v>60</v>
      </c>
      <c r="G172">
        <v>0.26</v>
      </c>
      <c r="H172">
        <v>9.61</v>
      </c>
      <c r="I172">
        <v>0</v>
      </c>
      <c r="J172">
        <v>0</v>
      </c>
      <c r="K172">
        <v>9.8699999999999992</v>
      </c>
      <c r="L172" t="s">
        <v>61</v>
      </c>
      <c r="M172">
        <v>224</v>
      </c>
      <c r="N172">
        <v>22.7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58</v>
      </c>
      <c r="D173">
        <v>107741933</v>
      </c>
      <c r="E173" t="s">
        <v>97</v>
      </c>
      <c r="F173" t="s">
        <v>60</v>
      </c>
      <c r="G173">
        <v>0.26</v>
      </c>
      <c r="H173">
        <v>9.61</v>
      </c>
      <c r="I173">
        <v>0</v>
      </c>
      <c r="J173">
        <v>0</v>
      </c>
      <c r="K173">
        <v>9.8699999999999992</v>
      </c>
      <c r="L173" t="s">
        <v>61</v>
      </c>
      <c r="M173">
        <v>224</v>
      </c>
      <c r="N173">
        <v>22.7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58</v>
      </c>
      <c r="D174">
        <v>107741933</v>
      </c>
      <c r="E174" t="s">
        <v>97</v>
      </c>
      <c r="F174" t="s">
        <v>60</v>
      </c>
      <c r="G174">
        <v>0.26</v>
      </c>
      <c r="H174">
        <v>9.61</v>
      </c>
      <c r="I174">
        <v>0</v>
      </c>
      <c r="J174">
        <v>0</v>
      </c>
      <c r="K174">
        <v>9.8699999999999992</v>
      </c>
      <c r="L174" t="s">
        <v>61</v>
      </c>
      <c r="M174">
        <v>224</v>
      </c>
      <c r="N174">
        <v>22.7</v>
      </c>
      <c r="O174" t="s">
        <v>62</v>
      </c>
      <c r="P174" t="s">
        <v>67</v>
      </c>
      <c r="Q174">
        <v>1535</v>
      </c>
      <c r="R174">
        <v>155.57</v>
      </c>
    </row>
    <row r="175" spans="1:18" x14ac:dyDescent="0.35">
      <c r="A175" t="s">
        <v>56</v>
      </c>
      <c r="B175" t="s">
        <v>57</v>
      </c>
      <c r="C175" t="s">
        <v>58</v>
      </c>
      <c r="D175">
        <v>107741933</v>
      </c>
      <c r="E175" t="s">
        <v>97</v>
      </c>
      <c r="F175" t="s">
        <v>60</v>
      </c>
      <c r="G175">
        <v>0.26</v>
      </c>
      <c r="H175">
        <v>9.61</v>
      </c>
      <c r="I175">
        <v>0</v>
      </c>
      <c r="J175">
        <v>0</v>
      </c>
      <c r="K175">
        <v>9.8699999999999992</v>
      </c>
      <c r="L175" t="s">
        <v>61</v>
      </c>
      <c r="M175">
        <v>224</v>
      </c>
      <c r="N175">
        <v>22.7</v>
      </c>
      <c r="O175" t="s">
        <v>68</v>
      </c>
      <c r="P175" t="s">
        <v>67</v>
      </c>
      <c r="Q175">
        <v>224</v>
      </c>
      <c r="R175">
        <v>22.7</v>
      </c>
    </row>
    <row r="176" spans="1:18" x14ac:dyDescent="0.35">
      <c r="A176" t="s">
        <v>56</v>
      </c>
      <c r="B176" t="s">
        <v>57</v>
      </c>
      <c r="C176" t="s">
        <v>58</v>
      </c>
      <c r="D176">
        <v>107741933</v>
      </c>
      <c r="E176" t="s">
        <v>97</v>
      </c>
      <c r="F176" t="s">
        <v>60</v>
      </c>
      <c r="G176">
        <v>0.26</v>
      </c>
      <c r="H176">
        <v>9.61</v>
      </c>
      <c r="I176">
        <v>0</v>
      </c>
      <c r="J176">
        <v>0</v>
      </c>
      <c r="K176">
        <v>9.8699999999999992</v>
      </c>
      <c r="L176" t="s">
        <v>61</v>
      </c>
      <c r="M176">
        <v>224</v>
      </c>
      <c r="N176">
        <v>22.7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70</v>
      </c>
      <c r="D177">
        <v>107791373</v>
      </c>
      <c r="E177" t="s">
        <v>554</v>
      </c>
      <c r="F177" t="s">
        <v>72</v>
      </c>
      <c r="G177">
        <v>0.68</v>
      </c>
      <c r="H177">
        <v>9.42</v>
      </c>
      <c r="I177">
        <v>0</v>
      </c>
      <c r="J177">
        <v>0</v>
      </c>
      <c r="K177">
        <v>10.1</v>
      </c>
      <c r="L177" t="s">
        <v>61</v>
      </c>
      <c r="M177">
        <v>441</v>
      </c>
      <c r="N177">
        <v>43.66</v>
      </c>
      <c r="O177" t="s">
        <v>62</v>
      </c>
      <c r="P177" t="s">
        <v>63</v>
      </c>
      <c r="Q177">
        <v>1212</v>
      </c>
      <c r="R177">
        <v>1786.73</v>
      </c>
    </row>
    <row r="178" spans="1:18" x14ac:dyDescent="0.35">
      <c r="A178" t="s">
        <v>56</v>
      </c>
      <c r="B178" t="s">
        <v>57</v>
      </c>
      <c r="C178" t="s">
        <v>70</v>
      </c>
      <c r="D178">
        <v>107791373</v>
      </c>
      <c r="E178" t="s">
        <v>554</v>
      </c>
      <c r="F178" t="s">
        <v>72</v>
      </c>
      <c r="G178">
        <v>0.68</v>
      </c>
      <c r="H178">
        <v>9.42</v>
      </c>
      <c r="I178">
        <v>0</v>
      </c>
      <c r="J178">
        <v>0</v>
      </c>
      <c r="K178">
        <v>10.1</v>
      </c>
      <c r="L178" t="s">
        <v>61</v>
      </c>
      <c r="M178">
        <v>441</v>
      </c>
      <c r="N178">
        <v>43.66</v>
      </c>
      <c r="O178" t="s">
        <v>62</v>
      </c>
      <c r="P178" t="s">
        <v>64</v>
      </c>
      <c r="Q178">
        <v>3136</v>
      </c>
      <c r="R178">
        <v>332.86</v>
      </c>
    </row>
    <row r="179" spans="1:18" x14ac:dyDescent="0.35">
      <c r="A179" t="s">
        <v>56</v>
      </c>
      <c r="B179" t="s">
        <v>57</v>
      </c>
      <c r="C179" t="s">
        <v>70</v>
      </c>
      <c r="D179">
        <v>107791373</v>
      </c>
      <c r="E179" t="s">
        <v>554</v>
      </c>
      <c r="F179" t="s">
        <v>72</v>
      </c>
      <c r="G179">
        <v>0.68</v>
      </c>
      <c r="H179">
        <v>9.42</v>
      </c>
      <c r="I179">
        <v>0</v>
      </c>
      <c r="J179">
        <v>0</v>
      </c>
      <c r="K179">
        <v>10.1</v>
      </c>
      <c r="L179" t="s">
        <v>61</v>
      </c>
      <c r="M179">
        <v>441</v>
      </c>
      <c r="N179">
        <v>43.66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107791373</v>
      </c>
      <c r="E180" t="s">
        <v>554</v>
      </c>
      <c r="F180" t="s">
        <v>72</v>
      </c>
      <c r="G180">
        <v>0.68</v>
      </c>
      <c r="H180">
        <v>9.42</v>
      </c>
      <c r="I180">
        <v>0</v>
      </c>
      <c r="J180">
        <v>0</v>
      </c>
      <c r="K180">
        <v>10.1</v>
      </c>
      <c r="L180" t="s">
        <v>61</v>
      </c>
      <c r="M180">
        <v>441</v>
      </c>
      <c r="N180">
        <v>43.66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70</v>
      </c>
      <c r="D181">
        <v>107791373</v>
      </c>
      <c r="E181" t="s">
        <v>554</v>
      </c>
      <c r="F181" t="s">
        <v>72</v>
      </c>
      <c r="G181">
        <v>0.68</v>
      </c>
      <c r="H181">
        <v>9.42</v>
      </c>
      <c r="I181">
        <v>0</v>
      </c>
      <c r="J181">
        <v>0</v>
      </c>
      <c r="K181">
        <v>10.1</v>
      </c>
      <c r="L181" t="s">
        <v>61</v>
      </c>
      <c r="M181">
        <v>441</v>
      </c>
      <c r="N181">
        <v>43.66</v>
      </c>
      <c r="O181" t="s">
        <v>62</v>
      </c>
      <c r="P181" t="s">
        <v>67</v>
      </c>
      <c r="Q181">
        <v>4348</v>
      </c>
      <c r="R181">
        <v>430.5</v>
      </c>
    </row>
    <row r="182" spans="1:18" x14ac:dyDescent="0.35">
      <c r="A182" t="s">
        <v>56</v>
      </c>
      <c r="B182" t="s">
        <v>57</v>
      </c>
      <c r="C182" t="s">
        <v>70</v>
      </c>
      <c r="D182">
        <v>107791373</v>
      </c>
      <c r="E182" t="s">
        <v>554</v>
      </c>
      <c r="F182" t="s">
        <v>72</v>
      </c>
      <c r="G182">
        <v>0.68</v>
      </c>
      <c r="H182">
        <v>9.42</v>
      </c>
      <c r="I182">
        <v>0</v>
      </c>
      <c r="J182">
        <v>0</v>
      </c>
      <c r="K182">
        <v>10.1</v>
      </c>
      <c r="L182" t="s">
        <v>61</v>
      </c>
      <c r="M182">
        <v>441</v>
      </c>
      <c r="N182">
        <v>43.66</v>
      </c>
      <c r="O182" t="s">
        <v>68</v>
      </c>
      <c r="P182" t="s">
        <v>67</v>
      </c>
      <c r="Q182">
        <v>441</v>
      </c>
      <c r="R182">
        <v>43.66</v>
      </c>
    </row>
    <row r="183" spans="1:18" x14ac:dyDescent="0.35">
      <c r="A183" t="s">
        <v>56</v>
      </c>
      <c r="B183" t="s">
        <v>57</v>
      </c>
      <c r="C183" t="s">
        <v>70</v>
      </c>
      <c r="D183">
        <v>107791373</v>
      </c>
      <c r="E183" t="s">
        <v>554</v>
      </c>
      <c r="F183" t="s">
        <v>72</v>
      </c>
      <c r="G183">
        <v>0.68</v>
      </c>
      <c r="H183">
        <v>9.42</v>
      </c>
      <c r="I183">
        <v>0</v>
      </c>
      <c r="J183">
        <v>0</v>
      </c>
      <c r="K183">
        <v>10.1</v>
      </c>
      <c r="L183" t="s">
        <v>61</v>
      </c>
      <c r="M183">
        <v>441</v>
      </c>
      <c r="N183">
        <v>43.66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58</v>
      </c>
      <c r="D184">
        <v>107819512</v>
      </c>
      <c r="E184" t="s">
        <v>101</v>
      </c>
      <c r="F184" t="s">
        <v>60</v>
      </c>
      <c r="G184">
        <v>0.69</v>
      </c>
      <c r="H184">
        <v>7.93</v>
      </c>
      <c r="I184">
        <v>0</v>
      </c>
      <c r="J184">
        <v>0</v>
      </c>
      <c r="K184">
        <v>8.6199999999999992</v>
      </c>
      <c r="L184" t="s">
        <v>61</v>
      </c>
      <c r="M184">
        <v>198</v>
      </c>
      <c r="N184">
        <v>22.97</v>
      </c>
      <c r="O184" t="s">
        <v>62</v>
      </c>
      <c r="P184" t="s">
        <v>63</v>
      </c>
      <c r="Q184">
        <v>698</v>
      </c>
      <c r="R184">
        <v>1015.68</v>
      </c>
    </row>
    <row r="185" spans="1:18" x14ac:dyDescent="0.35">
      <c r="A185" t="s">
        <v>56</v>
      </c>
      <c r="B185" t="s">
        <v>57</v>
      </c>
      <c r="C185" t="s">
        <v>58</v>
      </c>
      <c r="D185">
        <v>107819512</v>
      </c>
      <c r="E185" t="s">
        <v>101</v>
      </c>
      <c r="F185" t="s">
        <v>60</v>
      </c>
      <c r="G185">
        <v>0.69</v>
      </c>
      <c r="H185">
        <v>7.93</v>
      </c>
      <c r="I185">
        <v>0</v>
      </c>
      <c r="J185">
        <v>0</v>
      </c>
      <c r="K185">
        <v>8.6199999999999992</v>
      </c>
      <c r="L185" t="s">
        <v>61</v>
      </c>
      <c r="M185">
        <v>198</v>
      </c>
      <c r="N185">
        <v>22.97</v>
      </c>
      <c r="O185" t="s">
        <v>62</v>
      </c>
      <c r="P185" t="s">
        <v>64</v>
      </c>
      <c r="Q185">
        <v>1501</v>
      </c>
      <c r="R185">
        <v>189.22</v>
      </c>
    </row>
    <row r="186" spans="1:18" x14ac:dyDescent="0.35">
      <c r="A186" t="s">
        <v>56</v>
      </c>
      <c r="B186" t="s">
        <v>57</v>
      </c>
      <c r="C186" t="s">
        <v>58</v>
      </c>
      <c r="D186">
        <v>107819512</v>
      </c>
      <c r="E186" t="s">
        <v>101</v>
      </c>
      <c r="F186" t="s">
        <v>60</v>
      </c>
      <c r="G186">
        <v>0.69</v>
      </c>
      <c r="H186">
        <v>7.93</v>
      </c>
      <c r="I186">
        <v>0</v>
      </c>
      <c r="J186">
        <v>0</v>
      </c>
      <c r="K186">
        <v>8.6199999999999992</v>
      </c>
      <c r="L186" t="s">
        <v>61</v>
      </c>
      <c r="M186">
        <v>198</v>
      </c>
      <c r="N186">
        <v>22.97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58</v>
      </c>
      <c r="D187">
        <v>107819512</v>
      </c>
      <c r="E187" t="s">
        <v>101</v>
      </c>
      <c r="F187" t="s">
        <v>60</v>
      </c>
      <c r="G187">
        <v>0.69</v>
      </c>
      <c r="H187">
        <v>7.93</v>
      </c>
      <c r="I187">
        <v>0</v>
      </c>
      <c r="J187">
        <v>0</v>
      </c>
      <c r="K187">
        <v>8.6199999999999992</v>
      </c>
      <c r="L187" t="s">
        <v>61</v>
      </c>
      <c r="M187">
        <v>198</v>
      </c>
      <c r="N187">
        <v>22.97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58</v>
      </c>
      <c r="D188">
        <v>107819512</v>
      </c>
      <c r="E188" t="s">
        <v>101</v>
      </c>
      <c r="F188" t="s">
        <v>60</v>
      </c>
      <c r="G188">
        <v>0.69</v>
      </c>
      <c r="H188">
        <v>7.93</v>
      </c>
      <c r="I188">
        <v>0</v>
      </c>
      <c r="J188">
        <v>0</v>
      </c>
      <c r="K188">
        <v>8.6199999999999992</v>
      </c>
      <c r="L188" t="s">
        <v>61</v>
      </c>
      <c r="M188">
        <v>198</v>
      </c>
      <c r="N188">
        <v>22.97</v>
      </c>
      <c r="O188" t="s">
        <v>62</v>
      </c>
      <c r="P188" t="s">
        <v>67</v>
      </c>
      <c r="Q188">
        <v>2199</v>
      </c>
      <c r="R188">
        <v>255.1</v>
      </c>
    </row>
    <row r="189" spans="1:18" x14ac:dyDescent="0.35">
      <c r="A189" t="s">
        <v>56</v>
      </c>
      <c r="B189" t="s">
        <v>57</v>
      </c>
      <c r="C189" t="s">
        <v>58</v>
      </c>
      <c r="D189">
        <v>107819512</v>
      </c>
      <c r="E189" t="s">
        <v>101</v>
      </c>
      <c r="F189" t="s">
        <v>60</v>
      </c>
      <c r="G189">
        <v>0.69</v>
      </c>
      <c r="H189">
        <v>7.93</v>
      </c>
      <c r="I189">
        <v>0</v>
      </c>
      <c r="J189">
        <v>0</v>
      </c>
      <c r="K189">
        <v>8.6199999999999992</v>
      </c>
      <c r="L189" t="s">
        <v>61</v>
      </c>
      <c r="M189">
        <v>198</v>
      </c>
      <c r="N189">
        <v>22.97</v>
      </c>
      <c r="O189" t="s">
        <v>68</v>
      </c>
      <c r="P189" t="s">
        <v>67</v>
      </c>
      <c r="Q189">
        <v>198</v>
      </c>
      <c r="R189">
        <v>22.97</v>
      </c>
    </row>
    <row r="190" spans="1:18" x14ac:dyDescent="0.35">
      <c r="A190" t="s">
        <v>56</v>
      </c>
      <c r="B190" t="s">
        <v>57</v>
      </c>
      <c r="C190" t="s">
        <v>58</v>
      </c>
      <c r="D190">
        <v>107819512</v>
      </c>
      <c r="E190" t="s">
        <v>101</v>
      </c>
      <c r="F190" t="s">
        <v>60</v>
      </c>
      <c r="G190">
        <v>0.69</v>
      </c>
      <c r="H190">
        <v>7.93</v>
      </c>
      <c r="I190">
        <v>0</v>
      </c>
      <c r="J190">
        <v>0</v>
      </c>
      <c r="K190">
        <v>8.6199999999999992</v>
      </c>
      <c r="L190" t="s">
        <v>61</v>
      </c>
      <c r="M190">
        <v>198</v>
      </c>
      <c r="N190">
        <v>22.97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58</v>
      </c>
      <c r="D191">
        <v>107820116</v>
      </c>
      <c r="E191" t="s">
        <v>102</v>
      </c>
      <c r="F191" t="s">
        <v>60</v>
      </c>
      <c r="G191">
        <v>0.9</v>
      </c>
      <c r="H191">
        <v>9.1</v>
      </c>
      <c r="I191">
        <v>0</v>
      </c>
      <c r="J191">
        <v>0</v>
      </c>
      <c r="K191">
        <v>10</v>
      </c>
      <c r="L191" t="s">
        <v>61</v>
      </c>
      <c r="M191">
        <v>286</v>
      </c>
      <c r="N191">
        <v>28.6</v>
      </c>
      <c r="O191" t="s">
        <v>62</v>
      </c>
      <c r="P191" t="s">
        <v>63</v>
      </c>
      <c r="Q191">
        <v>1061</v>
      </c>
      <c r="R191">
        <v>1183.6400000000001</v>
      </c>
    </row>
    <row r="192" spans="1:18" x14ac:dyDescent="0.35">
      <c r="A192" t="s">
        <v>56</v>
      </c>
      <c r="B192" t="s">
        <v>57</v>
      </c>
      <c r="C192" t="s">
        <v>58</v>
      </c>
      <c r="D192">
        <v>107820116</v>
      </c>
      <c r="E192" t="s">
        <v>102</v>
      </c>
      <c r="F192" t="s">
        <v>60</v>
      </c>
      <c r="G192">
        <v>0.9</v>
      </c>
      <c r="H192">
        <v>9.1</v>
      </c>
      <c r="I192">
        <v>0</v>
      </c>
      <c r="J192">
        <v>0</v>
      </c>
      <c r="K192">
        <v>10</v>
      </c>
      <c r="L192" t="s">
        <v>61</v>
      </c>
      <c r="M192">
        <v>286</v>
      </c>
      <c r="N192">
        <v>28.6</v>
      </c>
      <c r="O192" t="s">
        <v>62</v>
      </c>
      <c r="P192" t="s">
        <v>64</v>
      </c>
      <c r="Q192">
        <v>2007</v>
      </c>
      <c r="R192">
        <v>220.47</v>
      </c>
    </row>
    <row r="193" spans="1:18" x14ac:dyDescent="0.35">
      <c r="A193" t="s">
        <v>56</v>
      </c>
      <c r="B193" t="s">
        <v>57</v>
      </c>
      <c r="C193" t="s">
        <v>58</v>
      </c>
      <c r="D193">
        <v>107820116</v>
      </c>
      <c r="E193" t="s">
        <v>102</v>
      </c>
      <c r="F193" t="s">
        <v>60</v>
      </c>
      <c r="G193">
        <v>0.9</v>
      </c>
      <c r="H193">
        <v>9.1</v>
      </c>
      <c r="I193">
        <v>0</v>
      </c>
      <c r="J193">
        <v>0</v>
      </c>
      <c r="K193">
        <v>10</v>
      </c>
      <c r="L193" t="s">
        <v>61</v>
      </c>
      <c r="M193">
        <v>286</v>
      </c>
      <c r="N193">
        <v>28.6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58</v>
      </c>
      <c r="D194">
        <v>107820116</v>
      </c>
      <c r="E194" t="s">
        <v>102</v>
      </c>
      <c r="F194" t="s">
        <v>60</v>
      </c>
      <c r="G194">
        <v>0.9</v>
      </c>
      <c r="H194">
        <v>9.1</v>
      </c>
      <c r="I194">
        <v>0</v>
      </c>
      <c r="J194">
        <v>0</v>
      </c>
      <c r="K194">
        <v>10</v>
      </c>
      <c r="L194" t="s">
        <v>61</v>
      </c>
      <c r="M194">
        <v>286</v>
      </c>
      <c r="N194">
        <v>28.6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58</v>
      </c>
      <c r="D195">
        <v>107820116</v>
      </c>
      <c r="E195" t="s">
        <v>102</v>
      </c>
      <c r="F195" t="s">
        <v>60</v>
      </c>
      <c r="G195">
        <v>0.9</v>
      </c>
      <c r="H195">
        <v>9.1</v>
      </c>
      <c r="I195">
        <v>0</v>
      </c>
      <c r="J195">
        <v>0</v>
      </c>
      <c r="K195">
        <v>10</v>
      </c>
      <c r="L195" t="s">
        <v>61</v>
      </c>
      <c r="M195">
        <v>286</v>
      </c>
      <c r="N195">
        <v>28.6</v>
      </c>
      <c r="O195" t="s">
        <v>62</v>
      </c>
      <c r="P195" t="s">
        <v>67</v>
      </c>
      <c r="Q195">
        <v>3068</v>
      </c>
      <c r="R195">
        <v>306.8</v>
      </c>
    </row>
    <row r="196" spans="1:18" x14ac:dyDescent="0.35">
      <c r="A196" t="s">
        <v>56</v>
      </c>
      <c r="B196" t="s">
        <v>57</v>
      </c>
      <c r="C196" t="s">
        <v>58</v>
      </c>
      <c r="D196">
        <v>107820116</v>
      </c>
      <c r="E196" t="s">
        <v>102</v>
      </c>
      <c r="F196" t="s">
        <v>60</v>
      </c>
      <c r="G196">
        <v>0.9</v>
      </c>
      <c r="H196">
        <v>9.1</v>
      </c>
      <c r="I196">
        <v>0</v>
      </c>
      <c r="J196">
        <v>0</v>
      </c>
      <c r="K196">
        <v>10</v>
      </c>
      <c r="L196" t="s">
        <v>61</v>
      </c>
      <c r="M196">
        <v>286</v>
      </c>
      <c r="N196">
        <v>28.6</v>
      </c>
      <c r="O196" t="s">
        <v>68</v>
      </c>
      <c r="P196" t="s">
        <v>67</v>
      </c>
      <c r="Q196">
        <v>286</v>
      </c>
      <c r="R196">
        <v>28.6</v>
      </c>
    </row>
    <row r="197" spans="1:18" x14ac:dyDescent="0.35">
      <c r="A197" t="s">
        <v>56</v>
      </c>
      <c r="B197" t="s">
        <v>57</v>
      </c>
      <c r="C197" t="s">
        <v>58</v>
      </c>
      <c r="D197">
        <v>107820116</v>
      </c>
      <c r="E197" t="s">
        <v>102</v>
      </c>
      <c r="F197" t="s">
        <v>60</v>
      </c>
      <c r="G197">
        <v>0.9</v>
      </c>
      <c r="H197">
        <v>9.1</v>
      </c>
      <c r="I197">
        <v>0</v>
      </c>
      <c r="J197">
        <v>0</v>
      </c>
      <c r="K197">
        <v>10</v>
      </c>
      <c r="L197" t="s">
        <v>61</v>
      </c>
      <c r="M197">
        <v>286</v>
      </c>
      <c r="N197">
        <v>28.6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58</v>
      </c>
      <c r="D198">
        <v>107824169</v>
      </c>
      <c r="E198" t="s">
        <v>103</v>
      </c>
      <c r="F198" t="s">
        <v>60</v>
      </c>
      <c r="G198">
        <v>0.23</v>
      </c>
      <c r="H198">
        <v>9.77</v>
      </c>
      <c r="I198">
        <v>0</v>
      </c>
      <c r="J198">
        <v>0</v>
      </c>
      <c r="K198">
        <v>10</v>
      </c>
      <c r="L198" t="s">
        <v>61</v>
      </c>
      <c r="M198">
        <v>245</v>
      </c>
      <c r="N198">
        <v>24.5</v>
      </c>
      <c r="O198" t="s">
        <v>62</v>
      </c>
      <c r="P198" t="s">
        <v>63</v>
      </c>
      <c r="Q198">
        <v>222</v>
      </c>
      <c r="R198">
        <v>973.45</v>
      </c>
    </row>
    <row r="199" spans="1:18" x14ac:dyDescent="0.35">
      <c r="A199" t="s">
        <v>56</v>
      </c>
      <c r="B199" t="s">
        <v>57</v>
      </c>
      <c r="C199" t="s">
        <v>58</v>
      </c>
      <c r="D199">
        <v>107824169</v>
      </c>
      <c r="E199" t="s">
        <v>103</v>
      </c>
      <c r="F199" t="s">
        <v>60</v>
      </c>
      <c r="G199">
        <v>0.23</v>
      </c>
      <c r="H199">
        <v>9.77</v>
      </c>
      <c r="I199">
        <v>0</v>
      </c>
      <c r="J199">
        <v>0</v>
      </c>
      <c r="K199">
        <v>10</v>
      </c>
      <c r="L199" t="s">
        <v>61</v>
      </c>
      <c r="M199">
        <v>245</v>
      </c>
      <c r="N199">
        <v>24.5</v>
      </c>
      <c r="O199" t="s">
        <v>62</v>
      </c>
      <c r="P199" t="s">
        <v>64</v>
      </c>
      <c r="Q199">
        <v>1771</v>
      </c>
      <c r="R199">
        <v>181.24</v>
      </c>
    </row>
    <row r="200" spans="1:18" x14ac:dyDescent="0.35">
      <c r="A200" t="s">
        <v>56</v>
      </c>
      <c r="B200" t="s">
        <v>57</v>
      </c>
      <c r="C200" t="s">
        <v>58</v>
      </c>
      <c r="D200">
        <v>107824169</v>
      </c>
      <c r="E200" t="s">
        <v>103</v>
      </c>
      <c r="F200" t="s">
        <v>60</v>
      </c>
      <c r="G200">
        <v>0.23</v>
      </c>
      <c r="H200">
        <v>9.77</v>
      </c>
      <c r="I200">
        <v>0</v>
      </c>
      <c r="J200">
        <v>0</v>
      </c>
      <c r="K200">
        <v>10</v>
      </c>
      <c r="L200" t="s">
        <v>61</v>
      </c>
      <c r="M200">
        <v>245</v>
      </c>
      <c r="N200">
        <v>24.5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58</v>
      </c>
      <c r="D201">
        <v>107824169</v>
      </c>
      <c r="E201" t="s">
        <v>103</v>
      </c>
      <c r="F201" t="s">
        <v>60</v>
      </c>
      <c r="G201">
        <v>0.23</v>
      </c>
      <c r="H201">
        <v>9.77</v>
      </c>
      <c r="I201">
        <v>0</v>
      </c>
      <c r="J201">
        <v>0</v>
      </c>
      <c r="K201">
        <v>10</v>
      </c>
      <c r="L201" t="s">
        <v>61</v>
      </c>
      <c r="M201">
        <v>245</v>
      </c>
      <c r="N201">
        <v>24.5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58</v>
      </c>
      <c r="D202">
        <v>107824169</v>
      </c>
      <c r="E202" t="s">
        <v>103</v>
      </c>
      <c r="F202" t="s">
        <v>60</v>
      </c>
      <c r="G202">
        <v>0.23</v>
      </c>
      <c r="H202">
        <v>9.77</v>
      </c>
      <c r="I202">
        <v>0</v>
      </c>
      <c r="J202">
        <v>0</v>
      </c>
      <c r="K202">
        <v>10</v>
      </c>
      <c r="L202" t="s">
        <v>61</v>
      </c>
      <c r="M202">
        <v>245</v>
      </c>
      <c r="N202">
        <v>24.5</v>
      </c>
      <c r="O202" t="s">
        <v>62</v>
      </c>
      <c r="P202" t="s">
        <v>67</v>
      </c>
      <c r="Q202">
        <v>1993</v>
      </c>
      <c r="R202">
        <v>199.3</v>
      </c>
    </row>
    <row r="203" spans="1:18" x14ac:dyDescent="0.35">
      <c r="A203" t="s">
        <v>56</v>
      </c>
      <c r="B203" t="s">
        <v>57</v>
      </c>
      <c r="C203" t="s">
        <v>58</v>
      </c>
      <c r="D203">
        <v>107824169</v>
      </c>
      <c r="E203" t="s">
        <v>103</v>
      </c>
      <c r="F203" t="s">
        <v>60</v>
      </c>
      <c r="G203">
        <v>0.23</v>
      </c>
      <c r="H203">
        <v>9.77</v>
      </c>
      <c r="I203">
        <v>0</v>
      </c>
      <c r="J203">
        <v>0</v>
      </c>
      <c r="K203">
        <v>10</v>
      </c>
      <c r="L203" t="s">
        <v>61</v>
      </c>
      <c r="M203">
        <v>245</v>
      </c>
      <c r="N203">
        <v>24.5</v>
      </c>
      <c r="O203" t="s">
        <v>68</v>
      </c>
      <c r="P203" t="s">
        <v>67</v>
      </c>
      <c r="Q203">
        <v>245</v>
      </c>
      <c r="R203">
        <v>24.5</v>
      </c>
    </row>
    <row r="204" spans="1:18" x14ac:dyDescent="0.35">
      <c r="A204" t="s">
        <v>56</v>
      </c>
      <c r="B204" t="s">
        <v>57</v>
      </c>
      <c r="C204" t="s">
        <v>58</v>
      </c>
      <c r="D204">
        <v>107824169</v>
      </c>
      <c r="E204" t="s">
        <v>103</v>
      </c>
      <c r="F204" t="s">
        <v>60</v>
      </c>
      <c r="G204">
        <v>0.23</v>
      </c>
      <c r="H204">
        <v>9.77</v>
      </c>
      <c r="I204">
        <v>0</v>
      </c>
      <c r="J204">
        <v>0</v>
      </c>
      <c r="K204">
        <v>10</v>
      </c>
      <c r="L204" t="s">
        <v>61</v>
      </c>
      <c r="M204">
        <v>245</v>
      </c>
      <c r="N204">
        <v>24.5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107826180</v>
      </c>
      <c r="E205" t="s">
        <v>566</v>
      </c>
      <c r="F205" t="s">
        <v>60</v>
      </c>
      <c r="G205">
        <v>0.68</v>
      </c>
      <c r="H205">
        <v>9.57</v>
      </c>
      <c r="I205">
        <v>0.08</v>
      </c>
      <c r="J205">
        <v>0</v>
      </c>
      <c r="K205">
        <v>10.33</v>
      </c>
      <c r="L205" t="s">
        <v>61</v>
      </c>
      <c r="M205">
        <v>409</v>
      </c>
      <c r="N205">
        <v>39.58</v>
      </c>
      <c r="O205" t="s">
        <v>62</v>
      </c>
      <c r="P205" t="s">
        <v>63</v>
      </c>
      <c r="Q205">
        <v>1090</v>
      </c>
      <c r="R205">
        <v>1604.91</v>
      </c>
    </row>
    <row r="206" spans="1:18" x14ac:dyDescent="0.35">
      <c r="A206" t="s">
        <v>56</v>
      </c>
      <c r="B206" t="s">
        <v>57</v>
      </c>
      <c r="C206" t="s">
        <v>70</v>
      </c>
      <c r="D206">
        <v>107826180</v>
      </c>
      <c r="E206" t="s">
        <v>566</v>
      </c>
      <c r="F206" t="s">
        <v>60</v>
      </c>
      <c r="G206">
        <v>0.68</v>
      </c>
      <c r="H206">
        <v>9.57</v>
      </c>
      <c r="I206">
        <v>0.08</v>
      </c>
      <c r="J206">
        <v>0</v>
      </c>
      <c r="K206">
        <v>10.33</v>
      </c>
      <c r="L206" t="s">
        <v>61</v>
      </c>
      <c r="M206">
        <v>409</v>
      </c>
      <c r="N206">
        <v>39.58</v>
      </c>
      <c r="O206" t="s">
        <v>62</v>
      </c>
      <c r="P206" t="s">
        <v>64</v>
      </c>
      <c r="Q206">
        <v>2862</v>
      </c>
      <c r="R206">
        <v>298.93</v>
      </c>
    </row>
    <row r="207" spans="1:18" x14ac:dyDescent="0.35">
      <c r="A207" t="s">
        <v>56</v>
      </c>
      <c r="B207" t="s">
        <v>57</v>
      </c>
      <c r="C207" t="s">
        <v>70</v>
      </c>
      <c r="D207">
        <v>107826180</v>
      </c>
      <c r="E207" t="s">
        <v>566</v>
      </c>
      <c r="F207" t="s">
        <v>60</v>
      </c>
      <c r="G207">
        <v>0.68</v>
      </c>
      <c r="H207">
        <v>9.57</v>
      </c>
      <c r="I207">
        <v>0.08</v>
      </c>
      <c r="J207">
        <v>0</v>
      </c>
      <c r="K207">
        <v>10.33</v>
      </c>
      <c r="L207" t="s">
        <v>61</v>
      </c>
      <c r="M207">
        <v>409</v>
      </c>
      <c r="N207">
        <v>39.58</v>
      </c>
      <c r="O207" t="s">
        <v>62</v>
      </c>
      <c r="P207" t="s">
        <v>65</v>
      </c>
      <c r="Q207">
        <v>18</v>
      </c>
      <c r="R207">
        <v>225.78</v>
      </c>
    </row>
    <row r="208" spans="1:18" x14ac:dyDescent="0.35">
      <c r="A208" t="s">
        <v>56</v>
      </c>
      <c r="B208" t="s">
        <v>57</v>
      </c>
      <c r="C208" t="s">
        <v>70</v>
      </c>
      <c r="D208">
        <v>107826180</v>
      </c>
      <c r="E208" t="s">
        <v>566</v>
      </c>
      <c r="F208" t="s">
        <v>60</v>
      </c>
      <c r="G208">
        <v>0.68</v>
      </c>
      <c r="H208">
        <v>9.57</v>
      </c>
      <c r="I208">
        <v>0.08</v>
      </c>
      <c r="J208">
        <v>0</v>
      </c>
      <c r="K208">
        <v>10.33</v>
      </c>
      <c r="L208" t="s">
        <v>61</v>
      </c>
      <c r="M208">
        <v>409</v>
      </c>
      <c r="N208">
        <v>39.58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107826180</v>
      </c>
      <c r="E209" t="s">
        <v>566</v>
      </c>
      <c r="F209" t="s">
        <v>60</v>
      </c>
      <c r="G209">
        <v>0.68</v>
      </c>
      <c r="H209">
        <v>9.57</v>
      </c>
      <c r="I209">
        <v>0.08</v>
      </c>
      <c r="J209">
        <v>0</v>
      </c>
      <c r="K209">
        <v>10.33</v>
      </c>
      <c r="L209" t="s">
        <v>61</v>
      </c>
      <c r="M209">
        <v>409</v>
      </c>
      <c r="N209">
        <v>39.58</v>
      </c>
      <c r="O209" t="s">
        <v>62</v>
      </c>
      <c r="P209" t="s">
        <v>67</v>
      </c>
      <c r="Q209">
        <v>3970</v>
      </c>
      <c r="R209">
        <v>384.19</v>
      </c>
    </row>
    <row r="210" spans="1:18" x14ac:dyDescent="0.35">
      <c r="A210" t="s">
        <v>56</v>
      </c>
      <c r="B210" t="s">
        <v>57</v>
      </c>
      <c r="C210" t="s">
        <v>70</v>
      </c>
      <c r="D210">
        <v>107826180</v>
      </c>
      <c r="E210" t="s">
        <v>566</v>
      </c>
      <c r="F210" t="s">
        <v>60</v>
      </c>
      <c r="G210">
        <v>0.68</v>
      </c>
      <c r="H210">
        <v>9.57</v>
      </c>
      <c r="I210">
        <v>0.08</v>
      </c>
      <c r="J210">
        <v>0</v>
      </c>
      <c r="K210">
        <v>10.33</v>
      </c>
      <c r="L210" t="s">
        <v>61</v>
      </c>
      <c r="M210">
        <v>409</v>
      </c>
      <c r="N210">
        <v>39.58</v>
      </c>
      <c r="O210" t="s">
        <v>68</v>
      </c>
      <c r="P210" t="s">
        <v>67</v>
      </c>
      <c r="Q210">
        <v>409</v>
      </c>
      <c r="R210">
        <v>39.58</v>
      </c>
    </row>
    <row r="211" spans="1:18" x14ac:dyDescent="0.35">
      <c r="A211" t="s">
        <v>56</v>
      </c>
      <c r="B211" t="s">
        <v>57</v>
      </c>
      <c r="C211" t="s">
        <v>70</v>
      </c>
      <c r="D211">
        <v>107826180</v>
      </c>
      <c r="E211" t="s">
        <v>566</v>
      </c>
      <c r="F211" t="s">
        <v>60</v>
      </c>
      <c r="G211">
        <v>0.68</v>
      </c>
      <c r="H211">
        <v>9.57</v>
      </c>
      <c r="I211">
        <v>0.08</v>
      </c>
      <c r="J211">
        <v>0</v>
      </c>
      <c r="K211">
        <v>10.33</v>
      </c>
      <c r="L211" t="s">
        <v>61</v>
      </c>
      <c r="M211">
        <v>409</v>
      </c>
      <c r="N211">
        <v>39.58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58</v>
      </c>
      <c r="D212">
        <v>107826193</v>
      </c>
      <c r="E212" t="s">
        <v>538</v>
      </c>
      <c r="F212" t="s">
        <v>60</v>
      </c>
      <c r="G212">
        <v>0.54</v>
      </c>
      <c r="H212">
        <v>9.4600000000000009</v>
      </c>
      <c r="I212">
        <v>0</v>
      </c>
      <c r="J212">
        <v>0</v>
      </c>
      <c r="K212">
        <v>10</v>
      </c>
      <c r="L212" t="s">
        <v>61</v>
      </c>
      <c r="M212">
        <v>396</v>
      </c>
      <c r="N212">
        <v>39.6</v>
      </c>
      <c r="O212" t="s">
        <v>62</v>
      </c>
      <c r="P212" t="s">
        <v>63</v>
      </c>
      <c r="Q212">
        <v>478</v>
      </c>
      <c r="R212">
        <v>880.66</v>
      </c>
    </row>
    <row r="213" spans="1:18" x14ac:dyDescent="0.35">
      <c r="A213" t="s">
        <v>56</v>
      </c>
      <c r="B213" t="s">
        <v>57</v>
      </c>
      <c r="C213" t="s">
        <v>58</v>
      </c>
      <c r="D213">
        <v>107826193</v>
      </c>
      <c r="E213" t="s">
        <v>538</v>
      </c>
      <c r="F213" t="s">
        <v>60</v>
      </c>
      <c r="G213">
        <v>0.54</v>
      </c>
      <c r="H213">
        <v>9.4600000000000009</v>
      </c>
      <c r="I213">
        <v>0</v>
      </c>
      <c r="J213">
        <v>0</v>
      </c>
      <c r="K213">
        <v>10</v>
      </c>
      <c r="L213" t="s">
        <v>61</v>
      </c>
      <c r="M213">
        <v>396</v>
      </c>
      <c r="N213">
        <v>39.6</v>
      </c>
      <c r="O213" t="s">
        <v>62</v>
      </c>
      <c r="P213" t="s">
        <v>64</v>
      </c>
      <c r="Q213">
        <v>1551</v>
      </c>
      <c r="R213">
        <v>164.01</v>
      </c>
    </row>
    <row r="214" spans="1:18" x14ac:dyDescent="0.35">
      <c r="A214" t="s">
        <v>56</v>
      </c>
      <c r="B214" t="s">
        <v>57</v>
      </c>
      <c r="C214" t="s">
        <v>58</v>
      </c>
      <c r="D214">
        <v>107826193</v>
      </c>
      <c r="E214" t="s">
        <v>538</v>
      </c>
      <c r="F214" t="s">
        <v>60</v>
      </c>
      <c r="G214">
        <v>0.54</v>
      </c>
      <c r="H214">
        <v>9.4600000000000009</v>
      </c>
      <c r="I214">
        <v>0</v>
      </c>
      <c r="J214">
        <v>0</v>
      </c>
      <c r="K214">
        <v>10</v>
      </c>
      <c r="L214" t="s">
        <v>61</v>
      </c>
      <c r="M214">
        <v>396</v>
      </c>
      <c r="N214">
        <v>39.6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58</v>
      </c>
      <c r="D215">
        <v>107826193</v>
      </c>
      <c r="E215" t="s">
        <v>538</v>
      </c>
      <c r="F215" t="s">
        <v>60</v>
      </c>
      <c r="G215">
        <v>0.54</v>
      </c>
      <c r="H215">
        <v>9.4600000000000009</v>
      </c>
      <c r="I215">
        <v>0</v>
      </c>
      <c r="J215">
        <v>0</v>
      </c>
      <c r="K215">
        <v>10</v>
      </c>
      <c r="L215" t="s">
        <v>61</v>
      </c>
      <c r="M215">
        <v>396</v>
      </c>
      <c r="N215">
        <v>39.6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58</v>
      </c>
      <c r="D216">
        <v>107826193</v>
      </c>
      <c r="E216" t="s">
        <v>538</v>
      </c>
      <c r="F216" t="s">
        <v>60</v>
      </c>
      <c r="G216">
        <v>0.54</v>
      </c>
      <c r="H216">
        <v>9.4600000000000009</v>
      </c>
      <c r="I216">
        <v>0</v>
      </c>
      <c r="J216">
        <v>0</v>
      </c>
      <c r="K216">
        <v>10</v>
      </c>
      <c r="L216" t="s">
        <v>61</v>
      </c>
      <c r="M216">
        <v>396</v>
      </c>
      <c r="N216">
        <v>39.6</v>
      </c>
      <c r="O216" t="s">
        <v>62</v>
      </c>
      <c r="P216" t="s">
        <v>67</v>
      </c>
      <c r="Q216">
        <v>2029</v>
      </c>
      <c r="R216">
        <v>202.9</v>
      </c>
    </row>
    <row r="217" spans="1:18" x14ac:dyDescent="0.35">
      <c r="A217" t="s">
        <v>56</v>
      </c>
      <c r="B217" t="s">
        <v>57</v>
      </c>
      <c r="C217" t="s">
        <v>58</v>
      </c>
      <c r="D217">
        <v>107826193</v>
      </c>
      <c r="E217" t="s">
        <v>538</v>
      </c>
      <c r="F217" t="s">
        <v>60</v>
      </c>
      <c r="G217">
        <v>0.54</v>
      </c>
      <c r="H217">
        <v>9.4600000000000009</v>
      </c>
      <c r="I217">
        <v>0</v>
      </c>
      <c r="J217">
        <v>0</v>
      </c>
      <c r="K217">
        <v>10</v>
      </c>
      <c r="L217" t="s">
        <v>61</v>
      </c>
      <c r="M217">
        <v>396</v>
      </c>
      <c r="N217">
        <v>39.6</v>
      </c>
      <c r="O217" t="s">
        <v>68</v>
      </c>
      <c r="P217" t="s">
        <v>67</v>
      </c>
      <c r="Q217">
        <v>396</v>
      </c>
      <c r="R217">
        <v>39.6</v>
      </c>
    </row>
    <row r="218" spans="1:18" x14ac:dyDescent="0.35">
      <c r="A218" t="s">
        <v>56</v>
      </c>
      <c r="B218" t="s">
        <v>57</v>
      </c>
      <c r="C218" t="s">
        <v>58</v>
      </c>
      <c r="D218">
        <v>107826193</v>
      </c>
      <c r="E218" t="s">
        <v>538</v>
      </c>
      <c r="F218" t="s">
        <v>60</v>
      </c>
      <c r="G218">
        <v>0.54</v>
      </c>
      <c r="H218">
        <v>9.4600000000000009</v>
      </c>
      <c r="I218">
        <v>0</v>
      </c>
      <c r="J218">
        <v>0</v>
      </c>
      <c r="K218">
        <v>10</v>
      </c>
      <c r="L218" t="s">
        <v>61</v>
      </c>
      <c r="M218">
        <v>396</v>
      </c>
      <c r="N218">
        <v>39.6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58</v>
      </c>
      <c r="D219">
        <v>107826201</v>
      </c>
      <c r="E219" t="s">
        <v>539</v>
      </c>
      <c r="F219" t="s">
        <v>60</v>
      </c>
      <c r="G219">
        <v>0.06</v>
      </c>
      <c r="H219">
        <v>10.09</v>
      </c>
      <c r="I219">
        <v>0</v>
      </c>
      <c r="J219">
        <v>0</v>
      </c>
      <c r="K219">
        <v>10.15</v>
      </c>
      <c r="L219" t="s">
        <v>61</v>
      </c>
      <c r="M219">
        <v>270</v>
      </c>
      <c r="N219">
        <v>26.6</v>
      </c>
      <c r="O219" t="s">
        <v>62</v>
      </c>
      <c r="P219" t="s">
        <v>63</v>
      </c>
      <c r="Q219">
        <v>58</v>
      </c>
      <c r="R219">
        <v>903.9</v>
      </c>
    </row>
    <row r="220" spans="1:18" x14ac:dyDescent="0.35">
      <c r="A220" t="s">
        <v>56</v>
      </c>
      <c r="B220" t="s">
        <v>57</v>
      </c>
      <c r="C220" t="s">
        <v>58</v>
      </c>
      <c r="D220">
        <v>107826201</v>
      </c>
      <c r="E220" t="s">
        <v>539</v>
      </c>
      <c r="F220" t="s">
        <v>60</v>
      </c>
      <c r="G220">
        <v>0.06</v>
      </c>
      <c r="H220">
        <v>10.09</v>
      </c>
      <c r="I220">
        <v>0</v>
      </c>
      <c r="J220">
        <v>0</v>
      </c>
      <c r="K220">
        <v>10.15</v>
      </c>
      <c r="L220" t="s">
        <v>61</v>
      </c>
      <c r="M220">
        <v>270</v>
      </c>
      <c r="N220">
        <v>26.6</v>
      </c>
      <c r="O220" t="s">
        <v>62</v>
      </c>
      <c r="P220" t="s">
        <v>64</v>
      </c>
      <c r="Q220">
        <v>1693</v>
      </c>
      <c r="R220">
        <v>167.86</v>
      </c>
    </row>
    <row r="221" spans="1:18" x14ac:dyDescent="0.35">
      <c r="A221" t="s">
        <v>56</v>
      </c>
      <c r="B221" t="s">
        <v>57</v>
      </c>
      <c r="C221" t="s">
        <v>58</v>
      </c>
      <c r="D221">
        <v>107826201</v>
      </c>
      <c r="E221" t="s">
        <v>539</v>
      </c>
      <c r="F221" t="s">
        <v>60</v>
      </c>
      <c r="G221">
        <v>0.06</v>
      </c>
      <c r="H221">
        <v>10.09</v>
      </c>
      <c r="I221">
        <v>0</v>
      </c>
      <c r="J221">
        <v>0</v>
      </c>
      <c r="K221">
        <v>10.15</v>
      </c>
      <c r="L221" t="s">
        <v>61</v>
      </c>
      <c r="M221">
        <v>270</v>
      </c>
      <c r="N221">
        <v>26.6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58</v>
      </c>
      <c r="D222">
        <v>107826201</v>
      </c>
      <c r="E222" t="s">
        <v>539</v>
      </c>
      <c r="F222" t="s">
        <v>60</v>
      </c>
      <c r="G222">
        <v>0.06</v>
      </c>
      <c r="H222">
        <v>10.09</v>
      </c>
      <c r="I222">
        <v>0</v>
      </c>
      <c r="J222">
        <v>0</v>
      </c>
      <c r="K222">
        <v>10.15</v>
      </c>
      <c r="L222" t="s">
        <v>61</v>
      </c>
      <c r="M222">
        <v>270</v>
      </c>
      <c r="N222">
        <v>26.6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58</v>
      </c>
      <c r="D223">
        <v>107826201</v>
      </c>
      <c r="E223" t="s">
        <v>539</v>
      </c>
      <c r="F223" t="s">
        <v>60</v>
      </c>
      <c r="G223">
        <v>0.06</v>
      </c>
      <c r="H223">
        <v>10.09</v>
      </c>
      <c r="I223">
        <v>0</v>
      </c>
      <c r="J223">
        <v>0</v>
      </c>
      <c r="K223">
        <v>10.15</v>
      </c>
      <c r="L223" t="s">
        <v>61</v>
      </c>
      <c r="M223">
        <v>270</v>
      </c>
      <c r="N223">
        <v>26.6</v>
      </c>
      <c r="O223" t="s">
        <v>62</v>
      </c>
      <c r="P223" t="s">
        <v>67</v>
      </c>
      <c r="Q223">
        <v>1751</v>
      </c>
      <c r="R223">
        <v>172.51</v>
      </c>
    </row>
    <row r="224" spans="1:18" x14ac:dyDescent="0.35">
      <c r="A224" t="s">
        <v>56</v>
      </c>
      <c r="B224" t="s">
        <v>57</v>
      </c>
      <c r="C224" t="s">
        <v>58</v>
      </c>
      <c r="D224">
        <v>107826201</v>
      </c>
      <c r="E224" t="s">
        <v>539</v>
      </c>
      <c r="F224" t="s">
        <v>60</v>
      </c>
      <c r="G224">
        <v>0.06</v>
      </c>
      <c r="H224">
        <v>10.09</v>
      </c>
      <c r="I224">
        <v>0</v>
      </c>
      <c r="J224">
        <v>0</v>
      </c>
      <c r="K224">
        <v>10.15</v>
      </c>
      <c r="L224" t="s">
        <v>61</v>
      </c>
      <c r="M224">
        <v>270</v>
      </c>
      <c r="N224">
        <v>26.6</v>
      </c>
      <c r="O224" t="s">
        <v>68</v>
      </c>
      <c r="P224" t="s">
        <v>67</v>
      </c>
      <c r="Q224">
        <v>270</v>
      </c>
      <c r="R224">
        <v>26.6</v>
      </c>
    </row>
    <row r="225" spans="1:18" x14ac:dyDescent="0.35">
      <c r="A225" t="s">
        <v>56</v>
      </c>
      <c r="B225" t="s">
        <v>57</v>
      </c>
      <c r="C225" t="s">
        <v>58</v>
      </c>
      <c r="D225">
        <v>107826201</v>
      </c>
      <c r="E225" t="s">
        <v>539</v>
      </c>
      <c r="F225" t="s">
        <v>60</v>
      </c>
      <c r="G225">
        <v>0.06</v>
      </c>
      <c r="H225">
        <v>10.09</v>
      </c>
      <c r="I225">
        <v>0</v>
      </c>
      <c r="J225">
        <v>0</v>
      </c>
      <c r="K225">
        <v>10.15</v>
      </c>
      <c r="L225" t="s">
        <v>61</v>
      </c>
      <c r="M225">
        <v>270</v>
      </c>
      <c r="N225">
        <v>26.6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70</v>
      </c>
      <c r="D226">
        <v>107826202</v>
      </c>
      <c r="E226" t="s">
        <v>568</v>
      </c>
      <c r="F226" t="s">
        <v>60</v>
      </c>
      <c r="G226">
        <v>0.03</v>
      </c>
      <c r="H226">
        <v>10.119999999999999</v>
      </c>
      <c r="I226">
        <v>0</v>
      </c>
      <c r="J226">
        <v>0</v>
      </c>
      <c r="K226">
        <v>10.15</v>
      </c>
      <c r="L226" t="s">
        <v>61</v>
      </c>
      <c r="M226">
        <v>325</v>
      </c>
      <c r="N226">
        <v>32.020000000000003</v>
      </c>
      <c r="O226" t="s">
        <v>62</v>
      </c>
      <c r="P226" t="s">
        <v>63</v>
      </c>
      <c r="Q226">
        <v>36</v>
      </c>
      <c r="R226">
        <v>1440</v>
      </c>
    </row>
    <row r="227" spans="1:18" x14ac:dyDescent="0.35">
      <c r="A227" t="s">
        <v>56</v>
      </c>
      <c r="B227" t="s">
        <v>57</v>
      </c>
      <c r="C227" t="s">
        <v>70</v>
      </c>
      <c r="D227">
        <v>107826202</v>
      </c>
      <c r="E227" t="s">
        <v>568</v>
      </c>
      <c r="F227" t="s">
        <v>60</v>
      </c>
      <c r="G227">
        <v>0.03</v>
      </c>
      <c r="H227">
        <v>10.119999999999999</v>
      </c>
      <c r="I227">
        <v>0</v>
      </c>
      <c r="J227">
        <v>0</v>
      </c>
      <c r="K227">
        <v>10.15</v>
      </c>
      <c r="L227" t="s">
        <v>61</v>
      </c>
      <c r="M227">
        <v>325</v>
      </c>
      <c r="N227">
        <v>32.020000000000003</v>
      </c>
      <c r="O227" t="s">
        <v>62</v>
      </c>
      <c r="P227" t="s">
        <v>64</v>
      </c>
      <c r="Q227">
        <v>2706</v>
      </c>
      <c r="R227">
        <v>267.27</v>
      </c>
    </row>
    <row r="228" spans="1:18" x14ac:dyDescent="0.35">
      <c r="A228" t="s">
        <v>56</v>
      </c>
      <c r="B228" t="s">
        <v>57</v>
      </c>
      <c r="C228" t="s">
        <v>70</v>
      </c>
      <c r="D228">
        <v>107826202</v>
      </c>
      <c r="E228" t="s">
        <v>568</v>
      </c>
      <c r="F228" t="s">
        <v>60</v>
      </c>
      <c r="G228">
        <v>0.03</v>
      </c>
      <c r="H228">
        <v>10.119999999999999</v>
      </c>
      <c r="I228">
        <v>0</v>
      </c>
      <c r="J228">
        <v>0</v>
      </c>
      <c r="K228">
        <v>10.15</v>
      </c>
      <c r="L228" t="s">
        <v>61</v>
      </c>
      <c r="M228">
        <v>325</v>
      </c>
      <c r="N228">
        <v>32.020000000000003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70</v>
      </c>
      <c r="D229">
        <v>107826202</v>
      </c>
      <c r="E229" t="s">
        <v>568</v>
      </c>
      <c r="F229" t="s">
        <v>60</v>
      </c>
      <c r="G229">
        <v>0.03</v>
      </c>
      <c r="H229">
        <v>10.119999999999999</v>
      </c>
      <c r="I229">
        <v>0</v>
      </c>
      <c r="J229">
        <v>0</v>
      </c>
      <c r="K229">
        <v>10.15</v>
      </c>
      <c r="L229" t="s">
        <v>61</v>
      </c>
      <c r="M229">
        <v>325</v>
      </c>
      <c r="N229">
        <v>32.020000000000003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70</v>
      </c>
      <c r="D230">
        <v>107826202</v>
      </c>
      <c r="E230" t="s">
        <v>568</v>
      </c>
      <c r="F230" t="s">
        <v>60</v>
      </c>
      <c r="G230">
        <v>0.03</v>
      </c>
      <c r="H230">
        <v>10.119999999999999</v>
      </c>
      <c r="I230">
        <v>0</v>
      </c>
      <c r="J230">
        <v>0</v>
      </c>
      <c r="K230">
        <v>10.15</v>
      </c>
      <c r="L230" t="s">
        <v>61</v>
      </c>
      <c r="M230">
        <v>325</v>
      </c>
      <c r="N230">
        <v>32.020000000000003</v>
      </c>
      <c r="O230" t="s">
        <v>62</v>
      </c>
      <c r="P230" t="s">
        <v>67</v>
      </c>
      <c r="Q230">
        <v>2742</v>
      </c>
      <c r="R230">
        <v>270.14999999999998</v>
      </c>
    </row>
    <row r="231" spans="1:18" x14ac:dyDescent="0.35">
      <c r="A231" t="s">
        <v>56</v>
      </c>
      <c r="B231" t="s">
        <v>57</v>
      </c>
      <c r="C231" t="s">
        <v>70</v>
      </c>
      <c r="D231">
        <v>107826202</v>
      </c>
      <c r="E231" t="s">
        <v>568</v>
      </c>
      <c r="F231" t="s">
        <v>60</v>
      </c>
      <c r="G231">
        <v>0.03</v>
      </c>
      <c r="H231">
        <v>10.119999999999999</v>
      </c>
      <c r="I231">
        <v>0</v>
      </c>
      <c r="J231">
        <v>0</v>
      </c>
      <c r="K231">
        <v>10.15</v>
      </c>
      <c r="L231" t="s">
        <v>61</v>
      </c>
      <c r="M231">
        <v>325</v>
      </c>
      <c r="N231">
        <v>32.020000000000003</v>
      </c>
      <c r="O231" t="s">
        <v>68</v>
      </c>
      <c r="P231" t="s">
        <v>67</v>
      </c>
      <c r="Q231">
        <v>325</v>
      </c>
      <c r="R231">
        <v>32.020000000000003</v>
      </c>
    </row>
    <row r="232" spans="1:18" x14ac:dyDescent="0.35">
      <c r="A232" t="s">
        <v>56</v>
      </c>
      <c r="B232" t="s">
        <v>57</v>
      </c>
      <c r="C232" t="s">
        <v>70</v>
      </c>
      <c r="D232">
        <v>107826202</v>
      </c>
      <c r="E232" t="s">
        <v>568</v>
      </c>
      <c r="F232" t="s">
        <v>60</v>
      </c>
      <c r="G232">
        <v>0.03</v>
      </c>
      <c r="H232">
        <v>10.119999999999999</v>
      </c>
      <c r="I232">
        <v>0</v>
      </c>
      <c r="J232">
        <v>0</v>
      </c>
      <c r="K232">
        <v>10.15</v>
      </c>
      <c r="L232" t="s">
        <v>61</v>
      </c>
      <c r="M232">
        <v>325</v>
      </c>
      <c r="N232">
        <v>32.020000000000003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70</v>
      </c>
      <c r="D233">
        <v>107826232</v>
      </c>
      <c r="E233" t="s">
        <v>540</v>
      </c>
      <c r="F233" t="s">
        <v>60</v>
      </c>
      <c r="G233">
        <v>0.68</v>
      </c>
      <c r="H233">
        <v>9.4499999999999993</v>
      </c>
      <c r="I233">
        <v>0</v>
      </c>
      <c r="J233">
        <v>0</v>
      </c>
      <c r="K233">
        <v>10.130000000000001</v>
      </c>
      <c r="L233" t="s">
        <v>61</v>
      </c>
      <c r="M233">
        <v>314</v>
      </c>
      <c r="N233">
        <v>30.99</v>
      </c>
      <c r="O233" t="s">
        <v>62</v>
      </c>
      <c r="P233" t="s">
        <v>63</v>
      </c>
      <c r="Q233">
        <v>670</v>
      </c>
      <c r="R233">
        <v>978.5</v>
      </c>
    </row>
    <row r="234" spans="1:18" x14ac:dyDescent="0.35">
      <c r="A234" t="s">
        <v>56</v>
      </c>
      <c r="B234" t="s">
        <v>57</v>
      </c>
      <c r="C234" t="s">
        <v>70</v>
      </c>
      <c r="D234">
        <v>107826232</v>
      </c>
      <c r="E234" t="s">
        <v>540</v>
      </c>
      <c r="F234" t="s">
        <v>60</v>
      </c>
      <c r="G234">
        <v>0.68</v>
      </c>
      <c r="H234">
        <v>9.4499999999999993</v>
      </c>
      <c r="I234">
        <v>0</v>
      </c>
      <c r="J234">
        <v>0</v>
      </c>
      <c r="K234">
        <v>10.130000000000001</v>
      </c>
      <c r="L234" t="s">
        <v>61</v>
      </c>
      <c r="M234">
        <v>314</v>
      </c>
      <c r="N234">
        <v>30.99</v>
      </c>
      <c r="O234" t="s">
        <v>62</v>
      </c>
      <c r="P234" t="s">
        <v>64</v>
      </c>
      <c r="Q234">
        <v>1722</v>
      </c>
      <c r="R234">
        <v>182.25</v>
      </c>
    </row>
    <row r="235" spans="1:18" x14ac:dyDescent="0.35">
      <c r="A235" t="s">
        <v>56</v>
      </c>
      <c r="B235" t="s">
        <v>57</v>
      </c>
      <c r="C235" t="s">
        <v>70</v>
      </c>
      <c r="D235">
        <v>107826232</v>
      </c>
      <c r="E235" t="s">
        <v>540</v>
      </c>
      <c r="F235" t="s">
        <v>60</v>
      </c>
      <c r="G235">
        <v>0.68</v>
      </c>
      <c r="H235">
        <v>9.4499999999999993</v>
      </c>
      <c r="I235">
        <v>0</v>
      </c>
      <c r="J235">
        <v>0</v>
      </c>
      <c r="K235">
        <v>10.130000000000001</v>
      </c>
      <c r="L235" t="s">
        <v>61</v>
      </c>
      <c r="M235">
        <v>314</v>
      </c>
      <c r="N235">
        <v>30.99</v>
      </c>
      <c r="O235" t="s">
        <v>62</v>
      </c>
      <c r="P235" t="s">
        <v>65</v>
      </c>
      <c r="Q235">
        <v>0</v>
      </c>
      <c r="R235">
        <v>0</v>
      </c>
    </row>
    <row r="236" spans="1:18" x14ac:dyDescent="0.35">
      <c r="A236" t="s">
        <v>56</v>
      </c>
      <c r="B236" t="s">
        <v>57</v>
      </c>
      <c r="C236" t="s">
        <v>70</v>
      </c>
      <c r="D236">
        <v>107826232</v>
      </c>
      <c r="E236" t="s">
        <v>540</v>
      </c>
      <c r="F236" t="s">
        <v>60</v>
      </c>
      <c r="G236">
        <v>0.68</v>
      </c>
      <c r="H236">
        <v>9.4499999999999993</v>
      </c>
      <c r="I236">
        <v>0</v>
      </c>
      <c r="J236">
        <v>0</v>
      </c>
      <c r="K236">
        <v>10.130000000000001</v>
      </c>
      <c r="L236" t="s">
        <v>61</v>
      </c>
      <c r="M236">
        <v>314</v>
      </c>
      <c r="N236">
        <v>30.99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70</v>
      </c>
      <c r="D237">
        <v>107826232</v>
      </c>
      <c r="E237" t="s">
        <v>540</v>
      </c>
      <c r="F237" t="s">
        <v>60</v>
      </c>
      <c r="G237">
        <v>0.68</v>
      </c>
      <c r="H237">
        <v>9.4499999999999993</v>
      </c>
      <c r="I237">
        <v>0</v>
      </c>
      <c r="J237">
        <v>0</v>
      </c>
      <c r="K237">
        <v>10.130000000000001</v>
      </c>
      <c r="L237" t="s">
        <v>61</v>
      </c>
      <c r="M237">
        <v>314</v>
      </c>
      <c r="N237">
        <v>30.99</v>
      </c>
      <c r="O237" t="s">
        <v>62</v>
      </c>
      <c r="P237" t="s">
        <v>67</v>
      </c>
      <c r="Q237">
        <v>2392</v>
      </c>
      <c r="R237">
        <v>236.05</v>
      </c>
    </row>
    <row r="238" spans="1:18" x14ac:dyDescent="0.35">
      <c r="A238" t="s">
        <v>56</v>
      </c>
      <c r="B238" t="s">
        <v>57</v>
      </c>
      <c r="C238" t="s">
        <v>70</v>
      </c>
      <c r="D238">
        <v>107826232</v>
      </c>
      <c r="E238" t="s">
        <v>540</v>
      </c>
      <c r="F238" t="s">
        <v>60</v>
      </c>
      <c r="G238">
        <v>0.68</v>
      </c>
      <c r="H238">
        <v>9.4499999999999993</v>
      </c>
      <c r="I238">
        <v>0</v>
      </c>
      <c r="J238">
        <v>0</v>
      </c>
      <c r="K238">
        <v>10.130000000000001</v>
      </c>
      <c r="L238" t="s">
        <v>61</v>
      </c>
      <c r="M238">
        <v>314</v>
      </c>
      <c r="N238">
        <v>30.99</v>
      </c>
      <c r="O238" t="s">
        <v>68</v>
      </c>
      <c r="P238" t="s">
        <v>67</v>
      </c>
      <c r="Q238">
        <v>314</v>
      </c>
      <c r="R238">
        <v>30.99</v>
      </c>
    </row>
    <row r="239" spans="1:18" x14ac:dyDescent="0.35">
      <c r="A239" t="s">
        <v>56</v>
      </c>
      <c r="B239" t="s">
        <v>57</v>
      </c>
      <c r="C239" t="s">
        <v>70</v>
      </c>
      <c r="D239">
        <v>107826232</v>
      </c>
      <c r="E239" t="s">
        <v>540</v>
      </c>
      <c r="F239" t="s">
        <v>60</v>
      </c>
      <c r="G239">
        <v>0.68</v>
      </c>
      <c r="H239">
        <v>9.4499999999999993</v>
      </c>
      <c r="I239">
        <v>0</v>
      </c>
      <c r="J239">
        <v>0</v>
      </c>
      <c r="K239">
        <v>10.130000000000001</v>
      </c>
      <c r="L239" t="s">
        <v>61</v>
      </c>
      <c r="M239">
        <v>314</v>
      </c>
      <c r="N239">
        <v>30.99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107826262</v>
      </c>
      <c r="E240" t="s">
        <v>541</v>
      </c>
      <c r="F240" t="s">
        <v>60</v>
      </c>
      <c r="G240">
        <v>0.18</v>
      </c>
      <c r="H240">
        <v>4.54</v>
      </c>
      <c r="I240">
        <v>0</v>
      </c>
      <c r="J240">
        <v>0</v>
      </c>
      <c r="K240">
        <v>4.72</v>
      </c>
      <c r="L240" t="s">
        <v>61</v>
      </c>
      <c r="M240">
        <v>118</v>
      </c>
      <c r="N240">
        <v>25</v>
      </c>
      <c r="O240" t="s">
        <v>62</v>
      </c>
      <c r="P240" t="s">
        <v>63</v>
      </c>
      <c r="Q240">
        <v>136</v>
      </c>
      <c r="R240">
        <v>736.24</v>
      </c>
    </row>
    <row r="241" spans="1:18" x14ac:dyDescent="0.35">
      <c r="A241" t="s">
        <v>56</v>
      </c>
      <c r="B241" t="s">
        <v>57</v>
      </c>
      <c r="C241" t="s">
        <v>70</v>
      </c>
      <c r="D241">
        <v>107826262</v>
      </c>
      <c r="E241" t="s">
        <v>541</v>
      </c>
      <c r="F241" t="s">
        <v>60</v>
      </c>
      <c r="G241">
        <v>0.18</v>
      </c>
      <c r="H241">
        <v>4.54</v>
      </c>
      <c r="I241">
        <v>0</v>
      </c>
      <c r="J241">
        <v>0</v>
      </c>
      <c r="K241">
        <v>4.72</v>
      </c>
      <c r="L241" t="s">
        <v>61</v>
      </c>
      <c r="M241">
        <v>118</v>
      </c>
      <c r="N241">
        <v>25</v>
      </c>
      <c r="O241" t="s">
        <v>62</v>
      </c>
      <c r="P241" t="s">
        <v>64</v>
      </c>
      <c r="Q241">
        <v>622</v>
      </c>
      <c r="R241">
        <v>137.13</v>
      </c>
    </row>
    <row r="242" spans="1:18" x14ac:dyDescent="0.35">
      <c r="A242" t="s">
        <v>56</v>
      </c>
      <c r="B242" t="s">
        <v>57</v>
      </c>
      <c r="C242" t="s">
        <v>70</v>
      </c>
      <c r="D242">
        <v>107826262</v>
      </c>
      <c r="E242" t="s">
        <v>541</v>
      </c>
      <c r="F242" t="s">
        <v>60</v>
      </c>
      <c r="G242">
        <v>0.18</v>
      </c>
      <c r="H242">
        <v>4.54</v>
      </c>
      <c r="I242">
        <v>0</v>
      </c>
      <c r="J242">
        <v>0</v>
      </c>
      <c r="K242">
        <v>4.72</v>
      </c>
      <c r="L242" t="s">
        <v>61</v>
      </c>
      <c r="M242">
        <v>118</v>
      </c>
      <c r="N242">
        <v>25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107826262</v>
      </c>
      <c r="E243" t="s">
        <v>541</v>
      </c>
      <c r="F243" t="s">
        <v>60</v>
      </c>
      <c r="G243">
        <v>0.18</v>
      </c>
      <c r="H243">
        <v>4.54</v>
      </c>
      <c r="I243">
        <v>0</v>
      </c>
      <c r="J243">
        <v>0</v>
      </c>
      <c r="K243">
        <v>4.72</v>
      </c>
      <c r="L243" t="s">
        <v>61</v>
      </c>
      <c r="M243">
        <v>118</v>
      </c>
      <c r="N243">
        <v>25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107826262</v>
      </c>
      <c r="E244" t="s">
        <v>541</v>
      </c>
      <c r="F244" t="s">
        <v>60</v>
      </c>
      <c r="G244">
        <v>0.18</v>
      </c>
      <c r="H244">
        <v>4.54</v>
      </c>
      <c r="I244">
        <v>0</v>
      </c>
      <c r="J244">
        <v>0</v>
      </c>
      <c r="K244">
        <v>4.72</v>
      </c>
      <c r="L244" t="s">
        <v>61</v>
      </c>
      <c r="M244">
        <v>118</v>
      </c>
      <c r="N244">
        <v>25</v>
      </c>
      <c r="O244" t="s">
        <v>62</v>
      </c>
      <c r="P244" t="s">
        <v>67</v>
      </c>
      <c r="Q244">
        <v>758</v>
      </c>
      <c r="R244">
        <v>160.56</v>
      </c>
    </row>
    <row r="245" spans="1:18" x14ac:dyDescent="0.35">
      <c r="A245" t="s">
        <v>56</v>
      </c>
      <c r="B245" t="s">
        <v>57</v>
      </c>
      <c r="C245" t="s">
        <v>70</v>
      </c>
      <c r="D245">
        <v>107826262</v>
      </c>
      <c r="E245" t="s">
        <v>541</v>
      </c>
      <c r="F245" t="s">
        <v>60</v>
      </c>
      <c r="G245">
        <v>0.18</v>
      </c>
      <c r="H245">
        <v>4.54</v>
      </c>
      <c r="I245">
        <v>0</v>
      </c>
      <c r="J245">
        <v>0</v>
      </c>
      <c r="K245">
        <v>4.72</v>
      </c>
      <c r="L245" t="s">
        <v>61</v>
      </c>
      <c r="M245">
        <v>118</v>
      </c>
      <c r="N245">
        <v>25</v>
      </c>
      <c r="O245" t="s">
        <v>68</v>
      </c>
      <c r="P245" t="s">
        <v>67</v>
      </c>
      <c r="Q245">
        <v>118</v>
      </c>
      <c r="R245">
        <v>25</v>
      </c>
    </row>
    <row r="246" spans="1:18" x14ac:dyDescent="0.35">
      <c r="A246" t="s">
        <v>56</v>
      </c>
      <c r="B246" t="s">
        <v>57</v>
      </c>
      <c r="C246" t="s">
        <v>70</v>
      </c>
      <c r="D246">
        <v>107826262</v>
      </c>
      <c r="E246" t="s">
        <v>541</v>
      </c>
      <c r="F246" t="s">
        <v>60</v>
      </c>
      <c r="G246">
        <v>0.18</v>
      </c>
      <c r="H246">
        <v>4.54</v>
      </c>
      <c r="I246">
        <v>0</v>
      </c>
      <c r="J246">
        <v>0</v>
      </c>
      <c r="K246">
        <v>4.72</v>
      </c>
      <c r="L246" t="s">
        <v>61</v>
      </c>
      <c r="M246">
        <v>118</v>
      </c>
      <c r="N246">
        <v>25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58</v>
      </c>
      <c r="D247">
        <v>107907397</v>
      </c>
      <c r="E247" t="s">
        <v>105</v>
      </c>
      <c r="F247" t="s">
        <v>60</v>
      </c>
      <c r="G247">
        <v>0.72</v>
      </c>
      <c r="H247">
        <v>9.27</v>
      </c>
      <c r="I247">
        <v>0</v>
      </c>
      <c r="J247">
        <v>0</v>
      </c>
      <c r="K247">
        <v>10</v>
      </c>
      <c r="L247" t="s">
        <v>61</v>
      </c>
      <c r="M247">
        <v>308</v>
      </c>
      <c r="N247">
        <v>30.8</v>
      </c>
      <c r="O247" t="s">
        <v>62</v>
      </c>
      <c r="P247" t="s">
        <v>63</v>
      </c>
      <c r="Q247">
        <v>632</v>
      </c>
      <c r="R247">
        <v>871.72</v>
      </c>
    </row>
    <row r="248" spans="1:18" x14ac:dyDescent="0.35">
      <c r="A248" t="s">
        <v>56</v>
      </c>
      <c r="B248" t="s">
        <v>57</v>
      </c>
      <c r="C248" t="s">
        <v>58</v>
      </c>
      <c r="D248">
        <v>107907397</v>
      </c>
      <c r="E248" t="s">
        <v>105</v>
      </c>
      <c r="F248" t="s">
        <v>60</v>
      </c>
      <c r="G248">
        <v>0.72</v>
      </c>
      <c r="H248">
        <v>9.27</v>
      </c>
      <c r="I248">
        <v>0</v>
      </c>
      <c r="J248">
        <v>0</v>
      </c>
      <c r="K248">
        <v>10</v>
      </c>
      <c r="L248" t="s">
        <v>61</v>
      </c>
      <c r="M248">
        <v>308</v>
      </c>
      <c r="N248">
        <v>30.8</v>
      </c>
      <c r="O248" t="s">
        <v>62</v>
      </c>
      <c r="P248" t="s">
        <v>64</v>
      </c>
      <c r="Q248">
        <v>1506</v>
      </c>
      <c r="R248">
        <v>162.38</v>
      </c>
    </row>
    <row r="249" spans="1:18" x14ac:dyDescent="0.35">
      <c r="A249" t="s">
        <v>56</v>
      </c>
      <c r="B249" t="s">
        <v>57</v>
      </c>
      <c r="C249" t="s">
        <v>58</v>
      </c>
      <c r="D249">
        <v>107907397</v>
      </c>
      <c r="E249" t="s">
        <v>105</v>
      </c>
      <c r="F249" t="s">
        <v>60</v>
      </c>
      <c r="G249">
        <v>0.72</v>
      </c>
      <c r="H249">
        <v>9.27</v>
      </c>
      <c r="I249">
        <v>0</v>
      </c>
      <c r="J249">
        <v>0</v>
      </c>
      <c r="K249">
        <v>10</v>
      </c>
      <c r="L249" t="s">
        <v>61</v>
      </c>
      <c r="M249">
        <v>308</v>
      </c>
      <c r="N249">
        <v>30.8</v>
      </c>
      <c r="O249" t="s">
        <v>62</v>
      </c>
      <c r="P249" t="s">
        <v>65</v>
      </c>
      <c r="Q249">
        <v>0</v>
      </c>
      <c r="R249">
        <v>0</v>
      </c>
    </row>
    <row r="250" spans="1:18" x14ac:dyDescent="0.35">
      <c r="A250" t="s">
        <v>56</v>
      </c>
      <c r="B250" t="s">
        <v>57</v>
      </c>
      <c r="C250" t="s">
        <v>58</v>
      </c>
      <c r="D250">
        <v>107907397</v>
      </c>
      <c r="E250" t="s">
        <v>105</v>
      </c>
      <c r="F250" t="s">
        <v>60</v>
      </c>
      <c r="G250">
        <v>0.72</v>
      </c>
      <c r="H250">
        <v>9.27</v>
      </c>
      <c r="I250">
        <v>0</v>
      </c>
      <c r="J250">
        <v>0</v>
      </c>
      <c r="K250">
        <v>10</v>
      </c>
      <c r="L250" t="s">
        <v>61</v>
      </c>
      <c r="M250">
        <v>308</v>
      </c>
      <c r="N250">
        <v>30.8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58</v>
      </c>
      <c r="D251">
        <v>107907397</v>
      </c>
      <c r="E251" t="s">
        <v>105</v>
      </c>
      <c r="F251" t="s">
        <v>60</v>
      </c>
      <c r="G251">
        <v>0.72</v>
      </c>
      <c r="H251">
        <v>9.27</v>
      </c>
      <c r="I251">
        <v>0</v>
      </c>
      <c r="J251">
        <v>0</v>
      </c>
      <c r="K251">
        <v>10</v>
      </c>
      <c r="L251" t="s">
        <v>61</v>
      </c>
      <c r="M251">
        <v>308</v>
      </c>
      <c r="N251">
        <v>30.8</v>
      </c>
      <c r="O251" t="s">
        <v>62</v>
      </c>
      <c r="P251" t="s">
        <v>67</v>
      </c>
      <c r="Q251">
        <v>2138</v>
      </c>
      <c r="R251">
        <v>213.8</v>
      </c>
    </row>
    <row r="252" spans="1:18" x14ac:dyDescent="0.35">
      <c r="A252" t="s">
        <v>56</v>
      </c>
      <c r="B252" t="s">
        <v>57</v>
      </c>
      <c r="C252" t="s">
        <v>58</v>
      </c>
      <c r="D252">
        <v>107907397</v>
      </c>
      <c r="E252" t="s">
        <v>105</v>
      </c>
      <c r="F252" t="s">
        <v>60</v>
      </c>
      <c r="G252">
        <v>0.72</v>
      </c>
      <c r="H252">
        <v>9.27</v>
      </c>
      <c r="I252">
        <v>0</v>
      </c>
      <c r="J252">
        <v>0</v>
      </c>
      <c r="K252">
        <v>10</v>
      </c>
      <c r="L252" t="s">
        <v>61</v>
      </c>
      <c r="M252">
        <v>308</v>
      </c>
      <c r="N252">
        <v>30.8</v>
      </c>
      <c r="O252" t="s">
        <v>68</v>
      </c>
      <c r="P252" t="s">
        <v>67</v>
      </c>
      <c r="Q252">
        <v>308</v>
      </c>
      <c r="R252">
        <v>30.8</v>
      </c>
    </row>
    <row r="253" spans="1:18" x14ac:dyDescent="0.35">
      <c r="A253" t="s">
        <v>56</v>
      </c>
      <c r="B253" t="s">
        <v>57</v>
      </c>
      <c r="C253" t="s">
        <v>58</v>
      </c>
      <c r="D253">
        <v>107907397</v>
      </c>
      <c r="E253" t="s">
        <v>105</v>
      </c>
      <c r="F253" t="s">
        <v>60</v>
      </c>
      <c r="G253">
        <v>0.72</v>
      </c>
      <c r="H253">
        <v>9.27</v>
      </c>
      <c r="I253">
        <v>0</v>
      </c>
      <c r="J253">
        <v>0</v>
      </c>
      <c r="K253">
        <v>10</v>
      </c>
      <c r="L253" t="s">
        <v>61</v>
      </c>
      <c r="M253">
        <v>308</v>
      </c>
      <c r="N253">
        <v>30.8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58</v>
      </c>
      <c r="D254">
        <v>107907404</v>
      </c>
      <c r="E254" t="s">
        <v>674</v>
      </c>
      <c r="F254" t="s">
        <v>60</v>
      </c>
      <c r="G254">
        <v>0.1</v>
      </c>
      <c r="H254">
        <v>3.84</v>
      </c>
      <c r="I254">
        <v>0</v>
      </c>
      <c r="J254">
        <v>0</v>
      </c>
      <c r="K254">
        <v>3.93</v>
      </c>
      <c r="L254" t="s">
        <v>61</v>
      </c>
      <c r="M254">
        <v>58</v>
      </c>
      <c r="N254">
        <v>14.75</v>
      </c>
      <c r="O254" t="s">
        <v>62</v>
      </c>
      <c r="P254" t="s">
        <v>63</v>
      </c>
      <c r="Q254">
        <v>40</v>
      </c>
      <c r="R254">
        <v>410.26</v>
      </c>
    </row>
    <row r="255" spans="1:18" x14ac:dyDescent="0.35">
      <c r="A255" t="s">
        <v>56</v>
      </c>
      <c r="B255" t="s">
        <v>57</v>
      </c>
      <c r="C255" t="s">
        <v>58</v>
      </c>
      <c r="D255">
        <v>107907404</v>
      </c>
      <c r="E255" t="s">
        <v>674</v>
      </c>
      <c r="F255" t="s">
        <v>60</v>
      </c>
      <c r="G255">
        <v>0.1</v>
      </c>
      <c r="H255">
        <v>3.84</v>
      </c>
      <c r="I255">
        <v>0</v>
      </c>
      <c r="J255">
        <v>0</v>
      </c>
      <c r="K255">
        <v>3.93</v>
      </c>
      <c r="L255" t="s">
        <v>61</v>
      </c>
      <c r="M255">
        <v>58</v>
      </c>
      <c r="N255">
        <v>14.75</v>
      </c>
      <c r="O255" t="s">
        <v>62</v>
      </c>
      <c r="P255" t="s">
        <v>64</v>
      </c>
      <c r="Q255">
        <v>293</v>
      </c>
      <c r="R255">
        <v>76.400000000000006</v>
      </c>
    </row>
    <row r="256" spans="1:18" x14ac:dyDescent="0.35">
      <c r="A256" t="s">
        <v>56</v>
      </c>
      <c r="B256" t="s">
        <v>57</v>
      </c>
      <c r="C256" t="s">
        <v>58</v>
      </c>
      <c r="D256">
        <v>107907404</v>
      </c>
      <c r="E256" t="s">
        <v>674</v>
      </c>
      <c r="F256" t="s">
        <v>60</v>
      </c>
      <c r="G256">
        <v>0.1</v>
      </c>
      <c r="H256">
        <v>3.84</v>
      </c>
      <c r="I256">
        <v>0</v>
      </c>
      <c r="J256">
        <v>0</v>
      </c>
      <c r="K256">
        <v>3.93</v>
      </c>
      <c r="L256" t="s">
        <v>61</v>
      </c>
      <c r="M256">
        <v>58</v>
      </c>
      <c r="N256">
        <v>14.75</v>
      </c>
      <c r="O256" t="s">
        <v>62</v>
      </c>
      <c r="P256" t="s">
        <v>65</v>
      </c>
      <c r="Q256">
        <v>0</v>
      </c>
      <c r="R256">
        <v>0</v>
      </c>
    </row>
    <row r="257" spans="1:18" x14ac:dyDescent="0.35">
      <c r="A257" t="s">
        <v>56</v>
      </c>
      <c r="B257" t="s">
        <v>57</v>
      </c>
      <c r="C257" t="s">
        <v>58</v>
      </c>
      <c r="D257">
        <v>107907404</v>
      </c>
      <c r="E257" t="s">
        <v>674</v>
      </c>
      <c r="F257" t="s">
        <v>60</v>
      </c>
      <c r="G257">
        <v>0.1</v>
      </c>
      <c r="H257">
        <v>3.84</v>
      </c>
      <c r="I257">
        <v>0</v>
      </c>
      <c r="J257">
        <v>0</v>
      </c>
      <c r="K257">
        <v>3.93</v>
      </c>
      <c r="L257" t="s">
        <v>61</v>
      </c>
      <c r="M257">
        <v>58</v>
      </c>
      <c r="N257">
        <v>14.75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58</v>
      </c>
      <c r="D258">
        <v>107907404</v>
      </c>
      <c r="E258" t="s">
        <v>674</v>
      </c>
      <c r="F258" t="s">
        <v>60</v>
      </c>
      <c r="G258">
        <v>0.1</v>
      </c>
      <c r="H258">
        <v>3.84</v>
      </c>
      <c r="I258">
        <v>0</v>
      </c>
      <c r="J258">
        <v>0</v>
      </c>
      <c r="K258">
        <v>3.93</v>
      </c>
      <c r="L258" t="s">
        <v>61</v>
      </c>
      <c r="M258">
        <v>58</v>
      </c>
      <c r="N258">
        <v>14.75</v>
      </c>
      <c r="O258" t="s">
        <v>62</v>
      </c>
      <c r="P258" t="s">
        <v>67</v>
      </c>
      <c r="Q258">
        <v>333</v>
      </c>
      <c r="R258">
        <v>84.67</v>
      </c>
    </row>
    <row r="259" spans="1:18" x14ac:dyDescent="0.35">
      <c r="A259" t="s">
        <v>56</v>
      </c>
      <c r="B259" t="s">
        <v>57</v>
      </c>
      <c r="C259" t="s">
        <v>58</v>
      </c>
      <c r="D259">
        <v>107907404</v>
      </c>
      <c r="E259" t="s">
        <v>674</v>
      </c>
      <c r="F259" t="s">
        <v>60</v>
      </c>
      <c r="G259">
        <v>0.1</v>
      </c>
      <c r="H259">
        <v>3.84</v>
      </c>
      <c r="I259">
        <v>0</v>
      </c>
      <c r="J259">
        <v>0</v>
      </c>
      <c r="K259">
        <v>3.93</v>
      </c>
      <c r="L259" t="s">
        <v>61</v>
      </c>
      <c r="M259">
        <v>58</v>
      </c>
      <c r="N259">
        <v>14.75</v>
      </c>
      <c r="O259" t="s">
        <v>68</v>
      </c>
      <c r="P259" t="s">
        <v>67</v>
      </c>
      <c r="Q259">
        <v>58</v>
      </c>
      <c r="R259">
        <v>14.75</v>
      </c>
    </row>
    <row r="260" spans="1:18" x14ac:dyDescent="0.35">
      <c r="A260" t="s">
        <v>56</v>
      </c>
      <c r="B260" t="s">
        <v>57</v>
      </c>
      <c r="C260" t="s">
        <v>58</v>
      </c>
      <c r="D260">
        <v>107907404</v>
      </c>
      <c r="E260" t="s">
        <v>674</v>
      </c>
      <c r="F260" t="s">
        <v>60</v>
      </c>
      <c r="G260">
        <v>0.1</v>
      </c>
      <c r="H260">
        <v>3.84</v>
      </c>
      <c r="I260">
        <v>0</v>
      </c>
      <c r="J260">
        <v>0</v>
      </c>
      <c r="K260">
        <v>3.93</v>
      </c>
      <c r="L260" t="s">
        <v>61</v>
      </c>
      <c r="M260">
        <v>58</v>
      </c>
      <c r="N260">
        <v>14.75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70</v>
      </c>
      <c r="D261">
        <v>107916626</v>
      </c>
      <c r="E261" t="s">
        <v>567</v>
      </c>
      <c r="F261" t="s">
        <v>60</v>
      </c>
      <c r="G261">
        <v>0.19</v>
      </c>
      <c r="H261">
        <v>8.77</v>
      </c>
      <c r="I261">
        <v>0</v>
      </c>
      <c r="J261">
        <v>0</v>
      </c>
      <c r="K261">
        <v>8.9499999999999993</v>
      </c>
      <c r="L261" t="s">
        <v>61</v>
      </c>
      <c r="M261">
        <v>111</v>
      </c>
      <c r="N261">
        <v>12.4</v>
      </c>
      <c r="O261" t="s">
        <v>62</v>
      </c>
      <c r="P261" t="s">
        <v>63</v>
      </c>
      <c r="Q261">
        <v>80</v>
      </c>
      <c r="R261">
        <v>426.67</v>
      </c>
    </row>
    <row r="262" spans="1:18" x14ac:dyDescent="0.35">
      <c r="A262" t="s">
        <v>56</v>
      </c>
      <c r="B262" t="s">
        <v>57</v>
      </c>
      <c r="C262" t="s">
        <v>70</v>
      </c>
      <c r="D262">
        <v>107916626</v>
      </c>
      <c r="E262" t="s">
        <v>567</v>
      </c>
      <c r="F262" t="s">
        <v>60</v>
      </c>
      <c r="G262">
        <v>0.19</v>
      </c>
      <c r="H262">
        <v>8.77</v>
      </c>
      <c r="I262">
        <v>0</v>
      </c>
      <c r="J262">
        <v>0</v>
      </c>
      <c r="K262">
        <v>8.9499999999999993</v>
      </c>
      <c r="L262" t="s">
        <v>61</v>
      </c>
      <c r="M262">
        <v>111</v>
      </c>
      <c r="N262">
        <v>12.4</v>
      </c>
      <c r="O262" t="s">
        <v>62</v>
      </c>
      <c r="P262" t="s">
        <v>64</v>
      </c>
      <c r="Q262">
        <v>696</v>
      </c>
      <c r="R262">
        <v>79.39</v>
      </c>
    </row>
    <row r="263" spans="1:18" x14ac:dyDescent="0.35">
      <c r="A263" t="s">
        <v>56</v>
      </c>
      <c r="B263" t="s">
        <v>57</v>
      </c>
      <c r="C263" t="s">
        <v>70</v>
      </c>
      <c r="D263">
        <v>107916626</v>
      </c>
      <c r="E263" t="s">
        <v>567</v>
      </c>
      <c r="F263" t="s">
        <v>60</v>
      </c>
      <c r="G263">
        <v>0.19</v>
      </c>
      <c r="H263">
        <v>8.77</v>
      </c>
      <c r="I263">
        <v>0</v>
      </c>
      <c r="J263">
        <v>0</v>
      </c>
      <c r="K263">
        <v>8.9499999999999993</v>
      </c>
      <c r="L263" t="s">
        <v>61</v>
      </c>
      <c r="M263">
        <v>111</v>
      </c>
      <c r="N263">
        <v>12.4</v>
      </c>
      <c r="O263" t="s">
        <v>62</v>
      </c>
      <c r="P263" t="s">
        <v>65</v>
      </c>
      <c r="Q263">
        <v>0</v>
      </c>
      <c r="R263">
        <v>0</v>
      </c>
    </row>
    <row r="264" spans="1:18" x14ac:dyDescent="0.35">
      <c r="A264" t="s">
        <v>56</v>
      </c>
      <c r="B264" t="s">
        <v>57</v>
      </c>
      <c r="C264" t="s">
        <v>70</v>
      </c>
      <c r="D264">
        <v>107916626</v>
      </c>
      <c r="E264" t="s">
        <v>567</v>
      </c>
      <c r="F264" t="s">
        <v>60</v>
      </c>
      <c r="G264">
        <v>0.19</v>
      </c>
      <c r="H264">
        <v>8.77</v>
      </c>
      <c r="I264">
        <v>0</v>
      </c>
      <c r="J264">
        <v>0</v>
      </c>
      <c r="K264">
        <v>8.9499999999999993</v>
      </c>
      <c r="L264" t="s">
        <v>61</v>
      </c>
      <c r="M264">
        <v>111</v>
      </c>
      <c r="N264">
        <v>12.4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70</v>
      </c>
      <c r="D265">
        <v>107916626</v>
      </c>
      <c r="E265" t="s">
        <v>567</v>
      </c>
      <c r="F265" t="s">
        <v>60</v>
      </c>
      <c r="G265">
        <v>0.19</v>
      </c>
      <c r="H265">
        <v>8.77</v>
      </c>
      <c r="I265">
        <v>0</v>
      </c>
      <c r="J265">
        <v>0</v>
      </c>
      <c r="K265">
        <v>8.9499999999999993</v>
      </c>
      <c r="L265" t="s">
        <v>61</v>
      </c>
      <c r="M265">
        <v>111</v>
      </c>
      <c r="N265">
        <v>12.4</v>
      </c>
      <c r="O265" t="s">
        <v>62</v>
      </c>
      <c r="P265" t="s">
        <v>67</v>
      </c>
      <c r="Q265">
        <v>776</v>
      </c>
      <c r="R265">
        <v>86.66</v>
      </c>
    </row>
    <row r="266" spans="1:18" x14ac:dyDescent="0.35">
      <c r="A266" t="s">
        <v>56</v>
      </c>
      <c r="B266" t="s">
        <v>57</v>
      </c>
      <c r="C266" t="s">
        <v>70</v>
      </c>
      <c r="D266">
        <v>107916626</v>
      </c>
      <c r="E266" t="s">
        <v>567</v>
      </c>
      <c r="F266" t="s">
        <v>60</v>
      </c>
      <c r="G266">
        <v>0.19</v>
      </c>
      <c r="H266">
        <v>8.77</v>
      </c>
      <c r="I266">
        <v>0</v>
      </c>
      <c r="J266">
        <v>0</v>
      </c>
      <c r="K266">
        <v>8.9499999999999993</v>
      </c>
      <c r="L266" t="s">
        <v>61</v>
      </c>
      <c r="M266">
        <v>111</v>
      </c>
      <c r="N266">
        <v>12.4</v>
      </c>
      <c r="O266" t="s">
        <v>68</v>
      </c>
      <c r="P266" t="s">
        <v>67</v>
      </c>
      <c r="Q266">
        <v>111</v>
      </c>
      <c r="R266">
        <v>12.4</v>
      </c>
    </row>
    <row r="267" spans="1:18" x14ac:dyDescent="0.35">
      <c r="A267" t="s">
        <v>56</v>
      </c>
      <c r="B267" t="s">
        <v>57</v>
      </c>
      <c r="C267" t="s">
        <v>70</v>
      </c>
      <c r="D267">
        <v>107916626</v>
      </c>
      <c r="E267" t="s">
        <v>567</v>
      </c>
      <c r="F267" t="s">
        <v>60</v>
      </c>
      <c r="G267">
        <v>0.19</v>
      </c>
      <c r="H267">
        <v>8.77</v>
      </c>
      <c r="I267">
        <v>0</v>
      </c>
      <c r="J267">
        <v>0</v>
      </c>
      <c r="K267">
        <v>8.9499999999999993</v>
      </c>
      <c r="L267" t="s">
        <v>61</v>
      </c>
      <c r="M267">
        <v>111</v>
      </c>
      <c r="N267">
        <v>12.4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37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64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106534472</v>
      </c>
      <c r="C2" t="s">
        <v>81</v>
      </c>
      <c r="D2" t="s">
        <v>60</v>
      </c>
      <c r="E2" t="s">
        <v>70</v>
      </c>
      <c r="F2">
        <v>235</v>
      </c>
      <c r="G2" t="s">
        <v>62</v>
      </c>
      <c r="H2" t="s">
        <v>67</v>
      </c>
      <c r="I2">
        <v>2615</v>
      </c>
    </row>
    <row r="3" spans="1:9" x14ac:dyDescent="0.35">
      <c r="A3" t="s">
        <v>61</v>
      </c>
      <c r="B3">
        <v>106534472</v>
      </c>
      <c r="C3" t="s">
        <v>81</v>
      </c>
      <c r="D3" t="s">
        <v>60</v>
      </c>
      <c r="E3" t="s">
        <v>70</v>
      </c>
      <c r="F3">
        <v>235</v>
      </c>
      <c r="G3" t="s">
        <v>62</v>
      </c>
      <c r="H3" t="s">
        <v>63</v>
      </c>
      <c r="I3">
        <v>658</v>
      </c>
    </row>
    <row r="4" spans="1:9" x14ac:dyDescent="0.35">
      <c r="A4" t="s">
        <v>61</v>
      </c>
      <c r="B4">
        <v>106534472</v>
      </c>
      <c r="C4" t="s">
        <v>81</v>
      </c>
      <c r="D4" t="s">
        <v>60</v>
      </c>
      <c r="E4" t="s">
        <v>70</v>
      </c>
      <c r="F4">
        <v>235</v>
      </c>
      <c r="G4" t="s">
        <v>62</v>
      </c>
      <c r="H4" t="s">
        <v>64</v>
      </c>
      <c r="I4">
        <v>1957</v>
      </c>
    </row>
    <row r="5" spans="1:9" x14ac:dyDescent="0.35">
      <c r="A5" t="s">
        <v>61</v>
      </c>
      <c r="B5">
        <v>106534472</v>
      </c>
      <c r="C5" t="s">
        <v>81</v>
      </c>
      <c r="D5" t="s">
        <v>60</v>
      </c>
      <c r="E5" t="s">
        <v>70</v>
      </c>
      <c r="F5">
        <v>235</v>
      </c>
      <c r="G5" t="s">
        <v>68</v>
      </c>
      <c r="H5" t="s">
        <v>67</v>
      </c>
      <c r="I5">
        <v>235</v>
      </c>
    </row>
    <row r="6" spans="1:9" x14ac:dyDescent="0.35">
      <c r="A6" t="s">
        <v>61</v>
      </c>
      <c r="B6">
        <v>106677842</v>
      </c>
      <c r="C6" t="s">
        <v>564</v>
      </c>
      <c r="D6" t="s">
        <v>60</v>
      </c>
      <c r="E6" t="s">
        <v>58</v>
      </c>
      <c r="F6">
        <v>450</v>
      </c>
      <c r="G6" t="s">
        <v>62</v>
      </c>
      <c r="H6" t="s">
        <v>67</v>
      </c>
      <c r="I6">
        <v>2839</v>
      </c>
    </row>
    <row r="7" spans="1:9" x14ac:dyDescent="0.35">
      <c r="A7" t="s">
        <v>61</v>
      </c>
      <c r="B7">
        <v>106677842</v>
      </c>
      <c r="C7" t="s">
        <v>564</v>
      </c>
      <c r="D7" t="s">
        <v>60</v>
      </c>
      <c r="E7" t="s">
        <v>58</v>
      </c>
      <c r="F7">
        <v>450</v>
      </c>
      <c r="G7" t="s">
        <v>62</v>
      </c>
      <c r="H7" t="s">
        <v>63</v>
      </c>
      <c r="I7">
        <v>362</v>
      </c>
    </row>
    <row r="8" spans="1:9" x14ac:dyDescent="0.35">
      <c r="A8" t="s">
        <v>61</v>
      </c>
      <c r="B8">
        <v>106677842</v>
      </c>
      <c r="C8" t="s">
        <v>564</v>
      </c>
      <c r="D8" t="s">
        <v>60</v>
      </c>
      <c r="E8" t="s">
        <v>58</v>
      </c>
      <c r="F8">
        <v>450</v>
      </c>
      <c r="G8" t="s">
        <v>62</v>
      </c>
      <c r="H8" t="s">
        <v>64</v>
      </c>
      <c r="I8">
        <v>2477</v>
      </c>
    </row>
    <row r="9" spans="1:9" x14ac:dyDescent="0.35">
      <c r="A9" t="s">
        <v>61</v>
      </c>
      <c r="B9">
        <v>106677842</v>
      </c>
      <c r="C9" t="s">
        <v>564</v>
      </c>
      <c r="D9" t="s">
        <v>60</v>
      </c>
      <c r="E9" t="s">
        <v>58</v>
      </c>
      <c r="F9">
        <v>450</v>
      </c>
      <c r="G9" t="s">
        <v>68</v>
      </c>
      <c r="H9" t="s">
        <v>67</v>
      </c>
      <c r="I9">
        <v>450</v>
      </c>
    </row>
    <row r="10" spans="1:9" x14ac:dyDescent="0.35">
      <c r="A10" t="s">
        <v>61</v>
      </c>
      <c r="B10">
        <v>107826180</v>
      </c>
      <c r="C10" t="s">
        <v>566</v>
      </c>
      <c r="D10" t="s">
        <v>60</v>
      </c>
      <c r="E10" t="s">
        <v>70</v>
      </c>
      <c r="F10">
        <v>409</v>
      </c>
      <c r="G10" t="s">
        <v>62</v>
      </c>
      <c r="H10" t="s">
        <v>67</v>
      </c>
      <c r="I10">
        <v>3970</v>
      </c>
    </row>
    <row r="11" spans="1:9" x14ac:dyDescent="0.35">
      <c r="A11" t="s">
        <v>61</v>
      </c>
      <c r="B11">
        <v>107826180</v>
      </c>
      <c r="C11" t="s">
        <v>566</v>
      </c>
      <c r="D11" t="s">
        <v>60</v>
      </c>
      <c r="E11" t="s">
        <v>70</v>
      </c>
      <c r="F11">
        <v>409</v>
      </c>
      <c r="G11" t="s">
        <v>62</v>
      </c>
      <c r="H11" t="s">
        <v>63</v>
      </c>
      <c r="I11">
        <v>1090</v>
      </c>
    </row>
    <row r="12" spans="1:9" x14ac:dyDescent="0.35">
      <c r="A12" t="s">
        <v>61</v>
      </c>
      <c r="B12">
        <v>107826180</v>
      </c>
      <c r="C12" t="s">
        <v>566</v>
      </c>
      <c r="D12" t="s">
        <v>60</v>
      </c>
      <c r="E12" t="s">
        <v>70</v>
      </c>
      <c r="F12">
        <v>409</v>
      </c>
      <c r="G12" t="s">
        <v>62</v>
      </c>
      <c r="H12" t="s">
        <v>64</v>
      </c>
      <c r="I12">
        <v>2862</v>
      </c>
    </row>
    <row r="13" spans="1:9" x14ac:dyDescent="0.35">
      <c r="A13" t="s">
        <v>61</v>
      </c>
      <c r="B13">
        <v>107826180</v>
      </c>
      <c r="C13" t="s">
        <v>566</v>
      </c>
      <c r="D13" t="s">
        <v>60</v>
      </c>
      <c r="E13" t="s">
        <v>70</v>
      </c>
      <c r="F13">
        <v>409</v>
      </c>
      <c r="G13" t="s">
        <v>62</v>
      </c>
      <c r="H13" t="s">
        <v>65</v>
      </c>
      <c r="I13">
        <v>18</v>
      </c>
    </row>
    <row r="14" spans="1:9" x14ac:dyDescent="0.35">
      <c r="A14" t="s">
        <v>61</v>
      </c>
      <c r="B14">
        <v>107826180</v>
      </c>
      <c r="C14" t="s">
        <v>566</v>
      </c>
      <c r="D14" t="s">
        <v>60</v>
      </c>
      <c r="E14" t="s">
        <v>70</v>
      </c>
      <c r="F14">
        <v>409</v>
      </c>
      <c r="G14" t="s">
        <v>68</v>
      </c>
      <c r="H14" t="s">
        <v>67</v>
      </c>
      <c r="I14">
        <v>409</v>
      </c>
    </row>
    <row r="15" spans="1:9" x14ac:dyDescent="0.35">
      <c r="A15" t="s">
        <v>61</v>
      </c>
      <c r="B15">
        <v>107432433</v>
      </c>
      <c r="C15" t="s">
        <v>90</v>
      </c>
      <c r="D15" t="s">
        <v>60</v>
      </c>
      <c r="E15" t="s">
        <v>70</v>
      </c>
      <c r="F15">
        <v>109</v>
      </c>
      <c r="G15" t="s">
        <v>62</v>
      </c>
      <c r="H15" t="s">
        <v>67</v>
      </c>
      <c r="I15">
        <v>990</v>
      </c>
    </row>
    <row r="16" spans="1:9" x14ac:dyDescent="0.35">
      <c r="A16" t="s">
        <v>61</v>
      </c>
      <c r="B16">
        <v>107432433</v>
      </c>
      <c r="C16" t="s">
        <v>90</v>
      </c>
      <c r="D16" t="s">
        <v>60</v>
      </c>
      <c r="E16" t="s">
        <v>70</v>
      </c>
      <c r="F16">
        <v>109</v>
      </c>
      <c r="G16" t="s">
        <v>62</v>
      </c>
      <c r="H16" t="s">
        <v>63</v>
      </c>
      <c r="I16">
        <v>305</v>
      </c>
    </row>
    <row r="17" spans="1:9" x14ac:dyDescent="0.35">
      <c r="A17" t="s">
        <v>61</v>
      </c>
      <c r="B17">
        <v>107432433</v>
      </c>
      <c r="C17" t="s">
        <v>90</v>
      </c>
      <c r="D17" t="s">
        <v>60</v>
      </c>
      <c r="E17" t="s">
        <v>70</v>
      </c>
      <c r="F17">
        <v>109</v>
      </c>
      <c r="G17" t="s">
        <v>62</v>
      </c>
      <c r="H17" t="s">
        <v>64</v>
      </c>
      <c r="I17">
        <v>685</v>
      </c>
    </row>
    <row r="18" spans="1:9" x14ac:dyDescent="0.35">
      <c r="A18" t="s">
        <v>61</v>
      </c>
      <c r="B18">
        <v>107432433</v>
      </c>
      <c r="C18" t="s">
        <v>90</v>
      </c>
      <c r="D18" t="s">
        <v>60</v>
      </c>
      <c r="E18" t="s">
        <v>70</v>
      </c>
      <c r="F18">
        <v>109</v>
      </c>
      <c r="G18" t="s">
        <v>68</v>
      </c>
      <c r="H18" t="s">
        <v>67</v>
      </c>
      <c r="I18">
        <v>109</v>
      </c>
    </row>
    <row r="19" spans="1:9" x14ac:dyDescent="0.35">
      <c r="A19" t="s">
        <v>61</v>
      </c>
      <c r="B19">
        <v>102530855</v>
      </c>
      <c r="C19" t="s">
        <v>560</v>
      </c>
      <c r="D19" t="s">
        <v>60</v>
      </c>
      <c r="E19" t="s">
        <v>70</v>
      </c>
      <c r="F19">
        <v>377</v>
      </c>
      <c r="G19" t="s">
        <v>62</v>
      </c>
      <c r="H19" t="s">
        <v>67</v>
      </c>
      <c r="I19">
        <v>2592</v>
      </c>
    </row>
    <row r="20" spans="1:9" x14ac:dyDescent="0.35">
      <c r="A20" t="s">
        <v>61</v>
      </c>
      <c r="B20">
        <v>102530855</v>
      </c>
      <c r="C20" t="s">
        <v>560</v>
      </c>
      <c r="D20" t="s">
        <v>60</v>
      </c>
      <c r="E20" t="s">
        <v>70</v>
      </c>
      <c r="F20">
        <v>377</v>
      </c>
      <c r="G20" t="s">
        <v>62</v>
      </c>
      <c r="H20" t="s">
        <v>63</v>
      </c>
      <c r="I20">
        <v>856</v>
      </c>
    </row>
    <row r="21" spans="1:9" x14ac:dyDescent="0.35">
      <c r="A21" t="s">
        <v>61</v>
      </c>
      <c r="B21">
        <v>102530855</v>
      </c>
      <c r="C21" t="s">
        <v>560</v>
      </c>
      <c r="D21" t="s">
        <v>60</v>
      </c>
      <c r="E21" t="s">
        <v>70</v>
      </c>
      <c r="F21">
        <v>377</v>
      </c>
      <c r="G21" t="s">
        <v>62</v>
      </c>
      <c r="H21" t="s">
        <v>64</v>
      </c>
      <c r="I21">
        <v>1736</v>
      </c>
    </row>
    <row r="22" spans="1:9" x14ac:dyDescent="0.35">
      <c r="A22" t="s">
        <v>61</v>
      </c>
      <c r="B22">
        <v>102530855</v>
      </c>
      <c r="C22" t="s">
        <v>560</v>
      </c>
      <c r="D22" t="s">
        <v>60</v>
      </c>
      <c r="E22" t="s">
        <v>70</v>
      </c>
      <c r="F22">
        <v>377</v>
      </c>
      <c r="G22" t="s">
        <v>68</v>
      </c>
      <c r="H22" t="s">
        <v>67</v>
      </c>
      <c r="I22">
        <v>377</v>
      </c>
    </row>
    <row r="23" spans="1:9" x14ac:dyDescent="0.35">
      <c r="A23" t="s">
        <v>61</v>
      </c>
      <c r="B23">
        <v>107820116</v>
      </c>
      <c r="C23" t="s">
        <v>102</v>
      </c>
      <c r="D23" t="s">
        <v>60</v>
      </c>
      <c r="E23" t="s">
        <v>58</v>
      </c>
      <c r="F23">
        <v>286</v>
      </c>
      <c r="G23" t="s">
        <v>62</v>
      </c>
      <c r="H23" t="s">
        <v>67</v>
      </c>
      <c r="I23">
        <v>3068</v>
      </c>
    </row>
    <row r="24" spans="1:9" x14ac:dyDescent="0.35">
      <c r="A24" t="s">
        <v>61</v>
      </c>
      <c r="B24">
        <v>107820116</v>
      </c>
      <c r="C24" t="s">
        <v>102</v>
      </c>
      <c r="D24" t="s">
        <v>60</v>
      </c>
      <c r="E24" t="s">
        <v>58</v>
      </c>
      <c r="F24">
        <v>286</v>
      </c>
      <c r="G24" t="s">
        <v>62</v>
      </c>
      <c r="H24" t="s">
        <v>63</v>
      </c>
      <c r="I24">
        <v>1061</v>
      </c>
    </row>
    <row r="25" spans="1:9" x14ac:dyDescent="0.35">
      <c r="A25" t="s">
        <v>61</v>
      </c>
      <c r="B25">
        <v>107820116</v>
      </c>
      <c r="C25" t="s">
        <v>102</v>
      </c>
      <c r="D25" t="s">
        <v>60</v>
      </c>
      <c r="E25" t="s">
        <v>58</v>
      </c>
      <c r="F25">
        <v>286</v>
      </c>
      <c r="G25" t="s">
        <v>62</v>
      </c>
      <c r="H25" t="s">
        <v>64</v>
      </c>
      <c r="I25">
        <v>2007</v>
      </c>
    </row>
    <row r="26" spans="1:9" x14ac:dyDescent="0.35">
      <c r="A26" t="s">
        <v>61</v>
      </c>
      <c r="B26">
        <v>107820116</v>
      </c>
      <c r="C26" t="s">
        <v>102</v>
      </c>
      <c r="D26" t="s">
        <v>60</v>
      </c>
      <c r="E26" t="s">
        <v>58</v>
      </c>
      <c r="F26">
        <v>286</v>
      </c>
      <c r="G26" t="s">
        <v>68</v>
      </c>
      <c r="H26" t="s">
        <v>67</v>
      </c>
      <c r="I26">
        <v>286</v>
      </c>
    </row>
    <row r="27" spans="1:9" x14ac:dyDescent="0.35">
      <c r="A27" t="s">
        <v>61</v>
      </c>
      <c r="B27">
        <v>107704699</v>
      </c>
      <c r="C27" t="s">
        <v>94</v>
      </c>
      <c r="D27" t="s">
        <v>60</v>
      </c>
      <c r="E27" t="s">
        <v>58</v>
      </c>
      <c r="F27">
        <v>153</v>
      </c>
      <c r="G27" t="s">
        <v>62</v>
      </c>
      <c r="H27" t="s">
        <v>67</v>
      </c>
      <c r="I27">
        <v>1317</v>
      </c>
    </row>
    <row r="28" spans="1:9" x14ac:dyDescent="0.35">
      <c r="A28" t="s">
        <v>61</v>
      </c>
      <c r="B28">
        <v>107704699</v>
      </c>
      <c r="C28" t="s">
        <v>94</v>
      </c>
      <c r="D28" t="s">
        <v>60</v>
      </c>
      <c r="E28" t="s">
        <v>58</v>
      </c>
      <c r="F28">
        <v>153</v>
      </c>
      <c r="G28" t="s">
        <v>62</v>
      </c>
      <c r="H28" t="s">
        <v>63</v>
      </c>
      <c r="I28">
        <v>686</v>
      </c>
    </row>
    <row r="29" spans="1:9" x14ac:dyDescent="0.35">
      <c r="A29" t="s">
        <v>61</v>
      </c>
      <c r="B29">
        <v>107704699</v>
      </c>
      <c r="C29" t="s">
        <v>94</v>
      </c>
      <c r="D29" t="s">
        <v>60</v>
      </c>
      <c r="E29" t="s">
        <v>58</v>
      </c>
      <c r="F29">
        <v>153</v>
      </c>
      <c r="G29" t="s">
        <v>62</v>
      </c>
      <c r="H29" t="s">
        <v>64</v>
      </c>
      <c r="I29">
        <v>631</v>
      </c>
    </row>
    <row r="30" spans="1:9" x14ac:dyDescent="0.35">
      <c r="A30" t="s">
        <v>61</v>
      </c>
      <c r="B30">
        <v>107704699</v>
      </c>
      <c r="C30" t="s">
        <v>94</v>
      </c>
      <c r="D30" t="s">
        <v>60</v>
      </c>
      <c r="E30" t="s">
        <v>58</v>
      </c>
      <c r="F30">
        <v>153</v>
      </c>
      <c r="G30" t="s">
        <v>68</v>
      </c>
      <c r="H30" t="s">
        <v>67</v>
      </c>
      <c r="I30">
        <v>153</v>
      </c>
    </row>
    <row r="31" spans="1:9" x14ac:dyDescent="0.35">
      <c r="A31" t="s">
        <v>61</v>
      </c>
      <c r="B31">
        <v>106036050</v>
      </c>
      <c r="C31" t="s">
        <v>79</v>
      </c>
      <c r="D31" t="s">
        <v>60</v>
      </c>
      <c r="E31" t="s">
        <v>70</v>
      </c>
      <c r="F31">
        <v>2</v>
      </c>
      <c r="G31" t="s">
        <v>62</v>
      </c>
      <c r="H31" t="s">
        <v>67</v>
      </c>
      <c r="I31">
        <v>4647</v>
      </c>
    </row>
    <row r="32" spans="1:9" x14ac:dyDescent="0.35">
      <c r="A32" t="s">
        <v>61</v>
      </c>
      <c r="B32">
        <v>106036050</v>
      </c>
      <c r="C32" t="s">
        <v>79</v>
      </c>
      <c r="D32" t="s">
        <v>60</v>
      </c>
      <c r="E32" t="s">
        <v>70</v>
      </c>
      <c r="F32">
        <v>2</v>
      </c>
      <c r="G32" t="s">
        <v>62</v>
      </c>
      <c r="H32" t="s">
        <v>63</v>
      </c>
      <c r="I32">
        <v>2144</v>
      </c>
    </row>
    <row r="33" spans="1:9" x14ac:dyDescent="0.35">
      <c r="A33" t="s">
        <v>61</v>
      </c>
      <c r="B33">
        <v>106036050</v>
      </c>
      <c r="C33" t="s">
        <v>79</v>
      </c>
      <c r="D33" t="s">
        <v>60</v>
      </c>
      <c r="E33" t="s">
        <v>70</v>
      </c>
      <c r="F33">
        <v>2</v>
      </c>
      <c r="G33" t="s">
        <v>62</v>
      </c>
      <c r="H33" t="s">
        <v>64</v>
      </c>
      <c r="I33">
        <v>2503</v>
      </c>
    </row>
    <row r="34" spans="1:9" x14ac:dyDescent="0.35">
      <c r="A34" t="s">
        <v>61</v>
      </c>
      <c r="B34">
        <v>106036050</v>
      </c>
      <c r="C34" t="s">
        <v>79</v>
      </c>
      <c r="D34" t="s">
        <v>60</v>
      </c>
      <c r="E34" t="s">
        <v>70</v>
      </c>
      <c r="F34">
        <v>2</v>
      </c>
      <c r="G34" t="s">
        <v>68</v>
      </c>
      <c r="H34" t="s">
        <v>67</v>
      </c>
      <c r="I34">
        <v>360</v>
      </c>
    </row>
    <row r="35" spans="1:9" x14ac:dyDescent="0.35">
      <c r="A35" t="s">
        <v>61</v>
      </c>
      <c r="B35">
        <v>106036050</v>
      </c>
      <c r="C35" t="s">
        <v>79</v>
      </c>
      <c r="D35" t="s">
        <v>60</v>
      </c>
      <c r="E35" t="s">
        <v>70</v>
      </c>
      <c r="F35">
        <v>2</v>
      </c>
      <c r="G35" t="s">
        <v>69</v>
      </c>
      <c r="H35" t="s">
        <v>67</v>
      </c>
      <c r="I35">
        <v>2</v>
      </c>
    </row>
    <row r="36" spans="1:9" x14ac:dyDescent="0.35">
      <c r="A36" t="s">
        <v>61</v>
      </c>
      <c r="B36">
        <v>107826232</v>
      </c>
      <c r="C36" t="s">
        <v>540</v>
      </c>
      <c r="D36" t="s">
        <v>60</v>
      </c>
      <c r="E36" t="s">
        <v>70</v>
      </c>
      <c r="F36">
        <v>314</v>
      </c>
      <c r="G36" t="s">
        <v>62</v>
      </c>
      <c r="H36" t="s">
        <v>67</v>
      </c>
      <c r="I36">
        <v>2392</v>
      </c>
    </row>
    <row r="37" spans="1:9" x14ac:dyDescent="0.35">
      <c r="A37" t="s">
        <v>61</v>
      </c>
      <c r="B37">
        <v>107826232</v>
      </c>
      <c r="C37" t="s">
        <v>540</v>
      </c>
      <c r="D37" t="s">
        <v>60</v>
      </c>
      <c r="E37" t="s">
        <v>70</v>
      </c>
      <c r="F37">
        <v>314</v>
      </c>
      <c r="G37" t="s">
        <v>62</v>
      </c>
      <c r="H37" t="s">
        <v>63</v>
      </c>
      <c r="I37">
        <v>670</v>
      </c>
    </row>
    <row r="38" spans="1:9" x14ac:dyDescent="0.35">
      <c r="A38" t="s">
        <v>61</v>
      </c>
      <c r="B38">
        <v>107826232</v>
      </c>
      <c r="C38" t="s">
        <v>540</v>
      </c>
      <c r="D38" t="s">
        <v>60</v>
      </c>
      <c r="E38" t="s">
        <v>70</v>
      </c>
      <c r="F38">
        <v>314</v>
      </c>
      <c r="G38" t="s">
        <v>62</v>
      </c>
      <c r="H38" t="s">
        <v>64</v>
      </c>
      <c r="I38">
        <v>1722</v>
      </c>
    </row>
    <row r="39" spans="1:9" x14ac:dyDescent="0.35">
      <c r="A39" t="s">
        <v>61</v>
      </c>
      <c r="B39">
        <v>107826232</v>
      </c>
      <c r="C39" t="s">
        <v>540</v>
      </c>
      <c r="D39" t="s">
        <v>60</v>
      </c>
      <c r="E39" t="s">
        <v>70</v>
      </c>
      <c r="F39">
        <v>314</v>
      </c>
      <c r="G39" t="s">
        <v>68</v>
      </c>
      <c r="H39" t="s">
        <v>67</v>
      </c>
      <c r="I39">
        <v>314</v>
      </c>
    </row>
    <row r="40" spans="1:9" x14ac:dyDescent="0.35">
      <c r="A40" t="s">
        <v>61</v>
      </c>
      <c r="B40">
        <v>106550554</v>
      </c>
      <c r="C40" t="s">
        <v>527</v>
      </c>
      <c r="D40" t="s">
        <v>60</v>
      </c>
      <c r="E40" t="s">
        <v>58</v>
      </c>
      <c r="F40">
        <v>554</v>
      </c>
      <c r="G40" t="s">
        <v>62</v>
      </c>
      <c r="H40" t="s">
        <v>67</v>
      </c>
      <c r="I40">
        <v>2810</v>
      </c>
    </row>
    <row r="41" spans="1:9" x14ac:dyDescent="0.35">
      <c r="A41" t="s">
        <v>61</v>
      </c>
      <c r="B41">
        <v>106550554</v>
      </c>
      <c r="C41" t="s">
        <v>527</v>
      </c>
      <c r="D41" t="s">
        <v>60</v>
      </c>
      <c r="E41" t="s">
        <v>58</v>
      </c>
      <c r="F41">
        <v>554</v>
      </c>
      <c r="G41" t="s">
        <v>62</v>
      </c>
      <c r="H41" t="s">
        <v>63</v>
      </c>
      <c r="I41">
        <v>284</v>
      </c>
    </row>
    <row r="42" spans="1:9" x14ac:dyDescent="0.35">
      <c r="A42" t="s">
        <v>61</v>
      </c>
      <c r="B42">
        <v>106550554</v>
      </c>
      <c r="C42" t="s">
        <v>527</v>
      </c>
      <c r="D42" t="s">
        <v>60</v>
      </c>
      <c r="E42" t="s">
        <v>58</v>
      </c>
      <c r="F42">
        <v>554</v>
      </c>
      <c r="G42" t="s">
        <v>62</v>
      </c>
      <c r="H42" t="s">
        <v>64</v>
      </c>
      <c r="I42">
        <v>2526</v>
      </c>
    </row>
    <row r="43" spans="1:9" x14ac:dyDescent="0.35">
      <c r="A43" t="s">
        <v>61</v>
      </c>
      <c r="B43">
        <v>106550554</v>
      </c>
      <c r="C43" t="s">
        <v>527</v>
      </c>
      <c r="D43" t="s">
        <v>60</v>
      </c>
      <c r="E43" t="s">
        <v>58</v>
      </c>
      <c r="F43">
        <v>554</v>
      </c>
      <c r="G43" t="s">
        <v>68</v>
      </c>
      <c r="H43" t="s">
        <v>67</v>
      </c>
      <c r="I43">
        <v>554</v>
      </c>
    </row>
    <row r="44" spans="1:9" x14ac:dyDescent="0.35">
      <c r="A44" t="s">
        <v>61</v>
      </c>
      <c r="B44">
        <v>107741933</v>
      </c>
      <c r="C44" t="s">
        <v>97</v>
      </c>
      <c r="D44" t="s">
        <v>60</v>
      </c>
      <c r="E44" t="s">
        <v>58</v>
      </c>
      <c r="F44">
        <v>224</v>
      </c>
      <c r="G44" t="s">
        <v>62</v>
      </c>
      <c r="H44" t="s">
        <v>67</v>
      </c>
      <c r="I44">
        <v>1535</v>
      </c>
    </row>
    <row r="45" spans="1:9" x14ac:dyDescent="0.35">
      <c r="A45" t="s">
        <v>61</v>
      </c>
      <c r="B45">
        <v>107741933</v>
      </c>
      <c r="C45" t="s">
        <v>97</v>
      </c>
      <c r="D45" t="s">
        <v>60</v>
      </c>
      <c r="E45" t="s">
        <v>58</v>
      </c>
      <c r="F45">
        <v>224</v>
      </c>
      <c r="G45" t="s">
        <v>62</v>
      </c>
      <c r="H45" t="s">
        <v>63</v>
      </c>
      <c r="I45">
        <v>192</v>
      </c>
    </row>
    <row r="46" spans="1:9" x14ac:dyDescent="0.35">
      <c r="A46" t="s">
        <v>61</v>
      </c>
      <c r="B46">
        <v>107741933</v>
      </c>
      <c r="C46" t="s">
        <v>97</v>
      </c>
      <c r="D46" t="s">
        <v>60</v>
      </c>
      <c r="E46" t="s">
        <v>58</v>
      </c>
      <c r="F46">
        <v>224</v>
      </c>
      <c r="G46" t="s">
        <v>62</v>
      </c>
      <c r="H46" t="s">
        <v>64</v>
      </c>
      <c r="I46">
        <v>1343</v>
      </c>
    </row>
    <row r="47" spans="1:9" x14ac:dyDescent="0.35">
      <c r="A47" t="s">
        <v>61</v>
      </c>
      <c r="B47">
        <v>107741933</v>
      </c>
      <c r="C47" t="s">
        <v>97</v>
      </c>
      <c r="D47" t="s">
        <v>60</v>
      </c>
      <c r="E47" t="s">
        <v>58</v>
      </c>
      <c r="F47">
        <v>224</v>
      </c>
      <c r="G47" t="s">
        <v>68</v>
      </c>
      <c r="H47" t="s">
        <v>67</v>
      </c>
      <c r="I47">
        <v>224</v>
      </c>
    </row>
    <row r="48" spans="1:9" x14ac:dyDescent="0.35">
      <c r="A48" t="s">
        <v>61</v>
      </c>
      <c r="B48">
        <v>107791373</v>
      </c>
      <c r="C48" t="s">
        <v>554</v>
      </c>
      <c r="D48" t="s">
        <v>72</v>
      </c>
      <c r="E48" t="s">
        <v>70</v>
      </c>
      <c r="F48">
        <v>441</v>
      </c>
      <c r="G48" t="s">
        <v>62</v>
      </c>
      <c r="H48" t="s">
        <v>67</v>
      </c>
      <c r="I48">
        <v>4348</v>
      </c>
    </row>
    <row r="49" spans="1:9" x14ac:dyDescent="0.35">
      <c r="A49" t="s">
        <v>61</v>
      </c>
      <c r="B49">
        <v>107791373</v>
      </c>
      <c r="C49" t="s">
        <v>554</v>
      </c>
      <c r="D49" t="s">
        <v>72</v>
      </c>
      <c r="E49" t="s">
        <v>70</v>
      </c>
      <c r="F49">
        <v>441</v>
      </c>
      <c r="G49" t="s">
        <v>62</v>
      </c>
      <c r="H49" t="s">
        <v>63</v>
      </c>
      <c r="I49">
        <v>1212</v>
      </c>
    </row>
    <row r="50" spans="1:9" x14ac:dyDescent="0.35">
      <c r="A50" t="s">
        <v>61</v>
      </c>
      <c r="B50">
        <v>107791373</v>
      </c>
      <c r="C50" t="s">
        <v>554</v>
      </c>
      <c r="D50" t="s">
        <v>72</v>
      </c>
      <c r="E50" t="s">
        <v>70</v>
      </c>
      <c r="F50">
        <v>441</v>
      </c>
      <c r="G50" t="s">
        <v>62</v>
      </c>
      <c r="H50" t="s">
        <v>64</v>
      </c>
      <c r="I50">
        <v>3136</v>
      </c>
    </row>
    <row r="51" spans="1:9" x14ac:dyDescent="0.35">
      <c r="A51" t="s">
        <v>61</v>
      </c>
      <c r="B51">
        <v>107791373</v>
      </c>
      <c r="C51" t="s">
        <v>554</v>
      </c>
      <c r="D51" t="s">
        <v>72</v>
      </c>
      <c r="E51" t="s">
        <v>70</v>
      </c>
      <c r="F51">
        <v>441</v>
      </c>
      <c r="G51" t="s">
        <v>68</v>
      </c>
      <c r="H51" t="s">
        <v>67</v>
      </c>
      <c r="I51">
        <v>441</v>
      </c>
    </row>
    <row r="52" spans="1:9" x14ac:dyDescent="0.35">
      <c r="A52" t="s">
        <v>61</v>
      </c>
      <c r="B52">
        <v>107916626</v>
      </c>
      <c r="C52" t="s">
        <v>567</v>
      </c>
      <c r="D52" t="s">
        <v>60</v>
      </c>
      <c r="E52" t="s">
        <v>70</v>
      </c>
      <c r="F52">
        <v>111</v>
      </c>
      <c r="G52" t="s">
        <v>62</v>
      </c>
      <c r="H52" t="s">
        <v>67</v>
      </c>
      <c r="I52">
        <v>776</v>
      </c>
    </row>
    <row r="53" spans="1:9" x14ac:dyDescent="0.35">
      <c r="A53" t="s">
        <v>61</v>
      </c>
      <c r="B53">
        <v>107916626</v>
      </c>
      <c r="C53" t="s">
        <v>567</v>
      </c>
      <c r="D53" t="s">
        <v>60</v>
      </c>
      <c r="E53" t="s">
        <v>70</v>
      </c>
      <c r="F53">
        <v>111</v>
      </c>
      <c r="G53" t="s">
        <v>62</v>
      </c>
      <c r="H53" t="s">
        <v>63</v>
      </c>
      <c r="I53">
        <v>80</v>
      </c>
    </row>
    <row r="54" spans="1:9" x14ac:dyDescent="0.35">
      <c r="A54" t="s">
        <v>61</v>
      </c>
      <c r="B54">
        <v>107916626</v>
      </c>
      <c r="C54" t="s">
        <v>567</v>
      </c>
      <c r="D54" t="s">
        <v>60</v>
      </c>
      <c r="E54" t="s">
        <v>70</v>
      </c>
      <c r="F54">
        <v>111</v>
      </c>
      <c r="G54" t="s">
        <v>62</v>
      </c>
      <c r="H54" t="s">
        <v>64</v>
      </c>
      <c r="I54">
        <v>696</v>
      </c>
    </row>
    <row r="55" spans="1:9" x14ac:dyDescent="0.35">
      <c r="A55" t="s">
        <v>61</v>
      </c>
      <c r="B55">
        <v>107916626</v>
      </c>
      <c r="C55" t="s">
        <v>567</v>
      </c>
      <c r="D55" t="s">
        <v>60</v>
      </c>
      <c r="E55" t="s">
        <v>70</v>
      </c>
      <c r="F55">
        <v>111</v>
      </c>
      <c r="G55" t="s">
        <v>68</v>
      </c>
      <c r="H55" t="s">
        <v>67</v>
      </c>
      <c r="I55">
        <v>111</v>
      </c>
    </row>
    <row r="56" spans="1:9" x14ac:dyDescent="0.35">
      <c r="A56" t="s">
        <v>61</v>
      </c>
      <c r="B56">
        <v>107212683</v>
      </c>
      <c r="C56" t="s">
        <v>673</v>
      </c>
      <c r="D56" t="s">
        <v>60</v>
      </c>
      <c r="E56" t="s">
        <v>70</v>
      </c>
      <c r="F56">
        <v>288</v>
      </c>
      <c r="G56" t="s">
        <v>62</v>
      </c>
      <c r="H56" t="s">
        <v>67</v>
      </c>
      <c r="I56">
        <v>3005</v>
      </c>
    </row>
    <row r="57" spans="1:9" x14ac:dyDescent="0.35">
      <c r="A57" t="s">
        <v>61</v>
      </c>
      <c r="B57">
        <v>107212683</v>
      </c>
      <c r="C57" t="s">
        <v>673</v>
      </c>
      <c r="D57" t="s">
        <v>60</v>
      </c>
      <c r="E57" t="s">
        <v>70</v>
      </c>
      <c r="F57">
        <v>288</v>
      </c>
      <c r="G57" t="s">
        <v>62</v>
      </c>
      <c r="H57" t="s">
        <v>63</v>
      </c>
      <c r="I57">
        <v>449</v>
      </c>
    </row>
    <row r="58" spans="1:9" x14ac:dyDescent="0.35">
      <c r="A58" t="s">
        <v>61</v>
      </c>
      <c r="B58">
        <v>107212683</v>
      </c>
      <c r="C58" t="s">
        <v>673</v>
      </c>
      <c r="D58" t="s">
        <v>60</v>
      </c>
      <c r="E58" t="s">
        <v>70</v>
      </c>
      <c r="F58">
        <v>288</v>
      </c>
      <c r="G58" t="s">
        <v>62</v>
      </c>
      <c r="H58" t="s">
        <v>64</v>
      </c>
      <c r="I58">
        <v>2556</v>
      </c>
    </row>
    <row r="59" spans="1:9" x14ac:dyDescent="0.35">
      <c r="A59" t="s">
        <v>61</v>
      </c>
      <c r="B59">
        <v>107212683</v>
      </c>
      <c r="C59" t="s">
        <v>673</v>
      </c>
      <c r="D59" t="s">
        <v>60</v>
      </c>
      <c r="E59" t="s">
        <v>70</v>
      </c>
      <c r="F59">
        <v>288</v>
      </c>
      <c r="G59" t="s">
        <v>68</v>
      </c>
      <c r="H59" t="s">
        <v>67</v>
      </c>
      <c r="I59">
        <v>288</v>
      </c>
    </row>
    <row r="60" spans="1:9" x14ac:dyDescent="0.35">
      <c r="A60" t="s">
        <v>61</v>
      </c>
      <c r="B60">
        <v>106533893</v>
      </c>
      <c r="C60" t="s">
        <v>672</v>
      </c>
      <c r="D60" t="s">
        <v>60</v>
      </c>
      <c r="E60" t="s">
        <v>70</v>
      </c>
      <c r="F60">
        <v>2</v>
      </c>
      <c r="G60" t="s">
        <v>62</v>
      </c>
      <c r="H60" t="s">
        <v>67</v>
      </c>
      <c r="I60">
        <v>2489</v>
      </c>
    </row>
    <row r="61" spans="1:9" x14ac:dyDescent="0.35">
      <c r="A61" t="s">
        <v>61</v>
      </c>
      <c r="B61">
        <v>106533893</v>
      </c>
      <c r="C61" t="s">
        <v>672</v>
      </c>
      <c r="D61" t="s">
        <v>60</v>
      </c>
      <c r="E61" t="s">
        <v>70</v>
      </c>
      <c r="F61">
        <v>2</v>
      </c>
      <c r="G61" t="s">
        <v>62</v>
      </c>
      <c r="H61" t="s">
        <v>63</v>
      </c>
      <c r="I61">
        <v>1152</v>
      </c>
    </row>
    <row r="62" spans="1:9" x14ac:dyDescent="0.35">
      <c r="A62" t="s">
        <v>61</v>
      </c>
      <c r="B62">
        <v>106533893</v>
      </c>
      <c r="C62" t="s">
        <v>672</v>
      </c>
      <c r="D62" t="s">
        <v>60</v>
      </c>
      <c r="E62" t="s">
        <v>70</v>
      </c>
      <c r="F62">
        <v>2</v>
      </c>
      <c r="G62" t="s">
        <v>62</v>
      </c>
      <c r="H62" t="s">
        <v>64</v>
      </c>
      <c r="I62">
        <v>1337</v>
      </c>
    </row>
    <row r="63" spans="1:9" x14ac:dyDescent="0.35">
      <c r="A63" t="s">
        <v>61</v>
      </c>
      <c r="B63">
        <v>106533893</v>
      </c>
      <c r="C63" t="s">
        <v>672</v>
      </c>
      <c r="D63" t="s">
        <v>60</v>
      </c>
      <c r="E63" t="s">
        <v>70</v>
      </c>
      <c r="F63">
        <v>2</v>
      </c>
      <c r="G63" t="s">
        <v>68</v>
      </c>
      <c r="H63" t="s">
        <v>67</v>
      </c>
      <c r="I63">
        <v>223</v>
      </c>
    </row>
    <row r="64" spans="1:9" x14ac:dyDescent="0.35">
      <c r="A64" t="s">
        <v>61</v>
      </c>
      <c r="B64">
        <v>106533893</v>
      </c>
      <c r="C64" t="s">
        <v>672</v>
      </c>
      <c r="D64" t="s">
        <v>60</v>
      </c>
      <c r="E64" t="s">
        <v>70</v>
      </c>
      <c r="F64">
        <v>2</v>
      </c>
      <c r="G64" t="s">
        <v>69</v>
      </c>
      <c r="H64" t="s">
        <v>67</v>
      </c>
      <c r="I64">
        <v>2</v>
      </c>
    </row>
    <row r="65" spans="1:9" x14ac:dyDescent="0.35">
      <c r="A65" t="s">
        <v>61</v>
      </c>
      <c r="B65">
        <v>107229417</v>
      </c>
      <c r="C65" t="s">
        <v>565</v>
      </c>
      <c r="D65" t="s">
        <v>60</v>
      </c>
      <c r="E65" t="s">
        <v>70</v>
      </c>
      <c r="F65">
        <v>469</v>
      </c>
      <c r="G65" t="s">
        <v>62</v>
      </c>
      <c r="H65" t="s">
        <v>67</v>
      </c>
      <c r="I65">
        <v>2631</v>
      </c>
    </row>
    <row r="66" spans="1:9" x14ac:dyDescent="0.35">
      <c r="A66" t="s">
        <v>61</v>
      </c>
      <c r="B66">
        <v>107229417</v>
      </c>
      <c r="C66" t="s">
        <v>565</v>
      </c>
      <c r="D66" t="s">
        <v>60</v>
      </c>
      <c r="E66" t="s">
        <v>70</v>
      </c>
      <c r="F66">
        <v>469</v>
      </c>
      <c r="G66" t="s">
        <v>62</v>
      </c>
      <c r="H66" t="s">
        <v>63</v>
      </c>
      <c r="I66">
        <v>678</v>
      </c>
    </row>
    <row r="67" spans="1:9" x14ac:dyDescent="0.35">
      <c r="A67" t="s">
        <v>61</v>
      </c>
      <c r="B67">
        <v>107229417</v>
      </c>
      <c r="C67" t="s">
        <v>565</v>
      </c>
      <c r="D67" t="s">
        <v>60</v>
      </c>
      <c r="E67" t="s">
        <v>70</v>
      </c>
      <c r="F67">
        <v>469</v>
      </c>
      <c r="G67" t="s">
        <v>62</v>
      </c>
      <c r="H67" t="s">
        <v>64</v>
      </c>
      <c r="I67">
        <v>1953</v>
      </c>
    </row>
    <row r="68" spans="1:9" x14ac:dyDescent="0.35">
      <c r="A68" t="s">
        <v>61</v>
      </c>
      <c r="B68">
        <v>107229417</v>
      </c>
      <c r="C68" t="s">
        <v>565</v>
      </c>
      <c r="D68" t="s">
        <v>60</v>
      </c>
      <c r="E68" t="s">
        <v>70</v>
      </c>
      <c r="F68">
        <v>469</v>
      </c>
      <c r="G68" t="s">
        <v>68</v>
      </c>
      <c r="H68" t="s">
        <v>67</v>
      </c>
      <c r="I68">
        <v>469</v>
      </c>
    </row>
    <row r="69" spans="1:9" x14ac:dyDescent="0.35">
      <c r="A69" t="s">
        <v>61</v>
      </c>
      <c r="B69">
        <v>107741612</v>
      </c>
      <c r="C69" t="s">
        <v>96</v>
      </c>
      <c r="D69" t="s">
        <v>60</v>
      </c>
      <c r="E69" t="s">
        <v>70</v>
      </c>
      <c r="F69">
        <v>341</v>
      </c>
      <c r="G69" t="s">
        <v>62</v>
      </c>
      <c r="H69" t="s">
        <v>67</v>
      </c>
      <c r="I69">
        <v>3021</v>
      </c>
    </row>
    <row r="70" spans="1:9" x14ac:dyDescent="0.35">
      <c r="A70" t="s">
        <v>61</v>
      </c>
      <c r="B70">
        <v>107741612</v>
      </c>
      <c r="C70" t="s">
        <v>96</v>
      </c>
      <c r="D70" t="s">
        <v>60</v>
      </c>
      <c r="E70" t="s">
        <v>70</v>
      </c>
      <c r="F70">
        <v>341</v>
      </c>
      <c r="G70" t="s">
        <v>62</v>
      </c>
      <c r="H70" t="s">
        <v>63</v>
      </c>
      <c r="I70">
        <v>374</v>
      </c>
    </row>
    <row r="71" spans="1:9" x14ac:dyDescent="0.35">
      <c r="A71" t="s">
        <v>61</v>
      </c>
      <c r="B71">
        <v>107741612</v>
      </c>
      <c r="C71" t="s">
        <v>96</v>
      </c>
      <c r="D71" t="s">
        <v>60</v>
      </c>
      <c r="E71" t="s">
        <v>70</v>
      </c>
      <c r="F71">
        <v>341</v>
      </c>
      <c r="G71" t="s">
        <v>62</v>
      </c>
      <c r="H71" t="s">
        <v>64</v>
      </c>
      <c r="I71">
        <v>2627</v>
      </c>
    </row>
    <row r="72" spans="1:9" x14ac:dyDescent="0.35">
      <c r="A72" t="s">
        <v>61</v>
      </c>
      <c r="B72">
        <v>107741612</v>
      </c>
      <c r="C72" t="s">
        <v>96</v>
      </c>
      <c r="D72" t="s">
        <v>60</v>
      </c>
      <c r="E72" t="s">
        <v>70</v>
      </c>
      <c r="F72">
        <v>341</v>
      </c>
      <c r="G72" t="s">
        <v>62</v>
      </c>
      <c r="H72" t="s">
        <v>65</v>
      </c>
      <c r="I72">
        <v>20</v>
      </c>
    </row>
    <row r="73" spans="1:9" x14ac:dyDescent="0.35">
      <c r="A73" t="s">
        <v>61</v>
      </c>
      <c r="B73">
        <v>107741612</v>
      </c>
      <c r="C73" t="s">
        <v>96</v>
      </c>
      <c r="D73" t="s">
        <v>60</v>
      </c>
      <c r="E73" t="s">
        <v>70</v>
      </c>
      <c r="F73">
        <v>341</v>
      </c>
      <c r="G73" t="s">
        <v>68</v>
      </c>
      <c r="H73" t="s">
        <v>67</v>
      </c>
      <c r="I73">
        <v>341</v>
      </c>
    </row>
    <row r="74" spans="1:9" x14ac:dyDescent="0.35">
      <c r="A74" t="s">
        <v>61</v>
      </c>
      <c r="B74">
        <v>107221225</v>
      </c>
      <c r="C74" t="s">
        <v>87</v>
      </c>
      <c r="D74" t="s">
        <v>60</v>
      </c>
      <c r="E74" t="s">
        <v>58</v>
      </c>
      <c r="F74">
        <v>306</v>
      </c>
      <c r="G74" t="s">
        <v>62</v>
      </c>
      <c r="H74" t="s">
        <v>67</v>
      </c>
      <c r="I74">
        <v>2358</v>
      </c>
    </row>
    <row r="75" spans="1:9" x14ac:dyDescent="0.35">
      <c r="A75" t="s">
        <v>61</v>
      </c>
      <c r="B75">
        <v>107221225</v>
      </c>
      <c r="C75" t="s">
        <v>87</v>
      </c>
      <c r="D75" t="s">
        <v>60</v>
      </c>
      <c r="E75" t="s">
        <v>58</v>
      </c>
      <c r="F75">
        <v>306</v>
      </c>
      <c r="G75" t="s">
        <v>62</v>
      </c>
      <c r="H75" t="s">
        <v>63</v>
      </c>
      <c r="I75">
        <v>322</v>
      </c>
    </row>
    <row r="76" spans="1:9" x14ac:dyDescent="0.35">
      <c r="A76" t="s">
        <v>61</v>
      </c>
      <c r="B76">
        <v>107221225</v>
      </c>
      <c r="C76" t="s">
        <v>87</v>
      </c>
      <c r="D76" t="s">
        <v>60</v>
      </c>
      <c r="E76" t="s">
        <v>58</v>
      </c>
      <c r="F76">
        <v>306</v>
      </c>
      <c r="G76" t="s">
        <v>62</v>
      </c>
      <c r="H76" t="s">
        <v>64</v>
      </c>
      <c r="I76">
        <v>2036</v>
      </c>
    </row>
    <row r="77" spans="1:9" x14ac:dyDescent="0.35">
      <c r="A77" t="s">
        <v>61</v>
      </c>
      <c r="B77">
        <v>107221225</v>
      </c>
      <c r="C77" t="s">
        <v>87</v>
      </c>
      <c r="D77" t="s">
        <v>60</v>
      </c>
      <c r="E77" t="s">
        <v>58</v>
      </c>
      <c r="F77">
        <v>306</v>
      </c>
      <c r="G77" t="s">
        <v>68</v>
      </c>
      <c r="H77" t="s">
        <v>67</v>
      </c>
      <c r="I77">
        <v>307</v>
      </c>
    </row>
    <row r="78" spans="1:9" x14ac:dyDescent="0.35">
      <c r="A78" t="s">
        <v>61</v>
      </c>
      <c r="B78">
        <v>102457590</v>
      </c>
      <c r="C78" t="s">
        <v>668</v>
      </c>
      <c r="D78" t="s">
        <v>72</v>
      </c>
      <c r="E78" t="s">
        <v>70</v>
      </c>
      <c r="F78">
        <v>410</v>
      </c>
      <c r="G78" t="s">
        <v>62</v>
      </c>
      <c r="H78" t="s">
        <v>67</v>
      </c>
      <c r="I78">
        <v>4192</v>
      </c>
    </row>
    <row r="79" spans="1:9" x14ac:dyDescent="0.35">
      <c r="A79" t="s">
        <v>61</v>
      </c>
      <c r="B79">
        <v>102457590</v>
      </c>
      <c r="C79" t="s">
        <v>668</v>
      </c>
      <c r="D79" t="s">
        <v>72</v>
      </c>
      <c r="E79" t="s">
        <v>70</v>
      </c>
      <c r="F79">
        <v>410</v>
      </c>
      <c r="G79" t="s">
        <v>62</v>
      </c>
      <c r="H79" t="s">
        <v>63</v>
      </c>
      <c r="I79">
        <v>1058</v>
      </c>
    </row>
    <row r="80" spans="1:9" x14ac:dyDescent="0.35">
      <c r="A80" t="s">
        <v>61</v>
      </c>
      <c r="B80">
        <v>102457590</v>
      </c>
      <c r="C80" t="s">
        <v>668</v>
      </c>
      <c r="D80" t="s">
        <v>72</v>
      </c>
      <c r="E80" t="s">
        <v>70</v>
      </c>
      <c r="F80">
        <v>410</v>
      </c>
      <c r="G80" t="s">
        <v>62</v>
      </c>
      <c r="H80" t="s">
        <v>64</v>
      </c>
      <c r="I80">
        <v>3134</v>
      </c>
    </row>
    <row r="81" spans="1:9" x14ac:dyDescent="0.35">
      <c r="A81" t="s">
        <v>61</v>
      </c>
      <c r="B81">
        <v>102457590</v>
      </c>
      <c r="C81" t="s">
        <v>668</v>
      </c>
      <c r="D81" t="s">
        <v>72</v>
      </c>
      <c r="E81" t="s">
        <v>70</v>
      </c>
      <c r="F81">
        <v>410</v>
      </c>
      <c r="G81" t="s">
        <v>68</v>
      </c>
      <c r="H81" t="s">
        <v>67</v>
      </c>
      <c r="I81">
        <v>410</v>
      </c>
    </row>
    <row r="82" spans="1:9" x14ac:dyDescent="0.35">
      <c r="A82" t="s">
        <v>61</v>
      </c>
      <c r="B82">
        <v>106534121</v>
      </c>
      <c r="C82" t="s">
        <v>562</v>
      </c>
      <c r="D82" t="s">
        <v>60</v>
      </c>
      <c r="E82" t="s">
        <v>70</v>
      </c>
      <c r="F82">
        <v>442</v>
      </c>
      <c r="G82" t="s">
        <v>62</v>
      </c>
      <c r="H82" t="s">
        <v>67</v>
      </c>
      <c r="I82">
        <v>3493</v>
      </c>
    </row>
    <row r="83" spans="1:9" x14ac:dyDescent="0.35">
      <c r="A83" t="s">
        <v>61</v>
      </c>
      <c r="B83">
        <v>106534121</v>
      </c>
      <c r="C83" t="s">
        <v>562</v>
      </c>
      <c r="D83" t="s">
        <v>60</v>
      </c>
      <c r="E83" t="s">
        <v>70</v>
      </c>
      <c r="F83">
        <v>442</v>
      </c>
      <c r="G83" t="s">
        <v>62</v>
      </c>
      <c r="H83" t="s">
        <v>63</v>
      </c>
      <c r="I83">
        <v>518</v>
      </c>
    </row>
    <row r="84" spans="1:9" x14ac:dyDescent="0.35">
      <c r="A84" t="s">
        <v>61</v>
      </c>
      <c r="B84">
        <v>106534121</v>
      </c>
      <c r="C84" t="s">
        <v>562</v>
      </c>
      <c r="D84" t="s">
        <v>60</v>
      </c>
      <c r="E84" t="s">
        <v>70</v>
      </c>
      <c r="F84">
        <v>442</v>
      </c>
      <c r="G84" t="s">
        <v>62</v>
      </c>
      <c r="H84" t="s">
        <v>64</v>
      </c>
      <c r="I84">
        <v>2963</v>
      </c>
    </row>
    <row r="85" spans="1:9" x14ac:dyDescent="0.35">
      <c r="A85" t="s">
        <v>61</v>
      </c>
      <c r="B85">
        <v>106534121</v>
      </c>
      <c r="C85" t="s">
        <v>562</v>
      </c>
      <c r="D85" t="s">
        <v>60</v>
      </c>
      <c r="E85" t="s">
        <v>70</v>
      </c>
      <c r="F85">
        <v>442</v>
      </c>
      <c r="G85" t="s">
        <v>62</v>
      </c>
      <c r="H85" t="s">
        <v>65</v>
      </c>
      <c r="I85">
        <v>12</v>
      </c>
    </row>
    <row r="86" spans="1:9" x14ac:dyDescent="0.35">
      <c r="A86" t="s">
        <v>61</v>
      </c>
      <c r="B86">
        <v>106534121</v>
      </c>
      <c r="C86" t="s">
        <v>562</v>
      </c>
      <c r="D86" t="s">
        <v>60</v>
      </c>
      <c r="E86" t="s">
        <v>70</v>
      </c>
      <c r="F86">
        <v>442</v>
      </c>
      <c r="G86" t="s">
        <v>68</v>
      </c>
      <c r="H86" t="s">
        <v>67</v>
      </c>
      <c r="I86">
        <v>442</v>
      </c>
    </row>
    <row r="87" spans="1:9" x14ac:dyDescent="0.35">
      <c r="A87" t="s">
        <v>61</v>
      </c>
      <c r="B87">
        <v>107221231</v>
      </c>
      <c r="C87" t="s">
        <v>88</v>
      </c>
      <c r="D87" t="s">
        <v>60</v>
      </c>
      <c r="E87" t="s">
        <v>70</v>
      </c>
      <c r="F87">
        <v>329</v>
      </c>
      <c r="G87" t="s">
        <v>62</v>
      </c>
      <c r="H87" t="s">
        <v>67</v>
      </c>
      <c r="I87">
        <v>3293</v>
      </c>
    </row>
    <row r="88" spans="1:9" x14ac:dyDescent="0.35">
      <c r="A88" t="s">
        <v>61</v>
      </c>
      <c r="B88">
        <v>107221231</v>
      </c>
      <c r="C88" t="s">
        <v>88</v>
      </c>
      <c r="D88" t="s">
        <v>60</v>
      </c>
      <c r="E88" t="s">
        <v>70</v>
      </c>
      <c r="F88">
        <v>329</v>
      </c>
      <c r="G88" t="s">
        <v>62</v>
      </c>
      <c r="H88" t="s">
        <v>63</v>
      </c>
      <c r="I88">
        <v>381</v>
      </c>
    </row>
    <row r="89" spans="1:9" x14ac:dyDescent="0.35">
      <c r="A89" t="s">
        <v>61</v>
      </c>
      <c r="B89">
        <v>107221231</v>
      </c>
      <c r="C89" t="s">
        <v>88</v>
      </c>
      <c r="D89" t="s">
        <v>60</v>
      </c>
      <c r="E89" t="s">
        <v>70</v>
      </c>
      <c r="F89">
        <v>329</v>
      </c>
      <c r="G89" t="s">
        <v>62</v>
      </c>
      <c r="H89" t="s">
        <v>64</v>
      </c>
      <c r="I89">
        <v>2911</v>
      </c>
    </row>
    <row r="90" spans="1:9" x14ac:dyDescent="0.35">
      <c r="A90" t="s">
        <v>61</v>
      </c>
      <c r="B90">
        <v>107221231</v>
      </c>
      <c r="C90" t="s">
        <v>88</v>
      </c>
      <c r="D90" t="s">
        <v>60</v>
      </c>
      <c r="E90" t="s">
        <v>70</v>
      </c>
      <c r="F90">
        <v>329</v>
      </c>
      <c r="G90" t="s">
        <v>62</v>
      </c>
      <c r="H90" t="s">
        <v>65</v>
      </c>
      <c r="I90">
        <v>1</v>
      </c>
    </row>
    <row r="91" spans="1:9" x14ac:dyDescent="0.35">
      <c r="A91" t="s">
        <v>61</v>
      </c>
      <c r="B91">
        <v>107221231</v>
      </c>
      <c r="C91" t="s">
        <v>88</v>
      </c>
      <c r="D91" t="s">
        <v>60</v>
      </c>
      <c r="E91" t="s">
        <v>70</v>
      </c>
      <c r="F91">
        <v>329</v>
      </c>
      <c r="G91" t="s">
        <v>68</v>
      </c>
      <c r="H91" t="s">
        <v>67</v>
      </c>
      <c r="I91">
        <v>329</v>
      </c>
    </row>
    <row r="92" spans="1:9" x14ac:dyDescent="0.35">
      <c r="A92" t="s">
        <v>61</v>
      </c>
      <c r="B92">
        <v>107826201</v>
      </c>
      <c r="C92" t="s">
        <v>539</v>
      </c>
      <c r="D92" t="s">
        <v>60</v>
      </c>
      <c r="E92" t="s">
        <v>58</v>
      </c>
      <c r="F92">
        <v>270</v>
      </c>
      <c r="G92" t="s">
        <v>62</v>
      </c>
      <c r="H92" t="s">
        <v>67</v>
      </c>
      <c r="I92">
        <v>1751</v>
      </c>
    </row>
    <row r="93" spans="1:9" x14ac:dyDescent="0.35">
      <c r="A93" t="s">
        <v>61</v>
      </c>
      <c r="B93">
        <v>107826201</v>
      </c>
      <c r="C93" t="s">
        <v>539</v>
      </c>
      <c r="D93" t="s">
        <v>60</v>
      </c>
      <c r="E93" t="s">
        <v>58</v>
      </c>
      <c r="F93">
        <v>270</v>
      </c>
      <c r="G93" t="s">
        <v>62</v>
      </c>
      <c r="H93" t="s">
        <v>63</v>
      </c>
      <c r="I93">
        <v>58</v>
      </c>
    </row>
    <row r="94" spans="1:9" x14ac:dyDescent="0.35">
      <c r="A94" t="s">
        <v>61</v>
      </c>
      <c r="B94">
        <v>107826201</v>
      </c>
      <c r="C94" t="s">
        <v>539</v>
      </c>
      <c r="D94" t="s">
        <v>60</v>
      </c>
      <c r="E94" t="s">
        <v>58</v>
      </c>
      <c r="F94">
        <v>270</v>
      </c>
      <c r="G94" t="s">
        <v>62</v>
      </c>
      <c r="H94" t="s">
        <v>64</v>
      </c>
      <c r="I94">
        <v>1693</v>
      </c>
    </row>
    <row r="95" spans="1:9" x14ac:dyDescent="0.35">
      <c r="A95" t="s">
        <v>61</v>
      </c>
      <c r="B95">
        <v>107826201</v>
      </c>
      <c r="C95" t="s">
        <v>539</v>
      </c>
      <c r="D95" t="s">
        <v>60</v>
      </c>
      <c r="E95" t="s">
        <v>58</v>
      </c>
      <c r="F95">
        <v>270</v>
      </c>
      <c r="G95" t="s">
        <v>68</v>
      </c>
      <c r="H95" t="s">
        <v>67</v>
      </c>
      <c r="I95">
        <v>270</v>
      </c>
    </row>
    <row r="96" spans="1:9" x14ac:dyDescent="0.35">
      <c r="A96" t="s">
        <v>61</v>
      </c>
      <c r="B96">
        <v>106276317</v>
      </c>
      <c r="C96" t="s">
        <v>548</v>
      </c>
      <c r="D96" t="s">
        <v>72</v>
      </c>
      <c r="E96" t="s">
        <v>70</v>
      </c>
      <c r="F96">
        <v>461</v>
      </c>
      <c r="G96" t="s">
        <v>62</v>
      </c>
      <c r="H96" t="s">
        <v>67</v>
      </c>
      <c r="I96">
        <v>2559</v>
      </c>
    </row>
    <row r="97" spans="1:9" x14ac:dyDescent="0.35">
      <c r="A97" t="s">
        <v>61</v>
      </c>
      <c r="B97">
        <v>106276317</v>
      </c>
      <c r="C97" t="s">
        <v>548</v>
      </c>
      <c r="D97" t="s">
        <v>72</v>
      </c>
      <c r="E97" t="s">
        <v>70</v>
      </c>
      <c r="F97">
        <v>461</v>
      </c>
      <c r="G97" t="s">
        <v>62</v>
      </c>
      <c r="H97" t="s">
        <v>63</v>
      </c>
      <c r="I97">
        <v>522</v>
      </c>
    </row>
    <row r="98" spans="1:9" x14ac:dyDescent="0.35">
      <c r="A98" t="s">
        <v>61</v>
      </c>
      <c r="B98">
        <v>106276317</v>
      </c>
      <c r="C98" t="s">
        <v>548</v>
      </c>
      <c r="D98" t="s">
        <v>72</v>
      </c>
      <c r="E98" t="s">
        <v>70</v>
      </c>
      <c r="F98">
        <v>461</v>
      </c>
      <c r="G98" t="s">
        <v>62</v>
      </c>
      <c r="H98" t="s">
        <v>64</v>
      </c>
      <c r="I98">
        <v>2037</v>
      </c>
    </row>
    <row r="99" spans="1:9" x14ac:dyDescent="0.35">
      <c r="A99" t="s">
        <v>61</v>
      </c>
      <c r="B99">
        <v>106276317</v>
      </c>
      <c r="C99" t="s">
        <v>548</v>
      </c>
      <c r="D99" t="s">
        <v>72</v>
      </c>
      <c r="E99" t="s">
        <v>70</v>
      </c>
      <c r="F99">
        <v>461</v>
      </c>
      <c r="G99" t="s">
        <v>68</v>
      </c>
      <c r="H99" t="s">
        <v>67</v>
      </c>
      <c r="I99">
        <v>461</v>
      </c>
    </row>
    <row r="100" spans="1:9" x14ac:dyDescent="0.35">
      <c r="A100" t="s">
        <v>61</v>
      </c>
      <c r="B100">
        <v>107221210</v>
      </c>
      <c r="C100" t="s">
        <v>84</v>
      </c>
      <c r="D100" t="s">
        <v>60</v>
      </c>
      <c r="E100" t="s">
        <v>70</v>
      </c>
      <c r="F100">
        <v>331</v>
      </c>
      <c r="G100" t="s">
        <v>62</v>
      </c>
      <c r="H100" t="s">
        <v>67</v>
      </c>
      <c r="I100">
        <v>2839</v>
      </c>
    </row>
    <row r="101" spans="1:9" x14ac:dyDescent="0.35">
      <c r="A101" t="s">
        <v>61</v>
      </c>
      <c r="B101">
        <v>107221210</v>
      </c>
      <c r="C101" t="s">
        <v>84</v>
      </c>
      <c r="D101" t="s">
        <v>60</v>
      </c>
      <c r="E101" t="s">
        <v>70</v>
      </c>
      <c r="F101">
        <v>331</v>
      </c>
      <c r="G101" t="s">
        <v>62</v>
      </c>
      <c r="H101" t="s">
        <v>63</v>
      </c>
      <c r="I101">
        <v>502</v>
      </c>
    </row>
    <row r="102" spans="1:9" x14ac:dyDescent="0.35">
      <c r="A102" t="s">
        <v>61</v>
      </c>
      <c r="B102">
        <v>107221210</v>
      </c>
      <c r="C102" t="s">
        <v>84</v>
      </c>
      <c r="D102" t="s">
        <v>60</v>
      </c>
      <c r="E102" t="s">
        <v>70</v>
      </c>
      <c r="F102">
        <v>331</v>
      </c>
      <c r="G102" t="s">
        <v>62</v>
      </c>
      <c r="H102" t="s">
        <v>64</v>
      </c>
      <c r="I102">
        <v>2336</v>
      </c>
    </row>
    <row r="103" spans="1:9" x14ac:dyDescent="0.35">
      <c r="A103" t="s">
        <v>61</v>
      </c>
      <c r="B103">
        <v>107221210</v>
      </c>
      <c r="C103" t="s">
        <v>84</v>
      </c>
      <c r="D103" t="s">
        <v>60</v>
      </c>
      <c r="E103" t="s">
        <v>70</v>
      </c>
      <c r="F103">
        <v>331</v>
      </c>
      <c r="G103" t="s">
        <v>62</v>
      </c>
      <c r="H103" t="s">
        <v>65</v>
      </c>
      <c r="I103">
        <v>1</v>
      </c>
    </row>
    <row r="104" spans="1:9" x14ac:dyDescent="0.35">
      <c r="A104" t="s">
        <v>61</v>
      </c>
      <c r="B104">
        <v>107221210</v>
      </c>
      <c r="C104" t="s">
        <v>84</v>
      </c>
      <c r="D104" t="s">
        <v>60</v>
      </c>
      <c r="E104" t="s">
        <v>70</v>
      </c>
      <c r="F104">
        <v>331</v>
      </c>
      <c r="G104" t="s">
        <v>68</v>
      </c>
      <c r="H104" t="s">
        <v>67</v>
      </c>
      <c r="I104">
        <v>331</v>
      </c>
    </row>
    <row r="105" spans="1:9" x14ac:dyDescent="0.35">
      <c r="A105" t="s">
        <v>61</v>
      </c>
      <c r="B105">
        <v>107907397</v>
      </c>
      <c r="C105" t="s">
        <v>105</v>
      </c>
      <c r="D105" t="s">
        <v>60</v>
      </c>
      <c r="E105" t="s">
        <v>58</v>
      </c>
      <c r="F105">
        <v>308</v>
      </c>
      <c r="G105" t="s">
        <v>62</v>
      </c>
      <c r="H105" t="s">
        <v>67</v>
      </c>
      <c r="I105">
        <v>2138</v>
      </c>
    </row>
    <row r="106" spans="1:9" x14ac:dyDescent="0.35">
      <c r="A106" t="s">
        <v>61</v>
      </c>
      <c r="B106">
        <v>107907397</v>
      </c>
      <c r="C106" t="s">
        <v>105</v>
      </c>
      <c r="D106" t="s">
        <v>60</v>
      </c>
      <c r="E106" t="s">
        <v>58</v>
      </c>
      <c r="F106">
        <v>308</v>
      </c>
      <c r="G106" t="s">
        <v>62</v>
      </c>
      <c r="H106" t="s">
        <v>63</v>
      </c>
      <c r="I106">
        <v>632</v>
      </c>
    </row>
    <row r="107" spans="1:9" x14ac:dyDescent="0.35">
      <c r="A107" t="s">
        <v>61</v>
      </c>
      <c r="B107">
        <v>107907397</v>
      </c>
      <c r="C107" t="s">
        <v>105</v>
      </c>
      <c r="D107" t="s">
        <v>60</v>
      </c>
      <c r="E107" t="s">
        <v>58</v>
      </c>
      <c r="F107">
        <v>308</v>
      </c>
      <c r="G107" t="s">
        <v>62</v>
      </c>
      <c r="H107" t="s">
        <v>64</v>
      </c>
      <c r="I107">
        <v>1506</v>
      </c>
    </row>
    <row r="108" spans="1:9" x14ac:dyDescent="0.35">
      <c r="A108" t="s">
        <v>61</v>
      </c>
      <c r="B108">
        <v>107907397</v>
      </c>
      <c r="C108" t="s">
        <v>105</v>
      </c>
      <c r="D108" t="s">
        <v>60</v>
      </c>
      <c r="E108" t="s">
        <v>58</v>
      </c>
      <c r="F108">
        <v>308</v>
      </c>
      <c r="G108" t="s">
        <v>68</v>
      </c>
      <c r="H108" t="s">
        <v>67</v>
      </c>
      <c r="I108">
        <v>308</v>
      </c>
    </row>
    <row r="109" spans="1:9" x14ac:dyDescent="0.35">
      <c r="A109" t="s">
        <v>61</v>
      </c>
      <c r="B109">
        <v>107824169</v>
      </c>
      <c r="C109" t="s">
        <v>103</v>
      </c>
      <c r="D109" t="s">
        <v>60</v>
      </c>
      <c r="E109" t="s">
        <v>58</v>
      </c>
      <c r="F109">
        <v>245</v>
      </c>
      <c r="G109" t="s">
        <v>62</v>
      </c>
      <c r="H109" t="s">
        <v>67</v>
      </c>
      <c r="I109">
        <v>1993</v>
      </c>
    </row>
    <row r="110" spans="1:9" x14ac:dyDescent="0.35">
      <c r="A110" t="s">
        <v>61</v>
      </c>
      <c r="B110">
        <v>107824169</v>
      </c>
      <c r="C110" t="s">
        <v>103</v>
      </c>
      <c r="D110" t="s">
        <v>60</v>
      </c>
      <c r="E110" t="s">
        <v>58</v>
      </c>
      <c r="F110">
        <v>245</v>
      </c>
      <c r="G110" t="s">
        <v>62</v>
      </c>
      <c r="H110" t="s">
        <v>63</v>
      </c>
      <c r="I110">
        <v>222</v>
      </c>
    </row>
    <row r="111" spans="1:9" x14ac:dyDescent="0.35">
      <c r="A111" t="s">
        <v>61</v>
      </c>
      <c r="B111">
        <v>107824169</v>
      </c>
      <c r="C111" t="s">
        <v>103</v>
      </c>
      <c r="D111" t="s">
        <v>60</v>
      </c>
      <c r="E111" t="s">
        <v>58</v>
      </c>
      <c r="F111">
        <v>245</v>
      </c>
      <c r="G111" t="s">
        <v>62</v>
      </c>
      <c r="H111" t="s">
        <v>64</v>
      </c>
      <c r="I111">
        <v>1771</v>
      </c>
    </row>
    <row r="112" spans="1:9" x14ac:dyDescent="0.35">
      <c r="A112" t="s">
        <v>61</v>
      </c>
      <c r="B112">
        <v>107824169</v>
      </c>
      <c r="C112" t="s">
        <v>103</v>
      </c>
      <c r="D112" t="s">
        <v>60</v>
      </c>
      <c r="E112" t="s">
        <v>58</v>
      </c>
      <c r="F112">
        <v>245</v>
      </c>
      <c r="G112" t="s">
        <v>68</v>
      </c>
      <c r="H112" t="s">
        <v>67</v>
      </c>
      <c r="I112">
        <v>245</v>
      </c>
    </row>
    <row r="113" spans="1:9" x14ac:dyDescent="0.35">
      <c r="A113" t="s">
        <v>61</v>
      </c>
      <c r="B113">
        <v>107826193</v>
      </c>
      <c r="C113" t="s">
        <v>538</v>
      </c>
      <c r="D113" t="s">
        <v>60</v>
      </c>
      <c r="E113" t="s">
        <v>58</v>
      </c>
      <c r="F113">
        <v>396</v>
      </c>
      <c r="G113" t="s">
        <v>62</v>
      </c>
      <c r="H113" t="s">
        <v>67</v>
      </c>
      <c r="I113">
        <v>2029</v>
      </c>
    </row>
    <row r="114" spans="1:9" x14ac:dyDescent="0.35">
      <c r="A114" t="s">
        <v>61</v>
      </c>
      <c r="B114">
        <v>107826193</v>
      </c>
      <c r="C114" t="s">
        <v>538</v>
      </c>
      <c r="D114" t="s">
        <v>60</v>
      </c>
      <c r="E114" t="s">
        <v>58</v>
      </c>
      <c r="F114">
        <v>396</v>
      </c>
      <c r="G114" t="s">
        <v>62</v>
      </c>
      <c r="H114" t="s">
        <v>63</v>
      </c>
      <c r="I114">
        <v>478</v>
      </c>
    </row>
    <row r="115" spans="1:9" x14ac:dyDescent="0.35">
      <c r="A115" t="s">
        <v>61</v>
      </c>
      <c r="B115">
        <v>107826193</v>
      </c>
      <c r="C115" t="s">
        <v>538</v>
      </c>
      <c r="D115" t="s">
        <v>60</v>
      </c>
      <c r="E115" t="s">
        <v>58</v>
      </c>
      <c r="F115">
        <v>396</v>
      </c>
      <c r="G115" t="s">
        <v>62</v>
      </c>
      <c r="H115" t="s">
        <v>64</v>
      </c>
      <c r="I115">
        <v>1551</v>
      </c>
    </row>
    <row r="116" spans="1:9" x14ac:dyDescent="0.35">
      <c r="A116" t="s">
        <v>61</v>
      </c>
      <c r="B116">
        <v>107826193</v>
      </c>
      <c r="C116" t="s">
        <v>538</v>
      </c>
      <c r="D116" t="s">
        <v>60</v>
      </c>
      <c r="E116" t="s">
        <v>58</v>
      </c>
      <c r="F116">
        <v>396</v>
      </c>
      <c r="G116" t="s">
        <v>68</v>
      </c>
      <c r="H116" t="s">
        <v>67</v>
      </c>
      <c r="I116">
        <v>396</v>
      </c>
    </row>
    <row r="117" spans="1:9" x14ac:dyDescent="0.35">
      <c r="A117" t="s">
        <v>61</v>
      </c>
      <c r="B117">
        <v>107741579</v>
      </c>
      <c r="C117" t="s">
        <v>95</v>
      </c>
      <c r="D117" t="s">
        <v>60</v>
      </c>
      <c r="E117" t="s">
        <v>70</v>
      </c>
      <c r="F117">
        <v>364</v>
      </c>
      <c r="G117" t="s">
        <v>62</v>
      </c>
      <c r="H117" t="s">
        <v>67</v>
      </c>
      <c r="I117">
        <v>3532</v>
      </c>
    </row>
    <row r="118" spans="1:9" x14ac:dyDescent="0.35">
      <c r="A118" t="s">
        <v>61</v>
      </c>
      <c r="B118">
        <v>107741579</v>
      </c>
      <c r="C118" t="s">
        <v>95</v>
      </c>
      <c r="D118" t="s">
        <v>60</v>
      </c>
      <c r="E118" t="s">
        <v>70</v>
      </c>
      <c r="F118">
        <v>364</v>
      </c>
      <c r="G118" t="s">
        <v>62</v>
      </c>
      <c r="H118" t="s">
        <v>63</v>
      </c>
      <c r="I118">
        <v>909</v>
      </c>
    </row>
    <row r="119" spans="1:9" x14ac:dyDescent="0.35">
      <c r="A119" t="s">
        <v>61</v>
      </c>
      <c r="B119">
        <v>107741579</v>
      </c>
      <c r="C119" t="s">
        <v>95</v>
      </c>
      <c r="D119" t="s">
        <v>60</v>
      </c>
      <c r="E119" t="s">
        <v>70</v>
      </c>
      <c r="F119">
        <v>364</v>
      </c>
      <c r="G119" t="s">
        <v>62</v>
      </c>
      <c r="H119" t="s">
        <v>64</v>
      </c>
      <c r="I119">
        <v>2623</v>
      </c>
    </row>
    <row r="120" spans="1:9" x14ac:dyDescent="0.35">
      <c r="A120" t="s">
        <v>61</v>
      </c>
      <c r="B120">
        <v>107741579</v>
      </c>
      <c r="C120" t="s">
        <v>95</v>
      </c>
      <c r="D120" t="s">
        <v>60</v>
      </c>
      <c r="E120" t="s">
        <v>70</v>
      </c>
      <c r="F120">
        <v>364</v>
      </c>
      <c r="G120" t="s">
        <v>68</v>
      </c>
      <c r="H120" t="s">
        <v>67</v>
      </c>
      <c r="I120">
        <v>364</v>
      </c>
    </row>
    <row r="121" spans="1:9" x14ac:dyDescent="0.35">
      <c r="A121" t="s">
        <v>61</v>
      </c>
      <c r="B121">
        <v>101446428</v>
      </c>
      <c r="C121" t="s">
        <v>73</v>
      </c>
      <c r="D121" t="s">
        <v>60</v>
      </c>
      <c r="E121" t="s">
        <v>58</v>
      </c>
      <c r="F121">
        <v>367</v>
      </c>
      <c r="G121" t="s">
        <v>62</v>
      </c>
      <c r="H121" t="s">
        <v>67</v>
      </c>
      <c r="I121">
        <v>3655</v>
      </c>
    </row>
    <row r="122" spans="1:9" x14ac:dyDescent="0.35">
      <c r="A122" t="s">
        <v>61</v>
      </c>
      <c r="B122">
        <v>101446428</v>
      </c>
      <c r="C122" t="s">
        <v>73</v>
      </c>
      <c r="D122" t="s">
        <v>60</v>
      </c>
      <c r="E122" t="s">
        <v>58</v>
      </c>
      <c r="F122">
        <v>367</v>
      </c>
      <c r="G122" t="s">
        <v>62</v>
      </c>
      <c r="H122" t="s">
        <v>63</v>
      </c>
      <c r="I122">
        <v>717</v>
      </c>
    </row>
    <row r="123" spans="1:9" x14ac:dyDescent="0.35">
      <c r="A123" t="s">
        <v>61</v>
      </c>
      <c r="B123">
        <v>101446428</v>
      </c>
      <c r="C123" t="s">
        <v>73</v>
      </c>
      <c r="D123" t="s">
        <v>60</v>
      </c>
      <c r="E123" t="s">
        <v>58</v>
      </c>
      <c r="F123">
        <v>367</v>
      </c>
      <c r="G123" t="s">
        <v>62</v>
      </c>
      <c r="H123" t="s">
        <v>64</v>
      </c>
      <c r="I123">
        <v>2936</v>
      </c>
    </row>
    <row r="124" spans="1:9" x14ac:dyDescent="0.35">
      <c r="A124" t="s">
        <v>61</v>
      </c>
      <c r="B124">
        <v>101446428</v>
      </c>
      <c r="C124" t="s">
        <v>73</v>
      </c>
      <c r="D124" t="s">
        <v>60</v>
      </c>
      <c r="E124" t="s">
        <v>58</v>
      </c>
      <c r="F124">
        <v>367</v>
      </c>
      <c r="G124" t="s">
        <v>62</v>
      </c>
      <c r="H124" t="s">
        <v>65</v>
      </c>
      <c r="I124">
        <v>2</v>
      </c>
    </row>
    <row r="125" spans="1:9" x14ac:dyDescent="0.35">
      <c r="A125" t="s">
        <v>61</v>
      </c>
      <c r="B125">
        <v>101446428</v>
      </c>
      <c r="C125" t="s">
        <v>73</v>
      </c>
      <c r="D125" t="s">
        <v>60</v>
      </c>
      <c r="E125" t="s">
        <v>58</v>
      </c>
      <c r="F125">
        <v>367</v>
      </c>
      <c r="G125" t="s">
        <v>68</v>
      </c>
      <c r="H125" t="s">
        <v>67</v>
      </c>
      <c r="I125">
        <v>367</v>
      </c>
    </row>
    <row r="126" spans="1:9" x14ac:dyDescent="0.35">
      <c r="A126" t="s">
        <v>61</v>
      </c>
      <c r="B126">
        <v>107221213</v>
      </c>
      <c r="C126" t="s">
        <v>85</v>
      </c>
      <c r="D126" t="s">
        <v>60</v>
      </c>
      <c r="E126" t="s">
        <v>70</v>
      </c>
      <c r="F126">
        <v>348</v>
      </c>
      <c r="G126" t="s">
        <v>62</v>
      </c>
      <c r="H126" t="s">
        <v>67</v>
      </c>
      <c r="I126">
        <v>4407</v>
      </c>
    </row>
    <row r="127" spans="1:9" x14ac:dyDescent="0.35">
      <c r="A127" t="s">
        <v>61</v>
      </c>
      <c r="B127">
        <v>107221213</v>
      </c>
      <c r="C127" t="s">
        <v>85</v>
      </c>
      <c r="D127" t="s">
        <v>60</v>
      </c>
      <c r="E127" t="s">
        <v>70</v>
      </c>
      <c r="F127">
        <v>348</v>
      </c>
      <c r="G127" t="s">
        <v>62</v>
      </c>
      <c r="H127" t="s">
        <v>63</v>
      </c>
      <c r="I127">
        <v>1013</v>
      </c>
    </row>
    <row r="128" spans="1:9" x14ac:dyDescent="0.35">
      <c r="A128" t="s">
        <v>61</v>
      </c>
      <c r="B128">
        <v>107221213</v>
      </c>
      <c r="C128" t="s">
        <v>85</v>
      </c>
      <c r="D128" t="s">
        <v>60</v>
      </c>
      <c r="E128" t="s">
        <v>70</v>
      </c>
      <c r="F128">
        <v>348</v>
      </c>
      <c r="G128" t="s">
        <v>62</v>
      </c>
      <c r="H128" t="s">
        <v>64</v>
      </c>
      <c r="I128">
        <v>3394</v>
      </c>
    </row>
    <row r="129" spans="1:9" x14ac:dyDescent="0.35">
      <c r="A129" t="s">
        <v>61</v>
      </c>
      <c r="B129">
        <v>107221213</v>
      </c>
      <c r="C129" t="s">
        <v>85</v>
      </c>
      <c r="D129" t="s">
        <v>60</v>
      </c>
      <c r="E129" t="s">
        <v>70</v>
      </c>
      <c r="F129">
        <v>348</v>
      </c>
      <c r="G129" t="s">
        <v>68</v>
      </c>
      <c r="H129" t="s">
        <v>67</v>
      </c>
      <c r="I129">
        <v>349</v>
      </c>
    </row>
    <row r="130" spans="1:9" x14ac:dyDescent="0.35">
      <c r="A130" t="s">
        <v>61</v>
      </c>
      <c r="B130">
        <v>100633196</v>
      </c>
      <c r="C130" t="s">
        <v>59</v>
      </c>
      <c r="D130" t="s">
        <v>60</v>
      </c>
      <c r="E130" t="s">
        <v>58</v>
      </c>
      <c r="F130">
        <v>223</v>
      </c>
      <c r="G130" t="s">
        <v>62</v>
      </c>
      <c r="H130" t="s">
        <v>67</v>
      </c>
      <c r="I130">
        <v>1563</v>
      </c>
    </row>
    <row r="131" spans="1:9" x14ac:dyDescent="0.35">
      <c r="A131" t="s">
        <v>61</v>
      </c>
      <c r="B131">
        <v>100633196</v>
      </c>
      <c r="C131" t="s">
        <v>59</v>
      </c>
      <c r="D131" t="s">
        <v>60</v>
      </c>
      <c r="E131" t="s">
        <v>58</v>
      </c>
      <c r="F131">
        <v>223</v>
      </c>
      <c r="G131" t="s">
        <v>62</v>
      </c>
      <c r="H131" t="s">
        <v>63</v>
      </c>
      <c r="I131">
        <v>484</v>
      </c>
    </row>
    <row r="132" spans="1:9" x14ac:dyDescent="0.35">
      <c r="A132" t="s">
        <v>61</v>
      </c>
      <c r="B132">
        <v>100633196</v>
      </c>
      <c r="C132" t="s">
        <v>59</v>
      </c>
      <c r="D132" t="s">
        <v>60</v>
      </c>
      <c r="E132" t="s">
        <v>58</v>
      </c>
      <c r="F132">
        <v>223</v>
      </c>
      <c r="G132" t="s">
        <v>62</v>
      </c>
      <c r="H132" t="s">
        <v>64</v>
      </c>
      <c r="I132">
        <v>1059</v>
      </c>
    </row>
    <row r="133" spans="1:9" x14ac:dyDescent="0.35">
      <c r="A133" t="s">
        <v>61</v>
      </c>
      <c r="B133">
        <v>100633196</v>
      </c>
      <c r="C133" t="s">
        <v>59</v>
      </c>
      <c r="D133" t="s">
        <v>60</v>
      </c>
      <c r="E133" t="s">
        <v>58</v>
      </c>
      <c r="F133">
        <v>223</v>
      </c>
      <c r="G133" t="s">
        <v>62</v>
      </c>
      <c r="H133" t="s">
        <v>65</v>
      </c>
      <c r="I133">
        <v>20</v>
      </c>
    </row>
    <row r="134" spans="1:9" x14ac:dyDescent="0.35">
      <c r="A134" t="s">
        <v>61</v>
      </c>
      <c r="B134">
        <v>100633196</v>
      </c>
      <c r="C134" t="s">
        <v>59</v>
      </c>
      <c r="D134" t="s">
        <v>60</v>
      </c>
      <c r="E134" t="s">
        <v>58</v>
      </c>
      <c r="F134">
        <v>223</v>
      </c>
      <c r="G134" t="s">
        <v>68</v>
      </c>
      <c r="H134" t="s">
        <v>67</v>
      </c>
      <c r="I134">
        <v>223</v>
      </c>
    </row>
    <row r="135" spans="1:9" x14ac:dyDescent="0.35">
      <c r="A135" t="s">
        <v>61</v>
      </c>
      <c r="B135">
        <v>106616226</v>
      </c>
      <c r="C135" t="s">
        <v>551</v>
      </c>
      <c r="D135" t="s">
        <v>72</v>
      </c>
      <c r="E135" t="s">
        <v>70</v>
      </c>
      <c r="F135">
        <v>426</v>
      </c>
      <c r="G135" t="s">
        <v>62</v>
      </c>
      <c r="H135" t="s">
        <v>67</v>
      </c>
      <c r="I135">
        <v>4280</v>
      </c>
    </row>
    <row r="136" spans="1:9" x14ac:dyDescent="0.35">
      <c r="A136" t="s">
        <v>61</v>
      </c>
      <c r="B136">
        <v>106616226</v>
      </c>
      <c r="C136" t="s">
        <v>551</v>
      </c>
      <c r="D136" t="s">
        <v>72</v>
      </c>
      <c r="E136" t="s">
        <v>70</v>
      </c>
      <c r="F136">
        <v>426</v>
      </c>
      <c r="G136" t="s">
        <v>62</v>
      </c>
      <c r="H136" t="s">
        <v>63</v>
      </c>
      <c r="I136">
        <v>1032</v>
      </c>
    </row>
    <row r="137" spans="1:9" x14ac:dyDescent="0.35">
      <c r="A137" t="s">
        <v>61</v>
      </c>
      <c r="B137">
        <v>106616226</v>
      </c>
      <c r="C137" t="s">
        <v>551</v>
      </c>
      <c r="D137" t="s">
        <v>72</v>
      </c>
      <c r="E137" t="s">
        <v>70</v>
      </c>
      <c r="F137">
        <v>426</v>
      </c>
      <c r="G137" t="s">
        <v>62</v>
      </c>
      <c r="H137" t="s">
        <v>64</v>
      </c>
      <c r="I137">
        <v>3221</v>
      </c>
    </row>
    <row r="138" spans="1:9" x14ac:dyDescent="0.35">
      <c r="A138" t="s">
        <v>61</v>
      </c>
      <c r="B138">
        <v>106616226</v>
      </c>
      <c r="C138" t="s">
        <v>551</v>
      </c>
      <c r="D138" t="s">
        <v>72</v>
      </c>
      <c r="E138" t="s">
        <v>70</v>
      </c>
      <c r="F138">
        <v>426</v>
      </c>
      <c r="G138" t="s">
        <v>62</v>
      </c>
      <c r="H138" t="s">
        <v>65</v>
      </c>
      <c r="I138">
        <v>27</v>
      </c>
    </row>
    <row r="139" spans="1:9" x14ac:dyDescent="0.35">
      <c r="A139" t="s">
        <v>61</v>
      </c>
      <c r="B139">
        <v>106616226</v>
      </c>
      <c r="C139" t="s">
        <v>551</v>
      </c>
      <c r="D139" t="s">
        <v>72</v>
      </c>
      <c r="E139" t="s">
        <v>70</v>
      </c>
      <c r="F139">
        <v>426</v>
      </c>
      <c r="G139" t="s">
        <v>68</v>
      </c>
      <c r="H139" t="s">
        <v>67</v>
      </c>
      <c r="I139">
        <v>426</v>
      </c>
    </row>
    <row r="140" spans="1:9" x14ac:dyDescent="0.35">
      <c r="A140" t="s">
        <v>61</v>
      </c>
      <c r="B140">
        <v>107826202</v>
      </c>
      <c r="C140" t="s">
        <v>568</v>
      </c>
      <c r="D140" t="s">
        <v>60</v>
      </c>
      <c r="E140" t="s">
        <v>70</v>
      </c>
      <c r="F140">
        <v>325</v>
      </c>
      <c r="G140" t="s">
        <v>62</v>
      </c>
      <c r="H140" t="s">
        <v>67</v>
      </c>
      <c r="I140">
        <v>2742</v>
      </c>
    </row>
    <row r="141" spans="1:9" x14ac:dyDescent="0.35">
      <c r="A141" t="s">
        <v>61</v>
      </c>
      <c r="B141">
        <v>107826202</v>
      </c>
      <c r="C141" t="s">
        <v>568</v>
      </c>
      <c r="D141" t="s">
        <v>60</v>
      </c>
      <c r="E141" t="s">
        <v>70</v>
      </c>
      <c r="F141">
        <v>325</v>
      </c>
      <c r="G141" t="s">
        <v>62</v>
      </c>
      <c r="H141" t="s">
        <v>63</v>
      </c>
      <c r="I141">
        <v>36</v>
      </c>
    </row>
    <row r="142" spans="1:9" x14ac:dyDescent="0.35">
      <c r="A142" t="s">
        <v>61</v>
      </c>
      <c r="B142">
        <v>107826202</v>
      </c>
      <c r="C142" t="s">
        <v>568</v>
      </c>
      <c r="D142" t="s">
        <v>60</v>
      </c>
      <c r="E142" t="s">
        <v>70</v>
      </c>
      <c r="F142">
        <v>325</v>
      </c>
      <c r="G142" t="s">
        <v>62</v>
      </c>
      <c r="H142" t="s">
        <v>64</v>
      </c>
      <c r="I142">
        <v>2706</v>
      </c>
    </row>
    <row r="143" spans="1:9" x14ac:dyDescent="0.35">
      <c r="A143" t="s">
        <v>61</v>
      </c>
      <c r="B143">
        <v>107826202</v>
      </c>
      <c r="C143" t="s">
        <v>568</v>
      </c>
      <c r="D143" t="s">
        <v>60</v>
      </c>
      <c r="E143" t="s">
        <v>70</v>
      </c>
      <c r="F143">
        <v>325</v>
      </c>
      <c r="G143" t="s">
        <v>68</v>
      </c>
      <c r="H143" t="s">
        <v>67</v>
      </c>
      <c r="I143">
        <v>325</v>
      </c>
    </row>
    <row r="144" spans="1:9" x14ac:dyDescent="0.35">
      <c r="A144" t="s">
        <v>61</v>
      </c>
      <c r="B144">
        <v>107826262</v>
      </c>
      <c r="C144" t="s">
        <v>541</v>
      </c>
      <c r="D144" t="s">
        <v>60</v>
      </c>
      <c r="E144" t="s">
        <v>70</v>
      </c>
      <c r="F144">
        <v>118</v>
      </c>
      <c r="G144" t="s">
        <v>62</v>
      </c>
      <c r="H144" t="s">
        <v>67</v>
      </c>
      <c r="I144">
        <v>758</v>
      </c>
    </row>
    <row r="145" spans="1:9" x14ac:dyDescent="0.35">
      <c r="A145" t="s">
        <v>61</v>
      </c>
      <c r="B145">
        <v>107826262</v>
      </c>
      <c r="C145" t="s">
        <v>541</v>
      </c>
      <c r="D145" t="s">
        <v>60</v>
      </c>
      <c r="E145" t="s">
        <v>70</v>
      </c>
      <c r="F145">
        <v>118</v>
      </c>
      <c r="G145" t="s">
        <v>62</v>
      </c>
      <c r="H145" t="s">
        <v>63</v>
      </c>
      <c r="I145">
        <v>136</v>
      </c>
    </row>
    <row r="146" spans="1:9" x14ac:dyDescent="0.35">
      <c r="A146" t="s">
        <v>61</v>
      </c>
      <c r="B146">
        <v>107826262</v>
      </c>
      <c r="C146" t="s">
        <v>541</v>
      </c>
      <c r="D146" t="s">
        <v>60</v>
      </c>
      <c r="E146" t="s">
        <v>70</v>
      </c>
      <c r="F146">
        <v>118</v>
      </c>
      <c r="G146" t="s">
        <v>62</v>
      </c>
      <c r="H146" t="s">
        <v>64</v>
      </c>
      <c r="I146">
        <v>622</v>
      </c>
    </row>
    <row r="147" spans="1:9" x14ac:dyDescent="0.35">
      <c r="A147" t="s">
        <v>61</v>
      </c>
      <c r="B147">
        <v>107826262</v>
      </c>
      <c r="C147" t="s">
        <v>541</v>
      </c>
      <c r="D147" t="s">
        <v>60</v>
      </c>
      <c r="E147" t="s">
        <v>70</v>
      </c>
      <c r="F147">
        <v>118</v>
      </c>
      <c r="G147" t="s">
        <v>68</v>
      </c>
      <c r="H147" t="s">
        <v>67</v>
      </c>
      <c r="I147">
        <v>118</v>
      </c>
    </row>
    <row r="148" spans="1:9" x14ac:dyDescent="0.35">
      <c r="A148" t="s">
        <v>61</v>
      </c>
      <c r="B148">
        <v>106488400</v>
      </c>
      <c r="C148" t="s">
        <v>549</v>
      </c>
      <c r="D148" t="s">
        <v>60</v>
      </c>
      <c r="E148" t="s">
        <v>70</v>
      </c>
      <c r="F148">
        <v>477</v>
      </c>
      <c r="G148" t="s">
        <v>62</v>
      </c>
      <c r="H148" t="s">
        <v>67</v>
      </c>
      <c r="I148">
        <v>2102</v>
      </c>
    </row>
    <row r="149" spans="1:9" x14ac:dyDescent="0.35">
      <c r="A149" t="s">
        <v>61</v>
      </c>
      <c r="B149">
        <v>106488400</v>
      </c>
      <c r="C149" t="s">
        <v>549</v>
      </c>
      <c r="D149" t="s">
        <v>60</v>
      </c>
      <c r="E149" t="s">
        <v>70</v>
      </c>
      <c r="F149">
        <v>477</v>
      </c>
      <c r="G149" t="s">
        <v>62</v>
      </c>
      <c r="H149" t="s">
        <v>63</v>
      </c>
      <c r="I149">
        <v>314</v>
      </c>
    </row>
    <row r="150" spans="1:9" x14ac:dyDescent="0.35">
      <c r="A150" t="s">
        <v>61</v>
      </c>
      <c r="B150">
        <v>106488400</v>
      </c>
      <c r="C150" t="s">
        <v>549</v>
      </c>
      <c r="D150" t="s">
        <v>60</v>
      </c>
      <c r="E150" t="s">
        <v>70</v>
      </c>
      <c r="F150">
        <v>477</v>
      </c>
      <c r="G150" t="s">
        <v>62</v>
      </c>
      <c r="H150" t="s">
        <v>64</v>
      </c>
      <c r="I150">
        <v>1788</v>
      </c>
    </row>
    <row r="151" spans="1:9" x14ac:dyDescent="0.35">
      <c r="A151" t="s">
        <v>61</v>
      </c>
      <c r="B151">
        <v>106488400</v>
      </c>
      <c r="C151" t="s">
        <v>549</v>
      </c>
      <c r="D151" t="s">
        <v>60</v>
      </c>
      <c r="E151" t="s">
        <v>70</v>
      </c>
      <c r="F151">
        <v>477</v>
      </c>
      <c r="G151" t="s">
        <v>68</v>
      </c>
      <c r="H151" t="s">
        <v>67</v>
      </c>
      <c r="I151">
        <v>477</v>
      </c>
    </row>
    <row r="152" spans="1:9" x14ac:dyDescent="0.35">
      <c r="A152" t="s">
        <v>61</v>
      </c>
      <c r="B152">
        <v>107819512</v>
      </c>
      <c r="C152" t="s">
        <v>101</v>
      </c>
      <c r="D152" t="s">
        <v>60</v>
      </c>
      <c r="E152" t="s">
        <v>58</v>
      </c>
      <c r="F152">
        <v>198</v>
      </c>
      <c r="G152" t="s">
        <v>62</v>
      </c>
      <c r="H152" t="s">
        <v>67</v>
      </c>
      <c r="I152">
        <v>2199</v>
      </c>
    </row>
    <row r="153" spans="1:9" x14ac:dyDescent="0.35">
      <c r="A153" t="s">
        <v>61</v>
      </c>
      <c r="B153">
        <v>107819512</v>
      </c>
      <c r="C153" t="s">
        <v>101</v>
      </c>
      <c r="D153" t="s">
        <v>60</v>
      </c>
      <c r="E153" t="s">
        <v>58</v>
      </c>
      <c r="F153">
        <v>198</v>
      </c>
      <c r="G153" t="s">
        <v>62</v>
      </c>
      <c r="H153" t="s">
        <v>63</v>
      </c>
      <c r="I153">
        <v>698</v>
      </c>
    </row>
    <row r="154" spans="1:9" x14ac:dyDescent="0.35">
      <c r="A154" t="s">
        <v>61</v>
      </c>
      <c r="B154">
        <v>107819512</v>
      </c>
      <c r="C154" t="s">
        <v>101</v>
      </c>
      <c r="D154" t="s">
        <v>60</v>
      </c>
      <c r="E154" t="s">
        <v>58</v>
      </c>
      <c r="F154">
        <v>198</v>
      </c>
      <c r="G154" t="s">
        <v>62</v>
      </c>
      <c r="H154" t="s">
        <v>64</v>
      </c>
      <c r="I154">
        <v>1501</v>
      </c>
    </row>
    <row r="155" spans="1:9" x14ac:dyDescent="0.35">
      <c r="A155" t="s">
        <v>61</v>
      </c>
      <c r="B155">
        <v>107819512</v>
      </c>
      <c r="C155" t="s">
        <v>101</v>
      </c>
      <c r="D155" t="s">
        <v>60</v>
      </c>
      <c r="E155" t="s">
        <v>58</v>
      </c>
      <c r="F155">
        <v>198</v>
      </c>
      <c r="G155" t="s">
        <v>68</v>
      </c>
      <c r="H155" t="s">
        <v>67</v>
      </c>
      <c r="I155">
        <v>198</v>
      </c>
    </row>
    <row r="156" spans="1:9" x14ac:dyDescent="0.35">
      <c r="A156" t="s">
        <v>61</v>
      </c>
      <c r="B156">
        <v>107463281</v>
      </c>
      <c r="C156" t="s">
        <v>91</v>
      </c>
      <c r="D156" t="s">
        <v>60</v>
      </c>
      <c r="E156" t="s">
        <v>70</v>
      </c>
      <c r="F156">
        <v>356</v>
      </c>
      <c r="G156" t="s">
        <v>62</v>
      </c>
      <c r="H156" t="s">
        <v>67</v>
      </c>
      <c r="I156">
        <v>2765</v>
      </c>
    </row>
    <row r="157" spans="1:9" x14ac:dyDescent="0.35">
      <c r="A157" t="s">
        <v>61</v>
      </c>
      <c r="B157">
        <v>107463281</v>
      </c>
      <c r="C157" t="s">
        <v>91</v>
      </c>
      <c r="D157" t="s">
        <v>60</v>
      </c>
      <c r="E157" t="s">
        <v>70</v>
      </c>
      <c r="F157">
        <v>356</v>
      </c>
      <c r="G157" t="s">
        <v>62</v>
      </c>
      <c r="H157" t="s">
        <v>63</v>
      </c>
      <c r="I157">
        <v>516</v>
      </c>
    </row>
    <row r="158" spans="1:9" x14ac:dyDescent="0.35">
      <c r="A158" t="s">
        <v>61</v>
      </c>
      <c r="B158">
        <v>107463281</v>
      </c>
      <c r="C158" t="s">
        <v>91</v>
      </c>
      <c r="D158" t="s">
        <v>60</v>
      </c>
      <c r="E158" t="s">
        <v>70</v>
      </c>
      <c r="F158">
        <v>356</v>
      </c>
      <c r="G158" t="s">
        <v>62</v>
      </c>
      <c r="H158" t="s">
        <v>64</v>
      </c>
      <c r="I158">
        <v>2249</v>
      </c>
    </row>
    <row r="159" spans="1:9" x14ac:dyDescent="0.35">
      <c r="A159" t="s">
        <v>61</v>
      </c>
      <c r="B159">
        <v>107463281</v>
      </c>
      <c r="C159" t="s">
        <v>91</v>
      </c>
      <c r="D159" t="s">
        <v>60</v>
      </c>
      <c r="E159" t="s">
        <v>70</v>
      </c>
      <c r="F159">
        <v>356</v>
      </c>
      <c r="G159" t="s">
        <v>68</v>
      </c>
      <c r="H159" t="s">
        <v>67</v>
      </c>
      <c r="I159">
        <v>356</v>
      </c>
    </row>
    <row r="160" spans="1:9" x14ac:dyDescent="0.35">
      <c r="A160" t="s">
        <v>61</v>
      </c>
      <c r="B160">
        <v>107907404</v>
      </c>
      <c r="C160" t="s">
        <v>674</v>
      </c>
      <c r="D160" t="s">
        <v>60</v>
      </c>
      <c r="E160" t="s">
        <v>58</v>
      </c>
      <c r="F160">
        <v>58</v>
      </c>
      <c r="G160" t="s">
        <v>62</v>
      </c>
      <c r="H160" t="s">
        <v>67</v>
      </c>
      <c r="I160">
        <v>333</v>
      </c>
    </row>
    <row r="161" spans="1:9" x14ac:dyDescent="0.35">
      <c r="A161" t="s">
        <v>61</v>
      </c>
      <c r="B161">
        <v>107907404</v>
      </c>
      <c r="C161" t="s">
        <v>674</v>
      </c>
      <c r="D161" t="s">
        <v>60</v>
      </c>
      <c r="E161" t="s">
        <v>58</v>
      </c>
      <c r="F161">
        <v>58</v>
      </c>
      <c r="G161" t="s">
        <v>62</v>
      </c>
      <c r="H161" t="s">
        <v>63</v>
      </c>
      <c r="I161">
        <v>40</v>
      </c>
    </row>
    <row r="162" spans="1:9" x14ac:dyDescent="0.35">
      <c r="A162" t="s">
        <v>61</v>
      </c>
      <c r="B162">
        <v>107907404</v>
      </c>
      <c r="C162" t="s">
        <v>674</v>
      </c>
      <c r="D162" t="s">
        <v>60</v>
      </c>
      <c r="E162" t="s">
        <v>58</v>
      </c>
      <c r="F162">
        <v>58</v>
      </c>
      <c r="G162" t="s">
        <v>62</v>
      </c>
      <c r="H162" t="s">
        <v>64</v>
      </c>
      <c r="I162">
        <v>293</v>
      </c>
    </row>
    <row r="163" spans="1:9" x14ac:dyDescent="0.35">
      <c r="A163" t="s">
        <v>61</v>
      </c>
      <c r="B163">
        <v>107907404</v>
      </c>
      <c r="C163" t="s">
        <v>674</v>
      </c>
      <c r="D163" t="s">
        <v>60</v>
      </c>
      <c r="E163" t="s">
        <v>58</v>
      </c>
      <c r="F163">
        <v>58</v>
      </c>
      <c r="G163" t="s">
        <v>68</v>
      </c>
      <c r="H163" t="s">
        <v>67</v>
      </c>
      <c r="I163">
        <v>58</v>
      </c>
    </row>
    <row r="164" spans="1:9" x14ac:dyDescent="0.35">
      <c r="A164" t="s">
        <v>37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19754</v>
      </c>
      <c r="I2">
        <v>20.656388888888799</v>
      </c>
      <c r="J2">
        <v>956.31429608810799</v>
      </c>
      <c r="K2">
        <v>995.00000399999999</v>
      </c>
      <c r="L2">
        <v>19.853266251846101</v>
      </c>
      <c r="M2">
        <v>-0.80312263704272402</v>
      </c>
      <c r="N2">
        <v>0.96111989170213896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172</v>
      </c>
      <c r="I3">
        <v>0.80944444444444397</v>
      </c>
      <c r="J3">
        <v>212.49142072752201</v>
      </c>
      <c r="K3">
        <v>275.00000399999999</v>
      </c>
      <c r="L3">
        <v>0.62545453635702397</v>
      </c>
      <c r="M3">
        <v>-0.183989908087419</v>
      </c>
      <c r="N3">
        <v>0.77269606413359204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1974</v>
      </c>
      <c r="I4">
        <v>15.004166666666601</v>
      </c>
      <c r="J4">
        <v>131.56345459594499</v>
      </c>
      <c r="K4">
        <v>101.999988</v>
      </c>
      <c r="L4">
        <v>19.352943453287399</v>
      </c>
      <c r="M4">
        <v>4.3487767866207898</v>
      </c>
      <c r="N4">
        <v>1.2898379419019601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7</v>
      </c>
      <c r="I5">
        <v>0.35444444444444401</v>
      </c>
      <c r="J5">
        <v>19.7492163009404</v>
      </c>
      <c r="K5">
        <v>52.999991999999999</v>
      </c>
      <c r="L5">
        <v>0.13207549163403601</v>
      </c>
      <c r="M5">
        <v>-0.222368952810407</v>
      </c>
      <c r="N5">
        <v>0.372626778904805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2153</v>
      </c>
      <c r="I7">
        <v>16.168055555555501</v>
      </c>
      <c r="J7">
        <v>133.163817541448</v>
      </c>
      <c r="K7">
        <v>107.058642950614</v>
      </c>
      <c r="L7">
        <v>20.1104734812785</v>
      </c>
      <c r="M7">
        <v>3.9424179257229599</v>
      </c>
      <c r="N7">
        <v>1.2438399541723599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2534</v>
      </c>
      <c r="I14">
        <v>0.87388888888888805</v>
      </c>
      <c r="J14">
        <v>2899.6821360457702</v>
      </c>
      <c r="K14">
        <v>524.99998800000003</v>
      </c>
      <c r="L14">
        <v>4.8266667769904696</v>
      </c>
      <c r="M14">
        <v>3.95277788810158</v>
      </c>
      <c r="N14">
        <v>5.52320419490328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9</v>
      </c>
      <c r="I15">
        <v>0</v>
      </c>
      <c r="J15">
        <v>0</v>
      </c>
      <c r="K15">
        <v>11.999988</v>
      </c>
      <c r="L15">
        <v>0.75000075000074995</v>
      </c>
      <c r="M15">
        <v>0.75000075000074995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19754</v>
      </c>
      <c r="I16">
        <v>16.996944444444399</v>
      </c>
      <c r="J16">
        <v>1162.2088937554099</v>
      </c>
      <c r="K16">
        <v>2000.00001599999</v>
      </c>
      <c r="L16">
        <v>9.8769999209839998</v>
      </c>
      <c r="M16">
        <v>-7.1199445234604397</v>
      </c>
      <c r="N16">
        <v>0.58110444222887103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19754</v>
      </c>
      <c r="I17">
        <v>54.695277777777697</v>
      </c>
      <c r="J17">
        <v>361.16463436311199</v>
      </c>
      <c r="K17">
        <v>356.4583946601</v>
      </c>
      <c r="L17">
        <v>55.417407181099897</v>
      </c>
      <c r="M17">
        <v>0.72212940332213704</v>
      </c>
      <c r="N17">
        <v>1.0132027742185701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15</v>
      </c>
      <c r="I30">
        <v>0.120833333333333</v>
      </c>
      <c r="J30">
        <v>124.13793103448199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112</v>
      </c>
      <c r="I31">
        <v>1.26583333333333</v>
      </c>
      <c r="J31">
        <v>88.479262672811004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127</v>
      </c>
      <c r="I34">
        <v>1.3866666666666601</v>
      </c>
      <c r="J34">
        <v>91.586538461538396</v>
      </c>
      <c r="K34">
        <v>0</v>
      </c>
      <c r="L34">
        <v>0</v>
      </c>
      <c r="M34">
        <v>-1.3866666666666601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127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127</v>
      </c>
      <c r="I36">
        <v>1.3866666666666601</v>
      </c>
      <c r="J36">
        <v>91.586538461538396</v>
      </c>
      <c r="K36">
        <v>0</v>
      </c>
      <c r="L36">
        <v>0</v>
      </c>
      <c r="M36">
        <v>-1.3866666666666601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3556</v>
      </c>
      <c r="I46">
        <v>77.849722222222198</v>
      </c>
      <c r="J46">
        <v>45.677748083023197</v>
      </c>
      <c r="K46">
        <v>86.000004000000004</v>
      </c>
      <c r="L46">
        <v>41.348835286100602</v>
      </c>
      <c r="M46">
        <v>-36.500886936121503</v>
      </c>
      <c r="N46">
        <v>0.53113658091252103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28</v>
      </c>
      <c r="I48">
        <v>5.18</v>
      </c>
      <c r="J48">
        <v>5.4054054054053999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127113</v>
      </c>
      <c r="I50">
        <v>19.320277777777701</v>
      </c>
      <c r="J50">
        <v>6579.25323134875</v>
      </c>
      <c r="K50">
        <v>15000.0000119999</v>
      </c>
      <c r="L50">
        <v>8.4741999932206404</v>
      </c>
      <c r="M50">
        <v>-10.846077784557099</v>
      </c>
      <c r="N50">
        <v>0.43861688173902302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127113</v>
      </c>
      <c r="I51">
        <v>102.35</v>
      </c>
      <c r="J51">
        <v>1241.9443087444999</v>
      </c>
      <c r="K51">
        <v>2551.2897656148398</v>
      </c>
      <c r="L51">
        <v>49.823035279321303</v>
      </c>
      <c r="M51">
        <v>-52.526964720678599</v>
      </c>
      <c r="N51">
        <v>0.48679076970514201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19754</v>
      </c>
      <c r="I52">
        <v>18.8666666666666</v>
      </c>
      <c r="J52">
        <v>1047.0318021201399</v>
      </c>
      <c r="K52">
        <v>4500</v>
      </c>
      <c r="L52">
        <v>4.3897777777777698</v>
      </c>
      <c r="M52">
        <v>-14.4768888888888</v>
      </c>
      <c r="N52">
        <v>0.23267373380447501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19754</v>
      </c>
      <c r="I53">
        <v>31.378055555555498</v>
      </c>
      <c r="J53">
        <v>629.54825116633106</v>
      </c>
      <c r="K53">
        <v>1850.000004</v>
      </c>
      <c r="L53">
        <v>10.6778378147506</v>
      </c>
      <c r="M53">
        <v>-20.700217740804899</v>
      </c>
      <c r="N53">
        <v>0.34029635124602498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19754</v>
      </c>
      <c r="I54">
        <v>208.67666666666599</v>
      </c>
      <c r="J54">
        <v>94.663195054550101</v>
      </c>
      <c r="K54">
        <v>164.19515300717299</v>
      </c>
      <c r="L54">
        <v>120.30805805294899</v>
      </c>
      <c r="M54">
        <v>-88.368608613717001</v>
      </c>
      <c r="N54">
        <v>0.57652855958795701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19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30093</v>
      </c>
      <c r="I65">
        <v>26.1941666666666</v>
      </c>
      <c r="J65">
        <v>1148.8435720421201</v>
      </c>
      <c r="K65">
        <v>1244.000016</v>
      </c>
      <c r="L65">
        <v>24.190514158321299</v>
      </c>
      <c r="M65">
        <v>-2.0036525083452998</v>
      </c>
      <c r="N65">
        <v>0.92350768268970895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78333</v>
      </c>
      <c r="I66">
        <v>363.47861111111098</v>
      </c>
      <c r="J66">
        <v>215.50924209967999</v>
      </c>
      <c r="K66">
        <v>288</v>
      </c>
      <c r="L66">
        <v>271.98958333333297</v>
      </c>
      <c r="M66">
        <v>-91.489027777777693</v>
      </c>
      <c r="N66">
        <v>0.74829597951277804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103</v>
      </c>
      <c r="I67">
        <v>0.79222222222222205</v>
      </c>
      <c r="J67">
        <v>130.01402524544099</v>
      </c>
      <c r="K67">
        <v>117</v>
      </c>
      <c r="L67">
        <v>0.88034188034187999</v>
      </c>
      <c r="M67">
        <v>8.8119658119657995E-2</v>
      </c>
      <c r="N67">
        <v>1.11123098500377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108529</v>
      </c>
      <c r="I69">
        <v>390.46499999999997</v>
      </c>
      <c r="J69">
        <v>277.94808753665501</v>
      </c>
      <c r="K69">
        <v>365.343161241654</v>
      </c>
      <c r="L69">
        <v>297.06043937199598</v>
      </c>
      <c r="M69">
        <v>-93.404560628003395</v>
      </c>
      <c r="N69">
        <v>0.760786342878354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107359</v>
      </c>
      <c r="I70">
        <v>39.870555555555498</v>
      </c>
      <c r="J70">
        <v>2692.68884027477</v>
      </c>
      <c r="K70">
        <v>3465</v>
      </c>
      <c r="L70">
        <v>30.9838383838383</v>
      </c>
      <c r="M70">
        <v>-8.8867171717171694</v>
      </c>
      <c r="N70">
        <v>0.777110776414077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107359</v>
      </c>
      <c r="I71">
        <v>75.584444444444401</v>
      </c>
      <c r="J71">
        <v>1420.38485285038</v>
      </c>
      <c r="K71">
        <v>1524.999996</v>
      </c>
      <c r="L71">
        <v>70.399344446949101</v>
      </c>
      <c r="M71">
        <v>-5.1850999974953398</v>
      </c>
      <c r="N71">
        <v>0.93139990595146205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107359</v>
      </c>
      <c r="I72">
        <v>26.150555555555499</v>
      </c>
      <c r="J72">
        <v>4105.41947271143</v>
      </c>
      <c r="K72">
        <v>3499.999992</v>
      </c>
      <c r="L72">
        <v>30.674000070111902</v>
      </c>
      <c r="M72">
        <v>4.5234445145564397</v>
      </c>
      <c r="N72">
        <v>1.17297699488435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107359</v>
      </c>
      <c r="I73">
        <v>11.643888888888799</v>
      </c>
      <c r="J73">
        <v>9220.2013454840398</v>
      </c>
      <c r="K73">
        <v>5000.0000040000004</v>
      </c>
      <c r="L73">
        <v>21.4717999828225</v>
      </c>
      <c r="M73">
        <v>9.82791109393367</v>
      </c>
      <c r="N73">
        <v>1.8440402676215699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107359</v>
      </c>
      <c r="I74">
        <v>543.71444444444398</v>
      </c>
      <c r="J74">
        <v>197.454750553292</v>
      </c>
      <c r="K74">
        <v>238.26347157140199</v>
      </c>
      <c r="L74">
        <v>450.58942225571798</v>
      </c>
      <c r="M74">
        <v>-93.125022188725794</v>
      </c>
      <c r="N74">
        <v>0.82872439174596702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108529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107359</v>
      </c>
      <c r="I161">
        <v>129.988888888888</v>
      </c>
      <c r="J161">
        <v>825.90905205573097</v>
      </c>
      <c r="K161">
        <v>1302.42630110396</v>
      </c>
      <c r="L161">
        <v>82.43</v>
      </c>
      <c r="M161">
        <v>-47.558888888888802</v>
      </c>
      <c r="N161">
        <v>0.63413112231814595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107359</v>
      </c>
      <c r="I162">
        <v>0</v>
      </c>
      <c r="J162">
        <v>0</v>
      </c>
      <c r="K162">
        <v>7970.2301410541904</v>
      </c>
      <c r="L162">
        <v>13.47</v>
      </c>
      <c r="M162">
        <v>13.47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107359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107359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127113</v>
      </c>
      <c r="I165">
        <v>67.689722222222201</v>
      </c>
      <c r="J165">
        <v>1877.87740630245</v>
      </c>
      <c r="K165">
        <v>2499.999984</v>
      </c>
      <c r="L165">
        <v>50.845200325409202</v>
      </c>
      <c r="M165">
        <v>-16.8445218968129</v>
      </c>
      <c r="N165">
        <v>0.75115096732834596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107359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19754</v>
      </c>
      <c r="I170">
        <v>208.67666666666599</v>
      </c>
      <c r="J170">
        <v>94.663195054550101</v>
      </c>
      <c r="K170">
        <v>164.19515300717299</v>
      </c>
      <c r="L170">
        <v>120.30805805294899</v>
      </c>
      <c r="M170">
        <v>-88.368608613717001</v>
      </c>
      <c r="N170">
        <v>0.57652855958795701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19754</v>
      </c>
      <c r="I172">
        <v>208.67666666666599</v>
      </c>
      <c r="J172">
        <v>94.663195054550101</v>
      </c>
      <c r="K172">
        <v>164.19515300717299</v>
      </c>
      <c r="L172">
        <v>120.30805805294899</v>
      </c>
      <c r="M172">
        <v>-88.368608613717001</v>
      </c>
      <c r="N172">
        <v>0.57652855958795701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107359</v>
      </c>
      <c r="I174">
        <v>543.71444444444398</v>
      </c>
      <c r="J174">
        <v>197.454750553292</v>
      </c>
      <c r="K174">
        <v>238.26347157140199</v>
      </c>
      <c r="L174">
        <v>450.58942225571798</v>
      </c>
      <c r="M174">
        <v>-93.125022188725794</v>
      </c>
      <c r="N174">
        <v>0.82872439174596702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107359</v>
      </c>
      <c r="I177">
        <v>197.678611111111</v>
      </c>
      <c r="J177">
        <v>543.09871663179399</v>
      </c>
      <c r="K177">
        <v>731.60144087799802</v>
      </c>
      <c r="L177">
        <v>146.745200325409</v>
      </c>
      <c r="M177">
        <v>-50.933410785701803</v>
      </c>
      <c r="N177">
        <v>0.74234232778439901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127113</v>
      </c>
      <c r="I179">
        <v>950.06972222222203</v>
      </c>
      <c r="J179">
        <v>133.79333855907001</v>
      </c>
      <c r="K179">
        <v>177.12575273210899</v>
      </c>
      <c r="L179">
        <v>717.64268063407701</v>
      </c>
      <c r="M179">
        <v>-232.42704158814399</v>
      </c>
      <c r="N179">
        <v>0.75535791094942395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19754</v>
      </c>
      <c r="I180">
        <v>208.67666666666599</v>
      </c>
      <c r="J180">
        <v>94.663195054550101</v>
      </c>
      <c r="K180">
        <v>164.19515300717299</v>
      </c>
      <c r="L180">
        <v>120.30805805294899</v>
      </c>
      <c r="M180">
        <v>-88.368608613717001</v>
      </c>
      <c r="N180">
        <v>0.57652855958795701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107359</v>
      </c>
      <c r="I181">
        <v>543.71444444444398</v>
      </c>
      <c r="J181">
        <v>197.454750553292</v>
      </c>
      <c r="K181">
        <v>238.26347157140199</v>
      </c>
      <c r="L181">
        <v>450.58942225571798</v>
      </c>
      <c r="M181">
        <v>-93.125022188725794</v>
      </c>
      <c r="N181">
        <v>0.82872439174596702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107359</v>
      </c>
      <c r="I183">
        <v>197.678611111111</v>
      </c>
      <c r="J183">
        <v>543.09871663179399</v>
      </c>
      <c r="K183">
        <v>731.60144087799802</v>
      </c>
      <c r="L183">
        <v>146.745200325409</v>
      </c>
      <c r="M183">
        <v>-50.933410785701803</v>
      </c>
      <c r="N183">
        <v>0.74234232778439901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127113</v>
      </c>
      <c r="I185">
        <v>950.06972222222203</v>
      </c>
      <c r="J185">
        <v>133.79333855907001</v>
      </c>
      <c r="K185">
        <v>177.12575273210899</v>
      </c>
      <c r="L185">
        <v>717.64268063407701</v>
      </c>
      <c r="M185">
        <v>-232.42704158814399</v>
      </c>
      <c r="N185">
        <v>0.75535791094942395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642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21</v>
      </c>
    </row>
    <row r="5" spans="1:2" x14ac:dyDescent="0.35">
      <c r="A5" t="s">
        <v>523</v>
      </c>
      <c r="B5">
        <v>422.85714285714198</v>
      </c>
    </row>
    <row r="6" spans="1:2" x14ac:dyDescent="0.35">
      <c r="A6" t="s">
        <v>524</v>
      </c>
      <c r="B6">
        <v>812</v>
      </c>
    </row>
    <row r="7" spans="1:2" x14ac:dyDescent="0.35">
      <c r="A7" t="s">
        <v>643</v>
      </c>
      <c r="B7">
        <v>722</v>
      </c>
    </row>
    <row r="8" spans="1:2" x14ac:dyDescent="0.35">
      <c r="A8" t="s">
        <v>644</v>
      </c>
      <c r="B8">
        <v>812</v>
      </c>
    </row>
    <row r="9" spans="1:2" x14ac:dyDescent="0.35">
      <c r="A9" t="s">
        <v>645</v>
      </c>
      <c r="B9">
        <v>467</v>
      </c>
    </row>
    <row r="10" spans="1:2" x14ac:dyDescent="0.35">
      <c r="A10" t="s">
        <v>646</v>
      </c>
      <c r="B10">
        <v>307</v>
      </c>
    </row>
    <row r="11" spans="1:2" x14ac:dyDescent="0.35">
      <c r="A11" t="s">
        <v>647</v>
      </c>
      <c r="B11">
        <v>321</v>
      </c>
    </row>
    <row r="12" spans="1:2" x14ac:dyDescent="0.35">
      <c r="A12" t="s">
        <v>648</v>
      </c>
      <c r="B12">
        <v>310</v>
      </c>
    </row>
    <row r="13" spans="1:2" x14ac:dyDescent="0.35">
      <c r="A13" t="s">
        <v>649</v>
      </c>
      <c r="B13">
        <v>21</v>
      </c>
    </row>
    <row r="14" spans="1:2" x14ac:dyDescent="0.35">
      <c r="A14" t="s">
        <v>650</v>
      </c>
    </row>
    <row r="15" spans="1:2" x14ac:dyDescent="0.35">
      <c r="A15" t="s">
        <v>651</v>
      </c>
    </row>
    <row r="16" spans="1:2" x14ac:dyDescent="0.35">
      <c r="A16" t="s">
        <v>652</v>
      </c>
    </row>
    <row r="17" spans="1:1" x14ac:dyDescent="0.35">
      <c r="A17" t="s">
        <v>653</v>
      </c>
    </row>
    <row r="18" spans="1:1" x14ac:dyDescent="0.35">
      <c r="A18" t="s">
        <v>37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345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5" max="15" width="8.7265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58</v>
      </c>
      <c r="D2">
        <v>100633196</v>
      </c>
      <c r="E2" t="s">
        <v>59</v>
      </c>
      <c r="F2" t="s">
        <v>60</v>
      </c>
      <c r="G2">
        <v>0.1</v>
      </c>
      <c r="H2">
        <v>9.48</v>
      </c>
      <c r="I2">
        <v>0</v>
      </c>
      <c r="J2">
        <v>0</v>
      </c>
      <c r="K2">
        <v>9.58</v>
      </c>
      <c r="L2" t="s">
        <v>61</v>
      </c>
      <c r="M2">
        <v>317</v>
      </c>
      <c r="N2">
        <v>33.090000000000003</v>
      </c>
      <c r="O2" t="s">
        <v>62</v>
      </c>
      <c r="P2" t="s">
        <v>63</v>
      </c>
      <c r="Q2">
        <v>76</v>
      </c>
      <c r="R2">
        <v>725.73</v>
      </c>
    </row>
    <row r="3" spans="1:18" x14ac:dyDescent="0.35">
      <c r="A3" t="s">
        <v>56</v>
      </c>
      <c r="B3" t="s">
        <v>57</v>
      </c>
      <c r="C3" t="s">
        <v>58</v>
      </c>
      <c r="D3">
        <v>100633196</v>
      </c>
      <c r="E3" t="s">
        <v>59</v>
      </c>
      <c r="F3" t="s">
        <v>60</v>
      </c>
      <c r="G3">
        <v>0.1</v>
      </c>
      <c r="H3">
        <v>9.48</v>
      </c>
      <c r="I3">
        <v>0</v>
      </c>
      <c r="J3">
        <v>0</v>
      </c>
      <c r="K3">
        <v>9.58</v>
      </c>
      <c r="L3" t="s">
        <v>61</v>
      </c>
      <c r="M3">
        <v>317</v>
      </c>
      <c r="N3">
        <v>33.090000000000003</v>
      </c>
      <c r="O3" t="s">
        <v>62</v>
      </c>
      <c r="P3" t="s">
        <v>64</v>
      </c>
      <c r="Q3">
        <v>1287</v>
      </c>
      <c r="R3">
        <v>135.83000000000001</v>
      </c>
    </row>
    <row r="4" spans="1:18" x14ac:dyDescent="0.35">
      <c r="A4" t="s">
        <v>56</v>
      </c>
      <c r="B4" t="s">
        <v>57</v>
      </c>
      <c r="C4" t="s">
        <v>58</v>
      </c>
      <c r="D4">
        <v>100633196</v>
      </c>
      <c r="E4" t="s">
        <v>59</v>
      </c>
      <c r="F4" t="s">
        <v>60</v>
      </c>
      <c r="G4">
        <v>0.1</v>
      </c>
      <c r="H4">
        <v>9.48</v>
      </c>
      <c r="I4">
        <v>0</v>
      </c>
      <c r="J4">
        <v>0</v>
      </c>
      <c r="K4">
        <v>9.58</v>
      </c>
      <c r="L4" t="s">
        <v>61</v>
      </c>
      <c r="M4">
        <v>317</v>
      </c>
      <c r="N4">
        <v>33.090000000000003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58</v>
      </c>
      <c r="D5">
        <v>100633196</v>
      </c>
      <c r="E5" t="s">
        <v>59</v>
      </c>
      <c r="F5" t="s">
        <v>60</v>
      </c>
      <c r="G5">
        <v>0.1</v>
      </c>
      <c r="H5">
        <v>9.48</v>
      </c>
      <c r="I5">
        <v>0</v>
      </c>
      <c r="J5">
        <v>0</v>
      </c>
      <c r="K5">
        <v>9.58</v>
      </c>
      <c r="L5" t="s">
        <v>61</v>
      </c>
      <c r="M5">
        <v>317</v>
      </c>
      <c r="N5">
        <v>33.090000000000003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58</v>
      </c>
      <c r="D6">
        <v>100633196</v>
      </c>
      <c r="E6" t="s">
        <v>59</v>
      </c>
      <c r="F6" t="s">
        <v>60</v>
      </c>
      <c r="G6">
        <v>0.1</v>
      </c>
      <c r="H6">
        <v>9.48</v>
      </c>
      <c r="I6">
        <v>0</v>
      </c>
      <c r="J6">
        <v>0</v>
      </c>
      <c r="K6">
        <v>9.58</v>
      </c>
      <c r="L6" t="s">
        <v>61</v>
      </c>
      <c r="M6">
        <v>317</v>
      </c>
      <c r="N6">
        <v>33.090000000000003</v>
      </c>
      <c r="O6" t="s">
        <v>62</v>
      </c>
      <c r="P6" t="s">
        <v>67</v>
      </c>
      <c r="Q6">
        <v>1363</v>
      </c>
      <c r="R6">
        <v>142.27000000000001</v>
      </c>
    </row>
    <row r="7" spans="1:18" x14ac:dyDescent="0.35">
      <c r="A7" t="s">
        <v>56</v>
      </c>
      <c r="B7" t="s">
        <v>57</v>
      </c>
      <c r="C7" t="s">
        <v>58</v>
      </c>
      <c r="D7">
        <v>100633196</v>
      </c>
      <c r="E7" t="s">
        <v>59</v>
      </c>
      <c r="F7" t="s">
        <v>60</v>
      </c>
      <c r="G7">
        <v>0.1</v>
      </c>
      <c r="H7">
        <v>9.48</v>
      </c>
      <c r="I7">
        <v>0</v>
      </c>
      <c r="J7">
        <v>0</v>
      </c>
      <c r="K7">
        <v>9.58</v>
      </c>
      <c r="L7" t="s">
        <v>61</v>
      </c>
      <c r="M7">
        <v>317</v>
      </c>
      <c r="N7">
        <v>33.090000000000003</v>
      </c>
      <c r="O7" t="s">
        <v>68</v>
      </c>
      <c r="P7" t="s">
        <v>67</v>
      </c>
      <c r="Q7">
        <v>317</v>
      </c>
      <c r="R7">
        <v>33.090000000000003</v>
      </c>
    </row>
    <row r="8" spans="1:18" x14ac:dyDescent="0.35">
      <c r="A8" t="s">
        <v>56</v>
      </c>
      <c r="B8" t="s">
        <v>57</v>
      </c>
      <c r="C8" t="s">
        <v>58</v>
      </c>
      <c r="D8">
        <v>100633196</v>
      </c>
      <c r="E8" t="s">
        <v>59</v>
      </c>
      <c r="F8" t="s">
        <v>60</v>
      </c>
      <c r="G8">
        <v>0.1</v>
      </c>
      <c r="H8">
        <v>9.48</v>
      </c>
      <c r="I8">
        <v>0</v>
      </c>
      <c r="J8">
        <v>0</v>
      </c>
      <c r="K8">
        <v>9.58</v>
      </c>
      <c r="L8" t="s">
        <v>61</v>
      </c>
      <c r="M8">
        <v>317</v>
      </c>
      <c r="N8">
        <v>33.090000000000003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58</v>
      </c>
      <c r="D9">
        <v>101446428</v>
      </c>
      <c r="E9" t="s">
        <v>73</v>
      </c>
      <c r="F9" t="s">
        <v>60</v>
      </c>
      <c r="G9">
        <v>0.8</v>
      </c>
      <c r="H9">
        <v>9.08</v>
      </c>
      <c r="I9">
        <v>0.12</v>
      </c>
      <c r="J9">
        <v>0</v>
      </c>
      <c r="K9">
        <v>10</v>
      </c>
      <c r="L9" t="s">
        <v>61</v>
      </c>
      <c r="M9">
        <v>397</v>
      </c>
      <c r="N9">
        <v>39.700000000000003</v>
      </c>
      <c r="O9" t="s">
        <v>62</v>
      </c>
      <c r="P9" t="s">
        <v>63</v>
      </c>
      <c r="Q9">
        <v>1163</v>
      </c>
      <c r="R9">
        <v>1460.85</v>
      </c>
    </row>
    <row r="10" spans="1:18" x14ac:dyDescent="0.35">
      <c r="A10" t="s">
        <v>56</v>
      </c>
      <c r="B10" t="s">
        <v>57</v>
      </c>
      <c r="C10" t="s">
        <v>58</v>
      </c>
      <c r="D10">
        <v>101446428</v>
      </c>
      <c r="E10" t="s">
        <v>73</v>
      </c>
      <c r="F10" t="s">
        <v>60</v>
      </c>
      <c r="G10">
        <v>0.8</v>
      </c>
      <c r="H10">
        <v>9.08</v>
      </c>
      <c r="I10">
        <v>0.12</v>
      </c>
      <c r="J10">
        <v>0</v>
      </c>
      <c r="K10">
        <v>10</v>
      </c>
      <c r="L10" t="s">
        <v>61</v>
      </c>
      <c r="M10">
        <v>397</v>
      </c>
      <c r="N10">
        <v>39.700000000000003</v>
      </c>
      <c r="O10" t="s">
        <v>62</v>
      </c>
      <c r="P10" t="s">
        <v>64</v>
      </c>
      <c r="Q10">
        <v>2489</v>
      </c>
      <c r="R10">
        <v>274.04000000000002</v>
      </c>
    </row>
    <row r="11" spans="1:18" x14ac:dyDescent="0.35">
      <c r="A11" t="s">
        <v>56</v>
      </c>
      <c r="B11" t="s">
        <v>57</v>
      </c>
      <c r="C11" t="s">
        <v>58</v>
      </c>
      <c r="D11">
        <v>101446428</v>
      </c>
      <c r="E11" t="s">
        <v>73</v>
      </c>
      <c r="F11" t="s">
        <v>60</v>
      </c>
      <c r="G11">
        <v>0.8</v>
      </c>
      <c r="H11">
        <v>9.08</v>
      </c>
      <c r="I11">
        <v>0.12</v>
      </c>
      <c r="J11">
        <v>0</v>
      </c>
      <c r="K11">
        <v>10</v>
      </c>
      <c r="L11" t="s">
        <v>61</v>
      </c>
      <c r="M11">
        <v>397</v>
      </c>
      <c r="N11">
        <v>39.700000000000003</v>
      </c>
      <c r="O11" t="s">
        <v>62</v>
      </c>
      <c r="P11" t="s">
        <v>65</v>
      </c>
      <c r="Q11">
        <v>20</v>
      </c>
      <c r="R11">
        <v>165.52</v>
      </c>
    </row>
    <row r="12" spans="1:18" x14ac:dyDescent="0.35">
      <c r="A12" t="s">
        <v>56</v>
      </c>
      <c r="B12" t="s">
        <v>57</v>
      </c>
      <c r="C12" t="s">
        <v>58</v>
      </c>
      <c r="D12">
        <v>101446428</v>
      </c>
      <c r="E12" t="s">
        <v>73</v>
      </c>
      <c r="F12" t="s">
        <v>60</v>
      </c>
      <c r="G12">
        <v>0.8</v>
      </c>
      <c r="H12">
        <v>9.08</v>
      </c>
      <c r="I12">
        <v>0.12</v>
      </c>
      <c r="J12">
        <v>0</v>
      </c>
      <c r="K12">
        <v>10</v>
      </c>
      <c r="L12" t="s">
        <v>61</v>
      </c>
      <c r="M12">
        <v>397</v>
      </c>
      <c r="N12">
        <v>39.700000000000003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58</v>
      </c>
      <c r="D13">
        <v>101446428</v>
      </c>
      <c r="E13" t="s">
        <v>73</v>
      </c>
      <c r="F13" t="s">
        <v>60</v>
      </c>
      <c r="G13">
        <v>0.8</v>
      </c>
      <c r="H13">
        <v>9.08</v>
      </c>
      <c r="I13">
        <v>0.12</v>
      </c>
      <c r="J13">
        <v>0</v>
      </c>
      <c r="K13">
        <v>10</v>
      </c>
      <c r="L13" t="s">
        <v>61</v>
      </c>
      <c r="M13">
        <v>397</v>
      </c>
      <c r="N13">
        <v>39.700000000000003</v>
      </c>
      <c r="O13" t="s">
        <v>62</v>
      </c>
      <c r="P13" t="s">
        <v>67</v>
      </c>
      <c r="Q13">
        <v>3672</v>
      </c>
      <c r="R13">
        <v>367.2</v>
      </c>
    </row>
    <row r="14" spans="1:18" x14ac:dyDescent="0.35">
      <c r="A14" t="s">
        <v>56</v>
      </c>
      <c r="B14" t="s">
        <v>57</v>
      </c>
      <c r="C14" t="s">
        <v>58</v>
      </c>
      <c r="D14">
        <v>101446428</v>
      </c>
      <c r="E14" t="s">
        <v>73</v>
      </c>
      <c r="F14" t="s">
        <v>60</v>
      </c>
      <c r="G14">
        <v>0.8</v>
      </c>
      <c r="H14">
        <v>9.08</v>
      </c>
      <c r="I14">
        <v>0.12</v>
      </c>
      <c r="J14">
        <v>0</v>
      </c>
      <c r="K14">
        <v>10</v>
      </c>
      <c r="L14" t="s">
        <v>61</v>
      </c>
      <c r="M14">
        <v>397</v>
      </c>
      <c r="N14">
        <v>39.700000000000003</v>
      </c>
      <c r="O14" t="s">
        <v>68</v>
      </c>
      <c r="P14" t="s">
        <v>67</v>
      </c>
      <c r="Q14">
        <v>397</v>
      </c>
      <c r="R14">
        <v>39.700000000000003</v>
      </c>
    </row>
    <row r="15" spans="1:18" x14ac:dyDescent="0.35">
      <c r="A15" t="s">
        <v>56</v>
      </c>
      <c r="B15" t="s">
        <v>57</v>
      </c>
      <c r="C15" t="s">
        <v>58</v>
      </c>
      <c r="D15">
        <v>101446428</v>
      </c>
      <c r="E15" t="s">
        <v>73</v>
      </c>
      <c r="F15" t="s">
        <v>60</v>
      </c>
      <c r="G15">
        <v>0.8</v>
      </c>
      <c r="H15">
        <v>9.08</v>
      </c>
      <c r="I15">
        <v>0.12</v>
      </c>
      <c r="J15">
        <v>0</v>
      </c>
      <c r="K15">
        <v>10</v>
      </c>
      <c r="L15" t="s">
        <v>61</v>
      </c>
      <c r="M15">
        <v>397</v>
      </c>
      <c r="N15">
        <v>39.700000000000003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70</v>
      </c>
      <c r="D16">
        <v>102457590</v>
      </c>
      <c r="E16" t="s">
        <v>668</v>
      </c>
      <c r="F16" t="s">
        <v>72</v>
      </c>
      <c r="G16">
        <v>0.43</v>
      </c>
      <c r="H16">
        <v>9.57</v>
      </c>
      <c r="I16">
        <v>0</v>
      </c>
      <c r="J16">
        <v>0</v>
      </c>
      <c r="K16">
        <v>10</v>
      </c>
      <c r="L16" t="s">
        <v>61</v>
      </c>
      <c r="M16">
        <v>470</v>
      </c>
      <c r="N16">
        <v>47</v>
      </c>
      <c r="O16" t="s">
        <v>62</v>
      </c>
      <c r="P16" t="s">
        <v>63</v>
      </c>
      <c r="Q16">
        <v>731</v>
      </c>
      <c r="R16">
        <v>1716.63</v>
      </c>
    </row>
    <row r="17" spans="1:18" x14ac:dyDescent="0.35">
      <c r="A17" t="s">
        <v>56</v>
      </c>
      <c r="B17" t="s">
        <v>57</v>
      </c>
      <c r="C17" t="s">
        <v>70</v>
      </c>
      <c r="D17">
        <v>102457590</v>
      </c>
      <c r="E17" t="s">
        <v>668</v>
      </c>
      <c r="F17" t="s">
        <v>72</v>
      </c>
      <c r="G17">
        <v>0.43</v>
      </c>
      <c r="H17">
        <v>9.57</v>
      </c>
      <c r="I17">
        <v>0</v>
      </c>
      <c r="J17">
        <v>0</v>
      </c>
      <c r="K17">
        <v>10</v>
      </c>
      <c r="L17" t="s">
        <v>61</v>
      </c>
      <c r="M17">
        <v>470</v>
      </c>
      <c r="N17">
        <v>47</v>
      </c>
      <c r="O17" t="s">
        <v>62</v>
      </c>
      <c r="P17" t="s">
        <v>64</v>
      </c>
      <c r="Q17">
        <v>3081</v>
      </c>
      <c r="R17">
        <v>321.81</v>
      </c>
    </row>
    <row r="18" spans="1:18" x14ac:dyDescent="0.35">
      <c r="A18" t="s">
        <v>56</v>
      </c>
      <c r="B18" t="s">
        <v>57</v>
      </c>
      <c r="C18" t="s">
        <v>70</v>
      </c>
      <c r="D18">
        <v>102457590</v>
      </c>
      <c r="E18" t="s">
        <v>668</v>
      </c>
      <c r="F18" t="s">
        <v>72</v>
      </c>
      <c r="G18">
        <v>0.43</v>
      </c>
      <c r="H18">
        <v>9.57</v>
      </c>
      <c r="I18">
        <v>0</v>
      </c>
      <c r="J18">
        <v>0</v>
      </c>
      <c r="K18">
        <v>10</v>
      </c>
      <c r="L18" t="s">
        <v>61</v>
      </c>
      <c r="M18">
        <v>470</v>
      </c>
      <c r="N18">
        <v>47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70</v>
      </c>
      <c r="D19">
        <v>102457590</v>
      </c>
      <c r="E19" t="s">
        <v>668</v>
      </c>
      <c r="F19" t="s">
        <v>72</v>
      </c>
      <c r="G19">
        <v>0.43</v>
      </c>
      <c r="H19">
        <v>9.57</v>
      </c>
      <c r="I19">
        <v>0</v>
      </c>
      <c r="J19">
        <v>0</v>
      </c>
      <c r="K19">
        <v>10</v>
      </c>
      <c r="L19" t="s">
        <v>61</v>
      </c>
      <c r="M19">
        <v>470</v>
      </c>
      <c r="N19">
        <v>47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70</v>
      </c>
      <c r="D20">
        <v>102457590</v>
      </c>
      <c r="E20" t="s">
        <v>668</v>
      </c>
      <c r="F20" t="s">
        <v>72</v>
      </c>
      <c r="G20">
        <v>0.43</v>
      </c>
      <c r="H20">
        <v>9.57</v>
      </c>
      <c r="I20">
        <v>0</v>
      </c>
      <c r="J20">
        <v>0</v>
      </c>
      <c r="K20">
        <v>10</v>
      </c>
      <c r="L20" t="s">
        <v>61</v>
      </c>
      <c r="M20">
        <v>470</v>
      </c>
      <c r="N20">
        <v>47</v>
      </c>
      <c r="O20" t="s">
        <v>62</v>
      </c>
      <c r="P20" t="s">
        <v>67</v>
      </c>
      <c r="Q20">
        <v>3812</v>
      </c>
      <c r="R20">
        <v>381.2</v>
      </c>
    </row>
    <row r="21" spans="1:18" x14ac:dyDescent="0.35">
      <c r="A21" t="s">
        <v>56</v>
      </c>
      <c r="B21" t="s">
        <v>57</v>
      </c>
      <c r="C21" t="s">
        <v>70</v>
      </c>
      <c r="D21">
        <v>102457590</v>
      </c>
      <c r="E21" t="s">
        <v>668</v>
      </c>
      <c r="F21" t="s">
        <v>72</v>
      </c>
      <c r="G21">
        <v>0.43</v>
      </c>
      <c r="H21">
        <v>9.57</v>
      </c>
      <c r="I21">
        <v>0</v>
      </c>
      <c r="J21">
        <v>0</v>
      </c>
      <c r="K21">
        <v>10</v>
      </c>
      <c r="L21" t="s">
        <v>61</v>
      </c>
      <c r="M21">
        <v>470</v>
      </c>
      <c r="N21">
        <v>47</v>
      </c>
      <c r="O21" t="s">
        <v>68</v>
      </c>
      <c r="P21" t="s">
        <v>67</v>
      </c>
      <c r="Q21">
        <v>470</v>
      </c>
      <c r="R21">
        <v>47</v>
      </c>
    </row>
    <row r="22" spans="1:18" x14ac:dyDescent="0.35">
      <c r="A22" t="s">
        <v>56</v>
      </c>
      <c r="B22" t="s">
        <v>57</v>
      </c>
      <c r="C22" t="s">
        <v>70</v>
      </c>
      <c r="D22">
        <v>102457590</v>
      </c>
      <c r="E22" t="s">
        <v>668</v>
      </c>
      <c r="F22" t="s">
        <v>72</v>
      </c>
      <c r="G22">
        <v>0.43</v>
      </c>
      <c r="H22">
        <v>9.57</v>
      </c>
      <c r="I22">
        <v>0</v>
      </c>
      <c r="J22">
        <v>0</v>
      </c>
      <c r="K22">
        <v>10</v>
      </c>
      <c r="L22" t="s">
        <v>61</v>
      </c>
      <c r="M22">
        <v>470</v>
      </c>
      <c r="N22">
        <v>47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102530855</v>
      </c>
      <c r="E23" t="s">
        <v>560</v>
      </c>
      <c r="F23" t="s">
        <v>60</v>
      </c>
      <c r="G23">
        <v>0.33</v>
      </c>
      <c r="H23">
        <v>9.67</v>
      </c>
      <c r="I23">
        <v>0</v>
      </c>
      <c r="J23">
        <v>0</v>
      </c>
      <c r="K23">
        <v>10</v>
      </c>
      <c r="L23" t="s">
        <v>61</v>
      </c>
      <c r="M23">
        <v>511</v>
      </c>
      <c r="N23">
        <v>51.1</v>
      </c>
      <c r="O23" t="s">
        <v>62</v>
      </c>
      <c r="P23" t="s">
        <v>63</v>
      </c>
      <c r="Q23">
        <v>343</v>
      </c>
      <c r="R23">
        <v>1047.33</v>
      </c>
    </row>
    <row r="24" spans="1:18" x14ac:dyDescent="0.35">
      <c r="A24" t="s">
        <v>56</v>
      </c>
      <c r="B24" t="s">
        <v>57</v>
      </c>
      <c r="C24" t="s">
        <v>70</v>
      </c>
      <c r="D24">
        <v>102530855</v>
      </c>
      <c r="E24" t="s">
        <v>560</v>
      </c>
      <c r="F24" t="s">
        <v>60</v>
      </c>
      <c r="G24">
        <v>0.33</v>
      </c>
      <c r="H24">
        <v>9.67</v>
      </c>
      <c r="I24">
        <v>0</v>
      </c>
      <c r="J24">
        <v>0</v>
      </c>
      <c r="K24">
        <v>10</v>
      </c>
      <c r="L24" t="s">
        <v>61</v>
      </c>
      <c r="M24">
        <v>511</v>
      </c>
      <c r="N24">
        <v>51.1</v>
      </c>
      <c r="O24" t="s">
        <v>62</v>
      </c>
      <c r="P24" t="s">
        <v>64</v>
      </c>
      <c r="Q24">
        <v>1900</v>
      </c>
      <c r="R24">
        <v>196.44</v>
      </c>
    </row>
    <row r="25" spans="1:18" x14ac:dyDescent="0.35">
      <c r="A25" t="s">
        <v>56</v>
      </c>
      <c r="B25" t="s">
        <v>57</v>
      </c>
      <c r="C25" t="s">
        <v>70</v>
      </c>
      <c r="D25">
        <v>102530855</v>
      </c>
      <c r="E25" t="s">
        <v>560</v>
      </c>
      <c r="F25" t="s">
        <v>60</v>
      </c>
      <c r="G25">
        <v>0.33</v>
      </c>
      <c r="H25">
        <v>9.67</v>
      </c>
      <c r="I25">
        <v>0</v>
      </c>
      <c r="J25">
        <v>0</v>
      </c>
      <c r="K25">
        <v>10</v>
      </c>
      <c r="L25" t="s">
        <v>61</v>
      </c>
      <c r="M25">
        <v>511</v>
      </c>
      <c r="N25">
        <v>51.1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102530855</v>
      </c>
      <c r="E26" t="s">
        <v>560</v>
      </c>
      <c r="F26" t="s">
        <v>60</v>
      </c>
      <c r="G26">
        <v>0.33</v>
      </c>
      <c r="H26">
        <v>9.67</v>
      </c>
      <c r="I26">
        <v>0</v>
      </c>
      <c r="J26">
        <v>0</v>
      </c>
      <c r="K26">
        <v>10</v>
      </c>
      <c r="L26" t="s">
        <v>61</v>
      </c>
      <c r="M26">
        <v>511</v>
      </c>
      <c r="N26">
        <v>51.1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102530855</v>
      </c>
      <c r="E27" t="s">
        <v>560</v>
      </c>
      <c r="F27" t="s">
        <v>60</v>
      </c>
      <c r="G27">
        <v>0.33</v>
      </c>
      <c r="H27">
        <v>9.67</v>
      </c>
      <c r="I27">
        <v>0</v>
      </c>
      <c r="J27">
        <v>0</v>
      </c>
      <c r="K27">
        <v>10</v>
      </c>
      <c r="L27" t="s">
        <v>61</v>
      </c>
      <c r="M27">
        <v>511</v>
      </c>
      <c r="N27">
        <v>51.1</v>
      </c>
      <c r="O27" t="s">
        <v>62</v>
      </c>
      <c r="P27" t="s">
        <v>67</v>
      </c>
      <c r="Q27">
        <v>2243</v>
      </c>
      <c r="R27">
        <v>224.3</v>
      </c>
    </row>
    <row r="28" spans="1:18" x14ac:dyDescent="0.35">
      <c r="A28" t="s">
        <v>56</v>
      </c>
      <c r="B28" t="s">
        <v>57</v>
      </c>
      <c r="C28" t="s">
        <v>70</v>
      </c>
      <c r="D28">
        <v>102530855</v>
      </c>
      <c r="E28" t="s">
        <v>560</v>
      </c>
      <c r="F28" t="s">
        <v>60</v>
      </c>
      <c r="G28">
        <v>0.33</v>
      </c>
      <c r="H28">
        <v>9.67</v>
      </c>
      <c r="I28">
        <v>0</v>
      </c>
      <c r="J28">
        <v>0</v>
      </c>
      <c r="K28">
        <v>10</v>
      </c>
      <c r="L28" t="s">
        <v>61</v>
      </c>
      <c r="M28">
        <v>511</v>
      </c>
      <c r="N28">
        <v>51.1</v>
      </c>
      <c r="O28" t="s">
        <v>68</v>
      </c>
      <c r="P28" t="s">
        <v>67</v>
      </c>
      <c r="Q28">
        <v>511</v>
      </c>
      <c r="R28">
        <v>51.1</v>
      </c>
    </row>
    <row r="29" spans="1:18" x14ac:dyDescent="0.35">
      <c r="A29" t="s">
        <v>56</v>
      </c>
      <c r="B29" t="s">
        <v>57</v>
      </c>
      <c r="C29" t="s">
        <v>70</v>
      </c>
      <c r="D29">
        <v>102530855</v>
      </c>
      <c r="E29" t="s">
        <v>560</v>
      </c>
      <c r="F29" t="s">
        <v>60</v>
      </c>
      <c r="G29">
        <v>0.33</v>
      </c>
      <c r="H29">
        <v>9.67</v>
      </c>
      <c r="I29">
        <v>0</v>
      </c>
      <c r="J29">
        <v>0</v>
      </c>
      <c r="K29">
        <v>10</v>
      </c>
      <c r="L29" t="s">
        <v>61</v>
      </c>
      <c r="M29">
        <v>511</v>
      </c>
      <c r="N29">
        <v>51.1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103223305</v>
      </c>
      <c r="E30" t="s">
        <v>573</v>
      </c>
      <c r="F30" t="s">
        <v>72</v>
      </c>
      <c r="G30">
        <v>1.1399999999999999</v>
      </c>
      <c r="H30">
        <v>8.86</v>
      </c>
      <c r="I30">
        <v>0</v>
      </c>
      <c r="J30">
        <v>0</v>
      </c>
      <c r="K30">
        <v>10</v>
      </c>
      <c r="L30" t="s">
        <v>61</v>
      </c>
      <c r="M30">
        <v>353</v>
      </c>
      <c r="N30">
        <v>35.299999999999997</v>
      </c>
      <c r="O30" t="s">
        <v>62</v>
      </c>
      <c r="P30" t="s">
        <v>63</v>
      </c>
      <c r="Q30">
        <v>1485</v>
      </c>
      <c r="R30">
        <v>1297.57</v>
      </c>
    </row>
    <row r="31" spans="1:18" x14ac:dyDescent="0.35">
      <c r="A31" t="s">
        <v>56</v>
      </c>
      <c r="B31" t="s">
        <v>57</v>
      </c>
      <c r="C31" t="s">
        <v>70</v>
      </c>
      <c r="D31">
        <v>103223305</v>
      </c>
      <c r="E31" t="s">
        <v>573</v>
      </c>
      <c r="F31" t="s">
        <v>72</v>
      </c>
      <c r="G31">
        <v>1.1399999999999999</v>
      </c>
      <c r="H31">
        <v>8.86</v>
      </c>
      <c r="I31">
        <v>0</v>
      </c>
      <c r="J31">
        <v>0</v>
      </c>
      <c r="K31">
        <v>10</v>
      </c>
      <c r="L31" t="s">
        <v>61</v>
      </c>
      <c r="M31">
        <v>353</v>
      </c>
      <c r="N31">
        <v>35.299999999999997</v>
      </c>
      <c r="O31" t="s">
        <v>62</v>
      </c>
      <c r="P31" t="s">
        <v>64</v>
      </c>
      <c r="Q31">
        <v>2155</v>
      </c>
      <c r="R31">
        <v>243.36</v>
      </c>
    </row>
    <row r="32" spans="1:18" x14ac:dyDescent="0.35">
      <c r="A32" t="s">
        <v>56</v>
      </c>
      <c r="B32" t="s">
        <v>57</v>
      </c>
      <c r="C32" t="s">
        <v>70</v>
      </c>
      <c r="D32">
        <v>103223305</v>
      </c>
      <c r="E32" t="s">
        <v>573</v>
      </c>
      <c r="F32" t="s">
        <v>72</v>
      </c>
      <c r="G32">
        <v>1.1399999999999999</v>
      </c>
      <c r="H32">
        <v>8.86</v>
      </c>
      <c r="I32">
        <v>0</v>
      </c>
      <c r="J32">
        <v>0</v>
      </c>
      <c r="K32">
        <v>10</v>
      </c>
      <c r="L32" t="s">
        <v>61</v>
      </c>
      <c r="M32">
        <v>353</v>
      </c>
      <c r="N32">
        <v>35.299999999999997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103223305</v>
      </c>
      <c r="E33" t="s">
        <v>573</v>
      </c>
      <c r="F33" t="s">
        <v>72</v>
      </c>
      <c r="G33">
        <v>1.1399999999999999</v>
      </c>
      <c r="H33">
        <v>8.86</v>
      </c>
      <c r="I33">
        <v>0</v>
      </c>
      <c r="J33">
        <v>0</v>
      </c>
      <c r="K33">
        <v>10</v>
      </c>
      <c r="L33" t="s">
        <v>61</v>
      </c>
      <c r="M33">
        <v>353</v>
      </c>
      <c r="N33">
        <v>35.299999999999997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103223305</v>
      </c>
      <c r="E34" t="s">
        <v>573</v>
      </c>
      <c r="F34" t="s">
        <v>72</v>
      </c>
      <c r="G34">
        <v>1.1399999999999999</v>
      </c>
      <c r="H34">
        <v>8.86</v>
      </c>
      <c r="I34">
        <v>0</v>
      </c>
      <c r="J34">
        <v>0</v>
      </c>
      <c r="K34">
        <v>10</v>
      </c>
      <c r="L34" t="s">
        <v>61</v>
      </c>
      <c r="M34">
        <v>353</v>
      </c>
      <c r="N34">
        <v>35.299999999999997</v>
      </c>
      <c r="O34" t="s">
        <v>62</v>
      </c>
      <c r="P34" t="s">
        <v>67</v>
      </c>
      <c r="Q34">
        <v>3640</v>
      </c>
      <c r="R34">
        <v>364</v>
      </c>
    </row>
    <row r="35" spans="1:18" x14ac:dyDescent="0.35">
      <c r="A35" t="s">
        <v>56</v>
      </c>
      <c r="B35" t="s">
        <v>57</v>
      </c>
      <c r="C35" t="s">
        <v>70</v>
      </c>
      <c r="D35">
        <v>103223305</v>
      </c>
      <c r="E35" t="s">
        <v>573</v>
      </c>
      <c r="F35" t="s">
        <v>72</v>
      </c>
      <c r="G35">
        <v>1.1399999999999999</v>
      </c>
      <c r="H35">
        <v>8.86</v>
      </c>
      <c r="I35">
        <v>0</v>
      </c>
      <c r="J35">
        <v>0</v>
      </c>
      <c r="K35">
        <v>10</v>
      </c>
      <c r="L35" t="s">
        <v>61</v>
      </c>
      <c r="M35">
        <v>353</v>
      </c>
      <c r="N35">
        <v>35.299999999999997</v>
      </c>
      <c r="O35" t="s">
        <v>68</v>
      </c>
      <c r="P35" t="s">
        <v>67</v>
      </c>
      <c r="Q35">
        <v>353</v>
      </c>
      <c r="R35">
        <v>35.299999999999997</v>
      </c>
    </row>
    <row r="36" spans="1:18" x14ac:dyDescent="0.35">
      <c r="A36" t="s">
        <v>56</v>
      </c>
      <c r="B36" t="s">
        <v>57</v>
      </c>
      <c r="C36" t="s">
        <v>70</v>
      </c>
      <c r="D36">
        <v>103223305</v>
      </c>
      <c r="E36" t="s">
        <v>573</v>
      </c>
      <c r="F36" t="s">
        <v>72</v>
      </c>
      <c r="G36">
        <v>1.1399999999999999</v>
      </c>
      <c r="H36">
        <v>8.86</v>
      </c>
      <c r="I36">
        <v>0</v>
      </c>
      <c r="J36">
        <v>0</v>
      </c>
      <c r="K36">
        <v>10</v>
      </c>
      <c r="L36" t="s">
        <v>61</v>
      </c>
      <c r="M36">
        <v>353</v>
      </c>
      <c r="N36">
        <v>35.299999999999997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104441514</v>
      </c>
      <c r="E37" t="s">
        <v>77</v>
      </c>
      <c r="F37" t="s">
        <v>78</v>
      </c>
      <c r="G37">
        <v>0.1</v>
      </c>
      <c r="H37">
        <v>7.16</v>
      </c>
      <c r="I37">
        <v>0</v>
      </c>
      <c r="J37">
        <v>0</v>
      </c>
      <c r="K37">
        <v>7.26</v>
      </c>
      <c r="L37" t="s">
        <v>61</v>
      </c>
      <c r="M37">
        <v>302</v>
      </c>
      <c r="N37">
        <v>41.62</v>
      </c>
      <c r="O37" t="s">
        <v>62</v>
      </c>
      <c r="P37" t="s">
        <v>63</v>
      </c>
      <c r="Q37">
        <v>110</v>
      </c>
      <c r="R37">
        <v>1131.43</v>
      </c>
    </row>
    <row r="38" spans="1:18" x14ac:dyDescent="0.35">
      <c r="A38" t="s">
        <v>56</v>
      </c>
      <c r="B38" t="s">
        <v>57</v>
      </c>
      <c r="C38" t="s">
        <v>70</v>
      </c>
      <c r="D38">
        <v>104441514</v>
      </c>
      <c r="E38" t="s">
        <v>77</v>
      </c>
      <c r="F38" t="s">
        <v>78</v>
      </c>
      <c r="G38">
        <v>0.1</v>
      </c>
      <c r="H38">
        <v>7.16</v>
      </c>
      <c r="I38">
        <v>0</v>
      </c>
      <c r="J38">
        <v>0</v>
      </c>
      <c r="K38">
        <v>7.26</v>
      </c>
      <c r="L38" t="s">
        <v>61</v>
      </c>
      <c r="M38">
        <v>302</v>
      </c>
      <c r="N38">
        <v>41.62</v>
      </c>
      <c r="O38" t="s">
        <v>62</v>
      </c>
      <c r="P38" t="s">
        <v>64</v>
      </c>
      <c r="Q38">
        <v>1516</v>
      </c>
      <c r="R38">
        <v>211.78</v>
      </c>
    </row>
    <row r="39" spans="1:18" x14ac:dyDescent="0.35">
      <c r="A39" t="s">
        <v>56</v>
      </c>
      <c r="B39" t="s">
        <v>57</v>
      </c>
      <c r="C39" t="s">
        <v>70</v>
      </c>
      <c r="D39">
        <v>104441514</v>
      </c>
      <c r="E39" t="s">
        <v>77</v>
      </c>
      <c r="F39" t="s">
        <v>78</v>
      </c>
      <c r="G39">
        <v>0.1</v>
      </c>
      <c r="H39">
        <v>7.16</v>
      </c>
      <c r="I39">
        <v>0</v>
      </c>
      <c r="J39">
        <v>0</v>
      </c>
      <c r="K39">
        <v>7.26</v>
      </c>
      <c r="L39" t="s">
        <v>61</v>
      </c>
      <c r="M39">
        <v>302</v>
      </c>
      <c r="N39">
        <v>41.62</v>
      </c>
      <c r="O39" t="s">
        <v>62</v>
      </c>
      <c r="P39" t="s">
        <v>65</v>
      </c>
      <c r="Q39">
        <v>0</v>
      </c>
      <c r="R39">
        <v>0</v>
      </c>
    </row>
    <row r="40" spans="1:18" x14ac:dyDescent="0.35">
      <c r="A40" t="s">
        <v>56</v>
      </c>
      <c r="B40" t="s">
        <v>57</v>
      </c>
      <c r="C40" t="s">
        <v>70</v>
      </c>
      <c r="D40">
        <v>104441514</v>
      </c>
      <c r="E40" t="s">
        <v>77</v>
      </c>
      <c r="F40" t="s">
        <v>78</v>
      </c>
      <c r="G40">
        <v>0.1</v>
      </c>
      <c r="H40">
        <v>7.16</v>
      </c>
      <c r="I40">
        <v>0</v>
      </c>
      <c r="J40">
        <v>0</v>
      </c>
      <c r="K40">
        <v>7.26</v>
      </c>
      <c r="L40" t="s">
        <v>61</v>
      </c>
      <c r="M40">
        <v>302</v>
      </c>
      <c r="N40">
        <v>41.62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104441514</v>
      </c>
      <c r="E41" t="s">
        <v>77</v>
      </c>
      <c r="F41" t="s">
        <v>78</v>
      </c>
      <c r="G41">
        <v>0.1</v>
      </c>
      <c r="H41">
        <v>7.16</v>
      </c>
      <c r="I41">
        <v>0</v>
      </c>
      <c r="J41">
        <v>0</v>
      </c>
      <c r="K41">
        <v>7.26</v>
      </c>
      <c r="L41" t="s">
        <v>61</v>
      </c>
      <c r="M41">
        <v>302</v>
      </c>
      <c r="N41">
        <v>41.62</v>
      </c>
      <c r="O41" t="s">
        <v>62</v>
      </c>
      <c r="P41" t="s">
        <v>67</v>
      </c>
      <c r="Q41">
        <v>1626</v>
      </c>
      <c r="R41">
        <v>224.1</v>
      </c>
    </row>
    <row r="42" spans="1:18" x14ac:dyDescent="0.35">
      <c r="A42" t="s">
        <v>56</v>
      </c>
      <c r="B42" t="s">
        <v>57</v>
      </c>
      <c r="C42" t="s">
        <v>70</v>
      </c>
      <c r="D42">
        <v>104441514</v>
      </c>
      <c r="E42" t="s">
        <v>77</v>
      </c>
      <c r="F42" t="s">
        <v>78</v>
      </c>
      <c r="G42">
        <v>0.1</v>
      </c>
      <c r="H42">
        <v>7.16</v>
      </c>
      <c r="I42">
        <v>0</v>
      </c>
      <c r="J42">
        <v>0</v>
      </c>
      <c r="K42">
        <v>7.26</v>
      </c>
      <c r="L42" t="s">
        <v>61</v>
      </c>
      <c r="M42">
        <v>302</v>
      </c>
      <c r="N42">
        <v>41.62</v>
      </c>
      <c r="O42" t="s">
        <v>68</v>
      </c>
      <c r="P42" t="s">
        <v>67</v>
      </c>
      <c r="Q42">
        <v>302</v>
      </c>
      <c r="R42">
        <v>41.62</v>
      </c>
    </row>
    <row r="43" spans="1:18" x14ac:dyDescent="0.35">
      <c r="A43" t="s">
        <v>56</v>
      </c>
      <c r="B43" t="s">
        <v>57</v>
      </c>
      <c r="C43" t="s">
        <v>70</v>
      </c>
      <c r="D43">
        <v>104441514</v>
      </c>
      <c r="E43" t="s">
        <v>77</v>
      </c>
      <c r="F43" t="s">
        <v>78</v>
      </c>
      <c r="G43">
        <v>0.1</v>
      </c>
      <c r="H43">
        <v>7.16</v>
      </c>
      <c r="I43">
        <v>0</v>
      </c>
      <c r="J43">
        <v>0</v>
      </c>
      <c r="K43">
        <v>7.26</v>
      </c>
      <c r="L43" t="s">
        <v>61</v>
      </c>
      <c r="M43">
        <v>302</v>
      </c>
      <c r="N43">
        <v>41.62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105469039</v>
      </c>
      <c r="E44" t="s">
        <v>675</v>
      </c>
      <c r="F44" t="s">
        <v>78</v>
      </c>
      <c r="G44">
        <v>0.3</v>
      </c>
      <c r="H44">
        <v>4.63</v>
      </c>
      <c r="I44">
        <v>0.04</v>
      </c>
      <c r="J44">
        <v>0</v>
      </c>
      <c r="K44">
        <v>4.97</v>
      </c>
      <c r="L44" t="s">
        <v>61</v>
      </c>
      <c r="M44">
        <v>26</v>
      </c>
      <c r="N44">
        <v>5.23</v>
      </c>
      <c r="O44" t="s">
        <v>62</v>
      </c>
      <c r="P44" t="s">
        <v>63</v>
      </c>
      <c r="Q44">
        <v>65</v>
      </c>
      <c r="R44">
        <v>215.47</v>
      </c>
    </row>
    <row r="45" spans="1:18" x14ac:dyDescent="0.35">
      <c r="A45" t="s">
        <v>56</v>
      </c>
      <c r="B45" t="s">
        <v>57</v>
      </c>
      <c r="C45" t="s">
        <v>70</v>
      </c>
      <c r="D45">
        <v>105469039</v>
      </c>
      <c r="E45" t="s">
        <v>675</v>
      </c>
      <c r="F45" t="s">
        <v>78</v>
      </c>
      <c r="G45">
        <v>0.3</v>
      </c>
      <c r="H45">
        <v>4.63</v>
      </c>
      <c r="I45">
        <v>0.04</v>
      </c>
      <c r="J45">
        <v>0</v>
      </c>
      <c r="K45">
        <v>4.97</v>
      </c>
      <c r="L45" t="s">
        <v>61</v>
      </c>
      <c r="M45">
        <v>26</v>
      </c>
      <c r="N45">
        <v>5.23</v>
      </c>
      <c r="O45" t="s">
        <v>62</v>
      </c>
      <c r="P45" t="s">
        <v>64</v>
      </c>
      <c r="Q45">
        <v>187</v>
      </c>
      <c r="R45">
        <v>40.39</v>
      </c>
    </row>
    <row r="46" spans="1:18" x14ac:dyDescent="0.35">
      <c r="A46" t="s">
        <v>56</v>
      </c>
      <c r="B46" t="s">
        <v>57</v>
      </c>
      <c r="C46" t="s">
        <v>70</v>
      </c>
      <c r="D46">
        <v>105469039</v>
      </c>
      <c r="E46" t="s">
        <v>675</v>
      </c>
      <c r="F46" t="s">
        <v>78</v>
      </c>
      <c r="G46">
        <v>0.3</v>
      </c>
      <c r="H46">
        <v>4.63</v>
      </c>
      <c r="I46">
        <v>0.04</v>
      </c>
      <c r="J46">
        <v>0</v>
      </c>
      <c r="K46">
        <v>4.97</v>
      </c>
      <c r="L46" t="s">
        <v>61</v>
      </c>
      <c r="M46">
        <v>26</v>
      </c>
      <c r="N46">
        <v>5.23</v>
      </c>
      <c r="O46" t="s">
        <v>62</v>
      </c>
      <c r="P46" t="s">
        <v>65</v>
      </c>
      <c r="Q46">
        <v>1</v>
      </c>
      <c r="R46">
        <v>24.49</v>
      </c>
    </row>
    <row r="47" spans="1:18" x14ac:dyDescent="0.35">
      <c r="A47" t="s">
        <v>56</v>
      </c>
      <c r="B47" t="s">
        <v>57</v>
      </c>
      <c r="C47" t="s">
        <v>70</v>
      </c>
      <c r="D47">
        <v>105469039</v>
      </c>
      <c r="E47" t="s">
        <v>675</v>
      </c>
      <c r="F47" t="s">
        <v>78</v>
      </c>
      <c r="G47">
        <v>0.3</v>
      </c>
      <c r="H47">
        <v>4.63</v>
      </c>
      <c r="I47">
        <v>0.04</v>
      </c>
      <c r="J47">
        <v>0</v>
      </c>
      <c r="K47">
        <v>4.97</v>
      </c>
      <c r="L47" t="s">
        <v>61</v>
      </c>
      <c r="M47">
        <v>26</v>
      </c>
      <c r="N47">
        <v>5.23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105469039</v>
      </c>
      <c r="E48" t="s">
        <v>675</v>
      </c>
      <c r="F48" t="s">
        <v>78</v>
      </c>
      <c r="G48">
        <v>0.3</v>
      </c>
      <c r="H48">
        <v>4.63</v>
      </c>
      <c r="I48">
        <v>0.04</v>
      </c>
      <c r="J48">
        <v>0</v>
      </c>
      <c r="K48">
        <v>4.97</v>
      </c>
      <c r="L48" t="s">
        <v>61</v>
      </c>
      <c r="M48">
        <v>26</v>
      </c>
      <c r="N48">
        <v>5.23</v>
      </c>
      <c r="O48" t="s">
        <v>62</v>
      </c>
      <c r="P48" t="s">
        <v>67</v>
      </c>
      <c r="Q48">
        <v>253</v>
      </c>
      <c r="R48">
        <v>50.87</v>
      </c>
    </row>
    <row r="49" spans="1:18" x14ac:dyDescent="0.35">
      <c r="A49" t="s">
        <v>56</v>
      </c>
      <c r="B49" t="s">
        <v>57</v>
      </c>
      <c r="C49" t="s">
        <v>70</v>
      </c>
      <c r="D49">
        <v>105469039</v>
      </c>
      <c r="E49" t="s">
        <v>675</v>
      </c>
      <c r="F49" t="s">
        <v>78</v>
      </c>
      <c r="G49">
        <v>0.3</v>
      </c>
      <c r="H49">
        <v>4.63</v>
      </c>
      <c r="I49">
        <v>0.04</v>
      </c>
      <c r="J49">
        <v>0</v>
      </c>
      <c r="K49">
        <v>4.97</v>
      </c>
      <c r="L49" t="s">
        <v>61</v>
      </c>
      <c r="M49">
        <v>26</v>
      </c>
      <c r="N49">
        <v>5.23</v>
      </c>
      <c r="O49" t="s">
        <v>68</v>
      </c>
      <c r="P49" t="s">
        <v>67</v>
      </c>
      <c r="Q49">
        <v>26</v>
      </c>
      <c r="R49">
        <v>5.23</v>
      </c>
    </row>
    <row r="50" spans="1:18" x14ac:dyDescent="0.35">
      <c r="A50" t="s">
        <v>56</v>
      </c>
      <c r="B50" t="s">
        <v>57</v>
      </c>
      <c r="C50" t="s">
        <v>70</v>
      </c>
      <c r="D50">
        <v>105469039</v>
      </c>
      <c r="E50" t="s">
        <v>675</v>
      </c>
      <c r="F50" t="s">
        <v>78</v>
      </c>
      <c r="G50">
        <v>0.3</v>
      </c>
      <c r="H50">
        <v>4.63</v>
      </c>
      <c r="I50">
        <v>0.04</v>
      </c>
      <c r="J50">
        <v>0</v>
      </c>
      <c r="K50">
        <v>4.97</v>
      </c>
      <c r="L50" t="s">
        <v>61</v>
      </c>
      <c r="M50">
        <v>26</v>
      </c>
      <c r="N50">
        <v>5.23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106036050</v>
      </c>
      <c r="E51" t="s">
        <v>79</v>
      </c>
      <c r="F51" t="s">
        <v>60</v>
      </c>
      <c r="G51">
        <v>0.38</v>
      </c>
      <c r="H51">
        <v>9.6199999999999992</v>
      </c>
      <c r="I51">
        <v>0</v>
      </c>
      <c r="J51">
        <v>0</v>
      </c>
      <c r="K51">
        <v>10</v>
      </c>
      <c r="L51" t="s">
        <v>61</v>
      </c>
      <c r="M51">
        <v>426</v>
      </c>
      <c r="N51">
        <v>42.6</v>
      </c>
      <c r="O51" t="s">
        <v>62</v>
      </c>
      <c r="P51" t="s">
        <v>63</v>
      </c>
      <c r="Q51">
        <v>577</v>
      </c>
      <c r="R51">
        <v>1512.89</v>
      </c>
    </row>
    <row r="52" spans="1:18" x14ac:dyDescent="0.35">
      <c r="A52" t="s">
        <v>56</v>
      </c>
      <c r="B52" t="s">
        <v>57</v>
      </c>
      <c r="C52" t="s">
        <v>70</v>
      </c>
      <c r="D52">
        <v>106036050</v>
      </c>
      <c r="E52" t="s">
        <v>79</v>
      </c>
      <c r="F52" t="s">
        <v>60</v>
      </c>
      <c r="G52">
        <v>0.38</v>
      </c>
      <c r="H52">
        <v>9.6199999999999992</v>
      </c>
      <c r="I52">
        <v>0</v>
      </c>
      <c r="J52">
        <v>0</v>
      </c>
      <c r="K52">
        <v>10</v>
      </c>
      <c r="L52" t="s">
        <v>61</v>
      </c>
      <c r="M52">
        <v>426</v>
      </c>
      <c r="N52">
        <v>42.6</v>
      </c>
      <c r="O52" t="s">
        <v>62</v>
      </c>
      <c r="P52" t="s">
        <v>64</v>
      </c>
      <c r="Q52">
        <v>2729</v>
      </c>
      <c r="R52">
        <v>283.73</v>
      </c>
    </row>
    <row r="53" spans="1:18" x14ac:dyDescent="0.35">
      <c r="A53" t="s">
        <v>56</v>
      </c>
      <c r="B53" t="s">
        <v>57</v>
      </c>
      <c r="C53" t="s">
        <v>70</v>
      </c>
      <c r="D53">
        <v>106036050</v>
      </c>
      <c r="E53" t="s">
        <v>79</v>
      </c>
      <c r="F53" t="s">
        <v>60</v>
      </c>
      <c r="G53">
        <v>0.38</v>
      </c>
      <c r="H53">
        <v>9.6199999999999992</v>
      </c>
      <c r="I53">
        <v>0</v>
      </c>
      <c r="J53">
        <v>0</v>
      </c>
      <c r="K53">
        <v>10</v>
      </c>
      <c r="L53" t="s">
        <v>61</v>
      </c>
      <c r="M53">
        <v>426</v>
      </c>
      <c r="N53">
        <v>42.6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106036050</v>
      </c>
      <c r="E54" t="s">
        <v>79</v>
      </c>
      <c r="F54" t="s">
        <v>60</v>
      </c>
      <c r="G54">
        <v>0.38</v>
      </c>
      <c r="H54">
        <v>9.6199999999999992</v>
      </c>
      <c r="I54">
        <v>0</v>
      </c>
      <c r="J54">
        <v>0</v>
      </c>
      <c r="K54">
        <v>10</v>
      </c>
      <c r="L54" t="s">
        <v>61</v>
      </c>
      <c r="M54">
        <v>426</v>
      </c>
      <c r="N54">
        <v>42.6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106036050</v>
      </c>
      <c r="E55" t="s">
        <v>79</v>
      </c>
      <c r="F55" t="s">
        <v>60</v>
      </c>
      <c r="G55">
        <v>0.38</v>
      </c>
      <c r="H55">
        <v>9.6199999999999992</v>
      </c>
      <c r="I55">
        <v>0</v>
      </c>
      <c r="J55">
        <v>0</v>
      </c>
      <c r="K55">
        <v>10</v>
      </c>
      <c r="L55" t="s">
        <v>61</v>
      </c>
      <c r="M55">
        <v>426</v>
      </c>
      <c r="N55">
        <v>42.6</v>
      </c>
      <c r="O55" t="s">
        <v>62</v>
      </c>
      <c r="P55" t="s">
        <v>67</v>
      </c>
      <c r="Q55">
        <v>3306</v>
      </c>
      <c r="R55">
        <v>330.6</v>
      </c>
    </row>
    <row r="56" spans="1:18" x14ac:dyDescent="0.35">
      <c r="A56" t="s">
        <v>56</v>
      </c>
      <c r="B56" t="s">
        <v>57</v>
      </c>
      <c r="C56" t="s">
        <v>70</v>
      </c>
      <c r="D56">
        <v>106036050</v>
      </c>
      <c r="E56" t="s">
        <v>79</v>
      </c>
      <c r="F56" t="s">
        <v>60</v>
      </c>
      <c r="G56">
        <v>0.38</v>
      </c>
      <c r="H56">
        <v>9.6199999999999992</v>
      </c>
      <c r="I56">
        <v>0</v>
      </c>
      <c r="J56">
        <v>0</v>
      </c>
      <c r="K56">
        <v>10</v>
      </c>
      <c r="L56" t="s">
        <v>61</v>
      </c>
      <c r="M56">
        <v>426</v>
      </c>
      <c r="N56">
        <v>42.6</v>
      </c>
      <c r="O56" t="s">
        <v>68</v>
      </c>
      <c r="P56" t="s">
        <v>67</v>
      </c>
      <c r="Q56">
        <v>426</v>
      </c>
      <c r="R56">
        <v>42.6</v>
      </c>
    </row>
    <row r="57" spans="1:18" x14ac:dyDescent="0.35">
      <c r="A57" t="s">
        <v>56</v>
      </c>
      <c r="B57" t="s">
        <v>57</v>
      </c>
      <c r="C57" t="s">
        <v>70</v>
      </c>
      <c r="D57">
        <v>106036050</v>
      </c>
      <c r="E57" t="s">
        <v>79</v>
      </c>
      <c r="F57" t="s">
        <v>60</v>
      </c>
      <c r="G57">
        <v>0.38</v>
      </c>
      <c r="H57">
        <v>9.6199999999999992</v>
      </c>
      <c r="I57">
        <v>0</v>
      </c>
      <c r="J57">
        <v>0</v>
      </c>
      <c r="K57">
        <v>10</v>
      </c>
      <c r="L57" t="s">
        <v>61</v>
      </c>
      <c r="M57">
        <v>426</v>
      </c>
      <c r="N57">
        <v>42.6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70</v>
      </c>
      <c r="D58">
        <v>106036051</v>
      </c>
      <c r="E58" t="s">
        <v>547</v>
      </c>
      <c r="F58" t="s">
        <v>72</v>
      </c>
      <c r="G58">
        <v>0.3</v>
      </c>
      <c r="H58">
        <v>6.31</v>
      </c>
      <c r="I58">
        <v>0.03</v>
      </c>
      <c r="J58">
        <v>0</v>
      </c>
      <c r="K58">
        <v>6.64</v>
      </c>
      <c r="L58" t="s">
        <v>61</v>
      </c>
      <c r="M58">
        <v>292</v>
      </c>
      <c r="N58">
        <v>43.95</v>
      </c>
      <c r="O58" t="s">
        <v>62</v>
      </c>
      <c r="P58" t="s">
        <v>63</v>
      </c>
      <c r="Q58">
        <v>301</v>
      </c>
      <c r="R58">
        <v>995.96</v>
      </c>
    </row>
    <row r="59" spans="1:18" x14ac:dyDescent="0.35">
      <c r="A59" t="s">
        <v>56</v>
      </c>
      <c r="B59" t="s">
        <v>57</v>
      </c>
      <c r="C59" t="s">
        <v>70</v>
      </c>
      <c r="D59">
        <v>106036051</v>
      </c>
      <c r="E59" t="s">
        <v>547</v>
      </c>
      <c r="F59" t="s">
        <v>72</v>
      </c>
      <c r="G59">
        <v>0.3</v>
      </c>
      <c r="H59">
        <v>6.31</v>
      </c>
      <c r="I59">
        <v>0.03</v>
      </c>
      <c r="J59">
        <v>0</v>
      </c>
      <c r="K59">
        <v>6.64</v>
      </c>
      <c r="L59" t="s">
        <v>61</v>
      </c>
      <c r="M59">
        <v>292</v>
      </c>
      <c r="N59">
        <v>43.95</v>
      </c>
      <c r="O59" t="s">
        <v>62</v>
      </c>
      <c r="P59" t="s">
        <v>64</v>
      </c>
      <c r="Q59">
        <v>1179</v>
      </c>
      <c r="R59">
        <v>186.71</v>
      </c>
    </row>
    <row r="60" spans="1:18" x14ac:dyDescent="0.35">
      <c r="A60" t="s">
        <v>56</v>
      </c>
      <c r="B60" t="s">
        <v>57</v>
      </c>
      <c r="C60" t="s">
        <v>70</v>
      </c>
      <c r="D60">
        <v>106036051</v>
      </c>
      <c r="E60" t="s">
        <v>547</v>
      </c>
      <c r="F60" t="s">
        <v>72</v>
      </c>
      <c r="G60">
        <v>0.3</v>
      </c>
      <c r="H60">
        <v>6.31</v>
      </c>
      <c r="I60">
        <v>0.03</v>
      </c>
      <c r="J60">
        <v>0</v>
      </c>
      <c r="K60">
        <v>6.64</v>
      </c>
      <c r="L60" t="s">
        <v>61</v>
      </c>
      <c r="M60">
        <v>292</v>
      </c>
      <c r="N60">
        <v>43.95</v>
      </c>
      <c r="O60" t="s">
        <v>62</v>
      </c>
      <c r="P60" t="s">
        <v>65</v>
      </c>
      <c r="Q60">
        <v>3</v>
      </c>
      <c r="R60">
        <v>113.68</v>
      </c>
    </row>
    <row r="61" spans="1:18" x14ac:dyDescent="0.35">
      <c r="A61" t="s">
        <v>56</v>
      </c>
      <c r="B61" t="s">
        <v>57</v>
      </c>
      <c r="C61" t="s">
        <v>70</v>
      </c>
      <c r="D61">
        <v>106036051</v>
      </c>
      <c r="E61" t="s">
        <v>547</v>
      </c>
      <c r="F61" t="s">
        <v>72</v>
      </c>
      <c r="G61">
        <v>0.3</v>
      </c>
      <c r="H61">
        <v>6.31</v>
      </c>
      <c r="I61">
        <v>0.03</v>
      </c>
      <c r="J61">
        <v>0</v>
      </c>
      <c r="K61">
        <v>6.64</v>
      </c>
      <c r="L61" t="s">
        <v>61</v>
      </c>
      <c r="M61">
        <v>292</v>
      </c>
      <c r="N61">
        <v>43.95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106036051</v>
      </c>
      <c r="E62" t="s">
        <v>547</v>
      </c>
      <c r="F62" t="s">
        <v>72</v>
      </c>
      <c r="G62">
        <v>0.3</v>
      </c>
      <c r="H62">
        <v>6.31</v>
      </c>
      <c r="I62">
        <v>0.03</v>
      </c>
      <c r="J62">
        <v>0</v>
      </c>
      <c r="K62">
        <v>6.64</v>
      </c>
      <c r="L62" t="s">
        <v>61</v>
      </c>
      <c r="M62">
        <v>292</v>
      </c>
      <c r="N62">
        <v>43.95</v>
      </c>
      <c r="O62" t="s">
        <v>62</v>
      </c>
      <c r="P62" t="s">
        <v>67</v>
      </c>
      <c r="Q62">
        <v>1483</v>
      </c>
      <c r="R62">
        <v>223.21</v>
      </c>
    </row>
    <row r="63" spans="1:18" x14ac:dyDescent="0.35">
      <c r="A63" t="s">
        <v>56</v>
      </c>
      <c r="B63" t="s">
        <v>57</v>
      </c>
      <c r="C63" t="s">
        <v>70</v>
      </c>
      <c r="D63">
        <v>106036051</v>
      </c>
      <c r="E63" t="s">
        <v>547</v>
      </c>
      <c r="F63" t="s">
        <v>72</v>
      </c>
      <c r="G63">
        <v>0.3</v>
      </c>
      <c r="H63">
        <v>6.31</v>
      </c>
      <c r="I63">
        <v>0.03</v>
      </c>
      <c r="J63">
        <v>0</v>
      </c>
      <c r="K63">
        <v>6.64</v>
      </c>
      <c r="L63" t="s">
        <v>61</v>
      </c>
      <c r="M63">
        <v>292</v>
      </c>
      <c r="N63">
        <v>43.95</v>
      </c>
      <c r="O63" t="s">
        <v>68</v>
      </c>
      <c r="P63" t="s">
        <v>67</v>
      </c>
      <c r="Q63">
        <v>292</v>
      </c>
      <c r="R63">
        <v>43.95</v>
      </c>
    </row>
    <row r="64" spans="1:18" x14ac:dyDescent="0.35">
      <c r="A64" t="s">
        <v>56</v>
      </c>
      <c r="B64" t="s">
        <v>57</v>
      </c>
      <c r="C64" t="s">
        <v>70</v>
      </c>
      <c r="D64">
        <v>106036051</v>
      </c>
      <c r="E64" t="s">
        <v>547</v>
      </c>
      <c r="F64" t="s">
        <v>72</v>
      </c>
      <c r="G64">
        <v>0.3</v>
      </c>
      <c r="H64">
        <v>6.31</v>
      </c>
      <c r="I64">
        <v>0.03</v>
      </c>
      <c r="J64">
        <v>0</v>
      </c>
      <c r="K64">
        <v>6.64</v>
      </c>
      <c r="L64" t="s">
        <v>61</v>
      </c>
      <c r="M64">
        <v>292</v>
      </c>
      <c r="N64">
        <v>43.95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106064826</v>
      </c>
      <c r="E65" t="s">
        <v>569</v>
      </c>
      <c r="F65" t="s">
        <v>72</v>
      </c>
      <c r="G65">
        <v>0.32</v>
      </c>
      <c r="H65">
        <v>6.78</v>
      </c>
      <c r="I65">
        <v>0</v>
      </c>
      <c r="J65">
        <v>0</v>
      </c>
      <c r="K65">
        <v>7.1</v>
      </c>
      <c r="L65" t="s">
        <v>61</v>
      </c>
      <c r="M65">
        <v>186</v>
      </c>
      <c r="N65">
        <v>26.2</v>
      </c>
      <c r="O65" t="s">
        <v>62</v>
      </c>
      <c r="P65" t="s">
        <v>63</v>
      </c>
      <c r="Q65">
        <v>364</v>
      </c>
      <c r="R65">
        <v>1151.49</v>
      </c>
    </row>
    <row r="66" spans="1:18" x14ac:dyDescent="0.35">
      <c r="A66" t="s">
        <v>56</v>
      </c>
      <c r="B66" t="s">
        <v>57</v>
      </c>
      <c r="C66" t="s">
        <v>70</v>
      </c>
      <c r="D66">
        <v>106064826</v>
      </c>
      <c r="E66" t="s">
        <v>569</v>
      </c>
      <c r="F66" t="s">
        <v>72</v>
      </c>
      <c r="G66">
        <v>0.32</v>
      </c>
      <c r="H66">
        <v>6.78</v>
      </c>
      <c r="I66">
        <v>0</v>
      </c>
      <c r="J66">
        <v>0</v>
      </c>
      <c r="K66">
        <v>7.1</v>
      </c>
      <c r="L66" t="s">
        <v>61</v>
      </c>
      <c r="M66">
        <v>186</v>
      </c>
      <c r="N66">
        <v>26.2</v>
      </c>
      <c r="O66" t="s">
        <v>62</v>
      </c>
      <c r="P66" t="s">
        <v>64</v>
      </c>
      <c r="Q66">
        <v>1465</v>
      </c>
      <c r="R66">
        <v>215.96</v>
      </c>
    </row>
    <row r="67" spans="1:18" x14ac:dyDescent="0.35">
      <c r="A67" t="s">
        <v>56</v>
      </c>
      <c r="B67" t="s">
        <v>57</v>
      </c>
      <c r="C67" t="s">
        <v>70</v>
      </c>
      <c r="D67">
        <v>106064826</v>
      </c>
      <c r="E67" t="s">
        <v>569</v>
      </c>
      <c r="F67" t="s">
        <v>72</v>
      </c>
      <c r="G67">
        <v>0.32</v>
      </c>
      <c r="H67">
        <v>6.78</v>
      </c>
      <c r="I67">
        <v>0</v>
      </c>
      <c r="J67">
        <v>0</v>
      </c>
      <c r="K67">
        <v>7.1</v>
      </c>
      <c r="L67" t="s">
        <v>61</v>
      </c>
      <c r="M67">
        <v>186</v>
      </c>
      <c r="N67">
        <v>26.2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70</v>
      </c>
      <c r="D68">
        <v>106064826</v>
      </c>
      <c r="E68" t="s">
        <v>569</v>
      </c>
      <c r="F68" t="s">
        <v>72</v>
      </c>
      <c r="G68">
        <v>0.32</v>
      </c>
      <c r="H68">
        <v>6.78</v>
      </c>
      <c r="I68">
        <v>0</v>
      </c>
      <c r="J68">
        <v>0</v>
      </c>
      <c r="K68">
        <v>7.1</v>
      </c>
      <c r="L68" t="s">
        <v>61</v>
      </c>
      <c r="M68">
        <v>186</v>
      </c>
      <c r="N68">
        <v>26.2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106064826</v>
      </c>
      <c r="E69" t="s">
        <v>569</v>
      </c>
      <c r="F69" t="s">
        <v>72</v>
      </c>
      <c r="G69">
        <v>0.32</v>
      </c>
      <c r="H69">
        <v>6.78</v>
      </c>
      <c r="I69">
        <v>0</v>
      </c>
      <c r="J69">
        <v>0</v>
      </c>
      <c r="K69">
        <v>7.1</v>
      </c>
      <c r="L69" t="s">
        <v>61</v>
      </c>
      <c r="M69">
        <v>186</v>
      </c>
      <c r="N69">
        <v>26.2</v>
      </c>
      <c r="O69" t="s">
        <v>62</v>
      </c>
      <c r="P69" t="s">
        <v>67</v>
      </c>
      <c r="Q69">
        <v>1829</v>
      </c>
      <c r="R69">
        <v>257.61</v>
      </c>
    </row>
    <row r="70" spans="1:18" x14ac:dyDescent="0.35">
      <c r="A70" t="s">
        <v>56</v>
      </c>
      <c r="B70" t="s">
        <v>57</v>
      </c>
      <c r="C70" t="s">
        <v>70</v>
      </c>
      <c r="D70">
        <v>106064826</v>
      </c>
      <c r="E70" t="s">
        <v>569</v>
      </c>
      <c r="F70" t="s">
        <v>72</v>
      </c>
      <c r="G70">
        <v>0.32</v>
      </c>
      <c r="H70">
        <v>6.78</v>
      </c>
      <c r="I70">
        <v>0</v>
      </c>
      <c r="J70">
        <v>0</v>
      </c>
      <c r="K70">
        <v>7.1</v>
      </c>
      <c r="L70" t="s">
        <v>61</v>
      </c>
      <c r="M70">
        <v>186</v>
      </c>
      <c r="N70">
        <v>26.2</v>
      </c>
      <c r="O70" t="s">
        <v>68</v>
      </c>
      <c r="P70" t="s">
        <v>67</v>
      </c>
      <c r="Q70">
        <v>186</v>
      </c>
      <c r="R70">
        <v>26.2</v>
      </c>
    </row>
    <row r="71" spans="1:18" x14ac:dyDescent="0.35">
      <c r="A71" t="s">
        <v>56</v>
      </c>
      <c r="B71" t="s">
        <v>57</v>
      </c>
      <c r="C71" t="s">
        <v>70</v>
      </c>
      <c r="D71">
        <v>106064826</v>
      </c>
      <c r="E71" t="s">
        <v>569</v>
      </c>
      <c r="F71" t="s">
        <v>72</v>
      </c>
      <c r="G71">
        <v>0.32</v>
      </c>
      <c r="H71">
        <v>6.78</v>
      </c>
      <c r="I71">
        <v>0</v>
      </c>
      <c r="J71">
        <v>0</v>
      </c>
      <c r="K71">
        <v>7.1</v>
      </c>
      <c r="L71" t="s">
        <v>61</v>
      </c>
      <c r="M71">
        <v>186</v>
      </c>
      <c r="N71">
        <v>26.2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70</v>
      </c>
      <c r="D72">
        <v>106276317</v>
      </c>
      <c r="E72" t="s">
        <v>548</v>
      </c>
      <c r="F72" t="s">
        <v>72</v>
      </c>
      <c r="G72">
        <v>1.55</v>
      </c>
      <c r="H72">
        <v>8.5500000000000007</v>
      </c>
      <c r="I72">
        <v>0</v>
      </c>
      <c r="J72">
        <v>0</v>
      </c>
      <c r="K72">
        <v>10.1</v>
      </c>
      <c r="L72" t="s">
        <v>61</v>
      </c>
      <c r="M72">
        <v>403</v>
      </c>
      <c r="N72">
        <v>39.9</v>
      </c>
      <c r="O72" t="s">
        <v>62</v>
      </c>
      <c r="P72" t="s">
        <v>63</v>
      </c>
      <c r="Q72">
        <v>2745</v>
      </c>
      <c r="R72">
        <v>1766.54</v>
      </c>
    </row>
    <row r="73" spans="1:18" x14ac:dyDescent="0.35">
      <c r="A73" t="s">
        <v>56</v>
      </c>
      <c r="B73" t="s">
        <v>57</v>
      </c>
      <c r="C73" t="s">
        <v>70</v>
      </c>
      <c r="D73">
        <v>106276317</v>
      </c>
      <c r="E73" t="s">
        <v>548</v>
      </c>
      <c r="F73" t="s">
        <v>72</v>
      </c>
      <c r="G73">
        <v>1.55</v>
      </c>
      <c r="H73">
        <v>8.5500000000000007</v>
      </c>
      <c r="I73">
        <v>0</v>
      </c>
      <c r="J73">
        <v>0</v>
      </c>
      <c r="K73">
        <v>10.1</v>
      </c>
      <c r="L73" t="s">
        <v>61</v>
      </c>
      <c r="M73">
        <v>403</v>
      </c>
      <c r="N73">
        <v>39.9</v>
      </c>
      <c r="O73" t="s">
        <v>62</v>
      </c>
      <c r="P73" t="s">
        <v>64</v>
      </c>
      <c r="Q73">
        <v>2832</v>
      </c>
      <c r="R73">
        <v>331.39</v>
      </c>
    </row>
    <row r="74" spans="1:18" x14ac:dyDescent="0.35">
      <c r="A74" t="s">
        <v>56</v>
      </c>
      <c r="B74" t="s">
        <v>57</v>
      </c>
      <c r="C74" t="s">
        <v>70</v>
      </c>
      <c r="D74">
        <v>106276317</v>
      </c>
      <c r="E74" t="s">
        <v>548</v>
      </c>
      <c r="F74" t="s">
        <v>72</v>
      </c>
      <c r="G74">
        <v>1.55</v>
      </c>
      <c r="H74">
        <v>8.5500000000000007</v>
      </c>
      <c r="I74">
        <v>0</v>
      </c>
      <c r="J74">
        <v>0</v>
      </c>
      <c r="K74">
        <v>10.1</v>
      </c>
      <c r="L74" t="s">
        <v>61</v>
      </c>
      <c r="M74">
        <v>403</v>
      </c>
      <c r="N74">
        <v>39.9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70</v>
      </c>
      <c r="D75">
        <v>106276317</v>
      </c>
      <c r="E75" t="s">
        <v>548</v>
      </c>
      <c r="F75" t="s">
        <v>72</v>
      </c>
      <c r="G75">
        <v>1.55</v>
      </c>
      <c r="H75">
        <v>8.5500000000000007</v>
      </c>
      <c r="I75">
        <v>0</v>
      </c>
      <c r="J75">
        <v>0</v>
      </c>
      <c r="K75">
        <v>10.1</v>
      </c>
      <c r="L75" t="s">
        <v>61</v>
      </c>
      <c r="M75">
        <v>403</v>
      </c>
      <c r="N75">
        <v>39.9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70</v>
      </c>
      <c r="D76">
        <v>106276317</v>
      </c>
      <c r="E76" t="s">
        <v>548</v>
      </c>
      <c r="F76" t="s">
        <v>72</v>
      </c>
      <c r="G76">
        <v>1.55</v>
      </c>
      <c r="H76">
        <v>8.5500000000000007</v>
      </c>
      <c r="I76">
        <v>0</v>
      </c>
      <c r="J76">
        <v>0</v>
      </c>
      <c r="K76">
        <v>10.1</v>
      </c>
      <c r="L76" t="s">
        <v>61</v>
      </c>
      <c r="M76">
        <v>403</v>
      </c>
      <c r="N76">
        <v>39.9</v>
      </c>
      <c r="O76" t="s">
        <v>62</v>
      </c>
      <c r="P76" t="s">
        <v>67</v>
      </c>
      <c r="Q76">
        <v>5577</v>
      </c>
      <c r="R76">
        <v>552.17999999999995</v>
      </c>
    </row>
    <row r="77" spans="1:18" x14ac:dyDescent="0.35">
      <c r="A77" t="s">
        <v>56</v>
      </c>
      <c r="B77" t="s">
        <v>57</v>
      </c>
      <c r="C77" t="s">
        <v>70</v>
      </c>
      <c r="D77">
        <v>106276317</v>
      </c>
      <c r="E77" t="s">
        <v>548</v>
      </c>
      <c r="F77" t="s">
        <v>72</v>
      </c>
      <c r="G77">
        <v>1.55</v>
      </c>
      <c r="H77">
        <v>8.5500000000000007</v>
      </c>
      <c r="I77">
        <v>0</v>
      </c>
      <c r="J77">
        <v>0</v>
      </c>
      <c r="K77">
        <v>10.1</v>
      </c>
      <c r="L77" t="s">
        <v>61</v>
      </c>
      <c r="M77">
        <v>403</v>
      </c>
      <c r="N77">
        <v>39.9</v>
      </c>
      <c r="O77" t="s">
        <v>68</v>
      </c>
      <c r="P77" t="s">
        <v>67</v>
      </c>
      <c r="Q77">
        <v>403</v>
      </c>
      <c r="R77">
        <v>39.9</v>
      </c>
    </row>
    <row r="78" spans="1:18" x14ac:dyDescent="0.35">
      <c r="A78" t="s">
        <v>56</v>
      </c>
      <c r="B78" t="s">
        <v>57</v>
      </c>
      <c r="C78" t="s">
        <v>70</v>
      </c>
      <c r="D78">
        <v>106276317</v>
      </c>
      <c r="E78" t="s">
        <v>548</v>
      </c>
      <c r="F78" t="s">
        <v>72</v>
      </c>
      <c r="G78">
        <v>1.55</v>
      </c>
      <c r="H78">
        <v>8.5500000000000007</v>
      </c>
      <c r="I78">
        <v>0</v>
      </c>
      <c r="J78">
        <v>0</v>
      </c>
      <c r="K78">
        <v>10.1</v>
      </c>
      <c r="L78" t="s">
        <v>61</v>
      </c>
      <c r="M78">
        <v>403</v>
      </c>
      <c r="N78">
        <v>39.9</v>
      </c>
      <c r="O78" t="s">
        <v>69</v>
      </c>
      <c r="P78" t="s">
        <v>67</v>
      </c>
      <c r="Q78">
        <v>0</v>
      </c>
      <c r="R78">
        <v>0</v>
      </c>
    </row>
    <row r="79" spans="1:18" x14ac:dyDescent="0.35">
      <c r="A79" t="s">
        <v>56</v>
      </c>
      <c r="B79" t="s">
        <v>57</v>
      </c>
      <c r="C79" t="s">
        <v>70</v>
      </c>
      <c r="D79">
        <v>106406425</v>
      </c>
      <c r="E79" t="s">
        <v>561</v>
      </c>
      <c r="F79" t="s">
        <v>78</v>
      </c>
      <c r="G79">
        <v>0</v>
      </c>
      <c r="H79">
        <v>0.22</v>
      </c>
      <c r="I79">
        <v>0</v>
      </c>
      <c r="J79">
        <v>0</v>
      </c>
      <c r="K79">
        <v>0.22</v>
      </c>
      <c r="L79" t="s">
        <v>61</v>
      </c>
      <c r="M79">
        <v>6</v>
      </c>
      <c r="N79">
        <v>26.87</v>
      </c>
      <c r="O79" t="s">
        <v>62</v>
      </c>
      <c r="P79" t="s">
        <v>63</v>
      </c>
      <c r="Q79">
        <v>0</v>
      </c>
      <c r="R79">
        <v>0</v>
      </c>
    </row>
    <row r="80" spans="1:18" x14ac:dyDescent="0.35">
      <c r="A80" t="s">
        <v>56</v>
      </c>
      <c r="B80" t="s">
        <v>57</v>
      </c>
      <c r="C80" t="s">
        <v>70</v>
      </c>
      <c r="D80">
        <v>106406425</v>
      </c>
      <c r="E80" t="s">
        <v>561</v>
      </c>
      <c r="F80" t="s">
        <v>78</v>
      </c>
      <c r="G80">
        <v>0</v>
      </c>
      <c r="H80">
        <v>0.22</v>
      </c>
      <c r="I80">
        <v>0</v>
      </c>
      <c r="J80">
        <v>0</v>
      </c>
      <c r="K80">
        <v>0.22</v>
      </c>
      <c r="L80" t="s">
        <v>61</v>
      </c>
      <c r="M80">
        <v>6</v>
      </c>
      <c r="N80">
        <v>26.87</v>
      </c>
      <c r="O80" t="s">
        <v>62</v>
      </c>
      <c r="P80" t="s">
        <v>64</v>
      </c>
      <c r="Q80">
        <v>48</v>
      </c>
      <c r="R80">
        <v>214.93</v>
      </c>
    </row>
    <row r="81" spans="1:18" x14ac:dyDescent="0.35">
      <c r="A81" t="s">
        <v>56</v>
      </c>
      <c r="B81" t="s">
        <v>57</v>
      </c>
      <c r="C81" t="s">
        <v>70</v>
      </c>
      <c r="D81">
        <v>106406425</v>
      </c>
      <c r="E81" t="s">
        <v>561</v>
      </c>
      <c r="F81" t="s">
        <v>78</v>
      </c>
      <c r="G81">
        <v>0</v>
      </c>
      <c r="H81">
        <v>0.22</v>
      </c>
      <c r="I81">
        <v>0</v>
      </c>
      <c r="J81">
        <v>0</v>
      </c>
      <c r="K81">
        <v>0.22</v>
      </c>
      <c r="L81" t="s">
        <v>61</v>
      </c>
      <c r="M81">
        <v>6</v>
      </c>
      <c r="N81">
        <v>26.87</v>
      </c>
      <c r="O81" t="s">
        <v>62</v>
      </c>
      <c r="P81" t="s">
        <v>65</v>
      </c>
      <c r="Q81">
        <v>0</v>
      </c>
      <c r="R81">
        <v>0</v>
      </c>
    </row>
    <row r="82" spans="1:18" x14ac:dyDescent="0.35">
      <c r="A82" t="s">
        <v>56</v>
      </c>
      <c r="B82" t="s">
        <v>57</v>
      </c>
      <c r="C82" t="s">
        <v>70</v>
      </c>
      <c r="D82">
        <v>106406425</v>
      </c>
      <c r="E82" t="s">
        <v>561</v>
      </c>
      <c r="F82" t="s">
        <v>78</v>
      </c>
      <c r="G82">
        <v>0</v>
      </c>
      <c r="H82">
        <v>0.22</v>
      </c>
      <c r="I82">
        <v>0</v>
      </c>
      <c r="J82">
        <v>0</v>
      </c>
      <c r="K82">
        <v>0.22</v>
      </c>
      <c r="L82" t="s">
        <v>61</v>
      </c>
      <c r="M82">
        <v>6</v>
      </c>
      <c r="N82">
        <v>26.87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70</v>
      </c>
      <c r="D83">
        <v>106406425</v>
      </c>
      <c r="E83" t="s">
        <v>561</v>
      </c>
      <c r="F83" t="s">
        <v>78</v>
      </c>
      <c r="G83">
        <v>0</v>
      </c>
      <c r="H83">
        <v>0.22</v>
      </c>
      <c r="I83">
        <v>0</v>
      </c>
      <c r="J83">
        <v>0</v>
      </c>
      <c r="K83">
        <v>0.22</v>
      </c>
      <c r="L83" t="s">
        <v>61</v>
      </c>
      <c r="M83">
        <v>6</v>
      </c>
      <c r="N83">
        <v>26.87</v>
      </c>
      <c r="O83" t="s">
        <v>62</v>
      </c>
      <c r="P83" t="s">
        <v>67</v>
      </c>
      <c r="Q83">
        <v>48</v>
      </c>
      <c r="R83">
        <v>214.93</v>
      </c>
    </row>
    <row r="84" spans="1:18" x14ac:dyDescent="0.35">
      <c r="A84" t="s">
        <v>56</v>
      </c>
      <c r="B84" t="s">
        <v>57</v>
      </c>
      <c r="C84" t="s">
        <v>70</v>
      </c>
      <c r="D84">
        <v>106406425</v>
      </c>
      <c r="E84" t="s">
        <v>561</v>
      </c>
      <c r="F84" t="s">
        <v>78</v>
      </c>
      <c r="G84">
        <v>0</v>
      </c>
      <c r="H84">
        <v>0.22</v>
      </c>
      <c r="I84">
        <v>0</v>
      </c>
      <c r="J84">
        <v>0</v>
      </c>
      <c r="K84">
        <v>0.22</v>
      </c>
      <c r="L84" t="s">
        <v>61</v>
      </c>
      <c r="M84">
        <v>6</v>
      </c>
      <c r="N84">
        <v>26.87</v>
      </c>
      <c r="O84" t="s">
        <v>68</v>
      </c>
      <c r="P84" t="s">
        <v>67</v>
      </c>
      <c r="Q84">
        <v>6</v>
      </c>
      <c r="R84">
        <v>26.87</v>
      </c>
    </row>
    <row r="85" spans="1:18" x14ac:dyDescent="0.35">
      <c r="A85" t="s">
        <v>56</v>
      </c>
      <c r="B85" t="s">
        <v>57</v>
      </c>
      <c r="C85" t="s">
        <v>70</v>
      </c>
      <c r="D85">
        <v>106406425</v>
      </c>
      <c r="E85" t="s">
        <v>561</v>
      </c>
      <c r="F85" t="s">
        <v>78</v>
      </c>
      <c r="G85">
        <v>0</v>
      </c>
      <c r="H85">
        <v>0.22</v>
      </c>
      <c r="I85">
        <v>0</v>
      </c>
      <c r="J85">
        <v>0</v>
      </c>
      <c r="K85">
        <v>0.22</v>
      </c>
      <c r="L85" t="s">
        <v>61</v>
      </c>
      <c r="M85">
        <v>6</v>
      </c>
      <c r="N85">
        <v>26.87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70</v>
      </c>
      <c r="D86">
        <v>106488400</v>
      </c>
      <c r="E86" t="s">
        <v>549</v>
      </c>
      <c r="F86" t="s">
        <v>60</v>
      </c>
      <c r="G86">
        <v>0.73</v>
      </c>
      <c r="H86">
        <v>9.27</v>
      </c>
      <c r="I86">
        <v>0</v>
      </c>
      <c r="J86">
        <v>0</v>
      </c>
      <c r="K86">
        <v>10</v>
      </c>
      <c r="L86" t="s">
        <v>61</v>
      </c>
      <c r="M86">
        <v>419</v>
      </c>
      <c r="N86">
        <v>41.9</v>
      </c>
      <c r="O86" t="s">
        <v>62</v>
      </c>
      <c r="P86" t="s">
        <v>63</v>
      </c>
      <c r="Q86">
        <v>1382</v>
      </c>
      <c r="R86">
        <v>1898.21</v>
      </c>
    </row>
    <row r="87" spans="1:18" x14ac:dyDescent="0.35">
      <c r="A87" t="s">
        <v>56</v>
      </c>
      <c r="B87" t="s">
        <v>57</v>
      </c>
      <c r="C87" t="s">
        <v>70</v>
      </c>
      <c r="D87">
        <v>106488400</v>
      </c>
      <c r="E87" t="s">
        <v>549</v>
      </c>
      <c r="F87" t="s">
        <v>60</v>
      </c>
      <c r="G87">
        <v>0.73</v>
      </c>
      <c r="H87">
        <v>9.27</v>
      </c>
      <c r="I87">
        <v>0</v>
      </c>
      <c r="J87">
        <v>0</v>
      </c>
      <c r="K87">
        <v>10</v>
      </c>
      <c r="L87" t="s">
        <v>61</v>
      </c>
      <c r="M87">
        <v>419</v>
      </c>
      <c r="N87">
        <v>41.9</v>
      </c>
      <c r="O87" t="s">
        <v>62</v>
      </c>
      <c r="P87" t="s">
        <v>64</v>
      </c>
      <c r="Q87">
        <v>3301</v>
      </c>
      <c r="R87">
        <v>356.03</v>
      </c>
    </row>
    <row r="88" spans="1:18" x14ac:dyDescent="0.35">
      <c r="A88" t="s">
        <v>56</v>
      </c>
      <c r="B88" t="s">
        <v>57</v>
      </c>
      <c r="C88" t="s">
        <v>70</v>
      </c>
      <c r="D88">
        <v>106488400</v>
      </c>
      <c r="E88" t="s">
        <v>549</v>
      </c>
      <c r="F88" t="s">
        <v>60</v>
      </c>
      <c r="G88">
        <v>0.73</v>
      </c>
      <c r="H88">
        <v>9.27</v>
      </c>
      <c r="I88">
        <v>0</v>
      </c>
      <c r="J88">
        <v>0</v>
      </c>
      <c r="K88">
        <v>10</v>
      </c>
      <c r="L88" t="s">
        <v>61</v>
      </c>
      <c r="M88">
        <v>419</v>
      </c>
      <c r="N88">
        <v>41.9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70</v>
      </c>
      <c r="D89">
        <v>106488400</v>
      </c>
      <c r="E89" t="s">
        <v>549</v>
      </c>
      <c r="F89" t="s">
        <v>60</v>
      </c>
      <c r="G89">
        <v>0.73</v>
      </c>
      <c r="H89">
        <v>9.27</v>
      </c>
      <c r="I89">
        <v>0</v>
      </c>
      <c r="J89">
        <v>0</v>
      </c>
      <c r="K89">
        <v>10</v>
      </c>
      <c r="L89" t="s">
        <v>61</v>
      </c>
      <c r="M89">
        <v>419</v>
      </c>
      <c r="N89">
        <v>41.9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70</v>
      </c>
      <c r="D90">
        <v>106488400</v>
      </c>
      <c r="E90" t="s">
        <v>549</v>
      </c>
      <c r="F90" t="s">
        <v>60</v>
      </c>
      <c r="G90">
        <v>0.73</v>
      </c>
      <c r="H90">
        <v>9.27</v>
      </c>
      <c r="I90">
        <v>0</v>
      </c>
      <c r="J90">
        <v>0</v>
      </c>
      <c r="K90">
        <v>10</v>
      </c>
      <c r="L90" t="s">
        <v>61</v>
      </c>
      <c r="M90">
        <v>419</v>
      </c>
      <c r="N90">
        <v>41.9</v>
      </c>
      <c r="O90" t="s">
        <v>62</v>
      </c>
      <c r="P90" t="s">
        <v>67</v>
      </c>
      <c r="Q90">
        <v>4683</v>
      </c>
      <c r="R90">
        <v>468.3</v>
      </c>
    </row>
    <row r="91" spans="1:18" x14ac:dyDescent="0.35">
      <c r="A91" t="s">
        <v>56</v>
      </c>
      <c r="B91" t="s">
        <v>57</v>
      </c>
      <c r="C91" t="s">
        <v>70</v>
      </c>
      <c r="D91">
        <v>106488400</v>
      </c>
      <c r="E91" t="s">
        <v>549</v>
      </c>
      <c r="F91" t="s">
        <v>60</v>
      </c>
      <c r="G91">
        <v>0.73</v>
      </c>
      <c r="H91">
        <v>9.27</v>
      </c>
      <c r="I91">
        <v>0</v>
      </c>
      <c r="J91">
        <v>0</v>
      </c>
      <c r="K91">
        <v>10</v>
      </c>
      <c r="L91" t="s">
        <v>61</v>
      </c>
      <c r="M91">
        <v>419</v>
      </c>
      <c r="N91">
        <v>41.9</v>
      </c>
      <c r="O91" t="s">
        <v>68</v>
      </c>
      <c r="P91" t="s">
        <v>67</v>
      </c>
      <c r="Q91">
        <v>417</v>
      </c>
      <c r="R91">
        <v>41.7</v>
      </c>
    </row>
    <row r="92" spans="1:18" x14ac:dyDescent="0.35">
      <c r="A92" t="s">
        <v>56</v>
      </c>
      <c r="B92" t="s">
        <v>57</v>
      </c>
      <c r="C92" t="s">
        <v>70</v>
      </c>
      <c r="D92">
        <v>106488400</v>
      </c>
      <c r="E92" t="s">
        <v>549</v>
      </c>
      <c r="F92" t="s">
        <v>60</v>
      </c>
      <c r="G92">
        <v>0.73</v>
      </c>
      <c r="H92">
        <v>9.27</v>
      </c>
      <c r="I92">
        <v>0</v>
      </c>
      <c r="J92">
        <v>0</v>
      </c>
      <c r="K92">
        <v>10</v>
      </c>
      <c r="L92" t="s">
        <v>61</v>
      </c>
      <c r="M92">
        <v>419</v>
      </c>
      <c r="N92">
        <v>41.9</v>
      </c>
      <c r="O92" t="s">
        <v>69</v>
      </c>
      <c r="P92" t="s">
        <v>67</v>
      </c>
      <c r="Q92">
        <v>2</v>
      </c>
      <c r="R92">
        <v>0.2</v>
      </c>
    </row>
    <row r="93" spans="1:18" x14ac:dyDescent="0.35">
      <c r="A93" t="s">
        <v>56</v>
      </c>
      <c r="B93" t="s">
        <v>57</v>
      </c>
      <c r="C93" t="s">
        <v>70</v>
      </c>
      <c r="D93">
        <v>106534121</v>
      </c>
      <c r="E93" t="s">
        <v>562</v>
      </c>
      <c r="F93" t="s">
        <v>60</v>
      </c>
      <c r="G93">
        <v>2.2599999999999998</v>
      </c>
      <c r="H93">
        <v>7.76</v>
      </c>
      <c r="I93">
        <v>0</v>
      </c>
      <c r="J93">
        <v>0</v>
      </c>
      <c r="K93">
        <v>10.02</v>
      </c>
      <c r="L93" t="s">
        <v>61</v>
      </c>
      <c r="M93">
        <v>410</v>
      </c>
      <c r="N93">
        <v>40.93</v>
      </c>
      <c r="O93" t="s">
        <v>62</v>
      </c>
      <c r="P93" t="s">
        <v>63</v>
      </c>
      <c r="Q93">
        <v>3852</v>
      </c>
      <c r="R93">
        <v>1706.1</v>
      </c>
    </row>
    <row r="94" spans="1:18" x14ac:dyDescent="0.35">
      <c r="A94" t="s">
        <v>56</v>
      </c>
      <c r="B94" t="s">
        <v>57</v>
      </c>
      <c r="C94" t="s">
        <v>70</v>
      </c>
      <c r="D94">
        <v>106534121</v>
      </c>
      <c r="E94" t="s">
        <v>562</v>
      </c>
      <c r="F94" t="s">
        <v>60</v>
      </c>
      <c r="G94">
        <v>2.2599999999999998</v>
      </c>
      <c r="H94">
        <v>7.76</v>
      </c>
      <c r="I94">
        <v>0</v>
      </c>
      <c r="J94">
        <v>0</v>
      </c>
      <c r="K94">
        <v>10.02</v>
      </c>
      <c r="L94" t="s">
        <v>61</v>
      </c>
      <c r="M94">
        <v>410</v>
      </c>
      <c r="N94">
        <v>40.93</v>
      </c>
      <c r="O94" t="s">
        <v>62</v>
      </c>
      <c r="P94" t="s">
        <v>64</v>
      </c>
      <c r="Q94">
        <v>2483</v>
      </c>
      <c r="R94">
        <v>320.02999999999997</v>
      </c>
    </row>
    <row r="95" spans="1:18" x14ac:dyDescent="0.35">
      <c r="A95" t="s">
        <v>56</v>
      </c>
      <c r="B95" t="s">
        <v>57</v>
      </c>
      <c r="C95" t="s">
        <v>70</v>
      </c>
      <c r="D95">
        <v>106534121</v>
      </c>
      <c r="E95" t="s">
        <v>562</v>
      </c>
      <c r="F95" t="s">
        <v>60</v>
      </c>
      <c r="G95">
        <v>2.2599999999999998</v>
      </c>
      <c r="H95">
        <v>7.76</v>
      </c>
      <c r="I95">
        <v>0</v>
      </c>
      <c r="J95">
        <v>0</v>
      </c>
      <c r="K95">
        <v>10.02</v>
      </c>
      <c r="L95" t="s">
        <v>61</v>
      </c>
      <c r="M95">
        <v>410</v>
      </c>
      <c r="N95">
        <v>40.93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106534121</v>
      </c>
      <c r="E96" t="s">
        <v>562</v>
      </c>
      <c r="F96" t="s">
        <v>60</v>
      </c>
      <c r="G96">
        <v>2.2599999999999998</v>
      </c>
      <c r="H96">
        <v>7.76</v>
      </c>
      <c r="I96">
        <v>0</v>
      </c>
      <c r="J96">
        <v>0</v>
      </c>
      <c r="K96">
        <v>10.02</v>
      </c>
      <c r="L96" t="s">
        <v>61</v>
      </c>
      <c r="M96">
        <v>410</v>
      </c>
      <c r="N96">
        <v>40.93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106534121</v>
      </c>
      <c r="E97" t="s">
        <v>562</v>
      </c>
      <c r="F97" t="s">
        <v>60</v>
      </c>
      <c r="G97">
        <v>2.2599999999999998</v>
      </c>
      <c r="H97">
        <v>7.76</v>
      </c>
      <c r="I97">
        <v>0</v>
      </c>
      <c r="J97">
        <v>0</v>
      </c>
      <c r="K97">
        <v>10.02</v>
      </c>
      <c r="L97" t="s">
        <v>61</v>
      </c>
      <c r="M97">
        <v>410</v>
      </c>
      <c r="N97">
        <v>40.93</v>
      </c>
      <c r="O97" t="s">
        <v>62</v>
      </c>
      <c r="P97" t="s">
        <v>67</v>
      </c>
      <c r="Q97">
        <v>6335</v>
      </c>
      <c r="R97">
        <v>632.45000000000005</v>
      </c>
    </row>
    <row r="98" spans="1:18" x14ac:dyDescent="0.35">
      <c r="A98" t="s">
        <v>56</v>
      </c>
      <c r="B98" t="s">
        <v>57</v>
      </c>
      <c r="C98" t="s">
        <v>70</v>
      </c>
      <c r="D98">
        <v>106534121</v>
      </c>
      <c r="E98" t="s">
        <v>562</v>
      </c>
      <c r="F98" t="s">
        <v>60</v>
      </c>
      <c r="G98">
        <v>2.2599999999999998</v>
      </c>
      <c r="H98">
        <v>7.76</v>
      </c>
      <c r="I98">
        <v>0</v>
      </c>
      <c r="J98">
        <v>0</v>
      </c>
      <c r="K98">
        <v>10.02</v>
      </c>
      <c r="L98" t="s">
        <v>61</v>
      </c>
      <c r="M98">
        <v>410</v>
      </c>
      <c r="N98">
        <v>40.93</v>
      </c>
      <c r="O98" t="s">
        <v>68</v>
      </c>
      <c r="P98" t="s">
        <v>67</v>
      </c>
      <c r="Q98">
        <v>407</v>
      </c>
      <c r="R98">
        <v>40.630000000000003</v>
      </c>
    </row>
    <row r="99" spans="1:18" x14ac:dyDescent="0.35">
      <c r="A99" t="s">
        <v>56</v>
      </c>
      <c r="B99" t="s">
        <v>57</v>
      </c>
      <c r="C99" t="s">
        <v>70</v>
      </c>
      <c r="D99">
        <v>106534121</v>
      </c>
      <c r="E99" t="s">
        <v>562</v>
      </c>
      <c r="F99" t="s">
        <v>60</v>
      </c>
      <c r="G99">
        <v>2.2599999999999998</v>
      </c>
      <c r="H99">
        <v>7.76</v>
      </c>
      <c r="I99">
        <v>0</v>
      </c>
      <c r="J99">
        <v>0</v>
      </c>
      <c r="K99">
        <v>10.02</v>
      </c>
      <c r="L99" t="s">
        <v>61</v>
      </c>
      <c r="M99">
        <v>410</v>
      </c>
      <c r="N99">
        <v>40.93</v>
      </c>
      <c r="O99" t="s">
        <v>69</v>
      </c>
      <c r="P99" t="s">
        <v>67</v>
      </c>
      <c r="Q99">
        <v>3</v>
      </c>
      <c r="R99">
        <v>0.3</v>
      </c>
    </row>
    <row r="100" spans="1:18" x14ac:dyDescent="0.35">
      <c r="A100" t="s">
        <v>56</v>
      </c>
      <c r="B100" t="s">
        <v>57</v>
      </c>
      <c r="C100" t="s">
        <v>70</v>
      </c>
      <c r="D100">
        <v>106534472</v>
      </c>
      <c r="E100" t="s">
        <v>81</v>
      </c>
      <c r="F100" t="s">
        <v>60</v>
      </c>
      <c r="G100">
        <v>0.39</v>
      </c>
      <c r="H100">
        <v>7.57</v>
      </c>
      <c r="I100">
        <v>0.16</v>
      </c>
      <c r="J100">
        <v>0</v>
      </c>
      <c r="K100">
        <v>8.1199999999999992</v>
      </c>
      <c r="L100" t="s">
        <v>61</v>
      </c>
      <c r="M100">
        <v>294</v>
      </c>
      <c r="N100">
        <v>36.22</v>
      </c>
      <c r="O100" t="s">
        <v>62</v>
      </c>
      <c r="P100" t="s">
        <v>63</v>
      </c>
      <c r="Q100">
        <v>592</v>
      </c>
      <c r="R100">
        <v>1527.74</v>
      </c>
    </row>
    <row r="101" spans="1:18" x14ac:dyDescent="0.35">
      <c r="A101" t="s">
        <v>56</v>
      </c>
      <c r="B101" t="s">
        <v>57</v>
      </c>
      <c r="C101" t="s">
        <v>70</v>
      </c>
      <c r="D101">
        <v>106534472</v>
      </c>
      <c r="E101" t="s">
        <v>81</v>
      </c>
      <c r="F101" t="s">
        <v>60</v>
      </c>
      <c r="G101">
        <v>0.39</v>
      </c>
      <c r="H101">
        <v>7.57</v>
      </c>
      <c r="I101">
        <v>0.16</v>
      </c>
      <c r="J101">
        <v>0</v>
      </c>
      <c r="K101">
        <v>8.1199999999999992</v>
      </c>
      <c r="L101" t="s">
        <v>61</v>
      </c>
      <c r="M101">
        <v>294</v>
      </c>
      <c r="N101">
        <v>36.22</v>
      </c>
      <c r="O101" t="s">
        <v>62</v>
      </c>
      <c r="P101" t="s">
        <v>64</v>
      </c>
      <c r="Q101">
        <v>2170</v>
      </c>
      <c r="R101">
        <v>286.55</v>
      </c>
    </row>
    <row r="102" spans="1:18" x14ac:dyDescent="0.35">
      <c r="A102" t="s">
        <v>56</v>
      </c>
      <c r="B102" t="s">
        <v>57</v>
      </c>
      <c r="C102" t="s">
        <v>70</v>
      </c>
      <c r="D102">
        <v>106534472</v>
      </c>
      <c r="E102" t="s">
        <v>81</v>
      </c>
      <c r="F102" t="s">
        <v>60</v>
      </c>
      <c r="G102">
        <v>0.39</v>
      </c>
      <c r="H102">
        <v>7.57</v>
      </c>
      <c r="I102">
        <v>0.16</v>
      </c>
      <c r="J102">
        <v>0</v>
      </c>
      <c r="K102">
        <v>8.1199999999999992</v>
      </c>
      <c r="L102" t="s">
        <v>61</v>
      </c>
      <c r="M102">
        <v>294</v>
      </c>
      <c r="N102">
        <v>36.22</v>
      </c>
      <c r="O102" t="s">
        <v>62</v>
      </c>
      <c r="P102" t="s">
        <v>65</v>
      </c>
      <c r="Q102">
        <v>27</v>
      </c>
      <c r="R102">
        <v>172.95</v>
      </c>
    </row>
    <row r="103" spans="1:18" x14ac:dyDescent="0.35">
      <c r="A103" t="s">
        <v>56</v>
      </c>
      <c r="B103" t="s">
        <v>57</v>
      </c>
      <c r="C103" t="s">
        <v>70</v>
      </c>
      <c r="D103">
        <v>106534472</v>
      </c>
      <c r="E103" t="s">
        <v>81</v>
      </c>
      <c r="F103" t="s">
        <v>60</v>
      </c>
      <c r="G103">
        <v>0.39</v>
      </c>
      <c r="H103">
        <v>7.57</v>
      </c>
      <c r="I103">
        <v>0.16</v>
      </c>
      <c r="J103">
        <v>0</v>
      </c>
      <c r="K103">
        <v>8.1199999999999992</v>
      </c>
      <c r="L103" t="s">
        <v>61</v>
      </c>
      <c r="M103">
        <v>294</v>
      </c>
      <c r="N103">
        <v>36.22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70</v>
      </c>
      <c r="D104">
        <v>106534472</v>
      </c>
      <c r="E104" t="s">
        <v>81</v>
      </c>
      <c r="F104" t="s">
        <v>60</v>
      </c>
      <c r="G104">
        <v>0.39</v>
      </c>
      <c r="H104">
        <v>7.57</v>
      </c>
      <c r="I104">
        <v>0.16</v>
      </c>
      <c r="J104">
        <v>0</v>
      </c>
      <c r="K104">
        <v>8.1199999999999992</v>
      </c>
      <c r="L104" t="s">
        <v>61</v>
      </c>
      <c r="M104">
        <v>294</v>
      </c>
      <c r="N104">
        <v>36.22</v>
      </c>
      <c r="O104" t="s">
        <v>62</v>
      </c>
      <c r="P104" t="s">
        <v>67</v>
      </c>
      <c r="Q104">
        <v>2789</v>
      </c>
      <c r="R104">
        <v>343.61</v>
      </c>
    </row>
    <row r="105" spans="1:18" x14ac:dyDescent="0.35">
      <c r="A105" t="s">
        <v>56</v>
      </c>
      <c r="B105" t="s">
        <v>57</v>
      </c>
      <c r="C105" t="s">
        <v>70</v>
      </c>
      <c r="D105">
        <v>106534472</v>
      </c>
      <c r="E105" t="s">
        <v>81</v>
      </c>
      <c r="F105" t="s">
        <v>60</v>
      </c>
      <c r="G105">
        <v>0.39</v>
      </c>
      <c r="H105">
        <v>7.57</v>
      </c>
      <c r="I105">
        <v>0.16</v>
      </c>
      <c r="J105">
        <v>0</v>
      </c>
      <c r="K105">
        <v>8.1199999999999992</v>
      </c>
      <c r="L105" t="s">
        <v>61</v>
      </c>
      <c r="M105">
        <v>294</v>
      </c>
      <c r="N105">
        <v>36.22</v>
      </c>
      <c r="O105" t="s">
        <v>68</v>
      </c>
      <c r="P105" t="s">
        <v>67</v>
      </c>
      <c r="Q105">
        <v>294</v>
      </c>
      <c r="R105">
        <v>36.22</v>
      </c>
    </row>
    <row r="106" spans="1:18" x14ac:dyDescent="0.35">
      <c r="A106" t="s">
        <v>56</v>
      </c>
      <c r="B106" t="s">
        <v>57</v>
      </c>
      <c r="C106" t="s">
        <v>70</v>
      </c>
      <c r="D106">
        <v>106534472</v>
      </c>
      <c r="E106" t="s">
        <v>81</v>
      </c>
      <c r="F106" t="s">
        <v>60</v>
      </c>
      <c r="G106">
        <v>0.39</v>
      </c>
      <c r="H106">
        <v>7.57</v>
      </c>
      <c r="I106">
        <v>0.16</v>
      </c>
      <c r="J106">
        <v>0</v>
      </c>
      <c r="K106">
        <v>8.1199999999999992</v>
      </c>
      <c r="L106" t="s">
        <v>61</v>
      </c>
      <c r="M106">
        <v>294</v>
      </c>
      <c r="N106">
        <v>36.22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106576095</v>
      </c>
      <c r="E107" t="s">
        <v>563</v>
      </c>
      <c r="F107" t="s">
        <v>72</v>
      </c>
      <c r="G107">
        <v>0</v>
      </c>
      <c r="H107">
        <v>5.42</v>
      </c>
      <c r="I107">
        <v>0</v>
      </c>
      <c r="J107">
        <v>0</v>
      </c>
      <c r="K107">
        <v>5.42</v>
      </c>
      <c r="L107" t="s">
        <v>61</v>
      </c>
      <c r="M107">
        <v>217</v>
      </c>
      <c r="N107">
        <v>40.07</v>
      </c>
      <c r="O107" t="s">
        <v>62</v>
      </c>
      <c r="P107" t="s">
        <v>63</v>
      </c>
      <c r="Q107">
        <v>0</v>
      </c>
      <c r="R107">
        <v>0</v>
      </c>
    </row>
    <row r="108" spans="1:18" x14ac:dyDescent="0.35">
      <c r="A108" t="s">
        <v>56</v>
      </c>
      <c r="B108" t="s">
        <v>57</v>
      </c>
      <c r="C108" t="s">
        <v>70</v>
      </c>
      <c r="D108">
        <v>106576095</v>
      </c>
      <c r="E108" t="s">
        <v>563</v>
      </c>
      <c r="F108" t="s">
        <v>72</v>
      </c>
      <c r="G108">
        <v>0</v>
      </c>
      <c r="H108">
        <v>5.42</v>
      </c>
      <c r="I108">
        <v>0</v>
      </c>
      <c r="J108">
        <v>0</v>
      </c>
      <c r="K108">
        <v>5.42</v>
      </c>
      <c r="L108" t="s">
        <v>61</v>
      </c>
      <c r="M108">
        <v>217</v>
      </c>
      <c r="N108">
        <v>40.07</v>
      </c>
      <c r="O108" t="s">
        <v>62</v>
      </c>
      <c r="P108" t="s">
        <v>64</v>
      </c>
      <c r="Q108">
        <v>1155</v>
      </c>
      <c r="R108">
        <v>213.26</v>
      </c>
    </row>
    <row r="109" spans="1:18" x14ac:dyDescent="0.35">
      <c r="A109" t="s">
        <v>56</v>
      </c>
      <c r="B109" t="s">
        <v>57</v>
      </c>
      <c r="C109" t="s">
        <v>70</v>
      </c>
      <c r="D109">
        <v>106576095</v>
      </c>
      <c r="E109" t="s">
        <v>563</v>
      </c>
      <c r="F109" t="s">
        <v>72</v>
      </c>
      <c r="G109">
        <v>0</v>
      </c>
      <c r="H109">
        <v>5.42</v>
      </c>
      <c r="I109">
        <v>0</v>
      </c>
      <c r="J109">
        <v>0</v>
      </c>
      <c r="K109">
        <v>5.42</v>
      </c>
      <c r="L109" t="s">
        <v>61</v>
      </c>
      <c r="M109">
        <v>217</v>
      </c>
      <c r="N109">
        <v>40.07</v>
      </c>
      <c r="O109" t="s">
        <v>62</v>
      </c>
      <c r="P109" t="s">
        <v>65</v>
      </c>
      <c r="Q109">
        <v>0</v>
      </c>
      <c r="R109">
        <v>0</v>
      </c>
    </row>
    <row r="110" spans="1:18" x14ac:dyDescent="0.35">
      <c r="A110" t="s">
        <v>56</v>
      </c>
      <c r="B110" t="s">
        <v>57</v>
      </c>
      <c r="C110" t="s">
        <v>70</v>
      </c>
      <c r="D110">
        <v>106576095</v>
      </c>
      <c r="E110" t="s">
        <v>563</v>
      </c>
      <c r="F110" t="s">
        <v>72</v>
      </c>
      <c r="G110">
        <v>0</v>
      </c>
      <c r="H110">
        <v>5.42</v>
      </c>
      <c r="I110">
        <v>0</v>
      </c>
      <c r="J110">
        <v>0</v>
      </c>
      <c r="K110">
        <v>5.42</v>
      </c>
      <c r="L110" t="s">
        <v>61</v>
      </c>
      <c r="M110">
        <v>217</v>
      </c>
      <c r="N110">
        <v>40.07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106576095</v>
      </c>
      <c r="E111" t="s">
        <v>563</v>
      </c>
      <c r="F111" t="s">
        <v>72</v>
      </c>
      <c r="G111">
        <v>0</v>
      </c>
      <c r="H111">
        <v>5.42</v>
      </c>
      <c r="I111">
        <v>0</v>
      </c>
      <c r="J111">
        <v>0</v>
      </c>
      <c r="K111">
        <v>5.42</v>
      </c>
      <c r="L111" t="s">
        <v>61</v>
      </c>
      <c r="M111">
        <v>217</v>
      </c>
      <c r="N111">
        <v>40.07</v>
      </c>
      <c r="O111" t="s">
        <v>62</v>
      </c>
      <c r="P111" t="s">
        <v>67</v>
      </c>
      <c r="Q111">
        <v>1155</v>
      </c>
      <c r="R111">
        <v>213.26</v>
      </c>
    </row>
    <row r="112" spans="1:18" x14ac:dyDescent="0.35">
      <c r="A112" t="s">
        <v>56</v>
      </c>
      <c r="B112" t="s">
        <v>57</v>
      </c>
      <c r="C112" t="s">
        <v>70</v>
      </c>
      <c r="D112">
        <v>106576095</v>
      </c>
      <c r="E112" t="s">
        <v>563</v>
      </c>
      <c r="F112" t="s">
        <v>72</v>
      </c>
      <c r="G112">
        <v>0</v>
      </c>
      <c r="H112">
        <v>5.42</v>
      </c>
      <c r="I112">
        <v>0</v>
      </c>
      <c r="J112">
        <v>0</v>
      </c>
      <c r="K112">
        <v>5.42</v>
      </c>
      <c r="L112" t="s">
        <v>61</v>
      </c>
      <c r="M112">
        <v>217</v>
      </c>
      <c r="N112">
        <v>40.07</v>
      </c>
      <c r="O112" t="s">
        <v>68</v>
      </c>
      <c r="P112" t="s">
        <v>67</v>
      </c>
      <c r="Q112">
        <v>217</v>
      </c>
      <c r="R112">
        <v>40.07</v>
      </c>
    </row>
    <row r="113" spans="1:18" x14ac:dyDescent="0.35">
      <c r="A113" t="s">
        <v>56</v>
      </c>
      <c r="B113" t="s">
        <v>57</v>
      </c>
      <c r="C113" t="s">
        <v>70</v>
      </c>
      <c r="D113">
        <v>106576095</v>
      </c>
      <c r="E113" t="s">
        <v>563</v>
      </c>
      <c r="F113" t="s">
        <v>72</v>
      </c>
      <c r="G113">
        <v>0</v>
      </c>
      <c r="H113">
        <v>5.42</v>
      </c>
      <c r="I113">
        <v>0</v>
      </c>
      <c r="J113">
        <v>0</v>
      </c>
      <c r="K113">
        <v>5.42</v>
      </c>
      <c r="L113" t="s">
        <v>61</v>
      </c>
      <c r="M113">
        <v>217</v>
      </c>
      <c r="N113">
        <v>40.07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106616226</v>
      </c>
      <c r="E114" t="s">
        <v>551</v>
      </c>
      <c r="F114" t="s">
        <v>72</v>
      </c>
      <c r="G114">
        <v>0.25</v>
      </c>
      <c r="H114">
        <v>8</v>
      </c>
      <c r="I114">
        <v>0</v>
      </c>
      <c r="J114">
        <v>0</v>
      </c>
      <c r="K114">
        <v>8.25</v>
      </c>
      <c r="L114" t="s">
        <v>61</v>
      </c>
      <c r="M114">
        <v>471</v>
      </c>
      <c r="N114">
        <v>57.09</v>
      </c>
      <c r="O114" t="s">
        <v>62</v>
      </c>
      <c r="P114" t="s">
        <v>63</v>
      </c>
      <c r="Q114">
        <v>294</v>
      </c>
      <c r="R114">
        <v>1190.55</v>
      </c>
    </row>
    <row r="115" spans="1:18" x14ac:dyDescent="0.35">
      <c r="A115" t="s">
        <v>56</v>
      </c>
      <c r="B115" t="s">
        <v>57</v>
      </c>
      <c r="C115" t="s">
        <v>70</v>
      </c>
      <c r="D115">
        <v>106616226</v>
      </c>
      <c r="E115" t="s">
        <v>551</v>
      </c>
      <c r="F115" t="s">
        <v>72</v>
      </c>
      <c r="G115">
        <v>0.25</v>
      </c>
      <c r="H115">
        <v>8</v>
      </c>
      <c r="I115">
        <v>0</v>
      </c>
      <c r="J115">
        <v>0</v>
      </c>
      <c r="K115">
        <v>8.25</v>
      </c>
      <c r="L115" t="s">
        <v>61</v>
      </c>
      <c r="M115">
        <v>471</v>
      </c>
      <c r="N115">
        <v>57.09</v>
      </c>
      <c r="O115" t="s">
        <v>62</v>
      </c>
      <c r="P115" t="s">
        <v>64</v>
      </c>
      <c r="Q115">
        <v>1786</v>
      </c>
      <c r="R115">
        <v>223.17</v>
      </c>
    </row>
    <row r="116" spans="1:18" x14ac:dyDescent="0.35">
      <c r="A116" t="s">
        <v>56</v>
      </c>
      <c r="B116" t="s">
        <v>57</v>
      </c>
      <c r="C116" t="s">
        <v>70</v>
      </c>
      <c r="D116">
        <v>106616226</v>
      </c>
      <c r="E116" t="s">
        <v>551</v>
      </c>
      <c r="F116" t="s">
        <v>72</v>
      </c>
      <c r="G116">
        <v>0.25</v>
      </c>
      <c r="H116">
        <v>8</v>
      </c>
      <c r="I116">
        <v>0</v>
      </c>
      <c r="J116">
        <v>0</v>
      </c>
      <c r="K116">
        <v>8.25</v>
      </c>
      <c r="L116" t="s">
        <v>61</v>
      </c>
      <c r="M116">
        <v>471</v>
      </c>
      <c r="N116">
        <v>57.09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70</v>
      </c>
      <c r="D117">
        <v>106616226</v>
      </c>
      <c r="E117" t="s">
        <v>551</v>
      </c>
      <c r="F117" t="s">
        <v>72</v>
      </c>
      <c r="G117">
        <v>0.25</v>
      </c>
      <c r="H117">
        <v>8</v>
      </c>
      <c r="I117">
        <v>0</v>
      </c>
      <c r="J117">
        <v>0</v>
      </c>
      <c r="K117">
        <v>8.25</v>
      </c>
      <c r="L117" t="s">
        <v>61</v>
      </c>
      <c r="M117">
        <v>471</v>
      </c>
      <c r="N117">
        <v>57.09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70</v>
      </c>
      <c r="D118">
        <v>106616226</v>
      </c>
      <c r="E118" t="s">
        <v>551</v>
      </c>
      <c r="F118" t="s">
        <v>72</v>
      </c>
      <c r="G118">
        <v>0.25</v>
      </c>
      <c r="H118">
        <v>8</v>
      </c>
      <c r="I118">
        <v>0</v>
      </c>
      <c r="J118">
        <v>0</v>
      </c>
      <c r="K118">
        <v>8.25</v>
      </c>
      <c r="L118" t="s">
        <v>61</v>
      </c>
      <c r="M118">
        <v>471</v>
      </c>
      <c r="N118">
        <v>57.09</v>
      </c>
      <c r="O118" t="s">
        <v>62</v>
      </c>
      <c r="P118" t="s">
        <v>67</v>
      </c>
      <c r="Q118">
        <v>2080</v>
      </c>
      <c r="R118">
        <v>252.12</v>
      </c>
    </row>
    <row r="119" spans="1:18" x14ac:dyDescent="0.35">
      <c r="A119" t="s">
        <v>56</v>
      </c>
      <c r="B119" t="s">
        <v>57</v>
      </c>
      <c r="C119" t="s">
        <v>70</v>
      </c>
      <c r="D119">
        <v>106616226</v>
      </c>
      <c r="E119" t="s">
        <v>551</v>
      </c>
      <c r="F119" t="s">
        <v>72</v>
      </c>
      <c r="G119">
        <v>0.25</v>
      </c>
      <c r="H119">
        <v>8</v>
      </c>
      <c r="I119">
        <v>0</v>
      </c>
      <c r="J119">
        <v>0</v>
      </c>
      <c r="K119">
        <v>8.25</v>
      </c>
      <c r="L119" t="s">
        <v>61</v>
      </c>
      <c r="M119">
        <v>471</v>
      </c>
      <c r="N119">
        <v>57.09</v>
      </c>
      <c r="O119" t="s">
        <v>68</v>
      </c>
      <c r="P119" t="s">
        <v>67</v>
      </c>
      <c r="Q119">
        <v>471</v>
      </c>
      <c r="R119">
        <v>57.09</v>
      </c>
    </row>
    <row r="120" spans="1:18" x14ac:dyDescent="0.35">
      <c r="A120" t="s">
        <v>56</v>
      </c>
      <c r="B120" t="s">
        <v>57</v>
      </c>
      <c r="C120" t="s">
        <v>70</v>
      </c>
      <c r="D120">
        <v>106616226</v>
      </c>
      <c r="E120" t="s">
        <v>551</v>
      </c>
      <c r="F120" t="s">
        <v>72</v>
      </c>
      <c r="G120">
        <v>0.25</v>
      </c>
      <c r="H120">
        <v>8</v>
      </c>
      <c r="I120">
        <v>0</v>
      </c>
      <c r="J120">
        <v>0</v>
      </c>
      <c r="K120">
        <v>8.25</v>
      </c>
      <c r="L120" t="s">
        <v>61</v>
      </c>
      <c r="M120">
        <v>471</v>
      </c>
      <c r="N120">
        <v>57.09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58</v>
      </c>
      <c r="D121">
        <v>107065561</v>
      </c>
      <c r="E121" t="s">
        <v>528</v>
      </c>
      <c r="F121" t="s">
        <v>78</v>
      </c>
      <c r="G121">
        <v>0.95</v>
      </c>
      <c r="H121">
        <v>6.36</v>
      </c>
      <c r="I121">
        <v>0.01</v>
      </c>
      <c r="J121">
        <v>0</v>
      </c>
      <c r="K121">
        <v>7.32</v>
      </c>
      <c r="L121" t="s">
        <v>61</v>
      </c>
      <c r="M121">
        <v>242</v>
      </c>
      <c r="N121">
        <v>33.04</v>
      </c>
      <c r="O121" t="s">
        <v>62</v>
      </c>
      <c r="P121" t="s">
        <v>63</v>
      </c>
      <c r="Q121">
        <v>1381</v>
      </c>
      <c r="R121">
        <v>1453.26</v>
      </c>
    </row>
    <row r="122" spans="1:18" x14ac:dyDescent="0.35">
      <c r="A122" t="s">
        <v>56</v>
      </c>
      <c r="B122" t="s">
        <v>57</v>
      </c>
      <c r="C122" t="s">
        <v>58</v>
      </c>
      <c r="D122">
        <v>107065561</v>
      </c>
      <c r="E122" t="s">
        <v>528</v>
      </c>
      <c r="F122" t="s">
        <v>78</v>
      </c>
      <c r="G122">
        <v>0.95</v>
      </c>
      <c r="H122">
        <v>6.36</v>
      </c>
      <c r="I122">
        <v>0.01</v>
      </c>
      <c r="J122">
        <v>0</v>
      </c>
      <c r="K122">
        <v>7.32</v>
      </c>
      <c r="L122" t="s">
        <v>61</v>
      </c>
      <c r="M122">
        <v>242</v>
      </c>
      <c r="N122">
        <v>33.04</v>
      </c>
      <c r="O122" t="s">
        <v>62</v>
      </c>
      <c r="P122" t="s">
        <v>64</v>
      </c>
      <c r="Q122">
        <v>1734</v>
      </c>
      <c r="R122">
        <v>272.58999999999997</v>
      </c>
    </row>
    <row r="123" spans="1:18" x14ac:dyDescent="0.35">
      <c r="A123" t="s">
        <v>56</v>
      </c>
      <c r="B123" t="s">
        <v>57</v>
      </c>
      <c r="C123" t="s">
        <v>58</v>
      </c>
      <c r="D123">
        <v>107065561</v>
      </c>
      <c r="E123" t="s">
        <v>528</v>
      </c>
      <c r="F123" t="s">
        <v>78</v>
      </c>
      <c r="G123">
        <v>0.95</v>
      </c>
      <c r="H123">
        <v>6.36</v>
      </c>
      <c r="I123">
        <v>0.01</v>
      </c>
      <c r="J123">
        <v>0</v>
      </c>
      <c r="K123">
        <v>7.32</v>
      </c>
      <c r="L123" t="s">
        <v>61</v>
      </c>
      <c r="M123">
        <v>242</v>
      </c>
      <c r="N123">
        <v>33.04</v>
      </c>
      <c r="O123" t="s">
        <v>62</v>
      </c>
      <c r="P123" t="s">
        <v>65</v>
      </c>
      <c r="Q123">
        <v>2</v>
      </c>
      <c r="R123">
        <v>167.44</v>
      </c>
    </row>
    <row r="124" spans="1:18" x14ac:dyDescent="0.35">
      <c r="A124" t="s">
        <v>56</v>
      </c>
      <c r="B124" t="s">
        <v>57</v>
      </c>
      <c r="C124" t="s">
        <v>58</v>
      </c>
      <c r="D124">
        <v>107065561</v>
      </c>
      <c r="E124" t="s">
        <v>528</v>
      </c>
      <c r="F124" t="s">
        <v>78</v>
      </c>
      <c r="G124">
        <v>0.95</v>
      </c>
      <c r="H124">
        <v>6.36</v>
      </c>
      <c r="I124">
        <v>0.01</v>
      </c>
      <c r="J124">
        <v>0</v>
      </c>
      <c r="K124">
        <v>7.32</v>
      </c>
      <c r="L124" t="s">
        <v>61</v>
      </c>
      <c r="M124">
        <v>242</v>
      </c>
      <c r="N124">
        <v>33.04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58</v>
      </c>
      <c r="D125">
        <v>107065561</v>
      </c>
      <c r="E125" t="s">
        <v>528</v>
      </c>
      <c r="F125" t="s">
        <v>78</v>
      </c>
      <c r="G125">
        <v>0.95</v>
      </c>
      <c r="H125">
        <v>6.36</v>
      </c>
      <c r="I125">
        <v>0.01</v>
      </c>
      <c r="J125">
        <v>0</v>
      </c>
      <c r="K125">
        <v>7.32</v>
      </c>
      <c r="L125" t="s">
        <v>61</v>
      </c>
      <c r="M125">
        <v>242</v>
      </c>
      <c r="N125">
        <v>33.04</v>
      </c>
      <c r="O125" t="s">
        <v>62</v>
      </c>
      <c r="P125" t="s">
        <v>67</v>
      </c>
      <c r="Q125">
        <v>3117</v>
      </c>
      <c r="R125">
        <v>425.59</v>
      </c>
    </row>
    <row r="126" spans="1:18" x14ac:dyDescent="0.35">
      <c r="A126" t="s">
        <v>56</v>
      </c>
      <c r="B126" t="s">
        <v>57</v>
      </c>
      <c r="C126" t="s">
        <v>58</v>
      </c>
      <c r="D126">
        <v>107065561</v>
      </c>
      <c r="E126" t="s">
        <v>528</v>
      </c>
      <c r="F126" t="s">
        <v>78</v>
      </c>
      <c r="G126">
        <v>0.95</v>
      </c>
      <c r="H126">
        <v>6.36</v>
      </c>
      <c r="I126">
        <v>0.01</v>
      </c>
      <c r="J126">
        <v>0</v>
      </c>
      <c r="K126">
        <v>7.32</v>
      </c>
      <c r="L126" t="s">
        <v>61</v>
      </c>
      <c r="M126">
        <v>242</v>
      </c>
      <c r="N126">
        <v>33.04</v>
      </c>
      <c r="O126" t="s">
        <v>68</v>
      </c>
      <c r="P126" t="s">
        <v>67</v>
      </c>
      <c r="Q126">
        <v>242</v>
      </c>
      <c r="R126">
        <v>33.04</v>
      </c>
    </row>
    <row r="127" spans="1:18" x14ac:dyDescent="0.35">
      <c r="A127" t="s">
        <v>56</v>
      </c>
      <c r="B127" t="s">
        <v>57</v>
      </c>
      <c r="C127" t="s">
        <v>58</v>
      </c>
      <c r="D127">
        <v>107065561</v>
      </c>
      <c r="E127" t="s">
        <v>528</v>
      </c>
      <c r="F127" t="s">
        <v>78</v>
      </c>
      <c r="G127">
        <v>0.95</v>
      </c>
      <c r="H127">
        <v>6.36</v>
      </c>
      <c r="I127">
        <v>0.01</v>
      </c>
      <c r="J127">
        <v>0</v>
      </c>
      <c r="K127">
        <v>7.32</v>
      </c>
      <c r="L127" t="s">
        <v>61</v>
      </c>
      <c r="M127">
        <v>242</v>
      </c>
      <c r="N127">
        <v>33.04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70</v>
      </c>
      <c r="D128">
        <v>107212683</v>
      </c>
      <c r="E128" t="s">
        <v>673</v>
      </c>
      <c r="F128" t="s">
        <v>60</v>
      </c>
      <c r="G128">
        <v>0.45</v>
      </c>
      <c r="H128">
        <v>2.83</v>
      </c>
      <c r="I128">
        <v>0</v>
      </c>
      <c r="J128">
        <v>0</v>
      </c>
      <c r="K128">
        <v>3.29</v>
      </c>
      <c r="L128" t="s">
        <v>61</v>
      </c>
      <c r="M128">
        <v>56</v>
      </c>
      <c r="N128">
        <v>17.04</v>
      </c>
      <c r="O128" t="s">
        <v>62</v>
      </c>
      <c r="P128" t="s">
        <v>63</v>
      </c>
      <c r="Q128">
        <v>389</v>
      </c>
      <c r="R128">
        <v>858.09</v>
      </c>
    </row>
    <row r="129" spans="1:18" x14ac:dyDescent="0.35">
      <c r="A129" t="s">
        <v>56</v>
      </c>
      <c r="B129" t="s">
        <v>57</v>
      </c>
      <c r="C129" t="s">
        <v>70</v>
      </c>
      <c r="D129">
        <v>107212683</v>
      </c>
      <c r="E129" t="s">
        <v>673</v>
      </c>
      <c r="F129" t="s">
        <v>60</v>
      </c>
      <c r="G129">
        <v>0.45</v>
      </c>
      <c r="H129">
        <v>2.83</v>
      </c>
      <c r="I129">
        <v>0</v>
      </c>
      <c r="J129">
        <v>0</v>
      </c>
      <c r="K129">
        <v>3.29</v>
      </c>
      <c r="L129" t="s">
        <v>61</v>
      </c>
      <c r="M129">
        <v>56</v>
      </c>
      <c r="N129">
        <v>17.04</v>
      </c>
      <c r="O129" t="s">
        <v>62</v>
      </c>
      <c r="P129" t="s">
        <v>64</v>
      </c>
      <c r="Q129">
        <v>456</v>
      </c>
      <c r="R129">
        <v>160.93</v>
      </c>
    </row>
    <row r="130" spans="1:18" x14ac:dyDescent="0.35">
      <c r="A130" t="s">
        <v>56</v>
      </c>
      <c r="B130" t="s">
        <v>57</v>
      </c>
      <c r="C130" t="s">
        <v>70</v>
      </c>
      <c r="D130">
        <v>107212683</v>
      </c>
      <c r="E130" t="s">
        <v>673</v>
      </c>
      <c r="F130" t="s">
        <v>60</v>
      </c>
      <c r="G130">
        <v>0.45</v>
      </c>
      <c r="H130">
        <v>2.83</v>
      </c>
      <c r="I130">
        <v>0</v>
      </c>
      <c r="J130">
        <v>0</v>
      </c>
      <c r="K130">
        <v>3.29</v>
      </c>
      <c r="L130" t="s">
        <v>61</v>
      </c>
      <c r="M130">
        <v>56</v>
      </c>
      <c r="N130">
        <v>17.04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107212683</v>
      </c>
      <c r="E131" t="s">
        <v>673</v>
      </c>
      <c r="F131" t="s">
        <v>60</v>
      </c>
      <c r="G131">
        <v>0.45</v>
      </c>
      <c r="H131">
        <v>2.83</v>
      </c>
      <c r="I131">
        <v>0</v>
      </c>
      <c r="J131">
        <v>0</v>
      </c>
      <c r="K131">
        <v>3.29</v>
      </c>
      <c r="L131" t="s">
        <v>61</v>
      </c>
      <c r="M131">
        <v>56</v>
      </c>
      <c r="N131">
        <v>17.04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107212683</v>
      </c>
      <c r="E132" t="s">
        <v>673</v>
      </c>
      <c r="F132" t="s">
        <v>60</v>
      </c>
      <c r="G132">
        <v>0.45</v>
      </c>
      <c r="H132">
        <v>2.83</v>
      </c>
      <c r="I132">
        <v>0</v>
      </c>
      <c r="J132">
        <v>0</v>
      </c>
      <c r="K132">
        <v>3.29</v>
      </c>
      <c r="L132" t="s">
        <v>61</v>
      </c>
      <c r="M132">
        <v>56</v>
      </c>
      <c r="N132">
        <v>17.04</v>
      </c>
      <c r="O132" t="s">
        <v>62</v>
      </c>
      <c r="P132" t="s">
        <v>67</v>
      </c>
      <c r="Q132">
        <v>845</v>
      </c>
      <c r="R132">
        <v>257.06</v>
      </c>
    </row>
    <row r="133" spans="1:18" x14ac:dyDescent="0.35">
      <c r="A133" t="s">
        <v>56</v>
      </c>
      <c r="B133" t="s">
        <v>57</v>
      </c>
      <c r="C133" t="s">
        <v>70</v>
      </c>
      <c r="D133">
        <v>107212683</v>
      </c>
      <c r="E133" t="s">
        <v>673</v>
      </c>
      <c r="F133" t="s">
        <v>60</v>
      </c>
      <c r="G133">
        <v>0.45</v>
      </c>
      <c r="H133">
        <v>2.83</v>
      </c>
      <c r="I133">
        <v>0</v>
      </c>
      <c r="J133">
        <v>0</v>
      </c>
      <c r="K133">
        <v>3.29</v>
      </c>
      <c r="L133" t="s">
        <v>61</v>
      </c>
      <c r="M133">
        <v>56</v>
      </c>
      <c r="N133">
        <v>17.04</v>
      </c>
      <c r="O133" t="s">
        <v>68</v>
      </c>
      <c r="P133" t="s">
        <v>67</v>
      </c>
      <c r="Q133">
        <v>56</v>
      </c>
      <c r="R133">
        <v>17.04</v>
      </c>
    </row>
    <row r="134" spans="1:18" x14ac:dyDescent="0.35">
      <c r="A134" t="s">
        <v>56</v>
      </c>
      <c r="B134" t="s">
        <v>57</v>
      </c>
      <c r="C134" t="s">
        <v>70</v>
      </c>
      <c r="D134">
        <v>107212683</v>
      </c>
      <c r="E134" t="s">
        <v>673</v>
      </c>
      <c r="F134" t="s">
        <v>60</v>
      </c>
      <c r="G134">
        <v>0.45</v>
      </c>
      <c r="H134">
        <v>2.83</v>
      </c>
      <c r="I134">
        <v>0</v>
      </c>
      <c r="J134">
        <v>0</v>
      </c>
      <c r="K134">
        <v>3.29</v>
      </c>
      <c r="L134" t="s">
        <v>61</v>
      </c>
      <c r="M134">
        <v>56</v>
      </c>
      <c r="N134">
        <v>17.04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107221210</v>
      </c>
      <c r="E135" t="s">
        <v>84</v>
      </c>
      <c r="F135" t="s">
        <v>60</v>
      </c>
      <c r="G135">
        <v>0.27</v>
      </c>
      <c r="H135">
        <v>8.86</v>
      </c>
      <c r="I135">
        <v>0</v>
      </c>
      <c r="J135">
        <v>0</v>
      </c>
      <c r="K135">
        <v>9.1300000000000008</v>
      </c>
      <c r="L135" t="s">
        <v>61</v>
      </c>
      <c r="M135">
        <v>507</v>
      </c>
      <c r="N135">
        <v>55.51</v>
      </c>
      <c r="O135" t="s">
        <v>62</v>
      </c>
      <c r="P135" t="s">
        <v>63</v>
      </c>
      <c r="Q135">
        <v>482</v>
      </c>
      <c r="R135">
        <v>1776.05</v>
      </c>
    </row>
    <row r="136" spans="1:18" x14ac:dyDescent="0.35">
      <c r="A136" t="s">
        <v>56</v>
      </c>
      <c r="B136" t="s">
        <v>57</v>
      </c>
      <c r="C136" t="s">
        <v>70</v>
      </c>
      <c r="D136">
        <v>107221210</v>
      </c>
      <c r="E136" t="s">
        <v>84</v>
      </c>
      <c r="F136" t="s">
        <v>60</v>
      </c>
      <c r="G136">
        <v>0.27</v>
      </c>
      <c r="H136">
        <v>8.86</v>
      </c>
      <c r="I136">
        <v>0</v>
      </c>
      <c r="J136">
        <v>0</v>
      </c>
      <c r="K136">
        <v>9.1300000000000008</v>
      </c>
      <c r="L136" t="s">
        <v>61</v>
      </c>
      <c r="M136">
        <v>507</v>
      </c>
      <c r="N136">
        <v>55.51</v>
      </c>
      <c r="O136" t="s">
        <v>62</v>
      </c>
      <c r="P136" t="s">
        <v>64</v>
      </c>
      <c r="Q136">
        <v>2950</v>
      </c>
      <c r="R136">
        <v>332.89</v>
      </c>
    </row>
    <row r="137" spans="1:18" x14ac:dyDescent="0.35">
      <c r="A137" t="s">
        <v>56</v>
      </c>
      <c r="B137" t="s">
        <v>57</v>
      </c>
      <c r="C137" t="s">
        <v>70</v>
      </c>
      <c r="D137">
        <v>107221210</v>
      </c>
      <c r="E137" t="s">
        <v>84</v>
      </c>
      <c r="F137" t="s">
        <v>60</v>
      </c>
      <c r="G137">
        <v>0.27</v>
      </c>
      <c r="H137">
        <v>8.86</v>
      </c>
      <c r="I137">
        <v>0</v>
      </c>
      <c r="J137">
        <v>0</v>
      </c>
      <c r="K137">
        <v>9.1300000000000008</v>
      </c>
      <c r="L137" t="s">
        <v>61</v>
      </c>
      <c r="M137">
        <v>507</v>
      </c>
      <c r="N137">
        <v>55.51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107221210</v>
      </c>
      <c r="E138" t="s">
        <v>84</v>
      </c>
      <c r="F138" t="s">
        <v>60</v>
      </c>
      <c r="G138">
        <v>0.27</v>
      </c>
      <c r="H138">
        <v>8.86</v>
      </c>
      <c r="I138">
        <v>0</v>
      </c>
      <c r="J138">
        <v>0</v>
      </c>
      <c r="K138">
        <v>9.1300000000000008</v>
      </c>
      <c r="L138" t="s">
        <v>61</v>
      </c>
      <c r="M138">
        <v>507</v>
      </c>
      <c r="N138">
        <v>55.51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107221210</v>
      </c>
      <c r="E139" t="s">
        <v>84</v>
      </c>
      <c r="F139" t="s">
        <v>60</v>
      </c>
      <c r="G139">
        <v>0.27</v>
      </c>
      <c r="H139">
        <v>8.86</v>
      </c>
      <c r="I139">
        <v>0</v>
      </c>
      <c r="J139">
        <v>0</v>
      </c>
      <c r="K139">
        <v>9.1300000000000008</v>
      </c>
      <c r="L139" t="s">
        <v>61</v>
      </c>
      <c r="M139">
        <v>507</v>
      </c>
      <c r="N139">
        <v>55.51</v>
      </c>
      <c r="O139" t="s">
        <v>62</v>
      </c>
      <c r="P139" t="s">
        <v>67</v>
      </c>
      <c r="Q139">
        <v>3432</v>
      </c>
      <c r="R139">
        <v>375.77</v>
      </c>
    </row>
    <row r="140" spans="1:18" x14ac:dyDescent="0.35">
      <c r="A140" t="s">
        <v>56</v>
      </c>
      <c r="B140" t="s">
        <v>57</v>
      </c>
      <c r="C140" t="s">
        <v>70</v>
      </c>
      <c r="D140">
        <v>107221210</v>
      </c>
      <c r="E140" t="s">
        <v>84</v>
      </c>
      <c r="F140" t="s">
        <v>60</v>
      </c>
      <c r="G140">
        <v>0.27</v>
      </c>
      <c r="H140">
        <v>8.86</v>
      </c>
      <c r="I140">
        <v>0</v>
      </c>
      <c r="J140">
        <v>0</v>
      </c>
      <c r="K140">
        <v>9.1300000000000008</v>
      </c>
      <c r="L140" t="s">
        <v>61</v>
      </c>
      <c r="M140">
        <v>507</v>
      </c>
      <c r="N140">
        <v>55.51</v>
      </c>
      <c r="O140" t="s">
        <v>68</v>
      </c>
      <c r="P140" t="s">
        <v>67</v>
      </c>
      <c r="Q140">
        <v>507</v>
      </c>
      <c r="R140">
        <v>55.51</v>
      </c>
    </row>
    <row r="141" spans="1:18" x14ac:dyDescent="0.35">
      <c r="A141" t="s">
        <v>56</v>
      </c>
      <c r="B141" t="s">
        <v>57</v>
      </c>
      <c r="C141" t="s">
        <v>70</v>
      </c>
      <c r="D141">
        <v>107221210</v>
      </c>
      <c r="E141" t="s">
        <v>84</v>
      </c>
      <c r="F141" t="s">
        <v>60</v>
      </c>
      <c r="G141">
        <v>0.27</v>
      </c>
      <c r="H141">
        <v>8.86</v>
      </c>
      <c r="I141">
        <v>0</v>
      </c>
      <c r="J141">
        <v>0</v>
      </c>
      <c r="K141">
        <v>9.1300000000000008</v>
      </c>
      <c r="L141" t="s">
        <v>61</v>
      </c>
      <c r="M141">
        <v>507</v>
      </c>
      <c r="N141">
        <v>55.51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107221213</v>
      </c>
      <c r="E142" t="s">
        <v>85</v>
      </c>
      <c r="F142" t="s">
        <v>60</v>
      </c>
      <c r="G142">
        <v>0.63</v>
      </c>
      <c r="H142">
        <v>9.15</v>
      </c>
      <c r="I142">
        <v>0.12</v>
      </c>
      <c r="J142">
        <v>0</v>
      </c>
      <c r="K142">
        <v>9.9</v>
      </c>
      <c r="L142" t="s">
        <v>61</v>
      </c>
      <c r="M142">
        <v>343</v>
      </c>
      <c r="N142">
        <v>34.65</v>
      </c>
      <c r="O142" t="s">
        <v>62</v>
      </c>
      <c r="P142" t="s">
        <v>63</v>
      </c>
      <c r="Q142">
        <v>822</v>
      </c>
      <c r="R142">
        <v>1312.28</v>
      </c>
    </row>
    <row r="143" spans="1:18" x14ac:dyDescent="0.35">
      <c r="A143" t="s">
        <v>56</v>
      </c>
      <c r="B143" t="s">
        <v>57</v>
      </c>
      <c r="C143" t="s">
        <v>70</v>
      </c>
      <c r="D143">
        <v>107221213</v>
      </c>
      <c r="E143" t="s">
        <v>85</v>
      </c>
      <c r="F143" t="s">
        <v>60</v>
      </c>
      <c r="G143">
        <v>0.63</v>
      </c>
      <c r="H143">
        <v>9.15</v>
      </c>
      <c r="I143">
        <v>0.12</v>
      </c>
      <c r="J143">
        <v>0</v>
      </c>
      <c r="K143">
        <v>9.9</v>
      </c>
      <c r="L143" t="s">
        <v>61</v>
      </c>
      <c r="M143">
        <v>343</v>
      </c>
      <c r="N143">
        <v>34.65</v>
      </c>
      <c r="O143" t="s">
        <v>62</v>
      </c>
      <c r="P143" t="s">
        <v>64</v>
      </c>
      <c r="Q143">
        <v>2253</v>
      </c>
      <c r="R143">
        <v>246.17</v>
      </c>
    </row>
    <row r="144" spans="1:18" x14ac:dyDescent="0.35">
      <c r="A144" t="s">
        <v>56</v>
      </c>
      <c r="B144" t="s">
        <v>57</v>
      </c>
      <c r="C144" t="s">
        <v>70</v>
      </c>
      <c r="D144">
        <v>107221213</v>
      </c>
      <c r="E144" t="s">
        <v>85</v>
      </c>
      <c r="F144" t="s">
        <v>60</v>
      </c>
      <c r="G144">
        <v>0.63</v>
      </c>
      <c r="H144">
        <v>9.15</v>
      </c>
      <c r="I144">
        <v>0.12</v>
      </c>
      <c r="J144">
        <v>0</v>
      </c>
      <c r="K144">
        <v>9.9</v>
      </c>
      <c r="L144" t="s">
        <v>61</v>
      </c>
      <c r="M144">
        <v>343</v>
      </c>
      <c r="N144">
        <v>34.65</v>
      </c>
      <c r="O144" t="s">
        <v>62</v>
      </c>
      <c r="P144" t="s">
        <v>65</v>
      </c>
      <c r="Q144">
        <v>18</v>
      </c>
      <c r="R144">
        <v>148.62</v>
      </c>
    </row>
    <row r="145" spans="1:18" x14ac:dyDescent="0.35">
      <c r="A145" t="s">
        <v>56</v>
      </c>
      <c r="B145" t="s">
        <v>57</v>
      </c>
      <c r="C145" t="s">
        <v>70</v>
      </c>
      <c r="D145">
        <v>107221213</v>
      </c>
      <c r="E145" t="s">
        <v>85</v>
      </c>
      <c r="F145" t="s">
        <v>60</v>
      </c>
      <c r="G145">
        <v>0.63</v>
      </c>
      <c r="H145">
        <v>9.15</v>
      </c>
      <c r="I145">
        <v>0.12</v>
      </c>
      <c r="J145">
        <v>0</v>
      </c>
      <c r="K145">
        <v>9.9</v>
      </c>
      <c r="L145" t="s">
        <v>61</v>
      </c>
      <c r="M145">
        <v>343</v>
      </c>
      <c r="N145">
        <v>34.65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107221213</v>
      </c>
      <c r="E146" t="s">
        <v>85</v>
      </c>
      <c r="F146" t="s">
        <v>60</v>
      </c>
      <c r="G146">
        <v>0.63</v>
      </c>
      <c r="H146">
        <v>9.15</v>
      </c>
      <c r="I146">
        <v>0.12</v>
      </c>
      <c r="J146">
        <v>0</v>
      </c>
      <c r="K146">
        <v>9.9</v>
      </c>
      <c r="L146" t="s">
        <v>61</v>
      </c>
      <c r="M146">
        <v>343</v>
      </c>
      <c r="N146">
        <v>34.65</v>
      </c>
      <c r="O146" t="s">
        <v>62</v>
      </c>
      <c r="P146" t="s">
        <v>67</v>
      </c>
      <c r="Q146">
        <v>3093</v>
      </c>
      <c r="R146">
        <v>312.42</v>
      </c>
    </row>
    <row r="147" spans="1:18" x14ac:dyDescent="0.35">
      <c r="A147" t="s">
        <v>56</v>
      </c>
      <c r="B147" t="s">
        <v>57</v>
      </c>
      <c r="C147" t="s">
        <v>70</v>
      </c>
      <c r="D147">
        <v>107221213</v>
      </c>
      <c r="E147" t="s">
        <v>85</v>
      </c>
      <c r="F147" t="s">
        <v>60</v>
      </c>
      <c r="G147">
        <v>0.63</v>
      </c>
      <c r="H147">
        <v>9.15</v>
      </c>
      <c r="I147">
        <v>0.12</v>
      </c>
      <c r="J147">
        <v>0</v>
      </c>
      <c r="K147">
        <v>9.9</v>
      </c>
      <c r="L147" t="s">
        <v>61</v>
      </c>
      <c r="M147">
        <v>343</v>
      </c>
      <c r="N147">
        <v>34.65</v>
      </c>
      <c r="O147" t="s">
        <v>68</v>
      </c>
      <c r="P147" t="s">
        <v>67</v>
      </c>
      <c r="Q147">
        <v>343</v>
      </c>
      <c r="R147">
        <v>34.65</v>
      </c>
    </row>
    <row r="148" spans="1:18" x14ac:dyDescent="0.35">
      <c r="A148" t="s">
        <v>56</v>
      </c>
      <c r="B148" t="s">
        <v>57</v>
      </c>
      <c r="C148" t="s">
        <v>70</v>
      </c>
      <c r="D148">
        <v>107221213</v>
      </c>
      <c r="E148" t="s">
        <v>85</v>
      </c>
      <c r="F148" t="s">
        <v>60</v>
      </c>
      <c r="G148">
        <v>0.63</v>
      </c>
      <c r="H148">
        <v>9.15</v>
      </c>
      <c r="I148">
        <v>0.12</v>
      </c>
      <c r="J148">
        <v>0</v>
      </c>
      <c r="K148">
        <v>9.9</v>
      </c>
      <c r="L148" t="s">
        <v>61</v>
      </c>
      <c r="M148">
        <v>343</v>
      </c>
      <c r="N148">
        <v>34.65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58</v>
      </c>
      <c r="D149">
        <v>107221225</v>
      </c>
      <c r="E149" t="s">
        <v>87</v>
      </c>
      <c r="F149" t="s">
        <v>60</v>
      </c>
      <c r="G149">
        <v>0.51</v>
      </c>
      <c r="H149">
        <v>9.49</v>
      </c>
      <c r="I149">
        <v>0</v>
      </c>
      <c r="J149">
        <v>0</v>
      </c>
      <c r="K149">
        <v>10</v>
      </c>
      <c r="L149" t="s">
        <v>61</v>
      </c>
      <c r="M149">
        <v>346</v>
      </c>
      <c r="N149">
        <v>34.6</v>
      </c>
      <c r="O149" t="s">
        <v>62</v>
      </c>
      <c r="P149" t="s">
        <v>63</v>
      </c>
      <c r="Q149">
        <v>664</v>
      </c>
      <c r="R149">
        <v>1298.42</v>
      </c>
    </row>
    <row r="150" spans="1:18" x14ac:dyDescent="0.35">
      <c r="A150" t="s">
        <v>56</v>
      </c>
      <c r="B150" t="s">
        <v>57</v>
      </c>
      <c r="C150" t="s">
        <v>58</v>
      </c>
      <c r="D150">
        <v>107221225</v>
      </c>
      <c r="E150" t="s">
        <v>87</v>
      </c>
      <c r="F150" t="s">
        <v>60</v>
      </c>
      <c r="G150">
        <v>0.51</v>
      </c>
      <c r="H150">
        <v>9.49</v>
      </c>
      <c r="I150">
        <v>0</v>
      </c>
      <c r="J150">
        <v>0</v>
      </c>
      <c r="K150">
        <v>10</v>
      </c>
      <c r="L150" t="s">
        <v>61</v>
      </c>
      <c r="M150">
        <v>346</v>
      </c>
      <c r="N150">
        <v>34.6</v>
      </c>
      <c r="O150" t="s">
        <v>62</v>
      </c>
      <c r="P150" t="s">
        <v>64</v>
      </c>
      <c r="Q150">
        <v>2310</v>
      </c>
      <c r="R150">
        <v>243.46</v>
      </c>
    </row>
    <row r="151" spans="1:18" x14ac:dyDescent="0.35">
      <c r="A151" t="s">
        <v>56</v>
      </c>
      <c r="B151" t="s">
        <v>57</v>
      </c>
      <c r="C151" t="s">
        <v>58</v>
      </c>
      <c r="D151">
        <v>107221225</v>
      </c>
      <c r="E151" t="s">
        <v>87</v>
      </c>
      <c r="F151" t="s">
        <v>60</v>
      </c>
      <c r="G151">
        <v>0.51</v>
      </c>
      <c r="H151">
        <v>9.49</v>
      </c>
      <c r="I151">
        <v>0</v>
      </c>
      <c r="J151">
        <v>0</v>
      </c>
      <c r="K151">
        <v>10</v>
      </c>
      <c r="L151" t="s">
        <v>61</v>
      </c>
      <c r="M151">
        <v>346</v>
      </c>
      <c r="N151">
        <v>34.6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58</v>
      </c>
      <c r="D152">
        <v>107221225</v>
      </c>
      <c r="E152" t="s">
        <v>87</v>
      </c>
      <c r="F152" t="s">
        <v>60</v>
      </c>
      <c r="G152">
        <v>0.51</v>
      </c>
      <c r="H152">
        <v>9.49</v>
      </c>
      <c r="I152">
        <v>0</v>
      </c>
      <c r="J152">
        <v>0</v>
      </c>
      <c r="K152">
        <v>10</v>
      </c>
      <c r="L152" t="s">
        <v>61</v>
      </c>
      <c r="M152">
        <v>346</v>
      </c>
      <c r="N152">
        <v>34.6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58</v>
      </c>
      <c r="D153">
        <v>107221225</v>
      </c>
      <c r="E153" t="s">
        <v>87</v>
      </c>
      <c r="F153" t="s">
        <v>60</v>
      </c>
      <c r="G153">
        <v>0.51</v>
      </c>
      <c r="H153">
        <v>9.49</v>
      </c>
      <c r="I153">
        <v>0</v>
      </c>
      <c r="J153">
        <v>0</v>
      </c>
      <c r="K153">
        <v>10</v>
      </c>
      <c r="L153" t="s">
        <v>61</v>
      </c>
      <c r="M153">
        <v>346</v>
      </c>
      <c r="N153">
        <v>34.6</v>
      </c>
      <c r="O153" t="s">
        <v>62</v>
      </c>
      <c r="P153" t="s">
        <v>67</v>
      </c>
      <c r="Q153">
        <v>2974</v>
      </c>
      <c r="R153">
        <v>297.39999999999998</v>
      </c>
    </row>
    <row r="154" spans="1:18" x14ac:dyDescent="0.35">
      <c r="A154" t="s">
        <v>56</v>
      </c>
      <c r="B154" t="s">
        <v>57</v>
      </c>
      <c r="C154" t="s">
        <v>58</v>
      </c>
      <c r="D154">
        <v>107221225</v>
      </c>
      <c r="E154" t="s">
        <v>87</v>
      </c>
      <c r="F154" t="s">
        <v>60</v>
      </c>
      <c r="G154">
        <v>0.51</v>
      </c>
      <c r="H154">
        <v>9.49</v>
      </c>
      <c r="I154">
        <v>0</v>
      </c>
      <c r="J154">
        <v>0</v>
      </c>
      <c r="K154">
        <v>10</v>
      </c>
      <c r="L154" t="s">
        <v>61</v>
      </c>
      <c r="M154">
        <v>346</v>
      </c>
      <c r="N154">
        <v>34.6</v>
      </c>
      <c r="O154" t="s">
        <v>68</v>
      </c>
      <c r="P154" t="s">
        <v>67</v>
      </c>
      <c r="Q154">
        <v>346</v>
      </c>
      <c r="R154">
        <v>34.6</v>
      </c>
    </row>
    <row r="155" spans="1:18" x14ac:dyDescent="0.35">
      <c r="A155" t="s">
        <v>56</v>
      </c>
      <c r="B155" t="s">
        <v>57</v>
      </c>
      <c r="C155" t="s">
        <v>58</v>
      </c>
      <c r="D155">
        <v>107221225</v>
      </c>
      <c r="E155" t="s">
        <v>87</v>
      </c>
      <c r="F155" t="s">
        <v>60</v>
      </c>
      <c r="G155">
        <v>0.51</v>
      </c>
      <c r="H155">
        <v>9.49</v>
      </c>
      <c r="I155">
        <v>0</v>
      </c>
      <c r="J155">
        <v>0</v>
      </c>
      <c r="K155">
        <v>10</v>
      </c>
      <c r="L155" t="s">
        <v>61</v>
      </c>
      <c r="M155">
        <v>346</v>
      </c>
      <c r="N155">
        <v>34.6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107221231</v>
      </c>
      <c r="E156" t="s">
        <v>88</v>
      </c>
      <c r="F156" t="s">
        <v>60</v>
      </c>
      <c r="G156">
        <v>0.93</v>
      </c>
      <c r="H156">
        <v>9.07</v>
      </c>
      <c r="I156">
        <v>0</v>
      </c>
      <c r="J156">
        <v>0</v>
      </c>
      <c r="K156">
        <v>10</v>
      </c>
      <c r="L156" t="s">
        <v>61</v>
      </c>
      <c r="M156">
        <v>364</v>
      </c>
      <c r="N156">
        <v>36.4</v>
      </c>
      <c r="O156" t="s">
        <v>62</v>
      </c>
      <c r="P156" t="s">
        <v>63</v>
      </c>
      <c r="Q156">
        <v>1363</v>
      </c>
      <c r="R156">
        <v>1462.1</v>
      </c>
    </row>
    <row r="157" spans="1:18" x14ac:dyDescent="0.35">
      <c r="A157" t="s">
        <v>56</v>
      </c>
      <c r="B157" t="s">
        <v>57</v>
      </c>
      <c r="C157" t="s">
        <v>70</v>
      </c>
      <c r="D157">
        <v>107221231</v>
      </c>
      <c r="E157" t="s">
        <v>88</v>
      </c>
      <c r="F157" t="s">
        <v>60</v>
      </c>
      <c r="G157">
        <v>0.93</v>
      </c>
      <c r="H157">
        <v>9.07</v>
      </c>
      <c r="I157">
        <v>0</v>
      </c>
      <c r="J157">
        <v>0</v>
      </c>
      <c r="K157">
        <v>10</v>
      </c>
      <c r="L157" t="s">
        <v>61</v>
      </c>
      <c r="M157">
        <v>364</v>
      </c>
      <c r="N157">
        <v>36.4</v>
      </c>
      <c r="O157" t="s">
        <v>62</v>
      </c>
      <c r="P157" t="s">
        <v>64</v>
      </c>
      <c r="Q157">
        <v>2487</v>
      </c>
      <c r="R157">
        <v>274.27999999999997</v>
      </c>
    </row>
    <row r="158" spans="1:18" x14ac:dyDescent="0.35">
      <c r="A158" t="s">
        <v>56</v>
      </c>
      <c r="B158" t="s">
        <v>57</v>
      </c>
      <c r="C158" t="s">
        <v>70</v>
      </c>
      <c r="D158">
        <v>107221231</v>
      </c>
      <c r="E158" t="s">
        <v>88</v>
      </c>
      <c r="F158" t="s">
        <v>60</v>
      </c>
      <c r="G158">
        <v>0.93</v>
      </c>
      <c r="H158">
        <v>9.07</v>
      </c>
      <c r="I158">
        <v>0</v>
      </c>
      <c r="J158">
        <v>0</v>
      </c>
      <c r="K158">
        <v>10</v>
      </c>
      <c r="L158" t="s">
        <v>61</v>
      </c>
      <c r="M158">
        <v>364</v>
      </c>
      <c r="N158">
        <v>36.4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107221231</v>
      </c>
      <c r="E159" t="s">
        <v>88</v>
      </c>
      <c r="F159" t="s">
        <v>60</v>
      </c>
      <c r="G159">
        <v>0.93</v>
      </c>
      <c r="H159">
        <v>9.07</v>
      </c>
      <c r="I159">
        <v>0</v>
      </c>
      <c r="J159">
        <v>0</v>
      </c>
      <c r="K159">
        <v>10</v>
      </c>
      <c r="L159" t="s">
        <v>61</v>
      </c>
      <c r="M159">
        <v>364</v>
      </c>
      <c r="N159">
        <v>36.4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107221231</v>
      </c>
      <c r="E160" t="s">
        <v>88</v>
      </c>
      <c r="F160" t="s">
        <v>60</v>
      </c>
      <c r="G160">
        <v>0.93</v>
      </c>
      <c r="H160">
        <v>9.07</v>
      </c>
      <c r="I160">
        <v>0</v>
      </c>
      <c r="J160">
        <v>0</v>
      </c>
      <c r="K160">
        <v>10</v>
      </c>
      <c r="L160" t="s">
        <v>61</v>
      </c>
      <c r="M160">
        <v>364</v>
      </c>
      <c r="N160">
        <v>36.4</v>
      </c>
      <c r="O160" t="s">
        <v>62</v>
      </c>
      <c r="P160" t="s">
        <v>67</v>
      </c>
      <c r="Q160">
        <v>3850</v>
      </c>
      <c r="R160">
        <v>385</v>
      </c>
    </row>
    <row r="161" spans="1:18" x14ac:dyDescent="0.35">
      <c r="A161" t="s">
        <v>56</v>
      </c>
      <c r="B161" t="s">
        <v>57</v>
      </c>
      <c r="C161" t="s">
        <v>70</v>
      </c>
      <c r="D161">
        <v>107221231</v>
      </c>
      <c r="E161" t="s">
        <v>88</v>
      </c>
      <c r="F161" t="s">
        <v>60</v>
      </c>
      <c r="G161">
        <v>0.93</v>
      </c>
      <c r="H161">
        <v>9.07</v>
      </c>
      <c r="I161">
        <v>0</v>
      </c>
      <c r="J161">
        <v>0</v>
      </c>
      <c r="K161">
        <v>10</v>
      </c>
      <c r="L161" t="s">
        <v>61</v>
      </c>
      <c r="M161">
        <v>364</v>
      </c>
      <c r="N161">
        <v>36.4</v>
      </c>
      <c r="O161" t="s">
        <v>68</v>
      </c>
      <c r="P161" t="s">
        <v>67</v>
      </c>
      <c r="Q161">
        <v>364</v>
      </c>
      <c r="R161">
        <v>36.4</v>
      </c>
    </row>
    <row r="162" spans="1:18" x14ac:dyDescent="0.35">
      <c r="A162" t="s">
        <v>56</v>
      </c>
      <c r="B162" t="s">
        <v>57</v>
      </c>
      <c r="C162" t="s">
        <v>70</v>
      </c>
      <c r="D162">
        <v>107221231</v>
      </c>
      <c r="E162" t="s">
        <v>88</v>
      </c>
      <c r="F162" t="s">
        <v>60</v>
      </c>
      <c r="G162">
        <v>0.93</v>
      </c>
      <c r="H162">
        <v>9.07</v>
      </c>
      <c r="I162">
        <v>0</v>
      </c>
      <c r="J162">
        <v>0</v>
      </c>
      <c r="K162">
        <v>10</v>
      </c>
      <c r="L162" t="s">
        <v>61</v>
      </c>
      <c r="M162">
        <v>364</v>
      </c>
      <c r="N162">
        <v>36.4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70</v>
      </c>
      <c r="D163">
        <v>107228984</v>
      </c>
      <c r="E163" t="s">
        <v>529</v>
      </c>
      <c r="F163" t="s">
        <v>60</v>
      </c>
      <c r="G163">
        <v>1.04</v>
      </c>
      <c r="H163">
        <v>8.84</v>
      </c>
      <c r="I163">
        <v>0.12</v>
      </c>
      <c r="J163">
        <v>0</v>
      </c>
      <c r="K163">
        <v>10</v>
      </c>
      <c r="L163" t="s">
        <v>61</v>
      </c>
      <c r="M163">
        <v>361</v>
      </c>
      <c r="N163">
        <v>36.1</v>
      </c>
      <c r="O163" t="s">
        <v>62</v>
      </c>
      <c r="P163" t="s">
        <v>63</v>
      </c>
      <c r="Q163">
        <v>1381</v>
      </c>
      <c r="R163">
        <v>1327.88</v>
      </c>
    </row>
    <row r="164" spans="1:18" x14ac:dyDescent="0.35">
      <c r="A164" t="s">
        <v>56</v>
      </c>
      <c r="B164" t="s">
        <v>57</v>
      </c>
      <c r="C164" t="s">
        <v>70</v>
      </c>
      <c r="D164">
        <v>107228984</v>
      </c>
      <c r="E164" t="s">
        <v>529</v>
      </c>
      <c r="F164" t="s">
        <v>60</v>
      </c>
      <c r="G164">
        <v>1.04</v>
      </c>
      <c r="H164">
        <v>8.84</v>
      </c>
      <c r="I164">
        <v>0.12</v>
      </c>
      <c r="J164">
        <v>0</v>
      </c>
      <c r="K164">
        <v>10</v>
      </c>
      <c r="L164" t="s">
        <v>61</v>
      </c>
      <c r="M164">
        <v>361</v>
      </c>
      <c r="N164">
        <v>36.1</v>
      </c>
      <c r="O164" t="s">
        <v>62</v>
      </c>
      <c r="P164" t="s">
        <v>64</v>
      </c>
      <c r="Q164">
        <v>2202</v>
      </c>
      <c r="R164">
        <v>249.1</v>
      </c>
    </row>
    <row r="165" spans="1:18" x14ac:dyDescent="0.35">
      <c r="A165" t="s">
        <v>56</v>
      </c>
      <c r="B165" t="s">
        <v>57</v>
      </c>
      <c r="C165" t="s">
        <v>70</v>
      </c>
      <c r="D165">
        <v>107228984</v>
      </c>
      <c r="E165" t="s">
        <v>529</v>
      </c>
      <c r="F165" t="s">
        <v>60</v>
      </c>
      <c r="G165">
        <v>1.04</v>
      </c>
      <c r="H165">
        <v>8.84</v>
      </c>
      <c r="I165">
        <v>0.12</v>
      </c>
      <c r="J165">
        <v>0</v>
      </c>
      <c r="K165">
        <v>10</v>
      </c>
      <c r="L165" t="s">
        <v>61</v>
      </c>
      <c r="M165">
        <v>361</v>
      </c>
      <c r="N165">
        <v>36.1</v>
      </c>
      <c r="O165" t="s">
        <v>62</v>
      </c>
      <c r="P165" t="s">
        <v>65</v>
      </c>
      <c r="Q165">
        <v>18</v>
      </c>
      <c r="R165">
        <v>150.35</v>
      </c>
    </row>
    <row r="166" spans="1:18" x14ac:dyDescent="0.35">
      <c r="A166" t="s">
        <v>56</v>
      </c>
      <c r="B166" t="s">
        <v>57</v>
      </c>
      <c r="C166" t="s">
        <v>70</v>
      </c>
      <c r="D166">
        <v>107228984</v>
      </c>
      <c r="E166" t="s">
        <v>529</v>
      </c>
      <c r="F166" t="s">
        <v>60</v>
      </c>
      <c r="G166">
        <v>1.04</v>
      </c>
      <c r="H166">
        <v>8.84</v>
      </c>
      <c r="I166">
        <v>0.12</v>
      </c>
      <c r="J166">
        <v>0</v>
      </c>
      <c r="K166">
        <v>10</v>
      </c>
      <c r="L166" t="s">
        <v>61</v>
      </c>
      <c r="M166">
        <v>361</v>
      </c>
      <c r="N166">
        <v>36.1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70</v>
      </c>
      <c r="D167">
        <v>107228984</v>
      </c>
      <c r="E167" t="s">
        <v>529</v>
      </c>
      <c r="F167" t="s">
        <v>60</v>
      </c>
      <c r="G167">
        <v>1.04</v>
      </c>
      <c r="H167">
        <v>8.84</v>
      </c>
      <c r="I167">
        <v>0.12</v>
      </c>
      <c r="J167">
        <v>0</v>
      </c>
      <c r="K167">
        <v>10</v>
      </c>
      <c r="L167" t="s">
        <v>61</v>
      </c>
      <c r="M167">
        <v>361</v>
      </c>
      <c r="N167">
        <v>36.1</v>
      </c>
      <c r="O167" t="s">
        <v>62</v>
      </c>
      <c r="P167" t="s">
        <v>67</v>
      </c>
      <c r="Q167">
        <v>3601</v>
      </c>
      <c r="R167">
        <v>360.1</v>
      </c>
    </row>
    <row r="168" spans="1:18" x14ac:dyDescent="0.35">
      <c r="A168" t="s">
        <v>56</v>
      </c>
      <c r="B168" t="s">
        <v>57</v>
      </c>
      <c r="C168" t="s">
        <v>70</v>
      </c>
      <c r="D168">
        <v>107228984</v>
      </c>
      <c r="E168" t="s">
        <v>529</v>
      </c>
      <c r="F168" t="s">
        <v>60</v>
      </c>
      <c r="G168">
        <v>1.04</v>
      </c>
      <c r="H168">
        <v>8.84</v>
      </c>
      <c r="I168">
        <v>0.12</v>
      </c>
      <c r="J168">
        <v>0</v>
      </c>
      <c r="K168">
        <v>10</v>
      </c>
      <c r="L168" t="s">
        <v>61</v>
      </c>
      <c r="M168">
        <v>361</v>
      </c>
      <c r="N168">
        <v>36.1</v>
      </c>
      <c r="O168" t="s">
        <v>68</v>
      </c>
      <c r="P168" t="s">
        <v>67</v>
      </c>
      <c r="Q168">
        <v>361</v>
      </c>
      <c r="R168">
        <v>36.1</v>
      </c>
    </row>
    <row r="169" spans="1:18" x14ac:dyDescent="0.35">
      <c r="A169" t="s">
        <v>56</v>
      </c>
      <c r="B169" t="s">
        <v>57</v>
      </c>
      <c r="C169" t="s">
        <v>70</v>
      </c>
      <c r="D169">
        <v>107228984</v>
      </c>
      <c r="E169" t="s">
        <v>529</v>
      </c>
      <c r="F169" t="s">
        <v>60</v>
      </c>
      <c r="G169">
        <v>1.04</v>
      </c>
      <c r="H169">
        <v>8.84</v>
      </c>
      <c r="I169">
        <v>0.12</v>
      </c>
      <c r="J169">
        <v>0</v>
      </c>
      <c r="K169">
        <v>10</v>
      </c>
      <c r="L169" t="s">
        <v>61</v>
      </c>
      <c r="M169">
        <v>361</v>
      </c>
      <c r="N169">
        <v>36.1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70</v>
      </c>
      <c r="D170">
        <v>107229417</v>
      </c>
      <c r="E170" t="s">
        <v>565</v>
      </c>
      <c r="F170" t="s">
        <v>60</v>
      </c>
      <c r="G170">
        <v>0.61</v>
      </c>
      <c r="H170">
        <v>9.39</v>
      </c>
      <c r="I170">
        <v>0</v>
      </c>
      <c r="J170">
        <v>0</v>
      </c>
      <c r="K170">
        <v>10</v>
      </c>
      <c r="L170" t="s">
        <v>61</v>
      </c>
      <c r="M170">
        <v>465</v>
      </c>
      <c r="N170">
        <v>46.5</v>
      </c>
      <c r="O170" t="s">
        <v>62</v>
      </c>
      <c r="P170" t="s">
        <v>63</v>
      </c>
      <c r="Q170">
        <v>700</v>
      </c>
      <c r="R170">
        <v>1155.96</v>
      </c>
    </row>
    <row r="171" spans="1:18" x14ac:dyDescent="0.35">
      <c r="A171" t="s">
        <v>56</v>
      </c>
      <c r="B171" t="s">
        <v>57</v>
      </c>
      <c r="C171" t="s">
        <v>70</v>
      </c>
      <c r="D171">
        <v>107229417</v>
      </c>
      <c r="E171" t="s">
        <v>565</v>
      </c>
      <c r="F171" t="s">
        <v>60</v>
      </c>
      <c r="G171">
        <v>0.61</v>
      </c>
      <c r="H171">
        <v>9.39</v>
      </c>
      <c r="I171">
        <v>0</v>
      </c>
      <c r="J171">
        <v>0</v>
      </c>
      <c r="K171">
        <v>10</v>
      </c>
      <c r="L171" t="s">
        <v>61</v>
      </c>
      <c r="M171">
        <v>465</v>
      </c>
      <c r="N171">
        <v>46.5</v>
      </c>
      <c r="O171" t="s">
        <v>62</v>
      </c>
      <c r="P171" t="s">
        <v>64</v>
      </c>
      <c r="Q171">
        <v>2037</v>
      </c>
      <c r="R171">
        <v>216.84</v>
      </c>
    </row>
    <row r="172" spans="1:18" x14ac:dyDescent="0.35">
      <c r="A172" t="s">
        <v>56</v>
      </c>
      <c r="B172" t="s">
        <v>57</v>
      </c>
      <c r="C172" t="s">
        <v>70</v>
      </c>
      <c r="D172">
        <v>107229417</v>
      </c>
      <c r="E172" t="s">
        <v>565</v>
      </c>
      <c r="F172" t="s">
        <v>60</v>
      </c>
      <c r="G172">
        <v>0.61</v>
      </c>
      <c r="H172">
        <v>9.39</v>
      </c>
      <c r="I172">
        <v>0</v>
      </c>
      <c r="J172">
        <v>0</v>
      </c>
      <c r="K172">
        <v>10</v>
      </c>
      <c r="L172" t="s">
        <v>61</v>
      </c>
      <c r="M172">
        <v>465</v>
      </c>
      <c r="N172">
        <v>46.5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107229417</v>
      </c>
      <c r="E173" t="s">
        <v>565</v>
      </c>
      <c r="F173" t="s">
        <v>60</v>
      </c>
      <c r="G173">
        <v>0.61</v>
      </c>
      <c r="H173">
        <v>9.39</v>
      </c>
      <c r="I173">
        <v>0</v>
      </c>
      <c r="J173">
        <v>0</v>
      </c>
      <c r="K173">
        <v>10</v>
      </c>
      <c r="L173" t="s">
        <v>61</v>
      </c>
      <c r="M173">
        <v>465</v>
      </c>
      <c r="N173">
        <v>46.5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107229417</v>
      </c>
      <c r="E174" t="s">
        <v>565</v>
      </c>
      <c r="F174" t="s">
        <v>60</v>
      </c>
      <c r="G174">
        <v>0.61</v>
      </c>
      <c r="H174">
        <v>9.39</v>
      </c>
      <c r="I174">
        <v>0</v>
      </c>
      <c r="J174">
        <v>0</v>
      </c>
      <c r="K174">
        <v>10</v>
      </c>
      <c r="L174" t="s">
        <v>61</v>
      </c>
      <c r="M174">
        <v>465</v>
      </c>
      <c r="N174">
        <v>46.5</v>
      </c>
      <c r="O174" t="s">
        <v>62</v>
      </c>
      <c r="P174" t="s">
        <v>67</v>
      </c>
      <c r="Q174">
        <v>2737</v>
      </c>
      <c r="R174">
        <v>273.7</v>
      </c>
    </row>
    <row r="175" spans="1:18" x14ac:dyDescent="0.35">
      <c r="A175" t="s">
        <v>56</v>
      </c>
      <c r="B175" t="s">
        <v>57</v>
      </c>
      <c r="C175" t="s">
        <v>70</v>
      </c>
      <c r="D175">
        <v>107229417</v>
      </c>
      <c r="E175" t="s">
        <v>565</v>
      </c>
      <c r="F175" t="s">
        <v>60</v>
      </c>
      <c r="G175">
        <v>0.61</v>
      </c>
      <c r="H175">
        <v>9.39</v>
      </c>
      <c r="I175">
        <v>0</v>
      </c>
      <c r="J175">
        <v>0</v>
      </c>
      <c r="K175">
        <v>10</v>
      </c>
      <c r="L175" t="s">
        <v>61</v>
      </c>
      <c r="M175">
        <v>465</v>
      </c>
      <c r="N175">
        <v>46.5</v>
      </c>
      <c r="O175" t="s">
        <v>68</v>
      </c>
      <c r="P175" t="s">
        <v>67</v>
      </c>
      <c r="Q175">
        <v>465</v>
      </c>
      <c r="R175">
        <v>46.5</v>
      </c>
    </row>
    <row r="176" spans="1:18" x14ac:dyDescent="0.35">
      <c r="A176" t="s">
        <v>56</v>
      </c>
      <c r="B176" t="s">
        <v>57</v>
      </c>
      <c r="C176" t="s">
        <v>70</v>
      </c>
      <c r="D176">
        <v>107229417</v>
      </c>
      <c r="E176" t="s">
        <v>565</v>
      </c>
      <c r="F176" t="s">
        <v>60</v>
      </c>
      <c r="G176">
        <v>0.61</v>
      </c>
      <c r="H176">
        <v>9.39</v>
      </c>
      <c r="I176">
        <v>0</v>
      </c>
      <c r="J176">
        <v>0</v>
      </c>
      <c r="K176">
        <v>10</v>
      </c>
      <c r="L176" t="s">
        <v>61</v>
      </c>
      <c r="M176">
        <v>465</v>
      </c>
      <c r="N176">
        <v>46.5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58</v>
      </c>
      <c r="D177">
        <v>107253126</v>
      </c>
      <c r="E177" t="s">
        <v>676</v>
      </c>
      <c r="F177" t="s">
        <v>78</v>
      </c>
      <c r="G177">
        <v>0</v>
      </c>
      <c r="H177">
        <v>0.77</v>
      </c>
      <c r="I177">
        <v>0</v>
      </c>
      <c r="J177">
        <v>0</v>
      </c>
      <c r="K177">
        <v>0.77</v>
      </c>
      <c r="L177" t="s">
        <v>61</v>
      </c>
      <c r="M177">
        <v>21</v>
      </c>
      <c r="N177">
        <v>27.24</v>
      </c>
      <c r="O177" t="s">
        <v>62</v>
      </c>
      <c r="P177" t="s">
        <v>63</v>
      </c>
      <c r="Q177">
        <v>0</v>
      </c>
      <c r="R177">
        <v>0</v>
      </c>
    </row>
    <row r="178" spans="1:18" x14ac:dyDescent="0.35">
      <c r="A178" t="s">
        <v>56</v>
      </c>
      <c r="B178" t="s">
        <v>57</v>
      </c>
      <c r="C178" t="s">
        <v>58</v>
      </c>
      <c r="D178">
        <v>107253126</v>
      </c>
      <c r="E178" t="s">
        <v>676</v>
      </c>
      <c r="F178" t="s">
        <v>78</v>
      </c>
      <c r="G178">
        <v>0</v>
      </c>
      <c r="H178">
        <v>0.77</v>
      </c>
      <c r="I178">
        <v>0</v>
      </c>
      <c r="J178">
        <v>0</v>
      </c>
      <c r="K178">
        <v>0.77</v>
      </c>
      <c r="L178" t="s">
        <v>61</v>
      </c>
      <c r="M178">
        <v>21</v>
      </c>
      <c r="N178">
        <v>27.24</v>
      </c>
      <c r="O178" t="s">
        <v>62</v>
      </c>
      <c r="P178" t="s">
        <v>64</v>
      </c>
      <c r="Q178">
        <v>192</v>
      </c>
      <c r="R178">
        <v>249.08</v>
      </c>
    </row>
    <row r="179" spans="1:18" x14ac:dyDescent="0.35">
      <c r="A179" t="s">
        <v>56</v>
      </c>
      <c r="B179" t="s">
        <v>57</v>
      </c>
      <c r="C179" t="s">
        <v>58</v>
      </c>
      <c r="D179">
        <v>107253126</v>
      </c>
      <c r="E179" t="s">
        <v>676</v>
      </c>
      <c r="F179" t="s">
        <v>78</v>
      </c>
      <c r="G179">
        <v>0</v>
      </c>
      <c r="H179">
        <v>0.77</v>
      </c>
      <c r="I179">
        <v>0</v>
      </c>
      <c r="J179">
        <v>0</v>
      </c>
      <c r="K179">
        <v>0.77</v>
      </c>
      <c r="L179" t="s">
        <v>61</v>
      </c>
      <c r="M179">
        <v>21</v>
      </c>
      <c r="N179">
        <v>27.24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58</v>
      </c>
      <c r="D180">
        <v>107253126</v>
      </c>
      <c r="E180" t="s">
        <v>676</v>
      </c>
      <c r="F180" t="s">
        <v>78</v>
      </c>
      <c r="G180">
        <v>0</v>
      </c>
      <c r="H180">
        <v>0.77</v>
      </c>
      <c r="I180">
        <v>0</v>
      </c>
      <c r="J180">
        <v>0</v>
      </c>
      <c r="K180">
        <v>0.77</v>
      </c>
      <c r="L180" t="s">
        <v>61</v>
      </c>
      <c r="M180">
        <v>21</v>
      </c>
      <c r="N180">
        <v>27.24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58</v>
      </c>
      <c r="D181">
        <v>107253126</v>
      </c>
      <c r="E181" t="s">
        <v>676</v>
      </c>
      <c r="F181" t="s">
        <v>78</v>
      </c>
      <c r="G181">
        <v>0</v>
      </c>
      <c r="H181">
        <v>0.77</v>
      </c>
      <c r="I181">
        <v>0</v>
      </c>
      <c r="J181">
        <v>0</v>
      </c>
      <c r="K181">
        <v>0.77</v>
      </c>
      <c r="L181" t="s">
        <v>61</v>
      </c>
      <c r="M181">
        <v>21</v>
      </c>
      <c r="N181">
        <v>27.24</v>
      </c>
      <c r="O181" t="s">
        <v>62</v>
      </c>
      <c r="P181" t="s">
        <v>67</v>
      </c>
      <c r="Q181">
        <v>192</v>
      </c>
      <c r="R181">
        <v>249.08</v>
      </c>
    </row>
    <row r="182" spans="1:18" x14ac:dyDescent="0.35">
      <c r="A182" t="s">
        <v>56</v>
      </c>
      <c r="B182" t="s">
        <v>57</v>
      </c>
      <c r="C182" t="s">
        <v>58</v>
      </c>
      <c r="D182">
        <v>107253126</v>
      </c>
      <c r="E182" t="s">
        <v>676</v>
      </c>
      <c r="F182" t="s">
        <v>78</v>
      </c>
      <c r="G182">
        <v>0</v>
      </c>
      <c r="H182">
        <v>0.77</v>
      </c>
      <c r="I182">
        <v>0</v>
      </c>
      <c r="J182">
        <v>0</v>
      </c>
      <c r="K182">
        <v>0.77</v>
      </c>
      <c r="L182" t="s">
        <v>61</v>
      </c>
      <c r="M182">
        <v>21</v>
      </c>
      <c r="N182">
        <v>27.24</v>
      </c>
      <c r="O182" t="s">
        <v>68</v>
      </c>
      <c r="P182" t="s">
        <v>67</v>
      </c>
      <c r="Q182">
        <v>21</v>
      </c>
      <c r="R182">
        <v>27.24</v>
      </c>
    </row>
    <row r="183" spans="1:18" x14ac:dyDescent="0.35">
      <c r="A183" t="s">
        <v>56</v>
      </c>
      <c r="B183" t="s">
        <v>57</v>
      </c>
      <c r="C183" t="s">
        <v>58</v>
      </c>
      <c r="D183">
        <v>107253126</v>
      </c>
      <c r="E183" t="s">
        <v>676</v>
      </c>
      <c r="F183" t="s">
        <v>78</v>
      </c>
      <c r="G183">
        <v>0</v>
      </c>
      <c r="H183">
        <v>0.77</v>
      </c>
      <c r="I183">
        <v>0</v>
      </c>
      <c r="J183">
        <v>0</v>
      </c>
      <c r="K183">
        <v>0.77</v>
      </c>
      <c r="L183" t="s">
        <v>61</v>
      </c>
      <c r="M183">
        <v>21</v>
      </c>
      <c r="N183">
        <v>27.24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70</v>
      </c>
      <c r="D184">
        <v>107284888</v>
      </c>
      <c r="E184" t="s">
        <v>535</v>
      </c>
      <c r="F184" t="s">
        <v>78</v>
      </c>
      <c r="G184">
        <v>0</v>
      </c>
      <c r="H184">
        <v>1.17</v>
      </c>
      <c r="I184">
        <v>0</v>
      </c>
      <c r="J184">
        <v>0</v>
      </c>
      <c r="K184">
        <v>1.17</v>
      </c>
      <c r="L184" t="s">
        <v>61</v>
      </c>
      <c r="M184">
        <v>30</v>
      </c>
      <c r="N184">
        <v>25.6</v>
      </c>
      <c r="O184" t="s">
        <v>62</v>
      </c>
      <c r="P184" t="s">
        <v>63</v>
      </c>
      <c r="Q184">
        <v>0</v>
      </c>
      <c r="R184">
        <v>0</v>
      </c>
    </row>
    <row r="185" spans="1:18" x14ac:dyDescent="0.35">
      <c r="A185" t="s">
        <v>56</v>
      </c>
      <c r="B185" t="s">
        <v>57</v>
      </c>
      <c r="C185" t="s">
        <v>70</v>
      </c>
      <c r="D185">
        <v>107284888</v>
      </c>
      <c r="E185" t="s">
        <v>535</v>
      </c>
      <c r="F185" t="s">
        <v>78</v>
      </c>
      <c r="G185">
        <v>0</v>
      </c>
      <c r="H185">
        <v>1.17</v>
      </c>
      <c r="I185">
        <v>0</v>
      </c>
      <c r="J185">
        <v>0</v>
      </c>
      <c r="K185">
        <v>1.17</v>
      </c>
      <c r="L185" t="s">
        <v>61</v>
      </c>
      <c r="M185">
        <v>30</v>
      </c>
      <c r="N185">
        <v>25.6</v>
      </c>
      <c r="O185" t="s">
        <v>62</v>
      </c>
      <c r="P185" t="s">
        <v>64</v>
      </c>
      <c r="Q185">
        <v>153</v>
      </c>
      <c r="R185">
        <v>130.55000000000001</v>
      </c>
    </row>
    <row r="186" spans="1:18" x14ac:dyDescent="0.35">
      <c r="A186" t="s">
        <v>56</v>
      </c>
      <c r="B186" t="s">
        <v>57</v>
      </c>
      <c r="C186" t="s">
        <v>70</v>
      </c>
      <c r="D186">
        <v>107284888</v>
      </c>
      <c r="E186" t="s">
        <v>535</v>
      </c>
      <c r="F186" t="s">
        <v>78</v>
      </c>
      <c r="G186">
        <v>0</v>
      </c>
      <c r="H186">
        <v>1.17</v>
      </c>
      <c r="I186">
        <v>0</v>
      </c>
      <c r="J186">
        <v>0</v>
      </c>
      <c r="K186">
        <v>1.17</v>
      </c>
      <c r="L186" t="s">
        <v>61</v>
      </c>
      <c r="M186">
        <v>30</v>
      </c>
      <c r="N186">
        <v>25.6</v>
      </c>
      <c r="O186" t="s">
        <v>62</v>
      </c>
      <c r="P186" t="s">
        <v>65</v>
      </c>
      <c r="Q186">
        <v>0</v>
      </c>
      <c r="R186">
        <v>0</v>
      </c>
    </row>
    <row r="187" spans="1:18" x14ac:dyDescent="0.35">
      <c r="A187" t="s">
        <v>56</v>
      </c>
      <c r="B187" t="s">
        <v>57</v>
      </c>
      <c r="C187" t="s">
        <v>70</v>
      </c>
      <c r="D187">
        <v>107284888</v>
      </c>
      <c r="E187" t="s">
        <v>535</v>
      </c>
      <c r="F187" t="s">
        <v>78</v>
      </c>
      <c r="G187">
        <v>0</v>
      </c>
      <c r="H187">
        <v>1.17</v>
      </c>
      <c r="I187">
        <v>0</v>
      </c>
      <c r="J187">
        <v>0</v>
      </c>
      <c r="K187">
        <v>1.17</v>
      </c>
      <c r="L187" t="s">
        <v>61</v>
      </c>
      <c r="M187">
        <v>30</v>
      </c>
      <c r="N187">
        <v>25.6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70</v>
      </c>
      <c r="D188">
        <v>107284888</v>
      </c>
      <c r="E188" t="s">
        <v>535</v>
      </c>
      <c r="F188" t="s">
        <v>78</v>
      </c>
      <c r="G188">
        <v>0</v>
      </c>
      <c r="H188">
        <v>1.17</v>
      </c>
      <c r="I188">
        <v>0</v>
      </c>
      <c r="J188">
        <v>0</v>
      </c>
      <c r="K188">
        <v>1.17</v>
      </c>
      <c r="L188" t="s">
        <v>61</v>
      </c>
      <c r="M188">
        <v>30</v>
      </c>
      <c r="N188">
        <v>25.6</v>
      </c>
      <c r="O188" t="s">
        <v>62</v>
      </c>
      <c r="P188" t="s">
        <v>67</v>
      </c>
      <c r="Q188">
        <v>153</v>
      </c>
      <c r="R188">
        <v>130.55000000000001</v>
      </c>
    </row>
    <row r="189" spans="1:18" x14ac:dyDescent="0.35">
      <c r="A189" t="s">
        <v>56</v>
      </c>
      <c r="B189" t="s">
        <v>57</v>
      </c>
      <c r="C189" t="s">
        <v>70</v>
      </c>
      <c r="D189">
        <v>107284888</v>
      </c>
      <c r="E189" t="s">
        <v>535</v>
      </c>
      <c r="F189" t="s">
        <v>78</v>
      </c>
      <c r="G189">
        <v>0</v>
      </c>
      <c r="H189">
        <v>1.17</v>
      </c>
      <c r="I189">
        <v>0</v>
      </c>
      <c r="J189">
        <v>0</v>
      </c>
      <c r="K189">
        <v>1.17</v>
      </c>
      <c r="L189" t="s">
        <v>61</v>
      </c>
      <c r="M189">
        <v>30</v>
      </c>
      <c r="N189">
        <v>25.6</v>
      </c>
      <c r="O189" t="s">
        <v>68</v>
      </c>
      <c r="P189" t="s">
        <v>67</v>
      </c>
      <c r="Q189">
        <v>30</v>
      </c>
      <c r="R189">
        <v>25.6</v>
      </c>
    </row>
    <row r="190" spans="1:18" x14ac:dyDescent="0.35">
      <c r="A190" t="s">
        <v>56</v>
      </c>
      <c r="B190" t="s">
        <v>57</v>
      </c>
      <c r="C190" t="s">
        <v>70</v>
      </c>
      <c r="D190">
        <v>107284888</v>
      </c>
      <c r="E190" t="s">
        <v>535</v>
      </c>
      <c r="F190" t="s">
        <v>78</v>
      </c>
      <c r="G190">
        <v>0</v>
      </c>
      <c r="H190">
        <v>1.17</v>
      </c>
      <c r="I190">
        <v>0</v>
      </c>
      <c r="J190">
        <v>0</v>
      </c>
      <c r="K190">
        <v>1.17</v>
      </c>
      <c r="L190" t="s">
        <v>61</v>
      </c>
      <c r="M190">
        <v>30</v>
      </c>
      <c r="N190">
        <v>25.6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58</v>
      </c>
      <c r="D191">
        <v>107348340</v>
      </c>
      <c r="E191" t="s">
        <v>536</v>
      </c>
      <c r="F191" t="s">
        <v>78</v>
      </c>
      <c r="G191">
        <v>0.34</v>
      </c>
      <c r="H191">
        <v>5.57</v>
      </c>
      <c r="I191">
        <v>0</v>
      </c>
      <c r="J191">
        <v>0</v>
      </c>
      <c r="K191">
        <v>5.91</v>
      </c>
      <c r="L191" t="s">
        <v>61</v>
      </c>
      <c r="M191">
        <v>79</v>
      </c>
      <c r="N191">
        <v>13.37</v>
      </c>
      <c r="O191" t="s">
        <v>62</v>
      </c>
      <c r="P191" t="s">
        <v>63</v>
      </c>
      <c r="Q191">
        <v>85</v>
      </c>
      <c r="R191">
        <v>250</v>
      </c>
    </row>
    <row r="192" spans="1:18" x14ac:dyDescent="0.35">
      <c r="A192" t="s">
        <v>56</v>
      </c>
      <c r="B192" t="s">
        <v>57</v>
      </c>
      <c r="C192" t="s">
        <v>58</v>
      </c>
      <c r="D192">
        <v>107348340</v>
      </c>
      <c r="E192" t="s">
        <v>536</v>
      </c>
      <c r="F192" t="s">
        <v>78</v>
      </c>
      <c r="G192">
        <v>0.34</v>
      </c>
      <c r="H192">
        <v>5.57</v>
      </c>
      <c r="I192">
        <v>0</v>
      </c>
      <c r="J192">
        <v>0</v>
      </c>
      <c r="K192">
        <v>5.91</v>
      </c>
      <c r="L192" t="s">
        <v>61</v>
      </c>
      <c r="M192">
        <v>79</v>
      </c>
      <c r="N192">
        <v>13.37</v>
      </c>
      <c r="O192" t="s">
        <v>62</v>
      </c>
      <c r="P192" t="s">
        <v>64</v>
      </c>
      <c r="Q192">
        <v>261</v>
      </c>
      <c r="R192">
        <v>46.88</v>
      </c>
    </row>
    <row r="193" spans="1:18" x14ac:dyDescent="0.35">
      <c r="A193" t="s">
        <v>56</v>
      </c>
      <c r="B193" t="s">
        <v>57</v>
      </c>
      <c r="C193" t="s">
        <v>58</v>
      </c>
      <c r="D193">
        <v>107348340</v>
      </c>
      <c r="E193" t="s">
        <v>536</v>
      </c>
      <c r="F193" t="s">
        <v>78</v>
      </c>
      <c r="G193">
        <v>0.34</v>
      </c>
      <c r="H193">
        <v>5.57</v>
      </c>
      <c r="I193">
        <v>0</v>
      </c>
      <c r="J193">
        <v>0</v>
      </c>
      <c r="K193">
        <v>5.91</v>
      </c>
      <c r="L193" t="s">
        <v>61</v>
      </c>
      <c r="M193">
        <v>79</v>
      </c>
      <c r="N193">
        <v>13.37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58</v>
      </c>
      <c r="D194">
        <v>107348340</v>
      </c>
      <c r="E194" t="s">
        <v>536</v>
      </c>
      <c r="F194" t="s">
        <v>78</v>
      </c>
      <c r="G194">
        <v>0.34</v>
      </c>
      <c r="H194">
        <v>5.57</v>
      </c>
      <c r="I194">
        <v>0</v>
      </c>
      <c r="J194">
        <v>0</v>
      </c>
      <c r="K194">
        <v>5.91</v>
      </c>
      <c r="L194" t="s">
        <v>61</v>
      </c>
      <c r="M194">
        <v>79</v>
      </c>
      <c r="N194">
        <v>13.37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58</v>
      </c>
      <c r="D195">
        <v>107348340</v>
      </c>
      <c r="E195" t="s">
        <v>536</v>
      </c>
      <c r="F195" t="s">
        <v>78</v>
      </c>
      <c r="G195">
        <v>0.34</v>
      </c>
      <c r="H195">
        <v>5.57</v>
      </c>
      <c r="I195">
        <v>0</v>
      </c>
      <c r="J195">
        <v>0</v>
      </c>
      <c r="K195">
        <v>5.91</v>
      </c>
      <c r="L195" t="s">
        <v>61</v>
      </c>
      <c r="M195">
        <v>79</v>
      </c>
      <c r="N195">
        <v>13.37</v>
      </c>
      <c r="O195" t="s">
        <v>62</v>
      </c>
      <c r="P195" t="s">
        <v>67</v>
      </c>
      <c r="Q195">
        <v>346</v>
      </c>
      <c r="R195">
        <v>58.57</v>
      </c>
    </row>
    <row r="196" spans="1:18" x14ac:dyDescent="0.35">
      <c r="A196" t="s">
        <v>56</v>
      </c>
      <c r="B196" t="s">
        <v>57</v>
      </c>
      <c r="C196" t="s">
        <v>58</v>
      </c>
      <c r="D196">
        <v>107348340</v>
      </c>
      <c r="E196" t="s">
        <v>536</v>
      </c>
      <c r="F196" t="s">
        <v>78</v>
      </c>
      <c r="G196">
        <v>0.34</v>
      </c>
      <c r="H196">
        <v>5.57</v>
      </c>
      <c r="I196">
        <v>0</v>
      </c>
      <c r="J196">
        <v>0</v>
      </c>
      <c r="K196">
        <v>5.91</v>
      </c>
      <c r="L196" t="s">
        <v>61</v>
      </c>
      <c r="M196">
        <v>79</v>
      </c>
      <c r="N196">
        <v>13.37</v>
      </c>
      <c r="O196" t="s">
        <v>68</v>
      </c>
      <c r="P196" t="s">
        <v>67</v>
      </c>
      <c r="Q196">
        <v>79</v>
      </c>
      <c r="R196">
        <v>13.37</v>
      </c>
    </row>
    <row r="197" spans="1:18" x14ac:dyDescent="0.35">
      <c r="A197" t="s">
        <v>56</v>
      </c>
      <c r="B197" t="s">
        <v>57</v>
      </c>
      <c r="C197" t="s">
        <v>58</v>
      </c>
      <c r="D197">
        <v>107348340</v>
      </c>
      <c r="E197" t="s">
        <v>536</v>
      </c>
      <c r="F197" t="s">
        <v>78</v>
      </c>
      <c r="G197">
        <v>0.34</v>
      </c>
      <c r="H197">
        <v>5.57</v>
      </c>
      <c r="I197">
        <v>0</v>
      </c>
      <c r="J197">
        <v>0</v>
      </c>
      <c r="K197">
        <v>5.91</v>
      </c>
      <c r="L197" t="s">
        <v>61</v>
      </c>
      <c r="M197">
        <v>79</v>
      </c>
      <c r="N197">
        <v>13.37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107432433</v>
      </c>
      <c r="E198" t="s">
        <v>90</v>
      </c>
      <c r="F198" t="s">
        <v>60</v>
      </c>
      <c r="G198">
        <v>0.84</v>
      </c>
      <c r="H198">
        <v>8.59</v>
      </c>
      <c r="I198">
        <v>0</v>
      </c>
      <c r="J198">
        <v>0</v>
      </c>
      <c r="K198">
        <v>9.44</v>
      </c>
      <c r="L198" t="s">
        <v>61</v>
      </c>
      <c r="M198">
        <v>170</v>
      </c>
      <c r="N198">
        <v>18.010000000000002</v>
      </c>
      <c r="O198" t="s">
        <v>62</v>
      </c>
      <c r="P198" t="s">
        <v>63</v>
      </c>
      <c r="Q198">
        <v>369</v>
      </c>
      <c r="R198">
        <v>436.69</v>
      </c>
    </row>
    <row r="199" spans="1:18" x14ac:dyDescent="0.35">
      <c r="A199" t="s">
        <v>56</v>
      </c>
      <c r="B199" t="s">
        <v>57</v>
      </c>
      <c r="C199" t="s">
        <v>70</v>
      </c>
      <c r="D199">
        <v>107432433</v>
      </c>
      <c r="E199" t="s">
        <v>90</v>
      </c>
      <c r="F199" t="s">
        <v>60</v>
      </c>
      <c r="G199">
        <v>0.84</v>
      </c>
      <c r="H199">
        <v>8.59</v>
      </c>
      <c r="I199">
        <v>0</v>
      </c>
      <c r="J199">
        <v>0</v>
      </c>
      <c r="K199">
        <v>9.44</v>
      </c>
      <c r="L199" t="s">
        <v>61</v>
      </c>
      <c r="M199">
        <v>170</v>
      </c>
      <c r="N199">
        <v>18.010000000000002</v>
      </c>
      <c r="O199" t="s">
        <v>62</v>
      </c>
      <c r="P199" t="s">
        <v>64</v>
      </c>
      <c r="Q199">
        <v>704</v>
      </c>
      <c r="R199">
        <v>81.92</v>
      </c>
    </row>
    <row r="200" spans="1:18" x14ac:dyDescent="0.35">
      <c r="A200" t="s">
        <v>56</v>
      </c>
      <c r="B200" t="s">
        <v>57</v>
      </c>
      <c r="C200" t="s">
        <v>70</v>
      </c>
      <c r="D200">
        <v>107432433</v>
      </c>
      <c r="E200" t="s">
        <v>90</v>
      </c>
      <c r="F200" t="s">
        <v>60</v>
      </c>
      <c r="G200">
        <v>0.84</v>
      </c>
      <c r="H200">
        <v>8.59</v>
      </c>
      <c r="I200">
        <v>0</v>
      </c>
      <c r="J200">
        <v>0</v>
      </c>
      <c r="K200">
        <v>9.44</v>
      </c>
      <c r="L200" t="s">
        <v>61</v>
      </c>
      <c r="M200">
        <v>170</v>
      </c>
      <c r="N200">
        <v>18.010000000000002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70</v>
      </c>
      <c r="D201">
        <v>107432433</v>
      </c>
      <c r="E201" t="s">
        <v>90</v>
      </c>
      <c r="F201" t="s">
        <v>60</v>
      </c>
      <c r="G201">
        <v>0.84</v>
      </c>
      <c r="H201">
        <v>8.59</v>
      </c>
      <c r="I201">
        <v>0</v>
      </c>
      <c r="J201">
        <v>0</v>
      </c>
      <c r="K201">
        <v>9.44</v>
      </c>
      <c r="L201" t="s">
        <v>61</v>
      </c>
      <c r="M201">
        <v>170</v>
      </c>
      <c r="N201">
        <v>18.010000000000002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70</v>
      </c>
      <c r="D202">
        <v>107432433</v>
      </c>
      <c r="E202" t="s">
        <v>90</v>
      </c>
      <c r="F202" t="s">
        <v>60</v>
      </c>
      <c r="G202">
        <v>0.84</v>
      </c>
      <c r="H202">
        <v>8.59</v>
      </c>
      <c r="I202">
        <v>0</v>
      </c>
      <c r="J202">
        <v>0</v>
      </c>
      <c r="K202">
        <v>9.44</v>
      </c>
      <c r="L202" t="s">
        <v>61</v>
      </c>
      <c r="M202">
        <v>170</v>
      </c>
      <c r="N202">
        <v>18.010000000000002</v>
      </c>
      <c r="O202" t="s">
        <v>62</v>
      </c>
      <c r="P202" t="s">
        <v>67</v>
      </c>
      <c r="Q202">
        <v>1073</v>
      </c>
      <c r="R202">
        <v>113.68</v>
      </c>
    </row>
    <row r="203" spans="1:18" x14ac:dyDescent="0.35">
      <c r="A203" t="s">
        <v>56</v>
      </c>
      <c r="B203" t="s">
        <v>57</v>
      </c>
      <c r="C203" t="s">
        <v>70</v>
      </c>
      <c r="D203">
        <v>107432433</v>
      </c>
      <c r="E203" t="s">
        <v>90</v>
      </c>
      <c r="F203" t="s">
        <v>60</v>
      </c>
      <c r="G203">
        <v>0.84</v>
      </c>
      <c r="H203">
        <v>8.59</v>
      </c>
      <c r="I203">
        <v>0</v>
      </c>
      <c r="J203">
        <v>0</v>
      </c>
      <c r="K203">
        <v>9.44</v>
      </c>
      <c r="L203" t="s">
        <v>61</v>
      </c>
      <c r="M203">
        <v>170</v>
      </c>
      <c r="N203">
        <v>18.010000000000002</v>
      </c>
      <c r="O203" t="s">
        <v>68</v>
      </c>
      <c r="P203" t="s">
        <v>67</v>
      </c>
      <c r="Q203">
        <v>170</v>
      </c>
      <c r="R203">
        <v>18.010000000000002</v>
      </c>
    </row>
    <row r="204" spans="1:18" x14ac:dyDescent="0.35">
      <c r="A204" t="s">
        <v>56</v>
      </c>
      <c r="B204" t="s">
        <v>57</v>
      </c>
      <c r="C204" t="s">
        <v>70</v>
      </c>
      <c r="D204">
        <v>107432433</v>
      </c>
      <c r="E204" t="s">
        <v>90</v>
      </c>
      <c r="F204" t="s">
        <v>60</v>
      </c>
      <c r="G204">
        <v>0.84</v>
      </c>
      <c r="H204">
        <v>8.59</v>
      </c>
      <c r="I204">
        <v>0</v>
      </c>
      <c r="J204">
        <v>0</v>
      </c>
      <c r="K204">
        <v>9.44</v>
      </c>
      <c r="L204" t="s">
        <v>61</v>
      </c>
      <c r="M204">
        <v>170</v>
      </c>
      <c r="N204">
        <v>18.010000000000002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70</v>
      </c>
      <c r="D205">
        <v>107463281</v>
      </c>
      <c r="E205" t="s">
        <v>91</v>
      </c>
      <c r="F205" t="s">
        <v>60</v>
      </c>
      <c r="G205">
        <v>0.46</v>
      </c>
      <c r="H205">
        <v>9.1300000000000008</v>
      </c>
      <c r="I205">
        <v>0</v>
      </c>
      <c r="J205">
        <v>0</v>
      </c>
      <c r="K205">
        <v>9.59</v>
      </c>
      <c r="L205" t="s">
        <v>61</v>
      </c>
      <c r="M205">
        <v>371</v>
      </c>
      <c r="N205">
        <v>38.69</v>
      </c>
      <c r="O205" t="s">
        <v>62</v>
      </c>
      <c r="P205" t="s">
        <v>63</v>
      </c>
      <c r="Q205">
        <v>598</v>
      </c>
      <c r="R205">
        <v>1302.3599999999999</v>
      </c>
    </row>
    <row r="206" spans="1:18" x14ac:dyDescent="0.35">
      <c r="A206" t="s">
        <v>56</v>
      </c>
      <c r="B206" t="s">
        <v>57</v>
      </c>
      <c r="C206" t="s">
        <v>70</v>
      </c>
      <c r="D206">
        <v>107463281</v>
      </c>
      <c r="E206" t="s">
        <v>91</v>
      </c>
      <c r="F206" t="s">
        <v>60</v>
      </c>
      <c r="G206">
        <v>0.46</v>
      </c>
      <c r="H206">
        <v>9.1300000000000008</v>
      </c>
      <c r="I206">
        <v>0</v>
      </c>
      <c r="J206">
        <v>0</v>
      </c>
      <c r="K206">
        <v>9.59</v>
      </c>
      <c r="L206" t="s">
        <v>61</v>
      </c>
      <c r="M206">
        <v>371</v>
      </c>
      <c r="N206">
        <v>38.69</v>
      </c>
      <c r="O206" t="s">
        <v>62</v>
      </c>
      <c r="P206" t="s">
        <v>64</v>
      </c>
      <c r="Q206">
        <v>2230</v>
      </c>
      <c r="R206">
        <v>244.23</v>
      </c>
    </row>
    <row r="207" spans="1:18" x14ac:dyDescent="0.35">
      <c r="A207" t="s">
        <v>56</v>
      </c>
      <c r="B207" t="s">
        <v>57</v>
      </c>
      <c r="C207" t="s">
        <v>70</v>
      </c>
      <c r="D207">
        <v>107463281</v>
      </c>
      <c r="E207" t="s">
        <v>91</v>
      </c>
      <c r="F207" t="s">
        <v>60</v>
      </c>
      <c r="G207">
        <v>0.46</v>
      </c>
      <c r="H207">
        <v>9.1300000000000008</v>
      </c>
      <c r="I207">
        <v>0</v>
      </c>
      <c r="J207">
        <v>0</v>
      </c>
      <c r="K207">
        <v>9.59</v>
      </c>
      <c r="L207" t="s">
        <v>61</v>
      </c>
      <c r="M207">
        <v>371</v>
      </c>
      <c r="N207">
        <v>38.69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70</v>
      </c>
      <c r="D208">
        <v>107463281</v>
      </c>
      <c r="E208" t="s">
        <v>91</v>
      </c>
      <c r="F208" t="s">
        <v>60</v>
      </c>
      <c r="G208">
        <v>0.46</v>
      </c>
      <c r="H208">
        <v>9.1300000000000008</v>
      </c>
      <c r="I208">
        <v>0</v>
      </c>
      <c r="J208">
        <v>0</v>
      </c>
      <c r="K208">
        <v>9.59</v>
      </c>
      <c r="L208" t="s">
        <v>61</v>
      </c>
      <c r="M208">
        <v>371</v>
      </c>
      <c r="N208">
        <v>38.69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70</v>
      </c>
      <c r="D209">
        <v>107463281</v>
      </c>
      <c r="E209" t="s">
        <v>91</v>
      </c>
      <c r="F209" t="s">
        <v>60</v>
      </c>
      <c r="G209">
        <v>0.46</v>
      </c>
      <c r="H209">
        <v>9.1300000000000008</v>
      </c>
      <c r="I209">
        <v>0</v>
      </c>
      <c r="J209">
        <v>0</v>
      </c>
      <c r="K209">
        <v>9.59</v>
      </c>
      <c r="L209" t="s">
        <v>61</v>
      </c>
      <c r="M209">
        <v>371</v>
      </c>
      <c r="N209">
        <v>38.69</v>
      </c>
      <c r="O209" t="s">
        <v>62</v>
      </c>
      <c r="P209" t="s">
        <v>67</v>
      </c>
      <c r="Q209">
        <v>2828</v>
      </c>
      <c r="R209">
        <v>294.88</v>
      </c>
    </row>
    <row r="210" spans="1:18" x14ac:dyDescent="0.35">
      <c r="A210" t="s">
        <v>56</v>
      </c>
      <c r="B210" t="s">
        <v>57</v>
      </c>
      <c r="C210" t="s">
        <v>70</v>
      </c>
      <c r="D210">
        <v>107463281</v>
      </c>
      <c r="E210" t="s">
        <v>91</v>
      </c>
      <c r="F210" t="s">
        <v>60</v>
      </c>
      <c r="G210">
        <v>0.46</v>
      </c>
      <c r="H210">
        <v>9.1300000000000008</v>
      </c>
      <c r="I210">
        <v>0</v>
      </c>
      <c r="J210">
        <v>0</v>
      </c>
      <c r="K210">
        <v>9.59</v>
      </c>
      <c r="L210" t="s">
        <v>61</v>
      </c>
      <c r="M210">
        <v>371</v>
      </c>
      <c r="N210">
        <v>38.69</v>
      </c>
      <c r="O210" t="s">
        <v>68</v>
      </c>
      <c r="P210" t="s">
        <v>67</v>
      </c>
      <c r="Q210">
        <v>371</v>
      </c>
      <c r="R210">
        <v>38.69</v>
      </c>
    </row>
    <row r="211" spans="1:18" x14ac:dyDescent="0.35">
      <c r="A211" t="s">
        <v>56</v>
      </c>
      <c r="B211" t="s">
        <v>57</v>
      </c>
      <c r="C211" t="s">
        <v>70</v>
      </c>
      <c r="D211">
        <v>107463281</v>
      </c>
      <c r="E211" t="s">
        <v>91</v>
      </c>
      <c r="F211" t="s">
        <v>60</v>
      </c>
      <c r="G211">
        <v>0.46</v>
      </c>
      <c r="H211">
        <v>9.1300000000000008</v>
      </c>
      <c r="I211">
        <v>0</v>
      </c>
      <c r="J211">
        <v>0</v>
      </c>
      <c r="K211">
        <v>9.59</v>
      </c>
      <c r="L211" t="s">
        <v>61</v>
      </c>
      <c r="M211">
        <v>371</v>
      </c>
      <c r="N211">
        <v>38.69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70</v>
      </c>
      <c r="D212">
        <v>107589455</v>
      </c>
      <c r="E212" t="s">
        <v>570</v>
      </c>
      <c r="F212" t="s">
        <v>72</v>
      </c>
      <c r="G212">
        <v>0.15</v>
      </c>
      <c r="H212">
        <v>5.25</v>
      </c>
      <c r="I212">
        <v>0</v>
      </c>
      <c r="J212">
        <v>0</v>
      </c>
      <c r="K212">
        <v>5.4</v>
      </c>
      <c r="L212" t="s">
        <v>61</v>
      </c>
      <c r="M212">
        <v>147</v>
      </c>
      <c r="N212">
        <v>27.22</v>
      </c>
      <c r="O212" t="s">
        <v>62</v>
      </c>
      <c r="P212" t="s">
        <v>63</v>
      </c>
      <c r="Q212">
        <v>100</v>
      </c>
      <c r="R212">
        <v>680.53</v>
      </c>
    </row>
    <row r="213" spans="1:18" x14ac:dyDescent="0.35">
      <c r="A213" t="s">
        <v>56</v>
      </c>
      <c r="B213" t="s">
        <v>57</v>
      </c>
      <c r="C213" t="s">
        <v>70</v>
      </c>
      <c r="D213">
        <v>107589455</v>
      </c>
      <c r="E213" t="s">
        <v>570</v>
      </c>
      <c r="F213" t="s">
        <v>72</v>
      </c>
      <c r="G213">
        <v>0.15</v>
      </c>
      <c r="H213">
        <v>5.25</v>
      </c>
      <c r="I213">
        <v>0</v>
      </c>
      <c r="J213">
        <v>0</v>
      </c>
      <c r="K213">
        <v>5.4</v>
      </c>
      <c r="L213" t="s">
        <v>61</v>
      </c>
      <c r="M213">
        <v>147</v>
      </c>
      <c r="N213">
        <v>27.22</v>
      </c>
      <c r="O213" t="s">
        <v>62</v>
      </c>
      <c r="P213" t="s">
        <v>64</v>
      </c>
      <c r="Q213">
        <v>670</v>
      </c>
      <c r="R213">
        <v>127.55</v>
      </c>
    </row>
    <row r="214" spans="1:18" x14ac:dyDescent="0.35">
      <c r="A214" t="s">
        <v>56</v>
      </c>
      <c r="B214" t="s">
        <v>57</v>
      </c>
      <c r="C214" t="s">
        <v>70</v>
      </c>
      <c r="D214">
        <v>107589455</v>
      </c>
      <c r="E214" t="s">
        <v>570</v>
      </c>
      <c r="F214" t="s">
        <v>72</v>
      </c>
      <c r="G214">
        <v>0.15</v>
      </c>
      <c r="H214">
        <v>5.25</v>
      </c>
      <c r="I214">
        <v>0</v>
      </c>
      <c r="J214">
        <v>0</v>
      </c>
      <c r="K214">
        <v>5.4</v>
      </c>
      <c r="L214" t="s">
        <v>61</v>
      </c>
      <c r="M214">
        <v>147</v>
      </c>
      <c r="N214">
        <v>27.22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70</v>
      </c>
      <c r="D215">
        <v>107589455</v>
      </c>
      <c r="E215" t="s">
        <v>570</v>
      </c>
      <c r="F215" t="s">
        <v>72</v>
      </c>
      <c r="G215">
        <v>0.15</v>
      </c>
      <c r="H215">
        <v>5.25</v>
      </c>
      <c r="I215">
        <v>0</v>
      </c>
      <c r="J215">
        <v>0</v>
      </c>
      <c r="K215">
        <v>5.4</v>
      </c>
      <c r="L215" t="s">
        <v>61</v>
      </c>
      <c r="M215">
        <v>147</v>
      </c>
      <c r="N215">
        <v>27.22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70</v>
      </c>
      <c r="D216">
        <v>107589455</v>
      </c>
      <c r="E216" t="s">
        <v>570</v>
      </c>
      <c r="F216" t="s">
        <v>72</v>
      </c>
      <c r="G216">
        <v>0.15</v>
      </c>
      <c r="H216">
        <v>5.25</v>
      </c>
      <c r="I216">
        <v>0</v>
      </c>
      <c r="J216">
        <v>0</v>
      </c>
      <c r="K216">
        <v>5.4</v>
      </c>
      <c r="L216" t="s">
        <v>61</v>
      </c>
      <c r="M216">
        <v>147</v>
      </c>
      <c r="N216">
        <v>27.22</v>
      </c>
      <c r="O216" t="s">
        <v>62</v>
      </c>
      <c r="P216" t="s">
        <v>67</v>
      </c>
      <c r="Q216">
        <v>770</v>
      </c>
      <c r="R216">
        <v>142.59</v>
      </c>
    </row>
    <row r="217" spans="1:18" x14ac:dyDescent="0.35">
      <c r="A217" t="s">
        <v>56</v>
      </c>
      <c r="B217" t="s">
        <v>57</v>
      </c>
      <c r="C217" t="s">
        <v>70</v>
      </c>
      <c r="D217">
        <v>107589455</v>
      </c>
      <c r="E217" t="s">
        <v>570</v>
      </c>
      <c r="F217" t="s">
        <v>72</v>
      </c>
      <c r="G217">
        <v>0.15</v>
      </c>
      <c r="H217">
        <v>5.25</v>
      </c>
      <c r="I217">
        <v>0</v>
      </c>
      <c r="J217">
        <v>0</v>
      </c>
      <c r="K217">
        <v>5.4</v>
      </c>
      <c r="L217" t="s">
        <v>61</v>
      </c>
      <c r="M217">
        <v>147</v>
      </c>
      <c r="N217">
        <v>27.22</v>
      </c>
      <c r="O217" t="s">
        <v>68</v>
      </c>
      <c r="P217" t="s">
        <v>67</v>
      </c>
      <c r="Q217">
        <v>147</v>
      </c>
      <c r="R217">
        <v>27.22</v>
      </c>
    </row>
    <row r="218" spans="1:18" x14ac:dyDescent="0.35">
      <c r="A218" t="s">
        <v>56</v>
      </c>
      <c r="B218" t="s">
        <v>57</v>
      </c>
      <c r="C218" t="s">
        <v>70</v>
      </c>
      <c r="D218">
        <v>107589455</v>
      </c>
      <c r="E218" t="s">
        <v>570</v>
      </c>
      <c r="F218" t="s">
        <v>72</v>
      </c>
      <c r="G218">
        <v>0.15</v>
      </c>
      <c r="H218">
        <v>5.25</v>
      </c>
      <c r="I218">
        <v>0</v>
      </c>
      <c r="J218">
        <v>0</v>
      </c>
      <c r="K218">
        <v>5.4</v>
      </c>
      <c r="L218" t="s">
        <v>61</v>
      </c>
      <c r="M218">
        <v>147</v>
      </c>
      <c r="N218">
        <v>27.22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58</v>
      </c>
      <c r="D219">
        <v>107610935</v>
      </c>
      <c r="E219" t="s">
        <v>580</v>
      </c>
      <c r="F219" t="s">
        <v>78</v>
      </c>
      <c r="G219">
        <v>0.89</v>
      </c>
      <c r="H219">
        <v>5.37</v>
      </c>
      <c r="I219">
        <v>0</v>
      </c>
      <c r="J219">
        <v>0</v>
      </c>
      <c r="K219">
        <v>6.26</v>
      </c>
      <c r="L219" t="s">
        <v>61</v>
      </c>
      <c r="M219">
        <v>167</v>
      </c>
      <c r="N219">
        <v>26.67</v>
      </c>
      <c r="O219" t="s">
        <v>62</v>
      </c>
      <c r="P219" t="s">
        <v>63</v>
      </c>
      <c r="Q219">
        <v>1002</v>
      </c>
      <c r="R219">
        <v>1126.19</v>
      </c>
    </row>
    <row r="220" spans="1:18" x14ac:dyDescent="0.35">
      <c r="A220" t="s">
        <v>56</v>
      </c>
      <c r="B220" t="s">
        <v>57</v>
      </c>
      <c r="C220" t="s">
        <v>58</v>
      </c>
      <c r="D220">
        <v>107610935</v>
      </c>
      <c r="E220" t="s">
        <v>580</v>
      </c>
      <c r="F220" t="s">
        <v>78</v>
      </c>
      <c r="G220">
        <v>0.89</v>
      </c>
      <c r="H220">
        <v>5.37</v>
      </c>
      <c r="I220">
        <v>0</v>
      </c>
      <c r="J220">
        <v>0</v>
      </c>
      <c r="K220">
        <v>6.26</v>
      </c>
      <c r="L220" t="s">
        <v>61</v>
      </c>
      <c r="M220">
        <v>167</v>
      </c>
      <c r="N220">
        <v>26.67</v>
      </c>
      <c r="O220" t="s">
        <v>62</v>
      </c>
      <c r="P220" t="s">
        <v>64</v>
      </c>
      <c r="Q220">
        <v>1135</v>
      </c>
      <c r="R220">
        <v>211.25</v>
      </c>
    </row>
    <row r="221" spans="1:18" x14ac:dyDescent="0.35">
      <c r="A221" t="s">
        <v>56</v>
      </c>
      <c r="B221" t="s">
        <v>57</v>
      </c>
      <c r="C221" t="s">
        <v>58</v>
      </c>
      <c r="D221">
        <v>107610935</v>
      </c>
      <c r="E221" t="s">
        <v>580</v>
      </c>
      <c r="F221" t="s">
        <v>78</v>
      </c>
      <c r="G221">
        <v>0.89</v>
      </c>
      <c r="H221">
        <v>5.37</v>
      </c>
      <c r="I221">
        <v>0</v>
      </c>
      <c r="J221">
        <v>0</v>
      </c>
      <c r="K221">
        <v>6.26</v>
      </c>
      <c r="L221" t="s">
        <v>61</v>
      </c>
      <c r="M221">
        <v>167</v>
      </c>
      <c r="N221">
        <v>26.67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58</v>
      </c>
      <c r="D222">
        <v>107610935</v>
      </c>
      <c r="E222" t="s">
        <v>580</v>
      </c>
      <c r="F222" t="s">
        <v>78</v>
      </c>
      <c r="G222">
        <v>0.89</v>
      </c>
      <c r="H222">
        <v>5.37</v>
      </c>
      <c r="I222">
        <v>0</v>
      </c>
      <c r="J222">
        <v>0</v>
      </c>
      <c r="K222">
        <v>6.26</v>
      </c>
      <c r="L222" t="s">
        <v>61</v>
      </c>
      <c r="M222">
        <v>167</v>
      </c>
      <c r="N222">
        <v>26.67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58</v>
      </c>
      <c r="D223">
        <v>107610935</v>
      </c>
      <c r="E223" t="s">
        <v>580</v>
      </c>
      <c r="F223" t="s">
        <v>78</v>
      </c>
      <c r="G223">
        <v>0.89</v>
      </c>
      <c r="H223">
        <v>5.37</v>
      </c>
      <c r="I223">
        <v>0</v>
      </c>
      <c r="J223">
        <v>0</v>
      </c>
      <c r="K223">
        <v>6.26</v>
      </c>
      <c r="L223" t="s">
        <v>61</v>
      </c>
      <c r="M223">
        <v>167</v>
      </c>
      <c r="N223">
        <v>26.67</v>
      </c>
      <c r="O223" t="s">
        <v>62</v>
      </c>
      <c r="P223" t="s">
        <v>67</v>
      </c>
      <c r="Q223">
        <v>2137</v>
      </c>
      <c r="R223">
        <v>341.22</v>
      </c>
    </row>
    <row r="224" spans="1:18" x14ac:dyDescent="0.35">
      <c r="A224" t="s">
        <v>56</v>
      </c>
      <c r="B224" t="s">
        <v>57</v>
      </c>
      <c r="C224" t="s">
        <v>58</v>
      </c>
      <c r="D224">
        <v>107610935</v>
      </c>
      <c r="E224" t="s">
        <v>580</v>
      </c>
      <c r="F224" t="s">
        <v>78</v>
      </c>
      <c r="G224">
        <v>0.89</v>
      </c>
      <c r="H224">
        <v>5.37</v>
      </c>
      <c r="I224">
        <v>0</v>
      </c>
      <c r="J224">
        <v>0</v>
      </c>
      <c r="K224">
        <v>6.26</v>
      </c>
      <c r="L224" t="s">
        <v>61</v>
      </c>
      <c r="M224">
        <v>167</v>
      </c>
      <c r="N224">
        <v>26.67</v>
      </c>
      <c r="O224" t="s">
        <v>68</v>
      </c>
      <c r="P224" t="s">
        <v>67</v>
      </c>
      <c r="Q224">
        <v>167</v>
      </c>
      <c r="R224">
        <v>26.67</v>
      </c>
    </row>
    <row r="225" spans="1:18" x14ac:dyDescent="0.35">
      <c r="A225" t="s">
        <v>56</v>
      </c>
      <c r="B225" t="s">
        <v>57</v>
      </c>
      <c r="C225" t="s">
        <v>58</v>
      </c>
      <c r="D225">
        <v>107610935</v>
      </c>
      <c r="E225" t="s">
        <v>580</v>
      </c>
      <c r="F225" t="s">
        <v>78</v>
      </c>
      <c r="G225">
        <v>0.89</v>
      </c>
      <c r="H225">
        <v>5.37</v>
      </c>
      <c r="I225">
        <v>0</v>
      </c>
      <c r="J225">
        <v>0</v>
      </c>
      <c r="K225">
        <v>6.26</v>
      </c>
      <c r="L225" t="s">
        <v>61</v>
      </c>
      <c r="M225">
        <v>167</v>
      </c>
      <c r="N225">
        <v>26.67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70</v>
      </c>
      <c r="D226">
        <v>107671942</v>
      </c>
      <c r="E226" t="s">
        <v>581</v>
      </c>
      <c r="F226" t="s">
        <v>78</v>
      </c>
      <c r="G226">
        <v>0.08</v>
      </c>
      <c r="H226">
        <v>1.79</v>
      </c>
      <c r="I226">
        <v>0</v>
      </c>
      <c r="J226">
        <v>0</v>
      </c>
      <c r="K226">
        <v>1.86</v>
      </c>
      <c r="L226" t="s">
        <v>61</v>
      </c>
      <c r="M226">
        <v>89</v>
      </c>
      <c r="N226">
        <v>47.81</v>
      </c>
      <c r="O226" t="s">
        <v>62</v>
      </c>
      <c r="P226" t="s">
        <v>63</v>
      </c>
      <c r="Q226">
        <v>126</v>
      </c>
      <c r="R226">
        <v>1673.8</v>
      </c>
    </row>
    <row r="227" spans="1:18" x14ac:dyDescent="0.35">
      <c r="A227" t="s">
        <v>56</v>
      </c>
      <c r="B227" t="s">
        <v>57</v>
      </c>
      <c r="C227" t="s">
        <v>70</v>
      </c>
      <c r="D227">
        <v>107671942</v>
      </c>
      <c r="E227" t="s">
        <v>581</v>
      </c>
      <c r="F227" t="s">
        <v>78</v>
      </c>
      <c r="G227">
        <v>0.08</v>
      </c>
      <c r="H227">
        <v>1.79</v>
      </c>
      <c r="I227">
        <v>0</v>
      </c>
      <c r="J227">
        <v>0</v>
      </c>
      <c r="K227">
        <v>1.86</v>
      </c>
      <c r="L227" t="s">
        <v>61</v>
      </c>
      <c r="M227">
        <v>89</v>
      </c>
      <c r="N227">
        <v>47.81</v>
      </c>
      <c r="O227" t="s">
        <v>62</v>
      </c>
      <c r="P227" t="s">
        <v>64</v>
      </c>
      <c r="Q227">
        <v>560</v>
      </c>
      <c r="R227">
        <v>313.52999999999997</v>
      </c>
    </row>
    <row r="228" spans="1:18" x14ac:dyDescent="0.35">
      <c r="A228" t="s">
        <v>56</v>
      </c>
      <c r="B228" t="s">
        <v>57</v>
      </c>
      <c r="C228" t="s">
        <v>70</v>
      </c>
      <c r="D228">
        <v>107671942</v>
      </c>
      <c r="E228" t="s">
        <v>581</v>
      </c>
      <c r="F228" t="s">
        <v>78</v>
      </c>
      <c r="G228">
        <v>0.08</v>
      </c>
      <c r="H228">
        <v>1.79</v>
      </c>
      <c r="I228">
        <v>0</v>
      </c>
      <c r="J228">
        <v>0</v>
      </c>
      <c r="K228">
        <v>1.86</v>
      </c>
      <c r="L228" t="s">
        <v>61</v>
      </c>
      <c r="M228">
        <v>89</v>
      </c>
      <c r="N228">
        <v>47.81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70</v>
      </c>
      <c r="D229">
        <v>107671942</v>
      </c>
      <c r="E229" t="s">
        <v>581</v>
      </c>
      <c r="F229" t="s">
        <v>78</v>
      </c>
      <c r="G229">
        <v>0.08</v>
      </c>
      <c r="H229">
        <v>1.79</v>
      </c>
      <c r="I229">
        <v>0</v>
      </c>
      <c r="J229">
        <v>0</v>
      </c>
      <c r="K229">
        <v>1.86</v>
      </c>
      <c r="L229" t="s">
        <v>61</v>
      </c>
      <c r="M229">
        <v>89</v>
      </c>
      <c r="N229">
        <v>47.81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70</v>
      </c>
      <c r="D230">
        <v>107671942</v>
      </c>
      <c r="E230" t="s">
        <v>581</v>
      </c>
      <c r="F230" t="s">
        <v>78</v>
      </c>
      <c r="G230">
        <v>0.08</v>
      </c>
      <c r="H230">
        <v>1.79</v>
      </c>
      <c r="I230">
        <v>0</v>
      </c>
      <c r="J230">
        <v>0</v>
      </c>
      <c r="K230">
        <v>1.86</v>
      </c>
      <c r="L230" t="s">
        <v>61</v>
      </c>
      <c r="M230">
        <v>89</v>
      </c>
      <c r="N230">
        <v>47.81</v>
      </c>
      <c r="O230" t="s">
        <v>62</v>
      </c>
      <c r="P230" t="s">
        <v>67</v>
      </c>
      <c r="Q230">
        <v>686</v>
      </c>
      <c r="R230">
        <v>368.49</v>
      </c>
    </row>
    <row r="231" spans="1:18" x14ac:dyDescent="0.35">
      <c r="A231" t="s">
        <v>56</v>
      </c>
      <c r="B231" t="s">
        <v>57</v>
      </c>
      <c r="C231" t="s">
        <v>70</v>
      </c>
      <c r="D231">
        <v>107671942</v>
      </c>
      <c r="E231" t="s">
        <v>581</v>
      </c>
      <c r="F231" t="s">
        <v>78</v>
      </c>
      <c r="G231">
        <v>0.08</v>
      </c>
      <c r="H231">
        <v>1.79</v>
      </c>
      <c r="I231">
        <v>0</v>
      </c>
      <c r="J231">
        <v>0</v>
      </c>
      <c r="K231">
        <v>1.86</v>
      </c>
      <c r="L231" t="s">
        <v>61</v>
      </c>
      <c r="M231">
        <v>89</v>
      </c>
      <c r="N231">
        <v>47.81</v>
      </c>
      <c r="O231" t="s">
        <v>68</v>
      </c>
      <c r="P231" t="s">
        <v>67</v>
      </c>
      <c r="Q231">
        <v>89</v>
      </c>
      <c r="R231">
        <v>47.81</v>
      </c>
    </row>
    <row r="232" spans="1:18" x14ac:dyDescent="0.35">
      <c r="A232" t="s">
        <v>56</v>
      </c>
      <c r="B232" t="s">
        <v>57</v>
      </c>
      <c r="C232" t="s">
        <v>70</v>
      </c>
      <c r="D232">
        <v>107671942</v>
      </c>
      <c r="E232" t="s">
        <v>581</v>
      </c>
      <c r="F232" t="s">
        <v>78</v>
      </c>
      <c r="G232">
        <v>0.08</v>
      </c>
      <c r="H232">
        <v>1.79</v>
      </c>
      <c r="I232">
        <v>0</v>
      </c>
      <c r="J232">
        <v>0</v>
      </c>
      <c r="K232">
        <v>1.86</v>
      </c>
      <c r="L232" t="s">
        <v>61</v>
      </c>
      <c r="M232">
        <v>89</v>
      </c>
      <c r="N232">
        <v>47.81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58</v>
      </c>
      <c r="D233">
        <v>107704699</v>
      </c>
      <c r="E233" t="s">
        <v>94</v>
      </c>
      <c r="F233" t="s">
        <v>60</v>
      </c>
      <c r="G233">
        <v>0.11</v>
      </c>
      <c r="H233">
        <v>7.85</v>
      </c>
      <c r="I233">
        <v>0</v>
      </c>
      <c r="J233">
        <v>0</v>
      </c>
      <c r="K233">
        <v>7.96</v>
      </c>
      <c r="L233" t="s">
        <v>61</v>
      </c>
      <c r="M233">
        <v>230</v>
      </c>
      <c r="N233">
        <v>28.9</v>
      </c>
      <c r="O233" t="s">
        <v>62</v>
      </c>
      <c r="P233" t="s">
        <v>63</v>
      </c>
      <c r="Q233">
        <v>66</v>
      </c>
      <c r="R233">
        <v>606.12</v>
      </c>
    </row>
    <row r="234" spans="1:18" x14ac:dyDescent="0.35">
      <c r="A234" t="s">
        <v>56</v>
      </c>
      <c r="B234" t="s">
        <v>57</v>
      </c>
      <c r="C234" t="s">
        <v>58</v>
      </c>
      <c r="D234">
        <v>107704699</v>
      </c>
      <c r="E234" t="s">
        <v>94</v>
      </c>
      <c r="F234" t="s">
        <v>60</v>
      </c>
      <c r="G234">
        <v>0.11</v>
      </c>
      <c r="H234">
        <v>7.85</v>
      </c>
      <c r="I234">
        <v>0</v>
      </c>
      <c r="J234">
        <v>0</v>
      </c>
      <c r="K234">
        <v>7.96</v>
      </c>
      <c r="L234" t="s">
        <v>61</v>
      </c>
      <c r="M234">
        <v>230</v>
      </c>
      <c r="N234">
        <v>28.9</v>
      </c>
      <c r="O234" t="s">
        <v>62</v>
      </c>
      <c r="P234" t="s">
        <v>64</v>
      </c>
      <c r="Q234">
        <v>891</v>
      </c>
      <c r="R234">
        <v>113.53</v>
      </c>
    </row>
    <row r="235" spans="1:18" x14ac:dyDescent="0.35">
      <c r="A235" t="s">
        <v>56</v>
      </c>
      <c r="B235" t="s">
        <v>57</v>
      </c>
      <c r="C235" t="s">
        <v>58</v>
      </c>
      <c r="D235">
        <v>107704699</v>
      </c>
      <c r="E235" t="s">
        <v>94</v>
      </c>
      <c r="F235" t="s">
        <v>60</v>
      </c>
      <c r="G235">
        <v>0.11</v>
      </c>
      <c r="H235">
        <v>7.85</v>
      </c>
      <c r="I235">
        <v>0</v>
      </c>
      <c r="J235">
        <v>0</v>
      </c>
      <c r="K235">
        <v>7.96</v>
      </c>
      <c r="L235" t="s">
        <v>61</v>
      </c>
      <c r="M235">
        <v>230</v>
      </c>
      <c r="N235">
        <v>28.9</v>
      </c>
      <c r="O235" t="s">
        <v>62</v>
      </c>
      <c r="P235" t="s">
        <v>65</v>
      </c>
      <c r="Q235">
        <v>0</v>
      </c>
      <c r="R235">
        <v>0</v>
      </c>
    </row>
    <row r="236" spans="1:18" x14ac:dyDescent="0.35">
      <c r="A236" t="s">
        <v>56</v>
      </c>
      <c r="B236" t="s">
        <v>57</v>
      </c>
      <c r="C236" t="s">
        <v>58</v>
      </c>
      <c r="D236">
        <v>107704699</v>
      </c>
      <c r="E236" t="s">
        <v>94</v>
      </c>
      <c r="F236" t="s">
        <v>60</v>
      </c>
      <c r="G236">
        <v>0.11</v>
      </c>
      <c r="H236">
        <v>7.85</v>
      </c>
      <c r="I236">
        <v>0</v>
      </c>
      <c r="J236">
        <v>0</v>
      </c>
      <c r="K236">
        <v>7.96</v>
      </c>
      <c r="L236" t="s">
        <v>61</v>
      </c>
      <c r="M236">
        <v>230</v>
      </c>
      <c r="N236">
        <v>28.9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58</v>
      </c>
      <c r="D237">
        <v>107704699</v>
      </c>
      <c r="E237" t="s">
        <v>94</v>
      </c>
      <c r="F237" t="s">
        <v>60</v>
      </c>
      <c r="G237">
        <v>0.11</v>
      </c>
      <c r="H237">
        <v>7.85</v>
      </c>
      <c r="I237">
        <v>0</v>
      </c>
      <c r="J237">
        <v>0</v>
      </c>
      <c r="K237">
        <v>7.96</v>
      </c>
      <c r="L237" t="s">
        <v>61</v>
      </c>
      <c r="M237">
        <v>230</v>
      </c>
      <c r="N237">
        <v>28.9</v>
      </c>
      <c r="O237" t="s">
        <v>62</v>
      </c>
      <c r="P237" t="s">
        <v>67</v>
      </c>
      <c r="Q237">
        <v>957</v>
      </c>
      <c r="R237">
        <v>120.27</v>
      </c>
    </row>
    <row r="238" spans="1:18" x14ac:dyDescent="0.35">
      <c r="A238" t="s">
        <v>56</v>
      </c>
      <c r="B238" t="s">
        <v>57</v>
      </c>
      <c r="C238" t="s">
        <v>58</v>
      </c>
      <c r="D238">
        <v>107704699</v>
      </c>
      <c r="E238" t="s">
        <v>94</v>
      </c>
      <c r="F238" t="s">
        <v>60</v>
      </c>
      <c r="G238">
        <v>0.11</v>
      </c>
      <c r="H238">
        <v>7.85</v>
      </c>
      <c r="I238">
        <v>0</v>
      </c>
      <c r="J238">
        <v>0</v>
      </c>
      <c r="K238">
        <v>7.96</v>
      </c>
      <c r="L238" t="s">
        <v>61</v>
      </c>
      <c r="M238">
        <v>230</v>
      </c>
      <c r="N238">
        <v>28.9</v>
      </c>
      <c r="O238" t="s">
        <v>68</v>
      </c>
      <c r="P238" t="s">
        <v>67</v>
      </c>
      <c r="Q238">
        <v>230</v>
      </c>
      <c r="R238">
        <v>28.9</v>
      </c>
    </row>
    <row r="239" spans="1:18" x14ac:dyDescent="0.35">
      <c r="A239" t="s">
        <v>56</v>
      </c>
      <c r="B239" t="s">
        <v>57</v>
      </c>
      <c r="C239" t="s">
        <v>58</v>
      </c>
      <c r="D239">
        <v>107704699</v>
      </c>
      <c r="E239" t="s">
        <v>94</v>
      </c>
      <c r="F239" t="s">
        <v>60</v>
      </c>
      <c r="G239">
        <v>0.11</v>
      </c>
      <c r="H239">
        <v>7.85</v>
      </c>
      <c r="I239">
        <v>0</v>
      </c>
      <c r="J239">
        <v>0</v>
      </c>
      <c r="K239">
        <v>7.96</v>
      </c>
      <c r="L239" t="s">
        <v>61</v>
      </c>
      <c r="M239">
        <v>230</v>
      </c>
      <c r="N239">
        <v>28.9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107741579</v>
      </c>
      <c r="E240" t="s">
        <v>95</v>
      </c>
      <c r="F240" t="s">
        <v>60</v>
      </c>
      <c r="G240">
        <v>0</v>
      </c>
      <c r="H240">
        <v>10.119999999999999</v>
      </c>
      <c r="I240">
        <v>0</v>
      </c>
      <c r="J240">
        <v>0</v>
      </c>
      <c r="K240">
        <v>10.119999999999999</v>
      </c>
      <c r="L240" t="s">
        <v>61</v>
      </c>
      <c r="M240">
        <v>497</v>
      </c>
      <c r="N240">
        <v>49.13</v>
      </c>
      <c r="O240" t="s">
        <v>62</v>
      </c>
      <c r="P240" t="s">
        <v>63</v>
      </c>
      <c r="Q240">
        <v>0</v>
      </c>
      <c r="R240">
        <v>0</v>
      </c>
    </row>
    <row r="241" spans="1:18" x14ac:dyDescent="0.35">
      <c r="A241" t="s">
        <v>56</v>
      </c>
      <c r="B241" t="s">
        <v>57</v>
      </c>
      <c r="C241" t="s">
        <v>70</v>
      </c>
      <c r="D241">
        <v>107741579</v>
      </c>
      <c r="E241" t="s">
        <v>95</v>
      </c>
      <c r="F241" t="s">
        <v>60</v>
      </c>
      <c r="G241">
        <v>0</v>
      </c>
      <c r="H241">
        <v>10.119999999999999</v>
      </c>
      <c r="I241">
        <v>0</v>
      </c>
      <c r="J241">
        <v>0</v>
      </c>
      <c r="K241">
        <v>10.119999999999999</v>
      </c>
      <c r="L241" t="s">
        <v>61</v>
      </c>
      <c r="M241">
        <v>497</v>
      </c>
      <c r="N241">
        <v>49.13</v>
      </c>
      <c r="O241" t="s">
        <v>62</v>
      </c>
      <c r="P241" t="s">
        <v>64</v>
      </c>
      <c r="Q241">
        <v>1716</v>
      </c>
      <c r="R241">
        <v>169.62</v>
      </c>
    </row>
    <row r="242" spans="1:18" x14ac:dyDescent="0.35">
      <c r="A242" t="s">
        <v>56</v>
      </c>
      <c r="B242" t="s">
        <v>57</v>
      </c>
      <c r="C242" t="s">
        <v>70</v>
      </c>
      <c r="D242">
        <v>107741579</v>
      </c>
      <c r="E242" t="s">
        <v>95</v>
      </c>
      <c r="F242" t="s">
        <v>60</v>
      </c>
      <c r="G242">
        <v>0</v>
      </c>
      <c r="H242">
        <v>10.119999999999999</v>
      </c>
      <c r="I242">
        <v>0</v>
      </c>
      <c r="J242">
        <v>0</v>
      </c>
      <c r="K242">
        <v>10.119999999999999</v>
      </c>
      <c r="L242" t="s">
        <v>61</v>
      </c>
      <c r="M242">
        <v>497</v>
      </c>
      <c r="N242">
        <v>49.13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107741579</v>
      </c>
      <c r="E243" t="s">
        <v>95</v>
      </c>
      <c r="F243" t="s">
        <v>60</v>
      </c>
      <c r="G243">
        <v>0</v>
      </c>
      <c r="H243">
        <v>10.119999999999999</v>
      </c>
      <c r="I243">
        <v>0</v>
      </c>
      <c r="J243">
        <v>0</v>
      </c>
      <c r="K243">
        <v>10.119999999999999</v>
      </c>
      <c r="L243" t="s">
        <v>61</v>
      </c>
      <c r="M243">
        <v>497</v>
      </c>
      <c r="N243">
        <v>49.13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107741579</v>
      </c>
      <c r="E244" t="s">
        <v>95</v>
      </c>
      <c r="F244" t="s">
        <v>60</v>
      </c>
      <c r="G244">
        <v>0</v>
      </c>
      <c r="H244">
        <v>10.119999999999999</v>
      </c>
      <c r="I244">
        <v>0</v>
      </c>
      <c r="J244">
        <v>0</v>
      </c>
      <c r="K244">
        <v>10.119999999999999</v>
      </c>
      <c r="L244" t="s">
        <v>61</v>
      </c>
      <c r="M244">
        <v>497</v>
      </c>
      <c r="N244">
        <v>49.13</v>
      </c>
      <c r="O244" t="s">
        <v>62</v>
      </c>
      <c r="P244" t="s">
        <v>67</v>
      </c>
      <c r="Q244">
        <v>1716</v>
      </c>
      <c r="R244">
        <v>169.62</v>
      </c>
    </row>
    <row r="245" spans="1:18" x14ac:dyDescent="0.35">
      <c r="A245" t="s">
        <v>56</v>
      </c>
      <c r="B245" t="s">
        <v>57</v>
      </c>
      <c r="C245" t="s">
        <v>70</v>
      </c>
      <c r="D245">
        <v>107741579</v>
      </c>
      <c r="E245" t="s">
        <v>95</v>
      </c>
      <c r="F245" t="s">
        <v>60</v>
      </c>
      <c r="G245">
        <v>0</v>
      </c>
      <c r="H245">
        <v>10.119999999999999</v>
      </c>
      <c r="I245">
        <v>0</v>
      </c>
      <c r="J245">
        <v>0</v>
      </c>
      <c r="K245">
        <v>10.119999999999999</v>
      </c>
      <c r="L245" t="s">
        <v>61</v>
      </c>
      <c r="M245">
        <v>497</v>
      </c>
      <c r="N245">
        <v>49.13</v>
      </c>
      <c r="O245" t="s">
        <v>68</v>
      </c>
      <c r="P245" t="s">
        <v>67</v>
      </c>
      <c r="Q245">
        <v>497</v>
      </c>
      <c r="R245">
        <v>49.13</v>
      </c>
    </row>
    <row r="246" spans="1:18" x14ac:dyDescent="0.35">
      <c r="A246" t="s">
        <v>56</v>
      </c>
      <c r="B246" t="s">
        <v>57</v>
      </c>
      <c r="C246" t="s">
        <v>70</v>
      </c>
      <c r="D246">
        <v>107741579</v>
      </c>
      <c r="E246" t="s">
        <v>95</v>
      </c>
      <c r="F246" t="s">
        <v>60</v>
      </c>
      <c r="G246">
        <v>0</v>
      </c>
      <c r="H246">
        <v>10.119999999999999</v>
      </c>
      <c r="I246">
        <v>0</v>
      </c>
      <c r="J246">
        <v>0</v>
      </c>
      <c r="K246">
        <v>10.119999999999999</v>
      </c>
      <c r="L246" t="s">
        <v>61</v>
      </c>
      <c r="M246">
        <v>497</v>
      </c>
      <c r="N246">
        <v>49.13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58</v>
      </c>
      <c r="D247">
        <v>107741933</v>
      </c>
      <c r="E247" t="s">
        <v>97</v>
      </c>
      <c r="F247" t="s">
        <v>60</v>
      </c>
      <c r="G247">
        <v>0.17</v>
      </c>
      <c r="H247">
        <v>9.81</v>
      </c>
      <c r="I247">
        <v>0</v>
      </c>
      <c r="J247">
        <v>0</v>
      </c>
      <c r="K247">
        <v>9.98</v>
      </c>
      <c r="L247" t="s">
        <v>61</v>
      </c>
      <c r="M247">
        <v>336</v>
      </c>
      <c r="N247">
        <v>33.659999999999997</v>
      </c>
      <c r="O247" t="s">
        <v>62</v>
      </c>
      <c r="P247" t="s">
        <v>63</v>
      </c>
      <c r="Q247">
        <v>204</v>
      </c>
      <c r="R247">
        <v>1171.29</v>
      </c>
    </row>
    <row r="248" spans="1:18" x14ac:dyDescent="0.35">
      <c r="A248" t="s">
        <v>56</v>
      </c>
      <c r="B248" t="s">
        <v>57</v>
      </c>
      <c r="C248" t="s">
        <v>58</v>
      </c>
      <c r="D248">
        <v>107741933</v>
      </c>
      <c r="E248" t="s">
        <v>97</v>
      </c>
      <c r="F248" t="s">
        <v>60</v>
      </c>
      <c r="G248">
        <v>0.17</v>
      </c>
      <c r="H248">
        <v>9.81</v>
      </c>
      <c r="I248">
        <v>0</v>
      </c>
      <c r="J248">
        <v>0</v>
      </c>
      <c r="K248">
        <v>9.98</v>
      </c>
      <c r="L248" t="s">
        <v>61</v>
      </c>
      <c r="M248">
        <v>336</v>
      </c>
      <c r="N248">
        <v>33.659999999999997</v>
      </c>
      <c r="O248" t="s">
        <v>62</v>
      </c>
      <c r="P248" t="s">
        <v>64</v>
      </c>
      <c r="Q248">
        <v>2154</v>
      </c>
      <c r="R248">
        <v>219.6</v>
      </c>
    </row>
    <row r="249" spans="1:18" x14ac:dyDescent="0.35">
      <c r="A249" t="s">
        <v>56</v>
      </c>
      <c r="B249" t="s">
        <v>57</v>
      </c>
      <c r="C249" t="s">
        <v>58</v>
      </c>
      <c r="D249">
        <v>107741933</v>
      </c>
      <c r="E249" t="s">
        <v>97</v>
      </c>
      <c r="F249" t="s">
        <v>60</v>
      </c>
      <c r="G249">
        <v>0.17</v>
      </c>
      <c r="H249">
        <v>9.81</v>
      </c>
      <c r="I249">
        <v>0</v>
      </c>
      <c r="J249">
        <v>0</v>
      </c>
      <c r="K249">
        <v>9.98</v>
      </c>
      <c r="L249" t="s">
        <v>61</v>
      </c>
      <c r="M249">
        <v>336</v>
      </c>
      <c r="N249">
        <v>33.659999999999997</v>
      </c>
      <c r="O249" t="s">
        <v>62</v>
      </c>
      <c r="P249" t="s">
        <v>65</v>
      </c>
      <c r="Q249">
        <v>0</v>
      </c>
      <c r="R249">
        <v>0</v>
      </c>
    </row>
    <row r="250" spans="1:18" x14ac:dyDescent="0.35">
      <c r="A250" t="s">
        <v>56</v>
      </c>
      <c r="B250" t="s">
        <v>57</v>
      </c>
      <c r="C250" t="s">
        <v>58</v>
      </c>
      <c r="D250">
        <v>107741933</v>
      </c>
      <c r="E250" t="s">
        <v>97</v>
      </c>
      <c r="F250" t="s">
        <v>60</v>
      </c>
      <c r="G250">
        <v>0.17</v>
      </c>
      <c r="H250">
        <v>9.81</v>
      </c>
      <c r="I250">
        <v>0</v>
      </c>
      <c r="J250">
        <v>0</v>
      </c>
      <c r="K250">
        <v>9.98</v>
      </c>
      <c r="L250" t="s">
        <v>61</v>
      </c>
      <c r="M250">
        <v>336</v>
      </c>
      <c r="N250">
        <v>33.659999999999997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58</v>
      </c>
      <c r="D251">
        <v>107741933</v>
      </c>
      <c r="E251" t="s">
        <v>97</v>
      </c>
      <c r="F251" t="s">
        <v>60</v>
      </c>
      <c r="G251">
        <v>0.17</v>
      </c>
      <c r="H251">
        <v>9.81</v>
      </c>
      <c r="I251">
        <v>0</v>
      </c>
      <c r="J251">
        <v>0</v>
      </c>
      <c r="K251">
        <v>9.98</v>
      </c>
      <c r="L251" t="s">
        <v>61</v>
      </c>
      <c r="M251">
        <v>336</v>
      </c>
      <c r="N251">
        <v>33.659999999999997</v>
      </c>
      <c r="O251" t="s">
        <v>62</v>
      </c>
      <c r="P251" t="s">
        <v>67</v>
      </c>
      <c r="Q251">
        <v>2358</v>
      </c>
      <c r="R251">
        <v>236.19</v>
      </c>
    </row>
    <row r="252" spans="1:18" x14ac:dyDescent="0.35">
      <c r="A252" t="s">
        <v>56</v>
      </c>
      <c r="B252" t="s">
        <v>57</v>
      </c>
      <c r="C252" t="s">
        <v>58</v>
      </c>
      <c r="D252">
        <v>107741933</v>
      </c>
      <c r="E252" t="s">
        <v>97</v>
      </c>
      <c r="F252" t="s">
        <v>60</v>
      </c>
      <c r="G252">
        <v>0.17</v>
      </c>
      <c r="H252">
        <v>9.81</v>
      </c>
      <c r="I252">
        <v>0</v>
      </c>
      <c r="J252">
        <v>0</v>
      </c>
      <c r="K252">
        <v>9.98</v>
      </c>
      <c r="L252" t="s">
        <v>61</v>
      </c>
      <c r="M252">
        <v>336</v>
      </c>
      <c r="N252">
        <v>33.659999999999997</v>
      </c>
      <c r="O252" t="s">
        <v>68</v>
      </c>
      <c r="P252" t="s">
        <v>67</v>
      </c>
      <c r="Q252">
        <v>336</v>
      </c>
      <c r="R252">
        <v>33.659999999999997</v>
      </c>
    </row>
    <row r="253" spans="1:18" x14ac:dyDescent="0.35">
      <c r="A253" t="s">
        <v>56</v>
      </c>
      <c r="B253" t="s">
        <v>57</v>
      </c>
      <c r="C253" t="s">
        <v>58</v>
      </c>
      <c r="D253">
        <v>107741933</v>
      </c>
      <c r="E253" t="s">
        <v>97</v>
      </c>
      <c r="F253" t="s">
        <v>60</v>
      </c>
      <c r="G253">
        <v>0.17</v>
      </c>
      <c r="H253">
        <v>9.81</v>
      </c>
      <c r="I253">
        <v>0</v>
      </c>
      <c r="J253">
        <v>0</v>
      </c>
      <c r="K253">
        <v>9.98</v>
      </c>
      <c r="L253" t="s">
        <v>61</v>
      </c>
      <c r="M253">
        <v>336</v>
      </c>
      <c r="N253">
        <v>33.659999999999997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70</v>
      </c>
      <c r="D254">
        <v>107748062</v>
      </c>
      <c r="E254" t="s">
        <v>537</v>
      </c>
      <c r="F254" t="s">
        <v>78</v>
      </c>
      <c r="G254">
        <v>0.47</v>
      </c>
      <c r="H254">
        <v>5.14</v>
      </c>
      <c r="I254">
        <v>0.02</v>
      </c>
      <c r="J254">
        <v>0</v>
      </c>
      <c r="K254">
        <v>5.63</v>
      </c>
      <c r="L254" t="s">
        <v>61</v>
      </c>
      <c r="M254">
        <v>94</v>
      </c>
      <c r="N254">
        <v>16.7</v>
      </c>
      <c r="O254" t="s">
        <v>62</v>
      </c>
      <c r="P254" t="s">
        <v>63</v>
      </c>
      <c r="Q254">
        <v>247</v>
      </c>
      <c r="R254">
        <v>530.54999999999995</v>
      </c>
    </row>
    <row r="255" spans="1:18" x14ac:dyDescent="0.35">
      <c r="A255" t="s">
        <v>56</v>
      </c>
      <c r="B255" t="s">
        <v>57</v>
      </c>
      <c r="C255" t="s">
        <v>70</v>
      </c>
      <c r="D255">
        <v>107748062</v>
      </c>
      <c r="E255" t="s">
        <v>537</v>
      </c>
      <c r="F255" t="s">
        <v>78</v>
      </c>
      <c r="G255">
        <v>0.47</v>
      </c>
      <c r="H255">
        <v>5.14</v>
      </c>
      <c r="I255">
        <v>0.02</v>
      </c>
      <c r="J255">
        <v>0</v>
      </c>
      <c r="K255">
        <v>5.63</v>
      </c>
      <c r="L255" t="s">
        <v>61</v>
      </c>
      <c r="M255">
        <v>94</v>
      </c>
      <c r="N255">
        <v>16.7</v>
      </c>
      <c r="O255" t="s">
        <v>62</v>
      </c>
      <c r="P255" t="s">
        <v>64</v>
      </c>
      <c r="Q255">
        <v>512</v>
      </c>
      <c r="R255">
        <v>99.52</v>
      </c>
    </row>
    <row r="256" spans="1:18" x14ac:dyDescent="0.35">
      <c r="A256" t="s">
        <v>56</v>
      </c>
      <c r="B256" t="s">
        <v>57</v>
      </c>
      <c r="C256" t="s">
        <v>70</v>
      </c>
      <c r="D256">
        <v>107748062</v>
      </c>
      <c r="E256" t="s">
        <v>537</v>
      </c>
      <c r="F256" t="s">
        <v>78</v>
      </c>
      <c r="G256">
        <v>0.47</v>
      </c>
      <c r="H256">
        <v>5.14</v>
      </c>
      <c r="I256">
        <v>0.02</v>
      </c>
      <c r="J256">
        <v>0</v>
      </c>
      <c r="K256">
        <v>5.63</v>
      </c>
      <c r="L256" t="s">
        <v>61</v>
      </c>
      <c r="M256">
        <v>94</v>
      </c>
      <c r="N256">
        <v>16.7</v>
      </c>
      <c r="O256" t="s">
        <v>62</v>
      </c>
      <c r="P256" t="s">
        <v>65</v>
      </c>
      <c r="Q256">
        <v>1</v>
      </c>
      <c r="R256">
        <v>61.02</v>
      </c>
    </row>
    <row r="257" spans="1:18" x14ac:dyDescent="0.35">
      <c r="A257" t="s">
        <v>56</v>
      </c>
      <c r="B257" t="s">
        <v>57</v>
      </c>
      <c r="C257" t="s">
        <v>70</v>
      </c>
      <c r="D257">
        <v>107748062</v>
      </c>
      <c r="E257" t="s">
        <v>537</v>
      </c>
      <c r="F257" t="s">
        <v>78</v>
      </c>
      <c r="G257">
        <v>0.47</v>
      </c>
      <c r="H257">
        <v>5.14</v>
      </c>
      <c r="I257">
        <v>0.02</v>
      </c>
      <c r="J257">
        <v>0</v>
      </c>
      <c r="K257">
        <v>5.63</v>
      </c>
      <c r="L257" t="s">
        <v>61</v>
      </c>
      <c r="M257">
        <v>94</v>
      </c>
      <c r="N257">
        <v>16.7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70</v>
      </c>
      <c r="D258">
        <v>107748062</v>
      </c>
      <c r="E258" t="s">
        <v>537</v>
      </c>
      <c r="F258" t="s">
        <v>78</v>
      </c>
      <c r="G258">
        <v>0.47</v>
      </c>
      <c r="H258">
        <v>5.14</v>
      </c>
      <c r="I258">
        <v>0.02</v>
      </c>
      <c r="J258">
        <v>0</v>
      </c>
      <c r="K258">
        <v>5.63</v>
      </c>
      <c r="L258" t="s">
        <v>61</v>
      </c>
      <c r="M258">
        <v>94</v>
      </c>
      <c r="N258">
        <v>16.7</v>
      </c>
      <c r="O258" t="s">
        <v>62</v>
      </c>
      <c r="P258" t="s">
        <v>67</v>
      </c>
      <c r="Q258">
        <v>760</v>
      </c>
      <c r="R258">
        <v>135.06</v>
      </c>
    </row>
    <row r="259" spans="1:18" x14ac:dyDescent="0.35">
      <c r="A259" t="s">
        <v>56</v>
      </c>
      <c r="B259" t="s">
        <v>57</v>
      </c>
      <c r="C259" t="s">
        <v>70</v>
      </c>
      <c r="D259">
        <v>107748062</v>
      </c>
      <c r="E259" t="s">
        <v>537</v>
      </c>
      <c r="F259" t="s">
        <v>78</v>
      </c>
      <c r="G259">
        <v>0.47</v>
      </c>
      <c r="H259">
        <v>5.14</v>
      </c>
      <c r="I259">
        <v>0.02</v>
      </c>
      <c r="J259">
        <v>0</v>
      </c>
      <c r="K259">
        <v>5.63</v>
      </c>
      <c r="L259" t="s">
        <v>61</v>
      </c>
      <c r="M259">
        <v>94</v>
      </c>
      <c r="N259">
        <v>16.7</v>
      </c>
      <c r="O259" t="s">
        <v>68</v>
      </c>
      <c r="P259" t="s">
        <v>67</v>
      </c>
      <c r="Q259">
        <v>94</v>
      </c>
      <c r="R259">
        <v>16.7</v>
      </c>
    </row>
    <row r="260" spans="1:18" x14ac:dyDescent="0.35">
      <c r="A260" t="s">
        <v>56</v>
      </c>
      <c r="B260" t="s">
        <v>57</v>
      </c>
      <c r="C260" t="s">
        <v>70</v>
      </c>
      <c r="D260">
        <v>107748062</v>
      </c>
      <c r="E260" t="s">
        <v>537</v>
      </c>
      <c r="F260" t="s">
        <v>78</v>
      </c>
      <c r="G260">
        <v>0.47</v>
      </c>
      <c r="H260">
        <v>5.14</v>
      </c>
      <c r="I260">
        <v>0.02</v>
      </c>
      <c r="J260">
        <v>0</v>
      </c>
      <c r="K260">
        <v>5.63</v>
      </c>
      <c r="L260" t="s">
        <v>61</v>
      </c>
      <c r="M260">
        <v>94</v>
      </c>
      <c r="N260">
        <v>16.7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70</v>
      </c>
      <c r="D261">
        <v>107791373</v>
      </c>
      <c r="E261" t="s">
        <v>554</v>
      </c>
      <c r="F261" t="s">
        <v>72</v>
      </c>
      <c r="G261">
        <v>0.4</v>
      </c>
      <c r="H261">
        <v>9.6</v>
      </c>
      <c r="I261">
        <v>0</v>
      </c>
      <c r="J261">
        <v>0</v>
      </c>
      <c r="K261">
        <v>10</v>
      </c>
      <c r="L261" t="s">
        <v>61</v>
      </c>
      <c r="M261">
        <v>439</v>
      </c>
      <c r="N261">
        <v>43.9</v>
      </c>
      <c r="O261" t="s">
        <v>62</v>
      </c>
      <c r="P261" t="s">
        <v>63</v>
      </c>
      <c r="Q261">
        <v>475</v>
      </c>
      <c r="R261">
        <v>1179.31</v>
      </c>
    </row>
    <row r="262" spans="1:18" x14ac:dyDescent="0.35">
      <c r="A262" t="s">
        <v>56</v>
      </c>
      <c r="B262" t="s">
        <v>57</v>
      </c>
      <c r="C262" t="s">
        <v>70</v>
      </c>
      <c r="D262">
        <v>107791373</v>
      </c>
      <c r="E262" t="s">
        <v>554</v>
      </c>
      <c r="F262" t="s">
        <v>72</v>
      </c>
      <c r="G262">
        <v>0.4</v>
      </c>
      <c r="H262">
        <v>9.6</v>
      </c>
      <c r="I262">
        <v>0</v>
      </c>
      <c r="J262">
        <v>0</v>
      </c>
      <c r="K262">
        <v>10</v>
      </c>
      <c r="L262" t="s">
        <v>61</v>
      </c>
      <c r="M262">
        <v>439</v>
      </c>
      <c r="N262">
        <v>43.9</v>
      </c>
      <c r="O262" t="s">
        <v>62</v>
      </c>
      <c r="P262" t="s">
        <v>64</v>
      </c>
      <c r="Q262">
        <v>2122</v>
      </c>
      <c r="R262">
        <v>221.11</v>
      </c>
    </row>
    <row r="263" spans="1:18" x14ac:dyDescent="0.35">
      <c r="A263" t="s">
        <v>56</v>
      </c>
      <c r="B263" t="s">
        <v>57</v>
      </c>
      <c r="C263" t="s">
        <v>70</v>
      </c>
      <c r="D263">
        <v>107791373</v>
      </c>
      <c r="E263" t="s">
        <v>554</v>
      </c>
      <c r="F263" t="s">
        <v>72</v>
      </c>
      <c r="G263">
        <v>0.4</v>
      </c>
      <c r="H263">
        <v>9.6</v>
      </c>
      <c r="I263">
        <v>0</v>
      </c>
      <c r="J263">
        <v>0</v>
      </c>
      <c r="K263">
        <v>10</v>
      </c>
      <c r="L263" t="s">
        <v>61</v>
      </c>
      <c r="M263">
        <v>439</v>
      </c>
      <c r="N263">
        <v>43.9</v>
      </c>
      <c r="O263" t="s">
        <v>62</v>
      </c>
      <c r="P263" t="s">
        <v>65</v>
      </c>
      <c r="Q263">
        <v>0</v>
      </c>
      <c r="R263">
        <v>0</v>
      </c>
    </row>
    <row r="264" spans="1:18" x14ac:dyDescent="0.35">
      <c r="A264" t="s">
        <v>56</v>
      </c>
      <c r="B264" t="s">
        <v>57</v>
      </c>
      <c r="C264" t="s">
        <v>70</v>
      </c>
      <c r="D264">
        <v>107791373</v>
      </c>
      <c r="E264" t="s">
        <v>554</v>
      </c>
      <c r="F264" t="s">
        <v>72</v>
      </c>
      <c r="G264">
        <v>0.4</v>
      </c>
      <c r="H264">
        <v>9.6</v>
      </c>
      <c r="I264">
        <v>0</v>
      </c>
      <c r="J264">
        <v>0</v>
      </c>
      <c r="K264">
        <v>10</v>
      </c>
      <c r="L264" t="s">
        <v>61</v>
      </c>
      <c r="M264">
        <v>439</v>
      </c>
      <c r="N264">
        <v>43.9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70</v>
      </c>
      <c r="D265">
        <v>107791373</v>
      </c>
      <c r="E265" t="s">
        <v>554</v>
      </c>
      <c r="F265" t="s">
        <v>72</v>
      </c>
      <c r="G265">
        <v>0.4</v>
      </c>
      <c r="H265">
        <v>9.6</v>
      </c>
      <c r="I265">
        <v>0</v>
      </c>
      <c r="J265">
        <v>0</v>
      </c>
      <c r="K265">
        <v>10</v>
      </c>
      <c r="L265" t="s">
        <v>61</v>
      </c>
      <c r="M265">
        <v>439</v>
      </c>
      <c r="N265">
        <v>43.9</v>
      </c>
      <c r="O265" t="s">
        <v>62</v>
      </c>
      <c r="P265" t="s">
        <v>67</v>
      </c>
      <c r="Q265">
        <v>2597</v>
      </c>
      <c r="R265">
        <v>259.7</v>
      </c>
    </row>
    <row r="266" spans="1:18" x14ac:dyDescent="0.35">
      <c r="A266" t="s">
        <v>56</v>
      </c>
      <c r="B266" t="s">
        <v>57</v>
      </c>
      <c r="C266" t="s">
        <v>70</v>
      </c>
      <c r="D266">
        <v>107791373</v>
      </c>
      <c r="E266" t="s">
        <v>554</v>
      </c>
      <c r="F266" t="s">
        <v>72</v>
      </c>
      <c r="G266">
        <v>0.4</v>
      </c>
      <c r="H266">
        <v>9.6</v>
      </c>
      <c r="I266">
        <v>0</v>
      </c>
      <c r="J266">
        <v>0</v>
      </c>
      <c r="K266">
        <v>10</v>
      </c>
      <c r="L266" t="s">
        <v>61</v>
      </c>
      <c r="M266">
        <v>439</v>
      </c>
      <c r="N266">
        <v>43.9</v>
      </c>
      <c r="O266" t="s">
        <v>68</v>
      </c>
      <c r="P266" t="s">
        <v>67</v>
      </c>
      <c r="Q266">
        <v>438</v>
      </c>
      <c r="R266">
        <v>43.8</v>
      </c>
    </row>
    <row r="267" spans="1:18" x14ac:dyDescent="0.35">
      <c r="A267" t="s">
        <v>56</v>
      </c>
      <c r="B267" t="s">
        <v>57</v>
      </c>
      <c r="C267" t="s">
        <v>70</v>
      </c>
      <c r="D267">
        <v>107791373</v>
      </c>
      <c r="E267" t="s">
        <v>554</v>
      </c>
      <c r="F267" t="s">
        <v>72</v>
      </c>
      <c r="G267">
        <v>0.4</v>
      </c>
      <c r="H267">
        <v>9.6</v>
      </c>
      <c r="I267">
        <v>0</v>
      </c>
      <c r="J267">
        <v>0</v>
      </c>
      <c r="K267">
        <v>10</v>
      </c>
      <c r="L267" t="s">
        <v>61</v>
      </c>
      <c r="M267">
        <v>439</v>
      </c>
      <c r="N267">
        <v>43.9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56</v>
      </c>
      <c r="B268" t="s">
        <v>57</v>
      </c>
      <c r="C268" t="s">
        <v>58</v>
      </c>
      <c r="D268">
        <v>107819512</v>
      </c>
      <c r="E268" t="s">
        <v>101</v>
      </c>
      <c r="F268" t="s">
        <v>60</v>
      </c>
      <c r="G268">
        <v>1.64</v>
      </c>
      <c r="H268">
        <v>7.15</v>
      </c>
      <c r="I268">
        <v>0</v>
      </c>
      <c r="J268">
        <v>0</v>
      </c>
      <c r="K268">
        <v>8.8000000000000007</v>
      </c>
      <c r="L268" t="s">
        <v>61</v>
      </c>
      <c r="M268">
        <v>201</v>
      </c>
      <c r="N268">
        <v>22.85</v>
      </c>
      <c r="O268" t="s">
        <v>62</v>
      </c>
      <c r="P268" t="s">
        <v>63</v>
      </c>
      <c r="Q268">
        <v>1591</v>
      </c>
      <c r="R268">
        <v>967.99</v>
      </c>
    </row>
    <row r="269" spans="1:18" x14ac:dyDescent="0.35">
      <c r="A269" t="s">
        <v>56</v>
      </c>
      <c r="B269" t="s">
        <v>57</v>
      </c>
      <c r="C269" t="s">
        <v>58</v>
      </c>
      <c r="D269">
        <v>107819512</v>
      </c>
      <c r="E269" t="s">
        <v>101</v>
      </c>
      <c r="F269" t="s">
        <v>60</v>
      </c>
      <c r="G269">
        <v>1.64</v>
      </c>
      <c r="H269">
        <v>7.15</v>
      </c>
      <c r="I269">
        <v>0</v>
      </c>
      <c r="J269">
        <v>0</v>
      </c>
      <c r="K269">
        <v>8.8000000000000007</v>
      </c>
      <c r="L269" t="s">
        <v>61</v>
      </c>
      <c r="M269">
        <v>201</v>
      </c>
      <c r="N269">
        <v>22.85</v>
      </c>
      <c r="O269" t="s">
        <v>62</v>
      </c>
      <c r="P269" t="s">
        <v>64</v>
      </c>
      <c r="Q269">
        <v>1299</v>
      </c>
      <c r="R269">
        <v>181.58</v>
      </c>
    </row>
    <row r="270" spans="1:18" x14ac:dyDescent="0.35">
      <c r="A270" t="s">
        <v>56</v>
      </c>
      <c r="B270" t="s">
        <v>57</v>
      </c>
      <c r="C270" t="s">
        <v>58</v>
      </c>
      <c r="D270">
        <v>107819512</v>
      </c>
      <c r="E270" t="s">
        <v>101</v>
      </c>
      <c r="F270" t="s">
        <v>60</v>
      </c>
      <c r="G270">
        <v>1.64</v>
      </c>
      <c r="H270">
        <v>7.15</v>
      </c>
      <c r="I270">
        <v>0</v>
      </c>
      <c r="J270">
        <v>0</v>
      </c>
      <c r="K270">
        <v>8.8000000000000007</v>
      </c>
      <c r="L270" t="s">
        <v>61</v>
      </c>
      <c r="M270">
        <v>201</v>
      </c>
      <c r="N270">
        <v>22.85</v>
      </c>
      <c r="O270" t="s">
        <v>62</v>
      </c>
      <c r="P270" t="s">
        <v>65</v>
      </c>
      <c r="Q270">
        <v>0</v>
      </c>
      <c r="R270">
        <v>0</v>
      </c>
    </row>
    <row r="271" spans="1:18" x14ac:dyDescent="0.35">
      <c r="A271" t="s">
        <v>56</v>
      </c>
      <c r="B271" t="s">
        <v>57</v>
      </c>
      <c r="C271" t="s">
        <v>58</v>
      </c>
      <c r="D271">
        <v>107819512</v>
      </c>
      <c r="E271" t="s">
        <v>101</v>
      </c>
      <c r="F271" t="s">
        <v>60</v>
      </c>
      <c r="G271">
        <v>1.64</v>
      </c>
      <c r="H271">
        <v>7.15</v>
      </c>
      <c r="I271">
        <v>0</v>
      </c>
      <c r="J271">
        <v>0</v>
      </c>
      <c r="K271">
        <v>8.8000000000000007</v>
      </c>
      <c r="L271" t="s">
        <v>61</v>
      </c>
      <c r="M271">
        <v>201</v>
      </c>
      <c r="N271">
        <v>22.85</v>
      </c>
      <c r="O271" t="s">
        <v>62</v>
      </c>
      <c r="P271" t="s">
        <v>66</v>
      </c>
      <c r="Q271">
        <v>0</v>
      </c>
      <c r="R271">
        <v>0</v>
      </c>
    </row>
    <row r="272" spans="1:18" x14ac:dyDescent="0.35">
      <c r="A272" t="s">
        <v>56</v>
      </c>
      <c r="B272" t="s">
        <v>57</v>
      </c>
      <c r="C272" t="s">
        <v>58</v>
      </c>
      <c r="D272">
        <v>107819512</v>
      </c>
      <c r="E272" t="s">
        <v>101</v>
      </c>
      <c r="F272" t="s">
        <v>60</v>
      </c>
      <c r="G272">
        <v>1.64</v>
      </c>
      <c r="H272">
        <v>7.15</v>
      </c>
      <c r="I272">
        <v>0</v>
      </c>
      <c r="J272">
        <v>0</v>
      </c>
      <c r="K272">
        <v>8.8000000000000007</v>
      </c>
      <c r="L272" t="s">
        <v>61</v>
      </c>
      <c r="M272">
        <v>201</v>
      </c>
      <c r="N272">
        <v>22.85</v>
      </c>
      <c r="O272" t="s">
        <v>62</v>
      </c>
      <c r="P272" t="s">
        <v>67</v>
      </c>
      <c r="Q272">
        <v>2890</v>
      </c>
      <c r="R272">
        <v>328.49</v>
      </c>
    </row>
    <row r="273" spans="1:18" x14ac:dyDescent="0.35">
      <c r="A273" t="s">
        <v>56</v>
      </c>
      <c r="B273" t="s">
        <v>57</v>
      </c>
      <c r="C273" t="s">
        <v>58</v>
      </c>
      <c r="D273">
        <v>107819512</v>
      </c>
      <c r="E273" t="s">
        <v>101</v>
      </c>
      <c r="F273" t="s">
        <v>60</v>
      </c>
      <c r="G273">
        <v>1.64</v>
      </c>
      <c r="H273">
        <v>7.15</v>
      </c>
      <c r="I273">
        <v>0</v>
      </c>
      <c r="J273">
        <v>0</v>
      </c>
      <c r="K273">
        <v>8.8000000000000007</v>
      </c>
      <c r="L273" t="s">
        <v>61</v>
      </c>
      <c r="M273">
        <v>201</v>
      </c>
      <c r="N273">
        <v>22.85</v>
      </c>
      <c r="O273" t="s">
        <v>68</v>
      </c>
      <c r="P273" t="s">
        <v>67</v>
      </c>
      <c r="Q273">
        <v>201</v>
      </c>
      <c r="R273">
        <v>22.85</v>
      </c>
    </row>
    <row r="274" spans="1:18" x14ac:dyDescent="0.35">
      <c r="A274" t="s">
        <v>56</v>
      </c>
      <c r="B274" t="s">
        <v>57</v>
      </c>
      <c r="C274" t="s">
        <v>58</v>
      </c>
      <c r="D274">
        <v>107819512</v>
      </c>
      <c r="E274" t="s">
        <v>101</v>
      </c>
      <c r="F274" t="s">
        <v>60</v>
      </c>
      <c r="G274">
        <v>1.64</v>
      </c>
      <c r="H274">
        <v>7.15</v>
      </c>
      <c r="I274">
        <v>0</v>
      </c>
      <c r="J274">
        <v>0</v>
      </c>
      <c r="K274">
        <v>8.8000000000000007</v>
      </c>
      <c r="L274" t="s">
        <v>61</v>
      </c>
      <c r="M274">
        <v>201</v>
      </c>
      <c r="N274">
        <v>22.85</v>
      </c>
      <c r="O274" t="s">
        <v>69</v>
      </c>
      <c r="P274" t="s">
        <v>67</v>
      </c>
      <c r="Q274">
        <v>0</v>
      </c>
      <c r="R274">
        <v>0</v>
      </c>
    </row>
    <row r="275" spans="1:18" x14ac:dyDescent="0.35">
      <c r="A275" t="s">
        <v>56</v>
      </c>
      <c r="B275" t="s">
        <v>57</v>
      </c>
      <c r="C275" t="s">
        <v>58</v>
      </c>
      <c r="D275">
        <v>107820116</v>
      </c>
      <c r="E275" t="s">
        <v>102</v>
      </c>
      <c r="F275" t="s">
        <v>60</v>
      </c>
      <c r="G275">
        <v>0.44</v>
      </c>
      <c r="H275">
        <v>9.56</v>
      </c>
      <c r="I275">
        <v>0</v>
      </c>
      <c r="J275">
        <v>0</v>
      </c>
      <c r="K275">
        <v>10</v>
      </c>
      <c r="L275" t="s">
        <v>61</v>
      </c>
      <c r="M275">
        <v>375</v>
      </c>
      <c r="N275">
        <v>37.5</v>
      </c>
      <c r="O275" t="s">
        <v>62</v>
      </c>
      <c r="P275" t="s">
        <v>63</v>
      </c>
      <c r="Q275">
        <v>475</v>
      </c>
      <c r="R275">
        <v>1084.3399999999999</v>
      </c>
    </row>
    <row r="276" spans="1:18" x14ac:dyDescent="0.35">
      <c r="A276" t="s">
        <v>56</v>
      </c>
      <c r="B276" t="s">
        <v>57</v>
      </c>
      <c r="C276" t="s">
        <v>58</v>
      </c>
      <c r="D276">
        <v>107820116</v>
      </c>
      <c r="E276" t="s">
        <v>102</v>
      </c>
      <c r="F276" t="s">
        <v>60</v>
      </c>
      <c r="G276">
        <v>0.44</v>
      </c>
      <c r="H276">
        <v>9.56</v>
      </c>
      <c r="I276">
        <v>0</v>
      </c>
      <c r="J276">
        <v>0</v>
      </c>
      <c r="K276">
        <v>10</v>
      </c>
      <c r="L276" t="s">
        <v>61</v>
      </c>
      <c r="M276">
        <v>375</v>
      </c>
      <c r="N276">
        <v>37.5</v>
      </c>
      <c r="O276" t="s">
        <v>62</v>
      </c>
      <c r="P276" t="s">
        <v>64</v>
      </c>
      <c r="Q276">
        <v>1944</v>
      </c>
      <c r="R276">
        <v>203.31</v>
      </c>
    </row>
    <row r="277" spans="1:18" x14ac:dyDescent="0.35">
      <c r="A277" t="s">
        <v>56</v>
      </c>
      <c r="B277" t="s">
        <v>57</v>
      </c>
      <c r="C277" t="s">
        <v>58</v>
      </c>
      <c r="D277">
        <v>107820116</v>
      </c>
      <c r="E277" t="s">
        <v>102</v>
      </c>
      <c r="F277" t="s">
        <v>60</v>
      </c>
      <c r="G277">
        <v>0.44</v>
      </c>
      <c r="H277">
        <v>9.56</v>
      </c>
      <c r="I277">
        <v>0</v>
      </c>
      <c r="J277">
        <v>0</v>
      </c>
      <c r="K277">
        <v>10</v>
      </c>
      <c r="L277" t="s">
        <v>61</v>
      </c>
      <c r="M277">
        <v>375</v>
      </c>
      <c r="N277">
        <v>37.5</v>
      </c>
      <c r="O277" t="s">
        <v>62</v>
      </c>
      <c r="P277" t="s">
        <v>65</v>
      </c>
      <c r="Q277">
        <v>0</v>
      </c>
      <c r="R277">
        <v>0</v>
      </c>
    </row>
    <row r="278" spans="1:18" x14ac:dyDescent="0.35">
      <c r="A278" t="s">
        <v>56</v>
      </c>
      <c r="B278" t="s">
        <v>57</v>
      </c>
      <c r="C278" t="s">
        <v>58</v>
      </c>
      <c r="D278">
        <v>107820116</v>
      </c>
      <c r="E278" t="s">
        <v>102</v>
      </c>
      <c r="F278" t="s">
        <v>60</v>
      </c>
      <c r="G278">
        <v>0.44</v>
      </c>
      <c r="H278">
        <v>9.56</v>
      </c>
      <c r="I278">
        <v>0</v>
      </c>
      <c r="J278">
        <v>0</v>
      </c>
      <c r="K278">
        <v>10</v>
      </c>
      <c r="L278" t="s">
        <v>61</v>
      </c>
      <c r="M278">
        <v>375</v>
      </c>
      <c r="N278">
        <v>37.5</v>
      </c>
      <c r="O278" t="s">
        <v>62</v>
      </c>
      <c r="P278" t="s">
        <v>66</v>
      </c>
      <c r="Q278">
        <v>0</v>
      </c>
      <c r="R278">
        <v>0</v>
      </c>
    </row>
    <row r="279" spans="1:18" x14ac:dyDescent="0.35">
      <c r="A279" t="s">
        <v>56</v>
      </c>
      <c r="B279" t="s">
        <v>57</v>
      </c>
      <c r="C279" t="s">
        <v>58</v>
      </c>
      <c r="D279">
        <v>107820116</v>
      </c>
      <c r="E279" t="s">
        <v>102</v>
      </c>
      <c r="F279" t="s">
        <v>60</v>
      </c>
      <c r="G279">
        <v>0.44</v>
      </c>
      <c r="H279">
        <v>9.56</v>
      </c>
      <c r="I279">
        <v>0</v>
      </c>
      <c r="J279">
        <v>0</v>
      </c>
      <c r="K279">
        <v>10</v>
      </c>
      <c r="L279" t="s">
        <v>61</v>
      </c>
      <c r="M279">
        <v>375</v>
      </c>
      <c r="N279">
        <v>37.5</v>
      </c>
      <c r="O279" t="s">
        <v>62</v>
      </c>
      <c r="P279" t="s">
        <v>67</v>
      </c>
      <c r="Q279">
        <v>2419</v>
      </c>
      <c r="R279">
        <v>241.9</v>
      </c>
    </row>
    <row r="280" spans="1:18" x14ac:dyDescent="0.35">
      <c r="A280" t="s">
        <v>56</v>
      </c>
      <c r="B280" t="s">
        <v>57</v>
      </c>
      <c r="C280" t="s">
        <v>58</v>
      </c>
      <c r="D280">
        <v>107820116</v>
      </c>
      <c r="E280" t="s">
        <v>102</v>
      </c>
      <c r="F280" t="s">
        <v>60</v>
      </c>
      <c r="G280">
        <v>0.44</v>
      </c>
      <c r="H280">
        <v>9.56</v>
      </c>
      <c r="I280">
        <v>0</v>
      </c>
      <c r="J280">
        <v>0</v>
      </c>
      <c r="K280">
        <v>10</v>
      </c>
      <c r="L280" t="s">
        <v>61</v>
      </c>
      <c r="M280">
        <v>375</v>
      </c>
      <c r="N280">
        <v>37.5</v>
      </c>
      <c r="O280" t="s">
        <v>68</v>
      </c>
      <c r="P280" t="s">
        <v>67</v>
      </c>
      <c r="Q280">
        <v>375</v>
      </c>
      <c r="R280">
        <v>37.5</v>
      </c>
    </row>
    <row r="281" spans="1:18" x14ac:dyDescent="0.35">
      <c r="A281" t="s">
        <v>56</v>
      </c>
      <c r="B281" t="s">
        <v>57</v>
      </c>
      <c r="C281" t="s">
        <v>58</v>
      </c>
      <c r="D281">
        <v>107820116</v>
      </c>
      <c r="E281" t="s">
        <v>102</v>
      </c>
      <c r="F281" t="s">
        <v>60</v>
      </c>
      <c r="G281">
        <v>0.44</v>
      </c>
      <c r="H281">
        <v>9.56</v>
      </c>
      <c r="I281">
        <v>0</v>
      </c>
      <c r="J281">
        <v>0</v>
      </c>
      <c r="K281">
        <v>10</v>
      </c>
      <c r="L281" t="s">
        <v>61</v>
      </c>
      <c r="M281">
        <v>375</v>
      </c>
      <c r="N281">
        <v>37.5</v>
      </c>
      <c r="O281" t="s">
        <v>69</v>
      </c>
      <c r="P281" t="s">
        <v>67</v>
      </c>
      <c r="Q281">
        <v>0</v>
      </c>
      <c r="R281">
        <v>0</v>
      </c>
    </row>
    <row r="282" spans="1:18" x14ac:dyDescent="0.35">
      <c r="A282" t="s">
        <v>56</v>
      </c>
      <c r="B282" t="s">
        <v>57</v>
      </c>
      <c r="C282" t="s">
        <v>58</v>
      </c>
      <c r="D282">
        <v>107824169</v>
      </c>
      <c r="E282" t="s">
        <v>103</v>
      </c>
      <c r="F282" t="s">
        <v>60</v>
      </c>
      <c r="G282">
        <v>0.53</v>
      </c>
      <c r="H282">
        <v>9.4700000000000006</v>
      </c>
      <c r="I282">
        <v>0</v>
      </c>
      <c r="J282">
        <v>0</v>
      </c>
      <c r="K282">
        <v>10</v>
      </c>
      <c r="L282" t="s">
        <v>61</v>
      </c>
      <c r="M282">
        <v>380</v>
      </c>
      <c r="N282">
        <v>38</v>
      </c>
      <c r="O282" t="s">
        <v>62</v>
      </c>
      <c r="P282" t="s">
        <v>63</v>
      </c>
      <c r="Q282">
        <v>622</v>
      </c>
      <c r="R282">
        <v>1177.9100000000001</v>
      </c>
    </row>
    <row r="283" spans="1:18" x14ac:dyDescent="0.35">
      <c r="A283" t="s">
        <v>56</v>
      </c>
      <c r="B283" t="s">
        <v>57</v>
      </c>
      <c r="C283" t="s">
        <v>58</v>
      </c>
      <c r="D283">
        <v>107824169</v>
      </c>
      <c r="E283" t="s">
        <v>103</v>
      </c>
      <c r="F283" t="s">
        <v>60</v>
      </c>
      <c r="G283">
        <v>0.53</v>
      </c>
      <c r="H283">
        <v>9.4700000000000006</v>
      </c>
      <c r="I283">
        <v>0</v>
      </c>
      <c r="J283">
        <v>0</v>
      </c>
      <c r="K283">
        <v>10</v>
      </c>
      <c r="L283" t="s">
        <v>61</v>
      </c>
      <c r="M283">
        <v>380</v>
      </c>
      <c r="N283">
        <v>38</v>
      </c>
      <c r="O283" t="s">
        <v>62</v>
      </c>
      <c r="P283" t="s">
        <v>64</v>
      </c>
      <c r="Q283">
        <v>2092</v>
      </c>
      <c r="R283">
        <v>220.87</v>
      </c>
    </row>
    <row r="284" spans="1:18" x14ac:dyDescent="0.35">
      <c r="A284" t="s">
        <v>56</v>
      </c>
      <c r="B284" t="s">
        <v>57</v>
      </c>
      <c r="C284" t="s">
        <v>58</v>
      </c>
      <c r="D284">
        <v>107824169</v>
      </c>
      <c r="E284" t="s">
        <v>103</v>
      </c>
      <c r="F284" t="s">
        <v>60</v>
      </c>
      <c r="G284">
        <v>0.53</v>
      </c>
      <c r="H284">
        <v>9.4700000000000006</v>
      </c>
      <c r="I284">
        <v>0</v>
      </c>
      <c r="J284">
        <v>0</v>
      </c>
      <c r="K284">
        <v>10</v>
      </c>
      <c r="L284" t="s">
        <v>61</v>
      </c>
      <c r="M284">
        <v>380</v>
      </c>
      <c r="N284">
        <v>38</v>
      </c>
      <c r="O284" t="s">
        <v>62</v>
      </c>
      <c r="P284" t="s">
        <v>65</v>
      </c>
      <c r="Q284">
        <v>0</v>
      </c>
      <c r="R284">
        <v>0</v>
      </c>
    </row>
    <row r="285" spans="1:18" x14ac:dyDescent="0.35">
      <c r="A285" t="s">
        <v>56</v>
      </c>
      <c r="B285" t="s">
        <v>57</v>
      </c>
      <c r="C285" t="s">
        <v>58</v>
      </c>
      <c r="D285">
        <v>107824169</v>
      </c>
      <c r="E285" t="s">
        <v>103</v>
      </c>
      <c r="F285" t="s">
        <v>60</v>
      </c>
      <c r="G285">
        <v>0.53</v>
      </c>
      <c r="H285">
        <v>9.4700000000000006</v>
      </c>
      <c r="I285">
        <v>0</v>
      </c>
      <c r="J285">
        <v>0</v>
      </c>
      <c r="K285">
        <v>10</v>
      </c>
      <c r="L285" t="s">
        <v>61</v>
      </c>
      <c r="M285">
        <v>380</v>
      </c>
      <c r="N285">
        <v>38</v>
      </c>
      <c r="O285" t="s">
        <v>62</v>
      </c>
      <c r="P285" t="s">
        <v>66</v>
      </c>
      <c r="Q285">
        <v>0</v>
      </c>
      <c r="R285">
        <v>0</v>
      </c>
    </row>
    <row r="286" spans="1:18" x14ac:dyDescent="0.35">
      <c r="A286" t="s">
        <v>56</v>
      </c>
      <c r="B286" t="s">
        <v>57</v>
      </c>
      <c r="C286" t="s">
        <v>58</v>
      </c>
      <c r="D286">
        <v>107824169</v>
      </c>
      <c r="E286" t="s">
        <v>103</v>
      </c>
      <c r="F286" t="s">
        <v>60</v>
      </c>
      <c r="G286">
        <v>0.53</v>
      </c>
      <c r="H286">
        <v>9.4700000000000006</v>
      </c>
      <c r="I286">
        <v>0</v>
      </c>
      <c r="J286">
        <v>0</v>
      </c>
      <c r="K286">
        <v>10</v>
      </c>
      <c r="L286" t="s">
        <v>61</v>
      </c>
      <c r="M286">
        <v>380</v>
      </c>
      <c r="N286">
        <v>38</v>
      </c>
      <c r="O286" t="s">
        <v>62</v>
      </c>
      <c r="P286" t="s">
        <v>67</v>
      </c>
      <c r="Q286">
        <v>2714</v>
      </c>
      <c r="R286">
        <v>271.39999999999998</v>
      </c>
    </row>
    <row r="287" spans="1:18" x14ac:dyDescent="0.35">
      <c r="A287" t="s">
        <v>56</v>
      </c>
      <c r="B287" t="s">
        <v>57</v>
      </c>
      <c r="C287" t="s">
        <v>58</v>
      </c>
      <c r="D287">
        <v>107824169</v>
      </c>
      <c r="E287" t="s">
        <v>103</v>
      </c>
      <c r="F287" t="s">
        <v>60</v>
      </c>
      <c r="G287">
        <v>0.53</v>
      </c>
      <c r="H287">
        <v>9.4700000000000006</v>
      </c>
      <c r="I287">
        <v>0</v>
      </c>
      <c r="J287">
        <v>0</v>
      </c>
      <c r="K287">
        <v>10</v>
      </c>
      <c r="L287" t="s">
        <v>61</v>
      </c>
      <c r="M287">
        <v>380</v>
      </c>
      <c r="N287">
        <v>38</v>
      </c>
      <c r="O287" t="s">
        <v>68</v>
      </c>
      <c r="P287" t="s">
        <v>67</v>
      </c>
      <c r="Q287">
        <v>379</v>
      </c>
      <c r="R287">
        <v>37.9</v>
      </c>
    </row>
    <row r="288" spans="1:18" x14ac:dyDescent="0.35">
      <c r="A288" t="s">
        <v>56</v>
      </c>
      <c r="B288" t="s">
        <v>57</v>
      </c>
      <c r="C288" t="s">
        <v>58</v>
      </c>
      <c r="D288">
        <v>107824169</v>
      </c>
      <c r="E288" t="s">
        <v>103</v>
      </c>
      <c r="F288" t="s">
        <v>60</v>
      </c>
      <c r="G288">
        <v>0.53</v>
      </c>
      <c r="H288">
        <v>9.4700000000000006</v>
      </c>
      <c r="I288">
        <v>0</v>
      </c>
      <c r="J288">
        <v>0</v>
      </c>
      <c r="K288">
        <v>10</v>
      </c>
      <c r="L288" t="s">
        <v>61</v>
      </c>
      <c r="M288">
        <v>380</v>
      </c>
      <c r="N288">
        <v>38</v>
      </c>
      <c r="O288" t="s">
        <v>69</v>
      </c>
      <c r="P288" t="s">
        <v>67</v>
      </c>
      <c r="Q288">
        <v>0</v>
      </c>
      <c r="R288">
        <v>0</v>
      </c>
    </row>
    <row r="289" spans="1:18" x14ac:dyDescent="0.35">
      <c r="A289" t="s">
        <v>56</v>
      </c>
      <c r="B289" t="s">
        <v>57</v>
      </c>
      <c r="C289" t="s">
        <v>70</v>
      </c>
      <c r="D289">
        <v>107826180</v>
      </c>
      <c r="E289" t="s">
        <v>566</v>
      </c>
      <c r="F289" t="s">
        <v>60</v>
      </c>
      <c r="G289">
        <v>0.22</v>
      </c>
      <c r="H289">
        <v>9.81</v>
      </c>
      <c r="I289">
        <v>7.0000000000000007E-2</v>
      </c>
      <c r="J289">
        <v>0</v>
      </c>
      <c r="K289">
        <v>10.1</v>
      </c>
      <c r="L289" t="s">
        <v>61</v>
      </c>
      <c r="M289">
        <v>407</v>
      </c>
      <c r="N289">
        <v>40.299999999999997</v>
      </c>
      <c r="O289" t="s">
        <v>62</v>
      </c>
      <c r="P289" t="s">
        <v>63</v>
      </c>
      <c r="Q289">
        <v>345</v>
      </c>
      <c r="R289">
        <v>1568.18</v>
      </c>
    </row>
    <row r="290" spans="1:18" x14ac:dyDescent="0.35">
      <c r="A290" t="s">
        <v>56</v>
      </c>
      <c r="B290" t="s">
        <v>57</v>
      </c>
      <c r="C290" t="s">
        <v>70</v>
      </c>
      <c r="D290">
        <v>107826180</v>
      </c>
      <c r="E290" t="s">
        <v>566</v>
      </c>
      <c r="F290" t="s">
        <v>60</v>
      </c>
      <c r="G290">
        <v>0.22</v>
      </c>
      <c r="H290">
        <v>9.81</v>
      </c>
      <c r="I290">
        <v>7.0000000000000007E-2</v>
      </c>
      <c r="J290">
        <v>0</v>
      </c>
      <c r="K290">
        <v>10.1</v>
      </c>
      <c r="L290" t="s">
        <v>61</v>
      </c>
      <c r="M290">
        <v>407</v>
      </c>
      <c r="N290">
        <v>40.299999999999997</v>
      </c>
      <c r="O290" t="s">
        <v>62</v>
      </c>
      <c r="P290" t="s">
        <v>64</v>
      </c>
      <c r="Q290">
        <v>2886</v>
      </c>
      <c r="R290">
        <v>294.12</v>
      </c>
    </row>
    <row r="291" spans="1:18" x14ac:dyDescent="0.35">
      <c r="A291" t="s">
        <v>56</v>
      </c>
      <c r="B291" t="s">
        <v>57</v>
      </c>
      <c r="C291" t="s">
        <v>70</v>
      </c>
      <c r="D291">
        <v>107826180</v>
      </c>
      <c r="E291" t="s">
        <v>566</v>
      </c>
      <c r="F291" t="s">
        <v>60</v>
      </c>
      <c r="G291">
        <v>0.22</v>
      </c>
      <c r="H291">
        <v>9.81</v>
      </c>
      <c r="I291">
        <v>7.0000000000000007E-2</v>
      </c>
      <c r="J291">
        <v>0</v>
      </c>
      <c r="K291">
        <v>10.1</v>
      </c>
      <c r="L291" t="s">
        <v>61</v>
      </c>
      <c r="M291">
        <v>407</v>
      </c>
      <c r="N291">
        <v>40.299999999999997</v>
      </c>
      <c r="O291" t="s">
        <v>62</v>
      </c>
      <c r="P291" t="s">
        <v>65</v>
      </c>
      <c r="Q291">
        <v>12</v>
      </c>
      <c r="R291">
        <v>177.78</v>
      </c>
    </row>
    <row r="292" spans="1:18" x14ac:dyDescent="0.35">
      <c r="A292" t="s">
        <v>56</v>
      </c>
      <c r="B292" t="s">
        <v>57</v>
      </c>
      <c r="C292" t="s">
        <v>70</v>
      </c>
      <c r="D292">
        <v>107826180</v>
      </c>
      <c r="E292" t="s">
        <v>566</v>
      </c>
      <c r="F292" t="s">
        <v>60</v>
      </c>
      <c r="G292">
        <v>0.22</v>
      </c>
      <c r="H292">
        <v>9.81</v>
      </c>
      <c r="I292">
        <v>7.0000000000000007E-2</v>
      </c>
      <c r="J292">
        <v>0</v>
      </c>
      <c r="K292">
        <v>10.1</v>
      </c>
      <c r="L292" t="s">
        <v>61</v>
      </c>
      <c r="M292">
        <v>407</v>
      </c>
      <c r="N292">
        <v>40.299999999999997</v>
      </c>
      <c r="O292" t="s">
        <v>62</v>
      </c>
      <c r="P292" t="s">
        <v>66</v>
      </c>
      <c r="Q292">
        <v>0</v>
      </c>
      <c r="R292">
        <v>0</v>
      </c>
    </row>
    <row r="293" spans="1:18" x14ac:dyDescent="0.35">
      <c r="A293" t="s">
        <v>56</v>
      </c>
      <c r="B293" t="s">
        <v>57</v>
      </c>
      <c r="C293" t="s">
        <v>70</v>
      </c>
      <c r="D293">
        <v>107826180</v>
      </c>
      <c r="E293" t="s">
        <v>566</v>
      </c>
      <c r="F293" t="s">
        <v>60</v>
      </c>
      <c r="G293">
        <v>0.22</v>
      </c>
      <c r="H293">
        <v>9.81</v>
      </c>
      <c r="I293">
        <v>7.0000000000000007E-2</v>
      </c>
      <c r="J293">
        <v>0</v>
      </c>
      <c r="K293">
        <v>10.1</v>
      </c>
      <c r="L293" t="s">
        <v>61</v>
      </c>
      <c r="M293">
        <v>407</v>
      </c>
      <c r="N293">
        <v>40.299999999999997</v>
      </c>
      <c r="O293" t="s">
        <v>62</v>
      </c>
      <c r="P293" t="s">
        <v>67</v>
      </c>
      <c r="Q293">
        <v>3243</v>
      </c>
      <c r="R293">
        <v>321.08999999999997</v>
      </c>
    </row>
    <row r="294" spans="1:18" x14ac:dyDescent="0.35">
      <c r="A294" t="s">
        <v>56</v>
      </c>
      <c r="B294" t="s">
        <v>57</v>
      </c>
      <c r="C294" t="s">
        <v>70</v>
      </c>
      <c r="D294">
        <v>107826180</v>
      </c>
      <c r="E294" t="s">
        <v>566</v>
      </c>
      <c r="F294" t="s">
        <v>60</v>
      </c>
      <c r="G294">
        <v>0.22</v>
      </c>
      <c r="H294">
        <v>9.81</v>
      </c>
      <c r="I294">
        <v>7.0000000000000007E-2</v>
      </c>
      <c r="J294">
        <v>0</v>
      </c>
      <c r="K294">
        <v>10.1</v>
      </c>
      <c r="L294" t="s">
        <v>61</v>
      </c>
      <c r="M294">
        <v>407</v>
      </c>
      <c r="N294">
        <v>40.299999999999997</v>
      </c>
      <c r="O294" t="s">
        <v>68</v>
      </c>
      <c r="P294" t="s">
        <v>67</v>
      </c>
      <c r="Q294">
        <v>407</v>
      </c>
      <c r="R294">
        <v>40.299999999999997</v>
      </c>
    </row>
    <row r="295" spans="1:18" x14ac:dyDescent="0.35">
      <c r="A295" t="s">
        <v>56</v>
      </c>
      <c r="B295" t="s">
        <v>57</v>
      </c>
      <c r="C295" t="s">
        <v>70</v>
      </c>
      <c r="D295">
        <v>107826180</v>
      </c>
      <c r="E295" t="s">
        <v>566</v>
      </c>
      <c r="F295" t="s">
        <v>60</v>
      </c>
      <c r="G295">
        <v>0.22</v>
      </c>
      <c r="H295">
        <v>9.81</v>
      </c>
      <c r="I295">
        <v>7.0000000000000007E-2</v>
      </c>
      <c r="J295">
        <v>0</v>
      </c>
      <c r="K295">
        <v>10.1</v>
      </c>
      <c r="L295" t="s">
        <v>61</v>
      </c>
      <c r="M295">
        <v>407</v>
      </c>
      <c r="N295">
        <v>40.299999999999997</v>
      </c>
      <c r="O295" t="s">
        <v>69</v>
      </c>
      <c r="P295" t="s">
        <v>67</v>
      </c>
      <c r="Q295">
        <v>0</v>
      </c>
      <c r="R295">
        <v>0</v>
      </c>
    </row>
    <row r="296" spans="1:18" x14ac:dyDescent="0.35">
      <c r="A296" t="s">
        <v>56</v>
      </c>
      <c r="B296" t="s">
        <v>57</v>
      </c>
      <c r="C296" t="s">
        <v>58</v>
      </c>
      <c r="D296">
        <v>107826193</v>
      </c>
      <c r="E296" t="s">
        <v>538</v>
      </c>
      <c r="F296" t="s">
        <v>60</v>
      </c>
      <c r="G296">
        <v>7.0000000000000007E-2</v>
      </c>
      <c r="H296">
        <v>9.93</v>
      </c>
      <c r="I296">
        <v>0</v>
      </c>
      <c r="J296">
        <v>0</v>
      </c>
      <c r="K296">
        <v>10</v>
      </c>
      <c r="L296" t="s">
        <v>61</v>
      </c>
      <c r="M296">
        <v>411</v>
      </c>
      <c r="N296">
        <v>41.1</v>
      </c>
      <c r="O296" t="s">
        <v>62</v>
      </c>
      <c r="P296" t="s">
        <v>63</v>
      </c>
      <c r="Q296">
        <v>60</v>
      </c>
      <c r="R296">
        <v>840.47</v>
      </c>
    </row>
    <row r="297" spans="1:18" x14ac:dyDescent="0.35">
      <c r="A297" t="s">
        <v>56</v>
      </c>
      <c r="B297" t="s">
        <v>57</v>
      </c>
      <c r="C297" t="s">
        <v>58</v>
      </c>
      <c r="D297">
        <v>107826193</v>
      </c>
      <c r="E297" t="s">
        <v>538</v>
      </c>
      <c r="F297" t="s">
        <v>60</v>
      </c>
      <c r="G297">
        <v>7.0000000000000007E-2</v>
      </c>
      <c r="H297">
        <v>9.93</v>
      </c>
      <c r="I297">
        <v>0</v>
      </c>
      <c r="J297">
        <v>0</v>
      </c>
      <c r="K297">
        <v>10</v>
      </c>
      <c r="L297" t="s">
        <v>61</v>
      </c>
      <c r="M297">
        <v>411</v>
      </c>
      <c r="N297">
        <v>41.1</v>
      </c>
      <c r="O297" t="s">
        <v>62</v>
      </c>
      <c r="P297" t="s">
        <v>64</v>
      </c>
      <c r="Q297">
        <v>1563</v>
      </c>
      <c r="R297">
        <v>157.43</v>
      </c>
    </row>
    <row r="298" spans="1:18" x14ac:dyDescent="0.35">
      <c r="A298" t="s">
        <v>56</v>
      </c>
      <c r="B298" t="s">
        <v>57</v>
      </c>
      <c r="C298" t="s">
        <v>58</v>
      </c>
      <c r="D298">
        <v>107826193</v>
      </c>
      <c r="E298" t="s">
        <v>538</v>
      </c>
      <c r="F298" t="s">
        <v>60</v>
      </c>
      <c r="G298">
        <v>7.0000000000000007E-2</v>
      </c>
      <c r="H298">
        <v>9.93</v>
      </c>
      <c r="I298">
        <v>0</v>
      </c>
      <c r="J298">
        <v>0</v>
      </c>
      <c r="K298">
        <v>10</v>
      </c>
      <c r="L298" t="s">
        <v>61</v>
      </c>
      <c r="M298">
        <v>411</v>
      </c>
      <c r="N298">
        <v>41.1</v>
      </c>
      <c r="O298" t="s">
        <v>62</v>
      </c>
      <c r="P298" t="s">
        <v>65</v>
      </c>
      <c r="Q298">
        <v>0</v>
      </c>
      <c r="R298">
        <v>0</v>
      </c>
    </row>
    <row r="299" spans="1:18" x14ac:dyDescent="0.35">
      <c r="A299" t="s">
        <v>56</v>
      </c>
      <c r="B299" t="s">
        <v>57</v>
      </c>
      <c r="C299" t="s">
        <v>58</v>
      </c>
      <c r="D299">
        <v>107826193</v>
      </c>
      <c r="E299" t="s">
        <v>538</v>
      </c>
      <c r="F299" t="s">
        <v>60</v>
      </c>
      <c r="G299">
        <v>7.0000000000000007E-2</v>
      </c>
      <c r="H299">
        <v>9.93</v>
      </c>
      <c r="I299">
        <v>0</v>
      </c>
      <c r="J299">
        <v>0</v>
      </c>
      <c r="K299">
        <v>10</v>
      </c>
      <c r="L299" t="s">
        <v>61</v>
      </c>
      <c r="M299">
        <v>411</v>
      </c>
      <c r="N299">
        <v>41.1</v>
      </c>
      <c r="O299" t="s">
        <v>62</v>
      </c>
      <c r="P299" t="s">
        <v>66</v>
      </c>
      <c r="Q299">
        <v>0</v>
      </c>
      <c r="R299">
        <v>0</v>
      </c>
    </row>
    <row r="300" spans="1:18" x14ac:dyDescent="0.35">
      <c r="A300" t="s">
        <v>56</v>
      </c>
      <c r="B300" t="s">
        <v>57</v>
      </c>
      <c r="C300" t="s">
        <v>58</v>
      </c>
      <c r="D300">
        <v>107826193</v>
      </c>
      <c r="E300" t="s">
        <v>538</v>
      </c>
      <c r="F300" t="s">
        <v>60</v>
      </c>
      <c r="G300">
        <v>7.0000000000000007E-2</v>
      </c>
      <c r="H300">
        <v>9.93</v>
      </c>
      <c r="I300">
        <v>0</v>
      </c>
      <c r="J300">
        <v>0</v>
      </c>
      <c r="K300">
        <v>10</v>
      </c>
      <c r="L300" t="s">
        <v>61</v>
      </c>
      <c r="M300">
        <v>411</v>
      </c>
      <c r="N300">
        <v>41.1</v>
      </c>
      <c r="O300" t="s">
        <v>62</v>
      </c>
      <c r="P300" t="s">
        <v>67</v>
      </c>
      <c r="Q300">
        <v>1623</v>
      </c>
      <c r="R300">
        <v>162.30000000000001</v>
      </c>
    </row>
    <row r="301" spans="1:18" x14ac:dyDescent="0.35">
      <c r="A301" t="s">
        <v>56</v>
      </c>
      <c r="B301" t="s">
        <v>57</v>
      </c>
      <c r="C301" t="s">
        <v>58</v>
      </c>
      <c r="D301">
        <v>107826193</v>
      </c>
      <c r="E301" t="s">
        <v>538</v>
      </c>
      <c r="F301" t="s">
        <v>60</v>
      </c>
      <c r="G301">
        <v>7.0000000000000007E-2</v>
      </c>
      <c r="H301">
        <v>9.93</v>
      </c>
      <c r="I301">
        <v>0</v>
      </c>
      <c r="J301">
        <v>0</v>
      </c>
      <c r="K301">
        <v>10</v>
      </c>
      <c r="L301" t="s">
        <v>61</v>
      </c>
      <c r="M301">
        <v>411</v>
      </c>
      <c r="N301">
        <v>41.1</v>
      </c>
      <c r="O301" t="s">
        <v>68</v>
      </c>
      <c r="P301" t="s">
        <v>67</v>
      </c>
      <c r="Q301">
        <v>411</v>
      </c>
      <c r="R301">
        <v>41.1</v>
      </c>
    </row>
    <row r="302" spans="1:18" x14ac:dyDescent="0.35">
      <c r="A302" t="s">
        <v>56</v>
      </c>
      <c r="B302" t="s">
        <v>57</v>
      </c>
      <c r="C302" t="s">
        <v>58</v>
      </c>
      <c r="D302">
        <v>107826193</v>
      </c>
      <c r="E302" t="s">
        <v>538</v>
      </c>
      <c r="F302" t="s">
        <v>60</v>
      </c>
      <c r="G302">
        <v>7.0000000000000007E-2</v>
      </c>
      <c r="H302">
        <v>9.93</v>
      </c>
      <c r="I302">
        <v>0</v>
      </c>
      <c r="J302">
        <v>0</v>
      </c>
      <c r="K302">
        <v>10</v>
      </c>
      <c r="L302" t="s">
        <v>61</v>
      </c>
      <c r="M302">
        <v>411</v>
      </c>
      <c r="N302">
        <v>41.1</v>
      </c>
      <c r="O302" t="s">
        <v>69</v>
      </c>
      <c r="P302" t="s">
        <v>67</v>
      </c>
      <c r="Q302">
        <v>0</v>
      </c>
      <c r="R302">
        <v>0</v>
      </c>
    </row>
    <row r="303" spans="1:18" x14ac:dyDescent="0.35">
      <c r="A303" t="s">
        <v>56</v>
      </c>
      <c r="B303" t="s">
        <v>57</v>
      </c>
      <c r="C303" t="s">
        <v>58</v>
      </c>
      <c r="D303">
        <v>107826201</v>
      </c>
      <c r="E303" t="s">
        <v>539</v>
      </c>
      <c r="F303" t="s">
        <v>60</v>
      </c>
      <c r="G303">
        <v>0.43</v>
      </c>
      <c r="H303">
        <v>9.27</v>
      </c>
      <c r="I303">
        <v>0</v>
      </c>
      <c r="J303">
        <v>0</v>
      </c>
      <c r="K303">
        <v>9.6999999999999993</v>
      </c>
      <c r="L303" t="s">
        <v>61</v>
      </c>
      <c r="M303">
        <v>331</v>
      </c>
      <c r="N303">
        <v>34.11</v>
      </c>
      <c r="O303" t="s">
        <v>62</v>
      </c>
      <c r="P303" t="s">
        <v>63</v>
      </c>
      <c r="Q303">
        <v>334</v>
      </c>
      <c r="R303">
        <v>772.25</v>
      </c>
    </row>
    <row r="304" spans="1:18" x14ac:dyDescent="0.35">
      <c r="A304" t="s">
        <v>56</v>
      </c>
      <c r="B304" t="s">
        <v>57</v>
      </c>
      <c r="C304" t="s">
        <v>58</v>
      </c>
      <c r="D304">
        <v>107826201</v>
      </c>
      <c r="E304" t="s">
        <v>539</v>
      </c>
      <c r="F304" t="s">
        <v>60</v>
      </c>
      <c r="G304">
        <v>0.43</v>
      </c>
      <c r="H304">
        <v>9.27</v>
      </c>
      <c r="I304">
        <v>0</v>
      </c>
      <c r="J304">
        <v>0</v>
      </c>
      <c r="K304">
        <v>9.6999999999999993</v>
      </c>
      <c r="L304" t="s">
        <v>61</v>
      </c>
      <c r="M304">
        <v>331</v>
      </c>
      <c r="N304">
        <v>34.11</v>
      </c>
      <c r="O304" t="s">
        <v>62</v>
      </c>
      <c r="P304" t="s">
        <v>64</v>
      </c>
      <c r="Q304">
        <v>1343</v>
      </c>
      <c r="R304">
        <v>144.86000000000001</v>
      </c>
    </row>
    <row r="305" spans="1:18" x14ac:dyDescent="0.35">
      <c r="A305" t="s">
        <v>56</v>
      </c>
      <c r="B305" t="s">
        <v>57</v>
      </c>
      <c r="C305" t="s">
        <v>58</v>
      </c>
      <c r="D305">
        <v>107826201</v>
      </c>
      <c r="E305" t="s">
        <v>539</v>
      </c>
      <c r="F305" t="s">
        <v>60</v>
      </c>
      <c r="G305">
        <v>0.43</v>
      </c>
      <c r="H305">
        <v>9.27</v>
      </c>
      <c r="I305">
        <v>0</v>
      </c>
      <c r="J305">
        <v>0</v>
      </c>
      <c r="K305">
        <v>9.6999999999999993</v>
      </c>
      <c r="L305" t="s">
        <v>61</v>
      </c>
      <c r="M305">
        <v>331</v>
      </c>
      <c r="N305">
        <v>34.11</v>
      </c>
      <c r="O305" t="s">
        <v>62</v>
      </c>
      <c r="P305" t="s">
        <v>65</v>
      </c>
      <c r="Q305">
        <v>0</v>
      </c>
      <c r="R305">
        <v>0</v>
      </c>
    </row>
    <row r="306" spans="1:18" x14ac:dyDescent="0.35">
      <c r="A306" t="s">
        <v>56</v>
      </c>
      <c r="B306" t="s">
        <v>57</v>
      </c>
      <c r="C306" t="s">
        <v>58</v>
      </c>
      <c r="D306">
        <v>107826201</v>
      </c>
      <c r="E306" t="s">
        <v>539</v>
      </c>
      <c r="F306" t="s">
        <v>60</v>
      </c>
      <c r="G306">
        <v>0.43</v>
      </c>
      <c r="H306">
        <v>9.27</v>
      </c>
      <c r="I306">
        <v>0</v>
      </c>
      <c r="J306">
        <v>0</v>
      </c>
      <c r="K306">
        <v>9.6999999999999993</v>
      </c>
      <c r="L306" t="s">
        <v>61</v>
      </c>
      <c r="M306">
        <v>331</v>
      </c>
      <c r="N306">
        <v>34.11</v>
      </c>
      <c r="O306" t="s">
        <v>62</v>
      </c>
      <c r="P306" t="s">
        <v>66</v>
      </c>
      <c r="Q306">
        <v>0</v>
      </c>
      <c r="R306">
        <v>0</v>
      </c>
    </row>
    <row r="307" spans="1:18" x14ac:dyDescent="0.35">
      <c r="A307" t="s">
        <v>56</v>
      </c>
      <c r="B307" t="s">
        <v>57</v>
      </c>
      <c r="C307" t="s">
        <v>58</v>
      </c>
      <c r="D307">
        <v>107826201</v>
      </c>
      <c r="E307" t="s">
        <v>539</v>
      </c>
      <c r="F307" t="s">
        <v>60</v>
      </c>
      <c r="G307">
        <v>0.43</v>
      </c>
      <c r="H307">
        <v>9.27</v>
      </c>
      <c r="I307">
        <v>0</v>
      </c>
      <c r="J307">
        <v>0</v>
      </c>
      <c r="K307">
        <v>9.6999999999999993</v>
      </c>
      <c r="L307" t="s">
        <v>61</v>
      </c>
      <c r="M307">
        <v>331</v>
      </c>
      <c r="N307">
        <v>34.11</v>
      </c>
      <c r="O307" t="s">
        <v>62</v>
      </c>
      <c r="P307" t="s">
        <v>67</v>
      </c>
      <c r="Q307">
        <v>1677</v>
      </c>
      <c r="R307">
        <v>172.82</v>
      </c>
    </row>
    <row r="308" spans="1:18" x14ac:dyDescent="0.35">
      <c r="A308" t="s">
        <v>56</v>
      </c>
      <c r="B308" t="s">
        <v>57</v>
      </c>
      <c r="C308" t="s">
        <v>58</v>
      </c>
      <c r="D308">
        <v>107826201</v>
      </c>
      <c r="E308" t="s">
        <v>539</v>
      </c>
      <c r="F308" t="s">
        <v>60</v>
      </c>
      <c r="G308">
        <v>0.43</v>
      </c>
      <c r="H308">
        <v>9.27</v>
      </c>
      <c r="I308">
        <v>0</v>
      </c>
      <c r="J308">
        <v>0</v>
      </c>
      <c r="K308">
        <v>9.6999999999999993</v>
      </c>
      <c r="L308" t="s">
        <v>61</v>
      </c>
      <c r="M308">
        <v>331</v>
      </c>
      <c r="N308">
        <v>34.11</v>
      </c>
      <c r="O308" t="s">
        <v>68</v>
      </c>
      <c r="P308" t="s">
        <v>67</v>
      </c>
      <c r="Q308">
        <v>331</v>
      </c>
      <c r="R308">
        <v>34.11</v>
      </c>
    </row>
    <row r="309" spans="1:18" x14ac:dyDescent="0.35">
      <c r="A309" t="s">
        <v>56</v>
      </c>
      <c r="B309" t="s">
        <v>57</v>
      </c>
      <c r="C309" t="s">
        <v>58</v>
      </c>
      <c r="D309">
        <v>107826201</v>
      </c>
      <c r="E309" t="s">
        <v>539</v>
      </c>
      <c r="F309" t="s">
        <v>60</v>
      </c>
      <c r="G309">
        <v>0.43</v>
      </c>
      <c r="H309">
        <v>9.27</v>
      </c>
      <c r="I309">
        <v>0</v>
      </c>
      <c r="J309">
        <v>0</v>
      </c>
      <c r="K309">
        <v>9.6999999999999993</v>
      </c>
      <c r="L309" t="s">
        <v>61</v>
      </c>
      <c r="M309">
        <v>331</v>
      </c>
      <c r="N309">
        <v>34.11</v>
      </c>
      <c r="O309" t="s">
        <v>69</v>
      </c>
      <c r="P309" t="s">
        <v>67</v>
      </c>
      <c r="Q309">
        <v>0</v>
      </c>
      <c r="R309">
        <v>0</v>
      </c>
    </row>
    <row r="310" spans="1:18" x14ac:dyDescent="0.35">
      <c r="A310" t="s">
        <v>56</v>
      </c>
      <c r="B310" t="s">
        <v>57</v>
      </c>
      <c r="C310" t="s">
        <v>70</v>
      </c>
      <c r="D310">
        <v>107826232</v>
      </c>
      <c r="E310" t="s">
        <v>540</v>
      </c>
      <c r="F310" t="s">
        <v>60</v>
      </c>
      <c r="G310">
        <v>0.31</v>
      </c>
      <c r="H310">
        <v>9.69</v>
      </c>
      <c r="I310">
        <v>0</v>
      </c>
      <c r="J310">
        <v>0</v>
      </c>
      <c r="K310">
        <v>10</v>
      </c>
      <c r="L310" t="s">
        <v>61</v>
      </c>
      <c r="M310">
        <v>359</v>
      </c>
      <c r="N310">
        <v>35.9</v>
      </c>
      <c r="O310" t="s">
        <v>62</v>
      </c>
      <c r="P310" t="s">
        <v>63</v>
      </c>
      <c r="Q310">
        <v>214</v>
      </c>
      <c r="R310">
        <v>685.41</v>
      </c>
    </row>
    <row r="311" spans="1:18" x14ac:dyDescent="0.35">
      <c r="A311" t="s">
        <v>56</v>
      </c>
      <c r="B311" t="s">
        <v>57</v>
      </c>
      <c r="C311" t="s">
        <v>70</v>
      </c>
      <c r="D311">
        <v>107826232</v>
      </c>
      <c r="E311" t="s">
        <v>540</v>
      </c>
      <c r="F311" t="s">
        <v>60</v>
      </c>
      <c r="G311">
        <v>0.31</v>
      </c>
      <c r="H311">
        <v>9.69</v>
      </c>
      <c r="I311">
        <v>0</v>
      </c>
      <c r="J311">
        <v>0</v>
      </c>
      <c r="K311">
        <v>10</v>
      </c>
      <c r="L311" t="s">
        <v>61</v>
      </c>
      <c r="M311">
        <v>359</v>
      </c>
      <c r="N311">
        <v>35.9</v>
      </c>
      <c r="O311" t="s">
        <v>62</v>
      </c>
      <c r="P311" t="s">
        <v>64</v>
      </c>
      <c r="Q311">
        <v>1245</v>
      </c>
      <c r="R311">
        <v>128.52000000000001</v>
      </c>
    </row>
    <row r="312" spans="1:18" x14ac:dyDescent="0.35">
      <c r="A312" t="s">
        <v>56</v>
      </c>
      <c r="B312" t="s">
        <v>57</v>
      </c>
      <c r="C312" t="s">
        <v>70</v>
      </c>
      <c r="D312">
        <v>107826232</v>
      </c>
      <c r="E312" t="s">
        <v>540</v>
      </c>
      <c r="F312" t="s">
        <v>60</v>
      </c>
      <c r="G312">
        <v>0.31</v>
      </c>
      <c r="H312">
        <v>9.69</v>
      </c>
      <c r="I312">
        <v>0</v>
      </c>
      <c r="J312">
        <v>0</v>
      </c>
      <c r="K312">
        <v>10</v>
      </c>
      <c r="L312" t="s">
        <v>61</v>
      </c>
      <c r="M312">
        <v>359</v>
      </c>
      <c r="N312">
        <v>35.9</v>
      </c>
      <c r="O312" t="s">
        <v>62</v>
      </c>
      <c r="P312" t="s">
        <v>65</v>
      </c>
      <c r="Q312">
        <v>0</v>
      </c>
      <c r="R312">
        <v>0</v>
      </c>
    </row>
    <row r="313" spans="1:18" x14ac:dyDescent="0.35">
      <c r="A313" t="s">
        <v>56</v>
      </c>
      <c r="B313" t="s">
        <v>57</v>
      </c>
      <c r="C313" t="s">
        <v>70</v>
      </c>
      <c r="D313">
        <v>107826232</v>
      </c>
      <c r="E313" t="s">
        <v>540</v>
      </c>
      <c r="F313" t="s">
        <v>60</v>
      </c>
      <c r="G313">
        <v>0.31</v>
      </c>
      <c r="H313">
        <v>9.69</v>
      </c>
      <c r="I313">
        <v>0</v>
      </c>
      <c r="J313">
        <v>0</v>
      </c>
      <c r="K313">
        <v>10</v>
      </c>
      <c r="L313" t="s">
        <v>61</v>
      </c>
      <c r="M313">
        <v>359</v>
      </c>
      <c r="N313">
        <v>35.9</v>
      </c>
      <c r="O313" t="s">
        <v>62</v>
      </c>
      <c r="P313" t="s">
        <v>66</v>
      </c>
      <c r="Q313">
        <v>0</v>
      </c>
      <c r="R313">
        <v>0</v>
      </c>
    </row>
    <row r="314" spans="1:18" x14ac:dyDescent="0.35">
      <c r="A314" t="s">
        <v>56</v>
      </c>
      <c r="B314" t="s">
        <v>57</v>
      </c>
      <c r="C314" t="s">
        <v>70</v>
      </c>
      <c r="D314">
        <v>107826232</v>
      </c>
      <c r="E314" t="s">
        <v>540</v>
      </c>
      <c r="F314" t="s">
        <v>60</v>
      </c>
      <c r="G314">
        <v>0.31</v>
      </c>
      <c r="H314">
        <v>9.69</v>
      </c>
      <c r="I314">
        <v>0</v>
      </c>
      <c r="J314">
        <v>0</v>
      </c>
      <c r="K314">
        <v>10</v>
      </c>
      <c r="L314" t="s">
        <v>61</v>
      </c>
      <c r="M314">
        <v>359</v>
      </c>
      <c r="N314">
        <v>35.9</v>
      </c>
      <c r="O314" t="s">
        <v>62</v>
      </c>
      <c r="P314" t="s">
        <v>67</v>
      </c>
      <c r="Q314">
        <v>1459</v>
      </c>
      <c r="R314">
        <v>145.9</v>
      </c>
    </row>
    <row r="315" spans="1:18" x14ac:dyDescent="0.35">
      <c r="A315" t="s">
        <v>56</v>
      </c>
      <c r="B315" t="s">
        <v>57</v>
      </c>
      <c r="C315" t="s">
        <v>70</v>
      </c>
      <c r="D315">
        <v>107826232</v>
      </c>
      <c r="E315" t="s">
        <v>540</v>
      </c>
      <c r="F315" t="s">
        <v>60</v>
      </c>
      <c r="G315">
        <v>0.31</v>
      </c>
      <c r="H315">
        <v>9.69</v>
      </c>
      <c r="I315">
        <v>0</v>
      </c>
      <c r="J315">
        <v>0</v>
      </c>
      <c r="K315">
        <v>10</v>
      </c>
      <c r="L315" t="s">
        <v>61</v>
      </c>
      <c r="M315">
        <v>359</v>
      </c>
      <c r="N315">
        <v>35.9</v>
      </c>
      <c r="O315" t="s">
        <v>68</v>
      </c>
      <c r="P315" t="s">
        <v>67</v>
      </c>
      <c r="Q315">
        <v>359</v>
      </c>
      <c r="R315">
        <v>35.9</v>
      </c>
    </row>
    <row r="316" spans="1:18" x14ac:dyDescent="0.35">
      <c r="A316" t="s">
        <v>56</v>
      </c>
      <c r="B316" t="s">
        <v>57</v>
      </c>
      <c r="C316" t="s">
        <v>70</v>
      </c>
      <c r="D316">
        <v>107826232</v>
      </c>
      <c r="E316" t="s">
        <v>540</v>
      </c>
      <c r="F316" t="s">
        <v>60</v>
      </c>
      <c r="G316">
        <v>0.31</v>
      </c>
      <c r="H316">
        <v>9.69</v>
      </c>
      <c r="I316">
        <v>0</v>
      </c>
      <c r="J316">
        <v>0</v>
      </c>
      <c r="K316">
        <v>10</v>
      </c>
      <c r="L316" t="s">
        <v>61</v>
      </c>
      <c r="M316">
        <v>359</v>
      </c>
      <c r="N316">
        <v>35.9</v>
      </c>
      <c r="O316" t="s">
        <v>69</v>
      </c>
      <c r="P316" t="s">
        <v>67</v>
      </c>
      <c r="Q316">
        <v>0</v>
      </c>
      <c r="R316">
        <v>0</v>
      </c>
    </row>
    <row r="317" spans="1:18" x14ac:dyDescent="0.35">
      <c r="A317" t="s">
        <v>56</v>
      </c>
      <c r="B317" t="s">
        <v>57</v>
      </c>
      <c r="C317" t="s">
        <v>70</v>
      </c>
      <c r="D317">
        <v>107826262</v>
      </c>
      <c r="E317" t="s">
        <v>541</v>
      </c>
      <c r="F317" t="s">
        <v>60</v>
      </c>
      <c r="G317">
        <v>1.72</v>
      </c>
      <c r="H317">
        <v>4.8600000000000003</v>
      </c>
      <c r="I317">
        <v>0</v>
      </c>
      <c r="J317">
        <v>0</v>
      </c>
      <c r="K317">
        <v>6.58</v>
      </c>
      <c r="L317" t="s">
        <v>61</v>
      </c>
      <c r="M317">
        <v>78</v>
      </c>
      <c r="N317">
        <v>11.86</v>
      </c>
      <c r="O317" t="s">
        <v>62</v>
      </c>
      <c r="P317" t="s">
        <v>63</v>
      </c>
      <c r="Q317">
        <v>967</v>
      </c>
      <c r="R317">
        <v>563.48</v>
      </c>
    </row>
    <row r="318" spans="1:18" x14ac:dyDescent="0.35">
      <c r="A318" t="s">
        <v>56</v>
      </c>
      <c r="B318" t="s">
        <v>57</v>
      </c>
      <c r="C318" t="s">
        <v>70</v>
      </c>
      <c r="D318">
        <v>107826262</v>
      </c>
      <c r="E318" t="s">
        <v>541</v>
      </c>
      <c r="F318" t="s">
        <v>60</v>
      </c>
      <c r="G318">
        <v>1.72</v>
      </c>
      <c r="H318">
        <v>4.8600000000000003</v>
      </c>
      <c r="I318">
        <v>0</v>
      </c>
      <c r="J318">
        <v>0</v>
      </c>
      <c r="K318">
        <v>6.58</v>
      </c>
      <c r="L318" t="s">
        <v>61</v>
      </c>
      <c r="M318">
        <v>78</v>
      </c>
      <c r="N318">
        <v>11.86</v>
      </c>
      <c r="O318" t="s">
        <v>62</v>
      </c>
      <c r="P318" t="s">
        <v>64</v>
      </c>
      <c r="Q318">
        <v>514</v>
      </c>
      <c r="R318">
        <v>105.69</v>
      </c>
    </row>
    <row r="319" spans="1:18" x14ac:dyDescent="0.35">
      <c r="A319" t="s">
        <v>56</v>
      </c>
      <c r="B319" t="s">
        <v>57</v>
      </c>
      <c r="C319" t="s">
        <v>70</v>
      </c>
      <c r="D319">
        <v>107826262</v>
      </c>
      <c r="E319" t="s">
        <v>541</v>
      </c>
      <c r="F319" t="s">
        <v>60</v>
      </c>
      <c r="G319">
        <v>1.72</v>
      </c>
      <c r="H319">
        <v>4.8600000000000003</v>
      </c>
      <c r="I319">
        <v>0</v>
      </c>
      <c r="J319">
        <v>0</v>
      </c>
      <c r="K319">
        <v>6.58</v>
      </c>
      <c r="L319" t="s">
        <v>61</v>
      </c>
      <c r="M319">
        <v>78</v>
      </c>
      <c r="N319">
        <v>11.86</v>
      </c>
      <c r="O319" t="s">
        <v>62</v>
      </c>
      <c r="P319" t="s">
        <v>65</v>
      </c>
      <c r="Q319">
        <v>0</v>
      </c>
      <c r="R319">
        <v>0</v>
      </c>
    </row>
    <row r="320" spans="1:18" x14ac:dyDescent="0.35">
      <c r="A320" t="s">
        <v>56</v>
      </c>
      <c r="B320" t="s">
        <v>57</v>
      </c>
      <c r="C320" t="s">
        <v>70</v>
      </c>
      <c r="D320">
        <v>107826262</v>
      </c>
      <c r="E320" t="s">
        <v>541</v>
      </c>
      <c r="F320" t="s">
        <v>60</v>
      </c>
      <c r="G320">
        <v>1.72</v>
      </c>
      <c r="H320">
        <v>4.8600000000000003</v>
      </c>
      <c r="I320">
        <v>0</v>
      </c>
      <c r="J320">
        <v>0</v>
      </c>
      <c r="K320">
        <v>6.58</v>
      </c>
      <c r="L320" t="s">
        <v>61</v>
      </c>
      <c r="M320">
        <v>78</v>
      </c>
      <c r="N320">
        <v>11.86</v>
      </c>
      <c r="O320" t="s">
        <v>62</v>
      </c>
      <c r="P320" t="s">
        <v>66</v>
      </c>
      <c r="Q320">
        <v>0</v>
      </c>
      <c r="R320">
        <v>0</v>
      </c>
    </row>
    <row r="321" spans="1:18" x14ac:dyDescent="0.35">
      <c r="A321" t="s">
        <v>56</v>
      </c>
      <c r="B321" t="s">
        <v>57</v>
      </c>
      <c r="C321" t="s">
        <v>70</v>
      </c>
      <c r="D321">
        <v>107826262</v>
      </c>
      <c r="E321" t="s">
        <v>541</v>
      </c>
      <c r="F321" t="s">
        <v>60</v>
      </c>
      <c r="G321">
        <v>1.72</v>
      </c>
      <c r="H321">
        <v>4.8600000000000003</v>
      </c>
      <c r="I321">
        <v>0</v>
      </c>
      <c r="J321">
        <v>0</v>
      </c>
      <c r="K321">
        <v>6.58</v>
      </c>
      <c r="L321" t="s">
        <v>61</v>
      </c>
      <c r="M321">
        <v>78</v>
      </c>
      <c r="N321">
        <v>11.86</v>
      </c>
      <c r="O321" t="s">
        <v>62</v>
      </c>
      <c r="P321" t="s">
        <v>67</v>
      </c>
      <c r="Q321">
        <v>1481</v>
      </c>
      <c r="R321">
        <v>225.09</v>
      </c>
    </row>
    <row r="322" spans="1:18" x14ac:dyDescent="0.35">
      <c r="A322" t="s">
        <v>56</v>
      </c>
      <c r="B322" t="s">
        <v>57</v>
      </c>
      <c r="C322" t="s">
        <v>70</v>
      </c>
      <c r="D322">
        <v>107826262</v>
      </c>
      <c r="E322" t="s">
        <v>541</v>
      </c>
      <c r="F322" t="s">
        <v>60</v>
      </c>
      <c r="G322">
        <v>1.72</v>
      </c>
      <c r="H322">
        <v>4.8600000000000003</v>
      </c>
      <c r="I322">
        <v>0</v>
      </c>
      <c r="J322">
        <v>0</v>
      </c>
      <c r="K322">
        <v>6.58</v>
      </c>
      <c r="L322" t="s">
        <v>61</v>
      </c>
      <c r="M322">
        <v>78</v>
      </c>
      <c r="N322">
        <v>11.86</v>
      </c>
      <c r="O322" t="s">
        <v>68</v>
      </c>
      <c r="P322" t="s">
        <v>67</v>
      </c>
      <c r="Q322">
        <v>78</v>
      </c>
      <c r="R322">
        <v>11.86</v>
      </c>
    </row>
    <row r="323" spans="1:18" x14ac:dyDescent="0.35">
      <c r="A323" t="s">
        <v>56</v>
      </c>
      <c r="B323" t="s">
        <v>57</v>
      </c>
      <c r="C323" t="s">
        <v>70</v>
      </c>
      <c r="D323">
        <v>107826262</v>
      </c>
      <c r="E323" t="s">
        <v>541</v>
      </c>
      <c r="F323" t="s">
        <v>60</v>
      </c>
      <c r="G323">
        <v>1.72</v>
      </c>
      <c r="H323">
        <v>4.8600000000000003</v>
      </c>
      <c r="I323">
        <v>0</v>
      </c>
      <c r="J323">
        <v>0</v>
      </c>
      <c r="K323">
        <v>6.58</v>
      </c>
      <c r="L323" t="s">
        <v>61</v>
      </c>
      <c r="M323">
        <v>78</v>
      </c>
      <c r="N323">
        <v>11.86</v>
      </c>
      <c r="O323" t="s">
        <v>69</v>
      </c>
      <c r="P323" t="s">
        <v>67</v>
      </c>
      <c r="Q323">
        <v>0</v>
      </c>
      <c r="R323">
        <v>0</v>
      </c>
    </row>
    <row r="324" spans="1:18" x14ac:dyDescent="0.35">
      <c r="A324" t="s">
        <v>56</v>
      </c>
      <c r="B324" t="s">
        <v>57</v>
      </c>
      <c r="C324" t="s">
        <v>58</v>
      </c>
      <c r="D324">
        <v>107907397</v>
      </c>
      <c r="E324" t="s">
        <v>105</v>
      </c>
      <c r="F324" t="s">
        <v>60</v>
      </c>
      <c r="G324">
        <v>0.32</v>
      </c>
      <c r="H324">
        <v>8.74</v>
      </c>
      <c r="I324">
        <v>0</v>
      </c>
      <c r="J324">
        <v>0</v>
      </c>
      <c r="K324">
        <v>9.06</v>
      </c>
      <c r="L324" t="s">
        <v>61</v>
      </c>
      <c r="M324">
        <v>349</v>
      </c>
      <c r="N324">
        <v>38.53</v>
      </c>
      <c r="O324" t="s">
        <v>62</v>
      </c>
      <c r="P324" t="s">
        <v>63</v>
      </c>
      <c r="Q324">
        <v>327</v>
      </c>
      <c r="R324">
        <v>1032.6300000000001</v>
      </c>
    </row>
    <row r="325" spans="1:18" x14ac:dyDescent="0.35">
      <c r="A325" t="s">
        <v>56</v>
      </c>
      <c r="B325" t="s">
        <v>57</v>
      </c>
      <c r="C325" t="s">
        <v>58</v>
      </c>
      <c r="D325">
        <v>107907397</v>
      </c>
      <c r="E325" t="s">
        <v>105</v>
      </c>
      <c r="F325" t="s">
        <v>60</v>
      </c>
      <c r="G325">
        <v>0.32</v>
      </c>
      <c r="H325">
        <v>8.74</v>
      </c>
      <c r="I325">
        <v>0</v>
      </c>
      <c r="J325">
        <v>0</v>
      </c>
      <c r="K325">
        <v>9.06</v>
      </c>
      <c r="L325" t="s">
        <v>61</v>
      </c>
      <c r="M325">
        <v>349</v>
      </c>
      <c r="N325">
        <v>38.53</v>
      </c>
      <c r="O325" t="s">
        <v>62</v>
      </c>
      <c r="P325" t="s">
        <v>64</v>
      </c>
      <c r="Q325">
        <v>1692</v>
      </c>
      <c r="R325">
        <v>193.57</v>
      </c>
    </row>
    <row r="326" spans="1:18" x14ac:dyDescent="0.35">
      <c r="A326" t="s">
        <v>56</v>
      </c>
      <c r="B326" t="s">
        <v>57</v>
      </c>
      <c r="C326" t="s">
        <v>58</v>
      </c>
      <c r="D326">
        <v>107907397</v>
      </c>
      <c r="E326" t="s">
        <v>105</v>
      </c>
      <c r="F326" t="s">
        <v>60</v>
      </c>
      <c r="G326">
        <v>0.32</v>
      </c>
      <c r="H326">
        <v>8.74</v>
      </c>
      <c r="I326">
        <v>0</v>
      </c>
      <c r="J326">
        <v>0</v>
      </c>
      <c r="K326">
        <v>9.06</v>
      </c>
      <c r="L326" t="s">
        <v>61</v>
      </c>
      <c r="M326">
        <v>349</v>
      </c>
      <c r="N326">
        <v>38.53</v>
      </c>
      <c r="O326" t="s">
        <v>62</v>
      </c>
      <c r="P326" t="s">
        <v>65</v>
      </c>
      <c r="Q326">
        <v>0</v>
      </c>
      <c r="R326">
        <v>0</v>
      </c>
    </row>
    <row r="327" spans="1:18" x14ac:dyDescent="0.35">
      <c r="A327" t="s">
        <v>56</v>
      </c>
      <c r="B327" t="s">
        <v>57</v>
      </c>
      <c r="C327" t="s">
        <v>58</v>
      </c>
      <c r="D327">
        <v>107907397</v>
      </c>
      <c r="E327" t="s">
        <v>105</v>
      </c>
      <c r="F327" t="s">
        <v>60</v>
      </c>
      <c r="G327">
        <v>0.32</v>
      </c>
      <c r="H327">
        <v>8.74</v>
      </c>
      <c r="I327">
        <v>0</v>
      </c>
      <c r="J327">
        <v>0</v>
      </c>
      <c r="K327">
        <v>9.06</v>
      </c>
      <c r="L327" t="s">
        <v>61</v>
      </c>
      <c r="M327">
        <v>349</v>
      </c>
      <c r="N327">
        <v>38.53</v>
      </c>
      <c r="O327" t="s">
        <v>62</v>
      </c>
      <c r="P327" t="s">
        <v>66</v>
      </c>
      <c r="Q327">
        <v>0</v>
      </c>
      <c r="R327">
        <v>0</v>
      </c>
    </row>
    <row r="328" spans="1:18" x14ac:dyDescent="0.35">
      <c r="A328" t="s">
        <v>56</v>
      </c>
      <c r="B328" t="s">
        <v>57</v>
      </c>
      <c r="C328" t="s">
        <v>58</v>
      </c>
      <c r="D328">
        <v>107907397</v>
      </c>
      <c r="E328" t="s">
        <v>105</v>
      </c>
      <c r="F328" t="s">
        <v>60</v>
      </c>
      <c r="G328">
        <v>0.32</v>
      </c>
      <c r="H328">
        <v>8.74</v>
      </c>
      <c r="I328">
        <v>0</v>
      </c>
      <c r="J328">
        <v>0</v>
      </c>
      <c r="K328">
        <v>9.06</v>
      </c>
      <c r="L328" t="s">
        <v>61</v>
      </c>
      <c r="M328">
        <v>349</v>
      </c>
      <c r="N328">
        <v>38.53</v>
      </c>
      <c r="O328" t="s">
        <v>62</v>
      </c>
      <c r="P328" t="s">
        <v>67</v>
      </c>
      <c r="Q328">
        <v>2019</v>
      </c>
      <c r="R328">
        <v>222.9</v>
      </c>
    </row>
    <row r="329" spans="1:18" x14ac:dyDescent="0.35">
      <c r="A329" t="s">
        <v>56</v>
      </c>
      <c r="B329" t="s">
        <v>57</v>
      </c>
      <c r="C329" t="s">
        <v>58</v>
      </c>
      <c r="D329">
        <v>107907397</v>
      </c>
      <c r="E329" t="s">
        <v>105</v>
      </c>
      <c r="F329" t="s">
        <v>60</v>
      </c>
      <c r="G329">
        <v>0.32</v>
      </c>
      <c r="H329">
        <v>8.74</v>
      </c>
      <c r="I329">
        <v>0</v>
      </c>
      <c r="J329">
        <v>0</v>
      </c>
      <c r="K329">
        <v>9.06</v>
      </c>
      <c r="L329" t="s">
        <v>61</v>
      </c>
      <c r="M329">
        <v>349</v>
      </c>
      <c r="N329">
        <v>38.53</v>
      </c>
      <c r="O329" t="s">
        <v>68</v>
      </c>
      <c r="P329" t="s">
        <v>67</v>
      </c>
      <c r="Q329">
        <v>348</v>
      </c>
      <c r="R329">
        <v>38.42</v>
      </c>
    </row>
    <row r="330" spans="1:18" x14ac:dyDescent="0.35">
      <c r="A330" t="s">
        <v>56</v>
      </c>
      <c r="B330" t="s">
        <v>57</v>
      </c>
      <c r="C330" t="s">
        <v>58</v>
      </c>
      <c r="D330">
        <v>107907397</v>
      </c>
      <c r="E330" t="s">
        <v>105</v>
      </c>
      <c r="F330" t="s">
        <v>60</v>
      </c>
      <c r="G330">
        <v>0.32</v>
      </c>
      <c r="H330">
        <v>8.74</v>
      </c>
      <c r="I330">
        <v>0</v>
      </c>
      <c r="J330">
        <v>0</v>
      </c>
      <c r="K330">
        <v>9.06</v>
      </c>
      <c r="L330" t="s">
        <v>61</v>
      </c>
      <c r="M330">
        <v>349</v>
      </c>
      <c r="N330">
        <v>38.53</v>
      </c>
      <c r="O330" t="s">
        <v>69</v>
      </c>
      <c r="P330" t="s">
        <v>67</v>
      </c>
      <c r="Q330">
        <v>0</v>
      </c>
      <c r="R330">
        <v>0</v>
      </c>
    </row>
    <row r="331" spans="1:18" x14ac:dyDescent="0.35">
      <c r="A331" t="s">
        <v>56</v>
      </c>
      <c r="B331" t="s">
        <v>57</v>
      </c>
      <c r="C331" t="s">
        <v>58</v>
      </c>
      <c r="D331">
        <v>107907404</v>
      </c>
      <c r="E331" t="s">
        <v>674</v>
      </c>
      <c r="F331" t="s">
        <v>60</v>
      </c>
      <c r="G331">
        <v>0.16</v>
      </c>
      <c r="H331">
        <v>6.54</v>
      </c>
      <c r="I331">
        <v>0</v>
      </c>
      <c r="J331">
        <v>0</v>
      </c>
      <c r="K331">
        <v>6.71</v>
      </c>
      <c r="L331" t="s">
        <v>61</v>
      </c>
      <c r="M331">
        <v>167</v>
      </c>
      <c r="N331">
        <v>24.9</v>
      </c>
      <c r="O331" t="s">
        <v>62</v>
      </c>
      <c r="P331" t="s">
        <v>63</v>
      </c>
      <c r="Q331">
        <v>96</v>
      </c>
      <c r="R331">
        <v>594.84</v>
      </c>
    </row>
    <row r="332" spans="1:18" x14ac:dyDescent="0.35">
      <c r="A332" t="s">
        <v>56</v>
      </c>
      <c r="B332" t="s">
        <v>57</v>
      </c>
      <c r="C332" t="s">
        <v>58</v>
      </c>
      <c r="D332">
        <v>107907404</v>
      </c>
      <c r="E332" t="s">
        <v>674</v>
      </c>
      <c r="F332" t="s">
        <v>60</v>
      </c>
      <c r="G332">
        <v>0.16</v>
      </c>
      <c r="H332">
        <v>6.54</v>
      </c>
      <c r="I332">
        <v>0</v>
      </c>
      <c r="J332">
        <v>0</v>
      </c>
      <c r="K332">
        <v>6.71</v>
      </c>
      <c r="L332" t="s">
        <v>61</v>
      </c>
      <c r="M332">
        <v>167</v>
      </c>
      <c r="N332">
        <v>24.9</v>
      </c>
      <c r="O332" t="s">
        <v>62</v>
      </c>
      <c r="P332" t="s">
        <v>64</v>
      </c>
      <c r="Q332">
        <v>729</v>
      </c>
      <c r="R332">
        <v>111.4</v>
      </c>
    </row>
    <row r="333" spans="1:18" x14ac:dyDescent="0.35">
      <c r="A333" t="s">
        <v>56</v>
      </c>
      <c r="B333" t="s">
        <v>57</v>
      </c>
      <c r="C333" t="s">
        <v>58</v>
      </c>
      <c r="D333">
        <v>107907404</v>
      </c>
      <c r="E333" t="s">
        <v>674</v>
      </c>
      <c r="F333" t="s">
        <v>60</v>
      </c>
      <c r="G333">
        <v>0.16</v>
      </c>
      <c r="H333">
        <v>6.54</v>
      </c>
      <c r="I333">
        <v>0</v>
      </c>
      <c r="J333">
        <v>0</v>
      </c>
      <c r="K333">
        <v>6.71</v>
      </c>
      <c r="L333" t="s">
        <v>61</v>
      </c>
      <c r="M333">
        <v>167</v>
      </c>
      <c r="N333">
        <v>24.9</v>
      </c>
      <c r="O333" t="s">
        <v>62</v>
      </c>
      <c r="P333" t="s">
        <v>65</v>
      </c>
      <c r="Q333">
        <v>0</v>
      </c>
      <c r="R333">
        <v>0</v>
      </c>
    </row>
    <row r="334" spans="1:18" x14ac:dyDescent="0.35">
      <c r="A334" t="s">
        <v>56</v>
      </c>
      <c r="B334" t="s">
        <v>57</v>
      </c>
      <c r="C334" t="s">
        <v>58</v>
      </c>
      <c r="D334">
        <v>107907404</v>
      </c>
      <c r="E334" t="s">
        <v>674</v>
      </c>
      <c r="F334" t="s">
        <v>60</v>
      </c>
      <c r="G334">
        <v>0.16</v>
      </c>
      <c r="H334">
        <v>6.54</v>
      </c>
      <c r="I334">
        <v>0</v>
      </c>
      <c r="J334">
        <v>0</v>
      </c>
      <c r="K334">
        <v>6.71</v>
      </c>
      <c r="L334" t="s">
        <v>61</v>
      </c>
      <c r="M334">
        <v>167</v>
      </c>
      <c r="N334">
        <v>24.9</v>
      </c>
      <c r="O334" t="s">
        <v>62</v>
      </c>
      <c r="P334" t="s">
        <v>66</v>
      </c>
      <c r="Q334">
        <v>0</v>
      </c>
      <c r="R334">
        <v>0</v>
      </c>
    </row>
    <row r="335" spans="1:18" x14ac:dyDescent="0.35">
      <c r="A335" t="s">
        <v>56</v>
      </c>
      <c r="B335" t="s">
        <v>57</v>
      </c>
      <c r="C335" t="s">
        <v>58</v>
      </c>
      <c r="D335">
        <v>107907404</v>
      </c>
      <c r="E335" t="s">
        <v>674</v>
      </c>
      <c r="F335" t="s">
        <v>60</v>
      </c>
      <c r="G335">
        <v>0.16</v>
      </c>
      <c r="H335">
        <v>6.54</v>
      </c>
      <c r="I335">
        <v>0</v>
      </c>
      <c r="J335">
        <v>0</v>
      </c>
      <c r="K335">
        <v>6.71</v>
      </c>
      <c r="L335" t="s">
        <v>61</v>
      </c>
      <c r="M335">
        <v>167</v>
      </c>
      <c r="N335">
        <v>24.9</v>
      </c>
      <c r="O335" t="s">
        <v>62</v>
      </c>
      <c r="P335" t="s">
        <v>67</v>
      </c>
      <c r="Q335">
        <v>825</v>
      </c>
      <c r="R335">
        <v>123.03</v>
      </c>
    </row>
    <row r="336" spans="1:18" x14ac:dyDescent="0.35">
      <c r="A336" t="s">
        <v>56</v>
      </c>
      <c r="B336" t="s">
        <v>57</v>
      </c>
      <c r="C336" t="s">
        <v>58</v>
      </c>
      <c r="D336">
        <v>107907404</v>
      </c>
      <c r="E336" t="s">
        <v>674</v>
      </c>
      <c r="F336" t="s">
        <v>60</v>
      </c>
      <c r="G336">
        <v>0.16</v>
      </c>
      <c r="H336">
        <v>6.54</v>
      </c>
      <c r="I336">
        <v>0</v>
      </c>
      <c r="J336">
        <v>0</v>
      </c>
      <c r="K336">
        <v>6.71</v>
      </c>
      <c r="L336" t="s">
        <v>61</v>
      </c>
      <c r="M336">
        <v>167</v>
      </c>
      <c r="N336">
        <v>24.9</v>
      </c>
      <c r="O336" t="s">
        <v>68</v>
      </c>
      <c r="P336" t="s">
        <v>67</v>
      </c>
      <c r="Q336">
        <v>167</v>
      </c>
      <c r="R336">
        <v>24.9</v>
      </c>
    </row>
    <row r="337" spans="1:18" x14ac:dyDescent="0.35">
      <c r="A337" t="s">
        <v>56</v>
      </c>
      <c r="B337" t="s">
        <v>57</v>
      </c>
      <c r="C337" t="s">
        <v>58</v>
      </c>
      <c r="D337">
        <v>107907404</v>
      </c>
      <c r="E337" t="s">
        <v>674</v>
      </c>
      <c r="F337" t="s">
        <v>60</v>
      </c>
      <c r="G337">
        <v>0.16</v>
      </c>
      <c r="H337">
        <v>6.54</v>
      </c>
      <c r="I337">
        <v>0</v>
      </c>
      <c r="J337">
        <v>0</v>
      </c>
      <c r="K337">
        <v>6.71</v>
      </c>
      <c r="L337" t="s">
        <v>61</v>
      </c>
      <c r="M337">
        <v>167</v>
      </c>
      <c r="N337">
        <v>24.9</v>
      </c>
      <c r="O337" t="s">
        <v>69</v>
      </c>
      <c r="P337" t="s">
        <v>67</v>
      </c>
      <c r="Q337">
        <v>0</v>
      </c>
      <c r="R337">
        <v>0</v>
      </c>
    </row>
    <row r="338" spans="1:18" x14ac:dyDescent="0.35">
      <c r="A338" t="s">
        <v>56</v>
      </c>
      <c r="B338" t="s">
        <v>57</v>
      </c>
      <c r="C338" t="s">
        <v>70</v>
      </c>
      <c r="D338">
        <v>107916626</v>
      </c>
      <c r="E338" t="s">
        <v>567</v>
      </c>
      <c r="F338" t="s">
        <v>60</v>
      </c>
      <c r="G338">
        <v>0.49</v>
      </c>
      <c r="H338">
        <v>7.61</v>
      </c>
      <c r="I338">
        <v>0.01</v>
      </c>
      <c r="J338">
        <v>0</v>
      </c>
      <c r="K338">
        <v>8.11</v>
      </c>
      <c r="L338" t="s">
        <v>61</v>
      </c>
      <c r="M338">
        <v>152</v>
      </c>
      <c r="N338">
        <v>18.739999999999998</v>
      </c>
      <c r="O338" t="s">
        <v>62</v>
      </c>
      <c r="P338" t="s">
        <v>63</v>
      </c>
      <c r="Q338">
        <v>528</v>
      </c>
      <c r="R338">
        <v>1074.51</v>
      </c>
    </row>
    <row r="339" spans="1:18" x14ac:dyDescent="0.35">
      <c r="A339" t="s">
        <v>56</v>
      </c>
      <c r="B339" t="s">
        <v>57</v>
      </c>
      <c r="C339" t="s">
        <v>70</v>
      </c>
      <c r="D339">
        <v>107916626</v>
      </c>
      <c r="E339" t="s">
        <v>567</v>
      </c>
      <c r="F339" t="s">
        <v>60</v>
      </c>
      <c r="G339">
        <v>0.49</v>
      </c>
      <c r="H339">
        <v>7.61</v>
      </c>
      <c r="I339">
        <v>0.01</v>
      </c>
      <c r="J339">
        <v>0</v>
      </c>
      <c r="K339">
        <v>8.11</v>
      </c>
      <c r="L339" t="s">
        <v>61</v>
      </c>
      <c r="M339">
        <v>152</v>
      </c>
      <c r="N339">
        <v>18.739999999999998</v>
      </c>
      <c r="O339" t="s">
        <v>62</v>
      </c>
      <c r="P339" t="s">
        <v>64</v>
      </c>
      <c r="Q339">
        <v>1534</v>
      </c>
      <c r="R339">
        <v>201.53</v>
      </c>
    </row>
    <row r="340" spans="1:18" x14ac:dyDescent="0.35">
      <c r="A340" t="s">
        <v>56</v>
      </c>
      <c r="B340" t="s">
        <v>57</v>
      </c>
      <c r="C340" t="s">
        <v>70</v>
      </c>
      <c r="D340">
        <v>107916626</v>
      </c>
      <c r="E340" t="s">
        <v>567</v>
      </c>
      <c r="F340" t="s">
        <v>60</v>
      </c>
      <c r="G340">
        <v>0.49</v>
      </c>
      <c r="H340">
        <v>7.61</v>
      </c>
      <c r="I340">
        <v>0.01</v>
      </c>
      <c r="J340">
        <v>0</v>
      </c>
      <c r="K340">
        <v>8.11</v>
      </c>
      <c r="L340" t="s">
        <v>61</v>
      </c>
      <c r="M340">
        <v>152</v>
      </c>
      <c r="N340">
        <v>18.739999999999998</v>
      </c>
      <c r="O340" t="s">
        <v>62</v>
      </c>
      <c r="P340" t="s">
        <v>65</v>
      </c>
      <c r="Q340">
        <v>1</v>
      </c>
      <c r="R340">
        <v>124.14</v>
      </c>
    </row>
    <row r="341" spans="1:18" x14ac:dyDescent="0.35">
      <c r="A341" t="s">
        <v>56</v>
      </c>
      <c r="B341" t="s">
        <v>57</v>
      </c>
      <c r="C341" t="s">
        <v>70</v>
      </c>
      <c r="D341">
        <v>107916626</v>
      </c>
      <c r="E341" t="s">
        <v>567</v>
      </c>
      <c r="F341" t="s">
        <v>60</v>
      </c>
      <c r="G341">
        <v>0.49</v>
      </c>
      <c r="H341">
        <v>7.61</v>
      </c>
      <c r="I341">
        <v>0.01</v>
      </c>
      <c r="J341">
        <v>0</v>
      </c>
      <c r="K341">
        <v>8.11</v>
      </c>
      <c r="L341" t="s">
        <v>61</v>
      </c>
      <c r="M341">
        <v>152</v>
      </c>
      <c r="N341">
        <v>18.739999999999998</v>
      </c>
      <c r="O341" t="s">
        <v>62</v>
      </c>
      <c r="P341" t="s">
        <v>66</v>
      </c>
      <c r="Q341">
        <v>0</v>
      </c>
      <c r="R341">
        <v>0</v>
      </c>
    </row>
    <row r="342" spans="1:18" x14ac:dyDescent="0.35">
      <c r="A342" t="s">
        <v>56</v>
      </c>
      <c r="B342" t="s">
        <v>57</v>
      </c>
      <c r="C342" t="s">
        <v>70</v>
      </c>
      <c r="D342">
        <v>107916626</v>
      </c>
      <c r="E342" t="s">
        <v>567</v>
      </c>
      <c r="F342" t="s">
        <v>60</v>
      </c>
      <c r="G342">
        <v>0.49</v>
      </c>
      <c r="H342">
        <v>7.61</v>
      </c>
      <c r="I342">
        <v>0.01</v>
      </c>
      <c r="J342">
        <v>0</v>
      </c>
      <c r="K342">
        <v>8.11</v>
      </c>
      <c r="L342" t="s">
        <v>61</v>
      </c>
      <c r="M342">
        <v>152</v>
      </c>
      <c r="N342">
        <v>18.739999999999998</v>
      </c>
      <c r="O342" t="s">
        <v>62</v>
      </c>
      <c r="P342" t="s">
        <v>67</v>
      </c>
      <c r="Q342">
        <v>2063</v>
      </c>
      <c r="R342">
        <v>254.32</v>
      </c>
    </row>
    <row r="343" spans="1:18" x14ac:dyDescent="0.35">
      <c r="A343" t="s">
        <v>56</v>
      </c>
      <c r="B343" t="s">
        <v>57</v>
      </c>
      <c r="C343" t="s">
        <v>70</v>
      </c>
      <c r="D343">
        <v>107916626</v>
      </c>
      <c r="E343" t="s">
        <v>567</v>
      </c>
      <c r="F343" t="s">
        <v>60</v>
      </c>
      <c r="G343">
        <v>0.49</v>
      </c>
      <c r="H343">
        <v>7.61</v>
      </c>
      <c r="I343">
        <v>0.01</v>
      </c>
      <c r="J343">
        <v>0</v>
      </c>
      <c r="K343">
        <v>8.11</v>
      </c>
      <c r="L343" t="s">
        <v>61</v>
      </c>
      <c r="M343">
        <v>152</v>
      </c>
      <c r="N343">
        <v>18.739999999999998</v>
      </c>
      <c r="O343" t="s">
        <v>68</v>
      </c>
      <c r="P343" t="s">
        <v>67</v>
      </c>
      <c r="Q343">
        <v>152</v>
      </c>
      <c r="R343">
        <v>18.739999999999998</v>
      </c>
    </row>
    <row r="344" spans="1:18" x14ac:dyDescent="0.35">
      <c r="A344" t="s">
        <v>56</v>
      </c>
      <c r="B344" t="s">
        <v>57</v>
      </c>
      <c r="C344" t="s">
        <v>70</v>
      </c>
      <c r="D344">
        <v>107916626</v>
      </c>
      <c r="E344" t="s">
        <v>567</v>
      </c>
      <c r="F344" t="s">
        <v>60</v>
      </c>
      <c r="G344">
        <v>0.49</v>
      </c>
      <c r="H344">
        <v>7.61</v>
      </c>
      <c r="I344">
        <v>0.01</v>
      </c>
      <c r="J344">
        <v>0</v>
      </c>
      <c r="K344">
        <v>8.11</v>
      </c>
      <c r="L344" t="s">
        <v>61</v>
      </c>
      <c r="M344">
        <v>152</v>
      </c>
      <c r="N344">
        <v>18.739999999999998</v>
      </c>
      <c r="O344" t="s">
        <v>69</v>
      </c>
      <c r="P344" t="s">
        <v>67</v>
      </c>
      <c r="Q344">
        <v>0</v>
      </c>
      <c r="R344">
        <v>0</v>
      </c>
    </row>
    <row r="345" spans="1:18" x14ac:dyDescent="0.35">
      <c r="A345" t="s">
        <v>37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200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106534472</v>
      </c>
      <c r="C2" t="s">
        <v>81</v>
      </c>
      <c r="D2" t="s">
        <v>60</v>
      </c>
      <c r="E2" t="s">
        <v>70</v>
      </c>
      <c r="F2">
        <v>294</v>
      </c>
      <c r="G2" t="s">
        <v>62</v>
      </c>
      <c r="H2" t="s">
        <v>67</v>
      </c>
      <c r="I2">
        <v>2789</v>
      </c>
    </row>
    <row r="3" spans="1:9" x14ac:dyDescent="0.35">
      <c r="A3" t="s">
        <v>61</v>
      </c>
      <c r="B3">
        <v>106534472</v>
      </c>
      <c r="C3" t="s">
        <v>81</v>
      </c>
      <c r="D3" t="s">
        <v>60</v>
      </c>
      <c r="E3" t="s">
        <v>70</v>
      </c>
      <c r="F3">
        <v>294</v>
      </c>
      <c r="G3" t="s">
        <v>62</v>
      </c>
      <c r="H3" t="s">
        <v>63</v>
      </c>
      <c r="I3">
        <v>592</v>
      </c>
    </row>
    <row r="4" spans="1:9" x14ac:dyDescent="0.35">
      <c r="A4" t="s">
        <v>61</v>
      </c>
      <c r="B4">
        <v>106534472</v>
      </c>
      <c r="C4" t="s">
        <v>81</v>
      </c>
      <c r="D4" t="s">
        <v>60</v>
      </c>
      <c r="E4" t="s">
        <v>70</v>
      </c>
      <c r="F4">
        <v>294</v>
      </c>
      <c r="G4" t="s">
        <v>62</v>
      </c>
      <c r="H4" t="s">
        <v>64</v>
      </c>
      <c r="I4">
        <v>2170</v>
      </c>
    </row>
    <row r="5" spans="1:9" x14ac:dyDescent="0.35">
      <c r="A5" t="s">
        <v>61</v>
      </c>
      <c r="B5">
        <v>106534472</v>
      </c>
      <c r="C5" t="s">
        <v>81</v>
      </c>
      <c r="D5" t="s">
        <v>60</v>
      </c>
      <c r="E5" t="s">
        <v>70</v>
      </c>
      <c r="F5">
        <v>294</v>
      </c>
      <c r="G5" t="s">
        <v>62</v>
      </c>
      <c r="H5" t="s">
        <v>65</v>
      </c>
      <c r="I5">
        <v>27</v>
      </c>
    </row>
    <row r="6" spans="1:9" x14ac:dyDescent="0.35">
      <c r="A6" t="s">
        <v>61</v>
      </c>
      <c r="B6">
        <v>106534472</v>
      </c>
      <c r="C6" t="s">
        <v>81</v>
      </c>
      <c r="D6" t="s">
        <v>60</v>
      </c>
      <c r="E6" t="s">
        <v>70</v>
      </c>
      <c r="F6">
        <v>294</v>
      </c>
      <c r="G6" t="s">
        <v>68</v>
      </c>
      <c r="H6" t="s">
        <v>67</v>
      </c>
      <c r="I6">
        <v>294</v>
      </c>
    </row>
    <row r="7" spans="1:9" x14ac:dyDescent="0.35">
      <c r="A7" t="s">
        <v>61</v>
      </c>
      <c r="B7">
        <v>107826180</v>
      </c>
      <c r="C7" t="s">
        <v>566</v>
      </c>
      <c r="D7" t="s">
        <v>60</v>
      </c>
      <c r="E7" t="s">
        <v>70</v>
      </c>
      <c r="F7">
        <v>407</v>
      </c>
      <c r="G7" t="s">
        <v>62</v>
      </c>
      <c r="H7" t="s">
        <v>67</v>
      </c>
      <c r="I7">
        <v>3243</v>
      </c>
    </row>
    <row r="8" spans="1:9" x14ac:dyDescent="0.35">
      <c r="A8" t="s">
        <v>61</v>
      </c>
      <c r="B8">
        <v>107826180</v>
      </c>
      <c r="C8" t="s">
        <v>566</v>
      </c>
      <c r="D8" t="s">
        <v>60</v>
      </c>
      <c r="E8" t="s">
        <v>70</v>
      </c>
      <c r="F8">
        <v>407</v>
      </c>
      <c r="G8" t="s">
        <v>62</v>
      </c>
      <c r="H8" t="s">
        <v>63</v>
      </c>
      <c r="I8">
        <v>345</v>
      </c>
    </row>
    <row r="9" spans="1:9" x14ac:dyDescent="0.35">
      <c r="A9" t="s">
        <v>61</v>
      </c>
      <c r="B9">
        <v>107826180</v>
      </c>
      <c r="C9" t="s">
        <v>566</v>
      </c>
      <c r="D9" t="s">
        <v>60</v>
      </c>
      <c r="E9" t="s">
        <v>70</v>
      </c>
      <c r="F9">
        <v>407</v>
      </c>
      <c r="G9" t="s">
        <v>62</v>
      </c>
      <c r="H9" t="s">
        <v>64</v>
      </c>
      <c r="I9">
        <v>2886</v>
      </c>
    </row>
    <row r="10" spans="1:9" x14ac:dyDescent="0.35">
      <c r="A10" t="s">
        <v>61</v>
      </c>
      <c r="B10">
        <v>107826180</v>
      </c>
      <c r="C10" t="s">
        <v>566</v>
      </c>
      <c r="D10" t="s">
        <v>60</v>
      </c>
      <c r="E10" t="s">
        <v>70</v>
      </c>
      <c r="F10">
        <v>407</v>
      </c>
      <c r="G10" t="s">
        <v>62</v>
      </c>
      <c r="H10" t="s">
        <v>65</v>
      </c>
      <c r="I10">
        <v>12</v>
      </c>
    </row>
    <row r="11" spans="1:9" x14ac:dyDescent="0.35">
      <c r="A11" t="s">
        <v>61</v>
      </c>
      <c r="B11">
        <v>107826180</v>
      </c>
      <c r="C11" t="s">
        <v>566</v>
      </c>
      <c r="D11" t="s">
        <v>60</v>
      </c>
      <c r="E11" t="s">
        <v>70</v>
      </c>
      <c r="F11">
        <v>407</v>
      </c>
      <c r="G11" t="s">
        <v>68</v>
      </c>
      <c r="H11" t="s">
        <v>67</v>
      </c>
      <c r="I11">
        <v>407</v>
      </c>
    </row>
    <row r="12" spans="1:9" x14ac:dyDescent="0.35">
      <c r="A12" t="s">
        <v>61</v>
      </c>
      <c r="B12">
        <v>107432433</v>
      </c>
      <c r="C12" t="s">
        <v>90</v>
      </c>
      <c r="D12" t="s">
        <v>60</v>
      </c>
      <c r="E12" t="s">
        <v>70</v>
      </c>
      <c r="F12">
        <v>170</v>
      </c>
      <c r="G12" t="s">
        <v>62</v>
      </c>
      <c r="H12" t="s">
        <v>67</v>
      </c>
      <c r="I12">
        <v>1073</v>
      </c>
    </row>
    <row r="13" spans="1:9" x14ac:dyDescent="0.35">
      <c r="A13" t="s">
        <v>61</v>
      </c>
      <c r="B13">
        <v>107432433</v>
      </c>
      <c r="C13" t="s">
        <v>90</v>
      </c>
      <c r="D13" t="s">
        <v>60</v>
      </c>
      <c r="E13" t="s">
        <v>70</v>
      </c>
      <c r="F13">
        <v>170</v>
      </c>
      <c r="G13" t="s">
        <v>62</v>
      </c>
      <c r="H13" t="s">
        <v>63</v>
      </c>
      <c r="I13">
        <v>369</v>
      </c>
    </row>
    <row r="14" spans="1:9" x14ac:dyDescent="0.35">
      <c r="A14" t="s">
        <v>61</v>
      </c>
      <c r="B14">
        <v>107432433</v>
      </c>
      <c r="C14" t="s">
        <v>90</v>
      </c>
      <c r="D14" t="s">
        <v>60</v>
      </c>
      <c r="E14" t="s">
        <v>70</v>
      </c>
      <c r="F14">
        <v>170</v>
      </c>
      <c r="G14" t="s">
        <v>62</v>
      </c>
      <c r="H14" t="s">
        <v>64</v>
      </c>
      <c r="I14">
        <v>704</v>
      </c>
    </row>
    <row r="15" spans="1:9" x14ac:dyDescent="0.35">
      <c r="A15" t="s">
        <v>61</v>
      </c>
      <c r="B15">
        <v>107432433</v>
      </c>
      <c r="C15" t="s">
        <v>90</v>
      </c>
      <c r="D15" t="s">
        <v>60</v>
      </c>
      <c r="E15" t="s">
        <v>70</v>
      </c>
      <c r="F15">
        <v>170</v>
      </c>
      <c r="G15" t="s">
        <v>68</v>
      </c>
      <c r="H15" t="s">
        <v>67</v>
      </c>
      <c r="I15">
        <v>170</v>
      </c>
    </row>
    <row r="16" spans="1:9" x14ac:dyDescent="0.35">
      <c r="A16" t="s">
        <v>61</v>
      </c>
      <c r="B16">
        <v>102530855</v>
      </c>
      <c r="C16" t="s">
        <v>560</v>
      </c>
      <c r="D16" t="s">
        <v>60</v>
      </c>
      <c r="E16" t="s">
        <v>70</v>
      </c>
      <c r="F16">
        <v>511</v>
      </c>
      <c r="G16" t="s">
        <v>62</v>
      </c>
      <c r="H16" t="s">
        <v>67</v>
      </c>
      <c r="I16">
        <v>2243</v>
      </c>
    </row>
    <row r="17" spans="1:9" x14ac:dyDescent="0.35">
      <c r="A17" t="s">
        <v>61</v>
      </c>
      <c r="B17">
        <v>102530855</v>
      </c>
      <c r="C17" t="s">
        <v>560</v>
      </c>
      <c r="D17" t="s">
        <v>60</v>
      </c>
      <c r="E17" t="s">
        <v>70</v>
      </c>
      <c r="F17">
        <v>511</v>
      </c>
      <c r="G17" t="s">
        <v>62</v>
      </c>
      <c r="H17" t="s">
        <v>63</v>
      </c>
      <c r="I17">
        <v>343</v>
      </c>
    </row>
    <row r="18" spans="1:9" x14ac:dyDescent="0.35">
      <c r="A18" t="s">
        <v>61</v>
      </c>
      <c r="B18">
        <v>102530855</v>
      </c>
      <c r="C18" t="s">
        <v>560</v>
      </c>
      <c r="D18" t="s">
        <v>60</v>
      </c>
      <c r="E18" t="s">
        <v>70</v>
      </c>
      <c r="F18">
        <v>511</v>
      </c>
      <c r="G18" t="s">
        <v>62</v>
      </c>
      <c r="H18" t="s">
        <v>64</v>
      </c>
      <c r="I18">
        <v>1900</v>
      </c>
    </row>
    <row r="19" spans="1:9" x14ac:dyDescent="0.35">
      <c r="A19" t="s">
        <v>61</v>
      </c>
      <c r="B19">
        <v>102530855</v>
      </c>
      <c r="C19" t="s">
        <v>560</v>
      </c>
      <c r="D19" t="s">
        <v>60</v>
      </c>
      <c r="E19" t="s">
        <v>70</v>
      </c>
      <c r="F19">
        <v>511</v>
      </c>
      <c r="G19" t="s">
        <v>68</v>
      </c>
      <c r="H19" t="s">
        <v>67</v>
      </c>
      <c r="I19">
        <v>511</v>
      </c>
    </row>
    <row r="20" spans="1:9" x14ac:dyDescent="0.35">
      <c r="A20" t="s">
        <v>61</v>
      </c>
      <c r="B20">
        <v>107820116</v>
      </c>
      <c r="C20" t="s">
        <v>102</v>
      </c>
      <c r="D20" t="s">
        <v>60</v>
      </c>
      <c r="E20" t="s">
        <v>58</v>
      </c>
      <c r="F20">
        <v>375</v>
      </c>
      <c r="G20" t="s">
        <v>62</v>
      </c>
      <c r="H20" t="s">
        <v>67</v>
      </c>
      <c r="I20">
        <v>2419</v>
      </c>
    </row>
    <row r="21" spans="1:9" x14ac:dyDescent="0.35">
      <c r="A21" t="s">
        <v>61</v>
      </c>
      <c r="B21">
        <v>107820116</v>
      </c>
      <c r="C21" t="s">
        <v>102</v>
      </c>
      <c r="D21" t="s">
        <v>60</v>
      </c>
      <c r="E21" t="s">
        <v>58</v>
      </c>
      <c r="F21">
        <v>375</v>
      </c>
      <c r="G21" t="s">
        <v>62</v>
      </c>
      <c r="H21" t="s">
        <v>63</v>
      </c>
      <c r="I21">
        <v>475</v>
      </c>
    </row>
    <row r="22" spans="1:9" x14ac:dyDescent="0.35">
      <c r="A22" t="s">
        <v>61</v>
      </c>
      <c r="B22">
        <v>107820116</v>
      </c>
      <c r="C22" t="s">
        <v>102</v>
      </c>
      <c r="D22" t="s">
        <v>60</v>
      </c>
      <c r="E22" t="s">
        <v>58</v>
      </c>
      <c r="F22">
        <v>375</v>
      </c>
      <c r="G22" t="s">
        <v>62</v>
      </c>
      <c r="H22" t="s">
        <v>64</v>
      </c>
      <c r="I22">
        <v>1944</v>
      </c>
    </row>
    <row r="23" spans="1:9" x14ac:dyDescent="0.35">
      <c r="A23" t="s">
        <v>61</v>
      </c>
      <c r="B23">
        <v>107820116</v>
      </c>
      <c r="C23" t="s">
        <v>102</v>
      </c>
      <c r="D23" t="s">
        <v>60</v>
      </c>
      <c r="E23" t="s">
        <v>58</v>
      </c>
      <c r="F23">
        <v>375</v>
      </c>
      <c r="G23" t="s">
        <v>68</v>
      </c>
      <c r="H23" t="s">
        <v>67</v>
      </c>
      <c r="I23">
        <v>375</v>
      </c>
    </row>
    <row r="24" spans="1:9" x14ac:dyDescent="0.35">
      <c r="A24" t="s">
        <v>61</v>
      </c>
      <c r="B24">
        <v>107704699</v>
      </c>
      <c r="C24" t="s">
        <v>94</v>
      </c>
      <c r="D24" t="s">
        <v>60</v>
      </c>
      <c r="E24" t="s">
        <v>58</v>
      </c>
      <c r="F24">
        <v>230</v>
      </c>
      <c r="G24" t="s">
        <v>62</v>
      </c>
      <c r="H24" t="s">
        <v>67</v>
      </c>
      <c r="I24">
        <v>957</v>
      </c>
    </row>
    <row r="25" spans="1:9" x14ac:dyDescent="0.35">
      <c r="A25" t="s">
        <v>61</v>
      </c>
      <c r="B25">
        <v>107704699</v>
      </c>
      <c r="C25" t="s">
        <v>94</v>
      </c>
      <c r="D25" t="s">
        <v>60</v>
      </c>
      <c r="E25" t="s">
        <v>58</v>
      </c>
      <c r="F25">
        <v>230</v>
      </c>
      <c r="G25" t="s">
        <v>62</v>
      </c>
      <c r="H25" t="s">
        <v>63</v>
      </c>
      <c r="I25">
        <v>66</v>
      </c>
    </row>
    <row r="26" spans="1:9" x14ac:dyDescent="0.35">
      <c r="A26" t="s">
        <v>61</v>
      </c>
      <c r="B26">
        <v>107704699</v>
      </c>
      <c r="C26" t="s">
        <v>94</v>
      </c>
      <c r="D26" t="s">
        <v>60</v>
      </c>
      <c r="E26" t="s">
        <v>58</v>
      </c>
      <c r="F26">
        <v>230</v>
      </c>
      <c r="G26" t="s">
        <v>62</v>
      </c>
      <c r="H26" t="s">
        <v>64</v>
      </c>
      <c r="I26">
        <v>891</v>
      </c>
    </row>
    <row r="27" spans="1:9" x14ac:dyDescent="0.35">
      <c r="A27" t="s">
        <v>61</v>
      </c>
      <c r="B27">
        <v>107704699</v>
      </c>
      <c r="C27" t="s">
        <v>94</v>
      </c>
      <c r="D27" t="s">
        <v>60</v>
      </c>
      <c r="E27" t="s">
        <v>58</v>
      </c>
      <c r="F27">
        <v>230</v>
      </c>
      <c r="G27" t="s">
        <v>68</v>
      </c>
      <c r="H27" t="s">
        <v>67</v>
      </c>
      <c r="I27">
        <v>230</v>
      </c>
    </row>
    <row r="28" spans="1:9" x14ac:dyDescent="0.35">
      <c r="A28" t="s">
        <v>61</v>
      </c>
      <c r="B28">
        <v>107228984</v>
      </c>
      <c r="C28" t="s">
        <v>529</v>
      </c>
      <c r="D28" t="s">
        <v>60</v>
      </c>
      <c r="E28" t="s">
        <v>70</v>
      </c>
      <c r="F28">
        <v>361</v>
      </c>
      <c r="G28" t="s">
        <v>62</v>
      </c>
      <c r="H28" t="s">
        <v>67</v>
      </c>
      <c r="I28">
        <v>3601</v>
      </c>
    </row>
    <row r="29" spans="1:9" x14ac:dyDescent="0.35">
      <c r="A29" t="s">
        <v>61</v>
      </c>
      <c r="B29">
        <v>107228984</v>
      </c>
      <c r="C29" t="s">
        <v>529</v>
      </c>
      <c r="D29" t="s">
        <v>60</v>
      </c>
      <c r="E29" t="s">
        <v>70</v>
      </c>
      <c r="F29">
        <v>361</v>
      </c>
      <c r="G29" t="s">
        <v>62</v>
      </c>
      <c r="H29" t="s">
        <v>63</v>
      </c>
      <c r="I29">
        <v>1381</v>
      </c>
    </row>
    <row r="30" spans="1:9" x14ac:dyDescent="0.35">
      <c r="A30" t="s">
        <v>61</v>
      </c>
      <c r="B30">
        <v>107228984</v>
      </c>
      <c r="C30" t="s">
        <v>529</v>
      </c>
      <c r="D30" t="s">
        <v>60</v>
      </c>
      <c r="E30" t="s">
        <v>70</v>
      </c>
      <c r="F30">
        <v>361</v>
      </c>
      <c r="G30" t="s">
        <v>62</v>
      </c>
      <c r="H30" t="s">
        <v>64</v>
      </c>
      <c r="I30">
        <v>2202</v>
      </c>
    </row>
    <row r="31" spans="1:9" x14ac:dyDescent="0.35">
      <c r="A31" t="s">
        <v>61</v>
      </c>
      <c r="B31">
        <v>107228984</v>
      </c>
      <c r="C31" t="s">
        <v>529</v>
      </c>
      <c r="D31" t="s">
        <v>60</v>
      </c>
      <c r="E31" t="s">
        <v>70</v>
      </c>
      <c r="F31">
        <v>361</v>
      </c>
      <c r="G31" t="s">
        <v>62</v>
      </c>
      <c r="H31" t="s">
        <v>65</v>
      </c>
      <c r="I31">
        <v>18</v>
      </c>
    </row>
    <row r="32" spans="1:9" x14ac:dyDescent="0.35">
      <c r="A32" t="s">
        <v>61</v>
      </c>
      <c r="B32">
        <v>107228984</v>
      </c>
      <c r="C32" t="s">
        <v>529</v>
      </c>
      <c r="D32" t="s">
        <v>60</v>
      </c>
      <c r="E32" t="s">
        <v>70</v>
      </c>
      <c r="F32">
        <v>361</v>
      </c>
      <c r="G32" t="s">
        <v>68</v>
      </c>
      <c r="H32" t="s">
        <v>67</v>
      </c>
      <c r="I32">
        <v>361</v>
      </c>
    </row>
    <row r="33" spans="1:9" x14ac:dyDescent="0.35">
      <c r="A33" t="s">
        <v>61</v>
      </c>
      <c r="B33">
        <v>106036050</v>
      </c>
      <c r="C33" t="s">
        <v>79</v>
      </c>
      <c r="D33" t="s">
        <v>60</v>
      </c>
      <c r="E33" t="s">
        <v>70</v>
      </c>
      <c r="F33">
        <v>426</v>
      </c>
      <c r="G33" t="s">
        <v>62</v>
      </c>
      <c r="H33" t="s">
        <v>67</v>
      </c>
      <c r="I33">
        <v>3306</v>
      </c>
    </row>
    <row r="34" spans="1:9" x14ac:dyDescent="0.35">
      <c r="A34" t="s">
        <v>61</v>
      </c>
      <c r="B34">
        <v>106036050</v>
      </c>
      <c r="C34" t="s">
        <v>79</v>
      </c>
      <c r="D34" t="s">
        <v>60</v>
      </c>
      <c r="E34" t="s">
        <v>70</v>
      </c>
      <c r="F34">
        <v>426</v>
      </c>
      <c r="G34" t="s">
        <v>62</v>
      </c>
      <c r="H34" t="s">
        <v>63</v>
      </c>
      <c r="I34">
        <v>577</v>
      </c>
    </row>
    <row r="35" spans="1:9" x14ac:dyDescent="0.35">
      <c r="A35" t="s">
        <v>61</v>
      </c>
      <c r="B35">
        <v>106036050</v>
      </c>
      <c r="C35" t="s">
        <v>79</v>
      </c>
      <c r="D35" t="s">
        <v>60</v>
      </c>
      <c r="E35" t="s">
        <v>70</v>
      </c>
      <c r="F35">
        <v>426</v>
      </c>
      <c r="G35" t="s">
        <v>62</v>
      </c>
      <c r="H35" t="s">
        <v>64</v>
      </c>
      <c r="I35">
        <v>2729</v>
      </c>
    </row>
    <row r="36" spans="1:9" x14ac:dyDescent="0.35">
      <c r="A36" t="s">
        <v>61</v>
      </c>
      <c r="B36">
        <v>106036050</v>
      </c>
      <c r="C36" t="s">
        <v>79</v>
      </c>
      <c r="D36" t="s">
        <v>60</v>
      </c>
      <c r="E36" t="s">
        <v>70</v>
      </c>
      <c r="F36">
        <v>426</v>
      </c>
      <c r="G36" t="s">
        <v>68</v>
      </c>
      <c r="H36" t="s">
        <v>67</v>
      </c>
      <c r="I36">
        <v>426</v>
      </c>
    </row>
    <row r="37" spans="1:9" x14ac:dyDescent="0.35">
      <c r="A37" t="s">
        <v>61</v>
      </c>
      <c r="B37">
        <v>107826232</v>
      </c>
      <c r="C37" t="s">
        <v>540</v>
      </c>
      <c r="D37" t="s">
        <v>60</v>
      </c>
      <c r="E37" t="s">
        <v>70</v>
      </c>
      <c r="F37">
        <v>359</v>
      </c>
      <c r="G37" t="s">
        <v>62</v>
      </c>
      <c r="H37" t="s">
        <v>67</v>
      </c>
      <c r="I37">
        <v>1459</v>
      </c>
    </row>
    <row r="38" spans="1:9" x14ac:dyDescent="0.35">
      <c r="A38" t="s">
        <v>61</v>
      </c>
      <c r="B38">
        <v>107826232</v>
      </c>
      <c r="C38" t="s">
        <v>540</v>
      </c>
      <c r="D38" t="s">
        <v>60</v>
      </c>
      <c r="E38" t="s">
        <v>70</v>
      </c>
      <c r="F38">
        <v>359</v>
      </c>
      <c r="G38" t="s">
        <v>62</v>
      </c>
      <c r="H38" t="s">
        <v>63</v>
      </c>
      <c r="I38">
        <v>214</v>
      </c>
    </row>
    <row r="39" spans="1:9" x14ac:dyDescent="0.35">
      <c r="A39" t="s">
        <v>61</v>
      </c>
      <c r="B39">
        <v>107826232</v>
      </c>
      <c r="C39" t="s">
        <v>540</v>
      </c>
      <c r="D39" t="s">
        <v>60</v>
      </c>
      <c r="E39" t="s">
        <v>70</v>
      </c>
      <c r="F39">
        <v>359</v>
      </c>
      <c r="G39" t="s">
        <v>62</v>
      </c>
      <c r="H39" t="s">
        <v>64</v>
      </c>
      <c r="I39">
        <v>1245</v>
      </c>
    </row>
    <row r="40" spans="1:9" x14ac:dyDescent="0.35">
      <c r="A40" t="s">
        <v>61</v>
      </c>
      <c r="B40">
        <v>107826232</v>
      </c>
      <c r="C40" t="s">
        <v>540</v>
      </c>
      <c r="D40" t="s">
        <v>60</v>
      </c>
      <c r="E40" t="s">
        <v>70</v>
      </c>
      <c r="F40">
        <v>359</v>
      </c>
      <c r="G40" t="s">
        <v>68</v>
      </c>
      <c r="H40" t="s">
        <v>67</v>
      </c>
      <c r="I40">
        <v>359</v>
      </c>
    </row>
    <row r="41" spans="1:9" x14ac:dyDescent="0.35">
      <c r="A41" t="s">
        <v>61</v>
      </c>
      <c r="B41">
        <v>107741933</v>
      </c>
      <c r="C41" t="s">
        <v>97</v>
      </c>
      <c r="D41" t="s">
        <v>60</v>
      </c>
      <c r="E41" t="s">
        <v>58</v>
      </c>
      <c r="F41">
        <v>336</v>
      </c>
      <c r="G41" t="s">
        <v>62</v>
      </c>
      <c r="H41" t="s">
        <v>67</v>
      </c>
      <c r="I41">
        <v>2358</v>
      </c>
    </row>
    <row r="42" spans="1:9" x14ac:dyDescent="0.35">
      <c r="A42" t="s">
        <v>61</v>
      </c>
      <c r="B42">
        <v>107741933</v>
      </c>
      <c r="C42" t="s">
        <v>97</v>
      </c>
      <c r="D42" t="s">
        <v>60</v>
      </c>
      <c r="E42" t="s">
        <v>58</v>
      </c>
      <c r="F42">
        <v>336</v>
      </c>
      <c r="G42" t="s">
        <v>62</v>
      </c>
      <c r="H42" t="s">
        <v>63</v>
      </c>
      <c r="I42">
        <v>204</v>
      </c>
    </row>
    <row r="43" spans="1:9" x14ac:dyDescent="0.35">
      <c r="A43" t="s">
        <v>61</v>
      </c>
      <c r="B43">
        <v>107741933</v>
      </c>
      <c r="C43" t="s">
        <v>97</v>
      </c>
      <c r="D43" t="s">
        <v>60</v>
      </c>
      <c r="E43" t="s">
        <v>58</v>
      </c>
      <c r="F43">
        <v>336</v>
      </c>
      <c r="G43" t="s">
        <v>62</v>
      </c>
      <c r="H43" t="s">
        <v>64</v>
      </c>
      <c r="I43">
        <v>2154</v>
      </c>
    </row>
    <row r="44" spans="1:9" x14ac:dyDescent="0.35">
      <c r="A44" t="s">
        <v>61</v>
      </c>
      <c r="B44">
        <v>107741933</v>
      </c>
      <c r="C44" t="s">
        <v>97</v>
      </c>
      <c r="D44" t="s">
        <v>60</v>
      </c>
      <c r="E44" t="s">
        <v>58</v>
      </c>
      <c r="F44">
        <v>336</v>
      </c>
      <c r="G44" t="s">
        <v>68</v>
      </c>
      <c r="H44" t="s">
        <v>67</v>
      </c>
      <c r="I44">
        <v>336</v>
      </c>
    </row>
    <row r="45" spans="1:9" x14ac:dyDescent="0.35">
      <c r="A45" t="s">
        <v>61</v>
      </c>
      <c r="B45">
        <v>107791373</v>
      </c>
      <c r="C45" t="s">
        <v>554</v>
      </c>
      <c r="D45" t="s">
        <v>72</v>
      </c>
      <c r="E45" t="s">
        <v>70</v>
      </c>
      <c r="F45">
        <v>439</v>
      </c>
      <c r="G45" t="s">
        <v>62</v>
      </c>
      <c r="H45" t="s">
        <v>67</v>
      </c>
      <c r="I45">
        <v>2597</v>
      </c>
    </row>
    <row r="46" spans="1:9" x14ac:dyDescent="0.35">
      <c r="A46" t="s">
        <v>61</v>
      </c>
      <c r="B46">
        <v>107791373</v>
      </c>
      <c r="C46" t="s">
        <v>554</v>
      </c>
      <c r="D46" t="s">
        <v>72</v>
      </c>
      <c r="E46" t="s">
        <v>70</v>
      </c>
      <c r="F46">
        <v>439</v>
      </c>
      <c r="G46" t="s">
        <v>62</v>
      </c>
      <c r="H46" t="s">
        <v>63</v>
      </c>
      <c r="I46">
        <v>475</v>
      </c>
    </row>
    <row r="47" spans="1:9" x14ac:dyDescent="0.35">
      <c r="A47" t="s">
        <v>61</v>
      </c>
      <c r="B47">
        <v>107791373</v>
      </c>
      <c r="C47" t="s">
        <v>554</v>
      </c>
      <c r="D47" t="s">
        <v>72</v>
      </c>
      <c r="E47" t="s">
        <v>70</v>
      </c>
      <c r="F47">
        <v>439</v>
      </c>
      <c r="G47" t="s">
        <v>62</v>
      </c>
      <c r="H47" t="s">
        <v>64</v>
      </c>
      <c r="I47">
        <v>2122</v>
      </c>
    </row>
    <row r="48" spans="1:9" x14ac:dyDescent="0.35">
      <c r="A48" t="s">
        <v>61</v>
      </c>
      <c r="B48">
        <v>107791373</v>
      </c>
      <c r="C48" t="s">
        <v>554</v>
      </c>
      <c r="D48" t="s">
        <v>72</v>
      </c>
      <c r="E48" t="s">
        <v>70</v>
      </c>
      <c r="F48">
        <v>439</v>
      </c>
      <c r="G48" t="s">
        <v>68</v>
      </c>
      <c r="H48" t="s">
        <v>67</v>
      </c>
      <c r="I48">
        <v>438</v>
      </c>
    </row>
    <row r="49" spans="1:9" x14ac:dyDescent="0.35">
      <c r="A49" t="s">
        <v>61</v>
      </c>
      <c r="B49">
        <v>107916626</v>
      </c>
      <c r="C49" t="s">
        <v>567</v>
      </c>
      <c r="D49" t="s">
        <v>60</v>
      </c>
      <c r="E49" t="s">
        <v>70</v>
      </c>
      <c r="F49">
        <v>152</v>
      </c>
      <c r="G49" t="s">
        <v>62</v>
      </c>
      <c r="H49" t="s">
        <v>67</v>
      </c>
      <c r="I49">
        <v>2063</v>
      </c>
    </row>
    <row r="50" spans="1:9" x14ac:dyDescent="0.35">
      <c r="A50" t="s">
        <v>61</v>
      </c>
      <c r="B50">
        <v>107916626</v>
      </c>
      <c r="C50" t="s">
        <v>567</v>
      </c>
      <c r="D50" t="s">
        <v>60</v>
      </c>
      <c r="E50" t="s">
        <v>70</v>
      </c>
      <c r="F50">
        <v>152</v>
      </c>
      <c r="G50" t="s">
        <v>62</v>
      </c>
      <c r="H50" t="s">
        <v>63</v>
      </c>
      <c r="I50">
        <v>528</v>
      </c>
    </row>
    <row r="51" spans="1:9" x14ac:dyDescent="0.35">
      <c r="A51" t="s">
        <v>61</v>
      </c>
      <c r="B51">
        <v>107916626</v>
      </c>
      <c r="C51" t="s">
        <v>567</v>
      </c>
      <c r="D51" t="s">
        <v>60</v>
      </c>
      <c r="E51" t="s">
        <v>70</v>
      </c>
      <c r="F51">
        <v>152</v>
      </c>
      <c r="G51" t="s">
        <v>62</v>
      </c>
      <c r="H51" t="s">
        <v>64</v>
      </c>
      <c r="I51">
        <v>1534</v>
      </c>
    </row>
    <row r="52" spans="1:9" x14ac:dyDescent="0.35">
      <c r="A52" t="s">
        <v>61</v>
      </c>
      <c r="B52">
        <v>107916626</v>
      </c>
      <c r="C52" t="s">
        <v>567</v>
      </c>
      <c r="D52" t="s">
        <v>60</v>
      </c>
      <c r="E52" t="s">
        <v>70</v>
      </c>
      <c r="F52">
        <v>152</v>
      </c>
      <c r="G52" t="s">
        <v>62</v>
      </c>
      <c r="H52" t="s">
        <v>65</v>
      </c>
      <c r="I52">
        <v>1</v>
      </c>
    </row>
    <row r="53" spans="1:9" x14ac:dyDescent="0.35">
      <c r="A53" t="s">
        <v>61</v>
      </c>
      <c r="B53">
        <v>107916626</v>
      </c>
      <c r="C53" t="s">
        <v>567</v>
      </c>
      <c r="D53" t="s">
        <v>60</v>
      </c>
      <c r="E53" t="s">
        <v>70</v>
      </c>
      <c r="F53">
        <v>152</v>
      </c>
      <c r="G53" t="s">
        <v>68</v>
      </c>
      <c r="H53" t="s">
        <v>67</v>
      </c>
      <c r="I53">
        <v>152</v>
      </c>
    </row>
    <row r="54" spans="1:9" x14ac:dyDescent="0.35">
      <c r="A54" t="s">
        <v>61</v>
      </c>
      <c r="B54">
        <v>107212683</v>
      </c>
      <c r="C54" t="s">
        <v>673</v>
      </c>
      <c r="D54" t="s">
        <v>60</v>
      </c>
      <c r="E54" t="s">
        <v>70</v>
      </c>
      <c r="F54">
        <v>56</v>
      </c>
      <c r="G54" t="s">
        <v>62</v>
      </c>
      <c r="H54" t="s">
        <v>67</v>
      </c>
      <c r="I54">
        <v>845</v>
      </c>
    </row>
    <row r="55" spans="1:9" x14ac:dyDescent="0.35">
      <c r="A55" t="s">
        <v>61</v>
      </c>
      <c r="B55">
        <v>107212683</v>
      </c>
      <c r="C55" t="s">
        <v>673</v>
      </c>
      <c r="D55" t="s">
        <v>60</v>
      </c>
      <c r="E55" t="s">
        <v>70</v>
      </c>
      <c r="F55">
        <v>56</v>
      </c>
      <c r="G55" t="s">
        <v>62</v>
      </c>
      <c r="H55" t="s">
        <v>63</v>
      </c>
      <c r="I55">
        <v>389</v>
      </c>
    </row>
    <row r="56" spans="1:9" x14ac:dyDescent="0.35">
      <c r="A56" t="s">
        <v>61</v>
      </c>
      <c r="B56">
        <v>107212683</v>
      </c>
      <c r="C56" t="s">
        <v>673</v>
      </c>
      <c r="D56" t="s">
        <v>60</v>
      </c>
      <c r="E56" t="s">
        <v>70</v>
      </c>
      <c r="F56">
        <v>56</v>
      </c>
      <c r="G56" t="s">
        <v>62</v>
      </c>
      <c r="H56" t="s">
        <v>64</v>
      </c>
      <c r="I56">
        <v>456</v>
      </c>
    </row>
    <row r="57" spans="1:9" x14ac:dyDescent="0.35">
      <c r="A57" t="s">
        <v>61</v>
      </c>
      <c r="B57">
        <v>107212683</v>
      </c>
      <c r="C57" t="s">
        <v>673</v>
      </c>
      <c r="D57" t="s">
        <v>60</v>
      </c>
      <c r="E57" t="s">
        <v>70</v>
      </c>
      <c r="F57">
        <v>56</v>
      </c>
      <c r="G57" t="s">
        <v>68</v>
      </c>
      <c r="H57" t="s">
        <v>67</v>
      </c>
      <c r="I57">
        <v>56</v>
      </c>
    </row>
    <row r="58" spans="1:9" x14ac:dyDescent="0.35">
      <c r="A58" t="s">
        <v>61</v>
      </c>
      <c r="B58">
        <v>107671942</v>
      </c>
      <c r="C58" t="s">
        <v>581</v>
      </c>
      <c r="D58" t="s">
        <v>78</v>
      </c>
      <c r="E58" t="s">
        <v>70</v>
      </c>
      <c r="F58">
        <v>89</v>
      </c>
      <c r="G58" t="s">
        <v>62</v>
      </c>
      <c r="H58" t="s">
        <v>67</v>
      </c>
      <c r="I58">
        <v>686</v>
      </c>
    </row>
    <row r="59" spans="1:9" x14ac:dyDescent="0.35">
      <c r="A59" t="s">
        <v>61</v>
      </c>
      <c r="B59">
        <v>107671942</v>
      </c>
      <c r="C59" t="s">
        <v>581</v>
      </c>
      <c r="D59" t="s">
        <v>78</v>
      </c>
      <c r="E59" t="s">
        <v>70</v>
      </c>
      <c r="F59">
        <v>89</v>
      </c>
      <c r="G59" t="s">
        <v>62</v>
      </c>
      <c r="H59" t="s">
        <v>63</v>
      </c>
      <c r="I59">
        <v>126</v>
      </c>
    </row>
    <row r="60" spans="1:9" x14ac:dyDescent="0.35">
      <c r="A60" t="s">
        <v>61</v>
      </c>
      <c r="B60">
        <v>107671942</v>
      </c>
      <c r="C60" t="s">
        <v>581</v>
      </c>
      <c r="D60" t="s">
        <v>78</v>
      </c>
      <c r="E60" t="s">
        <v>70</v>
      </c>
      <c r="F60">
        <v>89</v>
      </c>
      <c r="G60" t="s">
        <v>62</v>
      </c>
      <c r="H60" t="s">
        <v>64</v>
      </c>
      <c r="I60">
        <v>560</v>
      </c>
    </row>
    <row r="61" spans="1:9" x14ac:dyDescent="0.35">
      <c r="A61" t="s">
        <v>61</v>
      </c>
      <c r="B61">
        <v>107671942</v>
      </c>
      <c r="C61" t="s">
        <v>581</v>
      </c>
      <c r="D61" t="s">
        <v>78</v>
      </c>
      <c r="E61" t="s">
        <v>70</v>
      </c>
      <c r="F61">
        <v>89</v>
      </c>
      <c r="G61" t="s">
        <v>68</v>
      </c>
      <c r="H61" t="s">
        <v>67</v>
      </c>
      <c r="I61">
        <v>89</v>
      </c>
    </row>
    <row r="62" spans="1:9" x14ac:dyDescent="0.35">
      <c r="A62" t="s">
        <v>61</v>
      </c>
      <c r="B62">
        <v>107065561</v>
      </c>
      <c r="C62" t="s">
        <v>528</v>
      </c>
      <c r="D62" t="s">
        <v>78</v>
      </c>
      <c r="E62" t="s">
        <v>58</v>
      </c>
      <c r="F62">
        <v>242</v>
      </c>
      <c r="G62" t="s">
        <v>62</v>
      </c>
      <c r="H62" t="s">
        <v>67</v>
      </c>
      <c r="I62">
        <v>3117</v>
      </c>
    </row>
    <row r="63" spans="1:9" x14ac:dyDescent="0.35">
      <c r="A63" t="s">
        <v>61</v>
      </c>
      <c r="B63">
        <v>107065561</v>
      </c>
      <c r="C63" t="s">
        <v>528</v>
      </c>
      <c r="D63" t="s">
        <v>78</v>
      </c>
      <c r="E63" t="s">
        <v>58</v>
      </c>
      <c r="F63">
        <v>242</v>
      </c>
      <c r="G63" t="s">
        <v>62</v>
      </c>
      <c r="H63" t="s">
        <v>63</v>
      </c>
      <c r="I63">
        <v>1381</v>
      </c>
    </row>
    <row r="64" spans="1:9" x14ac:dyDescent="0.35">
      <c r="A64" t="s">
        <v>61</v>
      </c>
      <c r="B64">
        <v>107065561</v>
      </c>
      <c r="C64" t="s">
        <v>528</v>
      </c>
      <c r="D64" t="s">
        <v>78</v>
      </c>
      <c r="E64" t="s">
        <v>58</v>
      </c>
      <c r="F64">
        <v>242</v>
      </c>
      <c r="G64" t="s">
        <v>62</v>
      </c>
      <c r="H64" t="s">
        <v>64</v>
      </c>
      <c r="I64">
        <v>1734</v>
      </c>
    </row>
    <row r="65" spans="1:9" x14ac:dyDescent="0.35">
      <c r="A65" t="s">
        <v>61</v>
      </c>
      <c r="B65">
        <v>107065561</v>
      </c>
      <c r="C65" t="s">
        <v>528</v>
      </c>
      <c r="D65" t="s">
        <v>78</v>
      </c>
      <c r="E65" t="s">
        <v>58</v>
      </c>
      <c r="F65">
        <v>242</v>
      </c>
      <c r="G65" t="s">
        <v>62</v>
      </c>
      <c r="H65" t="s">
        <v>65</v>
      </c>
      <c r="I65">
        <v>2</v>
      </c>
    </row>
    <row r="66" spans="1:9" x14ac:dyDescent="0.35">
      <c r="A66" t="s">
        <v>61</v>
      </c>
      <c r="B66">
        <v>107065561</v>
      </c>
      <c r="C66" t="s">
        <v>528</v>
      </c>
      <c r="D66" t="s">
        <v>78</v>
      </c>
      <c r="E66" t="s">
        <v>58</v>
      </c>
      <c r="F66">
        <v>242</v>
      </c>
      <c r="G66" t="s">
        <v>68</v>
      </c>
      <c r="H66" t="s">
        <v>67</v>
      </c>
      <c r="I66">
        <v>242</v>
      </c>
    </row>
    <row r="67" spans="1:9" x14ac:dyDescent="0.35">
      <c r="A67" t="s">
        <v>61</v>
      </c>
      <c r="B67">
        <v>107229417</v>
      </c>
      <c r="C67" t="s">
        <v>565</v>
      </c>
      <c r="D67" t="s">
        <v>60</v>
      </c>
      <c r="E67" t="s">
        <v>70</v>
      </c>
      <c r="F67">
        <v>465</v>
      </c>
      <c r="G67" t="s">
        <v>62</v>
      </c>
      <c r="H67" t="s">
        <v>67</v>
      </c>
      <c r="I67">
        <v>2737</v>
      </c>
    </row>
    <row r="68" spans="1:9" x14ac:dyDescent="0.35">
      <c r="A68" t="s">
        <v>61</v>
      </c>
      <c r="B68">
        <v>107229417</v>
      </c>
      <c r="C68" t="s">
        <v>565</v>
      </c>
      <c r="D68" t="s">
        <v>60</v>
      </c>
      <c r="E68" t="s">
        <v>70</v>
      </c>
      <c r="F68">
        <v>465</v>
      </c>
      <c r="G68" t="s">
        <v>62</v>
      </c>
      <c r="H68" t="s">
        <v>63</v>
      </c>
      <c r="I68">
        <v>700</v>
      </c>
    </row>
    <row r="69" spans="1:9" x14ac:dyDescent="0.35">
      <c r="A69" t="s">
        <v>61</v>
      </c>
      <c r="B69">
        <v>107229417</v>
      </c>
      <c r="C69" t="s">
        <v>565</v>
      </c>
      <c r="D69" t="s">
        <v>60</v>
      </c>
      <c r="E69" t="s">
        <v>70</v>
      </c>
      <c r="F69">
        <v>465</v>
      </c>
      <c r="G69" t="s">
        <v>62</v>
      </c>
      <c r="H69" t="s">
        <v>64</v>
      </c>
      <c r="I69">
        <v>2037</v>
      </c>
    </row>
    <row r="70" spans="1:9" x14ac:dyDescent="0.35">
      <c r="A70" t="s">
        <v>61</v>
      </c>
      <c r="B70">
        <v>107229417</v>
      </c>
      <c r="C70" t="s">
        <v>565</v>
      </c>
      <c r="D70" t="s">
        <v>60</v>
      </c>
      <c r="E70" t="s">
        <v>70</v>
      </c>
      <c r="F70">
        <v>465</v>
      </c>
      <c r="G70" t="s">
        <v>68</v>
      </c>
      <c r="H70" t="s">
        <v>67</v>
      </c>
      <c r="I70">
        <v>465</v>
      </c>
    </row>
    <row r="71" spans="1:9" x14ac:dyDescent="0.35">
      <c r="A71" t="s">
        <v>61</v>
      </c>
      <c r="B71">
        <v>103223305</v>
      </c>
      <c r="C71" t="s">
        <v>573</v>
      </c>
      <c r="D71" t="s">
        <v>72</v>
      </c>
      <c r="E71" t="s">
        <v>70</v>
      </c>
      <c r="F71">
        <v>353</v>
      </c>
      <c r="G71" t="s">
        <v>62</v>
      </c>
      <c r="H71" t="s">
        <v>67</v>
      </c>
      <c r="I71">
        <v>3640</v>
      </c>
    </row>
    <row r="72" spans="1:9" x14ac:dyDescent="0.35">
      <c r="A72" t="s">
        <v>61</v>
      </c>
      <c r="B72">
        <v>103223305</v>
      </c>
      <c r="C72" t="s">
        <v>573</v>
      </c>
      <c r="D72" t="s">
        <v>72</v>
      </c>
      <c r="E72" t="s">
        <v>70</v>
      </c>
      <c r="F72">
        <v>353</v>
      </c>
      <c r="G72" t="s">
        <v>62</v>
      </c>
      <c r="H72" t="s">
        <v>63</v>
      </c>
      <c r="I72">
        <v>1485</v>
      </c>
    </row>
    <row r="73" spans="1:9" x14ac:dyDescent="0.35">
      <c r="A73" t="s">
        <v>61</v>
      </c>
      <c r="B73">
        <v>103223305</v>
      </c>
      <c r="C73" t="s">
        <v>573</v>
      </c>
      <c r="D73" t="s">
        <v>72</v>
      </c>
      <c r="E73" t="s">
        <v>70</v>
      </c>
      <c r="F73">
        <v>353</v>
      </c>
      <c r="G73" t="s">
        <v>62</v>
      </c>
      <c r="H73" t="s">
        <v>64</v>
      </c>
      <c r="I73">
        <v>2155</v>
      </c>
    </row>
    <row r="74" spans="1:9" x14ac:dyDescent="0.35">
      <c r="A74" t="s">
        <v>61</v>
      </c>
      <c r="B74">
        <v>103223305</v>
      </c>
      <c r="C74" t="s">
        <v>573</v>
      </c>
      <c r="D74" t="s">
        <v>72</v>
      </c>
      <c r="E74" t="s">
        <v>70</v>
      </c>
      <c r="F74">
        <v>353</v>
      </c>
      <c r="G74" t="s">
        <v>68</v>
      </c>
      <c r="H74" t="s">
        <v>67</v>
      </c>
      <c r="I74">
        <v>353</v>
      </c>
    </row>
    <row r="75" spans="1:9" x14ac:dyDescent="0.35">
      <c r="A75" t="s">
        <v>61</v>
      </c>
      <c r="B75">
        <v>107221225</v>
      </c>
      <c r="C75" t="s">
        <v>87</v>
      </c>
      <c r="D75" t="s">
        <v>60</v>
      </c>
      <c r="E75" t="s">
        <v>58</v>
      </c>
      <c r="F75">
        <v>346</v>
      </c>
      <c r="G75" t="s">
        <v>62</v>
      </c>
      <c r="H75" t="s">
        <v>67</v>
      </c>
      <c r="I75">
        <v>2974</v>
      </c>
    </row>
    <row r="76" spans="1:9" x14ac:dyDescent="0.35">
      <c r="A76" t="s">
        <v>61</v>
      </c>
      <c r="B76">
        <v>107221225</v>
      </c>
      <c r="C76" t="s">
        <v>87</v>
      </c>
      <c r="D76" t="s">
        <v>60</v>
      </c>
      <c r="E76" t="s">
        <v>58</v>
      </c>
      <c r="F76">
        <v>346</v>
      </c>
      <c r="G76" t="s">
        <v>62</v>
      </c>
      <c r="H76" t="s">
        <v>63</v>
      </c>
      <c r="I76">
        <v>664</v>
      </c>
    </row>
    <row r="77" spans="1:9" x14ac:dyDescent="0.35">
      <c r="A77" t="s">
        <v>61</v>
      </c>
      <c r="B77">
        <v>107221225</v>
      </c>
      <c r="C77" t="s">
        <v>87</v>
      </c>
      <c r="D77" t="s">
        <v>60</v>
      </c>
      <c r="E77" t="s">
        <v>58</v>
      </c>
      <c r="F77">
        <v>346</v>
      </c>
      <c r="G77" t="s">
        <v>62</v>
      </c>
      <c r="H77" t="s">
        <v>64</v>
      </c>
      <c r="I77">
        <v>2310</v>
      </c>
    </row>
    <row r="78" spans="1:9" x14ac:dyDescent="0.35">
      <c r="A78" t="s">
        <v>61</v>
      </c>
      <c r="B78">
        <v>107221225</v>
      </c>
      <c r="C78" t="s">
        <v>87</v>
      </c>
      <c r="D78" t="s">
        <v>60</v>
      </c>
      <c r="E78" t="s">
        <v>58</v>
      </c>
      <c r="F78">
        <v>346</v>
      </c>
      <c r="G78" t="s">
        <v>68</v>
      </c>
      <c r="H78" t="s">
        <v>67</v>
      </c>
      <c r="I78">
        <v>346</v>
      </c>
    </row>
    <row r="79" spans="1:9" x14ac:dyDescent="0.35">
      <c r="A79" t="s">
        <v>61</v>
      </c>
      <c r="B79">
        <v>102457590</v>
      </c>
      <c r="C79" t="s">
        <v>668</v>
      </c>
      <c r="D79" t="s">
        <v>72</v>
      </c>
      <c r="E79" t="s">
        <v>70</v>
      </c>
      <c r="F79">
        <v>470</v>
      </c>
      <c r="G79" t="s">
        <v>62</v>
      </c>
      <c r="H79" t="s">
        <v>67</v>
      </c>
      <c r="I79">
        <v>3812</v>
      </c>
    </row>
    <row r="80" spans="1:9" x14ac:dyDescent="0.35">
      <c r="A80" t="s">
        <v>61</v>
      </c>
      <c r="B80">
        <v>102457590</v>
      </c>
      <c r="C80" t="s">
        <v>668</v>
      </c>
      <c r="D80" t="s">
        <v>72</v>
      </c>
      <c r="E80" t="s">
        <v>70</v>
      </c>
      <c r="F80">
        <v>470</v>
      </c>
      <c r="G80" t="s">
        <v>62</v>
      </c>
      <c r="H80" t="s">
        <v>63</v>
      </c>
      <c r="I80">
        <v>731</v>
      </c>
    </row>
    <row r="81" spans="1:9" x14ac:dyDescent="0.35">
      <c r="A81" t="s">
        <v>61</v>
      </c>
      <c r="B81">
        <v>102457590</v>
      </c>
      <c r="C81" t="s">
        <v>668</v>
      </c>
      <c r="D81" t="s">
        <v>72</v>
      </c>
      <c r="E81" t="s">
        <v>70</v>
      </c>
      <c r="F81">
        <v>470</v>
      </c>
      <c r="G81" t="s">
        <v>62</v>
      </c>
      <c r="H81" t="s">
        <v>64</v>
      </c>
      <c r="I81">
        <v>3081</v>
      </c>
    </row>
    <row r="82" spans="1:9" x14ac:dyDescent="0.35">
      <c r="A82" t="s">
        <v>61</v>
      </c>
      <c r="B82">
        <v>102457590</v>
      </c>
      <c r="C82" t="s">
        <v>668</v>
      </c>
      <c r="D82" t="s">
        <v>72</v>
      </c>
      <c r="E82" t="s">
        <v>70</v>
      </c>
      <c r="F82">
        <v>470</v>
      </c>
      <c r="G82" t="s">
        <v>68</v>
      </c>
      <c r="H82" t="s">
        <v>67</v>
      </c>
      <c r="I82">
        <v>470</v>
      </c>
    </row>
    <row r="83" spans="1:9" x14ac:dyDescent="0.35">
      <c r="A83" t="s">
        <v>61</v>
      </c>
      <c r="B83">
        <v>106534121</v>
      </c>
      <c r="C83" t="s">
        <v>562</v>
      </c>
      <c r="D83" t="s">
        <v>60</v>
      </c>
      <c r="E83" t="s">
        <v>70</v>
      </c>
      <c r="F83">
        <v>3</v>
      </c>
      <c r="G83" t="s">
        <v>62</v>
      </c>
      <c r="H83" t="s">
        <v>67</v>
      </c>
      <c r="I83">
        <v>6335</v>
      </c>
    </row>
    <row r="84" spans="1:9" x14ac:dyDescent="0.35">
      <c r="A84" t="s">
        <v>61</v>
      </c>
      <c r="B84">
        <v>106534121</v>
      </c>
      <c r="C84" t="s">
        <v>562</v>
      </c>
      <c r="D84" t="s">
        <v>60</v>
      </c>
      <c r="E84" t="s">
        <v>70</v>
      </c>
      <c r="F84">
        <v>3</v>
      </c>
      <c r="G84" t="s">
        <v>62</v>
      </c>
      <c r="H84" t="s">
        <v>63</v>
      </c>
      <c r="I84">
        <v>3852</v>
      </c>
    </row>
    <row r="85" spans="1:9" x14ac:dyDescent="0.35">
      <c r="A85" t="s">
        <v>61</v>
      </c>
      <c r="B85">
        <v>106534121</v>
      </c>
      <c r="C85" t="s">
        <v>562</v>
      </c>
      <c r="D85" t="s">
        <v>60</v>
      </c>
      <c r="E85" t="s">
        <v>70</v>
      </c>
      <c r="F85">
        <v>3</v>
      </c>
      <c r="G85" t="s">
        <v>62</v>
      </c>
      <c r="H85" t="s">
        <v>64</v>
      </c>
      <c r="I85">
        <v>2483</v>
      </c>
    </row>
    <row r="86" spans="1:9" x14ac:dyDescent="0.35">
      <c r="A86" t="s">
        <v>61</v>
      </c>
      <c r="B86">
        <v>106534121</v>
      </c>
      <c r="C86" t="s">
        <v>562</v>
      </c>
      <c r="D86" t="s">
        <v>60</v>
      </c>
      <c r="E86" t="s">
        <v>70</v>
      </c>
      <c r="F86">
        <v>3</v>
      </c>
      <c r="G86" t="s">
        <v>68</v>
      </c>
      <c r="H86" t="s">
        <v>67</v>
      </c>
      <c r="I86">
        <v>407</v>
      </c>
    </row>
    <row r="87" spans="1:9" x14ac:dyDescent="0.35">
      <c r="A87" t="s">
        <v>61</v>
      </c>
      <c r="B87">
        <v>106534121</v>
      </c>
      <c r="C87" t="s">
        <v>562</v>
      </c>
      <c r="D87" t="s">
        <v>60</v>
      </c>
      <c r="E87" t="s">
        <v>70</v>
      </c>
      <c r="F87">
        <v>3</v>
      </c>
      <c r="G87" t="s">
        <v>69</v>
      </c>
      <c r="H87" t="s">
        <v>67</v>
      </c>
      <c r="I87">
        <v>3</v>
      </c>
    </row>
    <row r="88" spans="1:9" x14ac:dyDescent="0.35">
      <c r="A88" t="s">
        <v>61</v>
      </c>
      <c r="B88">
        <v>106064826</v>
      </c>
      <c r="C88" t="s">
        <v>569</v>
      </c>
      <c r="D88" t="s">
        <v>72</v>
      </c>
      <c r="E88" t="s">
        <v>70</v>
      </c>
      <c r="F88">
        <v>186</v>
      </c>
      <c r="G88" t="s">
        <v>62</v>
      </c>
      <c r="H88" t="s">
        <v>67</v>
      </c>
      <c r="I88">
        <v>1829</v>
      </c>
    </row>
    <row r="89" spans="1:9" x14ac:dyDescent="0.35">
      <c r="A89" t="s">
        <v>61</v>
      </c>
      <c r="B89">
        <v>106064826</v>
      </c>
      <c r="C89" t="s">
        <v>569</v>
      </c>
      <c r="D89" t="s">
        <v>72</v>
      </c>
      <c r="E89" t="s">
        <v>70</v>
      </c>
      <c r="F89">
        <v>186</v>
      </c>
      <c r="G89" t="s">
        <v>62</v>
      </c>
      <c r="H89" t="s">
        <v>63</v>
      </c>
      <c r="I89">
        <v>364</v>
      </c>
    </row>
    <row r="90" spans="1:9" x14ac:dyDescent="0.35">
      <c r="A90" t="s">
        <v>61</v>
      </c>
      <c r="B90">
        <v>106064826</v>
      </c>
      <c r="C90" t="s">
        <v>569</v>
      </c>
      <c r="D90" t="s">
        <v>72</v>
      </c>
      <c r="E90" t="s">
        <v>70</v>
      </c>
      <c r="F90">
        <v>186</v>
      </c>
      <c r="G90" t="s">
        <v>62</v>
      </c>
      <c r="H90" t="s">
        <v>64</v>
      </c>
      <c r="I90">
        <v>1465</v>
      </c>
    </row>
    <row r="91" spans="1:9" x14ac:dyDescent="0.35">
      <c r="A91" t="s">
        <v>61</v>
      </c>
      <c r="B91">
        <v>106064826</v>
      </c>
      <c r="C91" t="s">
        <v>569</v>
      </c>
      <c r="D91" t="s">
        <v>72</v>
      </c>
      <c r="E91" t="s">
        <v>70</v>
      </c>
      <c r="F91">
        <v>186</v>
      </c>
      <c r="G91" t="s">
        <v>68</v>
      </c>
      <c r="H91" t="s">
        <v>67</v>
      </c>
      <c r="I91">
        <v>186</v>
      </c>
    </row>
    <row r="92" spans="1:9" x14ac:dyDescent="0.35">
      <c r="A92" t="s">
        <v>61</v>
      </c>
      <c r="B92">
        <v>104441514</v>
      </c>
      <c r="C92" t="s">
        <v>77</v>
      </c>
      <c r="D92" t="s">
        <v>78</v>
      </c>
      <c r="E92" t="s">
        <v>70</v>
      </c>
      <c r="F92">
        <v>302</v>
      </c>
      <c r="G92" t="s">
        <v>62</v>
      </c>
      <c r="H92" t="s">
        <v>67</v>
      </c>
      <c r="I92">
        <v>1626</v>
      </c>
    </row>
    <row r="93" spans="1:9" x14ac:dyDescent="0.35">
      <c r="A93" t="s">
        <v>61</v>
      </c>
      <c r="B93">
        <v>104441514</v>
      </c>
      <c r="C93" t="s">
        <v>77</v>
      </c>
      <c r="D93" t="s">
        <v>78</v>
      </c>
      <c r="E93" t="s">
        <v>70</v>
      </c>
      <c r="F93">
        <v>302</v>
      </c>
      <c r="G93" t="s">
        <v>62</v>
      </c>
      <c r="H93" t="s">
        <v>63</v>
      </c>
      <c r="I93">
        <v>110</v>
      </c>
    </row>
    <row r="94" spans="1:9" x14ac:dyDescent="0.35">
      <c r="A94" t="s">
        <v>61</v>
      </c>
      <c r="B94">
        <v>104441514</v>
      </c>
      <c r="C94" t="s">
        <v>77</v>
      </c>
      <c r="D94" t="s">
        <v>78</v>
      </c>
      <c r="E94" t="s">
        <v>70</v>
      </c>
      <c r="F94">
        <v>302</v>
      </c>
      <c r="G94" t="s">
        <v>62</v>
      </c>
      <c r="H94" t="s">
        <v>64</v>
      </c>
      <c r="I94">
        <v>1516</v>
      </c>
    </row>
    <row r="95" spans="1:9" x14ac:dyDescent="0.35">
      <c r="A95" t="s">
        <v>61</v>
      </c>
      <c r="B95">
        <v>104441514</v>
      </c>
      <c r="C95" t="s">
        <v>77</v>
      </c>
      <c r="D95" t="s">
        <v>78</v>
      </c>
      <c r="E95" t="s">
        <v>70</v>
      </c>
      <c r="F95">
        <v>302</v>
      </c>
      <c r="G95" t="s">
        <v>68</v>
      </c>
      <c r="H95" t="s">
        <v>67</v>
      </c>
      <c r="I95">
        <v>302</v>
      </c>
    </row>
    <row r="96" spans="1:9" x14ac:dyDescent="0.35">
      <c r="A96" t="s">
        <v>61</v>
      </c>
      <c r="B96">
        <v>107221231</v>
      </c>
      <c r="C96" t="s">
        <v>88</v>
      </c>
      <c r="D96" t="s">
        <v>60</v>
      </c>
      <c r="E96" t="s">
        <v>70</v>
      </c>
      <c r="F96">
        <v>364</v>
      </c>
      <c r="G96" t="s">
        <v>62</v>
      </c>
      <c r="H96" t="s">
        <v>67</v>
      </c>
      <c r="I96">
        <v>3850</v>
      </c>
    </row>
    <row r="97" spans="1:9" x14ac:dyDescent="0.35">
      <c r="A97" t="s">
        <v>61</v>
      </c>
      <c r="B97">
        <v>107221231</v>
      </c>
      <c r="C97" t="s">
        <v>88</v>
      </c>
      <c r="D97" t="s">
        <v>60</v>
      </c>
      <c r="E97" t="s">
        <v>70</v>
      </c>
      <c r="F97">
        <v>364</v>
      </c>
      <c r="G97" t="s">
        <v>62</v>
      </c>
      <c r="H97" t="s">
        <v>63</v>
      </c>
      <c r="I97">
        <v>1363</v>
      </c>
    </row>
    <row r="98" spans="1:9" x14ac:dyDescent="0.35">
      <c r="A98" t="s">
        <v>61</v>
      </c>
      <c r="B98">
        <v>107221231</v>
      </c>
      <c r="C98" t="s">
        <v>88</v>
      </c>
      <c r="D98" t="s">
        <v>60</v>
      </c>
      <c r="E98" t="s">
        <v>70</v>
      </c>
      <c r="F98">
        <v>364</v>
      </c>
      <c r="G98" t="s">
        <v>62</v>
      </c>
      <c r="H98" t="s">
        <v>64</v>
      </c>
      <c r="I98">
        <v>2487</v>
      </c>
    </row>
    <row r="99" spans="1:9" x14ac:dyDescent="0.35">
      <c r="A99" t="s">
        <v>61</v>
      </c>
      <c r="B99">
        <v>107221231</v>
      </c>
      <c r="C99" t="s">
        <v>88</v>
      </c>
      <c r="D99" t="s">
        <v>60</v>
      </c>
      <c r="E99" t="s">
        <v>70</v>
      </c>
      <c r="F99">
        <v>364</v>
      </c>
      <c r="G99" t="s">
        <v>68</v>
      </c>
      <c r="H99" t="s">
        <v>67</v>
      </c>
      <c r="I99">
        <v>364</v>
      </c>
    </row>
    <row r="100" spans="1:9" x14ac:dyDescent="0.35">
      <c r="A100" t="s">
        <v>61</v>
      </c>
      <c r="B100">
        <v>107826201</v>
      </c>
      <c r="C100" t="s">
        <v>539</v>
      </c>
      <c r="D100" t="s">
        <v>60</v>
      </c>
      <c r="E100" t="s">
        <v>58</v>
      </c>
      <c r="F100">
        <v>331</v>
      </c>
      <c r="G100" t="s">
        <v>62</v>
      </c>
      <c r="H100" t="s">
        <v>67</v>
      </c>
      <c r="I100">
        <v>1677</v>
      </c>
    </row>
    <row r="101" spans="1:9" x14ac:dyDescent="0.35">
      <c r="A101" t="s">
        <v>61</v>
      </c>
      <c r="B101">
        <v>107826201</v>
      </c>
      <c r="C101" t="s">
        <v>539</v>
      </c>
      <c r="D101" t="s">
        <v>60</v>
      </c>
      <c r="E101" t="s">
        <v>58</v>
      </c>
      <c r="F101">
        <v>331</v>
      </c>
      <c r="G101" t="s">
        <v>62</v>
      </c>
      <c r="H101" t="s">
        <v>63</v>
      </c>
      <c r="I101">
        <v>334</v>
      </c>
    </row>
    <row r="102" spans="1:9" x14ac:dyDescent="0.35">
      <c r="A102" t="s">
        <v>61</v>
      </c>
      <c r="B102">
        <v>107826201</v>
      </c>
      <c r="C102" t="s">
        <v>539</v>
      </c>
      <c r="D102" t="s">
        <v>60</v>
      </c>
      <c r="E102" t="s">
        <v>58</v>
      </c>
      <c r="F102">
        <v>331</v>
      </c>
      <c r="G102" t="s">
        <v>62</v>
      </c>
      <c r="H102" t="s">
        <v>64</v>
      </c>
      <c r="I102">
        <v>1343</v>
      </c>
    </row>
    <row r="103" spans="1:9" x14ac:dyDescent="0.35">
      <c r="A103" t="s">
        <v>61</v>
      </c>
      <c r="B103">
        <v>107826201</v>
      </c>
      <c r="C103" t="s">
        <v>539</v>
      </c>
      <c r="D103" t="s">
        <v>60</v>
      </c>
      <c r="E103" t="s">
        <v>58</v>
      </c>
      <c r="F103">
        <v>331</v>
      </c>
      <c r="G103" t="s">
        <v>68</v>
      </c>
      <c r="H103" t="s">
        <v>67</v>
      </c>
      <c r="I103">
        <v>331</v>
      </c>
    </row>
    <row r="104" spans="1:9" x14ac:dyDescent="0.35">
      <c r="A104" t="s">
        <v>61</v>
      </c>
      <c r="B104">
        <v>106406425</v>
      </c>
      <c r="C104" t="s">
        <v>561</v>
      </c>
      <c r="D104" t="s">
        <v>78</v>
      </c>
      <c r="E104" t="s">
        <v>70</v>
      </c>
      <c r="F104">
        <v>6</v>
      </c>
      <c r="G104" t="s">
        <v>62</v>
      </c>
      <c r="H104" t="s">
        <v>67</v>
      </c>
      <c r="I104">
        <v>48</v>
      </c>
    </row>
    <row r="105" spans="1:9" x14ac:dyDescent="0.35">
      <c r="A105" t="s">
        <v>61</v>
      </c>
      <c r="B105">
        <v>106406425</v>
      </c>
      <c r="C105" t="s">
        <v>561</v>
      </c>
      <c r="D105" t="s">
        <v>78</v>
      </c>
      <c r="E105" t="s">
        <v>70</v>
      </c>
      <c r="F105">
        <v>6</v>
      </c>
      <c r="G105" t="s">
        <v>68</v>
      </c>
      <c r="H105" t="s">
        <v>67</v>
      </c>
      <c r="I105">
        <v>6</v>
      </c>
    </row>
    <row r="106" spans="1:9" x14ac:dyDescent="0.35">
      <c r="A106" t="s">
        <v>61</v>
      </c>
      <c r="B106">
        <v>106276317</v>
      </c>
      <c r="C106" t="s">
        <v>548</v>
      </c>
      <c r="D106" t="s">
        <v>72</v>
      </c>
      <c r="E106" t="s">
        <v>70</v>
      </c>
      <c r="F106">
        <v>403</v>
      </c>
      <c r="G106" t="s">
        <v>62</v>
      </c>
      <c r="H106" t="s">
        <v>67</v>
      </c>
      <c r="I106">
        <v>5577</v>
      </c>
    </row>
    <row r="107" spans="1:9" x14ac:dyDescent="0.35">
      <c r="A107" t="s">
        <v>61</v>
      </c>
      <c r="B107">
        <v>106276317</v>
      </c>
      <c r="C107" t="s">
        <v>548</v>
      </c>
      <c r="D107" t="s">
        <v>72</v>
      </c>
      <c r="E107" t="s">
        <v>70</v>
      </c>
      <c r="F107">
        <v>403</v>
      </c>
      <c r="G107" t="s">
        <v>62</v>
      </c>
      <c r="H107" t="s">
        <v>63</v>
      </c>
      <c r="I107">
        <v>2745</v>
      </c>
    </row>
    <row r="108" spans="1:9" x14ac:dyDescent="0.35">
      <c r="A108" t="s">
        <v>61</v>
      </c>
      <c r="B108">
        <v>106276317</v>
      </c>
      <c r="C108" t="s">
        <v>548</v>
      </c>
      <c r="D108" t="s">
        <v>72</v>
      </c>
      <c r="E108" t="s">
        <v>70</v>
      </c>
      <c r="F108">
        <v>403</v>
      </c>
      <c r="G108" t="s">
        <v>62</v>
      </c>
      <c r="H108" t="s">
        <v>64</v>
      </c>
      <c r="I108">
        <v>2832</v>
      </c>
    </row>
    <row r="109" spans="1:9" x14ac:dyDescent="0.35">
      <c r="A109" t="s">
        <v>61</v>
      </c>
      <c r="B109">
        <v>106276317</v>
      </c>
      <c r="C109" t="s">
        <v>548</v>
      </c>
      <c r="D109" t="s">
        <v>72</v>
      </c>
      <c r="E109" t="s">
        <v>70</v>
      </c>
      <c r="F109">
        <v>403</v>
      </c>
      <c r="G109" t="s">
        <v>68</v>
      </c>
      <c r="H109" t="s">
        <v>67</v>
      </c>
      <c r="I109">
        <v>403</v>
      </c>
    </row>
    <row r="110" spans="1:9" x14ac:dyDescent="0.35">
      <c r="A110" t="s">
        <v>61</v>
      </c>
      <c r="B110">
        <v>107221210</v>
      </c>
      <c r="C110" t="s">
        <v>84</v>
      </c>
      <c r="D110" t="s">
        <v>60</v>
      </c>
      <c r="E110" t="s">
        <v>70</v>
      </c>
      <c r="F110">
        <v>507</v>
      </c>
      <c r="G110" t="s">
        <v>62</v>
      </c>
      <c r="H110" t="s">
        <v>67</v>
      </c>
      <c r="I110">
        <v>3432</v>
      </c>
    </row>
    <row r="111" spans="1:9" x14ac:dyDescent="0.35">
      <c r="A111" t="s">
        <v>61</v>
      </c>
      <c r="B111">
        <v>107221210</v>
      </c>
      <c r="C111" t="s">
        <v>84</v>
      </c>
      <c r="D111" t="s">
        <v>60</v>
      </c>
      <c r="E111" t="s">
        <v>70</v>
      </c>
      <c r="F111">
        <v>507</v>
      </c>
      <c r="G111" t="s">
        <v>62</v>
      </c>
      <c r="H111" t="s">
        <v>63</v>
      </c>
      <c r="I111">
        <v>482</v>
      </c>
    </row>
    <row r="112" spans="1:9" x14ac:dyDescent="0.35">
      <c r="A112" t="s">
        <v>61</v>
      </c>
      <c r="B112">
        <v>107221210</v>
      </c>
      <c r="C112" t="s">
        <v>84</v>
      </c>
      <c r="D112" t="s">
        <v>60</v>
      </c>
      <c r="E112" t="s">
        <v>70</v>
      </c>
      <c r="F112">
        <v>507</v>
      </c>
      <c r="G112" t="s">
        <v>62</v>
      </c>
      <c r="H112" t="s">
        <v>64</v>
      </c>
      <c r="I112">
        <v>2950</v>
      </c>
    </row>
    <row r="113" spans="1:9" x14ac:dyDescent="0.35">
      <c r="A113" t="s">
        <v>61</v>
      </c>
      <c r="B113">
        <v>107221210</v>
      </c>
      <c r="C113" t="s">
        <v>84</v>
      </c>
      <c r="D113" t="s">
        <v>60</v>
      </c>
      <c r="E113" t="s">
        <v>70</v>
      </c>
      <c r="F113">
        <v>507</v>
      </c>
      <c r="G113" t="s">
        <v>68</v>
      </c>
      <c r="H113" t="s">
        <v>67</v>
      </c>
      <c r="I113">
        <v>507</v>
      </c>
    </row>
    <row r="114" spans="1:9" x14ac:dyDescent="0.35">
      <c r="A114" t="s">
        <v>61</v>
      </c>
      <c r="B114">
        <v>107348340</v>
      </c>
      <c r="C114" t="s">
        <v>536</v>
      </c>
      <c r="D114" t="s">
        <v>78</v>
      </c>
      <c r="E114" t="s">
        <v>58</v>
      </c>
      <c r="F114">
        <v>79</v>
      </c>
      <c r="G114" t="s">
        <v>62</v>
      </c>
      <c r="H114" t="s">
        <v>67</v>
      </c>
      <c r="I114">
        <v>346</v>
      </c>
    </row>
    <row r="115" spans="1:9" x14ac:dyDescent="0.35">
      <c r="A115" t="s">
        <v>61</v>
      </c>
      <c r="B115">
        <v>107348340</v>
      </c>
      <c r="C115" t="s">
        <v>536</v>
      </c>
      <c r="D115" t="s">
        <v>78</v>
      </c>
      <c r="E115" t="s">
        <v>58</v>
      </c>
      <c r="F115">
        <v>79</v>
      </c>
      <c r="G115" t="s">
        <v>62</v>
      </c>
      <c r="H115" t="s">
        <v>63</v>
      </c>
      <c r="I115">
        <v>85</v>
      </c>
    </row>
    <row r="116" spans="1:9" x14ac:dyDescent="0.35">
      <c r="A116" t="s">
        <v>61</v>
      </c>
      <c r="B116">
        <v>107348340</v>
      </c>
      <c r="C116" t="s">
        <v>536</v>
      </c>
      <c r="D116" t="s">
        <v>78</v>
      </c>
      <c r="E116" t="s">
        <v>58</v>
      </c>
      <c r="F116">
        <v>79</v>
      </c>
      <c r="G116" t="s">
        <v>62</v>
      </c>
      <c r="H116" t="s">
        <v>64</v>
      </c>
      <c r="I116">
        <v>261</v>
      </c>
    </row>
    <row r="117" spans="1:9" x14ac:dyDescent="0.35">
      <c r="A117" t="s">
        <v>61</v>
      </c>
      <c r="B117">
        <v>107348340</v>
      </c>
      <c r="C117" t="s">
        <v>536</v>
      </c>
      <c r="D117" t="s">
        <v>78</v>
      </c>
      <c r="E117" t="s">
        <v>58</v>
      </c>
      <c r="F117">
        <v>79</v>
      </c>
      <c r="G117" t="s">
        <v>68</v>
      </c>
      <c r="H117" t="s">
        <v>67</v>
      </c>
      <c r="I117">
        <v>79</v>
      </c>
    </row>
    <row r="118" spans="1:9" x14ac:dyDescent="0.35">
      <c r="A118" t="s">
        <v>61</v>
      </c>
      <c r="B118">
        <v>106576095</v>
      </c>
      <c r="C118" t="s">
        <v>563</v>
      </c>
      <c r="D118" t="s">
        <v>72</v>
      </c>
      <c r="E118" t="s">
        <v>70</v>
      </c>
      <c r="F118">
        <v>217</v>
      </c>
      <c r="G118" t="s">
        <v>62</v>
      </c>
      <c r="H118" t="s">
        <v>67</v>
      </c>
      <c r="I118">
        <v>1155</v>
      </c>
    </row>
    <row r="119" spans="1:9" x14ac:dyDescent="0.35">
      <c r="A119" t="s">
        <v>61</v>
      </c>
      <c r="B119">
        <v>106576095</v>
      </c>
      <c r="C119" t="s">
        <v>563</v>
      </c>
      <c r="D119" t="s">
        <v>72</v>
      </c>
      <c r="E119" t="s">
        <v>70</v>
      </c>
      <c r="F119">
        <v>217</v>
      </c>
      <c r="G119" t="s">
        <v>68</v>
      </c>
      <c r="H119" t="s">
        <v>67</v>
      </c>
      <c r="I119">
        <v>217</v>
      </c>
    </row>
    <row r="120" spans="1:9" x14ac:dyDescent="0.35">
      <c r="A120" t="s">
        <v>61</v>
      </c>
      <c r="B120">
        <v>107907397</v>
      </c>
      <c r="C120" t="s">
        <v>105</v>
      </c>
      <c r="D120" t="s">
        <v>60</v>
      </c>
      <c r="E120" t="s">
        <v>58</v>
      </c>
      <c r="F120">
        <v>349</v>
      </c>
      <c r="G120" t="s">
        <v>62</v>
      </c>
      <c r="H120" t="s">
        <v>67</v>
      </c>
      <c r="I120">
        <v>2019</v>
      </c>
    </row>
    <row r="121" spans="1:9" x14ac:dyDescent="0.35">
      <c r="A121" t="s">
        <v>61</v>
      </c>
      <c r="B121">
        <v>107907397</v>
      </c>
      <c r="C121" t="s">
        <v>105</v>
      </c>
      <c r="D121" t="s">
        <v>60</v>
      </c>
      <c r="E121" t="s">
        <v>58</v>
      </c>
      <c r="F121">
        <v>349</v>
      </c>
      <c r="G121" t="s">
        <v>62</v>
      </c>
      <c r="H121" t="s">
        <v>63</v>
      </c>
      <c r="I121">
        <v>327</v>
      </c>
    </row>
    <row r="122" spans="1:9" x14ac:dyDescent="0.35">
      <c r="A122" t="s">
        <v>61</v>
      </c>
      <c r="B122">
        <v>107907397</v>
      </c>
      <c r="C122" t="s">
        <v>105</v>
      </c>
      <c r="D122" t="s">
        <v>60</v>
      </c>
      <c r="E122" t="s">
        <v>58</v>
      </c>
      <c r="F122">
        <v>349</v>
      </c>
      <c r="G122" t="s">
        <v>62</v>
      </c>
      <c r="H122" t="s">
        <v>64</v>
      </c>
      <c r="I122">
        <v>1692</v>
      </c>
    </row>
    <row r="123" spans="1:9" x14ac:dyDescent="0.35">
      <c r="A123" t="s">
        <v>61</v>
      </c>
      <c r="B123">
        <v>107907397</v>
      </c>
      <c r="C123" t="s">
        <v>105</v>
      </c>
      <c r="D123" t="s">
        <v>60</v>
      </c>
      <c r="E123" t="s">
        <v>58</v>
      </c>
      <c r="F123">
        <v>349</v>
      </c>
      <c r="G123" t="s">
        <v>68</v>
      </c>
      <c r="H123" t="s">
        <v>67</v>
      </c>
      <c r="I123">
        <v>348</v>
      </c>
    </row>
    <row r="124" spans="1:9" x14ac:dyDescent="0.35">
      <c r="A124" t="s">
        <v>61</v>
      </c>
      <c r="B124">
        <v>107253126</v>
      </c>
      <c r="C124" t="s">
        <v>676</v>
      </c>
      <c r="D124" t="s">
        <v>78</v>
      </c>
      <c r="E124" t="s">
        <v>58</v>
      </c>
      <c r="F124">
        <v>21</v>
      </c>
      <c r="G124" t="s">
        <v>62</v>
      </c>
      <c r="H124" t="s">
        <v>67</v>
      </c>
      <c r="I124">
        <v>192</v>
      </c>
    </row>
    <row r="125" spans="1:9" x14ac:dyDescent="0.35">
      <c r="A125" t="s">
        <v>61</v>
      </c>
      <c r="B125">
        <v>107253126</v>
      </c>
      <c r="C125" t="s">
        <v>676</v>
      </c>
      <c r="D125" t="s">
        <v>78</v>
      </c>
      <c r="E125" t="s">
        <v>58</v>
      </c>
      <c r="F125">
        <v>21</v>
      </c>
      <c r="G125" t="s">
        <v>68</v>
      </c>
      <c r="H125" t="s">
        <v>67</v>
      </c>
      <c r="I125">
        <v>21</v>
      </c>
    </row>
    <row r="126" spans="1:9" x14ac:dyDescent="0.35">
      <c r="A126" t="s">
        <v>61</v>
      </c>
      <c r="B126">
        <v>106036051</v>
      </c>
      <c r="C126" t="s">
        <v>547</v>
      </c>
      <c r="D126" t="s">
        <v>72</v>
      </c>
      <c r="E126" t="s">
        <v>70</v>
      </c>
      <c r="F126">
        <v>292</v>
      </c>
      <c r="G126" t="s">
        <v>62</v>
      </c>
      <c r="H126" t="s">
        <v>67</v>
      </c>
      <c r="I126">
        <v>1483</v>
      </c>
    </row>
    <row r="127" spans="1:9" x14ac:dyDescent="0.35">
      <c r="A127" t="s">
        <v>61</v>
      </c>
      <c r="B127">
        <v>106036051</v>
      </c>
      <c r="C127" t="s">
        <v>547</v>
      </c>
      <c r="D127" t="s">
        <v>72</v>
      </c>
      <c r="E127" t="s">
        <v>70</v>
      </c>
      <c r="F127">
        <v>292</v>
      </c>
      <c r="G127" t="s">
        <v>62</v>
      </c>
      <c r="H127" t="s">
        <v>63</v>
      </c>
      <c r="I127">
        <v>301</v>
      </c>
    </row>
    <row r="128" spans="1:9" x14ac:dyDescent="0.35">
      <c r="A128" t="s">
        <v>61</v>
      </c>
      <c r="B128">
        <v>106036051</v>
      </c>
      <c r="C128" t="s">
        <v>547</v>
      </c>
      <c r="D128" t="s">
        <v>72</v>
      </c>
      <c r="E128" t="s">
        <v>70</v>
      </c>
      <c r="F128">
        <v>292</v>
      </c>
      <c r="G128" t="s">
        <v>62</v>
      </c>
      <c r="H128" t="s">
        <v>64</v>
      </c>
      <c r="I128">
        <v>1179</v>
      </c>
    </row>
    <row r="129" spans="1:9" x14ac:dyDescent="0.35">
      <c r="A129" t="s">
        <v>61</v>
      </c>
      <c r="B129">
        <v>106036051</v>
      </c>
      <c r="C129" t="s">
        <v>547</v>
      </c>
      <c r="D129" t="s">
        <v>72</v>
      </c>
      <c r="E129" t="s">
        <v>70</v>
      </c>
      <c r="F129">
        <v>292</v>
      </c>
      <c r="G129" t="s">
        <v>62</v>
      </c>
      <c r="H129" t="s">
        <v>65</v>
      </c>
      <c r="I129">
        <v>3</v>
      </c>
    </row>
    <row r="130" spans="1:9" x14ac:dyDescent="0.35">
      <c r="A130" t="s">
        <v>61</v>
      </c>
      <c r="B130">
        <v>106036051</v>
      </c>
      <c r="C130" t="s">
        <v>547</v>
      </c>
      <c r="D130" t="s">
        <v>72</v>
      </c>
      <c r="E130" t="s">
        <v>70</v>
      </c>
      <c r="F130">
        <v>292</v>
      </c>
      <c r="G130" t="s">
        <v>68</v>
      </c>
      <c r="H130" t="s">
        <v>67</v>
      </c>
      <c r="I130">
        <v>292</v>
      </c>
    </row>
    <row r="131" spans="1:9" x14ac:dyDescent="0.35">
      <c r="A131" t="s">
        <v>61</v>
      </c>
      <c r="B131">
        <v>107610935</v>
      </c>
      <c r="C131" t="s">
        <v>580</v>
      </c>
      <c r="D131" t="s">
        <v>78</v>
      </c>
      <c r="E131" t="s">
        <v>58</v>
      </c>
      <c r="F131">
        <v>167</v>
      </c>
      <c r="G131" t="s">
        <v>62</v>
      </c>
      <c r="H131" t="s">
        <v>67</v>
      </c>
      <c r="I131">
        <v>2137</v>
      </c>
    </row>
    <row r="132" spans="1:9" x14ac:dyDescent="0.35">
      <c r="A132" t="s">
        <v>61</v>
      </c>
      <c r="B132">
        <v>107610935</v>
      </c>
      <c r="C132" t="s">
        <v>580</v>
      </c>
      <c r="D132" t="s">
        <v>78</v>
      </c>
      <c r="E132" t="s">
        <v>58</v>
      </c>
      <c r="F132">
        <v>167</v>
      </c>
      <c r="G132" t="s">
        <v>62</v>
      </c>
      <c r="H132" t="s">
        <v>63</v>
      </c>
      <c r="I132">
        <v>1002</v>
      </c>
    </row>
    <row r="133" spans="1:9" x14ac:dyDescent="0.35">
      <c r="A133" t="s">
        <v>61</v>
      </c>
      <c r="B133">
        <v>107610935</v>
      </c>
      <c r="C133" t="s">
        <v>580</v>
      </c>
      <c r="D133" t="s">
        <v>78</v>
      </c>
      <c r="E133" t="s">
        <v>58</v>
      </c>
      <c r="F133">
        <v>167</v>
      </c>
      <c r="G133" t="s">
        <v>62</v>
      </c>
      <c r="H133" t="s">
        <v>64</v>
      </c>
      <c r="I133">
        <v>1135</v>
      </c>
    </row>
    <row r="134" spans="1:9" x14ac:dyDescent="0.35">
      <c r="A134" t="s">
        <v>61</v>
      </c>
      <c r="B134">
        <v>107610935</v>
      </c>
      <c r="C134" t="s">
        <v>580</v>
      </c>
      <c r="D134" t="s">
        <v>78</v>
      </c>
      <c r="E134" t="s">
        <v>58</v>
      </c>
      <c r="F134">
        <v>167</v>
      </c>
      <c r="G134" t="s">
        <v>68</v>
      </c>
      <c r="H134" t="s">
        <v>67</v>
      </c>
      <c r="I134">
        <v>167</v>
      </c>
    </row>
    <row r="135" spans="1:9" x14ac:dyDescent="0.35">
      <c r="A135" t="s">
        <v>61</v>
      </c>
      <c r="B135">
        <v>107824169</v>
      </c>
      <c r="C135" t="s">
        <v>103</v>
      </c>
      <c r="D135" t="s">
        <v>60</v>
      </c>
      <c r="E135" t="s">
        <v>58</v>
      </c>
      <c r="F135">
        <v>380</v>
      </c>
      <c r="G135" t="s">
        <v>62</v>
      </c>
      <c r="H135" t="s">
        <v>67</v>
      </c>
      <c r="I135">
        <v>2714</v>
      </c>
    </row>
    <row r="136" spans="1:9" x14ac:dyDescent="0.35">
      <c r="A136" t="s">
        <v>61</v>
      </c>
      <c r="B136">
        <v>107824169</v>
      </c>
      <c r="C136" t="s">
        <v>103</v>
      </c>
      <c r="D136" t="s">
        <v>60</v>
      </c>
      <c r="E136" t="s">
        <v>58</v>
      </c>
      <c r="F136">
        <v>380</v>
      </c>
      <c r="G136" t="s">
        <v>62</v>
      </c>
      <c r="H136" t="s">
        <v>63</v>
      </c>
      <c r="I136">
        <v>622</v>
      </c>
    </row>
    <row r="137" spans="1:9" x14ac:dyDescent="0.35">
      <c r="A137" t="s">
        <v>61</v>
      </c>
      <c r="B137">
        <v>107824169</v>
      </c>
      <c r="C137" t="s">
        <v>103</v>
      </c>
      <c r="D137" t="s">
        <v>60</v>
      </c>
      <c r="E137" t="s">
        <v>58</v>
      </c>
      <c r="F137">
        <v>380</v>
      </c>
      <c r="G137" t="s">
        <v>62</v>
      </c>
      <c r="H137" t="s">
        <v>64</v>
      </c>
      <c r="I137">
        <v>2092</v>
      </c>
    </row>
    <row r="138" spans="1:9" x14ac:dyDescent="0.35">
      <c r="A138" t="s">
        <v>61</v>
      </c>
      <c r="B138">
        <v>107824169</v>
      </c>
      <c r="C138" t="s">
        <v>103</v>
      </c>
      <c r="D138" t="s">
        <v>60</v>
      </c>
      <c r="E138" t="s">
        <v>58</v>
      </c>
      <c r="F138">
        <v>380</v>
      </c>
      <c r="G138" t="s">
        <v>68</v>
      </c>
      <c r="H138" t="s">
        <v>67</v>
      </c>
      <c r="I138">
        <v>379</v>
      </c>
    </row>
    <row r="139" spans="1:9" x14ac:dyDescent="0.35">
      <c r="A139" t="s">
        <v>61</v>
      </c>
      <c r="B139">
        <v>107826193</v>
      </c>
      <c r="C139" t="s">
        <v>538</v>
      </c>
      <c r="D139" t="s">
        <v>60</v>
      </c>
      <c r="E139" t="s">
        <v>58</v>
      </c>
      <c r="F139">
        <v>411</v>
      </c>
      <c r="G139" t="s">
        <v>62</v>
      </c>
      <c r="H139" t="s">
        <v>67</v>
      </c>
      <c r="I139">
        <v>1623</v>
      </c>
    </row>
    <row r="140" spans="1:9" x14ac:dyDescent="0.35">
      <c r="A140" t="s">
        <v>61</v>
      </c>
      <c r="B140">
        <v>107826193</v>
      </c>
      <c r="C140" t="s">
        <v>538</v>
      </c>
      <c r="D140" t="s">
        <v>60</v>
      </c>
      <c r="E140" t="s">
        <v>58</v>
      </c>
      <c r="F140">
        <v>411</v>
      </c>
      <c r="G140" t="s">
        <v>62</v>
      </c>
      <c r="H140" t="s">
        <v>63</v>
      </c>
      <c r="I140">
        <v>60</v>
      </c>
    </row>
    <row r="141" spans="1:9" x14ac:dyDescent="0.35">
      <c r="A141" t="s">
        <v>61</v>
      </c>
      <c r="B141">
        <v>107826193</v>
      </c>
      <c r="C141" t="s">
        <v>538</v>
      </c>
      <c r="D141" t="s">
        <v>60</v>
      </c>
      <c r="E141" t="s">
        <v>58</v>
      </c>
      <c r="F141">
        <v>411</v>
      </c>
      <c r="G141" t="s">
        <v>62</v>
      </c>
      <c r="H141" t="s">
        <v>64</v>
      </c>
      <c r="I141">
        <v>1563</v>
      </c>
    </row>
    <row r="142" spans="1:9" x14ac:dyDescent="0.35">
      <c r="A142" t="s">
        <v>61</v>
      </c>
      <c r="B142">
        <v>107826193</v>
      </c>
      <c r="C142" t="s">
        <v>538</v>
      </c>
      <c r="D142" t="s">
        <v>60</v>
      </c>
      <c r="E142" t="s">
        <v>58</v>
      </c>
      <c r="F142">
        <v>411</v>
      </c>
      <c r="G142" t="s">
        <v>68</v>
      </c>
      <c r="H142" t="s">
        <v>67</v>
      </c>
      <c r="I142">
        <v>411</v>
      </c>
    </row>
    <row r="143" spans="1:9" x14ac:dyDescent="0.35">
      <c r="A143" t="s">
        <v>61</v>
      </c>
      <c r="B143">
        <v>107741579</v>
      </c>
      <c r="C143" t="s">
        <v>95</v>
      </c>
      <c r="D143" t="s">
        <v>60</v>
      </c>
      <c r="E143" t="s">
        <v>70</v>
      </c>
      <c r="F143">
        <v>497</v>
      </c>
      <c r="G143" t="s">
        <v>62</v>
      </c>
      <c r="H143" t="s">
        <v>67</v>
      </c>
      <c r="I143">
        <v>1716</v>
      </c>
    </row>
    <row r="144" spans="1:9" x14ac:dyDescent="0.35">
      <c r="A144" t="s">
        <v>61</v>
      </c>
      <c r="B144">
        <v>107741579</v>
      </c>
      <c r="C144" t="s">
        <v>95</v>
      </c>
      <c r="D144" t="s">
        <v>60</v>
      </c>
      <c r="E144" t="s">
        <v>70</v>
      </c>
      <c r="F144">
        <v>497</v>
      </c>
      <c r="G144" t="s">
        <v>68</v>
      </c>
      <c r="H144" t="s">
        <v>67</v>
      </c>
      <c r="I144">
        <v>497</v>
      </c>
    </row>
    <row r="145" spans="1:9" x14ac:dyDescent="0.35">
      <c r="A145" t="s">
        <v>61</v>
      </c>
      <c r="B145">
        <v>101446428</v>
      </c>
      <c r="C145" t="s">
        <v>73</v>
      </c>
      <c r="D145" t="s">
        <v>60</v>
      </c>
      <c r="E145" t="s">
        <v>58</v>
      </c>
      <c r="F145">
        <v>397</v>
      </c>
      <c r="G145" t="s">
        <v>62</v>
      </c>
      <c r="H145" t="s">
        <v>67</v>
      </c>
      <c r="I145">
        <v>3672</v>
      </c>
    </row>
    <row r="146" spans="1:9" x14ac:dyDescent="0.35">
      <c r="A146" t="s">
        <v>61</v>
      </c>
      <c r="B146">
        <v>101446428</v>
      </c>
      <c r="C146" t="s">
        <v>73</v>
      </c>
      <c r="D146" t="s">
        <v>60</v>
      </c>
      <c r="E146" t="s">
        <v>58</v>
      </c>
      <c r="F146">
        <v>397</v>
      </c>
      <c r="G146" t="s">
        <v>62</v>
      </c>
      <c r="H146" t="s">
        <v>63</v>
      </c>
      <c r="I146">
        <v>1163</v>
      </c>
    </row>
    <row r="147" spans="1:9" x14ac:dyDescent="0.35">
      <c r="A147" t="s">
        <v>61</v>
      </c>
      <c r="B147">
        <v>101446428</v>
      </c>
      <c r="C147" t="s">
        <v>73</v>
      </c>
      <c r="D147" t="s">
        <v>60</v>
      </c>
      <c r="E147" t="s">
        <v>58</v>
      </c>
      <c r="F147">
        <v>397</v>
      </c>
      <c r="G147" t="s">
        <v>62</v>
      </c>
      <c r="H147" t="s">
        <v>64</v>
      </c>
      <c r="I147">
        <v>2489</v>
      </c>
    </row>
    <row r="148" spans="1:9" x14ac:dyDescent="0.35">
      <c r="A148" t="s">
        <v>61</v>
      </c>
      <c r="B148">
        <v>101446428</v>
      </c>
      <c r="C148" t="s">
        <v>73</v>
      </c>
      <c r="D148" t="s">
        <v>60</v>
      </c>
      <c r="E148" t="s">
        <v>58</v>
      </c>
      <c r="F148">
        <v>397</v>
      </c>
      <c r="G148" t="s">
        <v>62</v>
      </c>
      <c r="H148" t="s">
        <v>65</v>
      </c>
      <c r="I148">
        <v>20</v>
      </c>
    </row>
    <row r="149" spans="1:9" x14ac:dyDescent="0.35">
      <c r="A149" t="s">
        <v>61</v>
      </c>
      <c r="B149">
        <v>101446428</v>
      </c>
      <c r="C149" t="s">
        <v>73</v>
      </c>
      <c r="D149" t="s">
        <v>60</v>
      </c>
      <c r="E149" t="s">
        <v>58</v>
      </c>
      <c r="F149">
        <v>397</v>
      </c>
      <c r="G149" t="s">
        <v>68</v>
      </c>
      <c r="H149" t="s">
        <v>67</v>
      </c>
      <c r="I149">
        <v>397</v>
      </c>
    </row>
    <row r="150" spans="1:9" x14ac:dyDescent="0.35">
      <c r="A150" t="s">
        <v>61</v>
      </c>
      <c r="B150">
        <v>107221213</v>
      </c>
      <c r="C150" t="s">
        <v>85</v>
      </c>
      <c r="D150" t="s">
        <v>60</v>
      </c>
      <c r="E150" t="s">
        <v>70</v>
      </c>
      <c r="F150">
        <v>343</v>
      </c>
      <c r="G150" t="s">
        <v>62</v>
      </c>
      <c r="H150" t="s">
        <v>67</v>
      </c>
      <c r="I150">
        <v>3093</v>
      </c>
    </row>
    <row r="151" spans="1:9" x14ac:dyDescent="0.35">
      <c r="A151" t="s">
        <v>61</v>
      </c>
      <c r="B151">
        <v>107221213</v>
      </c>
      <c r="C151" t="s">
        <v>85</v>
      </c>
      <c r="D151" t="s">
        <v>60</v>
      </c>
      <c r="E151" t="s">
        <v>70</v>
      </c>
      <c r="F151">
        <v>343</v>
      </c>
      <c r="G151" t="s">
        <v>62</v>
      </c>
      <c r="H151" t="s">
        <v>63</v>
      </c>
      <c r="I151">
        <v>822</v>
      </c>
    </row>
    <row r="152" spans="1:9" x14ac:dyDescent="0.35">
      <c r="A152" t="s">
        <v>61</v>
      </c>
      <c r="B152">
        <v>107221213</v>
      </c>
      <c r="C152" t="s">
        <v>85</v>
      </c>
      <c r="D152" t="s">
        <v>60</v>
      </c>
      <c r="E152" t="s">
        <v>70</v>
      </c>
      <c r="F152">
        <v>343</v>
      </c>
      <c r="G152" t="s">
        <v>62</v>
      </c>
      <c r="H152" t="s">
        <v>64</v>
      </c>
      <c r="I152">
        <v>2253</v>
      </c>
    </row>
    <row r="153" spans="1:9" x14ac:dyDescent="0.35">
      <c r="A153" t="s">
        <v>61</v>
      </c>
      <c r="B153">
        <v>107221213</v>
      </c>
      <c r="C153" t="s">
        <v>85</v>
      </c>
      <c r="D153" t="s">
        <v>60</v>
      </c>
      <c r="E153" t="s">
        <v>70</v>
      </c>
      <c r="F153">
        <v>343</v>
      </c>
      <c r="G153" t="s">
        <v>62</v>
      </c>
      <c r="H153" t="s">
        <v>65</v>
      </c>
      <c r="I153">
        <v>18</v>
      </c>
    </row>
    <row r="154" spans="1:9" x14ac:dyDescent="0.35">
      <c r="A154" t="s">
        <v>61</v>
      </c>
      <c r="B154">
        <v>107221213</v>
      </c>
      <c r="C154" t="s">
        <v>85</v>
      </c>
      <c r="D154" t="s">
        <v>60</v>
      </c>
      <c r="E154" t="s">
        <v>70</v>
      </c>
      <c r="F154">
        <v>343</v>
      </c>
      <c r="G154" t="s">
        <v>68</v>
      </c>
      <c r="H154" t="s">
        <v>67</v>
      </c>
      <c r="I154">
        <v>343</v>
      </c>
    </row>
    <row r="155" spans="1:9" x14ac:dyDescent="0.35">
      <c r="A155" t="s">
        <v>61</v>
      </c>
      <c r="B155">
        <v>100633196</v>
      </c>
      <c r="C155" t="s">
        <v>59</v>
      </c>
      <c r="D155" t="s">
        <v>60</v>
      </c>
      <c r="E155" t="s">
        <v>58</v>
      </c>
      <c r="F155">
        <v>317</v>
      </c>
      <c r="G155" t="s">
        <v>62</v>
      </c>
      <c r="H155" t="s">
        <v>67</v>
      </c>
      <c r="I155">
        <v>1363</v>
      </c>
    </row>
    <row r="156" spans="1:9" x14ac:dyDescent="0.35">
      <c r="A156" t="s">
        <v>61</v>
      </c>
      <c r="B156">
        <v>100633196</v>
      </c>
      <c r="C156" t="s">
        <v>59</v>
      </c>
      <c r="D156" t="s">
        <v>60</v>
      </c>
      <c r="E156" t="s">
        <v>58</v>
      </c>
      <c r="F156">
        <v>317</v>
      </c>
      <c r="G156" t="s">
        <v>62</v>
      </c>
      <c r="H156" t="s">
        <v>63</v>
      </c>
      <c r="I156">
        <v>76</v>
      </c>
    </row>
    <row r="157" spans="1:9" x14ac:dyDescent="0.35">
      <c r="A157" t="s">
        <v>61</v>
      </c>
      <c r="B157">
        <v>100633196</v>
      </c>
      <c r="C157" t="s">
        <v>59</v>
      </c>
      <c r="D157" t="s">
        <v>60</v>
      </c>
      <c r="E157" t="s">
        <v>58</v>
      </c>
      <c r="F157">
        <v>317</v>
      </c>
      <c r="G157" t="s">
        <v>62</v>
      </c>
      <c r="H157" t="s">
        <v>64</v>
      </c>
      <c r="I157">
        <v>1287</v>
      </c>
    </row>
    <row r="158" spans="1:9" x14ac:dyDescent="0.35">
      <c r="A158" t="s">
        <v>61</v>
      </c>
      <c r="B158">
        <v>100633196</v>
      </c>
      <c r="C158" t="s">
        <v>59</v>
      </c>
      <c r="D158" t="s">
        <v>60</v>
      </c>
      <c r="E158" t="s">
        <v>58</v>
      </c>
      <c r="F158">
        <v>317</v>
      </c>
      <c r="G158" t="s">
        <v>68</v>
      </c>
      <c r="H158" t="s">
        <v>67</v>
      </c>
      <c r="I158">
        <v>317</v>
      </c>
    </row>
    <row r="159" spans="1:9" x14ac:dyDescent="0.35">
      <c r="A159" t="s">
        <v>61</v>
      </c>
      <c r="B159">
        <v>107589455</v>
      </c>
      <c r="C159" t="s">
        <v>570</v>
      </c>
      <c r="D159" t="s">
        <v>72</v>
      </c>
      <c r="E159" t="s">
        <v>70</v>
      </c>
      <c r="F159">
        <v>147</v>
      </c>
      <c r="G159" t="s">
        <v>62</v>
      </c>
      <c r="H159" t="s">
        <v>67</v>
      </c>
      <c r="I159">
        <v>770</v>
      </c>
    </row>
    <row r="160" spans="1:9" x14ac:dyDescent="0.35">
      <c r="A160" t="s">
        <v>61</v>
      </c>
      <c r="B160">
        <v>107589455</v>
      </c>
      <c r="C160" t="s">
        <v>570</v>
      </c>
      <c r="D160" t="s">
        <v>72</v>
      </c>
      <c r="E160" t="s">
        <v>70</v>
      </c>
      <c r="F160">
        <v>147</v>
      </c>
      <c r="G160" t="s">
        <v>62</v>
      </c>
      <c r="H160" t="s">
        <v>63</v>
      </c>
      <c r="I160">
        <v>100</v>
      </c>
    </row>
    <row r="161" spans="1:9" x14ac:dyDescent="0.35">
      <c r="A161" t="s">
        <v>61</v>
      </c>
      <c r="B161">
        <v>107589455</v>
      </c>
      <c r="C161" t="s">
        <v>570</v>
      </c>
      <c r="D161" t="s">
        <v>72</v>
      </c>
      <c r="E161" t="s">
        <v>70</v>
      </c>
      <c r="F161">
        <v>147</v>
      </c>
      <c r="G161" t="s">
        <v>62</v>
      </c>
      <c r="H161" t="s">
        <v>64</v>
      </c>
      <c r="I161">
        <v>670</v>
      </c>
    </row>
    <row r="162" spans="1:9" x14ac:dyDescent="0.35">
      <c r="A162" t="s">
        <v>61</v>
      </c>
      <c r="B162">
        <v>107589455</v>
      </c>
      <c r="C162" t="s">
        <v>570</v>
      </c>
      <c r="D162" t="s">
        <v>72</v>
      </c>
      <c r="E162" t="s">
        <v>70</v>
      </c>
      <c r="F162">
        <v>147</v>
      </c>
      <c r="G162" t="s">
        <v>68</v>
      </c>
      <c r="H162" t="s">
        <v>67</v>
      </c>
      <c r="I162">
        <v>147</v>
      </c>
    </row>
    <row r="163" spans="1:9" x14ac:dyDescent="0.35">
      <c r="A163" t="s">
        <v>61</v>
      </c>
      <c r="B163">
        <v>107748062</v>
      </c>
      <c r="C163" t="s">
        <v>537</v>
      </c>
      <c r="D163" t="s">
        <v>78</v>
      </c>
      <c r="E163" t="s">
        <v>70</v>
      </c>
      <c r="F163">
        <v>94</v>
      </c>
      <c r="G163" t="s">
        <v>62</v>
      </c>
      <c r="H163" t="s">
        <v>67</v>
      </c>
      <c r="I163">
        <v>760</v>
      </c>
    </row>
    <row r="164" spans="1:9" x14ac:dyDescent="0.35">
      <c r="A164" t="s">
        <v>61</v>
      </c>
      <c r="B164">
        <v>107748062</v>
      </c>
      <c r="C164" t="s">
        <v>537</v>
      </c>
      <c r="D164" t="s">
        <v>78</v>
      </c>
      <c r="E164" t="s">
        <v>70</v>
      </c>
      <c r="F164">
        <v>94</v>
      </c>
      <c r="G164" t="s">
        <v>62</v>
      </c>
      <c r="H164" t="s">
        <v>63</v>
      </c>
      <c r="I164">
        <v>247</v>
      </c>
    </row>
    <row r="165" spans="1:9" x14ac:dyDescent="0.35">
      <c r="A165" t="s">
        <v>61</v>
      </c>
      <c r="B165">
        <v>107748062</v>
      </c>
      <c r="C165" t="s">
        <v>537</v>
      </c>
      <c r="D165" t="s">
        <v>78</v>
      </c>
      <c r="E165" t="s">
        <v>70</v>
      </c>
      <c r="F165">
        <v>94</v>
      </c>
      <c r="G165" t="s">
        <v>62</v>
      </c>
      <c r="H165" t="s">
        <v>64</v>
      </c>
      <c r="I165">
        <v>512</v>
      </c>
    </row>
    <row r="166" spans="1:9" x14ac:dyDescent="0.35">
      <c r="A166" t="s">
        <v>61</v>
      </c>
      <c r="B166">
        <v>107748062</v>
      </c>
      <c r="C166" t="s">
        <v>537</v>
      </c>
      <c r="D166" t="s">
        <v>78</v>
      </c>
      <c r="E166" t="s">
        <v>70</v>
      </c>
      <c r="F166">
        <v>94</v>
      </c>
      <c r="G166" t="s">
        <v>62</v>
      </c>
      <c r="H166" t="s">
        <v>65</v>
      </c>
      <c r="I166">
        <v>1</v>
      </c>
    </row>
    <row r="167" spans="1:9" x14ac:dyDescent="0.35">
      <c r="A167" t="s">
        <v>61</v>
      </c>
      <c r="B167">
        <v>107748062</v>
      </c>
      <c r="C167" t="s">
        <v>537</v>
      </c>
      <c r="D167" t="s">
        <v>78</v>
      </c>
      <c r="E167" t="s">
        <v>70</v>
      </c>
      <c r="F167">
        <v>94</v>
      </c>
      <c r="G167" t="s">
        <v>68</v>
      </c>
      <c r="H167" t="s">
        <v>67</v>
      </c>
      <c r="I167">
        <v>94</v>
      </c>
    </row>
    <row r="168" spans="1:9" x14ac:dyDescent="0.35">
      <c r="A168" t="s">
        <v>61</v>
      </c>
      <c r="B168">
        <v>106616226</v>
      </c>
      <c r="C168" t="s">
        <v>551</v>
      </c>
      <c r="D168" t="s">
        <v>72</v>
      </c>
      <c r="E168" t="s">
        <v>70</v>
      </c>
      <c r="F168">
        <v>471</v>
      </c>
      <c r="G168" t="s">
        <v>62</v>
      </c>
      <c r="H168" t="s">
        <v>67</v>
      </c>
      <c r="I168">
        <v>2080</v>
      </c>
    </row>
    <row r="169" spans="1:9" x14ac:dyDescent="0.35">
      <c r="A169" t="s">
        <v>61</v>
      </c>
      <c r="B169">
        <v>106616226</v>
      </c>
      <c r="C169" t="s">
        <v>551</v>
      </c>
      <c r="D169" t="s">
        <v>72</v>
      </c>
      <c r="E169" t="s">
        <v>70</v>
      </c>
      <c r="F169">
        <v>471</v>
      </c>
      <c r="G169" t="s">
        <v>62</v>
      </c>
      <c r="H169" t="s">
        <v>63</v>
      </c>
      <c r="I169">
        <v>294</v>
      </c>
    </row>
    <row r="170" spans="1:9" x14ac:dyDescent="0.35">
      <c r="A170" t="s">
        <v>61</v>
      </c>
      <c r="B170">
        <v>106616226</v>
      </c>
      <c r="C170" t="s">
        <v>551</v>
      </c>
      <c r="D170" t="s">
        <v>72</v>
      </c>
      <c r="E170" t="s">
        <v>70</v>
      </c>
      <c r="F170">
        <v>471</v>
      </c>
      <c r="G170" t="s">
        <v>62</v>
      </c>
      <c r="H170" t="s">
        <v>64</v>
      </c>
      <c r="I170">
        <v>1786</v>
      </c>
    </row>
    <row r="171" spans="1:9" x14ac:dyDescent="0.35">
      <c r="A171" t="s">
        <v>61</v>
      </c>
      <c r="B171">
        <v>106616226</v>
      </c>
      <c r="C171" t="s">
        <v>551</v>
      </c>
      <c r="D171" t="s">
        <v>72</v>
      </c>
      <c r="E171" t="s">
        <v>70</v>
      </c>
      <c r="F171">
        <v>471</v>
      </c>
      <c r="G171" t="s">
        <v>68</v>
      </c>
      <c r="H171" t="s">
        <v>67</v>
      </c>
      <c r="I171">
        <v>471</v>
      </c>
    </row>
    <row r="172" spans="1:9" x14ac:dyDescent="0.35">
      <c r="A172" t="s">
        <v>61</v>
      </c>
      <c r="B172">
        <v>105469039</v>
      </c>
      <c r="C172" t="s">
        <v>675</v>
      </c>
      <c r="D172" t="s">
        <v>78</v>
      </c>
      <c r="E172" t="s">
        <v>70</v>
      </c>
      <c r="F172">
        <v>26</v>
      </c>
      <c r="G172" t="s">
        <v>62</v>
      </c>
      <c r="H172" t="s">
        <v>67</v>
      </c>
      <c r="I172">
        <v>253</v>
      </c>
    </row>
    <row r="173" spans="1:9" x14ac:dyDescent="0.35">
      <c r="A173" t="s">
        <v>61</v>
      </c>
      <c r="B173">
        <v>105469039</v>
      </c>
      <c r="C173" t="s">
        <v>675</v>
      </c>
      <c r="D173" t="s">
        <v>78</v>
      </c>
      <c r="E173" t="s">
        <v>70</v>
      </c>
      <c r="F173">
        <v>26</v>
      </c>
      <c r="G173" t="s">
        <v>62</v>
      </c>
      <c r="H173" t="s">
        <v>63</v>
      </c>
      <c r="I173">
        <v>65</v>
      </c>
    </row>
    <row r="174" spans="1:9" x14ac:dyDescent="0.35">
      <c r="A174" t="s">
        <v>61</v>
      </c>
      <c r="B174">
        <v>105469039</v>
      </c>
      <c r="C174" t="s">
        <v>675</v>
      </c>
      <c r="D174" t="s">
        <v>78</v>
      </c>
      <c r="E174" t="s">
        <v>70</v>
      </c>
      <c r="F174">
        <v>26</v>
      </c>
      <c r="G174" t="s">
        <v>62</v>
      </c>
      <c r="H174" t="s">
        <v>64</v>
      </c>
      <c r="I174">
        <v>187</v>
      </c>
    </row>
    <row r="175" spans="1:9" x14ac:dyDescent="0.35">
      <c r="A175" t="s">
        <v>61</v>
      </c>
      <c r="B175">
        <v>105469039</v>
      </c>
      <c r="C175" t="s">
        <v>675</v>
      </c>
      <c r="D175" t="s">
        <v>78</v>
      </c>
      <c r="E175" t="s">
        <v>70</v>
      </c>
      <c r="F175">
        <v>26</v>
      </c>
      <c r="G175" t="s">
        <v>62</v>
      </c>
      <c r="H175" t="s">
        <v>65</v>
      </c>
      <c r="I175">
        <v>1</v>
      </c>
    </row>
    <row r="176" spans="1:9" x14ac:dyDescent="0.35">
      <c r="A176" t="s">
        <v>61</v>
      </c>
      <c r="B176">
        <v>105469039</v>
      </c>
      <c r="C176" t="s">
        <v>675</v>
      </c>
      <c r="D176" t="s">
        <v>78</v>
      </c>
      <c r="E176" t="s">
        <v>70</v>
      </c>
      <c r="F176">
        <v>26</v>
      </c>
      <c r="G176" t="s">
        <v>68</v>
      </c>
      <c r="H176" t="s">
        <v>67</v>
      </c>
      <c r="I176">
        <v>26</v>
      </c>
    </row>
    <row r="177" spans="1:9" x14ac:dyDescent="0.35">
      <c r="A177" t="s">
        <v>61</v>
      </c>
      <c r="B177">
        <v>107826262</v>
      </c>
      <c r="C177" t="s">
        <v>541</v>
      </c>
      <c r="D177" t="s">
        <v>60</v>
      </c>
      <c r="E177" t="s">
        <v>70</v>
      </c>
      <c r="F177">
        <v>78</v>
      </c>
      <c r="G177" t="s">
        <v>62</v>
      </c>
      <c r="H177" t="s">
        <v>67</v>
      </c>
      <c r="I177">
        <v>1481</v>
      </c>
    </row>
    <row r="178" spans="1:9" x14ac:dyDescent="0.35">
      <c r="A178" t="s">
        <v>61</v>
      </c>
      <c r="B178">
        <v>107826262</v>
      </c>
      <c r="C178" t="s">
        <v>541</v>
      </c>
      <c r="D178" t="s">
        <v>60</v>
      </c>
      <c r="E178" t="s">
        <v>70</v>
      </c>
      <c r="F178">
        <v>78</v>
      </c>
      <c r="G178" t="s">
        <v>62</v>
      </c>
      <c r="H178" t="s">
        <v>63</v>
      </c>
      <c r="I178">
        <v>967</v>
      </c>
    </row>
    <row r="179" spans="1:9" x14ac:dyDescent="0.35">
      <c r="A179" t="s">
        <v>61</v>
      </c>
      <c r="B179">
        <v>107826262</v>
      </c>
      <c r="C179" t="s">
        <v>541</v>
      </c>
      <c r="D179" t="s">
        <v>60</v>
      </c>
      <c r="E179" t="s">
        <v>70</v>
      </c>
      <c r="F179">
        <v>78</v>
      </c>
      <c r="G179" t="s">
        <v>62</v>
      </c>
      <c r="H179" t="s">
        <v>64</v>
      </c>
      <c r="I179">
        <v>514</v>
      </c>
    </row>
    <row r="180" spans="1:9" x14ac:dyDescent="0.35">
      <c r="A180" t="s">
        <v>61</v>
      </c>
      <c r="B180">
        <v>107826262</v>
      </c>
      <c r="C180" t="s">
        <v>541</v>
      </c>
      <c r="D180" t="s">
        <v>60</v>
      </c>
      <c r="E180" t="s">
        <v>70</v>
      </c>
      <c r="F180">
        <v>78</v>
      </c>
      <c r="G180" t="s">
        <v>68</v>
      </c>
      <c r="H180" t="s">
        <v>67</v>
      </c>
      <c r="I180">
        <v>78</v>
      </c>
    </row>
    <row r="181" spans="1:9" x14ac:dyDescent="0.35">
      <c r="A181" t="s">
        <v>61</v>
      </c>
      <c r="B181">
        <v>106488400</v>
      </c>
      <c r="C181" t="s">
        <v>549</v>
      </c>
      <c r="D181" t="s">
        <v>60</v>
      </c>
      <c r="E181" t="s">
        <v>70</v>
      </c>
      <c r="F181">
        <v>2</v>
      </c>
      <c r="G181" t="s">
        <v>62</v>
      </c>
      <c r="H181" t="s">
        <v>67</v>
      </c>
      <c r="I181">
        <v>4683</v>
      </c>
    </row>
    <row r="182" spans="1:9" x14ac:dyDescent="0.35">
      <c r="A182" t="s">
        <v>61</v>
      </c>
      <c r="B182">
        <v>106488400</v>
      </c>
      <c r="C182" t="s">
        <v>549</v>
      </c>
      <c r="D182" t="s">
        <v>60</v>
      </c>
      <c r="E182" t="s">
        <v>70</v>
      </c>
      <c r="F182">
        <v>2</v>
      </c>
      <c r="G182" t="s">
        <v>62</v>
      </c>
      <c r="H182" t="s">
        <v>63</v>
      </c>
      <c r="I182">
        <v>1382</v>
      </c>
    </row>
    <row r="183" spans="1:9" x14ac:dyDescent="0.35">
      <c r="A183" t="s">
        <v>61</v>
      </c>
      <c r="B183">
        <v>106488400</v>
      </c>
      <c r="C183" t="s">
        <v>549</v>
      </c>
      <c r="D183" t="s">
        <v>60</v>
      </c>
      <c r="E183" t="s">
        <v>70</v>
      </c>
      <c r="F183">
        <v>2</v>
      </c>
      <c r="G183" t="s">
        <v>62</v>
      </c>
      <c r="H183" t="s">
        <v>64</v>
      </c>
      <c r="I183">
        <v>3301</v>
      </c>
    </row>
    <row r="184" spans="1:9" x14ac:dyDescent="0.35">
      <c r="A184" t="s">
        <v>61</v>
      </c>
      <c r="B184">
        <v>106488400</v>
      </c>
      <c r="C184" t="s">
        <v>549</v>
      </c>
      <c r="D184" t="s">
        <v>60</v>
      </c>
      <c r="E184" t="s">
        <v>70</v>
      </c>
      <c r="F184">
        <v>2</v>
      </c>
      <c r="G184" t="s">
        <v>68</v>
      </c>
      <c r="H184" t="s">
        <v>67</v>
      </c>
      <c r="I184">
        <v>417</v>
      </c>
    </row>
    <row r="185" spans="1:9" x14ac:dyDescent="0.35">
      <c r="A185" t="s">
        <v>61</v>
      </c>
      <c r="B185">
        <v>106488400</v>
      </c>
      <c r="C185" t="s">
        <v>549</v>
      </c>
      <c r="D185" t="s">
        <v>60</v>
      </c>
      <c r="E185" t="s">
        <v>70</v>
      </c>
      <c r="F185">
        <v>2</v>
      </c>
      <c r="G185" t="s">
        <v>69</v>
      </c>
      <c r="H185" t="s">
        <v>67</v>
      </c>
      <c r="I185">
        <v>2</v>
      </c>
    </row>
    <row r="186" spans="1:9" x14ac:dyDescent="0.35">
      <c r="A186" t="s">
        <v>61</v>
      </c>
      <c r="B186">
        <v>107819512</v>
      </c>
      <c r="C186" t="s">
        <v>101</v>
      </c>
      <c r="D186" t="s">
        <v>60</v>
      </c>
      <c r="E186" t="s">
        <v>58</v>
      </c>
      <c r="F186">
        <v>201</v>
      </c>
      <c r="G186" t="s">
        <v>62</v>
      </c>
      <c r="H186" t="s">
        <v>67</v>
      </c>
      <c r="I186">
        <v>2890</v>
      </c>
    </row>
    <row r="187" spans="1:9" x14ac:dyDescent="0.35">
      <c r="A187" t="s">
        <v>61</v>
      </c>
      <c r="B187">
        <v>107819512</v>
      </c>
      <c r="C187" t="s">
        <v>101</v>
      </c>
      <c r="D187" t="s">
        <v>60</v>
      </c>
      <c r="E187" t="s">
        <v>58</v>
      </c>
      <c r="F187">
        <v>201</v>
      </c>
      <c r="G187" t="s">
        <v>62</v>
      </c>
      <c r="H187" t="s">
        <v>63</v>
      </c>
      <c r="I187">
        <v>1591</v>
      </c>
    </row>
    <row r="188" spans="1:9" x14ac:dyDescent="0.35">
      <c r="A188" t="s">
        <v>61</v>
      </c>
      <c r="B188">
        <v>107819512</v>
      </c>
      <c r="C188" t="s">
        <v>101</v>
      </c>
      <c r="D188" t="s">
        <v>60</v>
      </c>
      <c r="E188" t="s">
        <v>58</v>
      </c>
      <c r="F188">
        <v>201</v>
      </c>
      <c r="G188" t="s">
        <v>62</v>
      </c>
      <c r="H188" t="s">
        <v>64</v>
      </c>
      <c r="I188">
        <v>1299</v>
      </c>
    </row>
    <row r="189" spans="1:9" x14ac:dyDescent="0.35">
      <c r="A189" t="s">
        <v>61</v>
      </c>
      <c r="B189">
        <v>107819512</v>
      </c>
      <c r="C189" t="s">
        <v>101</v>
      </c>
      <c r="D189" t="s">
        <v>60</v>
      </c>
      <c r="E189" t="s">
        <v>58</v>
      </c>
      <c r="F189">
        <v>201</v>
      </c>
      <c r="G189" t="s">
        <v>68</v>
      </c>
      <c r="H189" t="s">
        <v>67</v>
      </c>
      <c r="I189">
        <v>201</v>
      </c>
    </row>
    <row r="190" spans="1:9" x14ac:dyDescent="0.35">
      <c r="A190" t="s">
        <v>61</v>
      </c>
      <c r="B190">
        <v>107463281</v>
      </c>
      <c r="C190" t="s">
        <v>91</v>
      </c>
      <c r="D190" t="s">
        <v>60</v>
      </c>
      <c r="E190" t="s">
        <v>70</v>
      </c>
      <c r="F190">
        <v>371</v>
      </c>
      <c r="G190" t="s">
        <v>62</v>
      </c>
      <c r="H190" t="s">
        <v>67</v>
      </c>
      <c r="I190">
        <v>2828</v>
      </c>
    </row>
    <row r="191" spans="1:9" x14ac:dyDescent="0.35">
      <c r="A191" t="s">
        <v>61</v>
      </c>
      <c r="B191">
        <v>107463281</v>
      </c>
      <c r="C191" t="s">
        <v>91</v>
      </c>
      <c r="D191" t="s">
        <v>60</v>
      </c>
      <c r="E191" t="s">
        <v>70</v>
      </c>
      <c r="F191">
        <v>371</v>
      </c>
      <c r="G191" t="s">
        <v>62</v>
      </c>
      <c r="H191" t="s">
        <v>63</v>
      </c>
      <c r="I191">
        <v>598</v>
      </c>
    </row>
    <row r="192" spans="1:9" x14ac:dyDescent="0.35">
      <c r="A192" t="s">
        <v>61</v>
      </c>
      <c r="B192">
        <v>107463281</v>
      </c>
      <c r="C192" t="s">
        <v>91</v>
      </c>
      <c r="D192" t="s">
        <v>60</v>
      </c>
      <c r="E192" t="s">
        <v>70</v>
      </c>
      <c r="F192">
        <v>371</v>
      </c>
      <c r="G192" t="s">
        <v>62</v>
      </c>
      <c r="H192" t="s">
        <v>64</v>
      </c>
      <c r="I192">
        <v>2230</v>
      </c>
    </row>
    <row r="193" spans="1:9" x14ac:dyDescent="0.35">
      <c r="A193" t="s">
        <v>61</v>
      </c>
      <c r="B193">
        <v>107463281</v>
      </c>
      <c r="C193" t="s">
        <v>91</v>
      </c>
      <c r="D193" t="s">
        <v>60</v>
      </c>
      <c r="E193" t="s">
        <v>70</v>
      </c>
      <c r="F193">
        <v>371</v>
      </c>
      <c r="G193" t="s">
        <v>68</v>
      </c>
      <c r="H193" t="s">
        <v>67</v>
      </c>
      <c r="I193">
        <v>371</v>
      </c>
    </row>
    <row r="194" spans="1:9" x14ac:dyDescent="0.35">
      <c r="A194" t="s">
        <v>61</v>
      </c>
      <c r="B194">
        <v>107907404</v>
      </c>
      <c r="C194" t="s">
        <v>674</v>
      </c>
      <c r="D194" t="s">
        <v>60</v>
      </c>
      <c r="E194" t="s">
        <v>58</v>
      </c>
      <c r="F194">
        <v>167</v>
      </c>
      <c r="G194" t="s">
        <v>62</v>
      </c>
      <c r="H194" t="s">
        <v>67</v>
      </c>
      <c r="I194">
        <v>825</v>
      </c>
    </row>
    <row r="195" spans="1:9" x14ac:dyDescent="0.35">
      <c r="A195" t="s">
        <v>61</v>
      </c>
      <c r="B195">
        <v>107907404</v>
      </c>
      <c r="C195" t="s">
        <v>674</v>
      </c>
      <c r="D195" t="s">
        <v>60</v>
      </c>
      <c r="E195" t="s">
        <v>58</v>
      </c>
      <c r="F195">
        <v>167</v>
      </c>
      <c r="G195" t="s">
        <v>62</v>
      </c>
      <c r="H195" t="s">
        <v>63</v>
      </c>
      <c r="I195">
        <v>96</v>
      </c>
    </row>
    <row r="196" spans="1:9" x14ac:dyDescent="0.35">
      <c r="A196" t="s">
        <v>61</v>
      </c>
      <c r="B196">
        <v>107907404</v>
      </c>
      <c r="C196" t="s">
        <v>674</v>
      </c>
      <c r="D196" t="s">
        <v>60</v>
      </c>
      <c r="E196" t="s">
        <v>58</v>
      </c>
      <c r="F196">
        <v>167</v>
      </c>
      <c r="G196" t="s">
        <v>62</v>
      </c>
      <c r="H196" t="s">
        <v>64</v>
      </c>
      <c r="I196">
        <v>729</v>
      </c>
    </row>
    <row r="197" spans="1:9" x14ac:dyDescent="0.35">
      <c r="A197" t="s">
        <v>61</v>
      </c>
      <c r="B197">
        <v>107907404</v>
      </c>
      <c r="C197" t="s">
        <v>674</v>
      </c>
      <c r="D197" t="s">
        <v>60</v>
      </c>
      <c r="E197" t="s">
        <v>58</v>
      </c>
      <c r="F197">
        <v>167</v>
      </c>
      <c r="G197" t="s">
        <v>68</v>
      </c>
      <c r="H197" t="s">
        <v>67</v>
      </c>
      <c r="I197">
        <v>167</v>
      </c>
    </row>
    <row r="198" spans="1:9" x14ac:dyDescent="0.35">
      <c r="A198" t="s">
        <v>61</v>
      </c>
      <c r="B198">
        <v>107284888</v>
      </c>
      <c r="C198" t="s">
        <v>535</v>
      </c>
      <c r="D198" t="s">
        <v>78</v>
      </c>
      <c r="E198" t="s">
        <v>70</v>
      </c>
      <c r="F198">
        <v>30</v>
      </c>
      <c r="G198" t="s">
        <v>62</v>
      </c>
      <c r="H198" t="s">
        <v>67</v>
      </c>
      <c r="I198">
        <v>153</v>
      </c>
    </row>
    <row r="199" spans="1:9" x14ac:dyDescent="0.35">
      <c r="A199" t="s">
        <v>61</v>
      </c>
      <c r="B199">
        <v>107284888</v>
      </c>
      <c r="C199" t="s">
        <v>535</v>
      </c>
      <c r="D199" t="s">
        <v>78</v>
      </c>
      <c r="E199" t="s">
        <v>70</v>
      </c>
      <c r="F199">
        <v>30</v>
      </c>
      <c r="G199" t="s">
        <v>68</v>
      </c>
      <c r="H199" t="s">
        <v>67</v>
      </c>
      <c r="I199">
        <v>30</v>
      </c>
    </row>
    <row r="200" spans="1:9" x14ac:dyDescent="0.35">
      <c r="A200" t="s">
        <v>37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7" max="7" width="8.72656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52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</row>
    <row r="2" spans="1:19" x14ac:dyDescent="0.35">
      <c r="A2" t="s">
        <v>124</v>
      </c>
      <c r="B2">
        <v>1</v>
      </c>
      <c r="C2" t="s">
        <v>125</v>
      </c>
      <c r="D2" t="s">
        <v>6</v>
      </c>
      <c r="E2" t="s">
        <v>13</v>
      </c>
      <c r="F2" t="s">
        <v>126</v>
      </c>
      <c r="G2" t="s">
        <v>127</v>
      </c>
      <c r="H2">
        <v>80189</v>
      </c>
      <c r="I2">
        <v>23.633333333333301</v>
      </c>
      <c r="J2">
        <v>3393.0465444287702</v>
      </c>
      <c r="K2">
        <v>995.00000399999999</v>
      </c>
      <c r="L2">
        <v>80.591959475007201</v>
      </c>
      <c r="M2">
        <v>56.958626141673797</v>
      </c>
      <c r="N2">
        <v>3.41009701586772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124</v>
      </c>
      <c r="B3">
        <v>2</v>
      </c>
      <c r="C3" t="s">
        <v>128</v>
      </c>
      <c r="D3" t="s">
        <v>129</v>
      </c>
      <c r="E3" t="s">
        <v>13</v>
      </c>
      <c r="F3" t="s">
        <v>126</v>
      </c>
      <c r="G3" t="s">
        <v>62</v>
      </c>
      <c r="H3">
        <v>420</v>
      </c>
      <c r="I3">
        <v>1.05805555555555</v>
      </c>
      <c r="J3">
        <v>396.954581254922</v>
      </c>
      <c r="K3">
        <v>275.00000399999999</v>
      </c>
      <c r="L3">
        <v>1.5272727050578501</v>
      </c>
      <c r="M3">
        <v>0.46921714950229498</v>
      </c>
      <c r="N3">
        <v>1.4434711835674101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124</v>
      </c>
      <c r="B4">
        <v>3</v>
      </c>
      <c r="C4" t="s">
        <v>130</v>
      </c>
      <c r="D4" t="s">
        <v>131</v>
      </c>
      <c r="E4" t="s">
        <v>13</v>
      </c>
      <c r="F4" t="s">
        <v>126</v>
      </c>
      <c r="G4" t="s">
        <v>62</v>
      </c>
      <c r="H4">
        <v>1471</v>
      </c>
      <c r="I4">
        <v>10.0541666666666</v>
      </c>
      <c r="J4">
        <v>146.30750103605399</v>
      </c>
      <c r="K4">
        <v>101.999988</v>
      </c>
      <c r="L4">
        <v>14.4215703241063</v>
      </c>
      <c r="M4">
        <v>4.36740365743964</v>
      </c>
      <c r="N4">
        <v>1.43438743381082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124</v>
      </c>
      <c r="B5">
        <v>4</v>
      </c>
      <c r="C5" t="s">
        <v>132</v>
      </c>
      <c r="D5" t="s">
        <v>133</v>
      </c>
      <c r="E5" t="s">
        <v>13</v>
      </c>
      <c r="F5" t="s">
        <v>126</v>
      </c>
      <c r="G5" t="s">
        <v>62</v>
      </c>
      <c r="H5">
        <v>53</v>
      </c>
      <c r="I5">
        <v>1.4025000000000001</v>
      </c>
      <c r="J5">
        <v>37.789661319072998</v>
      </c>
      <c r="K5">
        <v>52.999991999999999</v>
      </c>
      <c r="L5">
        <v>1.00000015094341</v>
      </c>
      <c r="M5">
        <v>-0.40249984905657998</v>
      </c>
      <c r="N5">
        <v>0.71301258534290102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124</v>
      </c>
      <c r="B6">
        <v>5</v>
      </c>
      <c r="C6" t="s">
        <v>134</v>
      </c>
      <c r="D6" t="s">
        <v>135</v>
      </c>
      <c r="E6" t="s">
        <v>13</v>
      </c>
      <c r="F6" t="s">
        <v>126</v>
      </c>
      <c r="G6" t="s">
        <v>62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124</v>
      </c>
      <c r="B7">
        <v>6</v>
      </c>
      <c r="C7" t="s">
        <v>136</v>
      </c>
      <c r="D7" t="s">
        <v>137</v>
      </c>
      <c r="E7" t="s">
        <v>13</v>
      </c>
      <c r="F7" t="s">
        <v>126</v>
      </c>
      <c r="G7" t="s">
        <v>62</v>
      </c>
      <c r="H7">
        <v>1944</v>
      </c>
      <c r="I7">
        <v>12.514722222222201</v>
      </c>
      <c r="J7">
        <v>155.33704747741501</v>
      </c>
      <c r="K7">
        <v>114.69809351246001</v>
      </c>
      <c r="L7">
        <v>16.948843180107499</v>
      </c>
      <c r="M7">
        <v>4.4341209578853604</v>
      </c>
      <c r="N7">
        <v>1.3543123753887001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124</v>
      </c>
      <c r="B8">
        <v>7</v>
      </c>
      <c r="C8" t="s">
        <v>138</v>
      </c>
      <c r="D8" t="s">
        <v>139</v>
      </c>
      <c r="E8" t="s">
        <v>13</v>
      </c>
      <c r="F8" t="s">
        <v>126</v>
      </c>
      <c r="G8" t="s">
        <v>62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124</v>
      </c>
      <c r="B9">
        <v>8</v>
      </c>
      <c r="C9" t="s">
        <v>140</v>
      </c>
      <c r="D9" t="s">
        <v>141</v>
      </c>
      <c r="E9" t="s">
        <v>13</v>
      </c>
      <c r="F9" t="s">
        <v>126</v>
      </c>
      <c r="G9" t="s">
        <v>62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124</v>
      </c>
      <c r="B10">
        <v>9</v>
      </c>
      <c r="C10" t="s">
        <v>142</v>
      </c>
      <c r="D10" t="s">
        <v>143</v>
      </c>
      <c r="E10" t="s">
        <v>13</v>
      </c>
      <c r="F10" t="s">
        <v>126</v>
      </c>
      <c r="G10" t="s">
        <v>62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124</v>
      </c>
      <c r="B11">
        <v>10</v>
      </c>
      <c r="C11" t="s">
        <v>144</v>
      </c>
      <c r="D11" t="s">
        <v>145</v>
      </c>
      <c r="E11" t="s">
        <v>13</v>
      </c>
      <c r="F11" t="s">
        <v>126</v>
      </c>
      <c r="G11" t="s">
        <v>62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124</v>
      </c>
      <c r="B12">
        <v>11</v>
      </c>
      <c r="C12" t="s">
        <v>146</v>
      </c>
      <c r="D12" t="s">
        <v>147</v>
      </c>
      <c r="E12" t="s">
        <v>13</v>
      </c>
      <c r="F12" t="s">
        <v>126</v>
      </c>
      <c r="G12" t="s">
        <v>62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124</v>
      </c>
      <c r="B13">
        <v>12</v>
      </c>
      <c r="C13" t="s">
        <v>148</v>
      </c>
      <c r="D13" t="s">
        <v>149</v>
      </c>
      <c r="E13" t="s">
        <v>13</v>
      </c>
      <c r="F13" t="s">
        <v>126</v>
      </c>
      <c r="G13" t="s">
        <v>68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124</v>
      </c>
      <c r="B14">
        <v>13</v>
      </c>
      <c r="C14" t="s">
        <v>150</v>
      </c>
      <c r="D14" t="s">
        <v>7</v>
      </c>
      <c r="E14" t="s">
        <v>13</v>
      </c>
      <c r="F14" t="s">
        <v>126</v>
      </c>
      <c r="G14" t="s">
        <v>68</v>
      </c>
      <c r="H14">
        <v>5930</v>
      </c>
      <c r="I14">
        <v>0.18972222222222199</v>
      </c>
      <c r="J14">
        <v>31256.222547584101</v>
      </c>
      <c r="K14">
        <v>524.99998800000003</v>
      </c>
      <c r="L14">
        <v>11.2952383534149</v>
      </c>
      <c r="M14">
        <v>11.105516131192701</v>
      </c>
      <c r="N14">
        <v>59.535663356213597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124</v>
      </c>
      <c r="B15">
        <v>14</v>
      </c>
      <c r="C15" t="s">
        <v>151</v>
      </c>
      <c r="D15" t="s">
        <v>152</v>
      </c>
      <c r="E15" t="s">
        <v>13</v>
      </c>
      <c r="F15" t="s">
        <v>126</v>
      </c>
      <c r="G15" t="s">
        <v>69</v>
      </c>
      <c r="H15">
        <v>24</v>
      </c>
      <c r="I15">
        <v>1.1483333333333301</v>
      </c>
      <c r="J15">
        <v>20.899854862119</v>
      </c>
      <c r="K15">
        <v>11.999988</v>
      </c>
      <c r="L15">
        <v>2.000002000002</v>
      </c>
      <c r="M15">
        <v>0.85166866666866603</v>
      </c>
      <c r="N15">
        <v>1.74165631349956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124</v>
      </c>
      <c r="B16">
        <v>15</v>
      </c>
      <c r="C16" t="s">
        <v>153</v>
      </c>
      <c r="D16" t="s">
        <v>154</v>
      </c>
      <c r="E16" t="s">
        <v>13</v>
      </c>
      <c r="F16" t="s">
        <v>126</v>
      </c>
      <c r="G16" t="s">
        <v>127</v>
      </c>
      <c r="H16">
        <v>80189</v>
      </c>
      <c r="I16">
        <v>40.355555555555497</v>
      </c>
      <c r="J16">
        <v>1987.0622246696</v>
      </c>
      <c r="K16">
        <v>2000.00001599999</v>
      </c>
      <c r="L16">
        <v>40.094499679244002</v>
      </c>
      <c r="M16">
        <v>-0.26105587631155103</v>
      </c>
      <c r="N16">
        <v>0.99353110438655301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124</v>
      </c>
      <c r="B17">
        <v>16</v>
      </c>
      <c r="C17" t="s">
        <v>155</v>
      </c>
      <c r="D17" t="s">
        <v>156</v>
      </c>
      <c r="E17" t="s">
        <v>13</v>
      </c>
      <c r="F17" t="s">
        <v>126</v>
      </c>
      <c r="G17" t="s">
        <v>62</v>
      </c>
      <c r="H17">
        <v>80189</v>
      </c>
      <c r="I17">
        <v>77.841666666666598</v>
      </c>
      <c r="J17">
        <v>1030.1552296328</v>
      </c>
      <c r="K17">
        <v>531.297367464476</v>
      </c>
      <c r="L17">
        <v>150.93054268777499</v>
      </c>
      <c r="M17">
        <v>73.088876021109101</v>
      </c>
      <c r="N17">
        <v>1.9389428457909299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124</v>
      </c>
      <c r="B18">
        <v>17</v>
      </c>
      <c r="C18" t="s">
        <v>157</v>
      </c>
      <c r="D18" t="s">
        <v>158</v>
      </c>
      <c r="E18" t="s">
        <v>13</v>
      </c>
      <c r="F18" t="s">
        <v>159</v>
      </c>
      <c r="G18" t="s">
        <v>68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124</v>
      </c>
      <c r="B19">
        <v>18</v>
      </c>
      <c r="C19" t="s">
        <v>160</v>
      </c>
      <c r="D19" t="s">
        <v>161</v>
      </c>
      <c r="E19" t="s">
        <v>13</v>
      </c>
      <c r="F19" t="s">
        <v>159</v>
      </c>
      <c r="G19" t="s">
        <v>62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124</v>
      </c>
      <c r="B20">
        <v>19</v>
      </c>
      <c r="C20" t="s">
        <v>162</v>
      </c>
      <c r="D20" t="s">
        <v>163</v>
      </c>
      <c r="E20" t="s">
        <v>13</v>
      </c>
      <c r="F20" t="s">
        <v>159</v>
      </c>
      <c r="G20" t="s">
        <v>62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124</v>
      </c>
      <c r="B21">
        <v>20</v>
      </c>
      <c r="C21" t="s">
        <v>164</v>
      </c>
      <c r="D21" t="s">
        <v>165</v>
      </c>
      <c r="E21" t="s">
        <v>13</v>
      </c>
      <c r="F21" t="s">
        <v>159</v>
      </c>
      <c r="G21" t="s">
        <v>62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124</v>
      </c>
      <c r="B22">
        <v>21</v>
      </c>
      <c r="C22" t="s">
        <v>166</v>
      </c>
      <c r="D22" t="s">
        <v>167</v>
      </c>
      <c r="E22" t="s">
        <v>13</v>
      </c>
      <c r="F22" t="s">
        <v>159</v>
      </c>
      <c r="G22" t="s">
        <v>62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124</v>
      </c>
      <c r="B23">
        <v>22</v>
      </c>
      <c r="C23" t="s">
        <v>168</v>
      </c>
      <c r="D23" t="s">
        <v>169</v>
      </c>
      <c r="E23" t="s">
        <v>13</v>
      </c>
      <c r="F23" t="s">
        <v>159</v>
      </c>
      <c r="G23" t="s">
        <v>62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124</v>
      </c>
      <c r="B24">
        <v>23</v>
      </c>
      <c r="C24" t="s">
        <v>170</v>
      </c>
      <c r="D24" t="s">
        <v>171</v>
      </c>
      <c r="E24" t="s">
        <v>13</v>
      </c>
      <c r="F24" t="s">
        <v>159</v>
      </c>
      <c r="G24" t="s">
        <v>68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124</v>
      </c>
      <c r="B25">
        <v>24</v>
      </c>
      <c r="C25" t="s">
        <v>172</v>
      </c>
      <c r="D25" t="s">
        <v>173</v>
      </c>
      <c r="E25" t="s">
        <v>13</v>
      </c>
      <c r="F25" t="s">
        <v>159</v>
      </c>
      <c r="G25" t="s">
        <v>69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124</v>
      </c>
      <c r="B26">
        <v>25</v>
      </c>
      <c r="C26" t="s">
        <v>174</v>
      </c>
      <c r="D26" t="s">
        <v>175</v>
      </c>
      <c r="E26" t="s">
        <v>13</v>
      </c>
      <c r="F26" t="s">
        <v>159</v>
      </c>
      <c r="G26" t="s">
        <v>127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124</v>
      </c>
      <c r="B27">
        <v>26</v>
      </c>
      <c r="C27" t="s">
        <v>176</v>
      </c>
      <c r="D27" t="s">
        <v>177</v>
      </c>
      <c r="E27" t="s">
        <v>13</v>
      </c>
      <c r="F27" t="s">
        <v>159</v>
      </c>
      <c r="G27" t="s">
        <v>62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124</v>
      </c>
      <c r="B28">
        <v>27</v>
      </c>
      <c r="C28" t="s">
        <v>178</v>
      </c>
      <c r="D28" t="s">
        <v>179</v>
      </c>
      <c r="E28" t="s">
        <v>13</v>
      </c>
      <c r="F28" t="s">
        <v>180</v>
      </c>
      <c r="G28" t="s">
        <v>62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124</v>
      </c>
      <c r="B29">
        <v>28</v>
      </c>
      <c r="C29" t="s">
        <v>181</v>
      </c>
      <c r="D29" t="s">
        <v>182</v>
      </c>
      <c r="E29" t="s">
        <v>13</v>
      </c>
      <c r="F29" t="s">
        <v>180</v>
      </c>
      <c r="G29" t="s">
        <v>62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124</v>
      </c>
      <c r="B30">
        <v>29</v>
      </c>
      <c r="C30" t="s">
        <v>183</v>
      </c>
      <c r="D30" t="s">
        <v>184</v>
      </c>
      <c r="E30" t="s">
        <v>13</v>
      </c>
      <c r="F30" t="s">
        <v>180</v>
      </c>
      <c r="G30" t="s">
        <v>62</v>
      </c>
      <c r="H30">
        <v>220</v>
      </c>
      <c r="I30">
        <v>0.122777777777777</v>
      </c>
      <c r="J30">
        <v>1791.8552036199001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124</v>
      </c>
      <c r="B31">
        <v>30</v>
      </c>
      <c r="C31" t="s">
        <v>185</v>
      </c>
      <c r="D31" t="s">
        <v>186</v>
      </c>
      <c r="E31" t="s">
        <v>13</v>
      </c>
      <c r="F31" t="s">
        <v>180</v>
      </c>
      <c r="G31" t="s">
        <v>62</v>
      </c>
      <c r="H31">
        <v>415</v>
      </c>
      <c r="I31">
        <v>0.68916666666666604</v>
      </c>
      <c r="J31">
        <v>602.17654171704896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124</v>
      </c>
      <c r="B32">
        <v>31</v>
      </c>
      <c r="C32" t="s">
        <v>187</v>
      </c>
      <c r="D32" t="s">
        <v>188</v>
      </c>
      <c r="E32" t="s">
        <v>13</v>
      </c>
      <c r="F32" t="s">
        <v>180</v>
      </c>
      <c r="G32" t="s">
        <v>62</v>
      </c>
      <c r="H32">
        <v>134</v>
      </c>
      <c r="I32">
        <v>0.45111111111111102</v>
      </c>
      <c r="J32">
        <v>297.044334975369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124</v>
      </c>
      <c r="B33">
        <v>32</v>
      </c>
      <c r="C33" t="s">
        <v>189</v>
      </c>
      <c r="D33" t="s">
        <v>190</v>
      </c>
      <c r="E33" t="s">
        <v>13</v>
      </c>
      <c r="F33" t="s">
        <v>180</v>
      </c>
      <c r="G33" t="s">
        <v>62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124</v>
      </c>
      <c r="B34">
        <v>33</v>
      </c>
      <c r="C34" t="s">
        <v>191</v>
      </c>
      <c r="D34" t="s">
        <v>192</v>
      </c>
      <c r="E34" t="s">
        <v>13</v>
      </c>
      <c r="F34" t="s">
        <v>180</v>
      </c>
      <c r="G34" t="s">
        <v>62</v>
      </c>
      <c r="H34">
        <v>769</v>
      </c>
      <c r="I34">
        <v>1.26305555555555</v>
      </c>
      <c r="J34">
        <v>608.84099406201801</v>
      </c>
      <c r="K34">
        <v>0</v>
      </c>
      <c r="L34">
        <v>0</v>
      </c>
      <c r="M34">
        <v>-1.26305555555555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124</v>
      </c>
      <c r="B35">
        <v>34</v>
      </c>
      <c r="C35" t="s">
        <v>193</v>
      </c>
      <c r="D35" t="s">
        <v>194</v>
      </c>
      <c r="E35" t="s">
        <v>13</v>
      </c>
      <c r="F35" t="s">
        <v>180</v>
      </c>
      <c r="G35" t="s">
        <v>127</v>
      </c>
      <c r="H35">
        <v>769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124</v>
      </c>
      <c r="B36">
        <v>35</v>
      </c>
      <c r="C36" t="s">
        <v>195</v>
      </c>
      <c r="D36" t="s">
        <v>196</v>
      </c>
      <c r="E36" t="s">
        <v>13</v>
      </c>
      <c r="F36" t="s">
        <v>180</v>
      </c>
      <c r="G36" t="s">
        <v>127</v>
      </c>
      <c r="H36">
        <v>769</v>
      </c>
      <c r="I36">
        <v>1.26305555555555</v>
      </c>
      <c r="J36">
        <v>608.84099406201801</v>
      </c>
      <c r="K36">
        <v>0</v>
      </c>
      <c r="L36">
        <v>0</v>
      </c>
      <c r="M36">
        <v>-1.26305555555555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124</v>
      </c>
      <c r="B37">
        <v>36</v>
      </c>
      <c r="C37" t="s">
        <v>197</v>
      </c>
      <c r="D37" t="s">
        <v>198</v>
      </c>
      <c r="E37" t="s">
        <v>13</v>
      </c>
      <c r="F37" t="s">
        <v>199</v>
      </c>
      <c r="G37" t="s">
        <v>62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124</v>
      </c>
      <c r="B38">
        <v>37</v>
      </c>
      <c r="C38" t="s">
        <v>200</v>
      </c>
      <c r="D38" t="s">
        <v>201</v>
      </c>
      <c r="E38" t="s">
        <v>13</v>
      </c>
      <c r="F38" t="s">
        <v>199</v>
      </c>
      <c r="G38" t="s">
        <v>62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124</v>
      </c>
      <c r="B39">
        <v>38</v>
      </c>
      <c r="C39" t="s">
        <v>202</v>
      </c>
      <c r="D39" t="s">
        <v>203</v>
      </c>
      <c r="E39" t="s">
        <v>13</v>
      </c>
      <c r="F39" t="s">
        <v>199</v>
      </c>
      <c r="G39" t="s">
        <v>62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124</v>
      </c>
      <c r="B40">
        <v>39</v>
      </c>
      <c r="C40" t="s">
        <v>204</v>
      </c>
      <c r="D40" t="s">
        <v>205</v>
      </c>
      <c r="E40" t="s">
        <v>13</v>
      </c>
      <c r="F40" t="s">
        <v>199</v>
      </c>
      <c r="G40" t="s">
        <v>62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124</v>
      </c>
      <c r="B41">
        <v>40</v>
      </c>
      <c r="C41" t="s">
        <v>206</v>
      </c>
      <c r="D41" t="s">
        <v>207</v>
      </c>
      <c r="E41" t="s">
        <v>13</v>
      </c>
      <c r="F41" t="s">
        <v>199</v>
      </c>
      <c r="G41" t="s">
        <v>62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124</v>
      </c>
      <c r="B42">
        <v>41</v>
      </c>
      <c r="C42" t="s">
        <v>208</v>
      </c>
      <c r="D42" t="s">
        <v>209</v>
      </c>
      <c r="E42" t="s">
        <v>13</v>
      </c>
      <c r="F42" t="s">
        <v>199</v>
      </c>
      <c r="G42" t="s">
        <v>68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124</v>
      </c>
      <c r="B43">
        <v>42</v>
      </c>
      <c r="C43" t="s">
        <v>210</v>
      </c>
      <c r="D43" t="s">
        <v>211</v>
      </c>
      <c r="E43" t="s">
        <v>13</v>
      </c>
      <c r="F43" t="s">
        <v>199</v>
      </c>
      <c r="G43" t="s">
        <v>69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124</v>
      </c>
      <c r="B44">
        <v>43</v>
      </c>
      <c r="C44" t="s">
        <v>212</v>
      </c>
      <c r="D44" t="s">
        <v>213</v>
      </c>
      <c r="E44" t="s">
        <v>13</v>
      </c>
      <c r="F44" t="s">
        <v>199</v>
      </c>
      <c r="G44" t="s">
        <v>62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124</v>
      </c>
      <c r="B45">
        <v>44</v>
      </c>
      <c r="C45" t="s">
        <v>214</v>
      </c>
      <c r="D45" t="s">
        <v>215</v>
      </c>
      <c r="E45" t="s">
        <v>13</v>
      </c>
      <c r="F45" t="s">
        <v>199</v>
      </c>
      <c r="G45" t="s">
        <v>62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124</v>
      </c>
      <c r="B46">
        <v>45</v>
      </c>
      <c r="C46" t="s">
        <v>216</v>
      </c>
      <c r="D46" t="s">
        <v>217</v>
      </c>
      <c r="E46" t="s">
        <v>13</v>
      </c>
      <c r="F46" t="s">
        <v>218</v>
      </c>
      <c r="G46" t="s">
        <v>68</v>
      </c>
      <c r="H46">
        <v>6141</v>
      </c>
      <c r="I46">
        <v>115.178888888888</v>
      </c>
      <c r="J46">
        <v>53.317062347459498</v>
      </c>
      <c r="K46">
        <v>86.000004000000004</v>
      </c>
      <c r="L46">
        <v>71.406973422931401</v>
      </c>
      <c r="M46">
        <v>-43.771915465957399</v>
      </c>
      <c r="N46">
        <v>0.61996581241391002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124</v>
      </c>
      <c r="B47">
        <v>46</v>
      </c>
      <c r="C47" t="s">
        <v>219</v>
      </c>
      <c r="D47" t="s">
        <v>220</v>
      </c>
      <c r="E47" t="s">
        <v>13</v>
      </c>
      <c r="F47" t="s">
        <v>218</v>
      </c>
      <c r="G47" t="s">
        <v>221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124</v>
      </c>
      <c r="B48">
        <v>47</v>
      </c>
      <c r="C48" t="s">
        <v>222</v>
      </c>
      <c r="D48" t="s">
        <v>223</v>
      </c>
      <c r="E48" t="s">
        <v>13</v>
      </c>
      <c r="F48" t="s">
        <v>218</v>
      </c>
      <c r="G48" t="s">
        <v>69</v>
      </c>
      <c r="H48">
        <v>29</v>
      </c>
      <c r="I48">
        <v>3.20472222222222</v>
      </c>
      <c r="J48">
        <v>9.0491462251885206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124</v>
      </c>
      <c r="B49">
        <v>48</v>
      </c>
      <c r="C49" t="s">
        <v>224</v>
      </c>
      <c r="D49" t="s">
        <v>225</v>
      </c>
      <c r="E49" t="s">
        <v>13</v>
      </c>
      <c r="F49" t="s">
        <v>218</v>
      </c>
      <c r="G49" t="s">
        <v>226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124</v>
      </c>
      <c r="B50">
        <v>49</v>
      </c>
      <c r="C50" t="s">
        <v>227</v>
      </c>
      <c r="D50" t="s">
        <v>228</v>
      </c>
      <c r="E50" t="s">
        <v>13</v>
      </c>
      <c r="F50" t="s">
        <v>218</v>
      </c>
      <c r="G50" t="s">
        <v>127</v>
      </c>
      <c r="H50">
        <v>171287</v>
      </c>
      <c r="I50">
        <v>60.588888888888803</v>
      </c>
      <c r="J50">
        <v>2827.0364936731999</v>
      </c>
      <c r="K50">
        <v>15000.0000119999</v>
      </c>
      <c r="L50">
        <v>11.419133324198</v>
      </c>
      <c r="M50">
        <v>-49.169755564690803</v>
      </c>
      <c r="N50">
        <v>0.188469099427438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124</v>
      </c>
      <c r="B51">
        <v>50</v>
      </c>
      <c r="C51" t="s">
        <v>229</v>
      </c>
      <c r="D51" t="s">
        <v>230</v>
      </c>
      <c r="E51" t="s">
        <v>13</v>
      </c>
      <c r="F51" t="s">
        <v>218</v>
      </c>
      <c r="G51" t="s">
        <v>127</v>
      </c>
      <c r="H51">
        <v>171287</v>
      </c>
      <c r="I51">
        <v>178.9725</v>
      </c>
      <c r="J51">
        <v>957.05764852141999</v>
      </c>
      <c r="K51">
        <v>2068.0315268583599</v>
      </c>
      <c r="L51">
        <v>82.826106747129401</v>
      </c>
      <c r="M51">
        <v>-96.146393252870496</v>
      </c>
      <c r="N51">
        <v>0.46278677867901202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124</v>
      </c>
      <c r="B52">
        <v>51</v>
      </c>
      <c r="C52" t="s">
        <v>231</v>
      </c>
      <c r="D52" t="s">
        <v>232</v>
      </c>
      <c r="E52" t="s">
        <v>13</v>
      </c>
      <c r="F52" t="s">
        <v>232</v>
      </c>
      <c r="G52" t="s">
        <v>127</v>
      </c>
      <c r="H52">
        <v>80189</v>
      </c>
      <c r="I52">
        <v>20.9166666666666</v>
      </c>
      <c r="J52">
        <v>3833.7370517928198</v>
      </c>
      <c r="K52">
        <v>4500</v>
      </c>
      <c r="L52">
        <v>17.819777777777698</v>
      </c>
      <c r="M52">
        <v>-3.0968888888888899</v>
      </c>
      <c r="N52">
        <v>0.85194156706507296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124</v>
      </c>
      <c r="B53">
        <v>52</v>
      </c>
      <c r="C53" t="s">
        <v>233</v>
      </c>
      <c r="D53" t="s">
        <v>234</v>
      </c>
      <c r="E53" t="s">
        <v>13</v>
      </c>
      <c r="F53" t="s">
        <v>235</v>
      </c>
      <c r="G53" t="s">
        <v>127</v>
      </c>
      <c r="H53">
        <v>80189</v>
      </c>
      <c r="I53">
        <v>38.664999999999999</v>
      </c>
      <c r="J53">
        <v>2073.9428423638901</v>
      </c>
      <c r="K53">
        <v>1850.000004</v>
      </c>
      <c r="L53">
        <v>43.345405311685603</v>
      </c>
      <c r="M53">
        <v>4.6804053116856004</v>
      </c>
      <c r="N53">
        <v>1.12105018263767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124</v>
      </c>
      <c r="B54">
        <v>53</v>
      </c>
      <c r="C54" t="s">
        <v>236</v>
      </c>
      <c r="D54" t="s">
        <v>11</v>
      </c>
      <c r="E54" t="s">
        <v>13</v>
      </c>
      <c r="F54" t="s">
        <v>237</v>
      </c>
      <c r="G54" t="s">
        <v>62</v>
      </c>
      <c r="H54">
        <v>80189</v>
      </c>
      <c r="I54">
        <v>317.65888888888799</v>
      </c>
      <c r="J54">
        <v>252.43745037478999</v>
      </c>
      <c r="K54">
        <v>271.89916498763802</v>
      </c>
      <c r="L54">
        <v>294.92183252436803</v>
      </c>
      <c r="M54">
        <v>-22.7370563645202</v>
      </c>
      <c r="N54">
        <v>0.92842304383784002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124</v>
      </c>
      <c r="B55">
        <v>54</v>
      </c>
      <c r="C55" t="s">
        <v>238</v>
      </c>
      <c r="D55" t="s">
        <v>239</v>
      </c>
      <c r="E55" t="s">
        <v>240</v>
      </c>
      <c r="F55" t="s">
        <v>241</v>
      </c>
      <c r="G55" t="s">
        <v>68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124</v>
      </c>
      <c r="B56">
        <v>55</v>
      </c>
      <c r="C56" t="s">
        <v>242</v>
      </c>
      <c r="D56" t="s">
        <v>243</v>
      </c>
      <c r="E56" t="s">
        <v>240</v>
      </c>
      <c r="F56" t="s">
        <v>241</v>
      </c>
      <c r="G56" t="s">
        <v>69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124</v>
      </c>
      <c r="B57">
        <v>56</v>
      </c>
      <c r="C57" t="s">
        <v>244</v>
      </c>
      <c r="D57" t="s">
        <v>245</v>
      </c>
      <c r="E57" t="s">
        <v>240</v>
      </c>
      <c r="F57" t="s">
        <v>246</v>
      </c>
      <c r="G57" t="s">
        <v>68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124</v>
      </c>
      <c r="B58">
        <v>57</v>
      </c>
      <c r="C58" t="s">
        <v>247</v>
      </c>
      <c r="D58" t="s">
        <v>248</v>
      </c>
      <c r="E58" t="s">
        <v>240</v>
      </c>
      <c r="F58" t="s">
        <v>246</v>
      </c>
      <c r="G58" t="s">
        <v>68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124</v>
      </c>
      <c r="B59">
        <v>58</v>
      </c>
      <c r="C59" t="s">
        <v>249</v>
      </c>
      <c r="D59" t="s">
        <v>250</v>
      </c>
      <c r="E59" t="s">
        <v>240</v>
      </c>
      <c r="F59" t="s">
        <v>251</v>
      </c>
      <c r="G59" t="s">
        <v>68</v>
      </c>
      <c r="H59">
        <v>1081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124</v>
      </c>
      <c r="B60">
        <v>59</v>
      </c>
      <c r="C60" t="s">
        <v>252</v>
      </c>
      <c r="D60" t="s">
        <v>253</v>
      </c>
      <c r="E60" t="s">
        <v>240</v>
      </c>
      <c r="F60" t="s">
        <v>251</v>
      </c>
      <c r="G60" t="s">
        <v>62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124</v>
      </c>
      <c r="B61">
        <v>60</v>
      </c>
      <c r="C61" t="s">
        <v>254</v>
      </c>
      <c r="D61" t="s">
        <v>255</v>
      </c>
      <c r="E61" t="s">
        <v>240</v>
      </c>
      <c r="F61" t="s">
        <v>251</v>
      </c>
      <c r="G61" t="s">
        <v>62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124</v>
      </c>
      <c r="B62">
        <v>61</v>
      </c>
      <c r="C62" t="s">
        <v>256</v>
      </c>
      <c r="D62" t="s">
        <v>257</v>
      </c>
      <c r="E62" t="s">
        <v>240</v>
      </c>
      <c r="F62" t="s">
        <v>251</v>
      </c>
      <c r="G62" t="s">
        <v>62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124</v>
      </c>
      <c r="B63">
        <v>62</v>
      </c>
      <c r="C63" t="s">
        <v>258</v>
      </c>
      <c r="D63" t="s">
        <v>259</v>
      </c>
      <c r="E63" t="s">
        <v>240</v>
      </c>
      <c r="F63" t="s">
        <v>251</v>
      </c>
      <c r="G63" t="s">
        <v>62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124</v>
      </c>
      <c r="B64">
        <v>63</v>
      </c>
      <c r="C64" t="s">
        <v>260</v>
      </c>
      <c r="D64" t="s">
        <v>261</v>
      </c>
      <c r="E64" t="s">
        <v>240</v>
      </c>
      <c r="F64" t="s">
        <v>251</v>
      </c>
      <c r="G64" t="s">
        <v>127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124</v>
      </c>
      <c r="B65">
        <v>64</v>
      </c>
      <c r="C65" t="s">
        <v>262</v>
      </c>
      <c r="D65" t="s">
        <v>263</v>
      </c>
      <c r="E65" t="s">
        <v>240</v>
      </c>
      <c r="F65" t="s">
        <v>56</v>
      </c>
      <c r="G65" t="s">
        <v>62</v>
      </c>
      <c r="H65">
        <v>25916</v>
      </c>
      <c r="I65">
        <v>23.4791666666666</v>
      </c>
      <c r="J65">
        <v>1103.78704525288</v>
      </c>
      <c r="K65">
        <v>1244.000016</v>
      </c>
      <c r="L65">
        <v>20.832797159706701</v>
      </c>
      <c r="M65">
        <v>-2.6463695069598701</v>
      </c>
      <c r="N65">
        <v>0.88728861017384697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124</v>
      </c>
      <c r="B66">
        <v>65</v>
      </c>
      <c r="C66" t="s">
        <v>264</v>
      </c>
      <c r="D66" t="s">
        <v>265</v>
      </c>
      <c r="E66" t="s">
        <v>240</v>
      </c>
      <c r="F66" t="s">
        <v>56</v>
      </c>
      <c r="G66" t="s">
        <v>62</v>
      </c>
      <c r="H66">
        <v>64619</v>
      </c>
      <c r="I66">
        <v>315.745833333333</v>
      </c>
      <c r="J66">
        <v>204.65511553332701</v>
      </c>
      <c r="K66">
        <v>288</v>
      </c>
      <c r="L66">
        <v>224.371527777777</v>
      </c>
      <c r="M66">
        <v>-91.374305555555495</v>
      </c>
      <c r="N66">
        <v>0.71060804004627398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124</v>
      </c>
      <c r="B67">
        <v>66</v>
      </c>
      <c r="C67" t="s">
        <v>266</v>
      </c>
      <c r="D67" t="s">
        <v>267</v>
      </c>
      <c r="E67" t="s">
        <v>240</v>
      </c>
      <c r="F67" t="s">
        <v>56</v>
      </c>
      <c r="G67" t="s">
        <v>62</v>
      </c>
      <c r="H67">
        <v>18</v>
      </c>
      <c r="I67">
        <v>9.2222222222222205E-2</v>
      </c>
      <c r="J67">
        <v>195.18072289156601</v>
      </c>
      <c r="K67">
        <v>117</v>
      </c>
      <c r="L67">
        <v>0.15384615384615299</v>
      </c>
      <c r="M67">
        <v>6.1623931623931601E-2</v>
      </c>
      <c r="N67">
        <v>1.66821130676552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124</v>
      </c>
      <c r="B68">
        <v>67</v>
      </c>
      <c r="C68" t="s">
        <v>268</v>
      </c>
      <c r="D68" t="s">
        <v>269</v>
      </c>
      <c r="E68" t="s">
        <v>240</v>
      </c>
      <c r="F68" t="s">
        <v>56</v>
      </c>
      <c r="G68" t="s">
        <v>62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124</v>
      </c>
      <c r="B69">
        <v>68</v>
      </c>
      <c r="C69" t="s">
        <v>270</v>
      </c>
      <c r="D69" t="s">
        <v>271</v>
      </c>
      <c r="E69" t="s">
        <v>240</v>
      </c>
      <c r="F69" t="s">
        <v>56</v>
      </c>
      <c r="G69" t="s">
        <v>62</v>
      </c>
      <c r="H69">
        <v>90553</v>
      </c>
      <c r="I69">
        <v>339.31722222222197</v>
      </c>
      <c r="J69">
        <v>266.86826977705198</v>
      </c>
      <c r="K69">
        <v>369.06453776219598</v>
      </c>
      <c r="L69">
        <v>245.35817109133001</v>
      </c>
      <c r="M69">
        <v>-93.959051130891496</v>
      </c>
      <c r="N69">
        <v>0.72309377485898196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124</v>
      </c>
      <c r="B70">
        <v>69</v>
      </c>
      <c r="C70" t="s">
        <v>272</v>
      </c>
      <c r="D70" t="s">
        <v>273</v>
      </c>
      <c r="E70" t="s">
        <v>240</v>
      </c>
      <c r="F70" t="s">
        <v>273</v>
      </c>
      <c r="G70" t="s">
        <v>62</v>
      </c>
      <c r="H70">
        <v>91098</v>
      </c>
      <c r="I70">
        <v>29.143055555555499</v>
      </c>
      <c r="J70">
        <v>3125.8904827717602</v>
      </c>
      <c r="K70">
        <v>3465</v>
      </c>
      <c r="L70">
        <v>26.290909090909</v>
      </c>
      <c r="M70">
        <v>-2.8521464646464598</v>
      </c>
      <c r="N70">
        <v>0.90213289546082698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124</v>
      </c>
      <c r="B71">
        <v>70</v>
      </c>
      <c r="C71" t="s">
        <v>274</v>
      </c>
      <c r="D71" t="s">
        <v>275</v>
      </c>
      <c r="E71" t="s">
        <v>240</v>
      </c>
      <c r="F71" t="s">
        <v>275</v>
      </c>
      <c r="G71" t="s">
        <v>127</v>
      </c>
      <c r="H71">
        <v>91098</v>
      </c>
      <c r="I71">
        <v>55.051666666666598</v>
      </c>
      <c r="J71">
        <v>1654.7727891980201</v>
      </c>
      <c r="K71">
        <v>1524.999996</v>
      </c>
      <c r="L71">
        <v>59.736393599308499</v>
      </c>
      <c r="M71">
        <v>4.6847269326419001</v>
      </c>
      <c r="N71">
        <v>1.0850969137956801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124</v>
      </c>
      <c r="B72">
        <v>71</v>
      </c>
      <c r="C72" t="s">
        <v>276</v>
      </c>
      <c r="D72" t="s">
        <v>277</v>
      </c>
      <c r="E72" t="s">
        <v>240</v>
      </c>
      <c r="F72" t="s">
        <v>277</v>
      </c>
      <c r="G72" t="s">
        <v>127</v>
      </c>
      <c r="H72">
        <v>91098</v>
      </c>
      <c r="I72">
        <v>31.123055555555499</v>
      </c>
      <c r="J72">
        <v>2927.0262310005901</v>
      </c>
      <c r="K72">
        <v>3499.999992</v>
      </c>
      <c r="L72">
        <v>26.028000059492499</v>
      </c>
      <c r="M72">
        <v>-5.0950554960629804</v>
      </c>
      <c r="N72">
        <v>0.836293210768841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124</v>
      </c>
      <c r="B73">
        <v>72</v>
      </c>
      <c r="C73" t="s">
        <v>278</v>
      </c>
      <c r="D73" t="s">
        <v>279</v>
      </c>
      <c r="E73" t="s">
        <v>240</v>
      </c>
      <c r="F73" t="s">
        <v>280</v>
      </c>
      <c r="G73" t="s">
        <v>127</v>
      </c>
      <c r="H73">
        <v>91098</v>
      </c>
      <c r="I73">
        <v>26.280833333333302</v>
      </c>
      <c r="J73">
        <v>3466.3284396106101</v>
      </c>
      <c r="K73">
        <v>5000.0000040000004</v>
      </c>
      <c r="L73">
        <v>18.219599985424299</v>
      </c>
      <c r="M73">
        <v>-8.0612333479090097</v>
      </c>
      <c r="N73">
        <v>0.69326568736751004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124</v>
      </c>
      <c r="B74">
        <v>73</v>
      </c>
      <c r="C74" t="s">
        <v>281</v>
      </c>
      <c r="D74" t="s">
        <v>282</v>
      </c>
      <c r="E74" t="s">
        <v>240</v>
      </c>
      <c r="F74" t="s">
        <v>237</v>
      </c>
      <c r="G74" t="s">
        <v>127</v>
      </c>
      <c r="H74">
        <v>91098</v>
      </c>
      <c r="I74">
        <v>480.91583333333301</v>
      </c>
      <c r="J74">
        <v>189.42607767471401</v>
      </c>
      <c r="K74">
        <v>242.51858089068401</v>
      </c>
      <c r="L74">
        <v>375.63307382646502</v>
      </c>
      <c r="M74">
        <v>-105.282759506868</v>
      </c>
      <c r="N74">
        <v>0.78107861665287603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124</v>
      </c>
      <c r="B75">
        <v>74</v>
      </c>
      <c r="C75" t="s">
        <v>283</v>
      </c>
      <c r="D75" t="s">
        <v>284</v>
      </c>
      <c r="E75" t="s">
        <v>285</v>
      </c>
      <c r="F75" t="s">
        <v>9</v>
      </c>
      <c r="G75" t="s">
        <v>62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124</v>
      </c>
      <c r="B76">
        <v>75</v>
      </c>
      <c r="C76" t="s">
        <v>286</v>
      </c>
      <c r="D76" t="s">
        <v>287</v>
      </c>
      <c r="E76" t="s">
        <v>285</v>
      </c>
      <c r="F76" t="s">
        <v>9</v>
      </c>
      <c r="G76" t="s">
        <v>62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124</v>
      </c>
      <c r="B77">
        <v>76</v>
      </c>
      <c r="C77" t="s">
        <v>288</v>
      </c>
      <c r="D77" t="s">
        <v>289</v>
      </c>
      <c r="E77" t="s">
        <v>285</v>
      </c>
      <c r="F77" t="s">
        <v>9</v>
      </c>
      <c r="G77" t="s">
        <v>62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124</v>
      </c>
      <c r="B78">
        <v>77</v>
      </c>
      <c r="C78" t="s">
        <v>290</v>
      </c>
      <c r="D78" t="s">
        <v>291</v>
      </c>
      <c r="E78" t="s">
        <v>285</v>
      </c>
      <c r="F78" t="s">
        <v>9</v>
      </c>
      <c r="G78" t="s">
        <v>62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124</v>
      </c>
      <c r="B79">
        <v>78</v>
      </c>
      <c r="C79" t="s">
        <v>292</v>
      </c>
      <c r="D79" t="s">
        <v>293</v>
      </c>
      <c r="E79" t="s">
        <v>285</v>
      </c>
      <c r="F79" t="s">
        <v>9</v>
      </c>
      <c r="G79" t="s">
        <v>62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124</v>
      </c>
      <c r="B80">
        <v>79</v>
      </c>
      <c r="C80" t="s">
        <v>294</v>
      </c>
      <c r="D80" t="s">
        <v>295</v>
      </c>
      <c r="E80" t="s">
        <v>285</v>
      </c>
      <c r="F80" t="s">
        <v>9</v>
      </c>
      <c r="G80" t="s">
        <v>127</v>
      </c>
      <c r="H80">
        <v>90553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124</v>
      </c>
      <c r="B81">
        <v>80</v>
      </c>
      <c r="C81" t="s">
        <v>296</v>
      </c>
      <c r="D81" t="s">
        <v>297</v>
      </c>
      <c r="E81" t="s">
        <v>285</v>
      </c>
      <c r="F81" t="s">
        <v>9</v>
      </c>
      <c r="G81" t="s">
        <v>127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124</v>
      </c>
      <c r="B82">
        <v>81</v>
      </c>
      <c r="C82" t="s">
        <v>298</v>
      </c>
      <c r="D82" t="s">
        <v>299</v>
      </c>
      <c r="E82" t="s">
        <v>285</v>
      </c>
      <c r="F82" t="s">
        <v>300</v>
      </c>
      <c r="G82" t="s">
        <v>62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124</v>
      </c>
      <c r="B83">
        <v>82</v>
      </c>
      <c r="C83" t="s">
        <v>301</v>
      </c>
      <c r="D83" t="s">
        <v>302</v>
      </c>
      <c r="E83" t="s">
        <v>285</v>
      </c>
      <c r="F83" t="s">
        <v>300</v>
      </c>
      <c r="G83" t="s">
        <v>62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124</v>
      </c>
      <c r="B84">
        <v>83</v>
      </c>
      <c r="C84" t="s">
        <v>303</v>
      </c>
      <c r="D84" t="s">
        <v>304</v>
      </c>
      <c r="E84" t="s">
        <v>285</v>
      </c>
      <c r="F84" t="s">
        <v>300</v>
      </c>
      <c r="G84" t="s">
        <v>62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124</v>
      </c>
      <c r="B85">
        <v>84</v>
      </c>
      <c r="C85" t="s">
        <v>305</v>
      </c>
      <c r="D85" t="s">
        <v>306</v>
      </c>
      <c r="E85" t="s">
        <v>285</v>
      </c>
      <c r="F85" t="s">
        <v>300</v>
      </c>
      <c r="G85" t="s">
        <v>62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124</v>
      </c>
      <c r="B86">
        <v>85</v>
      </c>
      <c r="C86" t="s">
        <v>307</v>
      </c>
      <c r="D86" t="s">
        <v>308</v>
      </c>
      <c r="E86" t="s">
        <v>285</v>
      </c>
      <c r="F86" t="s">
        <v>300</v>
      </c>
      <c r="G86" t="s">
        <v>62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124</v>
      </c>
      <c r="B87">
        <v>86</v>
      </c>
      <c r="C87" t="s">
        <v>309</v>
      </c>
      <c r="D87" t="s">
        <v>310</v>
      </c>
      <c r="E87" t="s">
        <v>285</v>
      </c>
      <c r="F87" t="s">
        <v>300</v>
      </c>
      <c r="G87" t="s">
        <v>62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124</v>
      </c>
      <c r="B88">
        <v>87</v>
      </c>
      <c r="C88" t="s">
        <v>311</v>
      </c>
      <c r="D88" t="s">
        <v>312</v>
      </c>
      <c r="E88" t="s">
        <v>285</v>
      </c>
      <c r="F88" t="s">
        <v>300</v>
      </c>
      <c r="G88" t="s">
        <v>62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124</v>
      </c>
      <c r="B89">
        <v>88</v>
      </c>
      <c r="C89" t="s">
        <v>313</v>
      </c>
      <c r="D89" t="s">
        <v>314</v>
      </c>
      <c r="E89" t="s">
        <v>285</v>
      </c>
      <c r="F89" t="s">
        <v>300</v>
      </c>
      <c r="G89" t="s">
        <v>62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124</v>
      </c>
      <c r="B90">
        <v>89</v>
      </c>
      <c r="C90" t="s">
        <v>315</v>
      </c>
      <c r="D90" t="s">
        <v>316</v>
      </c>
      <c r="E90" t="s">
        <v>285</v>
      </c>
      <c r="F90" t="s">
        <v>300</v>
      </c>
      <c r="G90" t="s">
        <v>62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124</v>
      </c>
      <c r="B91">
        <v>90</v>
      </c>
      <c r="C91" t="s">
        <v>317</v>
      </c>
      <c r="D91" t="s">
        <v>318</v>
      </c>
      <c r="E91" t="s">
        <v>285</v>
      </c>
      <c r="F91" t="s">
        <v>300</v>
      </c>
      <c r="G91" t="s">
        <v>62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124</v>
      </c>
      <c r="B92">
        <v>91</v>
      </c>
      <c r="C92" t="s">
        <v>319</v>
      </c>
      <c r="D92" t="s">
        <v>320</v>
      </c>
      <c r="E92" t="s">
        <v>285</v>
      </c>
      <c r="F92" t="s">
        <v>300</v>
      </c>
      <c r="G92" t="s">
        <v>127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124</v>
      </c>
      <c r="B93">
        <v>92</v>
      </c>
      <c r="C93" t="s">
        <v>321</v>
      </c>
      <c r="D93" t="s">
        <v>322</v>
      </c>
      <c r="E93" t="s">
        <v>285</v>
      </c>
      <c r="F93" t="s">
        <v>300</v>
      </c>
      <c r="G93" t="s">
        <v>62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124</v>
      </c>
      <c r="B94">
        <v>93</v>
      </c>
      <c r="C94" t="s">
        <v>323</v>
      </c>
      <c r="D94" t="s">
        <v>324</v>
      </c>
      <c r="E94" t="s">
        <v>285</v>
      </c>
      <c r="F94" t="s">
        <v>325</v>
      </c>
      <c r="G94" t="s">
        <v>62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124</v>
      </c>
      <c r="B95">
        <v>94</v>
      </c>
      <c r="C95" t="s">
        <v>326</v>
      </c>
      <c r="D95" t="s">
        <v>327</v>
      </c>
      <c r="E95" t="s">
        <v>285</v>
      </c>
      <c r="F95" t="s">
        <v>325</v>
      </c>
      <c r="G95" t="s">
        <v>62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124</v>
      </c>
      <c r="B96">
        <v>95</v>
      </c>
      <c r="C96" t="s">
        <v>328</v>
      </c>
      <c r="D96" t="s">
        <v>329</v>
      </c>
      <c r="E96" t="s">
        <v>285</v>
      </c>
      <c r="F96" t="s">
        <v>325</v>
      </c>
      <c r="G96" t="s">
        <v>62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124</v>
      </c>
      <c r="B97">
        <v>96</v>
      </c>
      <c r="C97" t="s">
        <v>330</v>
      </c>
      <c r="D97" t="s">
        <v>331</v>
      </c>
      <c r="E97" t="s">
        <v>285</v>
      </c>
      <c r="F97" t="s">
        <v>325</v>
      </c>
      <c r="G97" t="s">
        <v>62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124</v>
      </c>
      <c r="B98">
        <v>97</v>
      </c>
      <c r="C98" t="s">
        <v>332</v>
      </c>
      <c r="D98" t="s">
        <v>333</v>
      </c>
      <c r="E98" t="s">
        <v>285</v>
      </c>
      <c r="F98" t="s">
        <v>325</v>
      </c>
      <c r="G98" t="s">
        <v>62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124</v>
      </c>
      <c r="B99">
        <v>98</v>
      </c>
      <c r="C99" t="s">
        <v>334</v>
      </c>
      <c r="D99" t="s">
        <v>335</v>
      </c>
      <c r="E99" t="s">
        <v>285</v>
      </c>
      <c r="F99" t="s">
        <v>325</v>
      </c>
      <c r="G99" t="s">
        <v>336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124</v>
      </c>
      <c r="B100">
        <v>99</v>
      </c>
      <c r="C100" t="s">
        <v>337</v>
      </c>
      <c r="D100" t="s">
        <v>338</v>
      </c>
      <c r="E100" t="s">
        <v>285</v>
      </c>
      <c r="F100" t="s">
        <v>325</v>
      </c>
      <c r="G100" t="s">
        <v>62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124</v>
      </c>
      <c r="B101">
        <v>100</v>
      </c>
      <c r="C101" t="s">
        <v>339</v>
      </c>
      <c r="D101" t="s">
        <v>340</v>
      </c>
      <c r="E101" t="s">
        <v>285</v>
      </c>
      <c r="F101" t="s">
        <v>325</v>
      </c>
      <c r="G101" t="s">
        <v>62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124</v>
      </c>
      <c r="B102">
        <v>101</v>
      </c>
      <c r="C102" t="s">
        <v>341</v>
      </c>
      <c r="D102" t="s">
        <v>342</v>
      </c>
      <c r="E102" t="s">
        <v>285</v>
      </c>
      <c r="F102" t="s">
        <v>325</v>
      </c>
      <c r="G102" t="s">
        <v>62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124</v>
      </c>
      <c r="B103">
        <v>102</v>
      </c>
      <c r="C103" t="s">
        <v>343</v>
      </c>
      <c r="D103" t="s">
        <v>344</v>
      </c>
      <c r="E103" t="s">
        <v>285</v>
      </c>
      <c r="F103" t="s">
        <v>325</v>
      </c>
      <c r="G103" t="s">
        <v>62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124</v>
      </c>
      <c r="B104">
        <v>103</v>
      </c>
      <c r="C104" t="s">
        <v>345</v>
      </c>
      <c r="D104" t="s">
        <v>346</v>
      </c>
      <c r="E104" t="s">
        <v>285</v>
      </c>
      <c r="F104" t="s">
        <v>325</v>
      </c>
      <c r="G104" t="s">
        <v>62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124</v>
      </c>
      <c r="B105">
        <v>104</v>
      </c>
      <c r="C105" t="s">
        <v>347</v>
      </c>
      <c r="D105" t="s">
        <v>348</v>
      </c>
      <c r="E105" t="s">
        <v>285</v>
      </c>
      <c r="F105" t="s">
        <v>325</v>
      </c>
      <c r="G105" t="s">
        <v>62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124</v>
      </c>
      <c r="B106">
        <v>105</v>
      </c>
      <c r="C106" t="s">
        <v>349</v>
      </c>
      <c r="D106" t="s">
        <v>350</v>
      </c>
      <c r="E106" t="s">
        <v>285</v>
      </c>
      <c r="F106" t="s">
        <v>325</v>
      </c>
      <c r="G106" t="s">
        <v>62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124</v>
      </c>
      <c r="B107">
        <v>106</v>
      </c>
      <c r="C107" t="s">
        <v>351</v>
      </c>
      <c r="D107" t="s">
        <v>352</v>
      </c>
      <c r="E107" t="s">
        <v>285</v>
      </c>
      <c r="F107" t="s">
        <v>325</v>
      </c>
      <c r="G107" t="s">
        <v>62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124</v>
      </c>
      <c r="B108">
        <v>107</v>
      </c>
      <c r="C108" t="s">
        <v>353</v>
      </c>
      <c r="D108" t="s">
        <v>354</v>
      </c>
      <c r="E108" t="s">
        <v>285</v>
      </c>
      <c r="F108" t="s">
        <v>325</v>
      </c>
      <c r="G108" t="s">
        <v>62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124</v>
      </c>
      <c r="B109">
        <v>108</v>
      </c>
      <c r="C109" t="s">
        <v>355</v>
      </c>
      <c r="D109" t="s">
        <v>356</v>
      </c>
      <c r="E109" t="s">
        <v>285</v>
      </c>
      <c r="F109" t="s">
        <v>325</v>
      </c>
      <c r="G109" t="s">
        <v>62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124</v>
      </c>
      <c r="B110">
        <v>109</v>
      </c>
      <c r="C110" t="s">
        <v>357</v>
      </c>
      <c r="D110" t="s">
        <v>358</v>
      </c>
      <c r="E110" t="s">
        <v>285</v>
      </c>
      <c r="F110" t="s">
        <v>325</v>
      </c>
      <c r="G110" t="s">
        <v>62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124</v>
      </c>
      <c r="B111">
        <v>110</v>
      </c>
      <c r="C111" t="s">
        <v>359</v>
      </c>
      <c r="D111" t="s">
        <v>360</v>
      </c>
      <c r="E111" t="s">
        <v>285</v>
      </c>
      <c r="F111" t="s">
        <v>325</v>
      </c>
      <c r="G111" t="s">
        <v>62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124</v>
      </c>
      <c r="B112">
        <v>111</v>
      </c>
      <c r="C112" t="s">
        <v>361</v>
      </c>
      <c r="D112" t="s">
        <v>362</v>
      </c>
      <c r="E112" t="s">
        <v>285</v>
      </c>
      <c r="F112" t="s">
        <v>325</v>
      </c>
      <c r="G112" t="s">
        <v>127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124</v>
      </c>
      <c r="B113">
        <v>112</v>
      </c>
      <c r="C113" t="s">
        <v>363</v>
      </c>
      <c r="D113" t="s">
        <v>364</v>
      </c>
      <c r="E113" t="s">
        <v>285</v>
      </c>
      <c r="F113" t="s">
        <v>365</v>
      </c>
      <c r="G113" t="s">
        <v>62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124</v>
      </c>
      <c r="B114">
        <v>113</v>
      </c>
      <c r="C114" t="s">
        <v>366</v>
      </c>
      <c r="D114" t="s">
        <v>367</v>
      </c>
      <c r="E114" t="s">
        <v>285</v>
      </c>
      <c r="F114" t="s">
        <v>365</v>
      </c>
      <c r="G114" t="s">
        <v>62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124</v>
      </c>
      <c r="B115">
        <v>114</v>
      </c>
      <c r="C115" t="s">
        <v>368</v>
      </c>
      <c r="D115" t="s">
        <v>369</v>
      </c>
      <c r="E115" t="s">
        <v>285</v>
      </c>
      <c r="F115" t="s">
        <v>365</v>
      </c>
      <c r="G115" t="s">
        <v>62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124</v>
      </c>
      <c r="B116">
        <v>115</v>
      </c>
      <c r="C116" t="s">
        <v>370</v>
      </c>
      <c r="D116" t="s">
        <v>371</v>
      </c>
      <c r="E116" t="s">
        <v>285</v>
      </c>
      <c r="F116" t="s">
        <v>365</v>
      </c>
      <c r="G116" t="s">
        <v>62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124</v>
      </c>
      <c r="B117">
        <v>116</v>
      </c>
      <c r="C117" t="s">
        <v>372</v>
      </c>
      <c r="D117" t="s">
        <v>373</v>
      </c>
      <c r="E117" t="s">
        <v>285</v>
      </c>
      <c r="F117" t="s">
        <v>365</v>
      </c>
      <c r="G117" t="s">
        <v>62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124</v>
      </c>
      <c r="B118">
        <v>117</v>
      </c>
      <c r="C118" t="s">
        <v>374</v>
      </c>
      <c r="D118" t="s">
        <v>375</v>
      </c>
      <c r="E118" t="s">
        <v>285</v>
      </c>
      <c r="F118" t="s">
        <v>375</v>
      </c>
      <c r="G118" t="s">
        <v>62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124</v>
      </c>
      <c r="B119">
        <v>118</v>
      </c>
      <c r="C119" t="s">
        <v>376</v>
      </c>
      <c r="D119" t="s">
        <v>377</v>
      </c>
      <c r="E119" t="s">
        <v>285</v>
      </c>
      <c r="F119" t="s">
        <v>378</v>
      </c>
      <c r="G119" t="s">
        <v>62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124</v>
      </c>
      <c r="B120">
        <v>119</v>
      </c>
      <c r="C120" t="s">
        <v>379</v>
      </c>
      <c r="D120" t="s">
        <v>380</v>
      </c>
      <c r="E120" t="s">
        <v>285</v>
      </c>
      <c r="F120" t="s">
        <v>381</v>
      </c>
      <c r="G120" t="s">
        <v>62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124</v>
      </c>
      <c r="B121">
        <v>120</v>
      </c>
      <c r="C121" t="s">
        <v>382</v>
      </c>
      <c r="D121" t="s">
        <v>383</v>
      </c>
      <c r="E121" t="s">
        <v>285</v>
      </c>
      <c r="F121" t="s">
        <v>237</v>
      </c>
      <c r="G121" t="s">
        <v>62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124</v>
      </c>
      <c r="B122">
        <v>121</v>
      </c>
      <c r="C122" t="s">
        <v>384</v>
      </c>
      <c r="D122" t="s">
        <v>385</v>
      </c>
      <c r="E122" t="s">
        <v>386</v>
      </c>
      <c r="F122" t="s">
        <v>387</v>
      </c>
      <c r="G122" t="s">
        <v>62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124</v>
      </c>
      <c r="B123">
        <v>122</v>
      </c>
      <c r="C123" t="s">
        <v>388</v>
      </c>
      <c r="D123" t="s">
        <v>389</v>
      </c>
      <c r="E123" t="s">
        <v>386</v>
      </c>
      <c r="F123" t="s">
        <v>387</v>
      </c>
      <c r="G123" t="s">
        <v>62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124</v>
      </c>
      <c r="B124">
        <v>123</v>
      </c>
      <c r="C124" t="s">
        <v>390</v>
      </c>
      <c r="D124" t="s">
        <v>391</v>
      </c>
      <c r="E124" t="s">
        <v>386</v>
      </c>
      <c r="F124" t="s">
        <v>387</v>
      </c>
      <c r="G124" t="s">
        <v>62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124</v>
      </c>
      <c r="B125">
        <v>124</v>
      </c>
      <c r="C125" t="s">
        <v>392</v>
      </c>
      <c r="D125" t="s">
        <v>393</v>
      </c>
      <c r="E125" t="s">
        <v>386</v>
      </c>
      <c r="F125" t="s">
        <v>387</v>
      </c>
      <c r="G125" t="s">
        <v>62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124</v>
      </c>
      <c r="B126">
        <v>125</v>
      </c>
      <c r="C126" t="s">
        <v>394</v>
      </c>
      <c r="D126" t="s">
        <v>395</v>
      </c>
      <c r="E126" t="s">
        <v>386</v>
      </c>
      <c r="F126" t="s">
        <v>387</v>
      </c>
      <c r="G126" t="s">
        <v>127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124</v>
      </c>
      <c r="B127">
        <v>126</v>
      </c>
      <c r="C127" t="s">
        <v>396</v>
      </c>
      <c r="D127" t="s">
        <v>397</v>
      </c>
      <c r="E127" t="s">
        <v>386</v>
      </c>
      <c r="F127" t="s">
        <v>387</v>
      </c>
      <c r="G127" t="s">
        <v>62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124</v>
      </c>
      <c r="B128">
        <v>127</v>
      </c>
      <c r="C128" t="s">
        <v>398</v>
      </c>
      <c r="D128" t="s">
        <v>399</v>
      </c>
      <c r="E128" t="s">
        <v>386</v>
      </c>
      <c r="F128" t="s">
        <v>387</v>
      </c>
      <c r="G128" t="s">
        <v>62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124</v>
      </c>
      <c r="B129">
        <v>128</v>
      </c>
      <c r="C129" t="s">
        <v>400</v>
      </c>
      <c r="D129" t="s">
        <v>401</v>
      </c>
      <c r="E129" t="s">
        <v>386</v>
      </c>
      <c r="F129" t="s">
        <v>387</v>
      </c>
      <c r="G129" t="s">
        <v>62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124</v>
      </c>
      <c r="B130">
        <v>129</v>
      </c>
      <c r="C130" t="s">
        <v>402</v>
      </c>
      <c r="D130" t="s">
        <v>403</v>
      </c>
      <c r="E130" t="s">
        <v>386</v>
      </c>
      <c r="F130" t="s">
        <v>387</v>
      </c>
      <c r="G130" t="s">
        <v>62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124</v>
      </c>
      <c r="B131">
        <v>130</v>
      </c>
      <c r="C131" t="s">
        <v>404</v>
      </c>
      <c r="D131" t="s">
        <v>405</v>
      </c>
      <c r="E131" t="s">
        <v>386</v>
      </c>
      <c r="F131" t="s">
        <v>387</v>
      </c>
      <c r="G131" t="s">
        <v>127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124</v>
      </c>
      <c r="B132">
        <v>131</v>
      </c>
      <c r="C132" t="s">
        <v>406</v>
      </c>
      <c r="D132" t="s">
        <v>407</v>
      </c>
      <c r="E132" t="s">
        <v>386</v>
      </c>
      <c r="F132" t="s">
        <v>387</v>
      </c>
      <c r="G132" t="s">
        <v>127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124</v>
      </c>
      <c r="B133">
        <v>132</v>
      </c>
      <c r="C133" t="s">
        <v>408</v>
      </c>
      <c r="D133" t="s">
        <v>409</v>
      </c>
      <c r="E133" t="s">
        <v>386</v>
      </c>
      <c r="F133" t="s">
        <v>387</v>
      </c>
      <c r="G133" t="s">
        <v>127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124</v>
      </c>
      <c r="B134">
        <v>133</v>
      </c>
      <c r="C134" t="s">
        <v>410</v>
      </c>
      <c r="D134" t="s">
        <v>411</v>
      </c>
      <c r="E134" t="s">
        <v>386</v>
      </c>
      <c r="F134" t="s">
        <v>412</v>
      </c>
      <c r="G134" t="s">
        <v>62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124</v>
      </c>
      <c r="B135">
        <v>134</v>
      </c>
      <c r="C135" t="s">
        <v>413</v>
      </c>
      <c r="D135" t="s">
        <v>414</v>
      </c>
      <c r="E135" t="s">
        <v>386</v>
      </c>
      <c r="F135" t="s">
        <v>412</v>
      </c>
      <c r="G135" t="s">
        <v>62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124</v>
      </c>
      <c r="B136">
        <v>135</v>
      </c>
      <c r="C136" t="s">
        <v>415</v>
      </c>
      <c r="D136" t="s">
        <v>416</v>
      </c>
      <c r="E136" t="s">
        <v>386</v>
      </c>
      <c r="F136" t="s">
        <v>412</v>
      </c>
      <c r="G136" t="s">
        <v>62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124</v>
      </c>
      <c r="B137">
        <v>136</v>
      </c>
      <c r="C137" t="s">
        <v>417</v>
      </c>
      <c r="D137" t="s">
        <v>418</v>
      </c>
      <c r="E137" t="s">
        <v>386</v>
      </c>
      <c r="F137" t="s">
        <v>412</v>
      </c>
      <c r="G137" t="s">
        <v>62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124</v>
      </c>
      <c r="B138">
        <v>137</v>
      </c>
      <c r="C138" t="s">
        <v>419</v>
      </c>
      <c r="D138" t="s">
        <v>420</v>
      </c>
      <c r="E138" t="s">
        <v>386</v>
      </c>
      <c r="F138" t="s">
        <v>412</v>
      </c>
      <c r="G138" t="s">
        <v>62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124</v>
      </c>
      <c r="B139">
        <v>138</v>
      </c>
      <c r="C139" t="s">
        <v>421</v>
      </c>
      <c r="D139" t="s">
        <v>422</v>
      </c>
      <c r="E139" t="s">
        <v>386</v>
      </c>
      <c r="F139" t="s">
        <v>412</v>
      </c>
      <c r="G139" t="s">
        <v>62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124</v>
      </c>
      <c r="B140">
        <v>139</v>
      </c>
      <c r="C140" t="s">
        <v>423</v>
      </c>
      <c r="D140" t="s">
        <v>424</v>
      </c>
      <c r="E140" t="s">
        <v>386</v>
      </c>
      <c r="F140" t="s">
        <v>412</v>
      </c>
      <c r="G140" t="s">
        <v>62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124</v>
      </c>
      <c r="B141">
        <v>140</v>
      </c>
      <c r="C141" t="s">
        <v>425</v>
      </c>
      <c r="D141" t="s">
        <v>426</v>
      </c>
      <c r="E141" t="s">
        <v>386</v>
      </c>
      <c r="F141" t="s">
        <v>412</v>
      </c>
      <c r="G141" t="s">
        <v>62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124</v>
      </c>
      <c r="B142">
        <v>141</v>
      </c>
      <c r="C142" t="s">
        <v>427</v>
      </c>
      <c r="D142" t="s">
        <v>428</v>
      </c>
      <c r="E142" t="s">
        <v>386</v>
      </c>
      <c r="F142" t="s">
        <v>412</v>
      </c>
      <c r="G142" t="s">
        <v>62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124</v>
      </c>
      <c r="B143">
        <v>142</v>
      </c>
      <c r="C143" t="s">
        <v>429</v>
      </c>
      <c r="D143" t="s">
        <v>430</v>
      </c>
      <c r="E143" t="s">
        <v>386</v>
      </c>
      <c r="F143" t="s">
        <v>412</v>
      </c>
      <c r="G143" t="s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124</v>
      </c>
      <c r="B144">
        <v>143</v>
      </c>
      <c r="C144" t="s">
        <v>431</v>
      </c>
      <c r="D144" t="s">
        <v>432</v>
      </c>
      <c r="E144" t="s">
        <v>386</v>
      </c>
      <c r="F144" t="s">
        <v>412</v>
      </c>
      <c r="G144" t="s">
        <v>127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124</v>
      </c>
      <c r="B145">
        <v>144</v>
      </c>
      <c r="C145" t="s">
        <v>433</v>
      </c>
      <c r="D145" t="s">
        <v>434</v>
      </c>
      <c r="E145" t="s">
        <v>386</v>
      </c>
      <c r="F145" t="s">
        <v>412</v>
      </c>
      <c r="G145" t="s">
        <v>62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124</v>
      </c>
      <c r="B146">
        <v>145</v>
      </c>
      <c r="C146" t="s">
        <v>435</v>
      </c>
      <c r="D146" t="s">
        <v>436</v>
      </c>
      <c r="E146" t="s">
        <v>386</v>
      </c>
      <c r="F146" t="s">
        <v>437</v>
      </c>
      <c r="G146" t="s">
        <v>62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124</v>
      </c>
      <c r="B147">
        <v>146</v>
      </c>
      <c r="C147" t="s">
        <v>438</v>
      </c>
      <c r="D147" t="s">
        <v>439</v>
      </c>
      <c r="E147" t="s">
        <v>386</v>
      </c>
      <c r="F147" t="s">
        <v>437</v>
      </c>
      <c r="G147" t="s">
        <v>62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124</v>
      </c>
      <c r="B148">
        <v>147</v>
      </c>
      <c r="C148" t="s">
        <v>440</v>
      </c>
      <c r="D148" t="s">
        <v>441</v>
      </c>
      <c r="E148" t="s">
        <v>386</v>
      </c>
      <c r="F148" t="s">
        <v>437</v>
      </c>
      <c r="G148" t="s">
        <v>127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124</v>
      </c>
      <c r="B149">
        <v>148</v>
      </c>
      <c r="C149" t="s">
        <v>442</v>
      </c>
      <c r="D149" t="s">
        <v>443</v>
      </c>
      <c r="E149" t="s">
        <v>386</v>
      </c>
      <c r="F149" t="s">
        <v>437</v>
      </c>
      <c r="G149" t="s">
        <v>127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124</v>
      </c>
      <c r="B150">
        <v>149</v>
      </c>
      <c r="C150" t="s">
        <v>444</v>
      </c>
      <c r="D150" t="s">
        <v>445</v>
      </c>
      <c r="E150" t="s">
        <v>386</v>
      </c>
      <c r="F150" t="s">
        <v>446</v>
      </c>
      <c r="G150" t="s">
        <v>62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124</v>
      </c>
      <c r="B151">
        <v>150</v>
      </c>
      <c r="C151" t="s">
        <v>447</v>
      </c>
      <c r="D151" t="s">
        <v>448</v>
      </c>
      <c r="E151" t="s">
        <v>386</v>
      </c>
      <c r="F151" t="s">
        <v>446</v>
      </c>
      <c r="G151" t="s">
        <v>127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124</v>
      </c>
      <c r="B152">
        <v>151</v>
      </c>
      <c r="C152" t="s">
        <v>449</v>
      </c>
      <c r="D152" t="s">
        <v>450</v>
      </c>
      <c r="E152" t="s">
        <v>386</v>
      </c>
      <c r="F152" t="s">
        <v>446</v>
      </c>
      <c r="G152" t="s">
        <v>127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124</v>
      </c>
      <c r="B153">
        <v>152</v>
      </c>
      <c r="C153" t="s">
        <v>451</v>
      </c>
      <c r="D153" t="s">
        <v>452</v>
      </c>
      <c r="E153" t="s">
        <v>386</v>
      </c>
      <c r="F153" t="s">
        <v>453</v>
      </c>
      <c r="G153" t="s">
        <v>62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124</v>
      </c>
      <c r="B154">
        <v>153</v>
      </c>
      <c r="C154" t="s">
        <v>454</v>
      </c>
      <c r="D154" t="s">
        <v>455</v>
      </c>
      <c r="E154" t="s">
        <v>386</v>
      </c>
      <c r="F154" t="s">
        <v>453</v>
      </c>
      <c r="G154" t="s">
        <v>127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124</v>
      </c>
      <c r="B155">
        <v>154</v>
      </c>
      <c r="C155" t="s">
        <v>456</v>
      </c>
      <c r="D155" t="s">
        <v>457</v>
      </c>
      <c r="E155" t="s">
        <v>386</v>
      </c>
      <c r="F155" t="s">
        <v>453</v>
      </c>
      <c r="G155" t="s">
        <v>127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124</v>
      </c>
      <c r="B156">
        <v>155</v>
      </c>
      <c r="C156" t="s">
        <v>458</v>
      </c>
      <c r="D156" t="s">
        <v>459</v>
      </c>
      <c r="E156" t="s">
        <v>386</v>
      </c>
      <c r="F156" t="s">
        <v>459</v>
      </c>
      <c r="G156" t="s">
        <v>62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124</v>
      </c>
      <c r="B157">
        <v>156</v>
      </c>
      <c r="C157" t="s">
        <v>460</v>
      </c>
      <c r="D157" t="s">
        <v>461</v>
      </c>
      <c r="E157" t="s">
        <v>386</v>
      </c>
      <c r="F157" t="s">
        <v>237</v>
      </c>
      <c r="G157" t="s">
        <v>127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124</v>
      </c>
      <c r="B158">
        <v>157</v>
      </c>
      <c r="C158" t="s">
        <v>462</v>
      </c>
      <c r="D158" t="s">
        <v>463</v>
      </c>
      <c r="E158" t="s">
        <v>464</v>
      </c>
      <c r="F158" t="s">
        <v>465</v>
      </c>
      <c r="G158" t="s">
        <v>62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124</v>
      </c>
      <c r="B159">
        <v>158</v>
      </c>
      <c r="C159" t="s">
        <v>466</v>
      </c>
      <c r="D159" t="s">
        <v>467</v>
      </c>
      <c r="E159" t="s">
        <v>464</v>
      </c>
      <c r="F159" t="s">
        <v>465</v>
      </c>
      <c r="G159" t="s">
        <v>62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124</v>
      </c>
      <c r="B160">
        <v>159</v>
      </c>
      <c r="C160" t="s">
        <v>468</v>
      </c>
      <c r="D160" t="s">
        <v>469</v>
      </c>
      <c r="E160" t="s">
        <v>464</v>
      </c>
      <c r="F160" t="s">
        <v>465</v>
      </c>
      <c r="G160" t="s">
        <v>62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124</v>
      </c>
      <c r="B161">
        <v>160</v>
      </c>
      <c r="C161" t="s">
        <v>470</v>
      </c>
      <c r="D161" t="s">
        <v>471</v>
      </c>
      <c r="E161" t="s">
        <v>472</v>
      </c>
      <c r="F161" t="s">
        <v>472</v>
      </c>
      <c r="G161" t="s">
        <v>127</v>
      </c>
      <c r="H161">
        <v>91098</v>
      </c>
      <c r="I161">
        <v>96.472777777777694</v>
      </c>
      <c r="J161">
        <v>944.28710459484796</v>
      </c>
      <c r="K161">
        <v>1105.15588984592</v>
      </c>
      <c r="L161">
        <v>82.43</v>
      </c>
      <c r="M161">
        <v>-14.042777777777699</v>
      </c>
      <c r="N161">
        <v>0.85443792434250299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124</v>
      </c>
      <c r="B162">
        <v>161</v>
      </c>
      <c r="C162" t="s">
        <v>473</v>
      </c>
      <c r="D162" t="s">
        <v>474</v>
      </c>
      <c r="E162" t="s">
        <v>472</v>
      </c>
      <c r="F162" t="s">
        <v>472</v>
      </c>
      <c r="G162" t="s">
        <v>127</v>
      </c>
      <c r="H162">
        <v>91098</v>
      </c>
      <c r="I162">
        <v>0</v>
      </c>
      <c r="J162">
        <v>0</v>
      </c>
      <c r="K162">
        <v>6763.02895322939</v>
      </c>
      <c r="L162">
        <v>13.47</v>
      </c>
      <c r="M162">
        <v>13.47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124</v>
      </c>
      <c r="B163">
        <v>162</v>
      </c>
      <c r="C163" t="s">
        <v>475</v>
      </c>
      <c r="D163" t="s">
        <v>476</v>
      </c>
      <c r="E163" t="s">
        <v>472</v>
      </c>
      <c r="F163" t="s">
        <v>472</v>
      </c>
      <c r="G163" t="s">
        <v>127</v>
      </c>
      <c r="H163">
        <v>91098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124</v>
      </c>
      <c r="B164">
        <v>163</v>
      </c>
      <c r="C164" t="s">
        <v>477</v>
      </c>
      <c r="D164" t="s">
        <v>478</v>
      </c>
      <c r="E164" t="s">
        <v>472</v>
      </c>
      <c r="F164" t="s">
        <v>472</v>
      </c>
      <c r="G164" t="s">
        <v>127</v>
      </c>
      <c r="H164">
        <v>91098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124</v>
      </c>
      <c r="B165">
        <v>164</v>
      </c>
      <c r="C165" t="s">
        <v>479</v>
      </c>
      <c r="D165" t="s">
        <v>480</v>
      </c>
      <c r="E165" t="s">
        <v>472</v>
      </c>
      <c r="F165" t="s">
        <v>472</v>
      </c>
      <c r="G165" t="s">
        <v>127</v>
      </c>
      <c r="H165">
        <v>171287</v>
      </c>
      <c r="I165">
        <v>76.350555555555502</v>
      </c>
      <c r="J165">
        <v>2243.4283385844501</v>
      </c>
      <c r="K165">
        <v>2499.999984</v>
      </c>
      <c r="L165">
        <v>68.514800438494703</v>
      </c>
      <c r="M165">
        <v>-7.8357551170608302</v>
      </c>
      <c r="N165">
        <v>0.89737134117695705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124</v>
      </c>
      <c r="B166">
        <v>165</v>
      </c>
      <c r="C166" t="s">
        <v>481</v>
      </c>
      <c r="D166" t="s">
        <v>482</v>
      </c>
      <c r="E166" t="s">
        <v>472</v>
      </c>
      <c r="F166" t="s">
        <v>472</v>
      </c>
      <c r="G166" t="s">
        <v>127</v>
      </c>
      <c r="H166">
        <v>91098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124</v>
      </c>
      <c r="B167">
        <v>166</v>
      </c>
      <c r="C167" t="s">
        <v>483</v>
      </c>
      <c r="D167" t="s">
        <v>484</v>
      </c>
      <c r="E167" t="s">
        <v>485</v>
      </c>
      <c r="F167" t="s">
        <v>486</v>
      </c>
      <c r="G167" t="s">
        <v>336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124</v>
      </c>
      <c r="B168">
        <v>167</v>
      </c>
      <c r="C168" t="s">
        <v>487</v>
      </c>
      <c r="D168" t="s">
        <v>488</v>
      </c>
      <c r="E168" t="s">
        <v>485</v>
      </c>
      <c r="F168" t="s">
        <v>486</v>
      </c>
      <c r="G168" t="s">
        <v>336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124</v>
      </c>
      <c r="B169">
        <v>168</v>
      </c>
      <c r="C169" t="s">
        <v>489</v>
      </c>
      <c r="D169" t="s">
        <v>490</v>
      </c>
      <c r="E169" t="s">
        <v>485</v>
      </c>
      <c r="F169" t="s">
        <v>486</v>
      </c>
      <c r="G169" t="s">
        <v>336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491</v>
      </c>
      <c r="B170">
        <v>1</v>
      </c>
      <c r="C170" t="s">
        <v>492</v>
      </c>
      <c r="D170" t="s">
        <v>493</v>
      </c>
      <c r="E170" t="s">
        <v>494</v>
      </c>
      <c r="F170" t="s">
        <v>494</v>
      </c>
      <c r="G170" t="s">
        <v>62</v>
      </c>
      <c r="H170">
        <v>80189</v>
      </c>
      <c r="I170">
        <v>317.65888888888799</v>
      </c>
      <c r="J170">
        <v>252.43745037478999</v>
      </c>
      <c r="K170">
        <v>271.89916498763802</v>
      </c>
      <c r="L170">
        <v>294.92183252436803</v>
      </c>
      <c r="M170">
        <v>-22.7370563645202</v>
      </c>
      <c r="N170">
        <v>0.92842304383784002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491</v>
      </c>
      <c r="B171">
        <v>2</v>
      </c>
      <c r="C171" t="s">
        <v>495</v>
      </c>
      <c r="D171" t="s">
        <v>496</v>
      </c>
      <c r="E171" t="s">
        <v>494</v>
      </c>
      <c r="F171" t="s">
        <v>494</v>
      </c>
      <c r="G171" t="s">
        <v>62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491</v>
      </c>
      <c r="B172">
        <v>3</v>
      </c>
      <c r="C172" t="s">
        <v>497</v>
      </c>
      <c r="D172" t="s">
        <v>498</v>
      </c>
      <c r="E172" t="s">
        <v>494</v>
      </c>
      <c r="F172" t="s">
        <v>494</v>
      </c>
      <c r="G172" t="s">
        <v>62</v>
      </c>
      <c r="H172">
        <v>80189</v>
      </c>
      <c r="I172">
        <v>317.65888888888799</v>
      </c>
      <c r="J172">
        <v>252.43745037478999</v>
      </c>
      <c r="K172">
        <v>271.89916498763802</v>
      </c>
      <c r="L172">
        <v>294.92183252436803</v>
      </c>
      <c r="M172">
        <v>-22.7370563645202</v>
      </c>
      <c r="N172">
        <v>0.92842304383784002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491</v>
      </c>
      <c r="B173">
        <v>4</v>
      </c>
      <c r="C173" t="s">
        <v>499</v>
      </c>
      <c r="D173" t="s">
        <v>285</v>
      </c>
      <c r="E173" t="s">
        <v>494</v>
      </c>
      <c r="F173" t="s">
        <v>494</v>
      </c>
      <c r="G173" t="s">
        <v>62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491</v>
      </c>
      <c r="B174">
        <v>5</v>
      </c>
      <c r="C174" t="s">
        <v>500</v>
      </c>
      <c r="D174" t="s">
        <v>501</v>
      </c>
      <c r="E174" t="s">
        <v>494</v>
      </c>
      <c r="F174" t="s">
        <v>494</v>
      </c>
      <c r="G174" t="s">
        <v>62</v>
      </c>
      <c r="H174">
        <v>91098</v>
      </c>
      <c r="I174">
        <v>480.91583333333301</v>
      </c>
      <c r="J174">
        <v>189.42607767471401</v>
      </c>
      <c r="K174">
        <v>242.51858089068401</v>
      </c>
      <c r="L174">
        <v>375.63307382646502</v>
      </c>
      <c r="M174">
        <v>-105.282759506868</v>
      </c>
      <c r="N174">
        <v>0.78107861665287603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491</v>
      </c>
      <c r="B175">
        <v>6</v>
      </c>
      <c r="C175" t="s">
        <v>502</v>
      </c>
      <c r="D175" t="s">
        <v>386</v>
      </c>
      <c r="E175" t="s">
        <v>494</v>
      </c>
      <c r="F175" t="s">
        <v>494</v>
      </c>
      <c r="G175" t="s">
        <v>62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491</v>
      </c>
      <c r="B176">
        <v>7</v>
      </c>
      <c r="C176" t="s">
        <v>503</v>
      </c>
      <c r="D176" t="s">
        <v>465</v>
      </c>
      <c r="E176" t="s">
        <v>494</v>
      </c>
      <c r="F176" t="s">
        <v>494</v>
      </c>
      <c r="G176" t="s">
        <v>62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491</v>
      </c>
      <c r="B177">
        <v>8</v>
      </c>
      <c r="C177" t="s">
        <v>504</v>
      </c>
      <c r="D177" t="s">
        <v>472</v>
      </c>
      <c r="E177" t="s">
        <v>494</v>
      </c>
      <c r="F177" t="s">
        <v>494</v>
      </c>
      <c r="G177" t="s">
        <v>62</v>
      </c>
      <c r="H177">
        <v>91098</v>
      </c>
      <c r="I177">
        <v>172.82333333333301</v>
      </c>
      <c r="J177">
        <v>527.11632302736803</v>
      </c>
      <c r="K177">
        <v>554.07420595373003</v>
      </c>
      <c r="L177">
        <v>164.41480043849401</v>
      </c>
      <c r="M177">
        <v>-8.4085328948386202</v>
      </c>
      <c r="N177">
        <v>0.951346078491492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491</v>
      </c>
      <c r="B178">
        <v>9</v>
      </c>
      <c r="C178" t="s">
        <v>505</v>
      </c>
      <c r="D178" t="s">
        <v>485</v>
      </c>
      <c r="E178" t="s">
        <v>494</v>
      </c>
      <c r="F178" t="s">
        <v>494</v>
      </c>
      <c r="G178" t="s">
        <v>336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491</v>
      </c>
      <c r="B179">
        <v>10</v>
      </c>
      <c r="C179" t="s">
        <v>506</v>
      </c>
      <c r="D179" t="s">
        <v>507</v>
      </c>
      <c r="E179" t="s">
        <v>494</v>
      </c>
      <c r="F179" t="s">
        <v>494</v>
      </c>
      <c r="G179" t="s">
        <v>62</v>
      </c>
      <c r="H179">
        <v>171287</v>
      </c>
      <c r="I179">
        <v>971.39805555555495</v>
      </c>
      <c r="J179">
        <v>176.330392078084</v>
      </c>
      <c r="K179">
        <v>205.14157412805</v>
      </c>
      <c r="L179">
        <v>834.96970678932803</v>
      </c>
      <c r="M179">
        <v>-136.42834876622601</v>
      </c>
      <c r="N179">
        <v>0.85955464087458799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508</v>
      </c>
      <c r="B180">
        <v>1</v>
      </c>
      <c r="C180" t="s">
        <v>509</v>
      </c>
      <c r="D180" t="s">
        <v>13</v>
      </c>
      <c r="E180" t="s">
        <v>510</v>
      </c>
      <c r="F180" t="s">
        <v>510</v>
      </c>
      <c r="G180" t="s">
        <v>62</v>
      </c>
      <c r="H180">
        <v>80189</v>
      </c>
      <c r="I180">
        <v>317.65888888888799</v>
      </c>
      <c r="J180">
        <v>252.43745037478999</v>
      </c>
      <c r="K180">
        <v>271.89916498763802</v>
      </c>
      <c r="L180">
        <v>294.92183252436803</v>
      </c>
      <c r="M180">
        <v>-22.7370563645202</v>
      </c>
      <c r="N180">
        <v>0.92842304383784002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508</v>
      </c>
      <c r="B181">
        <v>2</v>
      </c>
      <c r="C181" t="s">
        <v>511</v>
      </c>
      <c r="D181" t="s">
        <v>512</v>
      </c>
      <c r="E181" t="s">
        <v>510</v>
      </c>
      <c r="F181" t="s">
        <v>510</v>
      </c>
      <c r="G181" t="s">
        <v>62</v>
      </c>
      <c r="H181">
        <v>91098</v>
      </c>
      <c r="I181">
        <v>480.91583333333301</v>
      </c>
      <c r="J181">
        <v>189.42607767471401</v>
      </c>
      <c r="K181">
        <v>242.51858089068401</v>
      </c>
      <c r="L181">
        <v>375.63307382646502</v>
      </c>
      <c r="M181">
        <v>-105.282759506868</v>
      </c>
      <c r="N181">
        <v>0.78107861665287603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508</v>
      </c>
      <c r="B182">
        <v>3</v>
      </c>
      <c r="C182" t="s">
        <v>513</v>
      </c>
      <c r="D182" t="s">
        <v>386</v>
      </c>
      <c r="E182" t="s">
        <v>510</v>
      </c>
      <c r="F182" t="s">
        <v>510</v>
      </c>
      <c r="G182" t="s">
        <v>62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508</v>
      </c>
      <c r="B183">
        <v>4</v>
      </c>
      <c r="C183" t="s">
        <v>514</v>
      </c>
      <c r="D183" t="s">
        <v>472</v>
      </c>
      <c r="E183" t="s">
        <v>510</v>
      </c>
      <c r="F183" t="s">
        <v>510</v>
      </c>
      <c r="G183" t="s">
        <v>62</v>
      </c>
      <c r="H183">
        <v>91098</v>
      </c>
      <c r="I183">
        <v>172.82333333333301</v>
      </c>
      <c r="J183">
        <v>527.11632302736803</v>
      </c>
      <c r="K183">
        <v>554.07420595373003</v>
      </c>
      <c r="L183">
        <v>164.41480043849401</v>
      </c>
      <c r="M183">
        <v>-8.4085328948386202</v>
      </c>
      <c r="N183">
        <v>0.951346078491492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508</v>
      </c>
      <c r="B184">
        <v>5</v>
      </c>
      <c r="C184" t="s">
        <v>515</v>
      </c>
      <c r="D184" t="s">
        <v>485</v>
      </c>
      <c r="E184" t="s">
        <v>510</v>
      </c>
      <c r="F184" t="s">
        <v>510</v>
      </c>
      <c r="G184" t="s">
        <v>336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508</v>
      </c>
      <c r="B185">
        <v>6</v>
      </c>
      <c r="C185" t="s">
        <v>516</v>
      </c>
      <c r="D185" t="s">
        <v>507</v>
      </c>
      <c r="E185" t="s">
        <v>510</v>
      </c>
      <c r="F185" t="s">
        <v>510</v>
      </c>
      <c r="G185" t="s">
        <v>62</v>
      </c>
      <c r="H185">
        <v>171287</v>
      </c>
      <c r="I185">
        <v>971.39805555555495</v>
      </c>
      <c r="J185">
        <v>176.330392078084</v>
      </c>
      <c r="K185">
        <v>205.14157412805</v>
      </c>
      <c r="L185">
        <v>834.96970678932803</v>
      </c>
      <c r="M185">
        <v>-136.42834876622601</v>
      </c>
      <c r="N185">
        <v>0.85955464087458799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37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</cols>
  <sheetData>
    <row r="1" spans="1:2" x14ac:dyDescent="0.35">
      <c r="A1" t="s">
        <v>517</v>
      </c>
      <c r="B1" t="s">
        <v>518</v>
      </c>
    </row>
    <row r="2" spans="1:2" x14ac:dyDescent="0.35">
      <c r="A2" t="s">
        <v>519</v>
      </c>
      <c r="B2" t="s">
        <v>654</v>
      </c>
    </row>
    <row r="3" spans="1:2" x14ac:dyDescent="0.35">
      <c r="A3" t="s">
        <v>520</v>
      </c>
      <c r="B3" t="s">
        <v>521</v>
      </c>
    </row>
    <row r="4" spans="1:2" x14ac:dyDescent="0.35">
      <c r="A4" t="s">
        <v>522</v>
      </c>
      <c r="B4">
        <v>165</v>
      </c>
    </row>
    <row r="5" spans="1:2" x14ac:dyDescent="0.35">
      <c r="A5" t="s">
        <v>523</v>
      </c>
      <c r="B5">
        <v>560.18181818181802</v>
      </c>
    </row>
    <row r="6" spans="1:2" x14ac:dyDescent="0.35">
      <c r="A6" t="s">
        <v>524</v>
      </c>
      <c r="B6">
        <v>1075</v>
      </c>
    </row>
    <row r="7" spans="1:2" x14ac:dyDescent="0.35">
      <c r="A7" t="s">
        <v>655</v>
      </c>
      <c r="B7">
        <v>536</v>
      </c>
    </row>
    <row r="8" spans="1:2" x14ac:dyDescent="0.35">
      <c r="A8" t="s">
        <v>656</v>
      </c>
      <c r="B8">
        <v>808</v>
      </c>
    </row>
    <row r="9" spans="1:2" x14ac:dyDescent="0.35">
      <c r="A9" t="s">
        <v>657</v>
      </c>
      <c r="B9">
        <v>1075</v>
      </c>
    </row>
    <row r="10" spans="1:2" x14ac:dyDescent="0.35">
      <c r="A10" t="s">
        <v>658</v>
      </c>
      <c r="B10">
        <v>939</v>
      </c>
    </row>
    <row r="11" spans="1:2" x14ac:dyDescent="0.35">
      <c r="A11" t="s">
        <v>659</v>
      </c>
      <c r="B11">
        <v>309</v>
      </c>
    </row>
    <row r="12" spans="1:2" x14ac:dyDescent="0.35">
      <c r="A12" t="s">
        <v>660</v>
      </c>
      <c r="B12">
        <v>658</v>
      </c>
    </row>
    <row r="13" spans="1:2" x14ac:dyDescent="0.35">
      <c r="A13" t="s">
        <v>661</v>
      </c>
      <c r="B13">
        <v>732</v>
      </c>
    </row>
    <row r="14" spans="1:2" x14ac:dyDescent="0.35">
      <c r="A14" t="s">
        <v>662</v>
      </c>
      <c r="B14">
        <v>275</v>
      </c>
    </row>
    <row r="15" spans="1:2" x14ac:dyDescent="0.35">
      <c r="A15" t="s">
        <v>663</v>
      </c>
      <c r="B15">
        <v>453</v>
      </c>
    </row>
    <row r="16" spans="1:2" x14ac:dyDescent="0.35">
      <c r="A16" t="s">
        <v>664</v>
      </c>
      <c r="B16">
        <v>212</v>
      </c>
    </row>
    <row r="17" spans="1:2" x14ac:dyDescent="0.35">
      <c r="A17" t="s">
        <v>665</v>
      </c>
      <c r="B17">
        <v>165</v>
      </c>
    </row>
    <row r="18" spans="1:2" x14ac:dyDescent="0.35">
      <c r="A18" t="s">
        <v>37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R289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</row>
    <row r="2" spans="1:18" x14ac:dyDescent="0.35">
      <c r="A2" t="s">
        <v>56</v>
      </c>
      <c r="B2" t="s">
        <v>57</v>
      </c>
      <c r="C2" t="s">
        <v>58</v>
      </c>
      <c r="D2">
        <v>100633196</v>
      </c>
      <c r="E2" t="s">
        <v>59</v>
      </c>
      <c r="F2" t="s">
        <v>60</v>
      </c>
      <c r="G2">
        <v>0.3</v>
      </c>
      <c r="H2">
        <v>9.11</v>
      </c>
      <c r="I2">
        <v>0</v>
      </c>
      <c r="J2">
        <v>0</v>
      </c>
      <c r="K2">
        <v>9.41</v>
      </c>
      <c r="L2" t="s">
        <v>61</v>
      </c>
      <c r="M2">
        <v>311</v>
      </c>
      <c r="N2">
        <v>33.049999999999997</v>
      </c>
      <c r="O2" t="s">
        <v>62</v>
      </c>
      <c r="P2" t="s">
        <v>63</v>
      </c>
      <c r="Q2">
        <v>282</v>
      </c>
      <c r="R2">
        <v>925.43</v>
      </c>
    </row>
    <row r="3" spans="1:18" x14ac:dyDescent="0.35">
      <c r="A3" t="s">
        <v>56</v>
      </c>
      <c r="B3" t="s">
        <v>57</v>
      </c>
      <c r="C3" t="s">
        <v>58</v>
      </c>
      <c r="D3">
        <v>100633196</v>
      </c>
      <c r="E3" t="s">
        <v>59</v>
      </c>
      <c r="F3" t="s">
        <v>60</v>
      </c>
      <c r="G3">
        <v>0.3</v>
      </c>
      <c r="H3">
        <v>9.11</v>
      </c>
      <c r="I3">
        <v>0</v>
      </c>
      <c r="J3">
        <v>0</v>
      </c>
      <c r="K3">
        <v>9.41</v>
      </c>
      <c r="L3" t="s">
        <v>61</v>
      </c>
      <c r="M3">
        <v>311</v>
      </c>
      <c r="N3">
        <v>33.049999999999997</v>
      </c>
      <c r="O3" t="s">
        <v>62</v>
      </c>
      <c r="P3" t="s">
        <v>64</v>
      </c>
      <c r="Q3">
        <v>1562</v>
      </c>
      <c r="R3">
        <v>171.54</v>
      </c>
    </row>
    <row r="4" spans="1:18" x14ac:dyDescent="0.35">
      <c r="A4" t="s">
        <v>56</v>
      </c>
      <c r="B4" t="s">
        <v>57</v>
      </c>
      <c r="C4" t="s">
        <v>58</v>
      </c>
      <c r="D4">
        <v>100633196</v>
      </c>
      <c r="E4" t="s">
        <v>59</v>
      </c>
      <c r="F4" t="s">
        <v>60</v>
      </c>
      <c r="G4">
        <v>0.3</v>
      </c>
      <c r="H4">
        <v>9.11</v>
      </c>
      <c r="I4">
        <v>0</v>
      </c>
      <c r="J4">
        <v>0</v>
      </c>
      <c r="K4">
        <v>9.41</v>
      </c>
      <c r="L4" t="s">
        <v>61</v>
      </c>
      <c r="M4">
        <v>311</v>
      </c>
      <c r="N4">
        <v>33.049999999999997</v>
      </c>
      <c r="O4" t="s">
        <v>62</v>
      </c>
      <c r="P4" t="s">
        <v>65</v>
      </c>
      <c r="Q4">
        <v>0</v>
      </c>
      <c r="R4">
        <v>0</v>
      </c>
    </row>
    <row r="5" spans="1:18" x14ac:dyDescent="0.35">
      <c r="A5" t="s">
        <v>56</v>
      </c>
      <c r="B5" t="s">
        <v>57</v>
      </c>
      <c r="C5" t="s">
        <v>58</v>
      </c>
      <c r="D5">
        <v>100633196</v>
      </c>
      <c r="E5" t="s">
        <v>59</v>
      </c>
      <c r="F5" t="s">
        <v>60</v>
      </c>
      <c r="G5">
        <v>0.3</v>
      </c>
      <c r="H5">
        <v>9.11</v>
      </c>
      <c r="I5">
        <v>0</v>
      </c>
      <c r="J5">
        <v>0</v>
      </c>
      <c r="K5">
        <v>9.41</v>
      </c>
      <c r="L5" t="s">
        <v>61</v>
      </c>
      <c r="M5">
        <v>311</v>
      </c>
      <c r="N5">
        <v>33.049999999999997</v>
      </c>
      <c r="O5" t="s">
        <v>62</v>
      </c>
      <c r="P5" t="s">
        <v>66</v>
      </c>
      <c r="Q5">
        <v>0</v>
      </c>
      <c r="R5">
        <v>0</v>
      </c>
    </row>
    <row r="6" spans="1:18" x14ac:dyDescent="0.35">
      <c r="A6" t="s">
        <v>56</v>
      </c>
      <c r="B6" t="s">
        <v>57</v>
      </c>
      <c r="C6" t="s">
        <v>58</v>
      </c>
      <c r="D6">
        <v>100633196</v>
      </c>
      <c r="E6" t="s">
        <v>59</v>
      </c>
      <c r="F6" t="s">
        <v>60</v>
      </c>
      <c r="G6">
        <v>0.3</v>
      </c>
      <c r="H6">
        <v>9.11</v>
      </c>
      <c r="I6">
        <v>0</v>
      </c>
      <c r="J6">
        <v>0</v>
      </c>
      <c r="K6">
        <v>9.41</v>
      </c>
      <c r="L6" t="s">
        <v>61</v>
      </c>
      <c r="M6">
        <v>311</v>
      </c>
      <c r="N6">
        <v>33.049999999999997</v>
      </c>
      <c r="O6" t="s">
        <v>62</v>
      </c>
      <c r="P6" t="s">
        <v>67</v>
      </c>
      <c r="Q6">
        <v>1844</v>
      </c>
      <c r="R6">
        <v>195.94</v>
      </c>
    </row>
    <row r="7" spans="1:18" x14ac:dyDescent="0.35">
      <c r="A7" t="s">
        <v>56</v>
      </c>
      <c r="B7" t="s">
        <v>57</v>
      </c>
      <c r="C7" t="s">
        <v>58</v>
      </c>
      <c r="D7">
        <v>100633196</v>
      </c>
      <c r="E7" t="s">
        <v>59</v>
      </c>
      <c r="F7" t="s">
        <v>60</v>
      </c>
      <c r="G7">
        <v>0.3</v>
      </c>
      <c r="H7">
        <v>9.11</v>
      </c>
      <c r="I7">
        <v>0</v>
      </c>
      <c r="J7">
        <v>0</v>
      </c>
      <c r="K7">
        <v>9.41</v>
      </c>
      <c r="L7" t="s">
        <v>61</v>
      </c>
      <c r="M7">
        <v>311</v>
      </c>
      <c r="N7">
        <v>33.049999999999997</v>
      </c>
      <c r="O7" t="s">
        <v>68</v>
      </c>
      <c r="P7" t="s">
        <v>67</v>
      </c>
      <c r="Q7">
        <v>311</v>
      </c>
      <c r="R7">
        <v>33.049999999999997</v>
      </c>
    </row>
    <row r="8" spans="1:18" x14ac:dyDescent="0.35">
      <c r="A8" t="s">
        <v>56</v>
      </c>
      <c r="B8" t="s">
        <v>57</v>
      </c>
      <c r="C8" t="s">
        <v>58</v>
      </c>
      <c r="D8">
        <v>100633196</v>
      </c>
      <c r="E8" t="s">
        <v>59</v>
      </c>
      <c r="F8" t="s">
        <v>60</v>
      </c>
      <c r="G8">
        <v>0.3</v>
      </c>
      <c r="H8">
        <v>9.11</v>
      </c>
      <c r="I8">
        <v>0</v>
      </c>
      <c r="J8">
        <v>0</v>
      </c>
      <c r="K8">
        <v>9.41</v>
      </c>
      <c r="L8" t="s">
        <v>61</v>
      </c>
      <c r="M8">
        <v>311</v>
      </c>
      <c r="N8">
        <v>33.049999999999997</v>
      </c>
      <c r="O8" t="s">
        <v>69</v>
      </c>
      <c r="P8" t="s">
        <v>67</v>
      </c>
      <c r="Q8">
        <v>0</v>
      </c>
      <c r="R8">
        <v>0</v>
      </c>
    </row>
    <row r="9" spans="1:18" x14ac:dyDescent="0.35">
      <c r="A9" t="s">
        <v>56</v>
      </c>
      <c r="B9" t="s">
        <v>57</v>
      </c>
      <c r="C9" t="s">
        <v>70</v>
      </c>
      <c r="D9">
        <v>100865064</v>
      </c>
      <c r="E9" t="s">
        <v>525</v>
      </c>
      <c r="F9" t="s">
        <v>72</v>
      </c>
      <c r="G9">
        <v>0.45</v>
      </c>
      <c r="H9">
        <v>8.5500000000000007</v>
      </c>
      <c r="I9">
        <v>0</v>
      </c>
      <c r="J9">
        <v>0</v>
      </c>
      <c r="K9">
        <v>9</v>
      </c>
      <c r="L9" t="s">
        <v>61</v>
      </c>
      <c r="M9">
        <v>343</v>
      </c>
      <c r="N9">
        <v>38.11</v>
      </c>
      <c r="O9" t="s">
        <v>62</v>
      </c>
      <c r="P9" t="s">
        <v>63</v>
      </c>
      <c r="Q9">
        <v>336</v>
      </c>
      <c r="R9">
        <v>753.18</v>
      </c>
    </row>
    <row r="10" spans="1:18" x14ac:dyDescent="0.35">
      <c r="A10" t="s">
        <v>56</v>
      </c>
      <c r="B10" t="s">
        <v>57</v>
      </c>
      <c r="C10" t="s">
        <v>70</v>
      </c>
      <c r="D10">
        <v>100865064</v>
      </c>
      <c r="E10" t="s">
        <v>525</v>
      </c>
      <c r="F10" t="s">
        <v>72</v>
      </c>
      <c r="G10">
        <v>0.45</v>
      </c>
      <c r="H10">
        <v>8.5500000000000007</v>
      </c>
      <c r="I10">
        <v>0</v>
      </c>
      <c r="J10">
        <v>0</v>
      </c>
      <c r="K10">
        <v>9</v>
      </c>
      <c r="L10" t="s">
        <v>61</v>
      </c>
      <c r="M10">
        <v>343</v>
      </c>
      <c r="N10">
        <v>38.11</v>
      </c>
      <c r="O10" t="s">
        <v>62</v>
      </c>
      <c r="P10" t="s">
        <v>64</v>
      </c>
      <c r="Q10">
        <v>1194</v>
      </c>
      <c r="R10">
        <v>139.59</v>
      </c>
    </row>
    <row r="11" spans="1:18" x14ac:dyDescent="0.35">
      <c r="A11" t="s">
        <v>56</v>
      </c>
      <c r="B11" t="s">
        <v>57</v>
      </c>
      <c r="C11" t="s">
        <v>70</v>
      </c>
      <c r="D11">
        <v>100865064</v>
      </c>
      <c r="E11" t="s">
        <v>525</v>
      </c>
      <c r="F11" t="s">
        <v>72</v>
      </c>
      <c r="G11">
        <v>0.45</v>
      </c>
      <c r="H11">
        <v>8.5500000000000007</v>
      </c>
      <c r="I11">
        <v>0</v>
      </c>
      <c r="J11">
        <v>0</v>
      </c>
      <c r="K11">
        <v>9</v>
      </c>
      <c r="L11" t="s">
        <v>61</v>
      </c>
      <c r="M11">
        <v>343</v>
      </c>
      <c r="N11">
        <v>38.11</v>
      </c>
      <c r="O11" t="s">
        <v>62</v>
      </c>
      <c r="P11" t="s">
        <v>65</v>
      </c>
      <c r="Q11">
        <v>0</v>
      </c>
      <c r="R11">
        <v>0</v>
      </c>
    </row>
    <row r="12" spans="1:18" x14ac:dyDescent="0.35">
      <c r="A12" t="s">
        <v>56</v>
      </c>
      <c r="B12" t="s">
        <v>57</v>
      </c>
      <c r="C12" t="s">
        <v>70</v>
      </c>
      <c r="D12">
        <v>100865064</v>
      </c>
      <c r="E12" t="s">
        <v>525</v>
      </c>
      <c r="F12" t="s">
        <v>72</v>
      </c>
      <c r="G12">
        <v>0.45</v>
      </c>
      <c r="H12">
        <v>8.5500000000000007</v>
      </c>
      <c r="I12">
        <v>0</v>
      </c>
      <c r="J12">
        <v>0</v>
      </c>
      <c r="K12">
        <v>9</v>
      </c>
      <c r="L12" t="s">
        <v>61</v>
      </c>
      <c r="M12">
        <v>343</v>
      </c>
      <c r="N12">
        <v>38.11</v>
      </c>
      <c r="O12" t="s">
        <v>62</v>
      </c>
      <c r="P12" t="s">
        <v>66</v>
      </c>
      <c r="Q12">
        <v>0</v>
      </c>
      <c r="R12">
        <v>0</v>
      </c>
    </row>
    <row r="13" spans="1:18" x14ac:dyDescent="0.35">
      <c r="A13" t="s">
        <v>56</v>
      </c>
      <c r="B13" t="s">
        <v>57</v>
      </c>
      <c r="C13" t="s">
        <v>70</v>
      </c>
      <c r="D13">
        <v>100865064</v>
      </c>
      <c r="E13" t="s">
        <v>525</v>
      </c>
      <c r="F13" t="s">
        <v>72</v>
      </c>
      <c r="G13">
        <v>0.45</v>
      </c>
      <c r="H13">
        <v>8.5500000000000007</v>
      </c>
      <c r="I13">
        <v>0</v>
      </c>
      <c r="J13">
        <v>0</v>
      </c>
      <c r="K13">
        <v>9</v>
      </c>
      <c r="L13" t="s">
        <v>61</v>
      </c>
      <c r="M13">
        <v>343</v>
      </c>
      <c r="N13">
        <v>38.11</v>
      </c>
      <c r="O13" t="s">
        <v>62</v>
      </c>
      <c r="P13" t="s">
        <v>67</v>
      </c>
      <c r="Q13">
        <v>1530</v>
      </c>
      <c r="R13">
        <v>170</v>
      </c>
    </row>
    <row r="14" spans="1:18" x14ac:dyDescent="0.35">
      <c r="A14" t="s">
        <v>56</v>
      </c>
      <c r="B14" t="s">
        <v>57</v>
      </c>
      <c r="C14" t="s">
        <v>70</v>
      </c>
      <c r="D14">
        <v>100865064</v>
      </c>
      <c r="E14" t="s">
        <v>525</v>
      </c>
      <c r="F14" t="s">
        <v>72</v>
      </c>
      <c r="G14">
        <v>0.45</v>
      </c>
      <c r="H14">
        <v>8.5500000000000007</v>
      </c>
      <c r="I14">
        <v>0</v>
      </c>
      <c r="J14">
        <v>0</v>
      </c>
      <c r="K14">
        <v>9</v>
      </c>
      <c r="L14" t="s">
        <v>61</v>
      </c>
      <c r="M14">
        <v>343</v>
      </c>
      <c r="N14">
        <v>38.11</v>
      </c>
      <c r="O14" t="s">
        <v>68</v>
      </c>
      <c r="P14" t="s">
        <v>67</v>
      </c>
      <c r="Q14">
        <v>344</v>
      </c>
      <c r="R14">
        <v>38.22</v>
      </c>
    </row>
    <row r="15" spans="1:18" x14ac:dyDescent="0.35">
      <c r="A15" t="s">
        <v>56</v>
      </c>
      <c r="B15" t="s">
        <v>57</v>
      </c>
      <c r="C15" t="s">
        <v>70</v>
      </c>
      <c r="D15">
        <v>100865064</v>
      </c>
      <c r="E15" t="s">
        <v>525</v>
      </c>
      <c r="F15" t="s">
        <v>72</v>
      </c>
      <c r="G15">
        <v>0.45</v>
      </c>
      <c r="H15">
        <v>8.5500000000000007</v>
      </c>
      <c r="I15">
        <v>0</v>
      </c>
      <c r="J15">
        <v>0</v>
      </c>
      <c r="K15">
        <v>9</v>
      </c>
      <c r="L15" t="s">
        <v>61</v>
      </c>
      <c r="M15">
        <v>343</v>
      </c>
      <c r="N15">
        <v>38.11</v>
      </c>
      <c r="O15" t="s">
        <v>69</v>
      </c>
      <c r="P15" t="s">
        <v>67</v>
      </c>
      <c r="Q15">
        <v>0</v>
      </c>
      <c r="R15">
        <v>0</v>
      </c>
    </row>
    <row r="16" spans="1:18" x14ac:dyDescent="0.35">
      <c r="A16" t="s">
        <v>56</v>
      </c>
      <c r="B16" t="s">
        <v>57</v>
      </c>
      <c r="C16" t="s">
        <v>58</v>
      </c>
      <c r="D16">
        <v>101446428</v>
      </c>
      <c r="E16" t="s">
        <v>73</v>
      </c>
      <c r="F16" t="s">
        <v>60</v>
      </c>
      <c r="G16">
        <v>0.28000000000000003</v>
      </c>
      <c r="H16">
        <v>9.7200000000000006</v>
      </c>
      <c r="I16">
        <v>0</v>
      </c>
      <c r="J16">
        <v>0</v>
      </c>
      <c r="K16">
        <v>10</v>
      </c>
      <c r="L16" t="s">
        <v>61</v>
      </c>
      <c r="M16">
        <v>317</v>
      </c>
      <c r="N16">
        <v>31.7</v>
      </c>
      <c r="O16" t="s">
        <v>62</v>
      </c>
      <c r="P16" t="s">
        <v>63</v>
      </c>
      <c r="Q16">
        <v>356</v>
      </c>
      <c r="R16">
        <v>1284.17</v>
      </c>
    </row>
    <row r="17" spans="1:18" x14ac:dyDescent="0.35">
      <c r="A17" t="s">
        <v>56</v>
      </c>
      <c r="B17" t="s">
        <v>57</v>
      </c>
      <c r="C17" t="s">
        <v>58</v>
      </c>
      <c r="D17">
        <v>101446428</v>
      </c>
      <c r="E17" t="s">
        <v>73</v>
      </c>
      <c r="F17" t="s">
        <v>60</v>
      </c>
      <c r="G17">
        <v>0.28000000000000003</v>
      </c>
      <c r="H17">
        <v>9.7200000000000006</v>
      </c>
      <c r="I17">
        <v>0</v>
      </c>
      <c r="J17">
        <v>0</v>
      </c>
      <c r="K17">
        <v>10</v>
      </c>
      <c r="L17" t="s">
        <v>61</v>
      </c>
      <c r="M17">
        <v>317</v>
      </c>
      <c r="N17">
        <v>31.7</v>
      </c>
      <c r="O17" t="s">
        <v>62</v>
      </c>
      <c r="P17" t="s">
        <v>64</v>
      </c>
      <c r="Q17">
        <v>2313</v>
      </c>
      <c r="R17">
        <v>237.9</v>
      </c>
    </row>
    <row r="18" spans="1:18" x14ac:dyDescent="0.35">
      <c r="A18" t="s">
        <v>56</v>
      </c>
      <c r="B18" t="s">
        <v>57</v>
      </c>
      <c r="C18" t="s">
        <v>58</v>
      </c>
      <c r="D18">
        <v>101446428</v>
      </c>
      <c r="E18" t="s">
        <v>73</v>
      </c>
      <c r="F18" t="s">
        <v>60</v>
      </c>
      <c r="G18">
        <v>0.28000000000000003</v>
      </c>
      <c r="H18">
        <v>9.7200000000000006</v>
      </c>
      <c r="I18">
        <v>0</v>
      </c>
      <c r="J18">
        <v>0</v>
      </c>
      <c r="K18">
        <v>10</v>
      </c>
      <c r="L18" t="s">
        <v>61</v>
      </c>
      <c r="M18">
        <v>317</v>
      </c>
      <c r="N18">
        <v>31.7</v>
      </c>
      <c r="O18" t="s">
        <v>62</v>
      </c>
      <c r="P18" t="s">
        <v>65</v>
      </c>
      <c r="Q18">
        <v>0</v>
      </c>
      <c r="R18">
        <v>0</v>
      </c>
    </row>
    <row r="19" spans="1:18" x14ac:dyDescent="0.35">
      <c r="A19" t="s">
        <v>56</v>
      </c>
      <c r="B19" t="s">
        <v>57</v>
      </c>
      <c r="C19" t="s">
        <v>58</v>
      </c>
      <c r="D19">
        <v>101446428</v>
      </c>
      <c r="E19" t="s">
        <v>73</v>
      </c>
      <c r="F19" t="s">
        <v>60</v>
      </c>
      <c r="G19">
        <v>0.28000000000000003</v>
      </c>
      <c r="H19">
        <v>9.7200000000000006</v>
      </c>
      <c r="I19">
        <v>0</v>
      </c>
      <c r="J19">
        <v>0</v>
      </c>
      <c r="K19">
        <v>10</v>
      </c>
      <c r="L19" t="s">
        <v>61</v>
      </c>
      <c r="M19">
        <v>317</v>
      </c>
      <c r="N19">
        <v>31.7</v>
      </c>
      <c r="O19" t="s">
        <v>62</v>
      </c>
      <c r="P19" t="s">
        <v>66</v>
      </c>
      <c r="Q19">
        <v>0</v>
      </c>
      <c r="R19">
        <v>0</v>
      </c>
    </row>
    <row r="20" spans="1:18" x14ac:dyDescent="0.35">
      <c r="A20" t="s">
        <v>56</v>
      </c>
      <c r="B20" t="s">
        <v>57</v>
      </c>
      <c r="C20" t="s">
        <v>58</v>
      </c>
      <c r="D20">
        <v>101446428</v>
      </c>
      <c r="E20" t="s">
        <v>73</v>
      </c>
      <c r="F20" t="s">
        <v>60</v>
      </c>
      <c r="G20">
        <v>0.28000000000000003</v>
      </c>
      <c r="H20">
        <v>9.7200000000000006</v>
      </c>
      <c r="I20">
        <v>0</v>
      </c>
      <c r="J20">
        <v>0</v>
      </c>
      <c r="K20">
        <v>10</v>
      </c>
      <c r="L20" t="s">
        <v>61</v>
      </c>
      <c r="M20">
        <v>317</v>
      </c>
      <c r="N20">
        <v>31.7</v>
      </c>
      <c r="O20" t="s">
        <v>62</v>
      </c>
      <c r="P20" t="s">
        <v>67</v>
      </c>
      <c r="Q20">
        <v>2669</v>
      </c>
      <c r="R20">
        <v>266.89999999999998</v>
      </c>
    </row>
    <row r="21" spans="1:18" x14ac:dyDescent="0.35">
      <c r="A21" t="s">
        <v>56</v>
      </c>
      <c r="B21" t="s">
        <v>57</v>
      </c>
      <c r="C21" t="s">
        <v>58</v>
      </c>
      <c r="D21">
        <v>101446428</v>
      </c>
      <c r="E21" t="s">
        <v>73</v>
      </c>
      <c r="F21" t="s">
        <v>60</v>
      </c>
      <c r="G21">
        <v>0.28000000000000003</v>
      </c>
      <c r="H21">
        <v>9.7200000000000006</v>
      </c>
      <c r="I21">
        <v>0</v>
      </c>
      <c r="J21">
        <v>0</v>
      </c>
      <c r="K21">
        <v>10</v>
      </c>
      <c r="L21" t="s">
        <v>61</v>
      </c>
      <c r="M21">
        <v>317</v>
      </c>
      <c r="N21">
        <v>31.7</v>
      </c>
      <c r="O21" t="s">
        <v>68</v>
      </c>
      <c r="P21" t="s">
        <v>67</v>
      </c>
      <c r="Q21">
        <v>317</v>
      </c>
      <c r="R21">
        <v>31.7</v>
      </c>
    </row>
    <row r="22" spans="1:18" x14ac:dyDescent="0.35">
      <c r="A22" t="s">
        <v>56</v>
      </c>
      <c r="B22" t="s">
        <v>57</v>
      </c>
      <c r="C22" t="s">
        <v>58</v>
      </c>
      <c r="D22">
        <v>101446428</v>
      </c>
      <c r="E22" t="s">
        <v>73</v>
      </c>
      <c r="F22" t="s">
        <v>60</v>
      </c>
      <c r="G22">
        <v>0.28000000000000003</v>
      </c>
      <c r="H22">
        <v>9.7200000000000006</v>
      </c>
      <c r="I22">
        <v>0</v>
      </c>
      <c r="J22">
        <v>0</v>
      </c>
      <c r="K22">
        <v>10</v>
      </c>
      <c r="L22" t="s">
        <v>61</v>
      </c>
      <c r="M22">
        <v>317</v>
      </c>
      <c r="N22">
        <v>31.7</v>
      </c>
      <c r="O22" t="s">
        <v>69</v>
      </c>
      <c r="P22" t="s">
        <v>67</v>
      </c>
      <c r="Q22">
        <v>0</v>
      </c>
      <c r="R22">
        <v>0</v>
      </c>
    </row>
    <row r="23" spans="1:18" x14ac:dyDescent="0.35">
      <c r="A23" t="s">
        <v>56</v>
      </c>
      <c r="B23" t="s">
        <v>57</v>
      </c>
      <c r="C23" t="s">
        <v>70</v>
      </c>
      <c r="D23">
        <v>104378003</v>
      </c>
      <c r="E23" t="s">
        <v>526</v>
      </c>
      <c r="F23" t="s">
        <v>72</v>
      </c>
      <c r="G23">
        <v>0.51</v>
      </c>
      <c r="H23">
        <v>8.99</v>
      </c>
      <c r="I23">
        <v>0</v>
      </c>
      <c r="J23">
        <v>0</v>
      </c>
      <c r="K23">
        <v>9.5</v>
      </c>
      <c r="L23" t="s">
        <v>61</v>
      </c>
      <c r="M23">
        <v>410</v>
      </c>
      <c r="N23">
        <v>43.15</v>
      </c>
      <c r="O23" t="s">
        <v>62</v>
      </c>
      <c r="P23" t="s">
        <v>63</v>
      </c>
      <c r="Q23">
        <v>526</v>
      </c>
      <c r="R23">
        <v>1034.19</v>
      </c>
    </row>
    <row r="24" spans="1:18" x14ac:dyDescent="0.35">
      <c r="A24" t="s">
        <v>56</v>
      </c>
      <c r="B24" t="s">
        <v>57</v>
      </c>
      <c r="C24" t="s">
        <v>70</v>
      </c>
      <c r="D24">
        <v>104378003</v>
      </c>
      <c r="E24" t="s">
        <v>526</v>
      </c>
      <c r="F24" t="s">
        <v>72</v>
      </c>
      <c r="G24">
        <v>0.51</v>
      </c>
      <c r="H24">
        <v>8.99</v>
      </c>
      <c r="I24">
        <v>0</v>
      </c>
      <c r="J24">
        <v>0</v>
      </c>
      <c r="K24">
        <v>9.5</v>
      </c>
      <c r="L24" t="s">
        <v>61</v>
      </c>
      <c r="M24">
        <v>410</v>
      </c>
      <c r="N24">
        <v>43.15</v>
      </c>
      <c r="O24" t="s">
        <v>62</v>
      </c>
      <c r="P24" t="s">
        <v>64</v>
      </c>
      <c r="Q24">
        <v>1724</v>
      </c>
      <c r="R24">
        <v>191.71</v>
      </c>
    </row>
    <row r="25" spans="1:18" x14ac:dyDescent="0.35">
      <c r="A25" t="s">
        <v>56</v>
      </c>
      <c r="B25" t="s">
        <v>57</v>
      </c>
      <c r="C25" t="s">
        <v>70</v>
      </c>
      <c r="D25">
        <v>104378003</v>
      </c>
      <c r="E25" t="s">
        <v>526</v>
      </c>
      <c r="F25" t="s">
        <v>72</v>
      </c>
      <c r="G25">
        <v>0.51</v>
      </c>
      <c r="H25">
        <v>8.99</v>
      </c>
      <c r="I25">
        <v>0</v>
      </c>
      <c r="J25">
        <v>0</v>
      </c>
      <c r="K25">
        <v>9.5</v>
      </c>
      <c r="L25" t="s">
        <v>61</v>
      </c>
      <c r="M25">
        <v>410</v>
      </c>
      <c r="N25">
        <v>43.15</v>
      </c>
      <c r="O25" t="s">
        <v>62</v>
      </c>
      <c r="P25" t="s">
        <v>65</v>
      </c>
      <c r="Q25">
        <v>0</v>
      </c>
      <c r="R25">
        <v>0</v>
      </c>
    </row>
    <row r="26" spans="1:18" x14ac:dyDescent="0.35">
      <c r="A26" t="s">
        <v>56</v>
      </c>
      <c r="B26" t="s">
        <v>57</v>
      </c>
      <c r="C26" t="s">
        <v>70</v>
      </c>
      <c r="D26">
        <v>104378003</v>
      </c>
      <c r="E26" t="s">
        <v>526</v>
      </c>
      <c r="F26" t="s">
        <v>72</v>
      </c>
      <c r="G26">
        <v>0.51</v>
      </c>
      <c r="H26">
        <v>8.99</v>
      </c>
      <c r="I26">
        <v>0</v>
      </c>
      <c r="J26">
        <v>0</v>
      </c>
      <c r="K26">
        <v>9.5</v>
      </c>
      <c r="L26" t="s">
        <v>61</v>
      </c>
      <c r="M26">
        <v>410</v>
      </c>
      <c r="N26">
        <v>43.15</v>
      </c>
      <c r="O26" t="s">
        <v>62</v>
      </c>
      <c r="P26" t="s">
        <v>66</v>
      </c>
      <c r="Q26">
        <v>0</v>
      </c>
      <c r="R26">
        <v>0</v>
      </c>
    </row>
    <row r="27" spans="1:18" x14ac:dyDescent="0.35">
      <c r="A27" t="s">
        <v>56</v>
      </c>
      <c r="B27" t="s">
        <v>57</v>
      </c>
      <c r="C27" t="s">
        <v>70</v>
      </c>
      <c r="D27">
        <v>104378003</v>
      </c>
      <c r="E27" t="s">
        <v>526</v>
      </c>
      <c r="F27" t="s">
        <v>72</v>
      </c>
      <c r="G27">
        <v>0.51</v>
      </c>
      <c r="H27">
        <v>8.99</v>
      </c>
      <c r="I27">
        <v>0</v>
      </c>
      <c r="J27">
        <v>0</v>
      </c>
      <c r="K27">
        <v>9.5</v>
      </c>
      <c r="L27" t="s">
        <v>61</v>
      </c>
      <c r="M27">
        <v>410</v>
      </c>
      <c r="N27">
        <v>43.15</v>
      </c>
      <c r="O27" t="s">
        <v>62</v>
      </c>
      <c r="P27" t="s">
        <v>67</v>
      </c>
      <c r="Q27">
        <v>2250</v>
      </c>
      <c r="R27">
        <v>236.8</v>
      </c>
    </row>
    <row r="28" spans="1:18" x14ac:dyDescent="0.35">
      <c r="A28" t="s">
        <v>56</v>
      </c>
      <c r="B28" t="s">
        <v>57</v>
      </c>
      <c r="C28" t="s">
        <v>70</v>
      </c>
      <c r="D28">
        <v>104378003</v>
      </c>
      <c r="E28" t="s">
        <v>526</v>
      </c>
      <c r="F28" t="s">
        <v>72</v>
      </c>
      <c r="G28">
        <v>0.51</v>
      </c>
      <c r="H28">
        <v>8.99</v>
      </c>
      <c r="I28">
        <v>0</v>
      </c>
      <c r="J28">
        <v>0</v>
      </c>
      <c r="K28">
        <v>9.5</v>
      </c>
      <c r="L28" t="s">
        <v>61</v>
      </c>
      <c r="M28">
        <v>410</v>
      </c>
      <c r="N28">
        <v>43.15</v>
      </c>
      <c r="O28" t="s">
        <v>68</v>
      </c>
      <c r="P28" t="s">
        <v>67</v>
      </c>
      <c r="Q28">
        <v>410</v>
      </c>
      <c r="R28">
        <v>43.15</v>
      </c>
    </row>
    <row r="29" spans="1:18" x14ac:dyDescent="0.35">
      <c r="A29" t="s">
        <v>56</v>
      </c>
      <c r="B29" t="s">
        <v>57</v>
      </c>
      <c r="C29" t="s">
        <v>70</v>
      </c>
      <c r="D29">
        <v>104378003</v>
      </c>
      <c r="E29" t="s">
        <v>526</v>
      </c>
      <c r="F29" t="s">
        <v>72</v>
      </c>
      <c r="G29">
        <v>0.51</v>
      </c>
      <c r="H29">
        <v>8.99</v>
      </c>
      <c r="I29">
        <v>0</v>
      </c>
      <c r="J29">
        <v>0</v>
      </c>
      <c r="K29">
        <v>9.5</v>
      </c>
      <c r="L29" t="s">
        <v>61</v>
      </c>
      <c r="M29">
        <v>410</v>
      </c>
      <c r="N29">
        <v>43.15</v>
      </c>
      <c r="O29" t="s">
        <v>69</v>
      </c>
      <c r="P29" t="s">
        <v>67</v>
      </c>
      <c r="Q29">
        <v>0</v>
      </c>
      <c r="R29">
        <v>0</v>
      </c>
    </row>
    <row r="30" spans="1:18" x14ac:dyDescent="0.35">
      <c r="A30" t="s">
        <v>56</v>
      </c>
      <c r="B30" t="s">
        <v>57</v>
      </c>
      <c r="C30" t="s">
        <v>70</v>
      </c>
      <c r="D30">
        <v>105749066</v>
      </c>
      <c r="E30" t="s">
        <v>666</v>
      </c>
      <c r="F30" t="s">
        <v>72</v>
      </c>
      <c r="G30">
        <v>0.65</v>
      </c>
      <c r="H30">
        <v>9.35</v>
      </c>
      <c r="I30">
        <v>0</v>
      </c>
      <c r="J30">
        <v>0</v>
      </c>
      <c r="K30">
        <v>10</v>
      </c>
      <c r="L30" t="s">
        <v>61</v>
      </c>
      <c r="M30">
        <v>387</v>
      </c>
      <c r="N30">
        <v>38.700000000000003</v>
      </c>
      <c r="O30" t="s">
        <v>62</v>
      </c>
      <c r="P30" t="s">
        <v>63</v>
      </c>
      <c r="Q30">
        <v>1004</v>
      </c>
      <c r="R30">
        <v>1548.59</v>
      </c>
    </row>
    <row r="31" spans="1:18" x14ac:dyDescent="0.35">
      <c r="A31" t="s">
        <v>56</v>
      </c>
      <c r="B31" t="s">
        <v>57</v>
      </c>
      <c r="C31" t="s">
        <v>70</v>
      </c>
      <c r="D31">
        <v>105749066</v>
      </c>
      <c r="E31" t="s">
        <v>666</v>
      </c>
      <c r="F31" t="s">
        <v>72</v>
      </c>
      <c r="G31">
        <v>0.65</v>
      </c>
      <c r="H31">
        <v>9.35</v>
      </c>
      <c r="I31">
        <v>0</v>
      </c>
      <c r="J31">
        <v>0</v>
      </c>
      <c r="K31">
        <v>10</v>
      </c>
      <c r="L31" t="s">
        <v>61</v>
      </c>
      <c r="M31">
        <v>387</v>
      </c>
      <c r="N31">
        <v>38.700000000000003</v>
      </c>
      <c r="O31" t="s">
        <v>62</v>
      </c>
      <c r="P31" t="s">
        <v>64</v>
      </c>
      <c r="Q31">
        <v>2685</v>
      </c>
      <c r="R31">
        <v>287.12</v>
      </c>
    </row>
    <row r="32" spans="1:18" x14ac:dyDescent="0.35">
      <c r="A32" t="s">
        <v>56</v>
      </c>
      <c r="B32" t="s">
        <v>57</v>
      </c>
      <c r="C32" t="s">
        <v>70</v>
      </c>
      <c r="D32">
        <v>105749066</v>
      </c>
      <c r="E32" t="s">
        <v>666</v>
      </c>
      <c r="F32" t="s">
        <v>72</v>
      </c>
      <c r="G32">
        <v>0.65</v>
      </c>
      <c r="H32">
        <v>9.35</v>
      </c>
      <c r="I32">
        <v>0</v>
      </c>
      <c r="J32">
        <v>0</v>
      </c>
      <c r="K32">
        <v>10</v>
      </c>
      <c r="L32" t="s">
        <v>61</v>
      </c>
      <c r="M32">
        <v>387</v>
      </c>
      <c r="N32">
        <v>38.700000000000003</v>
      </c>
      <c r="O32" t="s">
        <v>62</v>
      </c>
      <c r="P32" t="s">
        <v>65</v>
      </c>
      <c r="Q32">
        <v>0</v>
      </c>
      <c r="R32">
        <v>0</v>
      </c>
    </row>
    <row r="33" spans="1:18" x14ac:dyDescent="0.35">
      <c r="A33" t="s">
        <v>56</v>
      </c>
      <c r="B33" t="s">
        <v>57</v>
      </c>
      <c r="C33" t="s">
        <v>70</v>
      </c>
      <c r="D33">
        <v>105749066</v>
      </c>
      <c r="E33" t="s">
        <v>666</v>
      </c>
      <c r="F33" t="s">
        <v>72</v>
      </c>
      <c r="G33">
        <v>0.65</v>
      </c>
      <c r="H33">
        <v>9.35</v>
      </c>
      <c r="I33">
        <v>0</v>
      </c>
      <c r="J33">
        <v>0</v>
      </c>
      <c r="K33">
        <v>10</v>
      </c>
      <c r="L33" t="s">
        <v>61</v>
      </c>
      <c r="M33">
        <v>387</v>
      </c>
      <c r="N33">
        <v>38.700000000000003</v>
      </c>
      <c r="O33" t="s">
        <v>62</v>
      </c>
      <c r="P33" t="s">
        <v>66</v>
      </c>
      <c r="Q33">
        <v>0</v>
      </c>
      <c r="R33">
        <v>0</v>
      </c>
    </row>
    <row r="34" spans="1:18" x14ac:dyDescent="0.35">
      <c r="A34" t="s">
        <v>56</v>
      </c>
      <c r="B34" t="s">
        <v>57</v>
      </c>
      <c r="C34" t="s">
        <v>70</v>
      </c>
      <c r="D34">
        <v>105749066</v>
      </c>
      <c r="E34" t="s">
        <v>666</v>
      </c>
      <c r="F34" t="s">
        <v>72</v>
      </c>
      <c r="G34">
        <v>0.65</v>
      </c>
      <c r="H34">
        <v>9.35</v>
      </c>
      <c r="I34">
        <v>0</v>
      </c>
      <c r="J34">
        <v>0</v>
      </c>
      <c r="K34">
        <v>10</v>
      </c>
      <c r="L34" t="s">
        <v>61</v>
      </c>
      <c r="M34">
        <v>387</v>
      </c>
      <c r="N34">
        <v>38.700000000000003</v>
      </c>
      <c r="O34" t="s">
        <v>62</v>
      </c>
      <c r="P34" t="s">
        <v>67</v>
      </c>
      <c r="Q34">
        <v>3689</v>
      </c>
      <c r="R34">
        <v>368.9</v>
      </c>
    </row>
    <row r="35" spans="1:18" x14ac:dyDescent="0.35">
      <c r="A35" t="s">
        <v>56</v>
      </c>
      <c r="B35" t="s">
        <v>57</v>
      </c>
      <c r="C35" t="s">
        <v>70</v>
      </c>
      <c r="D35">
        <v>105749066</v>
      </c>
      <c r="E35" t="s">
        <v>666</v>
      </c>
      <c r="F35" t="s">
        <v>72</v>
      </c>
      <c r="G35">
        <v>0.65</v>
      </c>
      <c r="H35">
        <v>9.35</v>
      </c>
      <c r="I35">
        <v>0</v>
      </c>
      <c r="J35">
        <v>0</v>
      </c>
      <c r="K35">
        <v>10</v>
      </c>
      <c r="L35" t="s">
        <v>61</v>
      </c>
      <c r="M35">
        <v>387</v>
      </c>
      <c r="N35">
        <v>38.700000000000003</v>
      </c>
      <c r="O35" t="s">
        <v>68</v>
      </c>
      <c r="P35" t="s">
        <v>67</v>
      </c>
      <c r="Q35">
        <v>387</v>
      </c>
      <c r="R35">
        <v>38.700000000000003</v>
      </c>
    </row>
    <row r="36" spans="1:18" x14ac:dyDescent="0.35">
      <c r="A36" t="s">
        <v>56</v>
      </c>
      <c r="B36" t="s">
        <v>57</v>
      </c>
      <c r="C36" t="s">
        <v>70</v>
      </c>
      <c r="D36">
        <v>105749066</v>
      </c>
      <c r="E36" t="s">
        <v>666</v>
      </c>
      <c r="F36" t="s">
        <v>72</v>
      </c>
      <c r="G36">
        <v>0.65</v>
      </c>
      <c r="H36">
        <v>9.35</v>
      </c>
      <c r="I36">
        <v>0</v>
      </c>
      <c r="J36">
        <v>0</v>
      </c>
      <c r="K36">
        <v>10</v>
      </c>
      <c r="L36" t="s">
        <v>61</v>
      </c>
      <c r="M36">
        <v>387</v>
      </c>
      <c r="N36">
        <v>38.700000000000003</v>
      </c>
      <c r="O36" t="s">
        <v>69</v>
      </c>
      <c r="P36" t="s">
        <v>67</v>
      </c>
      <c r="Q36">
        <v>0</v>
      </c>
      <c r="R36">
        <v>0</v>
      </c>
    </row>
    <row r="37" spans="1:18" x14ac:dyDescent="0.35">
      <c r="A37" t="s">
        <v>56</v>
      </c>
      <c r="B37" t="s">
        <v>57</v>
      </c>
      <c r="C37" t="s">
        <v>70</v>
      </c>
      <c r="D37">
        <v>105750200</v>
      </c>
      <c r="E37" t="s">
        <v>577</v>
      </c>
      <c r="F37" t="s">
        <v>78</v>
      </c>
      <c r="G37">
        <v>0.99</v>
      </c>
      <c r="H37">
        <v>9</v>
      </c>
      <c r="I37">
        <v>0</v>
      </c>
      <c r="J37">
        <v>0</v>
      </c>
      <c r="K37">
        <v>10</v>
      </c>
      <c r="L37" t="s">
        <v>61</v>
      </c>
      <c r="M37">
        <v>393</v>
      </c>
      <c r="N37">
        <v>39.299999999999997</v>
      </c>
      <c r="O37" t="s">
        <v>62</v>
      </c>
      <c r="P37" t="s">
        <v>63</v>
      </c>
      <c r="Q37">
        <v>1636</v>
      </c>
      <c r="R37">
        <v>1644.22</v>
      </c>
    </row>
    <row r="38" spans="1:18" x14ac:dyDescent="0.35">
      <c r="A38" t="s">
        <v>56</v>
      </c>
      <c r="B38" t="s">
        <v>57</v>
      </c>
      <c r="C38" t="s">
        <v>70</v>
      </c>
      <c r="D38">
        <v>105750200</v>
      </c>
      <c r="E38" t="s">
        <v>577</v>
      </c>
      <c r="F38" t="s">
        <v>78</v>
      </c>
      <c r="G38">
        <v>0.99</v>
      </c>
      <c r="H38">
        <v>9</v>
      </c>
      <c r="I38">
        <v>0</v>
      </c>
      <c r="J38">
        <v>0</v>
      </c>
      <c r="K38">
        <v>10</v>
      </c>
      <c r="L38" t="s">
        <v>61</v>
      </c>
      <c r="M38">
        <v>393</v>
      </c>
      <c r="N38">
        <v>39.299999999999997</v>
      </c>
      <c r="O38" t="s">
        <v>62</v>
      </c>
      <c r="P38" t="s">
        <v>64</v>
      </c>
      <c r="Q38">
        <v>2745</v>
      </c>
      <c r="R38">
        <v>304.83999999999997</v>
      </c>
    </row>
    <row r="39" spans="1:18" x14ac:dyDescent="0.35">
      <c r="A39" t="s">
        <v>56</v>
      </c>
      <c r="B39" t="s">
        <v>57</v>
      </c>
      <c r="C39" t="s">
        <v>70</v>
      </c>
      <c r="D39">
        <v>105750200</v>
      </c>
      <c r="E39" t="s">
        <v>577</v>
      </c>
      <c r="F39" t="s">
        <v>78</v>
      </c>
      <c r="G39">
        <v>0.99</v>
      </c>
      <c r="H39">
        <v>9</v>
      </c>
      <c r="I39">
        <v>0</v>
      </c>
      <c r="J39">
        <v>0</v>
      </c>
      <c r="K39">
        <v>10</v>
      </c>
      <c r="L39" t="s">
        <v>61</v>
      </c>
      <c r="M39">
        <v>393</v>
      </c>
      <c r="N39">
        <v>39.299999999999997</v>
      </c>
      <c r="O39" t="s">
        <v>62</v>
      </c>
      <c r="P39" t="s">
        <v>65</v>
      </c>
      <c r="Q39">
        <v>0</v>
      </c>
      <c r="R39">
        <v>0</v>
      </c>
    </row>
    <row r="40" spans="1:18" x14ac:dyDescent="0.35">
      <c r="A40" t="s">
        <v>56</v>
      </c>
      <c r="B40" t="s">
        <v>57</v>
      </c>
      <c r="C40" t="s">
        <v>70</v>
      </c>
      <c r="D40">
        <v>105750200</v>
      </c>
      <c r="E40" t="s">
        <v>577</v>
      </c>
      <c r="F40" t="s">
        <v>78</v>
      </c>
      <c r="G40">
        <v>0.99</v>
      </c>
      <c r="H40">
        <v>9</v>
      </c>
      <c r="I40">
        <v>0</v>
      </c>
      <c r="J40">
        <v>0</v>
      </c>
      <c r="K40">
        <v>10</v>
      </c>
      <c r="L40" t="s">
        <v>61</v>
      </c>
      <c r="M40">
        <v>393</v>
      </c>
      <c r="N40">
        <v>39.299999999999997</v>
      </c>
      <c r="O40" t="s">
        <v>62</v>
      </c>
      <c r="P40" t="s">
        <v>66</v>
      </c>
      <c r="Q40">
        <v>0</v>
      </c>
      <c r="R40">
        <v>0</v>
      </c>
    </row>
    <row r="41" spans="1:18" x14ac:dyDescent="0.35">
      <c r="A41" t="s">
        <v>56</v>
      </c>
      <c r="B41" t="s">
        <v>57</v>
      </c>
      <c r="C41" t="s">
        <v>70</v>
      </c>
      <c r="D41">
        <v>105750200</v>
      </c>
      <c r="E41" t="s">
        <v>577</v>
      </c>
      <c r="F41" t="s">
        <v>78</v>
      </c>
      <c r="G41">
        <v>0.99</v>
      </c>
      <c r="H41">
        <v>9</v>
      </c>
      <c r="I41">
        <v>0</v>
      </c>
      <c r="J41">
        <v>0</v>
      </c>
      <c r="K41">
        <v>10</v>
      </c>
      <c r="L41" t="s">
        <v>61</v>
      </c>
      <c r="M41">
        <v>393</v>
      </c>
      <c r="N41">
        <v>39.299999999999997</v>
      </c>
      <c r="O41" t="s">
        <v>62</v>
      </c>
      <c r="P41" t="s">
        <v>67</v>
      </c>
      <c r="Q41">
        <v>4381</v>
      </c>
      <c r="R41">
        <v>438.1</v>
      </c>
    </row>
    <row r="42" spans="1:18" x14ac:dyDescent="0.35">
      <c r="A42" t="s">
        <v>56</v>
      </c>
      <c r="B42" t="s">
        <v>57</v>
      </c>
      <c r="C42" t="s">
        <v>70</v>
      </c>
      <c r="D42">
        <v>105750200</v>
      </c>
      <c r="E42" t="s">
        <v>577</v>
      </c>
      <c r="F42" t="s">
        <v>78</v>
      </c>
      <c r="G42">
        <v>0.99</v>
      </c>
      <c r="H42">
        <v>9</v>
      </c>
      <c r="I42">
        <v>0</v>
      </c>
      <c r="J42">
        <v>0</v>
      </c>
      <c r="K42">
        <v>10</v>
      </c>
      <c r="L42" t="s">
        <v>61</v>
      </c>
      <c r="M42">
        <v>393</v>
      </c>
      <c r="N42">
        <v>39.299999999999997</v>
      </c>
      <c r="O42" t="s">
        <v>68</v>
      </c>
      <c r="P42" t="s">
        <v>67</v>
      </c>
      <c r="Q42">
        <v>393</v>
      </c>
      <c r="R42">
        <v>39.299999999999997</v>
      </c>
    </row>
    <row r="43" spans="1:18" x14ac:dyDescent="0.35">
      <c r="A43" t="s">
        <v>56</v>
      </c>
      <c r="B43" t="s">
        <v>57</v>
      </c>
      <c r="C43" t="s">
        <v>70</v>
      </c>
      <c r="D43">
        <v>105750200</v>
      </c>
      <c r="E43" t="s">
        <v>577</v>
      </c>
      <c r="F43" t="s">
        <v>78</v>
      </c>
      <c r="G43">
        <v>0.99</v>
      </c>
      <c r="H43">
        <v>9</v>
      </c>
      <c r="I43">
        <v>0</v>
      </c>
      <c r="J43">
        <v>0</v>
      </c>
      <c r="K43">
        <v>10</v>
      </c>
      <c r="L43" t="s">
        <v>61</v>
      </c>
      <c r="M43">
        <v>393</v>
      </c>
      <c r="N43">
        <v>39.299999999999997</v>
      </c>
      <c r="O43" t="s">
        <v>69</v>
      </c>
      <c r="P43" t="s">
        <v>67</v>
      </c>
      <c r="Q43">
        <v>0</v>
      </c>
      <c r="R43">
        <v>0</v>
      </c>
    </row>
    <row r="44" spans="1:18" x14ac:dyDescent="0.35">
      <c r="A44" t="s">
        <v>56</v>
      </c>
      <c r="B44" t="s">
        <v>57</v>
      </c>
      <c r="C44" t="s">
        <v>70</v>
      </c>
      <c r="D44">
        <v>106036050</v>
      </c>
      <c r="E44" t="s">
        <v>79</v>
      </c>
      <c r="F44" t="s">
        <v>60</v>
      </c>
      <c r="G44">
        <v>0.74</v>
      </c>
      <c r="H44">
        <v>3.71</v>
      </c>
      <c r="I44">
        <v>0</v>
      </c>
      <c r="J44">
        <v>0</v>
      </c>
      <c r="K44">
        <v>4.45</v>
      </c>
      <c r="L44" t="s">
        <v>61</v>
      </c>
      <c r="M44">
        <v>149</v>
      </c>
      <c r="N44">
        <v>33.479999999999997</v>
      </c>
      <c r="O44" t="s">
        <v>62</v>
      </c>
      <c r="P44" t="s">
        <v>63</v>
      </c>
      <c r="Q44">
        <v>900</v>
      </c>
      <c r="R44">
        <v>1224.03</v>
      </c>
    </row>
    <row r="45" spans="1:18" x14ac:dyDescent="0.35">
      <c r="A45" t="s">
        <v>56</v>
      </c>
      <c r="B45" t="s">
        <v>57</v>
      </c>
      <c r="C45" t="s">
        <v>70</v>
      </c>
      <c r="D45">
        <v>106036050</v>
      </c>
      <c r="E45" t="s">
        <v>79</v>
      </c>
      <c r="F45" t="s">
        <v>60</v>
      </c>
      <c r="G45">
        <v>0.74</v>
      </c>
      <c r="H45">
        <v>3.71</v>
      </c>
      <c r="I45">
        <v>0</v>
      </c>
      <c r="J45">
        <v>0</v>
      </c>
      <c r="K45">
        <v>4.45</v>
      </c>
      <c r="L45" t="s">
        <v>61</v>
      </c>
      <c r="M45">
        <v>149</v>
      </c>
      <c r="N45">
        <v>33.479999999999997</v>
      </c>
      <c r="O45" t="s">
        <v>62</v>
      </c>
      <c r="P45" t="s">
        <v>64</v>
      </c>
      <c r="Q45">
        <v>843</v>
      </c>
      <c r="R45">
        <v>226.95</v>
      </c>
    </row>
    <row r="46" spans="1:18" x14ac:dyDescent="0.35">
      <c r="A46" t="s">
        <v>56</v>
      </c>
      <c r="B46" t="s">
        <v>57</v>
      </c>
      <c r="C46" t="s">
        <v>70</v>
      </c>
      <c r="D46">
        <v>106036050</v>
      </c>
      <c r="E46" t="s">
        <v>79</v>
      </c>
      <c r="F46" t="s">
        <v>60</v>
      </c>
      <c r="G46">
        <v>0.74</v>
      </c>
      <c r="H46">
        <v>3.71</v>
      </c>
      <c r="I46">
        <v>0</v>
      </c>
      <c r="J46">
        <v>0</v>
      </c>
      <c r="K46">
        <v>4.45</v>
      </c>
      <c r="L46" t="s">
        <v>61</v>
      </c>
      <c r="M46">
        <v>149</v>
      </c>
      <c r="N46">
        <v>33.479999999999997</v>
      </c>
      <c r="O46" t="s">
        <v>62</v>
      </c>
      <c r="P46" t="s">
        <v>65</v>
      </c>
      <c r="Q46">
        <v>0</v>
      </c>
      <c r="R46">
        <v>0</v>
      </c>
    </row>
    <row r="47" spans="1:18" x14ac:dyDescent="0.35">
      <c r="A47" t="s">
        <v>56</v>
      </c>
      <c r="B47" t="s">
        <v>57</v>
      </c>
      <c r="C47" t="s">
        <v>70</v>
      </c>
      <c r="D47">
        <v>106036050</v>
      </c>
      <c r="E47" t="s">
        <v>79</v>
      </c>
      <c r="F47" t="s">
        <v>60</v>
      </c>
      <c r="G47">
        <v>0.74</v>
      </c>
      <c r="H47">
        <v>3.71</v>
      </c>
      <c r="I47">
        <v>0</v>
      </c>
      <c r="J47">
        <v>0</v>
      </c>
      <c r="K47">
        <v>4.45</v>
      </c>
      <c r="L47" t="s">
        <v>61</v>
      </c>
      <c r="M47">
        <v>149</v>
      </c>
      <c r="N47">
        <v>33.479999999999997</v>
      </c>
      <c r="O47" t="s">
        <v>62</v>
      </c>
      <c r="P47" t="s">
        <v>66</v>
      </c>
      <c r="Q47">
        <v>0</v>
      </c>
      <c r="R47">
        <v>0</v>
      </c>
    </row>
    <row r="48" spans="1:18" x14ac:dyDescent="0.35">
      <c r="A48" t="s">
        <v>56</v>
      </c>
      <c r="B48" t="s">
        <v>57</v>
      </c>
      <c r="C48" t="s">
        <v>70</v>
      </c>
      <c r="D48">
        <v>106036050</v>
      </c>
      <c r="E48" t="s">
        <v>79</v>
      </c>
      <c r="F48" t="s">
        <v>60</v>
      </c>
      <c r="G48">
        <v>0.74</v>
      </c>
      <c r="H48">
        <v>3.71</v>
      </c>
      <c r="I48">
        <v>0</v>
      </c>
      <c r="J48">
        <v>0</v>
      </c>
      <c r="K48">
        <v>4.45</v>
      </c>
      <c r="L48" t="s">
        <v>61</v>
      </c>
      <c r="M48">
        <v>149</v>
      </c>
      <c r="N48">
        <v>33.479999999999997</v>
      </c>
      <c r="O48" t="s">
        <v>62</v>
      </c>
      <c r="P48" t="s">
        <v>67</v>
      </c>
      <c r="Q48">
        <v>1743</v>
      </c>
      <c r="R48">
        <v>391.69</v>
      </c>
    </row>
    <row r="49" spans="1:18" x14ac:dyDescent="0.35">
      <c r="A49" t="s">
        <v>56</v>
      </c>
      <c r="B49" t="s">
        <v>57</v>
      </c>
      <c r="C49" t="s">
        <v>70</v>
      </c>
      <c r="D49">
        <v>106036050</v>
      </c>
      <c r="E49" t="s">
        <v>79</v>
      </c>
      <c r="F49" t="s">
        <v>60</v>
      </c>
      <c r="G49">
        <v>0.74</v>
      </c>
      <c r="H49">
        <v>3.71</v>
      </c>
      <c r="I49">
        <v>0</v>
      </c>
      <c r="J49">
        <v>0</v>
      </c>
      <c r="K49">
        <v>4.45</v>
      </c>
      <c r="L49" t="s">
        <v>61</v>
      </c>
      <c r="M49">
        <v>149</v>
      </c>
      <c r="N49">
        <v>33.479999999999997</v>
      </c>
      <c r="O49" t="s">
        <v>68</v>
      </c>
      <c r="P49" t="s">
        <v>67</v>
      </c>
      <c r="Q49">
        <v>149</v>
      </c>
      <c r="R49">
        <v>33.479999999999997</v>
      </c>
    </row>
    <row r="50" spans="1:18" x14ac:dyDescent="0.35">
      <c r="A50" t="s">
        <v>56</v>
      </c>
      <c r="B50" t="s">
        <v>57</v>
      </c>
      <c r="C50" t="s">
        <v>70</v>
      </c>
      <c r="D50">
        <v>106036050</v>
      </c>
      <c r="E50" t="s">
        <v>79</v>
      </c>
      <c r="F50" t="s">
        <v>60</v>
      </c>
      <c r="G50">
        <v>0.74</v>
      </c>
      <c r="H50">
        <v>3.71</v>
      </c>
      <c r="I50">
        <v>0</v>
      </c>
      <c r="J50">
        <v>0</v>
      </c>
      <c r="K50">
        <v>4.45</v>
      </c>
      <c r="L50" t="s">
        <v>61</v>
      </c>
      <c r="M50">
        <v>149</v>
      </c>
      <c r="N50">
        <v>33.479999999999997</v>
      </c>
      <c r="O50" t="s">
        <v>69</v>
      </c>
      <c r="P50" t="s">
        <v>67</v>
      </c>
      <c r="Q50">
        <v>0</v>
      </c>
      <c r="R50">
        <v>0</v>
      </c>
    </row>
    <row r="51" spans="1:18" x14ac:dyDescent="0.35">
      <c r="A51" t="s">
        <v>56</v>
      </c>
      <c r="B51" t="s">
        <v>57</v>
      </c>
      <c r="C51" t="s">
        <v>70</v>
      </c>
      <c r="D51">
        <v>106406425</v>
      </c>
      <c r="E51" t="s">
        <v>561</v>
      </c>
      <c r="F51" t="s">
        <v>78</v>
      </c>
      <c r="G51">
        <v>0.23</v>
      </c>
      <c r="H51">
        <v>9.98</v>
      </c>
      <c r="I51">
        <v>0</v>
      </c>
      <c r="J51">
        <v>0</v>
      </c>
      <c r="K51">
        <v>10.220000000000001</v>
      </c>
      <c r="L51" t="s">
        <v>61</v>
      </c>
      <c r="M51">
        <v>276</v>
      </c>
      <c r="N51">
        <v>27.01</v>
      </c>
      <c r="O51" t="s">
        <v>62</v>
      </c>
      <c r="P51" t="s">
        <v>63</v>
      </c>
      <c r="Q51">
        <v>120</v>
      </c>
      <c r="R51">
        <v>518.61</v>
      </c>
    </row>
    <row r="52" spans="1:18" x14ac:dyDescent="0.35">
      <c r="A52" t="s">
        <v>56</v>
      </c>
      <c r="B52" t="s">
        <v>57</v>
      </c>
      <c r="C52" t="s">
        <v>70</v>
      </c>
      <c r="D52">
        <v>106406425</v>
      </c>
      <c r="E52" t="s">
        <v>561</v>
      </c>
      <c r="F52" t="s">
        <v>78</v>
      </c>
      <c r="G52">
        <v>0.23</v>
      </c>
      <c r="H52">
        <v>9.98</v>
      </c>
      <c r="I52">
        <v>0</v>
      </c>
      <c r="J52">
        <v>0</v>
      </c>
      <c r="K52">
        <v>10.220000000000001</v>
      </c>
      <c r="L52" t="s">
        <v>61</v>
      </c>
      <c r="M52">
        <v>276</v>
      </c>
      <c r="N52">
        <v>27.01</v>
      </c>
      <c r="O52" t="s">
        <v>62</v>
      </c>
      <c r="P52" t="s">
        <v>64</v>
      </c>
      <c r="Q52">
        <v>959</v>
      </c>
      <c r="R52">
        <v>96.04</v>
      </c>
    </row>
    <row r="53" spans="1:18" x14ac:dyDescent="0.35">
      <c r="A53" t="s">
        <v>56</v>
      </c>
      <c r="B53" t="s">
        <v>57</v>
      </c>
      <c r="C53" t="s">
        <v>70</v>
      </c>
      <c r="D53">
        <v>106406425</v>
      </c>
      <c r="E53" t="s">
        <v>561</v>
      </c>
      <c r="F53" t="s">
        <v>78</v>
      </c>
      <c r="G53">
        <v>0.23</v>
      </c>
      <c r="H53">
        <v>9.98</v>
      </c>
      <c r="I53">
        <v>0</v>
      </c>
      <c r="J53">
        <v>0</v>
      </c>
      <c r="K53">
        <v>10.220000000000001</v>
      </c>
      <c r="L53" t="s">
        <v>61</v>
      </c>
      <c r="M53">
        <v>276</v>
      </c>
      <c r="N53">
        <v>27.01</v>
      </c>
      <c r="O53" t="s">
        <v>62</v>
      </c>
      <c r="P53" t="s">
        <v>65</v>
      </c>
      <c r="Q53">
        <v>0</v>
      </c>
      <c r="R53">
        <v>0</v>
      </c>
    </row>
    <row r="54" spans="1:18" x14ac:dyDescent="0.35">
      <c r="A54" t="s">
        <v>56</v>
      </c>
      <c r="B54" t="s">
        <v>57</v>
      </c>
      <c r="C54" t="s">
        <v>70</v>
      </c>
      <c r="D54">
        <v>106406425</v>
      </c>
      <c r="E54" t="s">
        <v>561</v>
      </c>
      <c r="F54" t="s">
        <v>78</v>
      </c>
      <c r="G54">
        <v>0.23</v>
      </c>
      <c r="H54">
        <v>9.98</v>
      </c>
      <c r="I54">
        <v>0</v>
      </c>
      <c r="J54">
        <v>0</v>
      </c>
      <c r="K54">
        <v>10.220000000000001</v>
      </c>
      <c r="L54" t="s">
        <v>61</v>
      </c>
      <c r="M54">
        <v>276</v>
      </c>
      <c r="N54">
        <v>27.01</v>
      </c>
      <c r="O54" t="s">
        <v>62</v>
      </c>
      <c r="P54" t="s">
        <v>66</v>
      </c>
      <c r="Q54">
        <v>0</v>
      </c>
      <c r="R54">
        <v>0</v>
      </c>
    </row>
    <row r="55" spans="1:18" x14ac:dyDescent="0.35">
      <c r="A55" t="s">
        <v>56</v>
      </c>
      <c r="B55" t="s">
        <v>57</v>
      </c>
      <c r="C55" t="s">
        <v>70</v>
      </c>
      <c r="D55">
        <v>106406425</v>
      </c>
      <c r="E55" t="s">
        <v>561</v>
      </c>
      <c r="F55" t="s">
        <v>78</v>
      </c>
      <c r="G55">
        <v>0.23</v>
      </c>
      <c r="H55">
        <v>9.98</v>
      </c>
      <c r="I55">
        <v>0</v>
      </c>
      <c r="J55">
        <v>0</v>
      </c>
      <c r="K55">
        <v>10.220000000000001</v>
      </c>
      <c r="L55" t="s">
        <v>61</v>
      </c>
      <c r="M55">
        <v>276</v>
      </c>
      <c r="N55">
        <v>27.01</v>
      </c>
      <c r="O55" t="s">
        <v>62</v>
      </c>
      <c r="P55" t="s">
        <v>67</v>
      </c>
      <c r="Q55">
        <v>1079</v>
      </c>
      <c r="R55">
        <v>105.61</v>
      </c>
    </row>
    <row r="56" spans="1:18" x14ac:dyDescent="0.35">
      <c r="A56" t="s">
        <v>56</v>
      </c>
      <c r="B56" t="s">
        <v>57</v>
      </c>
      <c r="C56" t="s">
        <v>70</v>
      </c>
      <c r="D56">
        <v>106406425</v>
      </c>
      <c r="E56" t="s">
        <v>561</v>
      </c>
      <c r="F56" t="s">
        <v>78</v>
      </c>
      <c r="G56">
        <v>0.23</v>
      </c>
      <c r="H56">
        <v>9.98</v>
      </c>
      <c r="I56">
        <v>0</v>
      </c>
      <c r="J56">
        <v>0</v>
      </c>
      <c r="K56">
        <v>10.220000000000001</v>
      </c>
      <c r="L56" t="s">
        <v>61</v>
      </c>
      <c r="M56">
        <v>276</v>
      </c>
      <c r="N56">
        <v>27.01</v>
      </c>
      <c r="O56" t="s">
        <v>68</v>
      </c>
      <c r="P56" t="s">
        <v>67</v>
      </c>
      <c r="Q56">
        <v>276</v>
      </c>
      <c r="R56">
        <v>27.01</v>
      </c>
    </row>
    <row r="57" spans="1:18" x14ac:dyDescent="0.35">
      <c r="A57" t="s">
        <v>56</v>
      </c>
      <c r="B57" t="s">
        <v>57</v>
      </c>
      <c r="C57" t="s">
        <v>70</v>
      </c>
      <c r="D57">
        <v>106406425</v>
      </c>
      <c r="E57" t="s">
        <v>561</v>
      </c>
      <c r="F57" t="s">
        <v>78</v>
      </c>
      <c r="G57">
        <v>0.23</v>
      </c>
      <c r="H57">
        <v>9.98</v>
      </c>
      <c r="I57">
        <v>0</v>
      </c>
      <c r="J57">
        <v>0</v>
      </c>
      <c r="K57">
        <v>10.220000000000001</v>
      </c>
      <c r="L57" t="s">
        <v>61</v>
      </c>
      <c r="M57">
        <v>276</v>
      </c>
      <c r="N57">
        <v>27.01</v>
      </c>
      <c r="O57" t="s">
        <v>69</v>
      </c>
      <c r="P57" t="s">
        <v>67</v>
      </c>
      <c r="Q57">
        <v>0</v>
      </c>
      <c r="R57">
        <v>0</v>
      </c>
    </row>
    <row r="58" spans="1:18" x14ac:dyDescent="0.35">
      <c r="A58" t="s">
        <v>56</v>
      </c>
      <c r="B58" t="s">
        <v>57</v>
      </c>
      <c r="C58" t="s">
        <v>70</v>
      </c>
      <c r="D58">
        <v>106534121</v>
      </c>
      <c r="E58" t="s">
        <v>562</v>
      </c>
      <c r="F58" t="s">
        <v>60</v>
      </c>
      <c r="G58">
        <v>0.19</v>
      </c>
      <c r="H58">
        <v>7.31</v>
      </c>
      <c r="I58">
        <v>0</v>
      </c>
      <c r="J58">
        <v>0</v>
      </c>
      <c r="K58">
        <v>7.5</v>
      </c>
      <c r="L58" t="s">
        <v>61</v>
      </c>
      <c r="M58">
        <v>264</v>
      </c>
      <c r="N58">
        <v>35.200000000000003</v>
      </c>
      <c r="O58" t="s">
        <v>62</v>
      </c>
      <c r="P58" t="s">
        <v>63</v>
      </c>
      <c r="Q58">
        <v>165</v>
      </c>
      <c r="R58">
        <v>864.63</v>
      </c>
    </row>
    <row r="59" spans="1:18" x14ac:dyDescent="0.35">
      <c r="A59" t="s">
        <v>56</v>
      </c>
      <c r="B59" t="s">
        <v>57</v>
      </c>
      <c r="C59" t="s">
        <v>70</v>
      </c>
      <c r="D59">
        <v>106534121</v>
      </c>
      <c r="E59" t="s">
        <v>562</v>
      </c>
      <c r="F59" t="s">
        <v>60</v>
      </c>
      <c r="G59">
        <v>0.19</v>
      </c>
      <c r="H59">
        <v>7.31</v>
      </c>
      <c r="I59">
        <v>0</v>
      </c>
      <c r="J59">
        <v>0</v>
      </c>
      <c r="K59">
        <v>7.5</v>
      </c>
      <c r="L59" t="s">
        <v>61</v>
      </c>
      <c r="M59">
        <v>264</v>
      </c>
      <c r="N59">
        <v>35.200000000000003</v>
      </c>
      <c r="O59" t="s">
        <v>62</v>
      </c>
      <c r="P59" t="s">
        <v>64</v>
      </c>
      <c r="Q59">
        <v>1171</v>
      </c>
      <c r="R59">
        <v>160.22</v>
      </c>
    </row>
    <row r="60" spans="1:18" x14ac:dyDescent="0.35">
      <c r="A60" t="s">
        <v>56</v>
      </c>
      <c r="B60" t="s">
        <v>57</v>
      </c>
      <c r="C60" t="s">
        <v>70</v>
      </c>
      <c r="D60">
        <v>106534121</v>
      </c>
      <c r="E60" t="s">
        <v>562</v>
      </c>
      <c r="F60" t="s">
        <v>60</v>
      </c>
      <c r="G60">
        <v>0.19</v>
      </c>
      <c r="H60">
        <v>7.31</v>
      </c>
      <c r="I60">
        <v>0</v>
      </c>
      <c r="J60">
        <v>0</v>
      </c>
      <c r="K60">
        <v>7.5</v>
      </c>
      <c r="L60" t="s">
        <v>61</v>
      </c>
      <c r="M60">
        <v>264</v>
      </c>
      <c r="N60">
        <v>35.200000000000003</v>
      </c>
      <c r="O60" t="s">
        <v>62</v>
      </c>
      <c r="P60" t="s">
        <v>65</v>
      </c>
      <c r="Q60">
        <v>0</v>
      </c>
      <c r="R60">
        <v>0</v>
      </c>
    </row>
    <row r="61" spans="1:18" x14ac:dyDescent="0.35">
      <c r="A61" t="s">
        <v>56</v>
      </c>
      <c r="B61" t="s">
        <v>57</v>
      </c>
      <c r="C61" t="s">
        <v>70</v>
      </c>
      <c r="D61">
        <v>106534121</v>
      </c>
      <c r="E61" t="s">
        <v>562</v>
      </c>
      <c r="F61" t="s">
        <v>60</v>
      </c>
      <c r="G61">
        <v>0.19</v>
      </c>
      <c r="H61">
        <v>7.31</v>
      </c>
      <c r="I61">
        <v>0</v>
      </c>
      <c r="J61">
        <v>0</v>
      </c>
      <c r="K61">
        <v>7.5</v>
      </c>
      <c r="L61" t="s">
        <v>61</v>
      </c>
      <c r="M61">
        <v>264</v>
      </c>
      <c r="N61">
        <v>35.200000000000003</v>
      </c>
      <c r="O61" t="s">
        <v>62</v>
      </c>
      <c r="P61" t="s">
        <v>66</v>
      </c>
      <c r="Q61">
        <v>0</v>
      </c>
      <c r="R61">
        <v>0</v>
      </c>
    </row>
    <row r="62" spans="1:18" x14ac:dyDescent="0.35">
      <c r="A62" t="s">
        <v>56</v>
      </c>
      <c r="B62" t="s">
        <v>57</v>
      </c>
      <c r="C62" t="s">
        <v>70</v>
      </c>
      <c r="D62">
        <v>106534121</v>
      </c>
      <c r="E62" t="s">
        <v>562</v>
      </c>
      <c r="F62" t="s">
        <v>60</v>
      </c>
      <c r="G62">
        <v>0.19</v>
      </c>
      <c r="H62">
        <v>7.31</v>
      </c>
      <c r="I62">
        <v>0</v>
      </c>
      <c r="J62">
        <v>0</v>
      </c>
      <c r="K62">
        <v>7.5</v>
      </c>
      <c r="L62" t="s">
        <v>61</v>
      </c>
      <c r="M62">
        <v>264</v>
      </c>
      <c r="N62">
        <v>35.200000000000003</v>
      </c>
      <c r="O62" t="s">
        <v>62</v>
      </c>
      <c r="P62" t="s">
        <v>67</v>
      </c>
      <c r="Q62">
        <v>1336</v>
      </c>
      <c r="R62">
        <v>178.13</v>
      </c>
    </row>
    <row r="63" spans="1:18" x14ac:dyDescent="0.35">
      <c r="A63" t="s">
        <v>56</v>
      </c>
      <c r="B63" t="s">
        <v>57</v>
      </c>
      <c r="C63" t="s">
        <v>70</v>
      </c>
      <c r="D63">
        <v>106534121</v>
      </c>
      <c r="E63" t="s">
        <v>562</v>
      </c>
      <c r="F63" t="s">
        <v>60</v>
      </c>
      <c r="G63">
        <v>0.19</v>
      </c>
      <c r="H63">
        <v>7.31</v>
      </c>
      <c r="I63">
        <v>0</v>
      </c>
      <c r="J63">
        <v>0</v>
      </c>
      <c r="K63">
        <v>7.5</v>
      </c>
      <c r="L63" t="s">
        <v>61</v>
      </c>
      <c r="M63">
        <v>264</v>
      </c>
      <c r="N63">
        <v>35.200000000000003</v>
      </c>
      <c r="O63" t="s">
        <v>68</v>
      </c>
      <c r="P63" t="s">
        <v>67</v>
      </c>
      <c r="Q63">
        <v>264</v>
      </c>
      <c r="R63">
        <v>35.200000000000003</v>
      </c>
    </row>
    <row r="64" spans="1:18" x14ac:dyDescent="0.35">
      <c r="A64" t="s">
        <v>56</v>
      </c>
      <c r="B64" t="s">
        <v>57</v>
      </c>
      <c r="C64" t="s">
        <v>70</v>
      </c>
      <c r="D64">
        <v>106534121</v>
      </c>
      <c r="E64" t="s">
        <v>562</v>
      </c>
      <c r="F64" t="s">
        <v>60</v>
      </c>
      <c r="G64">
        <v>0.19</v>
      </c>
      <c r="H64">
        <v>7.31</v>
      </c>
      <c r="I64">
        <v>0</v>
      </c>
      <c r="J64">
        <v>0</v>
      </c>
      <c r="K64">
        <v>7.5</v>
      </c>
      <c r="L64" t="s">
        <v>61</v>
      </c>
      <c r="M64">
        <v>264</v>
      </c>
      <c r="N64">
        <v>35.200000000000003</v>
      </c>
      <c r="O64" t="s">
        <v>69</v>
      </c>
      <c r="P64" t="s">
        <v>67</v>
      </c>
      <c r="Q64">
        <v>0</v>
      </c>
      <c r="R64">
        <v>0</v>
      </c>
    </row>
    <row r="65" spans="1:18" x14ac:dyDescent="0.35">
      <c r="A65" t="s">
        <v>56</v>
      </c>
      <c r="B65" t="s">
        <v>57</v>
      </c>
      <c r="C65" t="s">
        <v>70</v>
      </c>
      <c r="D65">
        <v>106534472</v>
      </c>
      <c r="E65" t="s">
        <v>81</v>
      </c>
      <c r="F65" t="s">
        <v>60</v>
      </c>
      <c r="G65">
        <v>0.12</v>
      </c>
      <c r="H65">
        <v>4.05</v>
      </c>
      <c r="I65">
        <v>0</v>
      </c>
      <c r="J65">
        <v>0</v>
      </c>
      <c r="K65">
        <v>4.17</v>
      </c>
      <c r="L65" t="s">
        <v>61</v>
      </c>
      <c r="M65">
        <v>158</v>
      </c>
      <c r="N65">
        <v>37.86</v>
      </c>
      <c r="O65" t="s">
        <v>62</v>
      </c>
      <c r="P65" t="s">
        <v>63</v>
      </c>
      <c r="Q65">
        <v>90</v>
      </c>
      <c r="R65">
        <v>764.15</v>
      </c>
    </row>
    <row r="66" spans="1:18" x14ac:dyDescent="0.35">
      <c r="A66" t="s">
        <v>56</v>
      </c>
      <c r="B66" t="s">
        <v>57</v>
      </c>
      <c r="C66" t="s">
        <v>70</v>
      </c>
      <c r="D66">
        <v>106534472</v>
      </c>
      <c r="E66" t="s">
        <v>81</v>
      </c>
      <c r="F66" t="s">
        <v>60</v>
      </c>
      <c r="G66">
        <v>0.12</v>
      </c>
      <c r="H66">
        <v>4.05</v>
      </c>
      <c r="I66">
        <v>0</v>
      </c>
      <c r="J66">
        <v>0</v>
      </c>
      <c r="K66">
        <v>4.17</v>
      </c>
      <c r="L66" t="s">
        <v>61</v>
      </c>
      <c r="M66">
        <v>158</v>
      </c>
      <c r="N66">
        <v>37.86</v>
      </c>
      <c r="O66" t="s">
        <v>62</v>
      </c>
      <c r="P66" t="s">
        <v>64</v>
      </c>
      <c r="Q66">
        <v>574</v>
      </c>
      <c r="R66">
        <v>141.55000000000001</v>
      </c>
    </row>
    <row r="67" spans="1:18" x14ac:dyDescent="0.35">
      <c r="A67" t="s">
        <v>56</v>
      </c>
      <c r="B67" t="s">
        <v>57</v>
      </c>
      <c r="C67" t="s">
        <v>70</v>
      </c>
      <c r="D67">
        <v>106534472</v>
      </c>
      <c r="E67" t="s">
        <v>81</v>
      </c>
      <c r="F67" t="s">
        <v>60</v>
      </c>
      <c r="G67">
        <v>0.12</v>
      </c>
      <c r="H67">
        <v>4.05</v>
      </c>
      <c r="I67">
        <v>0</v>
      </c>
      <c r="J67">
        <v>0</v>
      </c>
      <c r="K67">
        <v>4.17</v>
      </c>
      <c r="L67" t="s">
        <v>61</v>
      </c>
      <c r="M67">
        <v>158</v>
      </c>
      <c r="N67">
        <v>37.86</v>
      </c>
      <c r="O67" t="s">
        <v>62</v>
      </c>
      <c r="P67" t="s">
        <v>65</v>
      </c>
      <c r="Q67">
        <v>0</v>
      </c>
      <c r="R67">
        <v>0</v>
      </c>
    </row>
    <row r="68" spans="1:18" x14ac:dyDescent="0.35">
      <c r="A68" t="s">
        <v>56</v>
      </c>
      <c r="B68" t="s">
        <v>57</v>
      </c>
      <c r="C68" t="s">
        <v>70</v>
      </c>
      <c r="D68">
        <v>106534472</v>
      </c>
      <c r="E68" t="s">
        <v>81</v>
      </c>
      <c r="F68" t="s">
        <v>60</v>
      </c>
      <c r="G68">
        <v>0.12</v>
      </c>
      <c r="H68">
        <v>4.05</v>
      </c>
      <c r="I68">
        <v>0</v>
      </c>
      <c r="J68">
        <v>0</v>
      </c>
      <c r="K68">
        <v>4.17</v>
      </c>
      <c r="L68" t="s">
        <v>61</v>
      </c>
      <c r="M68">
        <v>158</v>
      </c>
      <c r="N68">
        <v>37.86</v>
      </c>
      <c r="O68" t="s">
        <v>62</v>
      </c>
      <c r="P68" t="s">
        <v>66</v>
      </c>
      <c r="Q68">
        <v>0</v>
      </c>
      <c r="R68">
        <v>0</v>
      </c>
    </row>
    <row r="69" spans="1:18" x14ac:dyDescent="0.35">
      <c r="A69" t="s">
        <v>56</v>
      </c>
      <c r="B69" t="s">
        <v>57</v>
      </c>
      <c r="C69" t="s">
        <v>70</v>
      </c>
      <c r="D69">
        <v>106534472</v>
      </c>
      <c r="E69" t="s">
        <v>81</v>
      </c>
      <c r="F69" t="s">
        <v>60</v>
      </c>
      <c r="G69">
        <v>0.12</v>
      </c>
      <c r="H69">
        <v>4.05</v>
      </c>
      <c r="I69">
        <v>0</v>
      </c>
      <c r="J69">
        <v>0</v>
      </c>
      <c r="K69">
        <v>4.17</v>
      </c>
      <c r="L69" t="s">
        <v>61</v>
      </c>
      <c r="M69">
        <v>158</v>
      </c>
      <c r="N69">
        <v>37.86</v>
      </c>
      <c r="O69" t="s">
        <v>62</v>
      </c>
      <c r="P69" t="s">
        <v>67</v>
      </c>
      <c r="Q69">
        <v>664</v>
      </c>
      <c r="R69">
        <v>159.12</v>
      </c>
    </row>
    <row r="70" spans="1:18" x14ac:dyDescent="0.35">
      <c r="A70" t="s">
        <v>56</v>
      </c>
      <c r="B70" t="s">
        <v>57</v>
      </c>
      <c r="C70" t="s">
        <v>70</v>
      </c>
      <c r="D70">
        <v>106534472</v>
      </c>
      <c r="E70" t="s">
        <v>81</v>
      </c>
      <c r="F70" t="s">
        <v>60</v>
      </c>
      <c r="G70">
        <v>0.12</v>
      </c>
      <c r="H70">
        <v>4.05</v>
      </c>
      <c r="I70">
        <v>0</v>
      </c>
      <c r="J70">
        <v>0</v>
      </c>
      <c r="K70">
        <v>4.17</v>
      </c>
      <c r="L70" t="s">
        <v>61</v>
      </c>
      <c r="M70">
        <v>158</v>
      </c>
      <c r="N70">
        <v>37.86</v>
      </c>
      <c r="O70" t="s">
        <v>68</v>
      </c>
      <c r="P70" t="s">
        <v>67</v>
      </c>
      <c r="Q70">
        <v>158</v>
      </c>
      <c r="R70">
        <v>37.86</v>
      </c>
    </row>
    <row r="71" spans="1:18" x14ac:dyDescent="0.35">
      <c r="A71" t="s">
        <v>56</v>
      </c>
      <c r="B71" t="s">
        <v>57</v>
      </c>
      <c r="C71" t="s">
        <v>70</v>
      </c>
      <c r="D71">
        <v>106534472</v>
      </c>
      <c r="E71" t="s">
        <v>81</v>
      </c>
      <c r="F71" t="s">
        <v>60</v>
      </c>
      <c r="G71">
        <v>0.12</v>
      </c>
      <c r="H71">
        <v>4.05</v>
      </c>
      <c r="I71">
        <v>0</v>
      </c>
      <c r="J71">
        <v>0</v>
      </c>
      <c r="K71">
        <v>4.17</v>
      </c>
      <c r="L71" t="s">
        <v>61</v>
      </c>
      <c r="M71">
        <v>158</v>
      </c>
      <c r="N71">
        <v>37.86</v>
      </c>
      <c r="O71" t="s">
        <v>69</v>
      </c>
      <c r="P71" t="s">
        <v>67</v>
      </c>
      <c r="Q71">
        <v>0</v>
      </c>
      <c r="R71">
        <v>0</v>
      </c>
    </row>
    <row r="72" spans="1:18" x14ac:dyDescent="0.35">
      <c r="A72" t="s">
        <v>56</v>
      </c>
      <c r="B72" t="s">
        <v>57</v>
      </c>
      <c r="C72" t="s">
        <v>58</v>
      </c>
      <c r="D72">
        <v>106550554</v>
      </c>
      <c r="E72" t="s">
        <v>527</v>
      </c>
      <c r="F72" t="s">
        <v>60</v>
      </c>
      <c r="G72">
        <v>0.79</v>
      </c>
      <c r="H72">
        <v>2.82</v>
      </c>
      <c r="I72">
        <v>0</v>
      </c>
      <c r="J72">
        <v>0</v>
      </c>
      <c r="K72">
        <v>3.62</v>
      </c>
      <c r="L72" t="s">
        <v>61</v>
      </c>
      <c r="M72">
        <v>187</v>
      </c>
      <c r="N72">
        <v>51.69</v>
      </c>
      <c r="O72" t="s">
        <v>62</v>
      </c>
      <c r="P72" t="s">
        <v>63</v>
      </c>
      <c r="Q72">
        <v>1750</v>
      </c>
      <c r="R72">
        <v>2204.34</v>
      </c>
    </row>
    <row r="73" spans="1:18" x14ac:dyDescent="0.35">
      <c r="A73" t="s">
        <v>56</v>
      </c>
      <c r="B73" t="s">
        <v>57</v>
      </c>
      <c r="C73" t="s">
        <v>58</v>
      </c>
      <c r="D73">
        <v>106550554</v>
      </c>
      <c r="E73" t="s">
        <v>527</v>
      </c>
      <c r="F73" t="s">
        <v>60</v>
      </c>
      <c r="G73">
        <v>0.79</v>
      </c>
      <c r="H73">
        <v>2.82</v>
      </c>
      <c r="I73">
        <v>0</v>
      </c>
      <c r="J73">
        <v>0</v>
      </c>
      <c r="K73">
        <v>3.62</v>
      </c>
      <c r="L73" t="s">
        <v>61</v>
      </c>
      <c r="M73">
        <v>187</v>
      </c>
      <c r="N73">
        <v>51.69</v>
      </c>
      <c r="O73" t="s">
        <v>62</v>
      </c>
      <c r="P73" t="s">
        <v>64</v>
      </c>
      <c r="Q73">
        <v>1154</v>
      </c>
      <c r="R73">
        <v>408.7</v>
      </c>
    </row>
    <row r="74" spans="1:18" x14ac:dyDescent="0.35">
      <c r="A74" t="s">
        <v>56</v>
      </c>
      <c r="B74" t="s">
        <v>57</v>
      </c>
      <c r="C74" t="s">
        <v>58</v>
      </c>
      <c r="D74">
        <v>106550554</v>
      </c>
      <c r="E74" t="s">
        <v>527</v>
      </c>
      <c r="F74" t="s">
        <v>60</v>
      </c>
      <c r="G74">
        <v>0.79</v>
      </c>
      <c r="H74">
        <v>2.82</v>
      </c>
      <c r="I74">
        <v>0</v>
      </c>
      <c r="J74">
        <v>0</v>
      </c>
      <c r="K74">
        <v>3.62</v>
      </c>
      <c r="L74" t="s">
        <v>61</v>
      </c>
      <c r="M74">
        <v>187</v>
      </c>
      <c r="N74">
        <v>51.69</v>
      </c>
      <c r="O74" t="s">
        <v>62</v>
      </c>
      <c r="P74" t="s">
        <v>65</v>
      </c>
      <c r="Q74">
        <v>0</v>
      </c>
      <c r="R74">
        <v>0</v>
      </c>
    </row>
    <row r="75" spans="1:18" x14ac:dyDescent="0.35">
      <c r="A75" t="s">
        <v>56</v>
      </c>
      <c r="B75" t="s">
        <v>57</v>
      </c>
      <c r="C75" t="s">
        <v>58</v>
      </c>
      <c r="D75">
        <v>106550554</v>
      </c>
      <c r="E75" t="s">
        <v>527</v>
      </c>
      <c r="F75" t="s">
        <v>60</v>
      </c>
      <c r="G75">
        <v>0.79</v>
      </c>
      <c r="H75">
        <v>2.82</v>
      </c>
      <c r="I75">
        <v>0</v>
      </c>
      <c r="J75">
        <v>0</v>
      </c>
      <c r="K75">
        <v>3.62</v>
      </c>
      <c r="L75" t="s">
        <v>61</v>
      </c>
      <c r="M75">
        <v>187</v>
      </c>
      <c r="N75">
        <v>51.69</v>
      </c>
      <c r="O75" t="s">
        <v>62</v>
      </c>
      <c r="P75" t="s">
        <v>66</v>
      </c>
      <c r="Q75">
        <v>0</v>
      </c>
      <c r="R75">
        <v>0</v>
      </c>
    </row>
    <row r="76" spans="1:18" x14ac:dyDescent="0.35">
      <c r="A76" t="s">
        <v>56</v>
      </c>
      <c r="B76" t="s">
        <v>57</v>
      </c>
      <c r="C76" t="s">
        <v>58</v>
      </c>
      <c r="D76">
        <v>106550554</v>
      </c>
      <c r="E76" t="s">
        <v>527</v>
      </c>
      <c r="F76" t="s">
        <v>60</v>
      </c>
      <c r="G76">
        <v>0.79</v>
      </c>
      <c r="H76">
        <v>2.82</v>
      </c>
      <c r="I76">
        <v>0</v>
      </c>
      <c r="J76">
        <v>0</v>
      </c>
      <c r="K76">
        <v>3.62</v>
      </c>
      <c r="L76" t="s">
        <v>61</v>
      </c>
      <c r="M76">
        <v>187</v>
      </c>
      <c r="N76">
        <v>51.69</v>
      </c>
      <c r="O76" t="s">
        <v>62</v>
      </c>
      <c r="P76" t="s">
        <v>67</v>
      </c>
      <c r="Q76">
        <v>2904</v>
      </c>
      <c r="R76">
        <v>802.7</v>
      </c>
    </row>
    <row r="77" spans="1:18" x14ac:dyDescent="0.35">
      <c r="A77" t="s">
        <v>56</v>
      </c>
      <c r="B77" t="s">
        <v>57</v>
      </c>
      <c r="C77" t="s">
        <v>58</v>
      </c>
      <c r="D77">
        <v>106550554</v>
      </c>
      <c r="E77" t="s">
        <v>527</v>
      </c>
      <c r="F77" t="s">
        <v>60</v>
      </c>
      <c r="G77">
        <v>0.79</v>
      </c>
      <c r="H77">
        <v>2.82</v>
      </c>
      <c r="I77">
        <v>0</v>
      </c>
      <c r="J77">
        <v>0</v>
      </c>
      <c r="K77">
        <v>3.62</v>
      </c>
      <c r="L77" t="s">
        <v>61</v>
      </c>
      <c r="M77">
        <v>187</v>
      </c>
      <c r="N77">
        <v>51.69</v>
      </c>
      <c r="O77" t="s">
        <v>68</v>
      </c>
      <c r="P77" t="s">
        <v>67</v>
      </c>
      <c r="Q77">
        <v>185</v>
      </c>
      <c r="R77">
        <v>51.14</v>
      </c>
    </row>
    <row r="78" spans="1:18" x14ac:dyDescent="0.35">
      <c r="A78" t="s">
        <v>56</v>
      </c>
      <c r="B78" t="s">
        <v>57</v>
      </c>
      <c r="C78" t="s">
        <v>58</v>
      </c>
      <c r="D78">
        <v>106550554</v>
      </c>
      <c r="E78" t="s">
        <v>527</v>
      </c>
      <c r="F78" t="s">
        <v>60</v>
      </c>
      <c r="G78">
        <v>0.79</v>
      </c>
      <c r="H78">
        <v>2.82</v>
      </c>
      <c r="I78">
        <v>0</v>
      </c>
      <c r="J78">
        <v>0</v>
      </c>
      <c r="K78">
        <v>3.62</v>
      </c>
      <c r="L78" t="s">
        <v>61</v>
      </c>
      <c r="M78">
        <v>187</v>
      </c>
      <c r="N78">
        <v>51.69</v>
      </c>
      <c r="O78" t="s">
        <v>69</v>
      </c>
      <c r="P78" t="s">
        <v>67</v>
      </c>
      <c r="Q78">
        <v>2</v>
      </c>
      <c r="R78">
        <v>0.55000000000000004</v>
      </c>
    </row>
    <row r="79" spans="1:18" x14ac:dyDescent="0.35">
      <c r="A79" t="s">
        <v>56</v>
      </c>
      <c r="B79" t="s">
        <v>57</v>
      </c>
      <c r="C79" t="s">
        <v>58</v>
      </c>
      <c r="D79">
        <v>106677842</v>
      </c>
      <c r="E79" t="s">
        <v>564</v>
      </c>
      <c r="F79" t="s">
        <v>60</v>
      </c>
      <c r="G79">
        <v>0.56000000000000005</v>
      </c>
      <c r="H79">
        <v>9.3699999999999992</v>
      </c>
      <c r="I79">
        <v>0</v>
      </c>
      <c r="J79">
        <v>0</v>
      </c>
      <c r="K79">
        <v>9.93</v>
      </c>
      <c r="L79" t="s">
        <v>61</v>
      </c>
      <c r="M79">
        <v>448</v>
      </c>
      <c r="N79">
        <v>45.1</v>
      </c>
      <c r="O79" t="s">
        <v>62</v>
      </c>
      <c r="P79" t="s">
        <v>63</v>
      </c>
      <c r="Q79">
        <v>542</v>
      </c>
      <c r="R79">
        <v>962.6</v>
      </c>
    </row>
    <row r="80" spans="1:18" x14ac:dyDescent="0.35">
      <c r="A80" t="s">
        <v>56</v>
      </c>
      <c r="B80" t="s">
        <v>57</v>
      </c>
      <c r="C80" t="s">
        <v>58</v>
      </c>
      <c r="D80">
        <v>106677842</v>
      </c>
      <c r="E80" t="s">
        <v>564</v>
      </c>
      <c r="F80" t="s">
        <v>60</v>
      </c>
      <c r="G80">
        <v>0.56000000000000005</v>
      </c>
      <c r="H80">
        <v>9.3699999999999992</v>
      </c>
      <c r="I80">
        <v>0</v>
      </c>
      <c r="J80">
        <v>0</v>
      </c>
      <c r="K80">
        <v>9.93</v>
      </c>
      <c r="L80" t="s">
        <v>61</v>
      </c>
      <c r="M80">
        <v>448</v>
      </c>
      <c r="N80">
        <v>45.1</v>
      </c>
      <c r="O80" t="s">
        <v>62</v>
      </c>
      <c r="P80" t="s">
        <v>64</v>
      </c>
      <c r="Q80">
        <v>1672</v>
      </c>
      <c r="R80">
        <v>178.44</v>
      </c>
    </row>
    <row r="81" spans="1:18" x14ac:dyDescent="0.35">
      <c r="A81" t="s">
        <v>56</v>
      </c>
      <c r="B81" t="s">
        <v>57</v>
      </c>
      <c r="C81" t="s">
        <v>58</v>
      </c>
      <c r="D81">
        <v>106677842</v>
      </c>
      <c r="E81" t="s">
        <v>564</v>
      </c>
      <c r="F81" t="s">
        <v>60</v>
      </c>
      <c r="G81">
        <v>0.56000000000000005</v>
      </c>
      <c r="H81">
        <v>9.3699999999999992</v>
      </c>
      <c r="I81">
        <v>0</v>
      </c>
      <c r="J81">
        <v>0</v>
      </c>
      <c r="K81">
        <v>9.93</v>
      </c>
      <c r="L81" t="s">
        <v>61</v>
      </c>
      <c r="M81">
        <v>448</v>
      </c>
      <c r="N81">
        <v>45.1</v>
      </c>
      <c r="O81" t="s">
        <v>62</v>
      </c>
      <c r="P81" t="s">
        <v>65</v>
      </c>
      <c r="Q81">
        <v>0</v>
      </c>
      <c r="R81">
        <v>0</v>
      </c>
    </row>
    <row r="82" spans="1:18" x14ac:dyDescent="0.35">
      <c r="A82" t="s">
        <v>56</v>
      </c>
      <c r="B82" t="s">
        <v>57</v>
      </c>
      <c r="C82" t="s">
        <v>58</v>
      </c>
      <c r="D82">
        <v>106677842</v>
      </c>
      <c r="E82" t="s">
        <v>564</v>
      </c>
      <c r="F82" t="s">
        <v>60</v>
      </c>
      <c r="G82">
        <v>0.56000000000000005</v>
      </c>
      <c r="H82">
        <v>9.3699999999999992</v>
      </c>
      <c r="I82">
        <v>0</v>
      </c>
      <c r="J82">
        <v>0</v>
      </c>
      <c r="K82">
        <v>9.93</v>
      </c>
      <c r="L82" t="s">
        <v>61</v>
      </c>
      <c r="M82">
        <v>448</v>
      </c>
      <c r="N82">
        <v>45.1</v>
      </c>
      <c r="O82" t="s">
        <v>62</v>
      </c>
      <c r="P82" t="s">
        <v>66</v>
      </c>
      <c r="Q82">
        <v>0</v>
      </c>
      <c r="R82">
        <v>0</v>
      </c>
    </row>
    <row r="83" spans="1:18" x14ac:dyDescent="0.35">
      <c r="A83" t="s">
        <v>56</v>
      </c>
      <c r="B83" t="s">
        <v>57</v>
      </c>
      <c r="C83" t="s">
        <v>58</v>
      </c>
      <c r="D83">
        <v>106677842</v>
      </c>
      <c r="E83" t="s">
        <v>564</v>
      </c>
      <c r="F83" t="s">
        <v>60</v>
      </c>
      <c r="G83">
        <v>0.56000000000000005</v>
      </c>
      <c r="H83">
        <v>9.3699999999999992</v>
      </c>
      <c r="I83">
        <v>0</v>
      </c>
      <c r="J83">
        <v>0</v>
      </c>
      <c r="K83">
        <v>9.93</v>
      </c>
      <c r="L83" t="s">
        <v>61</v>
      </c>
      <c r="M83">
        <v>448</v>
      </c>
      <c r="N83">
        <v>45.1</v>
      </c>
      <c r="O83" t="s">
        <v>62</v>
      </c>
      <c r="P83" t="s">
        <v>67</v>
      </c>
      <c r="Q83">
        <v>2214</v>
      </c>
      <c r="R83">
        <v>222.89</v>
      </c>
    </row>
    <row r="84" spans="1:18" x14ac:dyDescent="0.35">
      <c r="A84" t="s">
        <v>56</v>
      </c>
      <c r="B84" t="s">
        <v>57</v>
      </c>
      <c r="C84" t="s">
        <v>58</v>
      </c>
      <c r="D84">
        <v>106677842</v>
      </c>
      <c r="E84" t="s">
        <v>564</v>
      </c>
      <c r="F84" t="s">
        <v>60</v>
      </c>
      <c r="G84">
        <v>0.56000000000000005</v>
      </c>
      <c r="H84">
        <v>9.3699999999999992</v>
      </c>
      <c r="I84">
        <v>0</v>
      </c>
      <c r="J84">
        <v>0</v>
      </c>
      <c r="K84">
        <v>9.93</v>
      </c>
      <c r="L84" t="s">
        <v>61</v>
      </c>
      <c r="M84">
        <v>448</v>
      </c>
      <c r="N84">
        <v>45.1</v>
      </c>
      <c r="O84" t="s">
        <v>68</v>
      </c>
      <c r="P84" t="s">
        <v>67</v>
      </c>
      <c r="Q84">
        <v>448</v>
      </c>
      <c r="R84">
        <v>45.1</v>
      </c>
    </row>
    <row r="85" spans="1:18" x14ac:dyDescent="0.35">
      <c r="A85" t="s">
        <v>56</v>
      </c>
      <c r="B85" t="s">
        <v>57</v>
      </c>
      <c r="C85" t="s">
        <v>58</v>
      </c>
      <c r="D85">
        <v>106677842</v>
      </c>
      <c r="E85" t="s">
        <v>564</v>
      </c>
      <c r="F85" t="s">
        <v>60</v>
      </c>
      <c r="G85">
        <v>0.56000000000000005</v>
      </c>
      <c r="H85">
        <v>9.3699999999999992</v>
      </c>
      <c r="I85">
        <v>0</v>
      </c>
      <c r="J85">
        <v>0</v>
      </c>
      <c r="K85">
        <v>9.93</v>
      </c>
      <c r="L85" t="s">
        <v>61</v>
      </c>
      <c r="M85">
        <v>448</v>
      </c>
      <c r="N85">
        <v>45.1</v>
      </c>
      <c r="O85" t="s">
        <v>69</v>
      </c>
      <c r="P85" t="s">
        <v>67</v>
      </c>
      <c r="Q85">
        <v>0</v>
      </c>
      <c r="R85">
        <v>0</v>
      </c>
    </row>
    <row r="86" spans="1:18" x14ac:dyDescent="0.35">
      <c r="A86" t="s">
        <v>56</v>
      </c>
      <c r="B86" t="s">
        <v>57</v>
      </c>
      <c r="C86" t="s">
        <v>58</v>
      </c>
      <c r="D86">
        <v>107065561</v>
      </c>
      <c r="E86" t="s">
        <v>528</v>
      </c>
      <c r="F86" t="s">
        <v>78</v>
      </c>
      <c r="G86">
        <v>0.59</v>
      </c>
      <c r="H86">
        <v>9.66</v>
      </c>
      <c r="I86">
        <v>0</v>
      </c>
      <c r="J86">
        <v>0</v>
      </c>
      <c r="K86">
        <v>10.25</v>
      </c>
      <c r="L86" t="s">
        <v>61</v>
      </c>
      <c r="M86">
        <v>277</v>
      </c>
      <c r="N86">
        <v>27.02</v>
      </c>
      <c r="O86" t="s">
        <v>62</v>
      </c>
      <c r="P86" t="s">
        <v>63</v>
      </c>
      <c r="Q86">
        <v>730</v>
      </c>
      <c r="R86">
        <v>1241.3800000000001</v>
      </c>
    </row>
    <row r="87" spans="1:18" x14ac:dyDescent="0.35">
      <c r="A87" t="s">
        <v>56</v>
      </c>
      <c r="B87" t="s">
        <v>57</v>
      </c>
      <c r="C87" t="s">
        <v>58</v>
      </c>
      <c r="D87">
        <v>107065561</v>
      </c>
      <c r="E87" t="s">
        <v>528</v>
      </c>
      <c r="F87" t="s">
        <v>78</v>
      </c>
      <c r="G87">
        <v>0.59</v>
      </c>
      <c r="H87">
        <v>9.66</v>
      </c>
      <c r="I87">
        <v>0</v>
      </c>
      <c r="J87">
        <v>0</v>
      </c>
      <c r="K87">
        <v>10.25</v>
      </c>
      <c r="L87" t="s">
        <v>61</v>
      </c>
      <c r="M87">
        <v>277</v>
      </c>
      <c r="N87">
        <v>27.02</v>
      </c>
      <c r="O87" t="s">
        <v>62</v>
      </c>
      <c r="P87" t="s">
        <v>64</v>
      </c>
      <c r="Q87">
        <v>2223</v>
      </c>
      <c r="R87">
        <v>230.08</v>
      </c>
    </row>
    <row r="88" spans="1:18" x14ac:dyDescent="0.35">
      <c r="A88" t="s">
        <v>56</v>
      </c>
      <c r="B88" t="s">
        <v>57</v>
      </c>
      <c r="C88" t="s">
        <v>58</v>
      </c>
      <c r="D88">
        <v>107065561</v>
      </c>
      <c r="E88" t="s">
        <v>528</v>
      </c>
      <c r="F88" t="s">
        <v>78</v>
      </c>
      <c r="G88">
        <v>0.59</v>
      </c>
      <c r="H88">
        <v>9.66</v>
      </c>
      <c r="I88">
        <v>0</v>
      </c>
      <c r="J88">
        <v>0</v>
      </c>
      <c r="K88">
        <v>10.25</v>
      </c>
      <c r="L88" t="s">
        <v>61</v>
      </c>
      <c r="M88">
        <v>277</v>
      </c>
      <c r="N88">
        <v>27.02</v>
      </c>
      <c r="O88" t="s">
        <v>62</v>
      </c>
      <c r="P88" t="s">
        <v>65</v>
      </c>
      <c r="Q88">
        <v>0</v>
      </c>
      <c r="R88">
        <v>0</v>
      </c>
    </row>
    <row r="89" spans="1:18" x14ac:dyDescent="0.35">
      <c r="A89" t="s">
        <v>56</v>
      </c>
      <c r="B89" t="s">
        <v>57</v>
      </c>
      <c r="C89" t="s">
        <v>58</v>
      </c>
      <c r="D89">
        <v>107065561</v>
      </c>
      <c r="E89" t="s">
        <v>528</v>
      </c>
      <c r="F89" t="s">
        <v>78</v>
      </c>
      <c r="G89">
        <v>0.59</v>
      </c>
      <c r="H89">
        <v>9.66</v>
      </c>
      <c r="I89">
        <v>0</v>
      </c>
      <c r="J89">
        <v>0</v>
      </c>
      <c r="K89">
        <v>10.25</v>
      </c>
      <c r="L89" t="s">
        <v>61</v>
      </c>
      <c r="M89">
        <v>277</v>
      </c>
      <c r="N89">
        <v>27.02</v>
      </c>
      <c r="O89" t="s">
        <v>62</v>
      </c>
      <c r="P89" t="s">
        <v>66</v>
      </c>
      <c r="Q89">
        <v>0</v>
      </c>
      <c r="R89">
        <v>0</v>
      </c>
    </row>
    <row r="90" spans="1:18" x14ac:dyDescent="0.35">
      <c r="A90" t="s">
        <v>56</v>
      </c>
      <c r="B90" t="s">
        <v>57</v>
      </c>
      <c r="C90" t="s">
        <v>58</v>
      </c>
      <c r="D90">
        <v>107065561</v>
      </c>
      <c r="E90" t="s">
        <v>528</v>
      </c>
      <c r="F90" t="s">
        <v>78</v>
      </c>
      <c r="G90">
        <v>0.59</v>
      </c>
      <c r="H90">
        <v>9.66</v>
      </c>
      <c r="I90">
        <v>0</v>
      </c>
      <c r="J90">
        <v>0</v>
      </c>
      <c r="K90">
        <v>10.25</v>
      </c>
      <c r="L90" t="s">
        <v>61</v>
      </c>
      <c r="M90">
        <v>277</v>
      </c>
      <c r="N90">
        <v>27.02</v>
      </c>
      <c r="O90" t="s">
        <v>62</v>
      </c>
      <c r="P90" t="s">
        <v>67</v>
      </c>
      <c r="Q90">
        <v>2953</v>
      </c>
      <c r="R90">
        <v>288.10000000000002</v>
      </c>
    </row>
    <row r="91" spans="1:18" x14ac:dyDescent="0.35">
      <c r="A91" t="s">
        <v>56</v>
      </c>
      <c r="B91" t="s">
        <v>57</v>
      </c>
      <c r="C91" t="s">
        <v>58</v>
      </c>
      <c r="D91">
        <v>107065561</v>
      </c>
      <c r="E91" t="s">
        <v>528</v>
      </c>
      <c r="F91" t="s">
        <v>78</v>
      </c>
      <c r="G91">
        <v>0.59</v>
      </c>
      <c r="H91">
        <v>9.66</v>
      </c>
      <c r="I91">
        <v>0</v>
      </c>
      <c r="J91">
        <v>0</v>
      </c>
      <c r="K91">
        <v>10.25</v>
      </c>
      <c r="L91" t="s">
        <v>61</v>
      </c>
      <c r="M91">
        <v>277</v>
      </c>
      <c r="N91">
        <v>27.02</v>
      </c>
      <c r="O91" t="s">
        <v>68</v>
      </c>
      <c r="P91" t="s">
        <v>67</v>
      </c>
      <c r="Q91">
        <v>277</v>
      </c>
      <c r="R91">
        <v>27.02</v>
      </c>
    </row>
    <row r="92" spans="1:18" x14ac:dyDescent="0.35">
      <c r="A92" t="s">
        <v>56</v>
      </c>
      <c r="B92" t="s">
        <v>57</v>
      </c>
      <c r="C92" t="s">
        <v>58</v>
      </c>
      <c r="D92">
        <v>107065561</v>
      </c>
      <c r="E92" t="s">
        <v>528</v>
      </c>
      <c r="F92" t="s">
        <v>78</v>
      </c>
      <c r="G92">
        <v>0.59</v>
      </c>
      <c r="H92">
        <v>9.66</v>
      </c>
      <c r="I92">
        <v>0</v>
      </c>
      <c r="J92">
        <v>0</v>
      </c>
      <c r="K92">
        <v>10.25</v>
      </c>
      <c r="L92" t="s">
        <v>61</v>
      </c>
      <c r="M92">
        <v>277</v>
      </c>
      <c r="N92">
        <v>27.02</v>
      </c>
      <c r="O92" t="s">
        <v>69</v>
      </c>
      <c r="P92" t="s">
        <v>67</v>
      </c>
      <c r="Q92">
        <v>0</v>
      </c>
      <c r="R92">
        <v>0</v>
      </c>
    </row>
    <row r="93" spans="1:18" x14ac:dyDescent="0.35">
      <c r="A93" t="s">
        <v>56</v>
      </c>
      <c r="B93" t="s">
        <v>57</v>
      </c>
      <c r="C93" t="s">
        <v>70</v>
      </c>
      <c r="D93">
        <v>107221213</v>
      </c>
      <c r="E93" t="s">
        <v>85</v>
      </c>
      <c r="F93" t="s">
        <v>60</v>
      </c>
      <c r="G93">
        <v>1.26</v>
      </c>
      <c r="H93">
        <v>8.0399999999999991</v>
      </c>
      <c r="I93">
        <v>0</v>
      </c>
      <c r="J93">
        <v>0</v>
      </c>
      <c r="K93">
        <v>9.3000000000000007</v>
      </c>
      <c r="L93" t="s">
        <v>61</v>
      </c>
      <c r="M93">
        <v>283</v>
      </c>
      <c r="N93">
        <v>30.42</v>
      </c>
      <c r="O93" t="s">
        <v>62</v>
      </c>
      <c r="P93" t="s">
        <v>63</v>
      </c>
      <c r="Q93">
        <v>1666</v>
      </c>
      <c r="R93">
        <v>1319.89</v>
      </c>
    </row>
    <row r="94" spans="1:18" x14ac:dyDescent="0.35">
      <c r="A94" t="s">
        <v>56</v>
      </c>
      <c r="B94" t="s">
        <v>57</v>
      </c>
      <c r="C94" t="s">
        <v>70</v>
      </c>
      <c r="D94">
        <v>107221213</v>
      </c>
      <c r="E94" t="s">
        <v>85</v>
      </c>
      <c r="F94" t="s">
        <v>60</v>
      </c>
      <c r="G94">
        <v>1.26</v>
      </c>
      <c r="H94">
        <v>8.0399999999999991</v>
      </c>
      <c r="I94">
        <v>0</v>
      </c>
      <c r="J94">
        <v>0</v>
      </c>
      <c r="K94">
        <v>9.3000000000000007</v>
      </c>
      <c r="L94" t="s">
        <v>61</v>
      </c>
      <c r="M94">
        <v>283</v>
      </c>
      <c r="N94">
        <v>30.42</v>
      </c>
      <c r="O94" t="s">
        <v>62</v>
      </c>
      <c r="P94" t="s">
        <v>64</v>
      </c>
      <c r="Q94">
        <v>1968</v>
      </c>
      <c r="R94">
        <v>244.72</v>
      </c>
    </row>
    <row r="95" spans="1:18" x14ac:dyDescent="0.35">
      <c r="A95" t="s">
        <v>56</v>
      </c>
      <c r="B95" t="s">
        <v>57</v>
      </c>
      <c r="C95" t="s">
        <v>70</v>
      </c>
      <c r="D95">
        <v>107221213</v>
      </c>
      <c r="E95" t="s">
        <v>85</v>
      </c>
      <c r="F95" t="s">
        <v>60</v>
      </c>
      <c r="G95">
        <v>1.26</v>
      </c>
      <c r="H95">
        <v>8.0399999999999991</v>
      </c>
      <c r="I95">
        <v>0</v>
      </c>
      <c r="J95">
        <v>0</v>
      </c>
      <c r="K95">
        <v>9.3000000000000007</v>
      </c>
      <c r="L95" t="s">
        <v>61</v>
      </c>
      <c r="M95">
        <v>283</v>
      </c>
      <c r="N95">
        <v>30.42</v>
      </c>
      <c r="O95" t="s">
        <v>62</v>
      </c>
      <c r="P95" t="s">
        <v>65</v>
      </c>
      <c r="Q95">
        <v>0</v>
      </c>
      <c r="R95">
        <v>0</v>
      </c>
    </row>
    <row r="96" spans="1:18" x14ac:dyDescent="0.35">
      <c r="A96" t="s">
        <v>56</v>
      </c>
      <c r="B96" t="s">
        <v>57</v>
      </c>
      <c r="C96" t="s">
        <v>70</v>
      </c>
      <c r="D96">
        <v>107221213</v>
      </c>
      <c r="E96" t="s">
        <v>85</v>
      </c>
      <c r="F96" t="s">
        <v>60</v>
      </c>
      <c r="G96">
        <v>1.26</v>
      </c>
      <c r="H96">
        <v>8.0399999999999991</v>
      </c>
      <c r="I96">
        <v>0</v>
      </c>
      <c r="J96">
        <v>0</v>
      </c>
      <c r="K96">
        <v>9.3000000000000007</v>
      </c>
      <c r="L96" t="s">
        <v>61</v>
      </c>
      <c r="M96">
        <v>283</v>
      </c>
      <c r="N96">
        <v>30.42</v>
      </c>
      <c r="O96" t="s">
        <v>62</v>
      </c>
      <c r="P96" t="s">
        <v>66</v>
      </c>
      <c r="Q96">
        <v>0</v>
      </c>
      <c r="R96">
        <v>0</v>
      </c>
    </row>
    <row r="97" spans="1:18" x14ac:dyDescent="0.35">
      <c r="A97" t="s">
        <v>56</v>
      </c>
      <c r="B97" t="s">
        <v>57</v>
      </c>
      <c r="C97" t="s">
        <v>70</v>
      </c>
      <c r="D97">
        <v>107221213</v>
      </c>
      <c r="E97" t="s">
        <v>85</v>
      </c>
      <c r="F97" t="s">
        <v>60</v>
      </c>
      <c r="G97">
        <v>1.26</v>
      </c>
      <c r="H97">
        <v>8.0399999999999991</v>
      </c>
      <c r="I97">
        <v>0</v>
      </c>
      <c r="J97">
        <v>0</v>
      </c>
      <c r="K97">
        <v>9.3000000000000007</v>
      </c>
      <c r="L97" t="s">
        <v>61</v>
      </c>
      <c r="M97">
        <v>283</v>
      </c>
      <c r="N97">
        <v>30.42</v>
      </c>
      <c r="O97" t="s">
        <v>62</v>
      </c>
      <c r="P97" t="s">
        <v>67</v>
      </c>
      <c r="Q97">
        <v>3634</v>
      </c>
      <c r="R97">
        <v>390.57</v>
      </c>
    </row>
    <row r="98" spans="1:18" x14ac:dyDescent="0.35">
      <c r="A98" t="s">
        <v>56</v>
      </c>
      <c r="B98" t="s">
        <v>57</v>
      </c>
      <c r="C98" t="s">
        <v>70</v>
      </c>
      <c r="D98">
        <v>107221213</v>
      </c>
      <c r="E98" t="s">
        <v>85</v>
      </c>
      <c r="F98" t="s">
        <v>60</v>
      </c>
      <c r="G98">
        <v>1.26</v>
      </c>
      <c r="H98">
        <v>8.0399999999999991</v>
      </c>
      <c r="I98">
        <v>0</v>
      </c>
      <c r="J98">
        <v>0</v>
      </c>
      <c r="K98">
        <v>9.3000000000000007</v>
      </c>
      <c r="L98" t="s">
        <v>61</v>
      </c>
      <c r="M98">
        <v>283</v>
      </c>
      <c r="N98">
        <v>30.42</v>
      </c>
      <c r="O98" t="s">
        <v>68</v>
      </c>
      <c r="P98" t="s">
        <v>67</v>
      </c>
      <c r="Q98">
        <v>283</v>
      </c>
      <c r="R98">
        <v>30.42</v>
      </c>
    </row>
    <row r="99" spans="1:18" x14ac:dyDescent="0.35">
      <c r="A99" t="s">
        <v>56</v>
      </c>
      <c r="B99" t="s">
        <v>57</v>
      </c>
      <c r="C99" t="s">
        <v>70</v>
      </c>
      <c r="D99">
        <v>107221213</v>
      </c>
      <c r="E99" t="s">
        <v>85</v>
      </c>
      <c r="F99" t="s">
        <v>60</v>
      </c>
      <c r="G99">
        <v>1.26</v>
      </c>
      <c r="H99">
        <v>8.0399999999999991</v>
      </c>
      <c r="I99">
        <v>0</v>
      </c>
      <c r="J99">
        <v>0</v>
      </c>
      <c r="K99">
        <v>9.3000000000000007</v>
      </c>
      <c r="L99" t="s">
        <v>61</v>
      </c>
      <c r="M99">
        <v>283</v>
      </c>
      <c r="N99">
        <v>30.42</v>
      </c>
      <c r="O99" t="s">
        <v>69</v>
      </c>
      <c r="P99" t="s">
        <v>67</v>
      </c>
      <c r="Q99">
        <v>0</v>
      </c>
      <c r="R99">
        <v>0</v>
      </c>
    </row>
    <row r="100" spans="1:18" x14ac:dyDescent="0.35">
      <c r="A100" t="s">
        <v>56</v>
      </c>
      <c r="B100" t="s">
        <v>57</v>
      </c>
      <c r="C100" t="s">
        <v>58</v>
      </c>
      <c r="D100">
        <v>107221225</v>
      </c>
      <c r="E100" t="s">
        <v>87</v>
      </c>
      <c r="F100" t="s">
        <v>60</v>
      </c>
      <c r="G100">
        <v>0.48</v>
      </c>
      <c r="H100">
        <v>9.52</v>
      </c>
      <c r="I100">
        <v>0</v>
      </c>
      <c r="J100">
        <v>0</v>
      </c>
      <c r="K100">
        <v>10</v>
      </c>
      <c r="L100" t="s">
        <v>61</v>
      </c>
      <c r="M100">
        <v>355</v>
      </c>
      <c r="N100">
        <v>35.5</v>
      </c>
      <c r="O100" t="s">
        <v>62</v>
      </c>
      <c r="P100" t="s">
        <v>63</v>
      </c>
      <c r="Q100">
        <v>778</v>
      </c>
      <c r="R100">
        <v>1627.43</v>
      </c>
    </row>
    <row r="101" spans="1:18" x14ac:dyDescent="0.35">
      <c r="A101" t="s">
        <v>56</v>
      </c>
      <c r="B101" t="s">
        <v>57</v>
      </c>
      <c r="C101" t="s">
        <v>58</v>
      </c>
      <c r="D101">
        <v>107221225</v>
      </c>
      <c r="E101" t="s">
        <v>87</v>
      </c>
      <c r="F101" t="s">
        <v>60</v>
      </c>
      <c r="G101">
        <v>0.48</v>
      </c>
      <c r="H101">
        <v>9.52</v>
      </c>
      <c r="I101">
        <v>0</v>
      </c>
      <c r="J101">
        <v>0</v>
      </c>
      <c r="K101">
        <v>10</v>
      </c>
      <c r="L101" t="s">
        <v>61</v>
      </c>
      <c r="M101">
        <v>355</v>
      </c>
      <c r="N101">
        <v>35.5</v>
      </c>
      <c r="O101" t="s">
        <v>62</v>
      </c>
      <c r="P101" t="s">
        <v>64</v>
      </c>
      <c r="Q101">
        <v>2873</v>
      </c>
      <c r="R101">
        <v>301.73</v>
      </c>
    </row>
    <row r="102" spans="1:18" x14ac:dyDescent="0.35">
      <c r="A102" t="s">
        <v>56</v>
      </c>
      <c r="B102" t="s">
        <v>57</v>
      </c>
      <c r="C102" t="s">
        <v>58</v>
      </c>
      <c r="D102">
        <v>107221225</v>
      </c>
      <c r="E102" t="s">
        <v>87</v>
      </c>
      <c r="F102" t="s">
        <v>60</v>
      </c>
      <c r="G102">
        <v>0.48</v>
      </c>
      <c r="H102">
        <v>9.52</v>
      </c>
      <c r="I102">
        <v>0</v>
      </c>
      <c r="J102">
        <v>0</v>
      </c>
      <c r="K102">
        <v>10</v>
      </c>
      <c r="L102" t="s">
        <v>61</v>
      </c>
      <c r="M102">
        <v>355</v>
      </c>
      <c r="N102">
        <v>35.5</v>
      </c>
      <c r="O102" t="s">
        <v>62</v>
      </c>
      <c r="P102" t="s">
        <v>65</v>
      </c>
      <c r="Q102">
        <v>0</v>
      </c>
      <c r="R102">
        <v>0</v>
      </c>
    </row>
    <row r="103" spans="1:18" x14ac:dyDescent="0.35">
      <c r="A103" t="s">
        <v>56</v>
      </c>
      <c r="B103" t="s">
        <v>57</v>
      </c>
      <c r="C103" t="s">
        <v>58</v>
      </c>
      <c r="D103">
        <v>107221225</v>
      </c>
      <c r="E103" t="s">
        <v>87</v>
      </c>
      <c r="F103" t="s">
        <v>60</v>
      </c>
      <c r="G103">
        <v>0.48</v>
      </c>
      <c r="H103">
        <v>9.52</v>
      </c>
      <c r="I103">
        <v>0</v>
      </c>
      <c r="J103">
        <v>0</v>
      </c>
      <c r="K103">
        <v>10</v>
      </c>
      <c r="L103" t="s">
        <v>61</v>
      </c>
      <c r="M103">
        <v>355</v>
      </c>
      <c r="N103">
        <v>35.5</v>
      </c>
      <c r="O103" t="s">
        <v>62</v>
      </c>
      <c r="P103" t="s">
        <v>66</v>
      </c>
      <c r="Q103">
        <v>0</v>
      </c>
      <c r="R103">
        <v>0</v>
      </c>
    </row>
    <row r="104" spans="1:18" x14ac:dyDescent="0.35">
      <c r="A104" t="s">
        <v>56</v>
      </c>
      <c r="B104" t="s">
        <v>57</v>
      </c>
      <c r="C104" t="s">
        <v>58</v>
      </c>
      <c r="D104">
        <v>107221225</v>
      </c>
      <c r="E104" t="s">
        <v>87</v>
      </c>
      <c r="F104" t="s">
        <v>60</v>
      </c>
      <c r="G104">
        <v>0.48</v>
      </c>
      <c r="H104">
        <v>9.52</v>
      </c>
      <c r="I104">
        <v>0</v>
      </c>
      <c r="J104">
        <v>0</v>
      </c>
      <c r="K104">
        <v>10</v>
      </c>
      <c r="L104" t="s">
        <v>61</v>
      </c>
      <c r="M104">
        <v>355</v>
      </c>
      <c r="N104">
        <v>35.5</v>
      </c>
      <c r="O104" t="s">
        <v>62</v>
      </c>
      <c r="P104" t="s">
        <v>67</v>
      </c>
      <c r="Q104">
        <v>3651</v>
      </c>
      <c r="R104">
        <v>365.1</v>
      </c>
    </row>
    <row r="105" spans="1:18" x14ac:dyDescent="0.35">
      <c r="A105" t="s">
        <v>56</v>
      </c>
      <c r="B105" t="s">
        <v>57</v>
      </c>
      <c r="C105" t="s">
        <v>58</v>
      </c>
      <c r="D105">
        <v>107221225</v>
      </c>
      <c r="E105" t="s">
        <v>87</v>
      </c>
      <c r="F105" t="s">
        <v>60</v>
      </c>
      <c r="G105">
        <v>0.48</v>
      </c>
      <c r="H105">
        <v>9.52</v>
      </c>
      <c r="I105">
        <v>0</v>
      </c>
      <c r="J105">
        <v>0</v>
      </c>
      <c r="K105">
        <v>10</v>
      </c>
      <c r="L105" t="s">
        <v>61</v>
      </c>
      <c r="M105">
        <v>355</v>
      </c>
      <c r="N105">
        <v>35.5</v>
      </c>
      <c r="O105" t="s">
        <v>68</v>
      </c>
      <c r="P105" t="s">
        <v>67</v>
      </c>
      <c r="Q105">
        <v>355</v>
      </c>
      <c r="R105">
        <v>35.5</v>
      </c>
    </row>
    <row r="106" spans="1:18" x14ac:dyDescent="0.35">
      <c r="A106" t="s">
        <v>56</v>
      </c>
      <c r="B106" t="s">
        <v>57</v>
      </c>
      <c r="C106" t="s">
        <v>58</v>
      </c>
      <c r="D106">
        <v>107221225</v>
      </c>
      <c r="E106" t="s">
        <v>87</v>
      </c>
      <c r="F106" t="s">
        <v>60</v>
      </c>
      <c r="G106">
        <v>0.48</v>
      </c>
      <c r="H106">
        <v>9.52</v>
      </c>
      <c r="I106">
        <v>0</v>
      </c>
      <c r="J106">
        <v>0</v>
      </c>
      <c r="K106">
        <v>10</v>
      </c>
      <c r="L106" t="s">
        <v>61</v>
      </c>
      <c r="M106">
        <v>355</v>
      </c>
      <c r="N106">
        <v>35.5</v>
      </c>
      <c r="O106" t="s">
        <v>69</v>
      </c>
      <c r="P106" t="s">
        <v>67</v>
      </c>
      <c r="Q106">
        <v>0</v>
      </c>
      <c r="R106">
        <v>0</v>
      </c>
    </row>
    <row r="107" spans="1:18" x14ac:dyDescent="0.35">
      <c r="A107" t="s">
        <v>56</v>
      </c>
      <c r="B107" t="s">
        <v>57</v>
      </c>
      <c r="C107" t="s">
        <v>70</v>
      </c>
      <c r="D107">
        <v>107221231</v>
      </c>
      <c r="E107" t="s">
        <v>88</v>
      </c>
      <c r="F107" t="s">
        <v>60</v>
      </c>
      <c r="G107">
        <v>1.0900000000000001</v>
      </c>
      <c r="H107">
        <v>8.7899999999999991</v>
      </c>
      <c r="I107">
        <v>0</v>
      </c>
      <c r="J107">
        <v>0</v>
      </c>
      <c r="K107">
        <v>9.8800000000000008</v>
      </c>
      <c r="L107" t="s">
        <v>61</v>
      </c>
      <c r="M107">
        <v>331</v>
      </c>
      <c r="N107">
        <v>33.49</v>
      </c>
      <c r="O107" t="s">
        <v>62</v>
      </c>
      <c r="P107" t="s">
        <v>63</v>
      </c>
      <c r="Q107">
        <v>1215</v>
      </c>
      <c r="R107">
        <v>1116.67</v>
      </c>
    </row>
    <row r="108" spans="1:18" x14ac:dyDescent="0.35">
      <c r="A108" t="s">
        <v>56</v>
      </c>
      <c r="B108" t="s">
        <v>57</v>
      </c>
      <c r="C108" t="s">
        <v>70</v>
      </c>
      <c r="D108">
        <v>107221231</v>
      </c>
      <c r="E108" t="s">
        <v>88</v>
      </c>
      <c r="F108" t="s">
        <v>60</v>
      </c>
      <c r="G108">
        <v>1.0900000000000001</v>
      </c>
      <c r="H108">
        <v>8.7899999999999991</v>
      </c>
      <c r="I108">
        <v>0</v>
      </c>
      <c r="J108">
        <v>0</v>
      </c>
      <c r="K108">
        <v>9.8800000000000008</v>
      </c>
      <c r="L108" t="s">
        <v>61</v>
      </c>
      <c r="M108">
        <v>331</v>
      </c>
      <c r="N108">
        <v>33.49</v>
      </c>
      <c r="O108" t="s">
        <v>62</v>
      </c>
      <c r="P108" t="s">
        <v>64</v>
      </c>
      <c r="Q108">
        <v>1821</v>
      </c>
      <c r="R108">
        <v>207.05</v>
      </c>
    </row>
    <row r="109" spans="1:18" x14ac:dyDescent="0.35">
      <c r="A109" t="s">
        <v>56</v>
      </c>
      <c r="B109" t="s">
        <v>57</v>
      </c>
      <c r="C109" t="s">
        <v>70</v>
      </c>
      <c r="D109">
        <v>107221231</v>
      </c>
      <c r="E109" t="s">
        <v>88</v>
      </c>
      <c r="F109" t="s">
        <v>60</v>
      </c>
      <c r="G109">
        <v>1.0900000000000001</v>
      </c>
      <c r="H109">
        <v>8.7899999999999991</v>
      </c>
      <c r="I109">
        <v>0</v>
      </c>
      <c r="J109">
        <v>0</v>
      </c>
      <c r="K109">
        <v>9.8800000000000008</v>
      </c>
      <c r="L109" t="s">
        <v>61</v>
      </c>
      <c r="M109">
        <v>331</v>
      </c>
      <c r="N109">
        <v>33.49</v>
      </c>
      <c r="O109" t="s">
        <v>62</v>
      </c>
      <c r="P109" t="s">
        <v>65</v>
      </c>
      <c r="Q109">
        <v>0</v>
      </c>
      <c r="R109">
        <v>0</v>
      </c>
    </row>
    <row r="110" spans="1:18" x14ac:dyDescent="0.35">
      <c r="A110" t="s">
        <v>56</v>
      </c>
      <c r="B110" t="s">
        <v>57</v>
      </c>
      <c r="C110" t="s">
        <v>70</v>
      </c>
      <c r="D110">
        <v>107221231</v>
      </c>
      <c r="E110" t="s">
        <v>88</v>
      </c>
      <c r="F110" t="s">
        <v>60</v>
      </c>
      <c r="G110">
        <v>1.0900000000000001</v>
      </c>
      <c r="H110">
        <v>8.7899999999999991</v>
      </c>
      <c r="I110">
        <v>0</v>
      </c>
      <c r="J110">
        <v>0</v>
      </c>
      <c r="K110">
        <v>9.8800000000000008</v>
      </c>
      <c r="L110" t="s">
        <v>61</v>
      </c>
      <c r="M110">
        <v>331</v>
      </c>
      <c r="N110">
        <v>33.49</v>
      </c>
      <c r="O110" t="s">
        <v>62</v>
      </c>
      <c r="P110" t="s">
        <v>66</v>
      </c>
      <c r="Q110">
        <v>0</v>
      </c>
      <c r="R110">
        <v>0</v>
      </c>
    </row>
    <row r="111" spans="1:18" x14ac:dyDescent="0.35">
      <c r="A111" t="s">
        <v>56</v>
      </c>
      <c r="B111" t="s">
        <v>57</v>
      </c>
      <c r="C111" t="s">
        <v>70</v>
      </c>
      <c r="D111">
        <v>107221231</v>
      </c>
      <c r="E111" t="s">
        <v>88</v>
      </c>
      <c r="F111" t="s">
        <v>60</v>
      </c>
      <c r="G111">
        <v>1.0900000000000001</v>
      </c>
      <c r="H111">
        <v>8.7899999999999991</v>
      </c>
      <c r="I111">
        <v>0</v>
      </c>
      <c r="J111">
        <v>0</v>
      </c>
      <c r="K111">
        <v>9.8800000000000008</v>
      </c>
      <c r="L111" t="s">
        <v>61</v>
      </c>
      <c r="M111">
        <v>331</v>
      </c>
      <c r="N111">
        <v>33.49</v>
      </c>
      <c r="O111" t="s">
        <v>62</v>
      </c>
      <c r="P111" t="s">
        <v>67</v>
      </c>
      <c r="Q111">
        <v>3036</v>
      </c>
      <c r="R111">
        <v>307.18</v>
      </c>
    </row>
    <row r="112" spans="1:18" x14ac:dyDescent="0.35">
      <c r="A112" t="s">
        <v>56</v>
      </c>
      <c r="B112" t="s">
        <v>57</v>
      </c>
      <c r="C112" t="s">
        <v>70</v>
      </c>
      <c r="D112">
        <v>107221231</v>
      </c>
      <c r="E112" t="s">
        <v>88</v>
      </c>
      <c r="F112" t="s">
        <v>60</v>
      </c>
      <c r="G112">
        <v>1.0900000000000001</v>
      </c>
      <c r="H112">
        <v>8.7899999999999991</v>
      </c>
      <c r="I112">
        <v>0</v>
      </c>
      <c r="J112">
        <v>0</v>
      </c>
      <c r="K112">
        <v>9.8800000000000008</v>
      </c>
      <c r="L112" t="s">
        <v>61</v>
      </c>
      <c r="M112">
        <v>331</v>
      </c>
      <c r="N112">
        <v>33.49</v>
      </c>
      <c r="O112" t="s">
        <v>68</v>
      </c>
      <c r="P112" t="s">
        <v>67</v>
      </c>
      <c r="Q112">
        <v>331</v>
      </c>
      <c r="R112">
        <v>33.49</v>
      </c>
    </row>
    <row r="113" spans="1:18" x14ac:dyDescent="0.35">
      <c r="A113" t="s">
        <v>56</v>
      </c>
      <c r="B113" t="s">
        <v>57</v>
      </c>
      <c r="C113" t="s">
        <v>70</v>
      </c>
      <c r="D113">
        <v>107221231</v>
      </c>
      <c r="E113" t="s">
        <v>88</v>
      </c>
      <c r="F113" t="s">
        <v>60</v>
      </c>
      <c r="G113">
        <v>1.0900000000000001</v>
      </c>
      <c r="H113">
        <v>8.7899999999999991</v>
      </c>
      <c r="I113">
        <v>0</v>
      </c>
      <c r="J113">
        <v>0</v>
      </c>
      <c r="K113">
        <v>9.8800000000000008</v>
      </c>
      <c r="L113" t="s">
        <v>61</v>
      </c>
      <c r="M113">
        <v>331</v>
      </c>
      <c r="N113">
        <v>33.49</v>
      </c>
      <c r="O113" t="s">
        <v>69</v>
      </c>
      <c r="P113" t="s">
        <v>67</v>
      </c>
      <c r="Q113">
        <v>0</v>
      </c>
      <c r="R113">
        <v>0</v>
      </c>
    </row>
    <row r="114" spans="1:18" x14ac:dyDescent="0.35">
      <c r="A114" t="s">
        <v>56</v>
      </c>
      <c r="B114" t="s">
        <v>57</v>
      </c>
      <c r="C114" t="s">
        <v>70</v>
      </c>
      <c r="D114">
        <v>107228984</v>
      </c>
      <c r="E114" t="s">
        <v>529</v>
      </c>
      <c r="F114" t="s">
        <v>60</v>
      </c>
      <c r="G114">
        <v>1.06</v>
      </c>
      <c r="H114">
        <v>8.94</v>
      </c>
      <c r="I114">
        <v>0</v>
      </c>
      <c r="J114">
        <v>0</v>
      </c>
      <c r="K114">
        <v>10</v>
      </c>
      <c r="L114" t="s">
        <v>61</v>
      </c>
      <c r="M114">
        <v>376</v>
      </c>
      <c r="N114">
        <v>37.6</v>
      </c>
      <c r="O114" t="s">
        <v>62</v>
      </c>
      <c r="P114" t="s">
        <v>63</v>
      </c>
      <c r="Q114">
        <v>1706</v>
      </c>
      <c r="R114">
        <v>1609.43</v>
      </c>
    </row>
    <row r="115" spans="1:18" x14ac:dyDescent="0.35">
      <c r="A115" t="s">
        <v>56</v>
      </c>
      <c r="B115" t="s">
        <v>57</v>
      </c>
      <c r="C115" t="s">
        <v>70</v>
      </c>
      <c r="D115">
        <v>107228984</v>
      </c>
      <c r="E115" t="s">
        <v>529</v>
      </c>
      <c r="F115" t="s">
        <v>60</v>
      </c>
      <c r="G115">
        <v>1.06</v>
      </c>
      <c r="H115">
        <v>8.94</v>
      </c>
      <c r="I115">
        <v>0</v>
      </c>
      <c r="J115">
        <v>0</v>
      </c>
      <c r="K115">
        <v>10</v>
      </c>
      <c r="L115" t="s">
        <v>61</v>
      </c>
      <c r="M115">
        <v>376</v>
      </c>
      <c r="N115">
        <v>37.6</v>
      </c>
      <c r="O115" t="s">
        <v>62</v>
      </c>
      <c r="P115" t="s">
        <v>64</v>
      </c>
      <c r="Q115">
        <v>2667</v>
      </c>
      <c r="R115">
        <v>298.33</v>
      </c>
    </row>
    <row r="116" spans="1:18" x14ac:dyDescent="0.35">
      <c r="A116" t="s">
        <v>56</v>
      </c>
      <c r="B116" t="s">
        <v>57</v>
      </c>
      <c r="C116" t="s">
        <v>70</v>
      </c>
      <c r="D116">
        <v>107228984</v>
      </c>
      <c r="E116" t="s">
        <v>529</v>
      </c>
      <c r="F116" t="s">
        <v>60</v>
      </c>
      <c r="G116">
        <v>1.06</v>
      </c>
      <c r="H116">
        <v>8.94</v>
      </c>
      <c r="I116">
        <v>0</v>
      </c>
      <c r="J116">
        <v>0</v>
      </c>
      <c r="K116">
        <v>10</v>
      </c>
      <c r="L116" t="s">
        <v>61</v>
      </c>
      <c r="M116">
        <v>376</v>
      </c>
      <c r="N116">
        <v>37.6</v>
      </c>
      <c r="O116" t="s">
        <v>62</v>
      </c>
      <c r="P116" t="s">
        <v>65</v>
      </c>
      <c r="Q116">
        <v>0</v>
      </c>
      <c r="R116">
        <v>0</v>
      </c>
    </row>
    <row r="117" spans="1:18" x14ac:dyDescent="0.35">
      <c r="A117" t="s">
        <v>56</v>
      </c>
      <c r="B117" t="s">
        <v>57</v>
      </c>
      <c r="C117" t="s">
        <v>70</v>
      </c>
      <c r="D117">
        <v>107228984</v>
      </c>
      <c r="E117" t="s">
        <v>529</v>
      </c>
      <c r="F117" t="s">
        <v>60</v>
      </c>
      <c r="G117">
        <v>1.06</v>
      </c>
      <c r="H117">
        <v>8.94</v>
      </c>
      <c r="I117">
        <v>0</v>
      </c>
      <c r="J117">
        <v>0</v>
      </c>
      <c r="K117">
        <v>10</v>
      </c>
      <c r="L117" t="s">
        <v>61</v>
      </c>
      <c r="M117">
        <v>376</v>
      </c>
      <c r="N117">
        <v>37.6</v>
      </c>
      <c r="O117" t="s">
        <v>62</v>
      </c>
      <c r="P117" t="s">
        <v>66</v>
      </c>
      <c r="Q117">
        <v>0</v>
      </c>
      <c r="R117">
        <v>0</v>
      </c>
    </row>
    <row r="118" spans="1:18" x14ac:dyDescent="0.35">
      <c r="A118" t="s">
        <v>56</v>
      </c>
      <c r="B118" t="s">
        <v>57</v>
      </c>
      <c r="C118" t="s">
        <v>70</v>
      </c>
      <c r="D118">
        <v>107228984</v>
      </c>
      <c r="E118" t="s">
        <v>529</v>
      </c>
      <c r="F118" t="s">
        <v>60</v>
      </c>
      <c r="G118">
        <v>1.06</v>
      </c>
      <c r="H118">
        <v>8.94</v>
      </c>
      <c r="I118">
        <v>0</v>
      </c>
      <c r="J118">
        <v>0</v>
      </c>
      <c r="K118">
        <v>10</v>
      </c>
      <c r="L118" t="s">
        <v>61</v>
      </c>
      <c r="M118">
        <v>376</v>
      </c>
      <c r="N118">
        <v>37.6</v>
      </c>
      <c r="O118" t="s">
        <v>62</v>
      </c>
      <c r="P118" t="s">
        <v>67</v>
      </c>
      <c r="Q118">
        <v>4373</v>
      </c>
      <c r="R118">
        <v>437.3</v>
      </c>
    </row>
    <row r="119" spans="1:18" x14ac:dyDescent="0.35">
      <c r="A119" t="s">
        <v>56</v>
      </c>
      <c r="B119" t="s">
        <v>57</v>
      </c>
      <c r="C119" t="s">
        <v>70</v>
      </c>
      <c r="D119">
        <v>107228984</v>
      </c>
      <c r="E119" t="s">
        <v>529</v>
      </c>
      <c r="F119" t="s">
        <v>60</v>
      </c>
      <c r="G119">
        <v>1.06</v>
      </c>
      <c r="H119">
        <v>8.94</v>
      </c>
      <c r="I119">
        <v>0</v>
      </c>
      <c r="J119">
        <v>0</v>
      </c>
      <c r="K119">
        <v>10</v>
      </c>
      <c r="L119" t="s">
        <v>61</v>
      </c>
      <c r="M119">
        <v>376</v>
      </c>
      <c r="N119">
        <v>37.6</v>
      </c>
      <c r="O119" t="s">
        <v>68</v>
      </c>
      <c r="P119" t="s">
        <v>67</v>
      </c>
      <c r="Q119">
        <v>376</v>
      </c>
      <c r="R119">
        <v>37.6</v>
      </c>
    </row>
    <row r="120" spans="1:18" x14ac:dyDescent="0.35">
      <c r="A120" t="s">
        <v>56</v>
      </c>
      <c r="B120" t="s">
        <v>57</v>
      </c>
      <c r="C120" t="s">
        <v>70</v>
      </c>
      <c r="D120">
        <v>107228984</v>
      </c>
      <c r="E120" t="s">
        <v>529</v>
      </c>
      <c r="F120" t="s">
        <v>60</v>
      </c>
      <c r="G120">
        <v>1.06</v>
      </c>
      <c r="H120">
        <v>8.94</v>
      </c>
      <c r="I120">
        <v>0</v>
      </c>
      <c r="J120">
        <v>0</v>
      </c>
      <c r="K120">
        <v>10</v>
      </c>
      <c r="L120" t="s">
        <v>61</v>
      </c>
      <c r="M120">
        <v>376</v>
      </c>
      <c r="N120">
        <v>37.6</v>
      </c>
      <c r="O120" t="s">
        <v>69</v>
      </c>
      <c r="P120" t="s">
        <v>67</v>
      </c>
      <c r="Q120">
        <v>0</v>
      </c>
      <c r="R120">
        <v>0</v>
      </c>
    </row>
    <row r="121" spans="1:18" x14ac:dyDescent="0.35">
      <c r="A121" t="s">
        <v>56</v>
      </c>
      <c r="B121" t="s">
        <v>57</v>
      </c>
      <c r="C121" t="s">
        <v>70</v>
      </c>
      <c r="D121">
        <v>107229417</v>
      </c>
      <c r="E121" t="s">
        <v>565</v>
      </c>
      <c r="F121" t="s">
        <v>60</v>
      </c>
      <c r="G121">
        <v>0.62</v>
      </c>
      <c r="H121">
        <v>9.3800000000000008</v>
      </c>
      <c r="I121">
        <v>0</v>
      </c>
      <c r="J121">
        <v>0</v>
      </c>
      <c r="K121">
        <v>10</v>
      </c>
      <c r="L121" t="s">
        <v>61</v>
      </c>
      <c r="M121">
        <v>475</v>
      </c>
      <c r="N121">
        <v>47.5</v>
      </c>
      <c r="O121" t="s">
        <v>62</v>
      </c>
      <c r="P121" t="s">
        <v>63</v>
      </c>
      <c r="Q121">
        <v>710</v>
      </c>
      <c r="R121">
        <v>1138.53</v>
      </c>
    </row>
    <row r="122" spans="1:18" x14ac:dyDescent="0.35">
      <c r="A122" t="s">
        <v>56</v>
      </c>
      <c r="B122" t="s">
        <v>57</v>
      </c>
      <c r="C122" t="s">
        <v>70</v>
      </c>
      <c r="D122">
        <v>107229417</v>
      </c>
      <c r="E122" t="s">
        <v>565</v>
      </c>
      <c r="F122" t="s">
        <v>60</v>
      </c>
      <c r="G122">
        <v>0.62</v>
      </c>
      <c r="H122">
        <v>9.3800000000000008</v>
      </c>
      <c r="I122">
        <v>0</v>
      </c>
      <c r="J122">
        <v>0</v>
      </c>
      <c r="K122">
        <v>10</v>
      </c>
      <c r="L122" t="s">
        <v>61</v>
      </c>
      <c r="M122">
        <v>475</v>
      </c>
      <c r="N122">
        <v>47.5</v>
      </c>
      <c r="O122" t="s">
        <v>62</v>
      </c>
      <c r="P122" t="s">
        <v>64</v>
      </c>
      <c r="Q122">
        <v>1979</v>
      </c>
      <c r="R122">
        <v>211.07</v>
      </c>
    </row>
    <row r="123" spans="1:18" x14ac:dyDescent="0.35">
      <c r="A123" t="s">
        <v>56</v>
      </c>
      <c r="B123" t="s">
        <v>57</v>
      </c>
      <c r="C123" t="s">
        <v>70</v>
      </c>
      <c r="D123">
        <v>107229417</v>
      </c>
      <c r="E123" t="s">
        <v>565</v>
      </c>
      <c r="F123" t="s">
        <v>60</v>
      </c>
      <c r="G123">
        <v>0.62</v>
      </c>
      <c r="H123">
        <v>9.3800000000000008</v>
      </c>
      <c r="I123">
        <v>0</v>
      </c>
      <c r="J123">
        <v>0</v>
      </c>
      <c r="K123">
        <v>10</v>
      </c>
      <c r="L123" t="s">
        <v>61</v>
      </c>
      <c r="M123">
        <v>475</v>
      </c>
      <c r="N123">
        <v>47.5</v>
      </c>
      <c r="O123" t="s">
        <v>62</v>
      </c>
      <c r="P123" t="s">
        <v>65</v>
      </c>
      <c r="Q123">
        <v>0</v>
      </c>
      <c r="R123">
        <v>0</v>
      </c>
    </row>
    <row r="124" spans="1:18" x14ac:dyDescent="0.35">
      <c r="A124" t="s">
        <v>56</v>
      </c>
      <c r="B124" t="s">
        <v>57</v>
      </c>
      <c r="C124" t="s">
        <v>70</v>
      </c>
      <c r="D124">
        <v>107229417</v>
      </c>
      <c r="E124" t="s">
        <v>565</v>
      </c>
      <c r="F124" t="s">
        <v>60</v>
      </c>
      <c r="G124">
        <v>0.62</v>
      </c>
      <c r="H124">
        <v>9.3800000000000008</v>
      </c>
      <c r="I124">
        <v>0</v>
      </c>
      <c r="J124">
        <v>0</v>
      </c>
      <c r="K124">
        <v>10</v>
      </c>
      <c r="L124" t="s">
        <v>61</v>
      </c>
      <c r="M124">
        <v>475</v>
      </c>
      <c r="N124">
        <v>47.5</v>
      </c>
      <c r="O124" t="s">
        <v>62</v>
      </c>
      <c r="P124" t="s">
        <v>66</v>
      </c>
      <c r="Q124">
        <v>0</v>
      </c>
      <c r="R124">
        <v>0</v>
      </c>
    </row>
    <row r="125" spans="1:18" x14ac:dyDescent="0.35">
      <c r="A125" t="s">
        <v>56</v>
      </c>
      <c r="B125" t="s">
        <v>57</v>
      </c>
      <c r="C125" t="s">
        <v>70</v>
      </c>
      <c r="D125">
        <v>107229417</v>
      </c>
      <c r="E125" t="s">
        <v>565</v>
      </c>
      <c r="F125" t="s">
        <v>60</v>
      </c>
      <c r="G125">
        <v>0.62</v>
      </c>
      <c r="H125">
        <v>9.3800000000000008</v>
      </c>
      <c r="I125">
        <v>0</v>
      </c>
      <c r="J125">
        <v>0</v>
      </c>
      <c r="K125">
        <v>10</v>
      </c>
      <c r="L125" t="s">
        <v>61</v>
      </c>
      <c r="M125">
        <v>475</v>
      </c>
      <c r="N125">
        <v>47.5</v>
      </c>
      <c r="O125" t="s">
        <v>62</v>
      </c>
      <c r="P125" t="s">
        <v>67</v>
      </c>
      <c r="Q125">
        <v>2689</v>
      </c>
      <c r="R125">
        <v>268.89999999999998</v>
      </c>
    </row>
    <row r="126" spans="1:18" x14ac:dyDescent="0.35">
      <c r="A126" t="s">
        <v>56</v>
      </c>
      <c r="B126" t="s">
        <v>57</v>
      </c>
      <c r="C126" t="s">
        <v>70</v>
      </c>
      <c r="D126">
        <v>107229417</v>
      </c>
      <c r="E126" t="s">
        <v>565</v>
      </c>
      <c r="F126" t="s">
        <v>60</v>
      </c>
      <c r="G126">
        <v>0.62</v>
      </c>
      <c r="H126">
        <v>9.3800000000000008</v>
      </c>
      <c r="I126">
        <v>0</v>
      </c>
      <c r="J126">
        <v>0</v>
      </c>
      <c r="K126">
        <v>10</v>
      </c>
      <c r="L126" t="s">
        <v>61</v>
      </c>
      <c r="M126">
        <v>475</v>
      </c>
      <c r="N126">
        <v>47.5</v>
      </c>
      <c r="O126" t="s">
        <v>68</v>
      </c>
      <c r="P126" t="s">
        <v>67</v>
      </c>
      <c r="Q126">
        <v>475</v>
      </c>
      <c r="R126">
        <v>47.5</v>
      </c>
    </row>
    <row r="127" spans="1:18" x14ac:dyDescent="0.35">
      <c r="A127" t="s">
        <v>56</v>
      </c>
      <c r="B127" t="s">
        <v>57</v>
      </c>
      <c r="C127" t="s">
        <v>70</v>
      </c>
      <c r="D127">
        <v>107229417</v>
      </c>
      <c r="E127" t="s">
        <v>565</v>
      </c>
      <c r="F127" t="s">
        <v>60</v>
      </c>
      <c r="G127">
        <v>0.62</v>
      </c>
      <c r="H127">
        <v>9.3800000000000008</v>
      </c>
      <c r="I127">
        <v>0</v>
      </c>
      <c r="J127">
        <v>0</v>
      </c>
      <c r="K127">
        <v>10</v>
      </c>
      <c r="L127" t="s">
        <v>61</v>
      </c>
      <c r="M127">
        <v>475</v>
      </c>
      <c r="N127">
        <v>47.5</v>
      </c>
      <c r="O127" t="s">
        <v>69</v>
      </c>
      <c r="P127" t="s">
        <v>67</v>
      </c>
      <c r="Q127">
        <v>0</v>
      </c>
      <c r="R127">
        <v>0</v>
      </c>
    </row>
    <row r="128" spans="1:18" x14ac:dyDescent="0.35">
      <c r="A128" t="s">
        <v>56</v>
      </c>
      <c r="B128" t="s">
        <v>57</v>
      </c>
      <c r="C128" t="s">
        <v>70</v>
      </c>
      <c r="D128">
        <v>107232917</v>
      </c>
      <c r="E128" t="s">
        <v>530</v>
      </c>
      <c r="F128" t="s">
        <v>72</v>
      </c>
      <c r="G128">
        <v>0.09</v>
      </c>
      <c r="H128">
        <v>9.91</v>
      </c>
      <c r="I128">
        <v>0</v>
      </c>
      <c r="J128">
        <v>0</v>
      </c>
      <c r="K128">
        <v>10</v>
      </c>
      <c r="L128" t="s">
        <v>61</v>
      </c>
      <c r="M128">
        <v>569</v>
      </c>
      <c r="N128">
        <v>56.9</v>
      </c>
      <c r="O128" t="s">
        <v>62</v>
      </c>
      <c r="P128" t="s">
        <v>63</v>
      </c>
      <c r="Q128">
        <v>93</v>
      </c>
      <c r="R128">
        <v>1002.4</v>
      </c>
    </row>
    <row r="129" spans="1:18" x14ac:dyDescent="0.35">
      <c r="A129" t="s">
        <v>56</v>
      </c>
      <c r="B129" t="s">
        <v>57</v>
      </c>
      <c r="C129" t="s">
        <v>70</v>
      </c>
      <c r="D129">
        <v>107232917</v>
      </c>
      <c r="E129" t="s">
        <v>530</v>
      </c>
      <c r="F129" t="s">
        <v>72</v>
      </c>
      <c r="G129">
        <v>0.09</v>
      </c>
      <c r="H129">
        <v>9.91</v>
      </c>
      <c r="I129">
        <v>0</v>
      </c>
      <c r="J129">
        <v>0</v>
      </c>
      <c r="K129">
        <v>10</v>
      </c>
      <c r="L129" t="s">
        <v>61</v>
      </c>
      <c r="M129">
        <v>569</v>
      </c>
      <c r="N129">
        <v>56.9</v>
      </c>
      <c r="O129" t="s">
        <v>62</v>
      </c>
      <c r="P129" t="s">
        <v>64</v>
      </c>
      <c r="Q129">
        <v>1838</v>
      </c>
      <c r="R129">
        <v>185.53</v>
      </c>
    </row>
    <row r="130" spans="1:18" x14ac:dyDescent="0.35">
      <c r="A130" t="s">
        <v>56</v>
      </c>
      <c r="B130" t="s">
        <v>57</v>
      </c>
      <c r="C130" t="s">
        <v>70</v>
      </c>
      <c r="D130">
        <v>107232917</v>
      </c>
      <c r="E130" t="s">
        <v>530</v>
      </c>
      <c r="F130" t="s">
        <v>72</v>
      </c>
      <c r="G130">
        <v>0.09</v>
      </c>
      <c r="H130">
        <v>9.91</v>
      </c>
      <c r="I130">
        <v>0</v>
      </c>
      <c r="J130">
        <v>0</v>
      </c>
      <c r="K130">
        <v>10</v>
      </c>
      <c r="L130" t="s">
        <v>61</v>
      </c>
      <c r="M130">
        <v>569</v>
      </c>
      <c r="N130">
        <v>56.9</v>
      </c>
      <c r="O130" t="s">
        <v>62</v>
      </c>
      <c r="P130" t="s">
        <v>65</v>
      </c>
      <c r="Q130">
        <v>0</v>
      </c>
      <c r="R130">
        <v>0</v>
      </c>
    </row>
    <row r="131" spans="1:18" x14ac:dyDescent="0.35">
      <c r="A131" t="s">
        <v>56</v>
      </c>
      <c r="B131" t="s">
        <v>57</v>
      </c>
      <c r="C131" t="s">
        <v>70</v>
      </c>
      <c r="D131">
        <v>107232917</v>
      </c>
      <c r="E131" t="s">
        <v>530</v>
      </c>
      <c r="F131" t="s">
        <v>72</v>
      </c>
      <c r="G131">
        <v>0.09</v>
      </c>
      <c r="H131">
        <v>9.91</v>
      </c>
      <c r="I131">
        <v>0</v>
      </c>
      <c r="J131">
        <v>0</v>
      </c>
      <c r="K131">
        <v>10</v>
      </c>
      <c r="L131" t="s">
        <v>61</v>
      </c>
      <c r="M131">
        <v>569</v>
      </c>
      <c r="N131">
        <v>56.9</v>
      </c>
      <c r="O131" t="s">
        <v>62</v>
      </c>
      <c r="P131" t="s">
        <v>66</v>
      </c>
      <c r="Q131">
        <v>0</v>
      </c>
      <c r="R131">
        <v>0</v>
      </c>
    </row>
    <row r="132" spans="1:18" x14ac:dyDescent="0.35">
      <c r="A132" t="s">
        <v>56</v>
      </c>
      <c r="B132" t="s">
        <v>57</v>
      </c>
      <c r="C132" t="s">
        <v>70</v>
      </c>
      <c r="D132">
        <v>107232917</v>
      </c>
      <c r="E132" t="s">
        <v>530</v>
      </c>
      <c r="F132" t="s">
        <v>72</v>
      </c>
      <c r="G132">
        <v>0.09</v>
      </c>
      <c r="H132">
        <v>9.91</v>
      </c>
      <c r="I132">
        <v>0</v>
      </c>
      <c r="J132">
        <v>0</v>
      </c>
      <c r="K132">
        <v>10</v>
      </c>
      <c r="L132" t="s">
        <v>61</v>
      </c>
      <c r="M132">
        <v>569</v>
      </c>
      <c r="N132">
        <v>56.9</v>
      </c>
      <c r="O132" t="s">
        <v>62</v>
      </c>
      <c r="P132" t="s">
        <v>67</v>
      </c>
      <c r="Q132">
        <v>1931</v>
      </c>
      <c r="R132">
        <v>193.1</v>
      </c>
    </row>
    <row r="133" spans="1:18" x14ac:dyDescent="0.35">
      <c r="A133" t="s">
        <v>56</v>
      </c>
      <c r="B133" t="s">
        <v>57</v>
      </c>
      <c r="C133" t="s">
        <v>70</v>
      </c>
      <c r="D133">
        <v>107232917</v>
      </c>
      <c r="E133" t="s">
        <v>530</v>
      </c>
      <c r="F133" t="s">
        <v>72</v>
      </c>
      <c r="G133">
        <v>0.09</v>
      </c>
      <c r="H133">
        <v>9.91</v>
      </c>
      <c r="I133">
        <v>0</v>
      </c>
      <c r="J133">
        <v>0</v>
      </c>
      <c r="K133">
        <v>10</v>
      </c>
      <c r="L133" t="s">
        <v>61</v>
      </c>
      <c r="M133">
        <v>569</v>
      </c>
      <c r="N133">
        <v>56.9</v>
      </c>
      <c r="O133" t="s">
        <v>68</v>
      </c>
      <c r="P133" t="s">
        <v>67</v>
      </c>
      <c r="Q133">
        <v>569</v>
      </c>
      <c r="R133">
        <v>56.9</v>
      </c>
    </row>
    <row r="134" spans="1:18" x14ac:dyDescent="0.35">
      <c r="A134" t="s">
        <v>56</v>
      </c>
      <c r="B134" t="s">
        <v>57</v>
      </c>
      <c r="C134" t="s">
        <v>70</v>
      </c>
      <c r="D134">
        <v>107232917</v>
      </c>
      <c r="E134" t="s">
        <v>530</v>
      </c>
      <c r="F134" t="s">
        <v>72</v>
      </c>
      <c r="G134">
        <v>0.09</v>
      </c>
      <c r="H134">
        <v>9.91</v>
      </c>
      <c r="I134">
        <v>0</v>
      </c>
      <c r="J134">
        <v>0</v>
      </c>
      <c r="K134">
        <v>10</v>
      </c>
      <c r="L134" t="s">
        <v>61</v>
      </c>
      <c r="M134">
        <v>569</v>
      </c>
      <c r="N134">
        <v>56.9</v>
      </c>
      <c r="O134" t="s">
        <v>69</v>
      </c>
      <c r="P134" t="s">
        <v>67</v>
      </c>
      <c r="Q134">
        <v>0</v>
      </c>
      <c r="R134">
        <v>0</v>
      </c>
    </row>
    <row r="135" spans="1:18" x14ac:dyDescent="0.35">
      <c r="A135" t="s">
        <v>56</v>
      </c>
      <c r="B135" t="s">
        <v>57</v>
      </c>
      <c r="C135" t="s">
        <v>70</v>
      </c>
      <c r="D135">
        <v>107232971</v>
      </c>
      <c r="E135" t="s">
        <v>531</v>
      </c>
      <c r="F135" t="s">
        <v>72</v>
      </c>
      <c r="G135">
        <v>0.74</v>
      </c>
      <c r="H135">
        <v>5.65</v>
      </c>
      <c r="I135">
        <v>0</v>
      </c>
      <c r="J135">
        <v>0</v>
      </c>
      <c r="K135">
        <v>6.39</v>
      </c>
      <c r="L135" t="s">
        <v>61</v>
      </c>
      <c r="M135">
        <v>288</v>
      </c>
      <c r="N135">
        <v>45.08</v>
      </c>
      <c r="O135" t="s">
        <v>62</v>
      </c>
      <c r="P135" t="s">
        <v>63</v>
      </c>
      <c r="Q135">
        <v>1214</v>
      </c>
      <c r="R135">
        <v>1647.34</v>
      </c>
    </row>
    <row r="136" spans="1:18" x14ac:dyDescent="0.35">
      <c r="A136" t="s">
        <v>56</v>
      </c>
      <c r="B136" t="s">
        <v>57</v>
      </c>
      <c r="C136" t="s">
        <v>70</v>
      </c>
      <c r="D136">
        <v>107232971</v>
      </c>
      <c r="E136" t="s">
        <v>531</v>
      </c>
      <c r="F136" t="s">
        <v>72</v>
      </c>
      <c r="G136">
        <v>0.74</v>
      </c>
      <c r="H136">
        <v>5.65</v>
      </c>
      <c r="I136">
        <v>0</v>
      </c>
      <c r="J136">
        <v>0</v>
      </c>
      <c r="K136">
        <v>6.39</v>
      </c>
      <c r="L136" t="s">
        <v>61</v>
      </c>
      <c r="M136">
        <v>288</v>
      </c>
      <c r="N136">
        <v>45.08</v>
      </c>
      <c r="O136" t="s">
        <v>62</v>
      </c>
      <c r="P136" t="s">
        <v>64</v>
      </c>
      <c r="Q136">
        <v>1726</v>
      </c>
      <c r="R136">
        <v>305.43</v>
      </c>
    </row>
    <row r="137" spans="1:18" x14ac:dyDescent="0.35">
      <c r="A137" t="s">
        <v>56</v>
      </c>
      <c r="B137" t="s">
        <v>57</v>
      </c>
      <c r="C137" t="s">
        <v>70</v>
      </c>
      <c r="D137">
        <v>107232971</v>
      </c>
      <c r="E137" t="s">
        <v>531</v>
      </c>
      <c r="F137" t="s">
        <v>72</v>
      </c>
      <c r="G137">
        <v>0.74</v>
      </c>
      <c r="H137">
        <v>5.65</v>
      </c>
      <c r="I137">
        <v>0</v>
      </c>
      <c r="J137">
        <v>0</v>
      </c>
      <c r="K137">
        <v>6.39</v>
      </c>
      <c r="L137" t="s">
        <v>61</v>
      </c>
      <c r="M137">
        <v>288</v>
      </c>
      <c r="N137">
        <v>45.08</v>
      </c>
      <c r="O137" t="s">
        <v>62</v>
      </c>
      <c r="P137" t="s">
        <v>65</v>
      </c>
      <c r="Q137">
        <v>0</v>
      </c>
      <c r="R137">
        <v>0</v>
      </c>
    </row>
    <row r="138" spans="1:18" x14ac:dyDescent="0.35">
      <c r="A138" t="s">
        <v>56</v>
      </c>
      <c r="B138" t="s">
        <v>57</v>
      </c>
      <c r="C138" t="s">
        <v>70</v>
      </c>
      <c r="D138">
        <v>107232971</v>
      </c>
      <c r="E138" t="s">
        <v>531</v>
      </c>
      <c r="F138" t="s">
        <v>72</v>
      </c>
      <c r="G138">
        <v>0.74</v>
      </c>
      <c r="H138">
        <v>5.65</v>
      </c>
      <c r="I138">
        <v>0</v>
      </c>
      <c r="J138">
        <v>0</v>
      </c>
      <c r="K138">
        <v>6.39</v>
      </c>
      <c r="L138" t="s">
        <v>61</v>
      </c>
      <c r="M138">
        <v>288</v>
      </c>
      <c r="N138">
        <v>45.08</v>
      </c>
      <c r="O138" t="s">
        <v>62</v>
      </c>
      <c r="P138" t="s">
        <v>66</v>
      </c>
      <c r="Q138">
        <v>0</v>
      </c>
      <c r="R138">
        <v>0</v>
      </c>
    </row>
    <row r="139" spans="1:18" x14ac:dyDescent="0.35">
      <c r="A139" t="s">
        <v>56</v>
      </c>
      <c r="B139" t="s">
        <v>57</v>
      </c>
      <c r="C139" t="s">
        <v>70</v>
      </c>
      <c r="D139">
        <v>107232971</v>
      </c>
      <c r="E139" t="s">
        <v>531</v>
      </c>
      <c r="F139" t="s">
        <v>72</v>
      </c>
      <c r="G139">
        <v>0.74</v>
      </c>
      <c r="H139">
        <v>5.65</v>
      </c>
      <c r="I139">
        <v>0</v>
      </c>
      <c r="J139">
        <v>0</v>
      </c>
      <c r="K139">
        <v>6.39</v>
      </c>
      <c r="L139" t="s">
        <v>61</v>
      </c>
      <c r="M139">
        <v>288</v>
      </c>
      <c r="N139">
        <v>45.08</v>
      </c>
      <c r="O139" t="s">
        <v>62</v>
      </c>
      <c r="P139" t="s">
        <v>67</v>
      </c>
      <c r="Q139">
        <v>2940</v>
      </c>
      <c r="R139">
        <v>460.21</v>
      </c>
    </row>
    <row r="140" spans="1:18" x14ac:dyDescent="0.35">
      <c r="A140" t="s">
        <v>56</v>
      </c>
      <c r="B140" t="s">
        <v>57</v>
      </c>
      <c r="C140" t="s">
        <v>70</v>
      </c>
      <c r="D140">
        <v>107232971</v>
      </c>
      <c r="E140" t="s">
        <v>531</v>
      </c>
      <c r="F140" t="s">
        <v>72</v>
      </c>
      <c r="G140">
        <v>0.74</v>
      </c>
      <c r="H140">
        <v>5.65</v>
      </c>
      <c r="I140">
        <v>0</v>
      </c>
      <c r="J140">
        <v>0</v>
      </c>
      <c r="K140">
        <v>6.39</v>
      </c>
      <c r="L140" t="s">
        <v>61</v>
      </c>
      <c r="M140">
        <v>288</v>
      </c>
      <c r="N140">
        <v>45.08</v>
      </c>
      <c r="O140" t="s">
        <v>68</v>
      </c>
      <c r="P140" t="s">
        <v>67</v>
      </c>
      <c r="Q140">
        <v>288</v>
      </c>
      <c r="R140">
        <v>45.08</v>
      </c>
    </row>
    <row r="141" spans="1:18" x14ac:dyDescent="0.35">
      <c r="A141" t="s">
        <v>56</v>
      </c>
      <c r="B141" t="s">
        <v>57</v>
      </c>
      <c r="C141" t="s">
        <v>70</v>
      </c>
      <c r="D141">
        <v>107232971</v>
      </c>
      <c r="E141" t="s">
        <v>531</v>
      </c>
      <c r="F141" t="s">
        <v>72</v>
      </c>
      <c r="G141">
        <v>0.74</v>
      </c>
      <c r="H141">
        <v>5.65</v>
      </c>
      <c r="I141">
        <v>0</v>
      </c>
      <c r="J141">
        <v>0</v>
      </c>
      <c r="K141">
        <v>6.39</v>
      </c>
      <c r="L141" t="s">
        <v>61</v>
      </c>
      <c r="M141">
        <v>288</v>
      </c>
      <c r="N141">
        <v>45.08</v>
      </c>
      <c r="O141" t="s">
        <v>69</v>
      </c>
      <c r="P141" t="s">
        <v>67</v>
      </c>
      <c r="Q141">
        <v>0</v>
      </c>
      <c r="R141">
        <v>0</v>
      </c>
    </row>
    <row r="142" spans="1:18" x14ac:dyDescent="0.35">
      <c r="A142" t="s">
        <v>56</v>
      </c>
      <c r="B142" t="s">
        <v>57</v>
      </c>
      <c r="C142" t="s">
        <v>70</v>
      </c>
      <c r="D142">
        <v>107233183</v>
      </c>
      <c r="E142" t="s">
        <v>532</v>
      </c>
      <c r="F142" t="s">
        <v>72</v>
      </c>
      <c r="G142">
        <v>0.22</v>
      </c>
      <c r="H142">
        <v>2.37</v>
      </c>
      <c r="I142">
        <v>0</v>
      </c>
      <c r="J142">
        <v>0</v>
      </c>
      <c r="K142">
        <v>2.59</v>
      </c>
      <c r="L142" t="s">
        <v>61</v>
      </c>
      <c r="M142">
        <v>58</v>
      </c>
      <c r="N142">
        <v>22.4</v>
      </c>
      <c r="O142" t="s">
        <v>62</v>
      </c>
      <c r="P142" t="s">
        <v>63</v>
      </c>
      <c r="Q142">
        <v>160</v>
      </c>
      <c r="R142">
        <v>743.23</v>
      </c>
    </row>
    <row r="143" spans="1:18" x14ac:dyDescent="0.35">
      <c r="A143" t="s">
        <v>56</v>
      </c>
      <c r="B143" t="s">
        <v>57</v>
      </c>
      <c r="C143" t="s">
        <v>70</v>
      </c>
      <c r="D143">
        <v>107233183</v>
      </c>
      <c r="E143" t="s">
        <v>532</v>
      </c>
      <c r="F143" t="s">
        <v>72</v>
      </c>
      <c r="G143">
        <v>0.22</v>
      </c>
      <c r="H143">
        <v>2.37</v>
      </c>
      <c r="I143">
        <v>0</v>
      </c>
      <c r="J143">
        <v>0</v>
      </c>
      <c r="K143">
        <v>2.59</v>
      </c>
      <c r="L143" t="s">
        <v>61</v>
      </c>
      <c r="M143">
        <v>58</v>
      </c>
      <c r="N143">
        <v>22.4</v>
      </c>
      <c r="O143" t="s">
        <v>62</v>
      </c>
      <c r="P143" t="s">
        <v>64</v>
      </c>
      <c r="Q143">
        <v>327</v>
      </c>
      <c r="R143">
        <v>137.76</v>
      </c>
    </row>
    <row r="144" spans="1:18" x14ac:dyDescent="0.35">
      <c r="A144" t="s">
        <v>56</v>
      </c>
      <c r="B144" t="s">
        <v>57</v>
      </c>
      <c r="C144" t="s">
        <v>70</v>
      </c>
      <c r="D144">
        <v>107233183</v>
      </c>
      <c r="E144" t="s">
        <v>532</v>
      </c>
      <c r="F144" t="s">
        <v>72</v>
      </c>
      <c r="G144">
        <v>0.22</v>
      </c>
      <c r="H144">
        <v>2.37</v>
      </c>
      <c r="I144">
        <v>0</v>
      </c>
      <c r="J144">
        <v>0</v>
      </c>
      <c r="K144">
        <v>2.59</v>
      </c>
      <c r="L144" t="s">
        <v>61</v>
      </c>
      <c r="M144">
        <v>58</v>
      </c>
      <c r="N144">
        <v>22.4</v>
      </c>
      <c r="O144" t="s">
        <v>62</v>
      </c>
      <c r="P144" t="s">
        <v>65</v>
      </c>
      <c r="Q144">
        <v>0</v>
      </c>
      <c r="R144">
        <v>0</v>
      </c>
    </row>
    <row r="145" spans="1:18" x14ac:dyDescent="0.35">
      <c r="A145" t="s">
        <v>56</v>
      </c>
      <c r="B145" t="s">
        <v>57</v>
      </c>
      <c r="C145" t="s">
        <v>70</v>
      </c>
      <c r="D145">
        <v>107233183</v>
      </c>
      <c r="E145" t="s">
        <v>532</v>
      </c>
      <c r="F145" t="s">
        <v>72</v>
      </c>
      <c r="G145">
        <v>0.22</v>
      </c>
      <c r="H145">
        <v>2.37</v>
      </c>
      <c r="I145">
        <v>0</v>
      </c>
      <c r="J145">
        <v>0</v>
      </c>
      <c r="K145">
        <v>2.59</v>
      </c>
      <c r="L145" t="s">
        <v>61</v>
      </c>
      <c r="M145">
        <v>58</v>
      </c>
      <c r="N145">
        <v>22.4</v>
      </c>
      <c r="O145" t="s">
        <v>62</v>
      </c>
      <c r="P145" t="s">
        <v>66</v>
      </c>
      <c r="Q145">
        <v>0</v>
      </c>
      <c r="R145">
        <v>0</v>
      </c>
    </row>
    <row r="146" spans="1:18" x14ac:dyDescent="0.35">
      <c r="A146" t="s">
        <v>56</v>
      </c>
      <c r="B146" t="s">
        <v>57</v>
      </c>
      <c r="C146" t="s">
        <v>70</v>
      </c>
      <c r="D146">
        <v>107233183</v>
      </c>
      <c r="E146" t="s">
        <v>532</v>
      </c>
      <c r="F146" t="s">
        <v>72</v>
      </c>
      <c r="G146">
        <v>0.22</v>
      </c>
      <c r="H146">
        <v>2.37</v>
      </c>
      <c r="I146">
        <v>0</v>
      </c>
      <c r="J146">
        <v>0</v>
      </c>
      <c r="K146">
        <v>2.59</v>
      </c>
      <c r="L146" t="s">
        <v>61</v>
      </c>
      <c r="M146">
        <v>58</v>
      </c>
      <c r="N146">
        <v>22.4</v>
      </c>
      <c r="O146" t="s">
        <v>62</v>
      </c>
      <c r="P146" t="s">
        <v>67</v>
      </c>
      <c r="Q146">
        <v>487</v>
      </c>
      <c r="R146">
        <v>188.09</v>
      </c>
    </row>
    <row r="147" spans="1:18" x14ac:dyDescent="0.35">
      <c r="A147" t="s">
        <v>56</v>
      </c>
      <c r="B147" t="s">
        <v>57</v>
      </c>
      <c r="C147" t="s">
        <v>70</v>
      </c>
      <c r="D147">
        <v>107233183</v>
      </c>
      <c r="E147" t="s">
        <v>532</v>
      </c>
      <c r="F147" t="s">
        <v>72</v>
      </c>
      <c r="G147">
        <v>0.22</v>
      </c>
      <c r="H147">
        <v>2.37</v>
      </c>
      <c r="I147">
        <v>0</v>
      </c>
      <c r="J147">
        <v>0</v>
      </c>
      <c r="K147">
        <v>2.59</v>
      </c>
      <c r="L147" t="s">
        <v>61</v>
      </c>
      <c r="M147">
        <v>58</v>
      </c>
      <c r="N147">
        <v>22.4</v>
      </c>
      <c r="O147" t="s">
        <v>68</v>
      </c>
      <c r="P147" t="s">
        <v>67</v>
      </c>
      <c r="Q147">
        <v>58</v>
      </c>
      <c r="R147">
        <v>22.4</v>
      </c>
    </row>
    <row r="148" spans="1:18" x14ac:dyDescent="0.35">
      <c r="A148" t="s">
        <v>56</v>
      </c>
      <c r="B148" t="s">
        <v>57</v>
      </c>
      <c r="C148" t="s">
        <v>70</v>
      </c>
      <c r="D148">
        <v>107233183</v>
      </c>
      <c r="E148" t="s">
        <v>532</v>
      </c>
      <c r="F148" t="s">
        <v>72</v>
      </c>
      <c r="G148">
        <v>0.22</v>
      </c>
      <c r="H148">
        <v>2.37</v>
      </c>
      <c r="I148">
        <v>0</v>
      </c>
      <c r="J148">
        <v>0</v>
      </c>
      <c r="K148">
        <v>2.59</v>
      </c>
      <c r="L148" t="s">
        <v>61</v>
      </c>
      <c r="M148">
        <v>58</v>
      </c>
      <c r="N148">
        <v>22.4</v>
      </c>
      <c r="O148" t="s">
        <v>69</v>
      </c>
      <c r="P148" t="s">
        <v>67</v>
      </c>
      <c r="Q148">
        <v>0</v>
      </c>
      <c r="R148">
        <v>0</v>
      </c>
    </row>
    <row r="149" spans="1:18" x14ac:dyDescent="0.35">
      <c r="A149" t="s">
        <v>56</v>
      </c>
      <c r="B149" t="s">
        <v>57</v>
      </c>
      <c r="C149" t="s">
        <v>70</v>
      </c>
      <c r="D149">
        <v>107233197</v>
      </c>
      <c r="E149" t="s">
        <v>553</v>
      </c>
      <c r="F149" t="s">
        <v>72</v>
      </c>
      <c r="G149">
        <v>0.92</v>
      </c>
      <c r="H149">
        <v>7.76</v>
      </c>
      <c r="I149">
        <v>0</v>
      </c>
      <c r="J149">
        <v>0</v>
      </c>
      <c r="K149">
        <v>8.68</v>
      </c>
      <c r="L149" t="s">
        <v>61</v>
      </c>
      <c r="M149">
        <v>422</v>
      </c>
      <c r="N149">
        <v>48.6</v>
      </c>
      <c r="O149" t="s">
        <v>62</v>
      </c>
      <c r="P149" t="s">
        <v>63</v>
      </c>
      <c r="Q149">
        <v>920</v>
      </c>
      <c r="R149">
        <v>998.79</v>
      </c>
    </row>
    <row r="150" spans="1:18" x14ac:dyDescent="0.35">
      <c r="A150" t="s">
        <v>56</v>
      </c>
      <c r="B150" t="s">
        <v>57</v>
      </c>
      <c r="C150" t="s">
        <v>70</v>
      </c>
      <c r="D150">
        <v>107233197</v>
      </c>
      <c r="E150" t="s">
        <v>553</v>
      </c>
      <c r="F150" t="s">
        <v>72</v>
      </c>
      <c r="G150">
        <v>0.92</v>
      </c>
      <c r="H150">
        <v>7.76</v>
      </c>
      <c r="I150">
        <v>0</v>
      </c>
      <c r="J150">
        <v>0</v>
      </c>
      <c r="K150">
        <v>8.68</v>
      </c>
      <c r="L150" t="s">
        <v>61</v>
      </c>
      <c r="M150">
        <v>422</v>
      </c>
      <c r="N150">
        <v>48.6</v>
      </c>
      <c r="O150" t="s">
        <v>62</v>
      </c>
      <c r="P150" t="s">
        <v>64</v>
      </c>
      <c r="Q150">
        <v>1437</v>
      </c>
      <c r="R150">
        <v>185.13</v>
      </c>
    </row>
    <row r="151" spans="1:18" x14ac:dyDescent="0.35">
      <c r="A151" t="s">
        <v>56</v>
      </c>
      <c r="B151" t="s">
        <v>57</v>
      </c>
      <c r="C151" t="s">
        <v>70</v>
      </c>
      <c r="D151">
        <v>107233197</v>
      </c>
      <c r="E151" t="s">
        <v>553</v>
      </c>
      <c r="F151" t="s">
        <v>72</v>
      </c>
      <c r="G151">
        <v>0.92</v>
      </c>
      <c r="H151">
        <v>7.76</v>
      </c>
      <c r="I151">
        <v>0</v>
      </c>
      <c r="J151">
        <v>0</v>
      </c>
      <c r="K151">
        <v>8.68</v>
      </c>
      <c r="L151" t="s">
        <v>61</v>
      </c>
      <c r="M151">
        <v>422</v>
      </c>
      <c r="N151">
        <v>48.6</v>
      </c>
      <c r="O151" t="s">
        <v>62</v>
      </c>
      <c r="P151" t="s">
        <v>65</v>
      </c>
      <c r="Q151">
        <v>0</v>
      </c>
      <c r="R151">
        <v>0</v>
      </c>
    </row>
    <row r="152" spans="1:18" x14ac:dyDescent="0.35">
      <c r="A152" t="s">
        <v>56</v>
      </c>
      <c r="B152" t="s">
        <v>57</v>
      </c>
      <c r="C152" t="s">
        <v>70</v>
      </c>
      <c r="D152">
        <v>107233197</v>
      </c>
      <c r="E152" t="s">
        <v>553</v>
      </c>
      <c r="F152" t="s">
        <v>72</v>
      </c>
      <c r="G152">
        <v>0.92</v>
      </c>
      <c r="H152">
        <v>7.76</v>
      </c>
      <c r="I152">
        <v>0</v>
      </c>
      <c r="J152">
        <v>0</v>
      </c>
      <c r="K152">
        <v>8.68</v>
      </c>
      <c r="L152" t="s">
        <v>61</v>
      </c>
      <c r="M152">
        <v>422</v>
      </c>
      <c r="N152">
        <v>48.6</v>
      </c>
      <c r="O152" t="s">
        <v>62</v>
      </c>
      <c r="P152" t="s">
        <v>66</v>
      </c>
      <c r="Q152">
        <v>0</v>
      </c>
      <c r="R152">
        <v>0</v>
      </c>
    </row>
    <row r="153" spans="1:18" x14ac:dyDescent="0.35">
      <c r="A153" t="s">
        <v>56</v>
      </c>
      <c r="B153" t="s">
        <v>57</v>
      </c>
      <c r="C153" t="s">
        <v>70</v>
      </c>
      <c r="D153">
        <v>107233197</v>
      </c>
      <c r="E153" t="s">
        <v>553</v>
      </c>
      <c r="F153" t="s">
        <v>72</v>
      </c>
      <c r="G153">
        <v>0.92</v>
      </c>
      <c r="H153">
        <v>7.76</v>
      </c>
      <c r="I153">
        <v>0</v>
      </c>
      <c r="J153">
        <v>0</v>
      </c>
      <c r="K153">
        <v>8.68</v>
      </c>
      <c r="L153" t="s">
        <v>61</v>
      </c>
      <c r="M153">
        <v>422</v>
      </c>
      <c r="N153">
        <v>48.6</v>
      </c>
      <c r="O153" t="s">
        <v>62</v>
      </c>
      <c r="P153" t="s">
        <v>67</v>
      </c>
      <c r="Q153">
        <v>2357</v>
      </c>
      <c r="R153">
        <v>271.44</v>
      </c>
    </row>
    <row r="154" spans="1:18" x14ac:dyDescent="0.35">
      <c r="A154" t="s">
        <v>56</v>
      </c>
      <c r="B154" t="s">
        <v>57</v>
      </c>
      <c r="C154" t="s">
        <v>70</v>
      </c>
      <c r="D154">
        <v>107233197</v>
      </c>
      <c r="E154" t="s">
        <v>553</v>
      </c>
      <c r="F154" t="s">
        <v>72</v>
      </c>
      <c r="G154">
        <v>0.92</v>
      </c>
      <c r="H154">
        <v>7.76</v>
      </c>
      <c r="I154">
        <v>0</v>
      </c>
      <c r="J154">
        <v>0</v>
      </c>
      <c r="K154">
        <v>8.68</v>
      </c>
      <c r="L154" t="s">
        <v>61</v>
      </c>
      <c r="M154">
        <v>422</v>
      </c>
      <c r="N154">
        <v>48.6</v>
      </c>
      <c r="O154" t="s">
        <v>68</v>
      </c>
      <c r="P154" t="s">
        <v>67</v>
      </c>
      <c r="Q154">
        <v>422</v>
      </c>
      <c r="R154">
        <v>48.6</v>
      </c>
    </row>
    <row r="155" spans="1:18" x14ac:dyDescent="0.35">
      <c r="A155" t="s">
        <v>56</v>
      </c>
      <c r="B155" t="s">
        <v>57</v>
      </c>
      <c r="C155" t="s">
        <v>70</v>
      </c>
      <c r="D155">
        <v>107233197</v>
      </c>
      <c r="E155" t="s">
        <v>553</v>
      </c>
      <c r="F155" t="s">
        <v>72</v>
      </c>
      <c r="G155">
        <v>0.92</v>
      </c>
      <c r="H155">
        <v>7.76</v>
      </c>
      <c r="I155">
        <v>0</v>
      </c>
      <c r="J155">
        <v>0</v>
      </c>
      <c r="K155">
        <v>8.68</v>
      </c>
      <c r="L155" t="s">
        <v>61</v>
      </c>
      <c r="M155">
        <v>422</v>
      </c>
      <c r="N155">
        <v>48.6</v>
      </c>
      <c r="O155" t="s">
        <v>69</v>
      </c>
      <c r="P155" t="s">
        <v>67</v>
      </c>
      <c r="Q155">
        <v>0</v>
      </c>
      <c r="R155">
        <v>0</v>
      </c>
    </row>
    <row r="156" spans="1:18" x14ac:dyDescent="0.35">
      <c r="A156" t="s">
        <v>56</v>
      </c>
      <c r="B156" t="s">
        <v>57</v>
      </c>
      <c r="C156" t="s">
        <v>70</v>
      </c>
      <c r="D156">
        <v>107233200</v>
      </c>
      <c r="E156" t="s">
        <v>533</v>
      </c>
      <c r="F156" t="s">
        <v>72</v>
      </c>
      <c r="G156">
        <v>0.23</v>
      </c>
      <c r="H156">
        <v>9.77</v>
      </c>
      <c r="I156">
        <v>0</v>
      </c>
      <c r="J156">
        <v>0</v>
      </c>
      <c r="K156">
        <v>10</v>
      </c>
      <c r="L156" t="s">
        <v>61</v>
      </c>
      <c r="M156">
        <v>506</v>
      </c>
      <c r="N156">
        <v>50.6</v>
      </c>
      <c r="O156" t="s">
        <v>62</v>
      </c>
      <c r="P156" t="s">
        <v>63</v>
      </c>
      <c r="Q156">
        <v>296</v>
      </c>
      <c r="R156">
        <v>1299.51</v>
      </c>
    </row>
    <row r="157" spans="1:18" x14ac:dyDescent="0.35">
      <c r="A157" t="s">
        <v>56</v>
      </c>
      <c r="B157" t="s">
        <v>57</v>
      </c>
      <c r="C157" t="s">
        <v>70</v>
      </c>
      <c r="D157">
        <v>107233200</v>
      </c>
      <c r="E157" t="s">
        <v>533</v>
      </c>
      <c r="F157" t="s">
        <v>72</v>
      </c>
      <c r="G157">
        <v>0.23</v>
      </c>
      <c r="H157">
        <v>9.77</v>
      </c>
      <c r="I157">
        <v>0</v>
      </c>
      <c r="J157">
        <v>0</v>
      </c>
      <c r="K157">
        <v>10</v>
      </c>
      <c r="L157" t="s">
        <v>61</v>
      </c>
      <c r="M157">
        <v>506</v>
      </c>
      <c r="N157">
        <v>50.6</v>
      </c>
      <c r="O157" t="s">
        <v>62</v>
      </c>
      <c r="P157" t="s">
        <v>64</v>
      </c>
      <c r="Q157">
        <v>2354</v>
      </c>
      <c r="R157">
        <v>240.89</v>
      </c>
    </row>
    <row r="158" spans="1:18" x14ac:dyDescent="0.35">
      <c r="A158" t="s">
        <v>56</v>
      </c>
      <c r="B158" t="s">
        <v>57</v>
      </c>
      <c r="C158" t="s">
        <v>70</v>
      </c>
      <c r="D158">
        <v>107233200</v>
      </c>
      <c r="E158" t="s">
        <v>533</v>
      </c>
      <c r="F158" t="s">
        <v>72</v>
      </c>
      <c r="G158">
        <v>0.23</v>
      </c>
      <c r="H158">
        <v>9.77</v>
      </c>
      <c r="I158">
        <v>0</v>
      </c>
      <c r="J158">
        <v>0</v>
      </c>
      <c r="K158">
        <v>10</v>
      </c>
      <c r="L158" t="s">
        <v>61</v>
      </c>
      <c r="M158">
        <v>506</v>
      </c>
      <c r="N158">
        <v>50.6</v>
      </c>
      <c r="O158" t="s">
        <v>62</v>
      </c>
      <c r="P158" t="s">
        <v>65</v>
      </c>
      <c r="Q158">
        <v>0</v>
      </c>
      <c r="R158">
        <v>0</v>
      </c>
    </row>
    <row r="159" spans="1:18" x14ac:dyDescent="0.35">
      <c r="A159" t="s">
        <v>56</v>
      </c>
      <c r="B159" t="s">
        <v>57</v>
      </c>
      <c r="C159" t="s">
        <v>70</v>
      </c>
      <c r="D159">
        <v>107233200</v>
      </c>
      <c r="E159" t="s">
        <v>533</v>
      </c>
      <c r="F159" t="s">
        <v>72</v>
      </c>
      <c r="G159">
        <v>0.23</v>
      </c>
      <c r="H159">
        <v>9.77</v>
      </c>
      <c r="I159">
        <v>0</v>
      </c>
      <c r="J159">
        <v>0</v>
      </c>
      <c r="K159">
        <v>10</v>
      </c>
      <c r="L159" t="s">
        <v>61</v>
      </c>
      <c r="M159">
        <v>506</v>
      </c>
      <c r="N159">
        <v>50.6</v>
      </c>
      <c r="O159" t="s">
        <v>62</v>
      </c>
      <c r="P159" t="s">
        <v>66</v>
      </c>
      <c r="Q159">
        <v>0</v>
      </c>
      <c r="R159">
        <v>0</v>
      </c>
    </row>
    <row r="160" spans="1:18" x14ac:dyDescent="0.35">
      <c r="A160" t="s">
        <v>56</v>
      </c>
      <c r="B160" t="s">
        <v>57</v>
      </c>
      <c r="C160" t="s">
        <v>70</v>
      </c>
      <c r="D160">
        <v>107233200</v>
      </c>
      <c r="E160" t="s">
        <v>533</v>
      </c>
      <c r="F160" t="s">
        <v>72</v>
      </c>
      <c r="G160">
        <v>0.23</v>
      </c>
      <c r="H160">
        <v>9.77</v>
      </c>
      <c r="I160">
        <v>0</v>
      </c>
      <c r="J160">
        <v>0</v>
      </c>
      <c r="K160">
        <v>10</v>
      </c>
      <c r="L160" t="s">
        <v>61</v>
      </c>
      <c r="M160">
        <v>506</v>
      </c>
      <c r="N160">
        <v>50.6</v>
      </c>
      <c r="O160" t="s">
        <v>62</v>
      </c>
      <c r="P160" t="s">
        <v>67</v>
      </c>
      <c r="Q160">
        <v>2650</v>
      </c>
      <c r="R160">
        <v>265</v>
      </c>
    </row>
    <row r="161" spans="1:18" x14ac:dyDescent="0.35">
      <c r="A161" t="s">
        <v>56</v>
      </c>
      <c r="B161" t="s">
        <v>57</v>
      </c>
      <c r="C161" t="s">
        <v>70</v>
      </c>
      <c r="D161">
        <v>107233200</v>
      </c>
      <c r="E161" t="s">
        <v>533</v>
      </c>
      <c r="F161" t="s">
        <v>72</v>
      </c>
      <c r="G161">
        <v>0.23</v>
      </c>
      <c r="H161">
        <v>9.77</v>
      </c>
      <c r="I161">
        <v>0</v>
      </c>
      <c r="J161">
        <v>0</v>
      </c>
      <c r="K161">
        <v>10</v>
      </c>
      <c r="L161" t="s">
        <v>61</v>
      </c>
      <c r="M161">
        <v>506</v>
      </c>
      <c r="N161">
        <v>50.6</v>
      </c>
      <c r="O161" t="s">
        <v>68</v>
      </c>
      <c r="P161" t="s">
        <v>67</v>
      </c>
      <c r="Q161">
        <v>506</v>
      </c>
      <c r="R161">
        <v>50.6</v>
      </c>
    </row>
    <row r="162" spans="1:18" x14ac:dyDescent="0.35">
      <c r="A162" t="s">
        <v>56</v>
      </c>
      <c r="B162" t="s">
        <v>57</v>
      </c>
      <c r="C162" t="s">
        <v>70</v>
      </c>
      <c r="D162">
        <v>107233200</v>
      </c>
      <c r="E162" t="s">
        <v>533</v>
      </c>
      <c r="F162" t="s">
        <v>72</v>
      </c>
      <c r="G162">
        <v>0.23</v>
      </c>
      <c r="H162">
        <v>9.77</v>
      </c>
      <c r="I162">
        <v>0</v>
      </c>
      <c r="J162">
        <v>0</v>
      </c>
      <c r="K162">
        <v>10</v>
      </c>
      <c r="L162" t="s">
        <v>61</v>
      </c>
      <c r="M162">
        <v>506</v>
      </c>
      <c r="N162">
        <v>50.6</v>
      </c>
      <c r="O162" t="s">
        <v>69</v>
      </c>
      <c r="P162" t="s">
        <v>67</v>
      </c>
      <c r="Q162">
        <v>0</v>
      </c>
      <c r="R162">
        <v>0</v>
      </c>
    </row>
    <row r="163" spans="1:18" x14ac:dyDescent="0.35">
      <c r="A163" t="s">
        <v>56</v>
      </c>
      <c r="B163" t="s">
        <v>57</v>
      </c>
      <c r="C163" t="s">
        <v>58</v>
      </c>
      <c r="D163">
        <v>107253126</v>
      </c>
      <c r="E163" t="s">
        <v>676</v>
      </c>
      <c r="F163" t="s">
        <v>78</v>
      </c>
      <c r="G163">
        <v>0.12</v>
      </c>
      <c r="H163">
        <v>6.41</v>
      </c>
      <c r="I163">
        <v>0</v>
      </c>
      <c r="J163">
        <v>0</v>
      </c>
      <c r="K163">
        <v>6.53</v>
      </c>
      <c r="L163" t="s">
        <v>61</v>
      </c>
      <c r="M163">
        <v>128</v>
      </c>
      <c r="N163">
        <v>19.62</v>
      </c>
      <c r="O163" t="s">
        <v>62</v>
      </c>
      <c r="P163" t="s">
        <v>63</v>
      </c>
      <c r="Q163">
        <v>48</v>
      </c>
      <c r="R163">
        <v>415.38</v>
      </c>
    </row>
    <row r="164" spans="1:18" x14ac:dyDescent="0.35">
      <c r="A164" t="s">
        <v>56</v>
      </c>
      <c r="B164" t="s">
        <v>57</v>
      </c>
      <c r="C164" t="s">
        <v>58</v>
      </c>
      <c r="D164">
        <v>107253126</v>
      </c>
      <c r="E164" t="s">
        <v>676</v>
      </c>
      <c r="F164" t="s">
        <v>78</v>
      </c>
      <c r="G164">
        <v>0.12</v>
      </c>
      <c r="H164">
        <v>6.41</v>
      </c>
      <c r="I164">
        <v>0</v>
      </c>
      <c r="J164">
        <v>0</v>
      </c>
      <c r="K164">
        <v>6.53</v>
      </c>
      <c r="L164" t="s">
        <v>61</v>
      </c>
      <c r="M164">
        <v>128</v>
      </c>
      <c r="N164">
        <v>19.62</v>
      </c>
      <c r="O164" t="s">
        <v>62</v>
      </c>
      <c r="P164" t="s">
        <v>64</v>
      </c>
      <c r="Q164">
        <v>493</v>
      </c>
      <c r="R164">
        <v>76.91</v>
      </c>
    </row>
    <row r="165" spans="1:18" x14ac:dyDescent="0.35">
      <c r="A165" t="s">
        <v>56</v>
      </c>
      <c r="B165" t="s">
        <v>57</v>
      </c>
      <c r="C165" t="s">
        <v>58</v>
      </c>
      <c r="D165">
        <v>107253126</v>
      </c>
      <c r="E165" t="s">
        <v>676</v>
      </c>
      <c r="F165" t="s">
        <v>78</v>
      </c>
      <c r="G165">
        <v>0.12</v>
      </c>
      <c r="H165">
        <v>6.41</v>
      </c>
      <c r="I165">
        <v>0</v>
      </c>
      <c r="J165">
        <v>0</v>
      </c>
      <c r="K165">
        <v>6.53</v>
      </c>
      <c r="L165" t="s">
        <v>61</v>
      </c>
      <c r="M165">
        <v>128</v>
      </c>
      <c r="N165">
        <v>19.62</v>
      </c>
      <c r="O165" t="s">
        <v>62</v>
      </c>
      <c r="P165" t="s">
        <v>65</v>
      </c>
      <c r="Q165">
        <v>0</v>
      </c>
      <c r="R165">
        <v>0</v>
      </c>
    </row>
    <row r="166" spans="1:18" x14ac:dyDescent="0.35">
      <c r="A166" t="s">
        <v>56</v>
      </c>
      <c r="B166" t="s">
        <v>57</v>
      </c>
      <c r="C166" t="s">
        <v>58</v>
      </c>
      <c r="D166">
        <v>107253126</v>
      </c>
      <c r="E166" t="s">
        <v>676</v>
      </c>
      <c r="F166" t="s">
        <v>78</v>
      </c>
      <c r="G166">
        <v>0.12</v>
      </c>
      <c r="H166">
        <v>6.41</v>
      </c>
      <c r="I166">
        <v>0</v>
      </c>
      <c r="J166">
        <v>0</v>
      </c>
      <c r="K166">
        <v>6.53</v>
      </c>
      <c r="L166" t="s">
        <v>61</v>
      </c>
      <c r="M166">
        <v>128</v>
      </c>
      <c r="N166">
        <v>19.62</v>
      </c>
      <c r="O166" t="s">
        <v>62</v>
      </c>
      <c r="P166" t="s">
        <v>66</v>
      </c>
      <c r="Q166">
        <v>0</v>
      </c>
      <c r="R166">
        <v>0</v>
      </c>
    </row>
    <row r="167" spans="1:18" x14ac:dyDescent="0.35">
      <c r="A167" t="s">
        <v>56</v>
      </c>
      <c r="B167" t="s">
        <v>57</v>
      </c>
      <c r="C167" t="s">
        <v>58</v>
      </c>
      <c r="D167">
        <v>107253126</v>
      </c>
      <c r="E167" t="s">
        <v>676</v>
      </c>
      <c r="F167" t="s">
        <v>78</v>
      </c>
      <c r="G167">
        <v>0.12</v>
      </c>
      <c r="H167">
        <v>6.41</v>
      </c>
      <c r="I167">
        <v>0</v>
      </c>
      <c r="J167">
        <v>0</v>
      </c>
      <c r="K167">
        <v>6.53</v>
      </c>
      <c r="L167" t="s">
        <v>61</v>
      </c>
      <c r="M167">
        <v>128</v>
      </c>
      <c r="N167">
        <v>19.62</v>
      </c>
      <c r="O167" t="s">
        <v>62</v>
      </c>
      <c r="P167" t="s">
        <v>67</v>
      </c>
      <c r="Q167">
        <v>541</v>
      </c>
      <c r="R167">
        <v>82.9</v>
      </c>
    </row>
    <row r="168" spans="1:18" x14ac:dyDescent="0.35">
      <c r="A168" t="s">
        <v>56</v>
      </c>
      <c r="B168" t="s">
        <v>57</v>
      </c>
      <c r="C168" t="s">
        <v>58</v>
      </c>
      <c r="D168">
        <v>107253126</v>
      </c>
      <c r="E168" t="s">
        <v>676</v>
      </c>
      <c r="F168" t="s">
        <v>78</v>
      </c>
      <c r="G168">
        <v>0.12</v>
      </c>
      <c r="H168">
        <v>6.41</v>
      </c>
      <c r="I168">
        <v>0</v>
      </c>
      <c r="J168">
        <v>0</v>
      </c>
      <c r="K168">
        <v>6.53</v>
      </c>
      <c r="L168" t="s">
        <v>61</v>
      </c>
      <c r="M168">
        <v>128</v>
      </c>
      <c r="N168">
        <v>19.62</v>
      </c>
      <c r="O168" t="s">
        <v>68</v>
      </c>
      <c r="P168" t="s">
        <v>67</v>
      </c>
      <c r="Q168">
        <v>128</v>
      </c>
      <c r="R168">
        <v>19.62</v>
      </c>
    </row>
    <row r="169" spans="1:18" x14ac:dyDescent="0.35">
      <c r="A169" t="s">
        <v>56</v>
      </c>
      <c r="B169" t="s">
        <v>57</v>
      </c>
      <c r="C169" t="s">
        <v>58</v>
      </c>
      <c r="D169">
        <v>107253126</v>
      </c>
      <c r="E169" t="s">
        <v>676</v>
      </c>
      <c r="F169" t="s">
        <v>78</v>
      </c>
      <c r="G169">
        <v>0.12</v>
      </c>
      <c r="H169">
        <v>6.41</v>
      </c>
      <c r="I169">
        <v>0</v>
      </c>
      <c r="J169">
        <v>0</v>
      </c>
      <c r="K169">
        <v>6.53</v>
      </c>
      <c r="L169" t="s">
        <v>61</v>
      </c>
      <c r="M169">
        <v>128</v>
      </c>
      <c r="N169">
        <v>19.62</v>
      </c>
      <c r="O169" t="s">
        <v>69</v>
      </c>
      <c r="P169" t="s">
        <v>67</v>
      </c>
      <c r="Q169">
        <v>0</v>
      </c>
      <c r="R169">
        <v>0</v>
      </c>
    </row>
    <row r="170" spans="1:18" x14ac:dyDescent="0.35">
      <c r="A170" t="s">
        <v>56</v>
      </c>
      <c r="B170" t="s">
        <v>57</v>
      </c>
      <c r="C170" t="s">
        <v>70</v>
      </c>
      <c r="D170">
        <v>107284888</v>
      </c>
      <c r="E170" t="s">
        <v>535</v>
      </c>
      <c r="F170" t="s">
        <v>78</v>
      </c>
      <c r="G170">
        <v>0.45</v>
      </c>
      <c r="H170">
        <v>9.64</v>
      </c>
      <c r="I170">
        <v>0</v>
      </c>
      <c r="J170">
        <v>0</v>
      </c>
      <c r="K170">
        <v>10.1</v>
      </c>
      <c r="L170" t="s">
        <v>61</v>
      </c>
      <c r="M170">
        <v>298</v>
      </c>
      <c r="N170">
        <v>29.5</v>
      </c>
      <c r="O170" t="s">
        <v>62</v>
      </c>
      <c r="P170" t="s">
        <v>63</v>
      </c>
      <c r="Q170">
        <v>261</v>
      </c>
      <c r="R170">
        <v>573.98</v>
      </c>
    </row>
    <row r="171" spans="1:18" x14ac:dyDescent="0.35">
      <c r="A171" t="s">
        <v>56</v>
      </c>
      <c r="B171" t="s">
        <v>57</v>
      </c>
      <c r="C171" t="s">
        <v>70</v>
      </c>
      <c r="D171">
        <v>107284888</v>
      </c>
      <c r="E171" t="s">
        <v>535</v>
      </c>
      <c r="F171" t="s">
        <v>78</v>
      </c>
      <c r="G171">
        <v>0.45</v>
      </c>
      <c r="H171">
        <v>9.64</v>
      </c>
      <c r="I171">
        <v>0</v>
      </c>
      <c r="J171">
        <v>0</v>
      </c>
      <c r="K171">
        <v>10.1</v>
      </c>
      <c r="L171" t="s">
        <v>61</v>
      </c>
      <c r="M171">
        <v>298</v>
      </c>
      <c r="N171">
        <v>29.5</v>
      </c>
      <c r="O171" t="s">
        <v>62</v>
      </c>
      <c r="P171" t="s">
        <v>64</v>
      </c>
      <c r="Q171">
        <v>1026</v>
      </c>
      <c r="R171">
        <v>106.38</v>
      </c>
    </row>
    <row r="172" spans="1:18" x14ac:dyDescent="0.35">
      <c r="A172" t="s">
        <v>56</v>
      </c>
      <c r="B172" t="s">
        <v>57</v>
      </c>
      <c r="C172" t="s">
        <v>70</v>
      </c>
      <c r="D172">
        <v>107284888</v>
      </c>
      <c r="E172" t="s">
        <v>535</v>
      </c>
      <c r="F172" t="s">
        <v>78</v>
      </c>
      <c r="G172">
        <v>0.45</v>
      </c>
      <c r="H172">
        <v>9.64</v>
      </c>
      <c r="I172">
        <v>0</v>
      </c>
      <c r="J172">
        <v>0</v>
      </c>
      <c r="K172">
        <v>10.1</v>
      </c>
      <c r="L172" t="s">
        <v>61</v>
      </c>
      <c r="M172">
        <v>298</v>
      </c>
      <c r="N172">
        <v>29.5</v>
      </c>
      <c r="O172" t="s">
        <v>62</v>
      </c>
      <c r="P172" t="s">
        <v>65</v>
      </c>
      <c r="Q172">
        <v>0</v>
      </c>
      <c r="R172">
        <v>0</v>
      </c>
    </row>
    <row r="173" spans="1:18" x14ac:dyDescent="0.35">
      <c r="A173" t="s">
        <v>56</v>
      </c>
      <c r="B173" t="s">
        <v>57</v>
      </c>
      <c r="C173" t="s">
        <v>70</v>
      </c>
      <c r="D173">
        <v>107284888</v>
      </c>
      <c r="E173" t="s">
        <v>535</v>
      </c>
      <c r="F173" t="s">
        <v>78</v>
      </c>
      <c r="G173">
        <v>0.45</v>
      </c>
      <c r="H173">
        <v>9.64</v>
      </c>
      <c r="I173">
        <v>0</v>
      </c>
      <c r="J173">
        <v>0</v>
      </c>
      <c r="K173">
        <v>10.1</v>
      </c>
      <c r="L173" t="s">
        <v>61</v>
      </c>
      <c r="M173">
        <v>298</v>
      </c>
      <c r="N173">
        <v>29.5</v>
      </c>
      <c r="O173" t="s">
        <v>62</v>
      </c>
      <c r="P173" t="s">
        <v>66</v>
      </c>
      <c r="Q173">
        <v>0</v>
      </c>
      <c r="R173">
        <v>0</v>
      </c>
    </row>
    <row r="174" spans="1:18" x14ac:dyDescent="0.35">
      <c r="A174" t="s">
        <v>56</v>
      </c>
      <c r="B174" t="s">
        <v>57</v>
      </c>
      <c r="C174" t="s">
        <v>70</v>
      </c>
      <c r="D174">
        <v>107284888</v>
      </c>
      <c r="E174" t="s">
        <v>535</v>
      </c>
      <c r="F174" t="s">
        <v>78</v>
      </c>
      <c r="G174">
        <v>0.45</v>
      </c>
      <c r="H174">
        <v>9.64</v>
      </c>
      <c r="I174">
        <v>0</v>
      </c>
      <c r="J174">
        <v>0</v>
      </c>
      <c r="K174">
        <v>10.1</v>
      </c>
      <c r="L174" t="s">
        <v>61</v>
      </c>
      <c r="M174">
        <v>298</v>
      </c>
      <c r="N174">
        <v>29.5</v>
      </c>
      <c r="O174" t="s">
        <v>62</v>
      </c>
      <c r="P174" t="s">
        <v>67</v>
      </c>
      <c r="Q174">
        <v>1287</v>
      </c>
      <c r="R174">
        <v>127.43</v>
      </c>
    </row>
    <row r="175" spans="1:18" x14ac:dyDescent="0.35">
      <c r="A175" t="s">
        <v>56</v>
      </c>
      <c r="B175" t="s">
        <v>57</v>
      </c>
      <c r="C175" t="s">
        <v>70</v>
      </c>
      <c r="D175">
        <v>107284888</v>
      </c>
      <c r="E175" t="s">
        <v>535</v>
      </c>
      <c r="F175" t="s">
        <v>78</v>
      </c>
      <c r="G175">
        <v>0.45</v>
      </c>
      <c r="H175">
        <v>9.64</v>
      </c>
      <c r="I175">
        <v>0</v>
      </c>
      <c r="J175">
        <v>0</v>
      </c>
      <c r="K175">
        <v>10.1</v>
      </c>
      <c r="L175" t="s">
        <v>61</v>
      </c>
      <c r="M175">
        <v>298</v>
      </c>
      <c r="N175">
        <v>29.5</v>
      </c>
      <c r="O175" t="s">
        <v>68</v>
      </c>
      <c r="P175" t="s">
        <v>67</v>
      </c>
      <c r="Q175">
        <v>298</v>
      </c>
      <c r="R175">
        <v>29.5</v>
      </c>
    </row>
    <row r="176" spans="1:18" x14ac:dyDescent="0.35">
      <c r="A176" t="s">
        <v>56</v>
      </c>
      <c r="B176" t="s">
        <v>57</v>
      </c>
      <c r="C176" t="s">
        <v>70</v>
      </c>
      <c r="D176">
        <v>107284888</v>
      </c>
      <c r="E176" t="s">
        <v>535</v>
      </c>
      <c r="F176" t="s">
        <v>78</v>
      </c>
      <c r="G176">
        <v>0.45</v>
      </c>
      <c r="H176">
        <v>9.64</v>
      </c>
      <c r="I176">
        <v>0</v>
      </c>
      <c r="J176">
        <v>0</v>
      </c>
      <c r="K176">
        <v>10.1</v>
      </c>
      <c r="L176" t="s">
        <v>61</v>
      </c>
      <c r="M176">
        <v>298</v>
      </c>
      <c r="N176">
        <v>29.5</v>
      </c>
      <c r="O176" t="s">
        <v>69</v>
      </c>
      <c r="P176" t="s">
        <v>67</v>
      </c>
      <c r="Q176">
        <v>0</v>
      </c>
      <c r="R176">
        <v>0</v>
      </c>
    </row>
    <row r="177" spans="1:18" x14ac:dyDescent="0.35">
      <c r="A177" t="s">
        <v>56</v>
      </c>
      <c r="B177" t="s">
        <v>57</v>
      </c>
      <c r="C177" t="s">
        <v>70</v>
      </c>
      <c r="D177">
        <v>107432433</v>
      </c>
      <c r="E177" t="s">
        <v>90</v>
      </c>
      <c r="F177" t="s">
        <v>60</v>
      </c>
      <c r="G177">
        <v>0.15</v>
      </c>
      <c r="H177">
        <v>8.09</v>
      </c>
      <c r="I177">
        <v>0</v>
      </c>
      <c r="J177">
        <v>0</v>
      </c>
      <c r="K177">
        <v>8.24</v>
      </c>
      <c r="L177" t="s">
        <v>61</v>
      </c>
      <c r="M177">
        <v>180</v>
      </c>
      <c r="N177">
        <v>21.84</v>
      </c>
      <c r="O177" t="s">
        <v>62</v>
      </c>
      <c r="P177" t="s">
        <v>63</v>
      </c>
      <c r="Q177">
        <v>131</v>
      </c>
      <c r="R177">
        <v>862.16</v>
      </c>
    </row>
    <row r="178" spans="1:18" x14ac:dyDescent="0.35">
      <c r="A178" t="s">
        <v>56</v>
      </c>
      <c r="B178" t="s">
        <v>57</v>
      </c>
      <c r="C178" t="s">
        <v>70</v>
      </c>
      <c r="D178">
        <v>107432433</v>
      </c>
      <c r="E178" t="s">
        <v>90</v>
      </c>
      <c r="F178" t="s">
        <v>60</v>
      </c>
      <c r="G178">
        <v>0.15</v>
      </c>
      <c r="H178">
        <v>8.09</v>
      </c>
      <c r="I178">
        <v>0</v>
      </c>
      <c r="J178">
        <v>0</v>
      </c>
      <c r="K178">
        <v>8.24</v>
      </c>
      <c r="L178" t="s">
        <v>61</v>
      </c>
      <c r="M178">
        <v>180</v>
      </c>
      <c r="N178">
        <v>21.84</v>
      </c>
      <c r="O178" t="s">
        <v>62</v>
      </c>
      <c r="P178" t="s">
        <v>64</v>
      </c>
      <c r="Q178">
        <v>1292</v>
      </c>
      <c r="R178">
        <v>159.71</v>
      </c>
    </row>
    <row r="179" spans="1:18" x14ac:dyDescent="0.35">
      <c r="A179" t="s">
        <v>56</v>
      </c>
      <c r="B179" t="s">
        <v>57</v>
      </c>
      <c r="C179" t="s">
        <v>70</v>
      </c>
      <c r="D179">
        <v>107432433</v>
      </c>
      <c r="E179" t="s">
        <v>90</v>
      </c>
      <c r="F179" t="s">
        <v>60</v>
      </c>
      <c r="G179">
        <v>0.15</v>
      </c>
      <c r="H179">
        <v>8.09</v>
      </c>
      <c r="I179">
        <v>0</v>
      </c>
      <c r="J179">
        <v>0</v>
      </c>
      <c r="K179">
        <v>8.24</v>
      </c>
      <c r="L179" t="s">
        <v>61</v>
      </c>
      <c r="M179">
        <v>180</v>
      </c>
      <c r="N179">
        <v>21.84</v>
      </c>
      <c r="O179" t="s">
        <v>62</v>
      </c>
      <c r="P179" t="s">
        <v>65</v>
      </c>
      <c r="Q179">
        <v>0</v>
      </c>
      <c r="R179">
        <v>0</v>
      </c>
    </row>
    <row r="180" spans="1:18" x14ac:dyDescent="0.35">
      <c r="A180" t="s">
        <v>56</v>
      </c>
      <c r="B180" t="s">
        <v>57</v>
      </c>
      <c r="C180" t="s">
        <v>70</v>
      </c>
      <c r="D180">
        <v>107432433</v>
      </c>
      <c r="E180" t="s">
        <v>90</v>
      </c>
      <c r="F180" t="s">
        <v>60</v>
      </c>
      <c r="G180">
        <v>0.15</v>
      </c>
      <c r="H180">
        <v>8.09</v>
      </c>
      <c r="I180">
        <v>0</v>
      </c>
      <c r="J180">
        <v>0</v>
      </c>
      <c r="K180">
        <v>8.24</v>
      </c>
      <c r="L180" t="s">
        <v>61</v>
      </c>
      <c r="M180">
        <v>180</v>
      </c>
      <c r="N180">
        <v>21.84</v>
      </c>
      <c r="O180" t="s">
        <v>62</v>
      </c>
      <c r="P180" t="s">
        <v>66</v>
      </c>
      <c r="Q180">
        <v>0</v>
      </c>
      <c r="R180">
        <v>0</v>
      </c>
    </row>
    <row r="181" spans="1:18" x14ac:dyDescent="0.35">
      <c r="A181" t="s">
        <v>56</v>
      </c>
      <c r="B181" t="s">
        <v>57</v>
      </c>
      <c r="C181" t="s">
        <v>70</v>
      </c>
      <c r="D181">
        <v>107432433</v>
      </c>
      <c r="E181" t="s">
        <v>90</v>
      </c>
      <c r="F181" t="s">
        <v>60</v>
      </c>
      <c r="G181">
        <v>0.15</v>
      </c>
      <c r="H181">
        <v>8.09</v>
      </c>
      <c r="I181">
        <v>0</v>
      </c>
      <c r="J181">
        <v>0</v>
      </c>
      <c r="K181">
        <v>8.24</v>
      </c>
      <c r="L181" t="s">
        <v>61</v>
      </c>
      <c r="M181">
        <v>180</v>
      </c>
      <c r="N181">
        <v>21.84</v>
      </c>
      <c r="O181" t="s">
        <v>62</v>
      </c>
      <c r="P181" t="s">
        <v>67</v>
      </c>
      <c r="Q181">
        <v>1423</v>
      </c>
      <c r="R181">
        <v>172.66</v>
      </c>
    </row>
    <row r="182" spans="1:18" x14ac:dyDescent="0.35">
      <c r="A182" t="s">
        <v>56</v>
      </c>
      <c r="B182" t="s">
        <v>57</v>
      </c>
      <c r="C182" t="s">
        <v>70</v>
      </c>
      <c r="D182">
        <v>107432433</v>
      </c>
      <c r="E182" t="s">
        <v>90</v>
      </c>
      <c r="F182" t="s">
        <v>60</v>
      </c>
      <c r="G182">
        <v>0.15</v>
      </c>
      <c r="H182">
        <v>8.09</v>
      </c>
      <c r="I182">
        <v>0</v>
      </c>
      <c r="J182">
        <v>0</v>
      </c>
      <c r="K182">
        <v>8.24</v>
      </c>
      <c r="L182" t="s">
        <v>61</v>
      </c>
      <c r="M182">
        <v>180</v>
      </c>
      <c r="N182">
        <v>21.84</v>
      </c>
      <c r="O182" t="s">
        <v>68</v>
      </c>
      <c r="P182" t="s">
        <v>67</v>
      </c>
      <c r="Q182">
        <v>180</v>
      </c>
      <c r="R182">
        <v>21.84</v>
      </c>
    </row>
    <row r="183" spans="1:18" x14ac:dyDescent="0.35">
      <c r="A183" t="s">
        <v>56</v>
      </c>
      <c r="B183" t="s">
        <v>57</v>
      </c>
      <c r="C183" t="s">
        <v>70</v>
      </c>
      <c r="D183">
        <v>107432433</v>
      </c>
      <c r="E183" t="s">
        <v>90</v>
      </c>
      <c r="F183" t="s">
        <v>60</v>
      </c>
      <c r="G183">
        <v>0.15</v>
      </c>
      <c r="H183">
        <v>8.09</v>
      </c>
      <c r="I183">
        <v>0</v>
      </c>
      <c r="J183">
        <v>0</v>
      </c>
      <c r="K183">
        <v>8.24</v>
      </c>
      <c r="L183" t="s">
        <v>61</v>
      </c>
      <c r="M183">
        <v>180</v>
      </c>
      <c r="N183">
        <v>21.84</v>
      </c>
      <c r="O183" t="s">
        <v>69</v>
      </c>
      <c r="P183" t="s">
        <v>67</v>
      </c>
      <c r="Q183">
        <v>0</v>
      </c>
      <c r="R183">
        <v>0</v>
      </c>
    </row>
    <row r="184" spans="1:18" x14ac:dyDescent="0.35">
      <c r="A184" t="s">
        <v>56</v>
      </c>
      <c r="B184" t="s">
        <v>57</v>
      </c>
      <c r="C184" t="s">
        <v>70</v>
      </c>
      <c r="D184">
        <v>107463281</v>
      </c>
      <c r="E184" t="s">
        <v>91</v>
      </c>
      <c r="F184" t="s">
        <v>60</v>
      </c>
      <c r="G184">
        <v>1.1399999999999999</v>
      </c>
      <c r="H184">
        <v>8.25</v>
      </c>
      <c r="I184">
        <v>0.06</v>
      </c>
      <c r="J184">
        <v>0</v>
      </c>
      <c r="K184">
        <v>9.4499999999999993</v>
      </c>
      <c r="L184" t="s">
        <v>61</v>
      </c>
      <c r="M184">
        <v>410</v>
      </c>
      <c r="N184">
        <v>43.37</v>
      </c>
      <c r="O184" t="s">
        <v>62</v>
      </c>
      <c r="P184" t="s">
        <v>63</v>
      </c>
      <c r="Q184">
        <v>1927</v>
      </c>
      <c r="R184">
        <v>1692</v>
      </c>
    </row>
    <row r="185" spans="1:18" x14ac:dyDescent="0.35">
      <c r="A185" t="s">
        <v>56</v>
      </c>
      <c r="B185" t="s">
        <v>57</v>
      </c>
      <c r="C185" t="s">
        <v>70</v>
      </c>
      <c r="D185">
        <v>107463281</v>
      </c>
      <c r="E185" t="s">
        <v>91</v>
      </c>
      <c r="F185" t="s">
        <v>60</v>
      </c>
      <c r="G185">
        <v>1.1399999999999999</v>
      </c>
      <c r="H185">
        <v>8.25</v>
      </c>
      <c r="I185">
        <v>0.06</v>
      </c>
      <c r="J185">
        <v>0</v>
      </c>
      <c r="K185">
        <v>9.4499999999999993</v>
      </c>
      <c r="L185" t="s">
        <v>61</v>
      </c>
      <c r="M185">
        <v>410</v>
      </c>
      <c r="N185">
        <v>43.37</v>
      </c>
      <c r="O185" t="s">
        <v>62</v>
      </c>
      <c r="P185" t="s">
        <v>64</v>
      </c>
      <c r="Q185">
        <v>2589</v>
      </c>
      <c r="R185">
        <v>313.67</v>
      </c>
    </row>
    <row r="186" spans="1:18" x14ac:dyDescent="0.35">
      <c r="A186" t="s">
        <v>56</v>
      </c>
      <c r="B186" t="s">
        <v>57</v>
      </c>
      <c r="C186" t="s">
        <v>70</v>
      </c>
      <c r="D186">
        <v>107463281</v>
      </c>
      <c r="E186" t="s">
        <v>91</v>
      </c>
      <c r="F186" t="s">
        <v>60</v>
      </c>
      <c r="G186">
        <v>1.1399999999999999</v>
      </c>
      <c r="H186">
        <v>8.25</v>
      </c>
      <c r="I186">
        <v>0.06</v>
      </c>
      <c r="J186">
        <v>0</v>
      </c>
      <c r="K186">
        <v>9.4499999999999993</v>
      </c>
      <c r="L186" t="s">
        <v>61</v>
      </c>
      <c r="M186">
        <v>410</v>
      </c>
      <c r="N186">
        <v>43.37</v>
      </c>
      <c r="O186" t="s">
        <v>62</v>
      </c>
      <c r="P186" t="s">
        <v>65</v>
      </c>
      <c r="Q186">
        <v>18</v>
      </c>
      <c r="R186">
        <v>300</v>
      </c>
    </row>
    <row r="187" spans="1:18" x14ac:dyDescent="0.35">
      <c r="A187" t="s">
        <v>56</v>
      </c>
      <c r="B187" t="s">
        <v>57</v>
      </c>
      <c r="C187" t="s">
        <v>70</v>
      </c>
      <c r="D187">
        <v>107463281</v>
      </c>
      <c r="E187" t="s">
        <v>91</v>
      </c>
      <c r="F187" t="s">
        <v>60</v>
      </c>
      <c r="G187">
        <v>1.1399999999999999</v>
      </c>
      <c r="H187">
        <v>8.25</v>
      </c>
      <c r="I187">
        <v>0.06</v>
      </c>
      <c r="J187">
        <v>0</v>
      </c>
      <c r="K187">
        <v>9.4499999999999993</v>
      </c>
      <c r="L187" t="s">
        <v>61</v>
      </c>
      <c r="M187">
        <v>410</v>
      </c>
      <c r="N187">
        <v>43.37</v>
      </c>
      <c r="O187" t="s">
        <v>62</v>
      </c>
      <c r="P187" t="s">
        <v>66</v>
      </c>
      <c r="Q187">
        <v>0</v>
      </c>
      <c r="R187">
        <v>0</v>
      </c>
    </row>
    <row r="188" spans="1:18" x14ac:dyDescent="0.35">
      <c r="A188" t="s">
        <v>56</v>
      </c>
      <c r="B188" t="s">
        <v>57</v>
      </c>
      <c r="C188" t="s">
        <v>70</v>
      </c>
      <c r="D188">
        <v>107463281</v>
      </c>
      <c r="E188" t="s">
        <v>91</v>
      </c>
      <c r="F188" t="s">
        <v>60</v>
      </c>
      <c r="G188">
        <v>1.1399999999999999</v>
      </c>
      <c r="H188">
        <v>8.25</v>
      </c>
      <c r="I188">
        <v>0.06</v>
      </c>
      <c r="J188">
        <v>0</v>
      </c>
      <c r="K188">
        <v>9.4499999999999993</v>
      </c>
      <c r="L188" t="s">
        <v>61</v>
      </c>
      <c r="M188">
        <v>410</v>
      </c>
      <c r="N188">
        <v>43.37</v>
      </c>
      <c r="O188" t="s">
        <v>62</v>
      </c>
      <c r="P188" t="s">
        <v>67</v>
      </c>
      <c r="Q188">
        <v>4534</v>
      </c>
      <c r="R188">
        <v>479.62</v>
      </c>
    </row>
    <row r="189" spans="1:18" x14ac:dyDescent="0.35">
      <c r="A189" t="s">
        <v>56</v>
      </c>
      <c r="B189" t="s">
        <v>57</v>
      </c>
      <c r="C189" t="s">
        <v>70</v>
      </c>
      <c r="D189">
        <v>107463281</v>
      </c>
      <c r="E189" t="s">
        <v>91</v>
      </c>
      <c r="F189" t="s">
        <v>60</v>
      </c>
      <c r="G189">
        <v>1.1399999999999999</v>
      </c>
      <c r="H189">
        <v>8.25</v>
      </c>
      <c r="I189">
        <v>0.06</v>
      </c>
      <c r="J189">
        <v>0</v>
      </c>
      <c r="K189">
        <v>9.4499999999999993</v>
      </c>
      <c r="L189" t="s">
        <v>61</v>
      </c>
      <c r="M189">
        <v>410</v>
      </c>
      <c r="N189">
        <v>43.37</v>
      </c>
      <c r="O189" t="s">
        <v>68</v>
      </c>
      <c r="P189" t="s">
        <v>67</v>
      </c>
      <c r="Q189">
        <v>410</v>
      </c>
      <c r="R189">
        <v>43.37</v>
      </c>
    </row>
    <row r="190" spans="1:18" x14ac:dyDescent="0.35">
      <c r="A190" t="s">
        <v>56</v>
      </c>
      <c r="B190" t="s">
        <v>57</v>
      </c>
      <c r="C190" t="s">
        <v>70</v>
      </c>
      <c r="D190">
        <v>107463281</v>
      </c>
      <c r="E190" t="s">
        <v>91</v>
      </c>
      <c r="F190" t="s">
        <v>60</v>
      </c>
      <c r="G190">
        <v>1.1399999999999999</v>
      </c>
      <c r="H190">
        <v>8.25</v>
      </c>
      <c r="I190">
        <v>0.06</v>
      </c>
      <c r="J190">
        <v>0</v>
      </c>
      <c r="K190">
        <v>9.4499999999999993</v>
      </c>
      <c r="L190" t="s">
        <v>61</v>
      </c>
      <c r="M190">
        <v>410</v>
      </c>
      <c r="N190">
        <v>43.37</v>
      </c>
      <c r="O190" t="s">
        <v>69</v>
      </c>
      <c r="P190" t="s">
        <v>67</v>
      </c>
      <c r="Q190">
        <v>0</v>
      </c>
      <c r="R190">
        <v>0</v>
      </c>
    </row>
    <row r="191" spans="1:18" x14ac:dyDescent="0.35">
      <c r="A191" t="s">
        <v>56</v>
      </c>
      <c r="B191" t="s">
        <v>57</v>
      </c>
      <c r="C191" t="s">
        <v>70</v>
      </c>
      <c r="D191">
        <v>107741612</v>
      </c>
      <c r="E191" t="s">
        <v>96</v>
      </c>
      <c r="F191" t="s">
        <v>60</v>
      </c>
      <c r="G191">
        <v>0.21</v>
      </c>
      <c r="H191">
        <v>9.7899999999999991</v>
      </c>
      <c r="I191">
        <v>0</v>
      </c>
      <c r="J191">
        <v>0</v>
      </c>
      <c r="K191">
        <v>10</v>
      </c>
      <c r="L191" t="s">
        <v>61</v>
      </c>
      <c r="M191">
        <v>525</v>
      </c>
      <c r="N191">
        <v>52.5</v>
      </c>
      <c r="O191" t="s">
        <v>62</v>
      </c>
      <c r="P191" t="s">
        <v>63</v>
      </c>
      <c r="Q191">
        <v>244</v>
      </c>
      <c r="R191">
        <v>1154.27</v>
      </c>
    </row>
    <row r="192" spans="1:18" x14ac:dyDescent="0.35">
      <c r="A192" t="s">
        <v>56</v>
      </c>
      <c r="B192" t="s">
        <v>57</v>
      </c>
      <c r="C192" t="s">
        <v>70</v>
      </c>
      <c r="D192">
        <v>107741612</v>
      </c>
      <c r="E192" t="s">
        <v>96</v>
      </c>
      <c r="F192" t="s">
        <v>60</v>
      </c>
      <c r="G192">
        <v>0.21</v>
      </c>
      <c r="H192">
        <v>9.7899999999999991</v>
      </c>
      <c r="I192">
        <v>0</v>
      </c>
      <c r="J192">
        <v>0</v>
      </c>
      <c r="K192">
        <v>10</v>
      </c>
      <c r="L192" t="s">
        <v>61</v>
      </c>
      <c r="M192">
        <v>525</v>
      </c>
      <c r="N192">
        <v>52.5</v>
      </c>
      <c r="O192" t="s">
        <v>62</v>
      </c>
      <c r="P192" t="s">
        <v>64</v>
      </c>
      <c r="Q192">
        <v>2093</v>
      </c>
      <c r="R192">
        <v>213.83</v>
      </c>
    </row>
    <row r="193" spans="1:18" x14ac:dyDescent="0.35">
      <c r="A193" t="s">
        <v>56</v>
      </c>
      <c r="B193" t="s">
        <v>57</v>
      </c>
      <c r="C193" t="s">
        <v>70</v>
      </c>
      <c r="D193">
        <v>107741612</v>
      </c>
      <c r="E193" t="s">
        <v>96</v>
      </c>
      <c r="F193" t="s">
        <v>60</v>
      </c>
      <c r="G193">
        <v>0.21</v>
      </c>
      <c r="H193">
        <v>9.7899999999999991</v>
      </c>
      <c r="I193">
        <v>0</v>
      </c>
      <c r="J193">
        <v>0</v>
      </c>
      <c r="K193">
        <v>10</v>
      </c>
      <c r="L193" t="s">
        <v>61</v>
      </c>
      <c r="M193">
        <v>525</v>
      </c>
      <c r="N193">
        <v>52.5</v>
      </c>
      <c r="O193" t="s">
        <v>62</v>
      </c>
      <c r="P193" t="s">
        <v>65</v>
      </c>
      <c r="Q193">
        <v>0</v>
      </c>
      <c r="R193">
        <v>0</v>
      </c>
    </row>
    <row r="194" spans="1:18" x14ac:dyDescent="0.35">
      <c r="A194" t="s">
        <v>56</v>
      </c>
      <c r="B194" t="s">
        <v>57</v>
      </c>
      <c r="C194" t="s">
        <v>70</v>
      </c>
      <c r="D194">
        <v>107741612</v>
      </c>
      <c r="E194" t="s">
        <v>96</v>
      </c>
      <c r="F194" t="s">
        <v>60</v>
      </c>
      <c r="G194">
        <v>0.21</v>
      </c>
      <c r="H194">
        <v>9.7899999999999991</v>
      </c>
      <c r="I194">
        <v>0</v>
      </c>
      <c r="J194">
        <v>0</v>
      </c>
      <c r="K194">
        <v>10</v>
      </c>
      <c r="L194" t="s">
        <v>61</v>
      </c>
      <c r="M194">
        <v>525</v>
      </c>
      <c r="N194">
        <v>52.5</v>
      </c>
      <c r="O194" t="s">
        <v>62</v>
      </c>
      <c r="P194" t="s">
        <v>66</v>
      </c>
      <c r="Q194">
        <v>0</v>
      </c>
      <c r="R194">
        <v>0</v>
      </c>
    </row>
    <row r="195" spans="1:18" x14ac:dyDescent="0.35">
      <c r="A195" t="s">
        <v>56</v>
      </c>
      <c r="B195" t="s">
        <v>57</v>
      </c>
      <c r="C195" t="s">
        <v>70</v>
      </c>
      <c r="D195">
        <v>107741612</v>
      </c>
      <c r="E195" t="s">
        <v>96</v>
      </c>
      <c r="F195" t="s">
        <v>60</v>
      </c>
      <c r="G195">
        <v>0.21</v>
      </c>
      <c r="H195">
        <v>9.7899999999999991</v>
      </c>
      <c r="I195">
        <v>0</v>
      </c>
      <c r="J195">
        <v>0</v>
      </c>
      <c r="K195">
        <v>10</v>
      </c>
      <c r="L195" t="s">
        <v>61</v>
      </c>
      <c r="M195">
        <v>525</v>
      </c>
      <c r="N195">
        <v>52.5</v>
      </c>
      <c r="O195" t="s">
        <v>62</v>
      </c>
      <c r="P195" t="s">
        <v>67</v>
      </c>
      <c r="Q195">
        <v>2337</v>
      </c>
      <c r="R195">
        <v>233.7</v>
      </c>
    </row>
    <row r="196" spans="1:18" x14ac:dyDescent="0.35">
      <c r="A196" t="s">
        <v>56</v>
      </c>
      <c r="B196" t="s">
        <v>57</v>
      </c>
      <c r="C196" t="s">
        <v>70</v>
      </c>
      <c r="D196">
        <v>107741612</v>
      </c>
      <c r="E196" t="s">
        <v>96</v>
      </c>
      <c r="F196" t="s">
        <v>60</v>
      </c>
      <c r="G196">
        <v>0.21</v>
      </c>
      <c r="H196">
        <v>9.7899999999999991</v>
      </c>
      <c r="I196">
        <v>0</v>
      </c>
      <c r="J196">
        <v>0</v>
      </c>
      <c r="K196">
        <v>10</v>
      </c>
      <c r="L196" t="s">
        <v>61</v>
      </c>
      <c r="M196">
        <v>525</v>
      </c>
      <c r="N196">
        <v>52.5</v>
      </c>
      <c r="O196" t="s">
        <v>68</v>
      </c>
      <c r="P196" t="s">
        <v>67</v>
      </c>
      <c r="Q196">
        <v>525</v>
      </c>
      <c r="R196">
        <v>52.5</v>
      </c>
    </row>
    <row r="197" spans="1:18" x14ac:dyDescent="0.35">
      <c r="A197" t="s">
        <v>56</v>
      </c>
      <c r="B197" t="s">
        <v>57</v>
      </c>
      <c r="C197" t="s">
        <v>70</v>
      </c>
      <c r="D197">
        <v>107741612</v>
      </c>
      <c r="E197" t="s">
        <v>96</v>
      </c>
      <c r="F197" t="s">
        <v>60</v>
      </c>
      <c r="G197">
        <v>0.21</v>
      </c>
      <c r="H197">
        <v>9.7899999999999991</v>
      </c>
      <c r="I197">
        <v>0</v>
      </c>
      <c r="J197">
        <v>0</v>
      </c>
      <c r="K197">
        <v>10</v>
      </c>
      <c r="L197" t="s">
        <v>61</v>
      </c>
      <c r="M197">
        <v>525</v>
      </c>
      <c r="N197">
        <v>52.5</v>
      </c>
      <c r="O197" t="s">
        <v>69</v>
      </c>
      <c r="P197" t="s">
        <v>67</v>
      </c>
      <c r="Q197">
        <v>0</v>
      </c>
      <c r="R197">
        <v>0</v>
      </c>
    </row>
    <row r="198" spans="1:18" x14ac:dyDescent="0.35">
      <c r="A198" t="s">
        <v>56</v>
      </c>
      <c r="B198" t="s">
        <v>57</v>
      </c>
      <c r="C198" t="s">
        <v>70</v>
      </c>
      <c r="D198">
        <v>107748062</v>
      </c>
      <c r="E198" t="s">
        <v>537</v>
      </c>
      <c r="F198" t="s">
        <v>78</v>
      </c>
      <c r="G198">
        <v>0.53</v>
      </c>
      <c r="H198">
        <v>9.4700000000000006</v>
      </c>
      <c r="I198">
        <v>0</v>
      </c>
      <c r="J198">
        <v>0</v>
      </c>
      <c r="K198">
        <v>10</v>
      </c>
      <c r="L198" t="s">
        <v>61</v>
      </c>
      <c r="M198">
        <v>282</v>
      </c>
      <c r="N198">
        <v>28.2</v>
      </c>
      <c r="O198" t="s">
        <v>62</v>
      </c>
      <c r="P198" t="s">
        <v>63</v>
      </c>
      <c r="Q198">
        <v>428</v>
      </c>
      <c r="R198">
        <v>805.44</v>
      </c>
    </row>
    <row r="199" spans="1:18" x14ac:dyDescent="0.35">
      <c r="A199" t="s">
        <v>56</v>
      </c>
      <c r="B199" t="s">
        <v>57</v>
      </c>
      <c r="C199" t="s">
        <v>70</v>
      </c>
      <c r="D199">
        <v>107748062</v>
      </c>
      <c r="E199" t="s">
        <v>537</v>
      </c>
      <c r="F199" t="s">
        <v>78</v>
      </c>
      <c r="G199">
        <v>0.53</v>
      </c>
      <c r="H199">
        <v>9.4700000000000006</v>
      </c>
      <c r="I199">
        <v>0</v>
      </c>
      <c r="J199">
        <v>0</v>
      </c>
      <c r="K199">
        <v>10</v>
      </c>
      <c r="L199" t="s">
        <v>61</v>
      </c>
      <c r="M199">
        <v>282</v>
      </c>
      <c r="N199">
        <v>28.2</v>
      </c>
      <c r="O199" t="s">
        <v>62</v>
      </c>
      <c r="P199" t="s">
        <v>64</v>
      </c>
      <c r="Q199">
        <v>1414</v>
      </c>
      <c r="R199">
        <v>149.34</v>
      </c>
    </row>
    <row r="200" spans="1:18" x14ac:dyDescent="0.35">
      <c r="A200" t="s">
        <v>56</v>
      </c>
      <c r="B200" t="s">
        <v>57</v>
      </c>
      <c r="C200" t="s">
        <v>70</v>
      </c>
      <c r="D200">
        <v>107748062</v>
      </c>
      <c r="E200" t="s">
        <v>537</v>
      </c>
      <c r="F200" t="s">
        <v>78</v>
      </c>
      <c r="G200">
        <v>0.53</v>
      </c>
      <c r="H200">
        <v>9.4700000000000006</v>
      </c>
      <c r="I200">
        <v>0</v>
      </c>
      <c r="J200">
        <v>0</v>
      </c>
      <c r="K200">
        <v>10</v>
      </c>
      <c r="L200" t="s">
        <v>61</v>
      </c>
      <c r="M200">
        <v>282</v>
      </c>
      <c r="N200">
        <v>28.2</v>
      </c>
      <c r="O200" t="s">
        <v>62</v>
      </c>
      <c r="P200" t="s">
        <v>65</v>
      </c>
      <c r="Q200">
        <v>0</v>
      </c>
      <c r="R200">
        <v>0</v>
      </c>
    </row>
    <row r="201" spans="1:18" x14ac:dyDescent="0.35">
      <c r="A201" t="s">
        <v>56</v>
      </c>
      <c r="B201" t="s">
        <v>57</v>
      </c>
      <c r="C201" t="s">
        <v>70</v>
      </c>
      <c r="D201">
        <v>107748062</v>
      </c>
      <c r="E201" t="s">
        <v>537</v>
      </c>
      <c r="F201" t="s">
        <v>78</v>
      </c>
      <c r="G201">
        <v>0.53</v>
      </c>
      <c r="H201">
        <v>9.4700000000000006</v>
      </c>
      <c r="I201">
        <v>0</v>
      </c>
      <c r="J201">
        <v>0</v>
      </c>
      <c r="K201">
        <v>10</v>
      </c>
      <c r="L201" t="s">
        <v>61</v>
      </c>
      <c r="M201">
        <v>282</v>
      </c>
      <c r="N201">
        <v>28.2</v>
      </c>
      <c r="O201" t="s">
        <v>62</v>
      </c>
      <c r="P201" t="s">
        <v>66</v>
      </c>
      <c r="Q201">
        <v>0</v>
      </c>
      <c r="R201">
        <v>0</v>
      </c>
    </row>
    <row r="202" spans="1:18" x14ac:dyDescent="0.35">
      <c r="A202" t="s">
        <v>56</v>
      </c>
      <c r="B202" t="s">
        <v>57</v>
      </c>
      <c r="C202" t="s">
        <v>70</v>
      </c>
      <c r="D202">
        <v>107748062</v>
      </c>
      <c r="E202" t="s">
        <v>537</v>
      </c>
      <c r="F202" t="s">
        <v>78</v>
      </c>
      <c r="G202">
        <v>0.53</v>
      </c>
      <c r="H202">
        <v>9.4700000000000006</v>
      </c>
      <c r="I202">
        <v>0</v>
      </c>
      <c r="J202">
        <v>0</v>
      </c>
      <c r="K202">
        <v>10</v>
      </c>
      <c r="L202" t="s">
        <v>61</v>
      </c>
      <c r="M202">
        <v>282</v>
      </c>
      <c r="N202">
        <v>28.2</v>
      </c>
      <c r="O202" t="s">
        <v>62</v>
      </c>
      <c r="P202" t="s">
        <v>67</v>
      </c>
      <c r="Q202">
        <v>1842</v>
      </c>
      <c r="R202">
        <v>184.2</v>
      </c>
    </row>
    <row r="203" spans="1:18" x14ac:dyDescent="0.35">
      <c r="A203" t="s">
        <v>56</v>
      </c>
      <c r="B203" t="s">
        <v>57</v>
      </c>
      <c r="C203" t="s">
        <v>70</v>
      </c>
      <c r="D203">
        <v>107748062</v>
      </c>
      <c r="E203" t="s">
        <v>537</v>
      </c>
      <c r="F203" t="s">
        <v>78</v>
      </c>
      <c r="G203">
        <v>0.53</v>
      </c>
      <c r="H203">
        <v>9.4700000000000006</v>
      </c>
      <c r="I203">
        <v>0</v>
      </c>
      <c r="J203">
        <v>0</v>
      </c>
      <c r="K203">
        <v>10</v>
      </c>
      <c r="L203" t="s">
        <v>61</v>
      </c>
      <c r="M203">
        <v>282</v>
      </c>
      <c r="N203">
        <v>28.2</v>
      </c>
      <c r="O203" t="s">
        <v>68</v>
      </c>
      <c r="P203" t="s">
        <v>67</v>
      </c>
      <c r="Q203">
        <v>282</v>
      </c>
      <c r="R203">
        <v>28.2</v>
      </c>
    </row>
    <row r="204" spans="1:18" x14ac:dyDescent="0.35">
      <c r="A204" t="s">
        <v>56</v>
      </c>
      <c r="B204" t="s">
        <v>57</v>
      </c>
      <c r="C204" t="s">
        <v>70</v>
      </c>
      <c r="D204">
        <v>107748062</v>
      </c>
      <c r="E204" t="s">
        <v>537</v>
      </c>
      <c r="F204" t="s">
        <v>78</v>
      </c>
      <c r="G204">
        <v>0.53</v>
      </c>
      <c r="H204">
        <v>9.4700000000000006</v>
      </c>
      <c r="I204">
        <v>0</v>
      </c>
      <c r="J204">
        <v>0</v>
      </c>
      <c r="K204">
        <v>10</v>
      </c>
      <c r="L204" t="s">
        <v>61</v>
      </c>
      <c r="M204">
        <v>282</v>
      </c>
      <c r="N204">
        <v>28.2</v>
      </c>
      <c r="O204" t="s">
        <v>69</v>
      </c>
      <c r="P204" t="s">
        <v>67</v>
      </c>
      <c r="Q204">
        <v>0</v>
      </c>
      <c r="R204">
        <v>0</v>
      </c>
    </row>
    <row r="205" spans="1:18" x14ac:dyDescent="0.35">
      <c r="A205" t="s">
        <v>56</v>
      </c>
      <c r="B205" t="s">
        <v>57</v>
      </c>
      <c r="C205" t="s">
        <v>58</v>
      </c>
      <c r="D205">
        <v>107819512</v>
      </c>
      <c r="E205" t="s">
        <v>101</v>
      </c>
      <c r="F205" t="s">
        <v>60</v>
      </c>
      <c r="G205">
        <v>0.43</v>
      </c>
      <c r="H205">
        <v>8.84</v>
      </c>
      <c r="I205">
        <v>0</v>
      </c>
      <c r="J205">
        <v>0</v>
      </c>
      <c r="K205">
        <v>9.26</v>
      </c>
      <c r="L205" t="s">
        <v>61</v>
      </c>
      <c r="M205">
        <v>243</v>
      </c>
      <c r="N205">
        <v>26.24</v>
      </c>
      <c r="O205" t="s">
        <v>62</v>
      </c>
      <c r="P205" t="s">
        <v>63</v>
      </c>
      <c r="Q205">
        <v>492</v>
      </c>
      <c r="R205">
        <v>1152.3699999999999</v>
      </c>
    </row>
    <row r="206" spans="1:18" x14ac:dyDescent="0.35">
      <c r="A206" t="s">
        <v>56</v>
      </c>
      <c r="B206" t="s">
        <v>57</v>
      </c>
      <c r="C206" t="s">
        <v>58</v>
      </c>
      <c r="D206">
        <v>107819512</v>
      </c>
      <c r="E206" t="s">
        <v>101</v>
      </c>
      <c r="F206" t="s">
        <v>60</v>
      </c>
      <c r="G206">
        <v>0.43</v>
      </c>
      <c r="H206">
        <v>8.84</v>
      </c>
      <c r="I206">
        <v>0</v>
      </c>
      <c r="J206">
        <v>0</v>
      </c>
      <c r="K206">
        <v>9.26</v>
      </c>
      <c r="L206" t="s">
        <v>61</v>
      </c>
      <c r="M206">
        <v>243</v>
      </c>
      <c r="N206">
        <v>26.24</v>
      </c>
      <c r="O206" t="s">
        <v>62</v>
      </c>
      <c r="P206" t="s">
        <v>64</v>
      </c>
      <c r="Q206">
        <v>1887</v>
      </c>
      <c r="R206">
        <v>213.58</v>
      </c>
    </row>
    <row r="207" spans="1:18" x14ac:dyDescent="0.35">
      <c r="A207" t="s">
        <v>56</v>
      </c>
      <c r="B207" t="s">
        <v>57</v>
      </c>
      <c r="C207" t="s">
        <v>58</v>
      </c>
      <c r="D207">
        <v>107819512</v>
      </c>
      <c r="E207" t="s">
        <v>101</v>
      </c>
      <c r="F207" t="s">
        <v>60</v>
      </c>
      <c r="G207">
        <v>0.43</v>
      </c>
      <c r="H207">
        <v>8.84</v>
      </c>
      <c r="I207">
        <v>0</v>
      </c>
      <c r="J207">
        <v>0</v>
      </c>
      <c r="K207">
        <v>9.26</v>
      </c>
      <c r="L207" t="s">
        <v>61</v>
      </c>
      <c r="M207">
        <v>243</v>
      </c>
      <c r="N207">
        <v>26.24</v>
      </c>
      <c r="O207" t="s">
        <v>62</v>
      </c>
      <c r="P207" t="s">
        <v>65</v>
      </c>
      <c r="Q207">
        <v>0</v>
      </c>
      <c r="R207">
        <v>0</v>
      </c>
    </row>
    <row r="208" spans="1:18" x14ac:dyDescent="0.35">
      <c r="A208" t="s">
        <v>56</v>
      </c>
      <c r="B208" t="s">
        <v>57</v>
      </c>
      <c r="C208" t="s">
        <v>58</v>
      </c>
      <c r="D208">
        <v>107819512</v>
      </c>
      <c r="E208" t="s">
        <v>101</v>
      </c>
      <c r="F208" t="s">
        <v>60</v>
      </c>
      <c r="G208">
        <v>0.43</v>
      </c>
      <c r="H208">
        <v>8.84</v>
      </c>
      <c r="I208">
        <v>0</v>
      </c>
      <c r="J208">
        <v>0</v>
      </c>
      <c r="K208">
        <v>9.26</v>
      </c>
      <c r="L208" t="s">
        <v>61</v>
      </c>
      <c r="M208">
        <v>243</v>
      </c>
      <c r="N208">
        <v>26.24</v>
      </c>
      <c r="O208" t="s">
        <v>62</v>
      </c>
      <c r="P208" t="s">
        <v>66</v>
      </c>
      <c r="Q208">
        <v>0</v>
      </c>
      <c r="R208">
        <v>0</v>
      </c>
    </row>
    <row r="209" spans="1:18" x14ac:dyDescent="0.35">
      <c r="A209" t="s">
        <v>56</v>
      </c>
      <c r="B209" t="s">
        <v>57</v>
      </c>
      <c r="C209" t="s">
        <v>58</v>
      </c>
      <c r="D209">
        <v>107819512</v>
      </c>
      <c r="E209" t="s">
        <v>101</v>
      </c>
      <c r="F209" t="s">
        <v>60</v>
      </c>
      <c r="G209">
        <v>0.43</v>
      </c>
      <c r="H209">
        <v>8.84</v>
      </c>
      <c r="I209">
        <v>0</v>
      </c>
      <c r="J209">
        <v>0</v>
      </c>
      <c r="K209">
        <v>9.26</v>
      </c>
      <c r="L209" t="s">
        <v>61</v>
      </c>
      <c r="M209">
        <v>243</v>
      </c>
      <c r="N209">
        <v>26.24</v>
      </c>
      <c r="O209" t="s">
        <v>62</v>
      </c>
      <c r="P209" t="s">
        <v>67</v>
      </c>
      <c r="Q209">
        <v>2379</v>
      </c>
      <c r="R209">
        <v>256.85000000000002</v>
      </c>
    </row>
    <row r="210" spans="1:18" x14ac:dyDescent="0.35">
      <c r="A210" t="s">
        <v>56</v>
      </c>
      <c r="B210" t="s">
        <v>57</v>
      </c>
      <c r="C210" t="s">
        <v>58</v>
      </c>
      <c r="D210">
        <v>107819512</v>
      </c>
      <c r="E210" t="s">
        <v>101</v>
      </c>
      <c r="F210" t="s">
        <v>60</v>
      </c>
      <c r="G210">
        <v>0.43</v>
      </c>
      <c r="H210">
        <v>8.84</v>
      </c>
      <c r="I210">
        <v>0</v>
      </c>
      <c r="J210">
        <v>0</v>
      </c>
      <c r="K210">
        <v>9.26</v>
      </c>
      <c r="L210" t="s">
        <v>61</v>
      </c>
      <c r="M210">
        <v>243</v>
      </c>
      <c r="N210">
        <v>26.24</v>
      </c>
      <c r="O210" t="s">
        <v>68</v>
      </c>
      <c r="P210" t="s">
        <v>67</v>
      </c>
      <c r="Q210">
        <v>243</v>
      </c>
      <c r="R210">
        <v>26.24</v>
      </c>
    </row>
    <row r="211" spans="1:18" x14ac:dyDescent="0.35">
      <c r="A211" t="s">
        <v>56</v>
      </c>
      <c r="B211" t="s">
        <v>57</v>
      </c>
      <c r="C211" t="s">
        <v>58</v>
      </c>
      <c r="D211">
        <v>107819512</v>
      </c>
      <c r="E211" t="s">
        <v>101</v>
      </c>
      <c r="F211" t="s">
        <v>60</v>
      </c>
      <c r="G211">
        <v>0.43</v>
      </c>
      <c r="H211">
        <v>8.84</v>
      </c>
      <c r="I211">
        <v>0</v>
      </c>
      <c r="J211">
        <v>0</v>
      </c>
      <c r="K211">
        <v>9.26</v>
      </c>
      <c r="L211" t="s">
        <v>61</v>
      </c>
      <c r="M211">
        <v>243</v>
      </c>
      <c r="N211">
        <v>26.24</v>
      </c>
      <c r="O211" t="s">
        <v>69</v>
      </c>
      <c r="P211" t="s">
        <v>67</v>
      </c>
      <c r="Q211">
        <v>0</v>
      </c>
      <c r="R211">
        <v>0</v>
      </c>
    </row>
    <row r="212" spans="1:18" x14ac:dyDescent="0.35">
      <c r="A212" t="s">
        <v>56</v>
      </c>
      <c r="B212" t="s">
        <v>57</v>
      </c>
      <c r="C212" t="s">
        <v>58</v>
      </c>
      <c r="D212">
        <v>107824169</v>
      </c>
      <c r="E212" t="s">
        <v>103</v>
      </c>
      <c r="F212" t="s">
        <v>60</v>
      </c>
      <c r="G212">
        <v>0.77</v>
      </c>
      <c r="H212">
        <v>4.9400000000000004</v>
      </c>
      <c r="I212">
        <v>0</v>
      </c>
      <c r="J212">
        <v>0</v>
      </c>
      <c r="K212">
        <v>5.72</v>
      </c>
      <c r="L212" t="s">
        <v>61</v>
      </c>
      <c r="M212">
        <v>136</v>
      </c>
      <c r="N212">
        <v>23.79</v>
      </c>
      <c r="O212" t="s">
        <v>62</v>
      </c>
      <c r="P212" t="s">
        <v>63</v>
      </c>
      <c r="Q212">
        <v>902</v>
      </c>
      <c r="R212">
        <v>1167.6400000000001</v>
      </c>
    </row>
    <row r="213" spans="1:18" x14ac:dyDescent="0.35">
      <c r="A213" t="s">
        <v>56</v>
      </c>
      <c r="B213" t="s">
        <v>57</v>
      </c>
      <c r="C213" t="s">
        <v>58</v>
      </c>
      <c r="D213">
        <v>107824169</v>
      </c>
      <c r="E213" t="s">
        <v>103</v>
      </c>
      <c r="F213" t="s">
        <v>60</v>
      </c>
      <c r="G213">
        <v>0.77</v>
      </c>
      <c r="H213">
        <v>4.9400000000000004</v>
      </c>
      <c r="I213">
        <v>0</v>
      </c>
      <c r="J213">
        <v>0</v>
      </c>
      <c r="K213">
        <v>5.72</v>
      </c>
      <c r="L213" t="s">
        <v>61</v>
      </c>
      <c r="M213">
        <v>136</v>
      </c>
      <c r="N213">
        <v>23.79</v>
      </c>
      <c r="O213" t="s">
        <v>62</v>
      </c>
      <c r="P213" t="s">
        <v>64</v>
      </c>
      <c r="Q213">
        <v>1070</v>
      </c>
      <c r="R213">
        <v>216.43</v>
      </c>
    </row>
    <row r="214" spans="1:18" x14ac:dyDescent="0.35">
      <c r="A214" t="s">
        <v>56</v>
      </c>
      <c r="B214" t="s">
        <v>57</v>
      </c>
      <c r="C214" t="s">
        <v>58</v>
      </c>
      <c r="D214">
        <v>107824169</v>
      </c>
      <c r="E214" t="s">
        <v>103</v>
      </c>
      <c r="F214" t="s">
        <v>60</v>
      </c>
      <c r="G214">
        <v>0.77</v>
      </c>
      <c r="H214">
        <v>4.9400000000000004</v>
      </c>
      <c r="I214">
        <v>0</v>
      </c>
      <c r="J214">
        <v>0</v>
      </c>
      <c r="K214">
        <v>5.72</v>
      </c>
      <c r="L214" t="s">
        <v>61</v>
      </c>
      <c r="M214">
        <v>136</v>
      </c>
      <c r="N214">
        <v>23.79</v>
      </c>
      <c r="O214" t="s">
        <v>62</v>
      </c>
      <c r="P214" t="s">
        <v>65</v>
      </c>
      <c r="Q214">
        <v>0</v>
      </c>
      <c r="R214">
        <v>0</v>
      </c>
    </row>
    <row r="215" spans="1:18" x14ac:dyDescent="0.35">
      <c r="A215" t="s">
        <v>56</v>
      </c>
      <c r="B215" t="s">
        <v>57</v>
      </c>
      <c r="C215" t="s">
        <v>58</v>
      </c>
      <c r="D215">
        <v>107824169</v>
      </c>
      <c r="E215" t="s">
        <v>103</v>
      </c>
      <c r="F215" t="s">
        <v>60</v>
      </c>
      <c r="G215">
        <v>0.77</v>
      </c>
      <c r="H215">
        <v>4.9400000000000004</v>
      </c>
      <c r="I215">
        <v>0</v>
      </c>
      <c r="J215">
        <v>0</v>
      </c>
      <c r="K215">
        <v>5.72</v>
      </c>
      <c r="L215" t="s">
        <v>61</v>
      </c>
      <c r="M215">
        <v>136</v>
      </c>
      <c r="N215">
        <v>23.79</v>
      </c>
      <c r="O215" t="s">
        <v>62</v>
      </c>
      <c r="P215" t="s">
        <v>66</v>
      </c>
      <c r="Q215">
        <v>0</v>
      </c>
      <c r="R215">
        <v>0</v>
      </c>
    </row>
    <row r="216" spans="1:18" x14ac:dyDescent="0.35">
      <c r="A216" t="s">
        <v>56</v>
      </c>
      <c r="B216" t="s">
        <v>57</v>
      </c>
      <c r="C216" t="s">
        <v>58</v>
      </c>
      <c r="D216">
        <v>107824169</v>
      </c>
      <c r="E216" t="s">
        <v>103</v>
      </c>
      <c r="F216" t="s">
        <v>60</v>
      </c>
      <c r="G216">
        <v>0.77</v>
      </c>
      <c r="H216">
        <v>4.9400000000000004</v>
      </c>
      <c r="I216">
        <v>0</v>
      </c>
      <c r="J216">
        <v>0</v>
      </c>
      <c r="K216">
        <v>5.72</v>
      </c>
      <c r="L216" t="s">
        <v>61</v>
      </c>
      <c r="M216">
        <v>136</v>
      </c>
      <c r="N216">
        <v>23.79</v>
      </c>
      <c r="O216" t="s">
        <v>62</v>
      </c>
      <c r="P216" t="s">
        <v>67</v>
      </c>
      <c r="Q216">
        <v>1972</v>
      </c>
      <c r="R216">
        <v>344.96</v>
      </c>
    </row>
    <row r="217" spans="1:18" x14ac:dyDescent="0.35">
      <c r="A217" t="s">
        <v>56</v>
      </c>
      <c r="B217" t="s">
        <v>57</v>
      </c>
      <c r="C217" t="s">
        <v>58</v>
      </c>
      <c r="D217">
        <v>107824169</v>
      </c>
      <c r="E217" t="s">
        <v>103</v>
      </c>
      <c r="F217" t="s">
        <v>60</v>
      </c>
      <c r="G217">
        <v>0.77</v>
      </c>
      <c r="H217">
        <v>4.9400000000000004</v>
      </c>
      <c r="I217">
        <v>0</v>
      </c>
      <c r="J217">
        <v>0</v>
      </c>
      <c r="K217">
        <v>5.72</v>
      </c>
      <c r="L217" t="s">
        <v>61</v>
      </c>
      <c r="M217">
        <v>136</v>
      </c>
      <c r="N217">
        <v>23.79</v>
      </c>
      <c r="O217" t="s">
        <v>68</v>
      </c>
      <c r="P217" t="s">
        <v>67</v>
      </c>
      <c r="Q217">
        <v>136</v>
      </c>
      <c r="R217">
        <v>23.79</v>
      </c>
    </row>
    <row r="218" spans="1:18" x14ac:dyDescent="0.35">
      <c r="A218" t="s">
        <v>56</v>
      </c>
      <c r="B218" t="s">
        <v>57</v>
      </c>
      <c r="C218" t="s">
        <v>58</v>
      </c>
      <c r="D218">
        <v>107824169</v>
      </c>
      <c r="E218" t="s">
        <v>103</v>
      </c>
      <c r="F218" t="s">
        <v>60</v>
      </c>
      <c r="G218">
        <v>0.77</v>
      </c>
      <c r="H218">
        <v>4.9400000000000004</v>
      </c>
      <c r="I218">
        <v>0</v>
      </c>
      <c r="J218">
        <v>0</v>
      </c>
      <c r="K218">
        <v>5.72</v>
      </c>
      <c r="L218" t="s">
        <v>61</v>
      </c>
      <c r="M218">
        <v>136</v>
      </c>
      <c r="N218">
        <v>23.79</v>
      </c>
      <c r="O218" t="s">
        <v>69</v>
      </c>
      <c r="P218" t="s">
        <v>67</v>
      </c>
      <c r="Q218">
        <v>0</v>
      </c>
      <c r="R218">
        <v>0</v>
      </c>
    </row>
    <row r="219" spans="1:18" x14ac:dyDescent="0.35">
      <c r="A219" t="s">
        <v>56</v>
      </c>
      <c r="B219" t="s">
        <v>57</v>
      </c>
      <c r="C219" t="s">
        <v>70</v>
      </c>
      <c r="D219">
        <v>107826180</v>
      </c>
      <c r="E219" t="s">
        <v>566</v>
      </c>
      <c r="F219" t="s">
        <v>60</v>
      </c>
      <c r="G219">
        <v>0.52</v>
      </c>
      <c r="H219">
        <v>2.5299999999999998</v>
      </c>
      <c r="I219">
        <v>0</v>
      </c>
      <c r="J219">
        <v>0</v>
      </c>
      <c r="K219">
        <v>3.05</v>
      </c>
      <c r="L219" t="s">
        <v>61</v>
      </c>
      <c r="M219">
        <v>122</v>
      </c>
      <c r="N219">
        <v>40</v>
      </c>
      <c r="O219" t="s">
        <v>62</v>
      </c>
      <c r="P219" t="s">
        <v>63</v>
      </c>
      <c r="Q219">
        <v>1084</v>
      </c>
      <c r="R219">
        <v>2099.19</v>
      </c>
    </row>
    <row r="220" spans="1:18" x14ac:dyDescent="0.35">
      <c r="A220" t="s">
        <v>56</v>
      </c>
      <c r="B220" t="s">
        <v>57</v>
      </c>
      <c r="C220" t="s">
        <v>70</v>
      </c>
      <c r="D220">
        <v>107826180</v>
      </c>
      <c r="E220" t="s">
        <v>566</v>
      </c>
      <c r="F220" t="s">
        <v>60</v>
      </c>
      <c r="G220">
        <v>0.52</v>
      </c>
      <c r="H220">
        <v>2.5299999999999998</v>
      </c>
      <c r="I220">
        <v>0</v>
      </c>
      <c r="J220">
        <v>0</v>
      </c>
      <c r="K220">
        <v>3.05</v>
      </c>
      <c r="L220" t="s">
        <v>61</v>
      </c>
      <c r="M220">
        <v>122</v>
      </c>
      <c r="N220">
        <v>40</v>
      </c>
      <c r="O220" t="s">
        <v>62</v>
      </c>
      <c r="P220" t="s">
        <v>64</v>
      </c>
      <c r="Q220">
        <v>986</v>
      </c>
      <c r="R220">
        <v>389.21</v>
      </c>
    </row>
    <row r="221" spans="1:18" x14ac:dyDescent="0.35">
      <c r="A221" t="s">
        <v>56</v>
      </c>
      <c r="B221" t="s">
        <v>57</v>
      </c>
      <c r="C221" t="s">
        <v>70</v>
      </c>
      <c r="D221">
        <v>107826180</v>
      </c>
      <c r="E221" t="s">
        <v>566</v>
      </c>
      <c r="F221" t="s">
        <v>60</v>
      </c>
      <c r="G221">
        <v>0.52</v>
      </c>
      <c r="H221">
        <v>2.5299999999999998</v>
      </c>
      <c r="I221">
        <v>0</v>
      </c>
      <c r="J221">
        <v>0</v>
      </c>
      <c r="K221">
        <v>3.05</v>
      </c>
      <c r="L221" t="s">
        <v>61</v>
      </c>
      <c r="M221">
        <v>122</v>
      </c>
      <c r="N221">
        <v>40</v>
      </c>
      <c r="O221" t="s">
        <v>62</v>
      </c>
      <c r="P221" t="s">
        <v>65</v>
      </c>
      <c r="Q221">
        <v>0</v>
      </c>
      <c r="R221">
        <v>0</v>
      </c>
    </row>
    <row r="222" spans="1:18" x14ac:dyDescent="0.35">
      <c r="A222" t="s">
        <v>56</v>
      </c>
      <c r="B222" t="s">
        <v>57</v>
      </c>
      <c r="C222" t="s">
        <v>70</v>
      </c>
      <c r="D222">
        <v>107826180</v>
      </c>
      <c r="E222" t="s">
        <v>566</v>
      </c>
      <c r="F222" t="s">
        <v>60</v>
      </c>
      <c r="G222">
        <v>0.52</v>
      </c>
      <c r="H222">
        <v>2.5299999999999998</v>
      </c>
      <c r="I222">
        <v>0</v>
      </c>
      <c r="J222">
        <v>0</v>
      </c>
      <c r="K222">
        <v>3.05</v>
      </c>
      <c r="L222" t="s">
        <v>61</v>
      </c>
      <c r="M222">
        <v>122</v>
      </c>
      <c r="N222">
        <v>40</v>
      </c>
      <c r="O222" t="s">
        <v>62</v>
      </c>
      <c r="P222" t="s">
        <v>66</v>
      </c>
      <c r="Q222">
        <v>0</v>
      </c>
      <c r="R222">
        <v>0</v>
      </c>
    </row>
    <row r="223" spans="1:18" x14ac:dyDescent="0.35">
      <c r="A223" t="s">
        <v>56</v>
      </c>
      <c r="B223" t="s">
        <v>57</v>
      </c>
      <c r="C223" t="s">
        <v>70</v>
      </c>
      <c r="D223">
        <v>107826180</v>
      </c>
      <c r="E223" t="s">
        <v>566</v>
      </c>
      <c r="F223" t="s">
        <v>60</v>
      </c>
      <c r="G223">
        <v>0.52</v>
      </c>
      <c r="H223">
        <v>2.5299999999999998</v>
      </c>
      <c r="I223">
        <v>0</v>
      </c>
      <c r="J223">
        <v>0</v>
      </c>
      <c r="K223">
        <v>3.05</v>
      </c>
      <c r="L223" t="s">
        <v>61</v>
      </c>
      <c r="M223">
        <v>122</v>
      </c>
      <c r="N223">
        <v>40</v>
      </c>
      <c r="O223" t="s">
        <v>62</v>
      </c>
      <c r="P223" t="s">
        <v>67</v>
      </c>
      <c r="Q223">
        <v>2070</v>
      </c>
      <c r="R223">
        <v>678.69</v>
      </c>
    </row>
    <row r="224" spans="1:18" x14ac:dyDescent="0.35">
      <c r="A224" t="s">
        <v>56</v>
      </c>
      <c r="B224" t="s">
        <v>57</v>
      </c>
      <c r="C224" t="s">
        <v>70</v>
      </c>
      <c r="D224">
        <v>107826180</v>
      </c>
      <c r="E224" t="s">
        <v>566</v>
      </c>
      <c r="F224" t="s">
        <v>60</v>
      </c>
      <c r="G224">
        <v>0.52</v>
      </c>
      <c r="H224">
        <v>2.5299999999999998</v>
      </c>
      <c r="I224">
        <v>0</v>
      </c>
      <c r="J224">
        <v>0</v>
      </c>
      <c r="K224">
        <v>3.05</v>
      </c>
      <c r="L224" t="s">
        <v>61</v>
      </c>
      <c r="M224">
        <v>122</v>
      </c>
      <c r="N224">
        <v>40</v>
      </c>
      <c r="O224" t="s">
        <v>68</v>
      </c>
      <c r="P224" t="s">
        <v>67</v>
      </c>
      <c r="Q224">
        <v>122</v>
      </c>
      <c r="R224">
        <v>40</v>
      </c>
    </row>
    <row r="225" spans="1:18" x14ac:dyDescent="0.35">
      <c r="A225" t="s">
        <v>56</v>
      </c>
      <c r="B225" t="s">
        <v>57</v>
      </c>
      <c r="C225" t="s">
        <v>70</v>
      </c>
      <c r="D225">
        <v>107826180</v>
      </c>
      <c r="E225" t="s">
        <v>566</v>
      </c>
      <c r="F225" t="s">
        <v>60</v>
      </c>
      <c r="G225">
        <v>0.52</v>
      </c>
      <c r="H225">
        <v>2.5299999999999998</v>
      </c>
      <c r="I225">
        <v>0</v>
      </c>
      <c r="J225">
        <v>0</v>
      </c>
      <c r="K225">
        <v>3.05</v>
      </c>
      <c r="L225" t="s">
        <v>61</v>
      </c>
      <c r="M225">
        <v>122</v>
      </c>
      <c r="N225">
        <v>40</v>
      </c>
      <c r="O225" t="s">
        <v>69</v>
      </c>
      <c r="P225" t="s">
        <v>67</v>
      </c>
      <c r="Q225">
        <v>0</v>
      </c>
      <c r="R225">
        <v>0</v>
      </c>
    </row>
    <row r="226" spans="1:18" x14ac:dyDescent="0.35">
      <c r="A226" t="s">
        <v>56</v>
      </c>
      <c r="B226" t="s">
        <v>57</v>
      </c>
      <c r="C226" t="s">
        <v>58</v>
      </c>
      <c r="D226">
        <v>107826193</v>
      </c>
      <c r="E226" t="s">
        <v>538</v>
      </c>
      <c r="F226" t="s">
        <v>60</v>
      </c>
      <c r="G226">
        <v>0.55000000000000004</v>
      </c>
      <c r="H226">
        <v>9.4499999999999993</v>
      </c>
      <c r="I226">
        <v>0</v>
      </c>
      <c r="J226">
        <v>0</v>
      </c>
      <c r="K226">
        <v>10</v>
      </c>
      <c r="L226" t="s">
        <v>61</v>
      </c>
      <c r="M226">
        <v>421</v>
      </c>
      <c r="N226">
        <v>42.1</v>
      </c>
      <c r="O226" t="s">
        <v>62</v>
      </c>
      <c r="P226" t="s">
        <v>63</v>
      </c>
      <c r="Q226">
        <v>386</v>
      </c>
      <c r="R226">
        <v>695.84</v>
      </c>
    </row>
    <row r="227" spans="1:18" x14ac:dyDescent="0.35">
      <c r="A227" t="s">
        <v>56</v>
      </c>
      <c r="B227" t="s">
        <v>57</v>
      </c>
      <c r="C227" t="s">
        <v>58</v>
      </c>
      <c r="D227">
        <v>107826193</v>
      </c>
      <c r="E227" t="s">
        <v>538</v>
      </c>
      <c r="F227" t="s">
        <v>60</v>
      </c>
      <c r="G227">
        <v>0.55000000000000004</v>
      </c>
      <c r="H227">
        <v>9.4499999999999993</v>
      </c>
      <c r="I227">
        <v>0</v>
      </c>
      <c r="J227">
        <v>0</v>
      </c>
      <c r="K227">
        <v>10</v>
      </c>
      <c r="L227" t="s">
        <v>61</v>
      </c>
      <c r="M227">
        <v>421</v>
      </c>
      <c r="N227">
        <v>42.1</v>
      </c>
      <c r="O227" t="s">
        <v>62</v>
      </c>
      <c r="P227" t="s">
        <v>64</v>
      </c>
      <c r="Q227">
        <v>1218</v>
      </c>
      <c r="R227">
        <v>128.96</v>
      </c>
    </row>
    <row r="228" spans="1:18" x14ac:dyDescent="0.35">
      <c r="A228" t="s">
        <v>56</v>
      </c>
      <c r="B228" t="s">
        <v>57</v>
      </c>
      <c r="C228" t="s">
        <v>58</v>
      </c>
      <c r="D228">
        <v>107826193</v>
      </c>
      <c r="E228" t="s">
        <v>538</v>
      </c>
      <c r="F228" t="s">
        <v>60</v>
      </c>
      <c r="G228">
        <v>0.55000000000000004</v>
      </c>
      <c r="H228">
        <v>9.4499999999999993</v>
      </c>
      <c r="I228">
        <v>0</v>
      </c>
      <c r="J228">
        <v>0</v>
      </c>
      <c r="K228">
        <v>10</v>
      </c>
      <c r="L228" t="s">
        <v>61</v>
      </c>
      <c r="M228">
        <v>421</v>
      </c>
      <c r="N228">
        <v>42.1</v>
      </c>
      <c r="O228" t="s">
        <v>62</v>
      </c>
      <c r="P228" t="s">
        <v>65</v>
      </c>
      <c r="Q228">
        <v>0</v>
      </c>
      <c r="R228">
        <v>0</v>
      </c>
    </row>
    <row r="229" spans="1:18" x14ac:dyDescent="0.35">
      <c r="A229" t="s">
        <v>56</v>
      </c>
      <c r="B229" t="s">
        <v>57</v>
      </c>
      <c r="C229" t="s">
        <v>58</v>
      </c>
      <c r="D229">
        <v>107826193</v>
      </c>
      <c r="E229" t="s">
        <v>538</v>
      </c>
      <c r="F229" t="s">
        <v>60</v>
      </c>
      <c r="G229">
        <v>0.55000000000000004</v>
      </c>
      <c r="H229">
        <v>9.4499999999999993</v>
      </c>
      <c r="I229">
        <v>0</v>
      </c>
      <c r="J229">
        <v>0</v>
      </c>
      <c r="K229">
        <v>10</v>
      </c>
      <c r="L229" t="s">
        <v>61</v>
      </c>
      <c r="M229">
        <v>421</v>
      </c>
      <c r="N229">
        <v>42.1</v>
      </c>
      <c r="O229" t="s">
        <v>62</v>
      </c>
      <c r="P229" t="s">
        <v>66</v>
      </c>
      <c r="Q229">
        <v>0</v>
      </c>
      <c r="R229">
        <v>0</v>
      </c>
    </row>
    <row r="230" spans="1:18" x14ac:dyDescent="0.35">
      <c r="A230" t="s">
        <v>56</v>
      </c>
      <c r="B230" t="s">
        <v>57</v>
      </c>
      <c r="C230" t="s">
        <v>58</v>
      </c>
      <c r="D230">
        <v>107826193</v>
      </c>
      <c r="E230" t="s">
        <v>538</v>
      </c>
      <c r="F230" t="s">
        <v>60</v>
      </c>
      <c r="G230">
        <v>0.55000000000000004</v>
      </c>
      <c r="H230">
        <v>9.4499999999999993</v>
      </c>
      <c r="I230">
        <v>0</v>
      </c>
      <c r="J230">
        <v>0</v>
      </c>
      <c r="K230">
        <v>10</v>
      </c>
      <c r="L230" t="s">
        <v>61</v>
      </c>
      <c r="M230">
        <v>421</v>
      </c>
      <c r="N230">
        <v>42.1</v>
      </c>
      <c r="O230" t="s">
        <v>62</v>
      </c>
      <c r="P230" t="s">
        <v>67</v>
      </c>
      <c r="Q230">
        <v>1604</v>
      </c>
      <c r="R230">
        <v>160.4</v>
      </c>
    </row>
    <row r="231" spans="1:18" x14ac:dyDescent="0.35">
      <c r="A231" t="s">
        <v>56</v>
      </c>
      <c r="B231" t="s">
        <v>57</v>
      </c>
      <c r="C231" t="s">
        <v>58</v>
      </c>
      <c r="D231">
        <v>107826193</v>
      </c>
      <c r="E231" t="s">
        <v>538</v>
      </c>
      <c r="F231" t="s">
        <v>60</v>
      </c>
      <c r="G231">
        <v>0.55000000000000004</v>
      </c>
      <c r="H231">
        <v>9.4499999999999993</v>
      </c>
      <c r="I231">
        <v>0</v>
      </c>
      <c r="J231">
        <v>0</v>
      </c>
      <c r="K231">
        <v>10</v>
      </c>
      <c r="L231" t="s">
        <v>61</v>
      </c>
      <c r="M231">
        <v>421</v>
      </c>
      <c r="N231">
        <v>42.1</v>
      </c>
      <c r="O231" t="s">
        <v>68</v>
      </c>
      <c r="P231" t="s">
        <v>67</v>
      </c>
      <c r="Q231">
        <v>421</v>
      </c>
      <c r="R231">
        <v>42.1</v>
      </c>
    </row>
    <row r="232" spans="1:18" x14ac:dyDescent="0.35">
      <c r="A232" t="s">
        <v>56</v>
      </c>
      <c r="B232" t="s">
        <v>57</v>
      </c>
      <c r="C232" t="s">
        <v>58</v>
      </c>
      <c r="D232">
        <v>107826193</v>
      </c>
      <c r="E232" t="s">
        <v>538</v>
      </c>
      <c r="F232" t="s">
        <v>60</v>
      </c>
      <c r="G232">
        <v>0.55000000000000004</v>
      </c>
      <c r="H232">
        <v>9.4499999999999993</v>
      </c>
      <c r="I232">
        <v>0</v>
      </c>
      <c r="J232">
        <v>0</v>
      </c>
      <c r="K232">
        <v>10</v>
      </c>
      <c r="L232" t="s">
        <v>61</v>
      </c>
      <c r="M232">
        <v>421</v>
      </c>
      <c r="N232">
        <v>42.1</v>
      </c>
      <c r="O232" t="s">
        <v>69</v>
      </c>
      <c r="P232" t="s">
        <v>67</v>
      </c>
      <c r="Q232">
        <v>0</v>
      </c>
      <c r="R232">
        <v>0</v>
      </c>
    </row>
    <row r="233" spans="1:18" x14ac:dyDescent="0.35">
      <c r="A233" t="s">
        <v>56</v>
      </c>
      <c r="B233" t="s">
        <v>57</v>
      </c>
      <c r="C233" t="s">
        <v>58</v>
      </c>
      <c r="D233">
        <v>107826201</v>
      </c>
      <c r="E233" t="s">
        <v>539</v>
      </c>
      <c r="F233" t="s">
        <v>60</v>
      </c>
      <c r="G233">
        <v>0.74</v>
      </c>
      <c r="H233">
        <v>9.18</v>
      </c>
      <c r="I233">
        <v>0</v>
      </c>
      <c r="J233">
        <v>0</v>
      </c>
      <c r="K233">
        <v>9.92</v>
      </c>
      <c r="L233" t="s">
        <v>61</v>
      </c>
      <c r="M233">
        <v>341</v>
      </c>
      <c r="N233">
        <v>34.380000000000003</v>
      </c>
      <c r="O233" t="s">
        <v>62</v>
      </c>
      <c r="P233" t="s">
        <v>63</v>
      </c>
      <c r="Q233">
        <v>968</v>
      </c>
      <c r="R233">
        <v>1305.17</v>
      </c>
    </row>
    <row r="234" spans="1:18" x14ac:dyDescent="0.35">
      <c r="A234" t="s">
        <v>56</v>
      </c>
      <c r="B234" t="s">
        <v>57</v>
      </c>
      <c r="C234" t="s">
        <v>58</v>
      </c>
      <c r="D234">
        <v>107826201</v>
      </c>
      <c r="E234" t="s">
        <v>539</v>
      </c>
      <c r="F234" t="s">
        <v>60</v>
      </c>
      <c r="G234">
        <v>0.74</v>
      </c>
      <c r="H234">
        <v>9.18</v>
      </c>
      <c r="I234">
        <v>0</v>
      </c>
      <c r="J234">
        <v>0</v>
      </c>
      <c r="K234">
        <v>9.92</v>
      </c>
      <c r="L234" t="s">
        <v>61</v>
      </c>
      <c r="M234">
        <v>341</v>
      </c>
      <c r="N234">
        <v>34.380000000000003</v>
      </c>
      <c r="O234" t="s">
        <v>62</v>
      </c>
      <c r="P234" t="s">
        <v>64</v>
      </c>
      <c r="Q234">
        <v>2221</v>
      </c>
      <c r="R234">
        <v>241.99</v>
      </c>
    </row>
    <row r="235" spans="1:18" x14ac:dyDescent="0.35">
      <c r="A235" t="s">
        <v>56</v>
      </c>
      <c r="B235" t="s">
        <v>57</v>
      </c>
      <c r="C235" t="s">
        <v>58</v>
      </c>
      <c r="D235">
        <v>107826201</v>
      </c>
      <c r="E235" t="s">
        <v>539</v>
      </c>
      <c r="F235" t="s">
        <v>60</v>
      </c>
      <c r="G235">
        <v>0.74</v>
      </c>
      <c r="H235">
        <v>9.18</v>
      </c>
      <c r="I235">
        <v>0</v>
      </c>
      <c r="J235">
        <v>0</v>
      </c>
      <c r="K235">
        <v>9.92</v>
      </c>
      <c r="L235" t="s">
        <v>61</v>
      </c>
      <c r="M235">
        <v>341</v>
      </c>
      <c r="N235">
        <v>34.380000000000003</v>
      </c>
      <c r="O235" t="s">
        <v>62</v>
      </c>
      <c r="P235" t="s">
        <v>65</v>
      </c>
      <c r="Q235">
        <v>0</v>
      </c>
      <c r="R235">
        <v>0</v>
      </c>
    </row>
    <row r="236" spans="1:18" x14ac:dyDescent="0.35">
      <c r="A236" t="s">
        <v>56</v>
      </c>
      <c r="B236" t="s">
        <v>57</v>
      </c>
      <c r="C236" t="s">
        <v>58</v>
      </c>
      <c r="D236">
        <v>107826201</v>
      </c>
      <c r="E236" t="s">
        <v>539</v>
      </c>
      <c r="F236" t="s">
        <v>60</v>
      </c>
      <c r="G236">
        <v>0.74</v>
      </c>
      <c r="H236">
        <v>9.18</v>
      </c>
      <c r="I236">
        <v>0</v>
      </c>
      <c r="J236">
        <v>0</v>
      </c>
      <c r="K236">
        <v>9.92</v>
      </c>
      <c r="L236" t="s">
        <v>61</v>
      </c>
      <c r="M236">
        <v>341</v>
      </c>
      <c r="N236">
        <v>34.380000000000003</v>
      </c>
      <c r="O236" t="s">
        <v>62</v>
      </c>
      <c r="P236" t="s">
        <v>66</v>
      </c>
      <c r="Q236">
        <v>0</v>
      </c>
      <c r="R236">
        <v>0</v>
      </c>
    </row>
    <row r="237" spans="1:18" x14ac:dyDescent="0.35">
      <c r="A237" t="s">
        <v>56</v>
      </c>
      <c r="B237" t="s">
        <v>57</v>
      </c>
      <c r="C237" t="s">
        <v>58</v>
      </c>
      <c r="D237">
        <v>107826201</v>
      </c>
      <c r="E237" t="s">
        <v>539</v>
      </c>
      <c r="F237" t="s">
        <v>60</v>
      </c>
      <c r="G237">
        <v>0.74</v>
      </c>
      <c r="H237">
        <v>9.18</v>
      </c>
      <c r="I237">
        <v>0</v>
      </c>
      <c r="J237">
        <v>0</v>
      </c>
      <c r="K237">
        <v>9.92</v>
      </c>
      <c r="L237" t="s">
        <v>61</v>
      </c>
      <c r="M237">
        <v>341</v>
      </c>
      <c r="N237">
        <v>34.380000000000003</v>
      </c>
      <c r="O237" t="s">
        <v>62</v>
      </c>
      <c r="P237" t="s">
        <v>67</v>
      </c>
      <c r="Q237">
        <v>3189</v>
      </c>
      <c r="R237">
        <v>321.47000000000003</v>
      </c>
    </row>
    <row r="238" spans="1:18" x14ac:dyDescent="0.35">
      <c r="A238" t="s">
        <v>56</v>
      </c>
      <c r="B238" t="s">
        <v>57</v>
      </c>
      <c r="C238" t="s">
        <v>58</v>
      </c>
      <c r="D238">
        <v>107826201</v>
      </c>
      <c r="E238" t="s">
        <v>539</v>
      </c>
      <c r="F238" t="s">
        <v>60</v>
      </c>
      <c r="G238">
        <v>0.74</v>
      </c>
      <c r="H238">
        <v>9.18</v>
      </c>
      <c r="I238">
        <v>0</v>
      </c>
      <c r="J238">
        <v>0</v>
      </c>
      <c r="K238">
        <v>9.92</v>
      </c>
      <c r="L238" t="s">
        <v>61</v>
      </c>
      <c r="M238">
        <v>341</v>
      </c>
      <c r="N238">
        <v>34.380000000000003</v>
      </c>
      <c r="O238" t="s">
        <v>68</v>
      </c>
      <c r="P238" t="s">
        <v>67</v>
      </c>
      <c r="Q238">
        <v>341</v>
      </c>
      <c r="R238">
        <v>34.380000000000003</v>
      </c>
    </row>
    <row r="239" spans="1:18" x14ac:dyDescent="0.35">
      <c r="A239" t="s">
        <v>56</v>
      </c>
      <c r="B239" t="s">
        <v>57</v>
      </c>
      <c r="C239" t="s">
        <v>58</v>
      </c>
      <c r="D239">
        <v>107826201</v>
      </c>
      <c r="E239" t="s">
        <v>539</v>
      </c>
      <c r="F239" t="s">
        <v>60</v>
      </c>
      <c r="G239">
        <v>0.74</v>
      </c>
      <c r="H239">
        <v>9.18</v>
      </c>
      <c r="I239">
        <v>0</v>
      </c>
      <c r="J239">
        <v>0</v>
      </c>
      <c r="K239">
        <v>9.92</v>
      </c>
      <c r="L239" t="s">
        <v>61</v>
      </c>
      <c r="M239">
        <v>341</v>
      </c>
      <c r="N239">
        <v>34.380000000000003</v>
      </c>
      <c r="O239" t="s">
        <v>69</v>
      </c>
      <c r="P239" t="s">
        <v>67</v>
      </c>
      <c r="Q239">
        <v>0</v>
      </c>
      <c r="R239">
        <v>0</v>
      </c>
    </row>
    <row r="240" spans="1:18" x14ac:dyDescent="0.35">
      <c r="A240" t="s">
        <v>56</v>
      </c>
      <c r="B240" t="s">
        <v>57</v>
      </c>
      <c r="C240" t="s">
        <v>70</v>
      </c>
      <c r="D240">
        <v>107826232</v>
      </c>
      <c r="E240" t="s">
        <v>540</v>
      </c>
      <c r="F240" t="s">
        <v>60</v>
      </c>
      <c r="G240">
        <v>0.3</v>
      </c>
      <c r="H240">
        <v>7.98</v>
      </c>
      <c r="I240">
        <v>0</v>
      </c>
      <c r="J240">
        <v>0</v>
      </c>
      <c r="K240">
        <v>8.2899999999999991</v>
      </c>
      <c r="L240" t="s">
        <v>61</v>
      </c>
      <c r="M240">
        <v>280</v>
      </c>
      <c r="N240">
        <v>33.79</v>
      </c>
      <c r="O240" t="s">
        <v>62</v>
      </c>
      <c r="P240" t="s">
        <v>63</v>
      </c>
      <c r="Q240">
        <v>327</v>
      </c>
      <c r="R240">
        <v>1083.98</v>
      </c>
    </row>
    <row r="241" spans="1:18" x14ac:dyDescent="0.35">
      <c r="A241" t="s">
        <v>56</v>
      </c>
      <c r="B241" t="s">
        <v>57</v>
      </c>
      <c r="C241" t="s">
        <v>70</v>
      </c>
      <c r="D241">
        <v>107826232</v>
      </c>
      <c r="E241" t="s">
        <v>540</v>
      </c>
      <c r="F241" t="s">
        <v>60</v>
      </c>
      <c r="G241">
        <v>0.3</v>
      </c>
      <c r="H241">
        <v>7.98</v>
      </c>
      <c r="I241">
        <v>0</v>
      </c>
      <c r="J241">
        <v>0</v>
      </c>
      <c r="K241">
        <v>8.2899999999999991</v>
      </c>
      <c r="L241" t="s">
        <v>61</v>
      </c>
      <c r="M241">
        <v>280</v>
      </c>
      <c r="N241">
        <v>33.79</v>
      </c>
      <c r="O241" t="s">
        <v>62</v>
      </c>
      <c r="P241" t="s">
        <v>64</v>
      </c>
      <c r="Q241">
        <v>1604</v>
      </c>
      <c r="R241">
        <v>200.91</v>
      </c>
    </row>
    <row r="242" spans="1:18" x14ac:dyDescent="0.35">
      <c r="A242" t="s">
        <v>56</v>
      </c>
      <c r="B242" t="s">
        <v>57</v>
      </c>
      <c r="C242" t="s">
        <v>70</v>
      </c>
      <c r="D242">
        <v>107826232</v>
      </c>
      <c r="E242" t="s">
        <v>540</v>
      </c>
      <c r="F242" t="s">
        <v>60</v>
      </c>
      <c r="G242">
        <v>0.3</v>
      </c>
      <c r="H242">
        <v>7.98</v>
      </c>
      <c r="I242">
        <v>0</v>
      </c>
      <c r="J242">
        <v>0</v>
      </c>
      <c r="K242">
        <v>8.2899999999999991</v>
      </c>
      <c r="L242" t="s">
        <v>61</v>
      </c>
      <c r="M242">
        <v>280</v>
      </c>
      <c r="N242">
        <v>33.79</v>
      </c>
      <c r="O242" t="s">
        <v>62</v>
      </c>
      <c r="P242" t="s">
        <v>65</v>
      </c>
      <c r="Q242">
        <v>0</v>
      </c>
      <c r="R242">
        <v>0</v>
      </c>
    </row>
    <row r="243" spans="1:18" x14ac:dyDescent="0.35">
      <c r="A243" t="s">
        <v>56</v>
      </c>
      <c r="B243" t="s">
        <v>57</v>
      </c>
      <c r="C243" t="s">
        <v>70</v>
      </c>
      <c r="D243">
        <v>107826232</v>
      </c>
      <c r="E243" t="s">
        <v>540</v>
      </c>
      <c r="F243" t="s">
        <v>60</v>
      </c>
      <c r="G243">
        <v>0.3</v>
      </c>
      <c r="H243">
        <v>7.98</v>
      </c>
      <c r="I243">
        <v>0</v>
      </c>
      <c r="J243">
        <v>0</v>
      </c>
      <c r="K243">
        <v>8.2899999999999991</v>
      </c>
      <c r="L243" t="s">
        <v>61</v>
      </c>
      <c r="M243">
        <v>280</v>
      </c>
      <c r="N243">
        <v>33.79</v>
      </c>
      <c r="O243" t="s">
        <v>62</v>
      </c>
      <c r="P243" t="s">
        <v>66</v>
      </c>
      <c r="Q243">
        <v>0</v>
      </c>
      <c r="R243">
        <v>0</v>
      </c>
    </row>
    <row r="244" spans="1:18" x14ac:dyDescent="0.35">
      <c r="A244" t="s">
        <v>56</v>
      </c>
      <c r="B244" t="s">
        <v>57</v>
      </c>
      <c r="C244" t="s">
        <v>70</v>
      </c>
      <c r="D244">
        <v>107826232</v>
      </c>
      <c r="E244" t="s">
        <v>540</v>
      </c>
      <c r="F244" t="s">
        <v>60</v>
      </c>
      <c r="G244">
        <v>0.3</v>
      </c>
      <c r="H244">
        <v>7.98</v>
      </c>
      <c r="I244">
        <v>0</v>
      </c>
      <c r="J244">
        <v>0</v>
      </c>
      <c r="K244">
        <v>8.2899999999999991</v>
      </c>
      <c r="L244" t="s">
        <v>61</v>
      </c>
      <c r="M244">
        <v>280</v>
      </c>
      <c r="N244">
        <v>33.79</v>
      </c>
      <c r="O244" t="s">
        <v>62</v>
      </c>
      <c r="P244" t="s">
        <v>67</v>
      </c>
      <c r="Q244">
        <v>1931</v>
      </c>
      <c r="R244">
        <v>233.06</v>
      </c>
    </row>
    <row r="245" spans="1:18" x14ac:dyDescent="0.35">
      <c r="A245" t="s">
        <v>56</v>
      </c>
      <c r="B245" t="s">
        <v>57</v>
      </c>
      <c r="C245" t="s">
        <v>70</v>
      </c>
      <c r="D245">
        <v>107826232</v>
      </c>
      <c r="E245" t="s">
        <v>540</v>
      </c>
      <c r="F245" t="s">
        <v>60</v>
      </c>
      <c r="G245">
        <v>0.3</v>
      </c>
      <c r="H245">
        <v>7.98</v>
      </c>
      <c r="I245">
        <v>0</v>
      </c>
      <c r="J245">
        <v>0</v>
      </c>
      <c r="K245">
        <v>8.2899999999999991</v>
      </c>
      <c r="L245" t="s">
        <v>61</v>
      </c>
      <c r="M245">
        <v>280</v>
      </c>
      <c r="N245">
        <v>33.79</v>
      </c>
      <c r="O245" t="s">
        <v>68</v>
      </c>
      <c r="P245" t="s">
        <v>67</v>
      </c>
      <c r="Q245">
        <v>280</v>
      </c>
      <c r="R245">
        <v>33.79</v>
      </c>
    </row>
    <row r="246" spans="1:18" x14ac:dyDescent="0.35">
      <c r="A246" t="s">
        <v>56</v>
      </c>
      <c r="B246" t="s">
        <v>57</v>
      </c>
      <c r="C246" t="s">
        <v>70</v>
      </c>
      <c r="D246">
        <v>107826232</v>
      </c>
      <c r="E246" t="s">
        <v>540</v>
      </c>
      <c r="F246" t="s">
        <v>60</v>
      </c>
      <c r="G246">
        <v>0.3</v>
      </c>
      <c r="H246">
        <v>7.98</v>
      </c>
      <c r="I246">
        <v>0</v>
      </c>
      <c r="J246">
        <v>0</v>
      </c>
      <c r="K246">
        <v>8.2899999999999991</v>
      </c>
      <c r="L246" t="s">
        <v>61</v>
      </c>
      <c r="M246">
        <v>280</v>
      </c>
      <c r="N246">
        <v>33.79</v>
      </c>
      <c r="O246" t="s">
        <v>69</v>
      </c>
      <c r="P246" t="s">
        <v>67</v>
      </c>
      <c r="Q246">
        <v>0</v>
      </c>
      <c r="R246">
        <v>0</v>
      </c>
    </row>
    <row r="247" spans="1:18" x14ac:dyDescent="0.35">
      <c r="A247" t="s">
        <v>56</v>
      </c>
      <c r="B247" t="s">
        <v>57</v>
      </c>
      <c r="C247" t="s">
        <v>70</v>
      </c>
      <c r="D247">
        <v>107843844</v>
      </c>
      <c r="E247" t="s">
        <v>542</v>
      </c>
      <c r="F247" t="s">
        <v>72</v>
      </c>
      <c r="G247">
        <v>0.34</v>
      </c>
      <c r="H247">
        <v>8.19</v>
      </c>
      <c r="I247">
        <v>0</v>
      </c>
      <c r="J247">
        <v>0</v>
      </c>
      <c r="K247">
        <v>8.5299999999999994</v>
      </c>
      <c r="L247" t="s">
        <v>61</v>
      </c>
      <c r="M247">
        <v>336</v>
      </c>
      <c r="N247">
        <v>39.380000000000003</v>
      </c>
      <c r="O247" t="s">
        <v>62</v>
      </c>
      <c r="P247" t="s">
        <v>63</v>
      </c>
      <c r="Q247">
        <v>274</v>
      </c>
      <c r="R247">
        <v>798.7</v>
      </c>
    </row>
    <row r="248" spans="1:18" x14ac:dyDescent="0.35">
      <c r="A248" t="s">
        <v>56</v>
      </c>
      <c r="B248" t="s">
        <v>57</v>
      </c>
      <c r="C248" t="s">
        <v>70</v>
      </c>
      <c r="D248">
        <v>107843844</v>
      </c>
      <c r="E248" t="s">
        <v>542</v>
      </c>
      <c r="F248" t="s">
        <v>72</v>
      </c>
      <c r="G248">
        <v>0.34</v>
      </c>
      <c r="H248">
        <v>8.19</v>
      </c>
      <c r="I248">
        <v>0</v>
      </c>
      <c r="J248">
        <v>0</v>
      </c>
      <c r="K248">
        <v>8.5299999999999994</v>
      </c>
      <c r="L248" t="s">
        <v>61</v>
      </c>
      <c r="M248">
        <v>336</v>
      </c>
      <c r="N248">
        <v>39.380000000000003</v>
      </c>
      <c r="O248" t="s">
        <v>62</v>
      </c>
      <c r="P248" t="s">
        <v>64</v>
      </c>
      <c r="Q248">
        <v>1212</v>
      </c>
      <c r="R248">
        <v>148.01</v>
      </c>
    </row>
    <row r="249" spans="1:18" x14ac:dyDescent="0.35">
      <c r="A249" t="s">
        <v>56</v>
      </c>
      <c r="B249" t="s">
        <v>57</v>
      </c>
      <c r="C249" t="s">
        <v>70</v>
      </c>
      <c r="D249">
        <v>107843844</v>
      </c>
      <c r="E249" t="s">
        <v>542</v>
      </c>
      <c r="F249" t="s">
        <v>72</v>
      </c>
      <c r="G249">
        <v>0.34</v>
      </c>
      <c r="H249">
        <v>8.19</v>
      </c>
      <c r="I249">
        <v>0</v>
      </c>
      <c r="J249">
        <v>0</v>
      </c>
      <c r="K249">
        <v>8.5299999999999994</v>
      </c>
      <c r="L249" t="s">
        <v>61</v>
      </c>
      <c r="M249">
        <v>336</v>
      </c>
      <c r="N249">
        <v>39.380000000000003</v>
      </c>
      <c r="O249" t="s">
        <v>62</v>
      </c>
      <c r="P249" t="s">
        <v>65</v>
      </c>
      <c r="Q249">
        <v>0</v>
      </c>
      <c r="R249">
        <v>0</v>
      </c>
    </row>
    <row r="250" spans="1:18" x14ac:dyDescent="0.35">
      <c r="A250" t="s">
        <v>56</v>
      </c>
      <c r="B250" t="s">
        <v>57</v>
      </c>
      <c r="C250" t="s">
        <v>70</v>
      </c>
      <c r="D250">
        <v>107843844</v>
      </c>
      <c r="E250" t="s">
        <v>542</v>
      </c>
      <c r="F250" t="s">
        <v>72</v>
      </c>
      <c r="G250">
        <v>0.34</v>
      </c>
      <c r="H250">
        <v>8.19</v>
      </c>
      <c r="I250">
        <v>0</v>
      </c>
      <c r="J250">
        <v>0</v>
      </c>
      <c r="K250">
        <v>8.5299999999999994</v>
      </c>
      <c r="L250" t="s">
        <v>61</v>
      </c>
      <c r="M250">
        <v>336</v>
      </c>
      <c r="N250">
        <v>39.380000000000003</v>
      </c>
      <c r="O250" t="s">
        <v>62</v>
      </c>
      <c r="P250" t="s">
        <v>66</v>
      </c>
      <c r="Q250">
        <v>0</v>
      </c>
      <c r="R250">
        <v>0</v>
      </c>
    </row>
    <row r="251" spans="1:18" x14ac:dyDescent="0.35">
      <c r="A251" t="s">
        <v>56</v>
      </c>
      <c r="B251" t="s">
        <v>57</v>
      </c>
      <c r="C251" t="s">
        <v>70</v>
      </c>
      <c r="D251">
        <v>107843844</v>
      </c>
      <c r="E251" t="s">
        <v>542</v>
      </c>
      <c r="F251" t="s">
        <v>72</v>
      </c>
      <c r="G251">
        <v>0.34</v>
      </c>
      <c r="H251">
        <v>8.19</v>
      </c>
      <c r="I251">
        <v>0</v>
      </c>
      <c r="J251">
        <v>0</v>
      </c>
      <c r="K251">
        <v>8.5299999999999994</v>
      </c>
      <c r="L251" t="s">
        <v>61</v>
      </c>
      <c r="M251">
        <v>336</v>
      </c>
      <c r="N251">
        <v>39.380000000000003</v>
      </c>
      <c r="O251" t="s">
        <v>62</v>
      </c>
      <c r="P251" t="s">
        <v>67</v>
      </c>
      <c r="Q251">
        <v>1486</v>
      </c>
      <c r="R251">
        <v>174.16</v>
      </c>
    </row>
    <row r="252" spans="1:18" x14ac:dyDescent="0.35">
      <c r="A252" t="s">
        <v>56</v>
      </c>
      <c r="B252" t="s">
        <v>57</v>
      </c>
      <c r="C252" t="s">
        <v>70</v>
      </c>
      <c r="D252">
        <v>107843844</v>
      </c>
      <c r="E252" t="s">
        <v>542</v>
      </c>
      <c r="F252" t="s">
        <v>72</v>
      </c>
      <c r="G252">
        <v>0.34</v>
      </c>
      <c r="H252">
        <v>8.19</v>
      </c>
      <c r="I252">
        <v>0</v>
      </c>
      <c r="J252">
        <v>0</v>
      </c>
      <c r="K252">
        <v>8.5299999999999994</v>
      </c>
      <c r="L252" t="s">
        <v>61</v>
      </c>
      <c r="M252">
        <v>336</v>
      </c>
      <c r="N252">
        <v>39.380000000000003</v>
      </c>
      <c r="O252" t="s">
        <v>68</v>
      </c>
      <c r="P252" t="s">
        <v>67</v>
      </c>
      <c r="Q252">
        <v>336</v>
      </c>
      <c r="R252">
        <v>39.380000000000003</v>
      </c>
    </row>
    <row r="253" spans="1:18" x14ac:dyDescent="0.35">
      <c r="A253" t="s">
        <v>56</v>
      </c>
      <c r="B253" t="s">
        <v>57</v>
      </c>
      <c r="C253" t="s">
        <v>70</v>
      </c>
      <c r="D253">
        <v>107843844</v>
      </c>
      <c r="E253" t="s">
        <v>542</v>
      </c>
      <c r="F253" t="s">
        <v>72</v>
      </c>
      <c r="G253">
        <v>0.34</v>
      </c>
      <c r="H253">
        <v>8.19</v>
      </c>
      <c r="I253">
        <v>0</v>
      </c>
      <c r="J253">
        <v>0</v>
      </c>
      <c r="K253">
        <v>8.5299999999999994</v>
      </c>
      <c r="L253" t="s">
        <v>61</v>
      </c>
      <c r="M253">
        <v>336</v>
      </c>
      <c r="N253">
        <v>39.380000000000003</v>
      </c>
      <c r="O253" t="s">
        <v>69</v>
      </c>
      <c r="P253" t="s">
        <v>67</v>
      </c>
      <c r="Q253">
        <v>0</v>
      </c>
      <c r="R253">
        <v>0</v>
      </c>
    </row>
    <row r="254" spans="1:18" x14ac:dyDescent="0.35">
      <c r="A254" t="s">
        <v>56</v>
      </c>
      <c r="B254" t="s">
        <v>57</v>
      </c>
      <c r="C254" t="s">
        <v>70</v>
      </c>
      <c r="D254">
        <v>107843876</v>
      </c>
      <c r="E254" t="s">
        <v>543</v>
      </c>
      <c r="F254" t="s">
        <v>72</v>
      </c>
      <c r="G254">
        <v>0.26</v>
      </c>
      <c r="H254">
        <v>9.08</v>
      </c>
      <c r="I254">
        <v>0</v>
      </c>
      <c r="J254">
        <v>0</v>
      </c>
      <c r="K254">
        <v>9.34</v>
      </c>
      <c r="L254" t="s">
        <v>61</v>
      </c>
      <c r="M254">
        <v>360</v>
      </c>
      <c r="N254">
        <v>38.549999999999997</v>
      </c>
      <c r="O254" t="s">
        <v>62</v>
      </c>
      <c r="P254" t="s">
        <v>63</v>
      </c>
      <c r="Q254">
        <v>236</v>
      </c>
      <c r="R254">
        <v>905.76</v>
      </c>
    </row>
    <row r="255" spans="1:18" x14ac:dyDescent="0.35">
      <c r="A255" t="s">
        <v>56</v>
      </c>
      <c r="B255" t="s">
        <v>57</v>
      </c>
      <c r="C255" t="s">
        <v>70</v>
      </c>
      <c r="D255">
        <v>107843876</v>
      </c>
      <c r="E255" t="s">
        <v>543</v>
      </c>
      <c r="F255" t="s">
        <v>72</v>
      </c>
      <c r="G255">
        <v>0.26</v>
      </c>
      <c r="H255">
        <v>9.08</v>
      </c>
      <c r="I255">
        <v>0</v>
      </c>
      <c r="J255">
        <v>0</v>
      </c>
      <c r="K255">
        <v>9.34</v>
      </c>
      <c r="L255" t="s">
        <v>61</v>
      </c>
      <c r="M255">
        <v>360</v>
      </c>
      <c r="N255">
        <v>38.549999999999997</v>
      </c>
      <c r="O255" t="s">
        <v>62</v>
      </c>
      <c r="P255" t="s">
        <v>64</v>
      </c>
      <c r="Q255">
        <v>1524</v>
      </c>
      <c r="R255">
        <v>167.87</v>
      </c>
    </row>
    <row r="256" spans="1:18" x14ac:dyDescent="0.35">
      <c r="A256" t="s">
        <v>56</v>
      </c>
      <c r="B256" t="s">
        <v>57</v>
      </c>
      <c r="C256" t="s">
        <v>70</v>
      </c>
      <c r="D256">
        <v>107843876</v>
      </c>
      <c r="E256" t="s">
        <v>543</v>
      </c>
      <c r="F256" t="s">
        <v>72</v>
      </c>
      <c r="G256">
        <v>0.26</v>
      </c>
      <c r="H256">
        <v>9.08</v>
      </c>
      <c r="I256">
        <v>0</v>
      </c>
      <c r="J256">
        <v>0</v>
      </c>
      <c r="K256">
        <v>9.34</v>
      </c>
      <c r="L256" t="s">
        <v>61</v>
      </c>
      <c r="M256">
        <v>360</v>
      </c>
      <c r="N256">
        <v>38.549999999999997</v>
      </c>
      <c r="O256" t="s">
        <v>62</v>
      </c>
      <c r="P256" t="s">
        <v>65</v>
      </c>
      <c r="Q256">
        <v>0</v>
      </c>
      <c r="R256">
        <v>0</v>
      </c>
    </row>
    <row r="257" spans="1:18" x14ac:dyDescent="0.35">
      <c r="A257" t="s">
        <v>56</v>
      </c>
      <c r="B257" t="s">
        <v>57</v>
      </c>
      <c r="C257" t="s">
        <v>70</v>
      </c>
      <c r="D257">
        <v>107843876</v>
      </c>
      <c r="E257" t="s">
        <v>543</v>
      </c>
      <c r="F257" t="s">
        <v>72</v>
      </c>
      <c r="G257">
        <v>0.26</v>
      </c>
      <c r="H257">
        <v>9.08</v>
      </c>
      <c r="I257">
        <v>0</v>
      </c>
      <c r="J257">
        <v>0</v>
      </c>
      <c r="K257">
        <v>9.34</v>
      </c>
      <c r="L257" t="s">
        <v>61</v>
      </c>
      <c r="M257">
        <v>360</v>
      </c>
      <c r="N257">
        <v>38.549999999999997</v>
      </c>
      <c r="O257" t="s">
        <v>62</v>
      </c>
      <c r="P257" t="s">
        <v>66</v>
      </c>
      <c r="Q257">
        <v>0</v>
      </c>
      <c r="R257">
        <v>0</v>
      </c>
    </row>
    <row r="258" spans="1:18" x14ac:dyDescent="0.35">
      <c r="A258" t="s">
        <v>56</v>
      </c>
      <c r="B258" t="s">
        <v>57</v>
      </c>
      <c r="C258" t="s">
        <v>70</v>
      </c>
      <c r="D258">
        <v>107843876</v>
      </c>
      <c r="E258" t="s">
        <v>543</v>
      </c>
      <c r="F258" t="s">
        <v>72</v>
      </c>
      <c r="G258">
        <v>0.26</v>
      </c>
      <c r="H258">
        <v>9.08</v>
      </c>
      <c r="I258">
        <v>0</v>
      </c>
      <c r="J258">
        <v>0</v>
      </c>
      <c r="K258">
        <v>9.34</v>
      </c>
      <c r="L258" t="s">
        <v>61</v>
      </c>
      <c r="M258">
        <v>360</v>
      </c>
      <c r="N258">
        <v>38.549999999999997</v>
      </c>
      <c r="O258" t="s">
        <v>62</v>
      </c>
      <c r="P258" t="s">
        <v>67</v>
      </c>
      <c r="Q258">
        <v>1760</v>
      </c>
      <c r="R258">
        <v>188.45</v>
      </c>
    </row>
    <row r="259" spans="1:18" x14ac:dyDescent="0.35">
      <c r="A259" t="s">
        <v>56</v>
      </c>
      <c r="B259" t="s">
        <v>57</v>
      </c>
      <c r="C259" t="s">
        <v>70</v>
      </c>
      <c r="D259">
        <v>107843876</v>
      </c>
      <c r="E259" t="s">
        <v>543</v>
      </c>
      <c r="F259" t="s">
        <v>72</v>
      </c>
      <c r="G259">
        <v>0.26</v>
      </c>
      <c r="H259">
        <v>9.08</v>
      </c>
      <c r="I259">
        <v>0</v>
      </c>
      <c r="J259">
        <v>0</v>
      </c>
      <c r="K259">
        <v>9.34</v>
      </c>
      <c r="L259" t="s">
        <v>61</v>
      </c>
      <c r="M259">
        <v>360</v>
      </c>
      <c r="N259">
        <v>38.549999999999997</v>
      </c>
      <c r="O259" t="s">
        <v>68</v>
      </c>
      <c r="P259" t="s">
        <v>67</v>
      </c>
      <c r="Q259">
        <v>360</v>
      </c>
      <c r="R259">
        <v>38.549999999999997</v>
      </c>
    </row>
    <row r="260" spans="1:18" x14ac:dyDescent="0.35">
      <c r="A260" t="s">
        <v>56</v>
      </c>
      <c r="B260" t="s">
        <v>57</v>
      </c>
      <c r="C260" t="s">
        <v>70</v>
      </c>
      <c r="D260">
        <v>107843876</v>
      </c>
      <c r="E260" t="s">
        <v>543</v>
      </c>
      <c r="F260" t="s">
        <v>72</v>
      </c>
      <c r="G260">
        <v>0.26</v>
      </c>
      <c r="H260">
        <v>9.08</v>
      </c>
      <c r="I260">
        <v>0</v>
      </c>
      <c r="J260">
        <v>0</v>
      </c>
      <c r="K260">
        <v>9.34</v>
      </c>
      <c r="L260" t="s">
        <v>61</v>
      </c>
      <c r="M260">
        <v>360</v>
      </c>
      <c r="N260">
        <v>38.549999999999997</v>
      </c>
      <c r="O260" t="s">
        <v>69</v>
      </c>
      <c r="P260" t="s">
        <v>67</v>
      </c>
      <c r="Q260">
        <v>0</v>
      </c>
      <c r="R260">
        <v>0</v>
      </c>
    </row>
    <row r="261" spans="1:18" x14ac:dyDescent="0.35">
      <c r="A261" t="s">
        <v>56</v>
      </c>
      <c r="B261" t="s">
        <v>57</v>
      </c>
      <c r="C261" t="s">
        <v>70</v>
      </c>
      <c r="D261">
        <v>107843891</v>
      </c>
      <c r="E261" t="s">
        <v>544</v>
      </c>
      <c r="F261" t="s">
        <v>72</v>
      </c>
      <c r="G261">
        <v>0.6</v>
      </c>
      <c r="H261">
        <v>9.1999999999999993</v>
      </c>
      <c r="I261">
        <v>0</v>
      </c>
      <c r="J261">
        <v>0</v>
      </c>
      <c r="K261">
        <v>9.8000000000000007</v>
      </c>
      <c r="L261" t="s">
        <v>61</v>
      </c>
      <c r="M261">
        <v>393</v>
      </c>
      <c r="N261">
        <v>40.090000000000003</v>
      </c>
      <c r="O261" t="s">
        <v>62</v>
      </c>
      <c r="P261" t="s">
        <v>63</v>
      </c>
      <c r="Q261">
        <v>488</v>
      </c>
      <c r="R261">
        <v>814.09</v>
      </c>
    </row>
    <row r="262" spans="1:18" x14ac:dyDescent="0.35">
      <c r="A262" t="s">
        <v>56</v>
      </c>
      <c r="B262" t="s">
        <v>57</v>
      </c>
      <c r="C262" t="s">
        <v>70</v>
      </c>
      <c r="D262">
        <v>107843891</v>
      </c>
      <c r="E262" t="s">
        <v>544</v>
      </c>
      <c r="F262" t="s">
        <v>72</v>
      </c>
      <c r="G262">
        <v>0.6</v>
      </c>
      <c r="H262">
        <v>9.1999999999999993</v>
      </c>
      <c r="I262">
        <v>0</v>
      </c>
      <c r="J262">
        <v>0</v>
      </c>
      <c r="K262">
        <v>9.8000000000000007</v>
      </c>
      <c r="L262" t="s">
        <v>61</v>
      </c>
      <c r="M262">
        <v>393</v>
      </c>
      <c r="N262">
        <v>40.090000000000003</v>
      </c>
      <c r="O262" t="s">
        <v>62</v>
      </c>
      <c r="P262" t="s">
        <v>64</v>
      </c>
      <c r="Q262">
        <v>1389</v>
      </c>
      <c r="R262">
        <v>150.91999999999999</v>
      </c>
    </row>
    <row r="263" spans="1:18" x14ac:dyDescent="0.35">
      <c r="A263" t="s">
        <v>56</v>
      </c>
      <c r="B263" t="s">
        <v>57</v>
      </c>
      <c r="C263" t="s">
        <v>70</v>
      </c>
      <c r="D263">
        <v>107843891</v>
      </c>
      <c r="E263" t="s">
        <v>544</v>
      </c>
      <c r="F263" t="s">
        <v>72</v>
      </c>
      <c r="G263">
        <v>0.6</v>
      </c>
      <c r="H263">
        <v>9.1999999999999993</v>
      </c>
      <c r="I263">
        <v>0</v>
      </c>
      <c r="J263">
        <v>0</v>
      </c>
      <c r="K263">
        <v>9.8000000000000007</v>
      </c>
      <c r="L263" t="s">
        <v>61</v>
      </c>
      <c r="M263">
        <v>393</v>
      </c>
      <c r="N263">
        <v>40.090000000000003</v>
      </c>
      <c r="O263" t="s">
        <v>62</v>
      </c>
      <c r="P263" t="s">
        <v>65</v>
      </c>
      <c r="Q263">
        <v>0</v>
      </c>
      <c r="R263">
        <v>0</v>
      </c>
    </row>
    <row r="264" spans="1:18" x14ac:dyDescent="0.35">
      <c r="A264" t="s">
        <v>56</v>
      </c>
      <c r="B264" t="s">
        <v>57</v>
      </c>
      <c r="C264" t="s">
        <v>70</v>
      </c>
      <c r="D264">
        <v>107843891</v>
      </c>
      <c r="E264" t="s">
        <v>544</v>
      </c>
      <c r="F264" t="s">
        <v>72</v>
      </c>
      <c r="G264">
        <v>0.6</v>
      </c>
      <c r="H264">
        <v>9.1999999999999993</v>
      </c>
      <c r="I264">
        <v>0</v>
      </c>
      <c r="J264">
        <v>0</v>
      </c>
      <c r="K264">
        <v>9.8000000000000007</v>
      </c>
      <c r="L264" t="s">
        <v>61</v>
      </c>
      <c r="M264">
        <v>393</v>
      </c>
      <c r="N264">
        <v>40.090000000000003</v>
      </c>
      <c r="O264" t="s">
        <v>62</v>
      </c>
      <c r="P264" t="s">
        <v>66</v>
      </c>
      <c r="Q264">
        <v>0</v>
      </c>
      <c r="R264">
        <v>0</v>
      </c>
    </row>
    <row r="265" spans="1:18" x14ac:dyDescent="0.35">
      <c r="A265" t="s">
        <v>56</v>
      </c>
      <c r="B265" t="s">
        <v>57</v>
      </c>
      <c r="C265" t="s">
        <v>70</v>
      </c>
      <c r="D265">
        <v>107843891</v>
      </c>
      <c r="E265" t="s">
        <v>544</v>
      </c>
      <c r="F265" t="s">
        <v>72</v>
      </c>
      <c r="G265">
        <v>0.6</v>
      </c>
      <c r="H265">
        <v>9.1999999999999993</v>
      </c>
      <c r="I265">
        <v>0</v>
      </c>
      <c r="J265">
        <v>0</v>
      </c>
      <c r="K265">
        <v>9.8000000000000007</v>
      </c>
      <c r="L265" t="s">
        <v>61</v>
      </c>
      <c r="M265">
        <v>393</v>
      </c>
      <c r="N265">
        <v>40.090000000000003</v>
      </c>
      <c r="O265" t="s">
        <v>62</v>
      </c>
      <c r="P265" t="s">
        <v>67</v>
      </c>
      <c r="Q265">
        <v>1877</v>
      </c>
      <c r="R265">
        <v>191.47</v>
      </c>
    </row>
    <row r="266" spans="1:18" x14ac:dyDescent="0.35">
      <c r="A266" t="s">
        <v>56</v>
      </c>
      <c r="B266" t="s">
        <v>57</v>
      </c>
      <c r="C266" t="s">
        <v>70</v>
      </c>
      <c r="D266">
        <v>107843891</v>
      </c>
      <c r="E266" t="s">
        <v>544</v>
      </c>
      <c r="F266" t="s">
        <v>72</v>
      </c>
      <c r="G266">
        <v>0.6</v>
      </c>
      <c r="H266">
        <v>9.1999999999999993</v>
      </c>
      <c r="I266">
        <v>0</v>
      </c>
      <c r="J266">
        <v>0</v>
      </c>
      <c r="K266">
        <v>9.8000000000000007</v>
      </c>
      <c r="L266" t="s">
        <v>61</v>
      </c>
      <c r="M266">
        <v>393</v>
      </c>
      <c r="N266">
        <v>40.090000000000003</v>
      </c>
      <c r="O266" t="s">
        <v>68</v>
      </c>
      <c r="P266" t="s">
        <v>67</v>
      </c>
      <c r="Q266">
        <v>393</v>
      </c>
      <c r="R266">
        <v>40.090000000000003</v>
      </c>
    </row>
    <row r="267" spans="1:18" x14ac:dyDescent="0.35">
      <c r="A267" t="s">
        <v>56</v>
      </c>
      <c r="B267" t="s">
        <v>57</v>
      </c>
      <c r="C267" t="s">
        <v>70</v>
      </c>
      <c r="D267">
        <v>107843891</v>
      </c>
      <c r="E267" t="s">
        <v>544</v>
      </c>
      <c r="F267" t="s">
        <v>72</v>
      </c>
      <c r="G267">
        <v>0.6</v>
      </c>
      <c r="H267">
        <v>9.1999999999999993</v>
      </c>
      <c r="I267">
        <v>0</v>
      </c>
      <c r="J267">
        <v>0</v>
      </c>
      <c r="K267">
        <v>9.8000000000000007</v>
      </c>
      <c r="L267" t="s">
        <v>61</v>
      </c>
      <c r="M267">
        <v>393</v>
      </c>
      <c r="N267">
        <v>40.090000000000003</v>
      </c>
      <c r="O267" t="s">
        <v>69</v>
      </c>
      <c r="P267" t="s">
        <v>67</v>
      </c>
      <c r="Q267">
        <v>0</v>
      </c>
      <c r="R267">
        <v>0</v>
      </c>
    </row>
    <row r="268" spans="1:18" x14ac:dyDescent="0.35">
      <c r="A268" t="s">
        <v>56</v>
      </c>
      <c r="B268" t="s">
        <v>57</v>
      </c>
      <c r="C268" t="s">
        <v>70</v>
      </c>
      <c r="D268">
        <v>107844157</v>
      </c>
      <c r="E268" t="s">
        <v>545</v>
      </c>
      <c r="F268" t="s">
        <v>72</v>
      </c>
      <c r="G268">
        <v>0.16</v>
      </c>
      <c r="H268">
        <v>1.39</v>
      </c>
      <c r="I268">
        <v>0</v>
      </c>
      <c r="J268">
        <v>0</v>
      </c>
      <c r="K268">
        <v>1.55</v>
      </c>
      <c r="L268" t="s">
        <v>61</v>
      </c>
      <c r="M268">
        <v>59</v>
      </c>
      <c r="N268">
        <v>38</v>
      </c>
      <c r="O268" t="s">
        <v>62</v>
      </c>
      <c r="P268" t="s">
        <v>63</v>
      </c>
      <c r="Q268">
        <v>96</v>
      </c>
      <c r="R268">
        <v>607.38</v>
      </c>
    </row>
    <row r="269" spans="1:18" x14ac:dyDescent="0.35">
      <c r="A269" t="s">
        <v>56</v>
      </c>
      <c r="B269" t="s">
        <v>57</v>
      </c>
      <c r="C269" t="s">
        <v>70</v>
      </c>
      <c r="D269">
        <v>107844157</v>
      </c>
      <c r="E269" t="s">
        <v>545</v>
      </c>
      <c r="F269" t="s">
        <v>72</v>
      </c>
      <c r="G269">
        <v>0.16</v>
      </c>
      <c r="H269">
        <v>1.39</v>
      </c>
      <c r="I269">
        <v>0</v>
      </c>
      <c r="J269">
        <v>0</v>
      </c>
      <c r="K269">
        <v>1.55</v>
      </c>
      <c r="L269" t="s">
        <v>61</v>
      </c>
      <c r="M269">
        <v>59</v>
      </c>
      <c r="N269">
        <v>38</v>
      </c>
      <c r="O269" t="s">
        <v>62</v>
      </c>
      <c r="P269" t="s">
        <v>64</v>
      </c>
      <c r="Q269">
        <v>157</v>
      </c>
      <c r="R269">
        <v>112.61</v>
      </c>
    </row>
    <row r="270" spans="1:18" x14ac:dyDescent="0.35">
      <c r="A270" t="s">
        <v>56</v>
      </c>
      <c r="B270" t="s">
        <v>57</v>
      </c>
      <c r="C270" t="s">
        <v>70</v>
      </c>
      <c r="D270">
        <v>107844157</v>
      </c>
      <c r="E270" t="s">
        <v>545</v>
      </c>
      <c r="F270" t="s">
        <v>72</v>
      </c>
      <c r="G270">
        <v>0.16</v>
      </c>
      <c r="H270">
        <v>1.39</v>
      </c>
      <c r="I270">
        <v>0</v>
      </c>
      <c r="J270">
        <v>0</v>
      </c>
      <c r="K270">
        <v>1.55</v>
      </c>
      <c r="L270" t="s">
        <v>61</v>
      </c>
      <c r="M270">
        <v>59</v>
      </c>
      <c r="N270">
        <v>38</v>
      </c>
      <c r="O270" t="s">
        <v>62</v>
      </c>
      <c r="P270" t="s">
        <v>65</v>
      </c>
      <c r="Q270">
        <v>0</v>
      </c>
      <c r="R270">
        <v>0</v>
      </c>
    </row>
    <row r="271" spans="1:18" x14ac:dyDescent="0.35">
      <c r="A271" t="s">
        <v>56</v>
      </c>
      <c r="B271" t="s">
        <v>57</v>
      </c>
      <c r="C271" t="s">
        <v>70</v>
      </c>
      <c r="D271">
        <v>107844157</v>
      </c>
      <c r="E271" t="s">
        <v>545</v>
      </c>
      <c r="F271" t="s">
        <v>72</v>
      </c>
      <c r="G271">
        <v>0.16</v>
      </c>
      <c r="H271">
        <v>1.39</v>
      </c>
      <c r="I271">
        <v>0</v>
      </c>
      <c r="J271">
        <v>0</v>
      </c>
      <c r="K271">
        <v>1.55</v>
      </c>
      <c r="L271" t="s">
        <v>61</v>
      </c>
      <c r="M271">
        <v>59</v>
      </c>
      <c r="N271">
        <v>38</v>
      </c>
      <c r="O271" t="s">
        <v>62</v>
      </c>
      <c r="P271" t="s">
        <v>66</v>
      </c>
      <c r="Q271">
        <v>0</v>
      </c>
      <c r="R271">
        <v>0</v>
      </c>
    </row>
    <row r="272" spans="1:18" x14ac:dyDescent="0.35">
      <c r="A272" t="s">
        <v>56</v>
      </c>
      <c r="B272" t="s">
        <v>57</v>
      </c>
      <c r="C272" t="s">
        <v>70</v>
      </c>
      <c r="D272">
        <v>107844157</v>
      </c>
      <c r="E272" t="s">
        <v>545</v>
      </c>
      <c r="F272" t="s">
        <v>72</v>
      </c>
      <c r="G272">
        <v>0.16</v>
      </c>
      <c r="H272">
        <v>1.39</v>
      </c>
      <c r="I272">
        <v>0</v>
      </c>
      <c r="J272">
        <v>0</v>
      </c>
      <c r="K272">
        <v>1.55</v>
      </c>
      <c r="L272" t="s">
        <v>61</v>
      </c>
      <c r="M272">
        <v>59</v>
      </c>
      <c r="N272">
        <v>38</v>
      </c>
      <c r="O272" t="s">
        <v>62</v>
      </c>
      <c r="P272" t="s">
        <v>67</v>
      </c>
      <c r="Q272">
        <v>253</v>
      </c>
      <c r="R272">
        <v>162.96</v>
      </c>
    </row>
    <row r="273" spans="1:18" x14ac:dyDescent="0.35">
      <c r="A273" t="s">
        <v>56</v>
      </c>
      <c r="B273" t="s">
        <v>57</v>
      </c>
      <c r="C273" t="s">
        <v>70</v>
      </c>
      <c r="D273">
        <v>107844157</v>
      </c>
      <c r="E273" t="s">
        <v>545</v>
      </c>
      <c r="F273" t="s">
        <v>72</v>
      </c>
      <c r="G273">
        <v>0.16</v>
      </c>
      <c r="H273">
        <v>1.39</v>
      </c>
      <c r="I273">
        <v>0</v>
      </c>
      <c r="J273">
        <v>0</v>
      </c>
      <c r="K273">
        <v>1.55</v>
      </c>
      <c r="L273" t="s">
        <v>61</v>
      </c>
      <c r="M273">
        <v>59</v>
      </c>
      <c r="N273">
        <v>38</v>
      </c>
      <c r="O273" t="s">
        <v>68</v>
      </c>
      <c r="P273" t="s">
        <v>67</v>
      </c>
      <c r="Q273">
        <v>59</v>
      </c>
      <c r="R273">
        <v>38</v>
      </c>
    </row>
    <row r="274" spans="1:18" x14ac:dyDescent="0.35">
      <c r="A274" t="s">
        <v>56</v>
      </c>
      <c r="B274" t="s">
        <v>57</v>
      </c>
      <c r="C274" t="s">
        <v>70</v>
      </c>
      <c r="D274">
        <v>107844157</v>
      </c>
      <c r="E274" t="s">
        <v>545</v>
      </c>
      <c r="F274" t="s">
        <v>72</v>
      </c>
      <c r="G274">
        <v>0.16</v>
      </c>
      <c r="H274">
        <v>1.39</v>
      </c>
      <c r="I274">
        <v>0</v>
      </c>
      <c r="J274">
        <v>0</v>
      </c>
      <c r="K274">
        <v>1.55</v>
      </c>
      <c r="L274" t="s">
        <v>61</v>
      </c>
      <c r="M274">
        <v>59</v>
      </c>
      <c r="N274">
        <v>38</v>
      </c>
      <c r="O274" t="s">
        <v>69</v>
      </c>
      <c r="P274" t="s">
        <v>67</v>
      </c>
      <c r="Q274">
        <v>0</v>
      </c>
      <c r="R274">
        <v>0</v>
      </c>
    </row>
    <row r="275" spans="1:18" x14ac:dyDescent="0.35">
      <c r="A275" t="s">
        <v>56</v>
      </c>
      <c r="B275" t="s">
        <v>57</v>
      </c>
      <c r="C275" t="s">
        <v>70</v>
      </c>
      <c r="D275">
        <v>107844158</v>
      </c>
      <c r="E275" t="s">
        <v>546</v>
      </c>
      <c r="F275" t="s">
        <v>72</v>
      </c>
      <c r="G275">
        <v>0.27</v>
      </c>
      <c r="H275">
        <v>9.07</v>
      </c>
      <c r="I275">
        <v>0</v>
      </c>
      <c r="J275">
        <v>0</v>
      </c>
      <c r="K275">
        <v>9.34</v>
      </c>
      <c r="L275" t="s">
        <v>61</v>
      </c>
      <c r="M275">
        <v>539</v>
      </c>
      <c r="N275">
        <v>57.72</v>
      </c>
      <c r="O275" t="s">
        <v>62</v>
      </c>
      <c r="P275" t="s">
        <v>63</v>
      </c>
      <c r="Q275">
        <v>315</v>
      </c>
      <c r="R275">
        <v>1177.57</v>
      </c>
    </row>
    <row r="276" spans="1:18" x14ac:dyDescent="0.35">
      <c r="A276" t="s">
        <v>56</v>
      </c>
      <c r="B276" t="s">
        <v>57</v>
      </c>
      <c r="C276" t="s">
        <v>70</v>
      </c>
      <c r="D276">
        <v>107844158</v>
      </c>
      <c r="E276" t="s">
        <v>546</v>
      </c>
      <c r="F276" t="s">
        <v>72</v>
      </c>
      <c r="G276">
        <v>0.27</v>
      </c>
      <c r="H276">
        <v>9.07</v>
      </c>
      <c r="I276">
        <v>0</v>
      </c>
      <c r="J276">
        <v>0</v>
      </c>
      <c r="K276">
        <v>9.34</v>
      </c>
      <c r="L276" t="s">
        <v>61</v>
      </c>
      <c r="M276">
        <v>539</v>
      </c>
      <c r="N276">
        <v>57.72</v>
      </c>
      <c r="O276" t="s">
        <v>62</v>
      </c>
      <c r="P276" t="s">
        <v>64</v>
      </c>
      <c r="Q276">
        <v>1980</v>
      </c>
      <c r="R276">
        <v>218.3</v>
      </c>
    </row>
    <row r="277" spans="1:18" x14ac:dyDescent="0.35">
      <c r="A277" t="s">
        <v>56</v>
      </c>
      <c r="B277" t="s">
        <v>57</v>
      </c>
      <c r="C277" t="s">
        <v>70</v>
      </c>
      <c r="D277">
        <v>107844158</v>
      </c>
      <c r="E277" t="s">
        <v>546</v>
      </c>
      <c r="F277" t="s">
        <v>72</v>
      </c>
      <c r="G277">
        <v>0.27</v>
      </c>
      <c r="H277">
        <v>9.07</v>
      </c>
      <c r="I277">
        <v>0</v>
      </c>
      <c r="J277">
        <v>0</v>
      </c>
      <c r="K277">
        <v>9.34</v>
      </c>
      <c r="L277" t="s">
        <v>61</v>
      </c>
      <c r="M277">
        <v>539</v>
      </c>
      <c r="N277">
        <v>57.72</v>
      </c>
      <c r="O277" t="s">
        <v>62</v>
      </c>
      <c r="P277" t="s">
        <v>65</v>
      </c>
      <c r="Q277">
        <v>0</v>
      </c>
      <c r="R277">
        <v>0</v>
      </c>
    </row>
    <row r="278" spans="1:18" x14ac:dyDescent="0.35">
      <c r="A278" t="s">
        <v>56</v>
      </c>
      <c r="B278" t="s">
        <v>57</v>
      </c>
      <c r="C278" t="s">
        <v>70</v>
      </c>
      <c r="D278">
        <v>107844158</v>
      </c>
      <c r="E278" t="s">
        <v>546</v>
      </c>
      <c r="F278" t="s">
        <v>72</v>
      </c>
      <c r="G278">
        <v>0.27</v>
      </c>
      <c r="H278">
        <v>9.07</v>
      </c>
      <c r="I278">
        <v>0</v>
      </c>
      <c r="J278">
        <v>0</v>
      </c>
      <c r="K278">
        <v>9.34</v>
      </c>
      <c r="L278" t="s">
        <v>61</v>
      </c>
      <c r="M278">
        <v>539</v>
      </c>
      <c r="N278">
        <v>57.72</v>
      </c>
      <c r="O278" t="s">
        <v>62</v>
      </c>
      <c r="P278" t="s">
        <v>66</v>
      </c>
      <c r="Q278">
        <v>0</v>
      </c>
      <c r="R278">
        <v>0</v>
      </c>
    </row>
    <row r="279" spans="1:18" x14ac:dyDescent="0.35">
      <c r="A279" t="s">
        <v>56</v>
      </c>
      <c r="B279" t="s">
        <v>57</v>
      </c>
      <c r="C279" t="s">
        <v>70</v>
      </c>
      <c r="D279">
        <v>107844158</v>
      </c>
      <c r="E279" t="s">
        <v>546</v>
      </c>
      <c r="F279" t="s">
        <v>72</v>
      </c>
      <c r="G279">
        <v>0.27</v>
      </c>
      <c r="H279">
        <v>9.07</v>
      </c>
      <c r="I279">
        <v>0</v>
      </c>
      <c r="J279">
        <v>0</v>
      </c>
      <c r="K279">
        <v>9.34</v>
      </c>
      <c r="L279" t="s">
        <v>61</v>
      </c>
      <c r="M279">
        <v>539</v>
      </c>
      <c r="N279">
        <v>57.72</v>
      </c>
      <c r="O279" t="s">
        <v>62</v>
      </c>
      <c r="P279" t="s">
        <v>67</v>
      </c>
      <c r="Q279">
        <v>2295</v>
      </c>
      <c r="R279">
        <v>245.78</v>
      </c>
    </row>
    <row r="280" spans="1:18" x14ac:dyDescent="0.35">
      <c r="A280" t="s">
        <v>56</v>
      </c>
      <c r="B280" t="s">
        <v>57</v>
      </c>
      <c r="C280" t="s">
        <v>70</v>
      </c>
      <c r="D280">
        <v>107844158</v>
      </c>
      <c r="E280" t="s">
        <v>546</v>
      </c>
      <c r="F280" t="s">
        <v>72</v>
      </c>
      <c r="G280">
        <v>0.27</v>
      </c>
      <c r="H280">
        <v>9.07</v>
      </c>
      <c r="I280">
        <v>0</v>
      </c>
      <c r="J280">
        <v>0</v>
      </c>
      <c r="K280">
        <v>9.34</v>
      </c>
      <c r="L280" t="s">
        <v>61</v>
      </c>
      <c r="M280">
        <v>539</v>
      </c>
      <c r="N280">
        <v>57.72</v>
      </c>
      <c r="O280" t="s">
        <v>68</v>
      </c>
      <c r="P280" t="s">
        <v>67</v>
      </c>
      <c r="Q280">
        <v>539</v>
      </c>
      <c r="R280">
        <v>57.72</v>
      </c>
    </row>
    <row r="281" spans="1:18" x14ac:dyDescent="0.35">
      <c r="A281" t="s">
        <v>56</v>
      </c>
      <c r="B281" t="s">
        <v>57</v>
      </c>
      <c r="C281" t="s">
        <v>70</v>
      </c>
      <c r="D281">
        <v>107844158</v>
      </c>
      <c r="E281" t="s">
        <v>546</v>
      </c>
      <c r="F281" t="s">
        <v>72</v>
      </c>
      <c r="G281">
        <v>0.27</v>
      </c>
      <c r="H281">
        <v>9.07</v>
      </c>
      <c r="I281">
        <v>0</v>
      </c>
      <c r="J281">
        <v>0</v>
      </c>
      <c r="K281">
        <v>9.34</v>
      </c>
      <c r="L281" t="s">
        <v>61</v>
      </c>
      <c r="M281">
        <v>539</v>
      </c>
      <c r="N281">
        <v>57.72</v>
      </c>
      <c r="O281" t="s">
        <v>69</v>
      </c>
      <c r="P281" t="s">
        <v>67</v>
      </c>
      <c r="Q281">
        <v>0</v>
      </c>
      <c r="R281">
        <v>0</v>
      </c>
    </row>
    <row r="282" spans="1:18" x14ac:dyDescent="0.35">
      <c r="A282" t="s">
        <v>56</v>
      </c>
      <c r="B282" t="s">
        <v>57</v>
      </c>
      <c r="C282" t="s">
        <v>70</v>
      </c>
      <c r="D282">
        <v>107916626</v>
      </c>
      <c r="E282" t="s">
        <v>567</v>
      </c>
      <c r="F282" t="s">
        <v>60</v>
      </c>
      <c r="G282">
        <v>0.17</v>
      </c>
      <c r="H282">
        <v>5.13</v>
      </c>
      <c r="I282">
        <v>0</v>
      </c>
      <c r="J282">
        <v>0</v>
      </c>
      <c r="K282">
        <v>5.29</v>
      </c>
      <c r="L282" t="s">
        <v>61</v>
      </c>
      <c r="M282">
        <v>202</v>
      </c>
      <c r="N282">
        <v>38.15</v>
      </c>
      <c r="O282" t="s">
        <v>62</v>
      </c>
      <c r="P282" t="s">
        <v>63</v>
      </c>
      <c r="Q282">
        <v>114</v>
      </c>
      <c r="R282">
        <v>689.75</v>
      </c>
    </row>
    <row r="283" spans="1:18" x14ac:dyDescent="0.35">
      <c r="A283" t="s">
        <v>56</v>
      </c>
      <c r="B283" t="s">
        <v>57</v>
      </c>
      <c r="C283" t="s">
        <v>70</v>
      </c>
      <c r="D283">
        <v>107916626</v>
      </c>
      <c r="E283" t="s">
        <v>567</v>
      </c>
      <c r="F283" t="s">
        <v>60</v>
      </c>
      <c r="G283">
        <v>0.17</v>
      </c>
      <c r="H283">
        <v>5.13</v>
      </c>
      <c r="I283">
        <v>0</v>
      </c>
      <c r="J283">
        <v>0</v>
      </c>
      <c r="K283">
        <v>5.29</v>
      </c>
      <c r="L283" t="s">
        <v>61</v>
      </c>
      <c r="M283">
        <v>202</v>
      </c>
      <c r="N283">
        <v>38.15</v>
      </c>
      <c r="O283" t="s">
        <v>62</v>
      </c>
      <c r="P283" t="s">
        <v>64</v>
      </c>
      <c r="Q283">
        <v>655</v>
      </c>
      <c r="R283">
        <v>127.69</v>
      </c>
    </row>
    <row r="284" spans="1:18" x14ac:dyDescent="0.35">
      <c r="A284" t="s">
        <v>56</v>
      </c>
      <c r="B284" t="s">
        <v>57</v>
      </c>
      <c r="C284" t="s">
        <v>70</v>
      </c>
      <c r="D284">
        <v>107916626</v>
      </c>
      <c r="E284" t="s">
        <v>567</v>
      </c>
      <c r="F284" t="s">
        <v>60</v>
      </c>
      <c r="G284">
        <v>0.17</v>
      </c>
      <c r="H284">
        <v>5.13</v>
      </c>
      <c r="I284">
        <v>0</v>
      </c>
      <c r="J284">
        <v>0</v>
      </c>
      <c r="K284">
        <v>5.29</v>
      </c>
      <c r="L284" t="s">
        <v>61</v>
      </c>
      <c r="M284">
        <v>202</v>
      </c>
      <c r="N284">
        <v>38.15</v>
      </c>
      <c r="O284" t="s">
        <v>62</v>
      </c>
      <c r="P284" t="s">
        <v>65</v>
      </c>
      <c r="Q284">
        <v>0</v>
      </c>
      <c r="R284">
        <v>0</v>
      </c>
    </row>
    <row r="285" spans="1:18" x14ac:dyDescent="0.35">
      <c r="A285" t="s">
        <v>56</v>
      </c>
      <c r="B285" t="s">
        <v>57</v>
      </c>
      <c r="C285" t="s">
        <v>70</v>
      </c>
      <c r="D285">
        <v>107916626</v>
      </c>
      <c r="E285" t="s">
        <v>567</v>
      </c>
      <c r="F285" t="s">
        <v>60</v>
      </c>
      <c r="G285">
        <v>0.17</v>
      </c>
      <c r="H285">
        <v>5.13</v>
      </c>
      <c r="I285">
        <v>0</v>
      </c>
      <c r="J285">
        <v>0</v>
      </c>
      <c r="K285">
        <v>5.29</v>
      </c>
      <c r="L285" t="s">
        <v>61</v>
      </c>
      <c r="M285">
        <v>202</v>
      </c>
      <c r="N285">
        <v>38.15</v>
      </c>
      <c r="O285" t="s">
        <v>62</v>
      </c>
      <c r="P285" t="s">
        <v>66</v>
      </c>
      <c r="Q285">
        <v>0</v>
      </c>
      <c r="R285">
        <v>0</v>
      </c>
    </row>
    <row r="286" spans="1:18" x14ac:dyDescent="0.35">
      <c r="A286" t="s">
        <v>56</v>
      </c>
      <c r="B286" t="s">
        <v>57</v>
      </c>
      <c r="C286" t="s">
        <v>70</v>
      </c>
      <c r="D286">
        <v>107916626</v>
      </c>
      <c r="E286" t="s">
        <v>567</v>
      </c>
      <c r="F286" t="s">
        <v>60</v>
      </c>
      <c r="G286">
        <v>0.17</v>
      </c>
      <c r="H286">
        <v>5.13</v>
      </c>
      <c r="I286">
        <v>0</v>
      </c>
      <c r="J286">
        <v>0</v>
      </c>
      <c r="K286">
        <v>5.29</v>
      </c>
      <c r="L286" t="s">
        <v>61</v>
      </c>
      <c r="M286">
        <v>202</v>
      </c>
      <c r="N286">
        <v>38.15</v>
      </c>
      <c r="O286" t="s">
        <v>62</v>
      </c>
      <c r="P286" t="s">
        <v>67</v>
      </c>
      <c r="Q286">
        <v>769</v>
      </c>
      <c r="R286">
        <v>145.22999999999999</v>
      </c>
    </row>
    <row r="287" spans="1:18" x14ac:dyDescent="0.35">
      <c r="A287" t="s">
        <v>56</v>
      </c>
      <c r="B287" t="s">
        <v>57</v>
      </c>
      <c r="C287" t="s">
        <v>70</v>
      </c>
      <c r="D287">
        <v>107916626</v>
      </c>
      <c r="E287" t="s">
        <v>567</v>
      </c>
      <c r="F287" t="s">
        <v>60</v>
      </c>
      <c r="G287">
        <v>0.17</v>
      </c>
      <c r="H287">
        <v>5.13</v>
      </c>
      <c r="I287">
        <v>0</v>
      </c>
      <c r="J287">
        <v>0</v>
      </c>
      <c r="K287">
        <v>5.29</v>
      </c>
      <c r="L287" t="s">
        <v>61</v>
      </c>
      <c r="M287">
        <v>202</v>
      </c>
      <c r="N287">
        <v>38.15</v>
      </c>
      <c r="O287" t="s">
        <v>68</v>
      </c>
      <c r="P287" t="s">
        <v>67</v>
      </c>
      <c r="Q287">
        <v>202</v>
      </c>
      <c r="R287">
        <v>38.15</v>
      </c>
    </row>
    <row r="288" spans="1:18" x14ac:dyDescent="0.35">
      <c r="A288" t="s">
        <v>56</v>
      </c>
      <c r="B288" t="s">
        <v>57</v>
      </c>
      <c r="C288" t="s">
        <v>70</v>
      </c>
      <c r="D288">
        <v>107916626</v>
      </c>
      <c r="E288" t="s">
        <v>567</v>
      </c>
      <c r="F288" t="s">
        <v>60</v>
      </c>
      <c r="G288">
        <v>0.17</v>
      </c>
      <c r="H288">
        <v>5.13</v>
      </c>
      <c r="I288">
        <v>0</v>
      </c>
      <c r="J288">
        <v>0</v>
      </c>
      <c r="K288">
        <v>5.29</v>
      </c>
      <c r="L288" t="s">
        <v>61</v>
      </c>
      <c r="M288">
        <v>202</v>
      </c>
      <c r="N288">
        <v>38.15</v>
      </c>
      <c r="O288" t="s">
        <v>69</v>
      </c>
      <c r="P288" t="s">
        <v>67</v>
      </c>
      <c r="Q288">
        <v>0</v>
      </c>
      <c r="R288">
        <v>0</v>
      </c>
    </row>
    <row r="289" spans="1:1" x14ac:dyDescent="0.35">
      <c r="A289" t="s">
        <v>37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168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49</v>
      </c>
      <c r="B1" t="s">
        <v>41</v>
      </c>
      <c r="C1" t="s">
        <v>555</v>
      </c>
      <c r="D1" t="s">
        <v>556</v>
      </c>
      <c r="E1" t="s">
        <v>40</v>
      </c>
      <c r="F1" t="s">
        <v>557</v>
      </c>
      <c r="G1" t="s">
        <v>52</v>
      </c>
      <c r="H1" t="s">
        <v>558</v>
      </c>
      <c r="I1" t="s">
        <v>559</v>
      </c>
    </row>
    <row r="2" spans="1:9" x14ac:dyDescent="0.35">
      <c r="A2" t="s">
        <v>61</v>
      </c>
      <c r="B2">
        <v>106534472</v>
      </c>
      <c r="C2" t="s">
        <v>81</v>
      </c>
      <c r="D2" t="s">
        <v>60</v>
      </c>
      <c r="E2" t="s">
        <v>70</v>
      </c>
      <c r="F2">
        <v>158</v>
      </c>
      <c r="G2" t="s">
        <v>62</v>
      </c>
      <c r="H2" t="s">
        <v>67</v>
      </c>
      <c r="I2">
        <v>664</v>
      </c>
    </row>
    <row r="3" spans="1:9" x14ac:dyDescent="0.35">
      <c r="A3" t="s">
        <v>61</v>
      </c>
      <c r="B3">
        <v>106534472</v>
      </c>
      <c r="C3" t="s">
        <v>81</v>
      </c>
      <c r="D3" t="s">
        <v>60</v>
      </c>
      <c r="E3" t="s">
        <v>70</v>
      </c>
      <c r="F3">
        <v>158</v>
      </c>
      <c r="G3" t="s">
        <v>62</v>
      </c>
      <c r="H3" t="s">
        <v>63</v>
      </c>
      <c r="I3">
        <v>90</v>
      </c>
    </row>
    <row r="4" spans="1:9" x14ac:dyDescent="0.35">
      <c r="A4" t="s">
        <v>61</v>
      </c>
      <c r="B4">
        <v>106534472</v>
      </c>
      <c r="C4" t="s">
        <v>81</v>
      </c>
      <c r="D4" t="s">
        <v>60</v>
      </c>
      <c r="E4" t="s">
        <v>70</v>
      </c>
      <c r="F4">
        <v>158</v>
      </c>
      <c r="G4" t="s">
        <v>62</v>
      </c>
      <c r="H4" t="s">
        <v>64</v>
      </c>
      <c r="I4">
        <v>574</v>
      </c>
    </row>
    <row r="5" spans="1:9" x14ac:dyDescent="0.35">
      <c r="A5" t="s">
        <v>61</v>
      </c>
      <c r="B5">
        <v>106534472</v>
      </c>
      <c r="C5" t="s">
        <v>81</v>
      </c>
      <c r="D5" t="s">
        <v>60</v>
      </c>
      <c r="E5" t="s">
        <v>70</v>
      </c>
      <c r="F5">
        <v>158</v>
      </c>
      <c r="G5" t="s">
        <v>68</v>
      </c>
      <c r="H5" t="s">
        <v>67</v>
      </c>
      <c r="I5">
        <v>158</v>
      </c>
    </row>
    <row r="6" spans="1:9" x14ac:dyDescent="0.35">
      <c r="A6" t="s">
        <v>61</v>
      </c>
      <c r="B6">
        <v>106677842</v>
      </c>
      <c r="C6" t="s">
        <v>564</v>
      </c>
      <c r="D6" t="s">
        <v>60</v>
      </c>
      <c r="E6" t="s">
        <v>58</v>
      </c>
      <c r="F6">
        <v>448</v>
      </c>
      <c r="G6" t="s">
        <v>62</v>
      </c>
      <c r="H6" t="s">
        <v>67</v>
      </c>
      <c r="I6">
        <v>2214</v>
      </c>
    </row>
    <row r="7" spans="1:9" x14ac:dyDescent="0.35">
      <c r="A7" t="s">
        <v>61</v>
      </c>
      <c r="B7">
        <v>106677842</v>
      </c>
      <c r="C7" t="s">
        <v>564</v>
      </c>
      <c r="D7" t="s">
        <v>60</v>
      </c>
      <c r="E7" t="s">
        <v>58</v>
      </c>
      <c r="F7">
        <v>448</v>
      </c>
      <c r="G7" t="s">
        <v>62</v>
      </c>
      <c r="H7" t="s">
        <v>63</v>
      </c>
      <c r="I7">
        <v>542</v>
      </c>
    </row>
    <row r="8" spans="1:9" x14ac:dyDescent="0.35">
      <c r="A8" t="s">
        <v>61</v>
      </c>
      <c r="B8">
        <v>106677842</v>
      </c>
      <c r="C8" t="s">
        <v>564</v>
      </c>
      <c r="D8" t="s">
        <v>60</v>
      </c>
      <c r="E8" t="s">
        <v>58</v>
      </c>
      <c r="F8">
        <v>448</v>
      </c>
      <c r="G8" t="s">
        <v>62</v>
      </c>
      <c r="H8" t="s">
        <v>64</v>
      </c>
      <c r="I8">
        <v>1672</v>
      </c>
    </row>
    <row r="9" spans="1:9" x14ac:dyDescent="0.35">
      <c r="A9" t="s">
        <v>61</v>
      </c>
      <c r="B9">
        <v>106677842</v>
      </c>
      <c r="C9" t="s">
        <v>564</v>
      </c>
      <c r="D9" t="s">
        <v>60</v>
      </c>
      <c r="E9" t="s">
        <v>58</v>
      </c>
      <c r="F9">
        <v>448</v>
      </c>
      <c r="G9" t="s">
        <v>68</v>
      </c>
      <c r="H9" t="s">
        <v>67</v>
      </c>
      <c r="I9">
        <v>448</v>
      </c>
    </row>
    <row r="10" spans="1:9" x14ac:dyDescent="0.35">
      <c r="A10" t="s">
        <v>61</v>
      </c>
      <c r="B10">
        <v>107826180</v>
      </c>
      <c r="C10" t="s">
        <v>566</v>
      </c>
      <c r="D10" t="s">
        <v>60</v>
      </c>
      <c r="E10" t="s">
        <v>70</v>
      </c>
      <c r="F10">
        <v>122</v>
      </c>
      <c r="G10" t="s">
        <v>62</v>
      </c>
      <c r="H10" t="s">
        <v>67</v>
      </c>
      <c r="I10">
        <v>2070</v>
      </c>
    </row>
    <row r="11" spans="1:9" x14ac:dyDescent="0.35">
      <c r="A11" t="s">
        <v>61</v>
      </c>
      <c r="B11">
        <v>107826180</v>
      </c>
      <c r="C11" t="s">
        <v>566</v>
      </c>
      <c r="D11" t="s">
        <v>60</v>
      </c>
      <c r="E11" t="s">
        <v>70</v>
      </c>
      <c r="F11">
        <v>122</v>
      </c>
      <c r="G11" t="s">
        <v>62</v>
      </c>
      <c r="H11" t="s">
        <v>63</v>
      </c>
      <c r="I11">
        <v>1084</v>
      </c>
    </row>
    <row r="12" spans="1:9" x14ac:dyDescent="0.35">
      <c r="A12" t="s">
        <v>61</v>
      </c>
      <c r="B12">
        <v>107826180</v>
      </c>
      <c r="C12" t="s">
        <v>566</v>
      </c>
      <c r="D12" t="s">
        <v>60</v>
      </c>
      <c r="E12" t="s">
        <v>70</v>
      </c>
      <c r="F12">
        <v>122</v>
      </c>
      <c r="G12" t="s">
        <v>62</v>
      </c>
      <c r="H12" t="s">
        <v>64</v>
      </c>
      <c r="I12">
        <v>986</v>
      </c>
    </row>
    <row r="13" spans="1:9" x14ac:dyDescent="0.35">
      <c r="A13" t="s">
        <v>61</v>
      </c>
      <c r="B13">
        <v>107826180</v>
      </c>
      <c r="C13" t="s">
        <v>566</v>
      </c>
      <c r="D13" t="s">
        <v>60</v>
      </c>
      <c r="E13" t="s">
        <v>70</v>
      </c>
      <c r="F13">
        <v>122</v>
      </c>
      <c r="G13" t="s">
        <v>68</v>
      </c>
      <c r="H13" t="s">
        <v>67</v>
      </c>
      <c r="I13">
        <v>122</v>
      </c>
    </row>
    <row r="14" spans="1:9" x14ac:dyDescent="0.35">
      <c r="A14" t="s">
        <v>61</v>
      </c>
      <c r="B14">
        <v>107432433</v>
      </c>
      <c r="C14" t="s">
        <v>90</v>
      </c>
      <c r="D14" t="s">
        <v>60</v>
      </c>
      <c r="E14" t="s">
        <v>70</v>
      </c>
      <c r="F14">
        <v>180</v>
      </c>
      <c r="G14" t="s">
        <v>62</v>
      </c>
      <c r="H14" t="s">
        <v>67</v>
      </c>
      <c r="I14">
        <v>1423</v>
      </c>
    </row>
    <row r="15" spans="1:9" x14ac:dyDescent="0.35">
      <c r="A15" t="s">
        <v>61</v>
      </c>
      <c r="B15">
        <v>107432433</v>
      </c>
      <c r="C15" t="s">
        <v>90</v>
      </c>
      <c r="D15" t="s">
        <v>60</v>
      </c>
      <c r="E15" t="s">
        <v>70</v>
      </c>
      <c r="F15">
        <v>180</v>
      </c>
      <c r="G15" t="s">
        <v>62</v>
      </c>
      <c r="H15" t="s">
        <v>63</v>
      </c>
      <c r="I15">
        <v>131</v>
      </c>
    </row>
    <row r="16" spans="1:9" x14ac:dyDescent="0.35">
      <c r="A16" t="s">
        <v>61</v>
      </c>
      <c r="B16">
        <v>107432433</v>
      </c>
      <c r="C16" t="s">
        <v>90</v>
      </c>
      <c r="D16" t="s">
        <v>60</v>
      </c>
      <c r="E16" t="s">
        <v>70</v>
      </c>
      <c r="F16">
        <v>180</v>
      </c>
      <c r="G16" t="s">
        <v>62</v>
      </c>
      <c r="H16" t="s">
        <v>64</v>
      </c>
      <c r="I16">
        <v>1292</v>
      </c>
    </row>
    <row r="17" spans="1:9" x14ac:dyDescent="0.35">
      <c r="A17" t="s">
        <v>61</v>
      </c>
      <c r="B17">
        <v>107432433</v>
      </c>
      <c r="C17" t="s">
        <v>90</v>
      </c>
      <c r="D17" t="s">
        <v>60</v>
      </c>
      <c r="E17" t="s">
        <v>70</v>
      </c>
      <c r="F17">
        <v>180</v>
      </c>
      <c r="G17" t="s">
        <v>68</v>
      </c>
      <c r="H17" t="s">
        <v>67</v>
      </c>
      <c r="I17">
        <v>180</v>
      </c>
    </row>
    <row r="18" spans="1:9" x14ac:dyDescent="0.35">
      <c r="A18" t="s">
        <v>61</v>
      </c>
      <c r="B18">
        <v>107233183</v>
      </c>
      <c r="C18" t="s">
        <v>532</v>
      </c>
      <c r="D18" t="s">
        <v>72</v>
      </c>
      <c r="E18" t="s">
        <v>70</v>
      </c>
      <c r="F18">
        <v>58</v>
      </c>
      <c r="G18" t="s">
        <v>62</v>
      </c>
      <c r="H18" t="s">
        <v>67</v>
      </c>
      <c r="I18">
        <v>487</v>
      </c>
    </row>
    <row r="19" spans="1:9" x14ac:dyDescent="0.35">
      <c r="A19" t="s">
        <v>61</v>
      </c>
      <c r="B19">
        <v>107233183</v>
      </c>
      <c r="C19" t="s">
        <v>532</v>
      </c>
      <c r="D19" t="s">
        <v>72</v>
      </c>
      <c r="E19" t="s">
        <v>70</v>
      </c>
      <c r="F19">
        <v>58</v>
      </c>
      <c r="G19" t="s">
        <v>62</v>
      </c>
      <c r="H19" t="s">
        <v>63</v>
      </c>
      <c r="I19">
        <v>160</v>
      </c>
    </row>
    <row r="20" spans="1:9" x14ac:dyDescent="0.35">
      <c r="A20" t="s">
        <v>61</v>
      </c>
      <c r="B20">
        <v>107233183</v>
      </c>
      <c r="C20" t="s">
        <v>532</v>
      </c>
      <c r="D20" t="s">
        <v>72</v>
      </c>
      <c r="E20" t="s">
        <v>70</v>
      </c>
      <c r="F20">
        <v>58</v>
      </c>
      <c r="G20" t="s">
        <v>62</v>
      </c>
      <c r="H20" t="s">
        <v>64</v>
      </c>
      <c r="I20">
        <v>327</v>
      </c>
    </row>
    <row r="21" spans="1:9" x14ac:dyDescent="0.35">
      <c r="A21" t="s">
        <v>61</v>
      </c>
      <c r="B21">
        <v>107233183</v>
      </c>
      <c r="C21" t="s">
        <v>532</v>
      </c>
      <c r="D21" t="s">
        <v>72</v>
      </c>
      <c r="E21" t="s">
        <v>70</v>
      </c>
      <c r="F21">
        <v>58</v>
      </c>
      <c r="G21" t="s">
        <v>68</v>
      </c>
      <c r="H21" t="s">
        <v>67</v>
      </c>
      <c r="I21">
        <v>58</v>
      </c>
    </row>
    <row r="22" spans="1:9" x14ac:dyDescent="0.35">
      <c r="A22" t="s">
        <v>61</v>
      </c>
      <c r="B22">
        <v>107844157</v>
      </c>
      <c r="C22" t="s">
        <v>545</v>
      </c>
      <c r="D22" t="s">
        <v>72</v>
      </c>
      <c r="E22" t="s">
        <v>70</v>
      </c>
      <c r="F22">
        <v>59</v>
      </c>
      <c r="G22" t="s">
        <v>62</v>
      </c>
      <c r="H22" t="s">
        <v>67</v>
      </c>
      <c r="I22">
        <v>253</v>
      </c>
    </row>
    <row r="23" spans="1:9" x14ac:dyDescent="0.35">
      <c r="A23" t="s">
        <v>61</v>
      </c>
      <c r="B23">
        <v>107844157</v>
      </c>
      <c r="C23" t="s">
        <v>545</v>
      </c>
      <c r="D23" t="s">
        <v>72</v>
      </c>
      <c r="E23" t="s">
        <v>70</v>
      </c>
      <c r="F23">
        <v>59</v>
      </c>
      <c r="G23" t="s">
        <v>62</v>
      </c>
      <c r="H23" t="s">
        <v>63</v>
      </c>
      <c r="I23">
        <v>96</v>
      </c>
    </row>
    <row r="24" spans="1:9" x14ac:dyDescent="0.35">
      <c r="A24" t="s">
        <v>61</v>
      </c>
      <c r="B24">
        <v>107844157</v>
      </c>
      <c r="C24" t="s">
        <v>545</v>
      </c>
      <c r="D24" t="s">
        <v>72</v>
      </c>
      <c r="E24" t="s">
        <v>70</v>
      </c>
      <c r="F24">
        <v>59</v>
      </c>
      <c r="G24" t="s">
        <v>62</v>
      </c>
      <c r="H24" t="s">
        <v>64</v>
      </c>
      <c r="I24">
        <v>157</v>
      </c>
    </row>
    <row r="25" spans="1:9" x14ac:dyDescent="0.35">
      <c r="A25" t="s">
        <v>61</v>
      </c>
      <c r="B25">
        <v>107844157</v>
      </c>
      <c r="C25" t="s">
        <v>545</v>
      </c>
      <c r="D25" t="s">
        <v>72</v>
      </c>
      <c r="E25" t="s">
        <v>70</v>
      </c>
      <c r="F25">
        <v>59</v>
      </c>
      <c r="G25" t="s">
        <v>68</v>
      </c>
      <c r="H25" t="s">
        <v>67</v>
      </c>
      <c r="I25">
        <v>59</v>
      </c>
    </row>
    <row r="26" spans="1:9" x14ac:dyDescent="0.35">
      <c r="A26" t="s">
        <v>61</v>
      </c>
      <c r="B26">
        <v>107228984</v>
      </c>
      <c r="C26" t="s">
        <v>529</v>
      </c>
      <c r="D26" t="s">
        <v>60</v>
      </c>
      <c r="E26" t="s">
        <v>70</v>
      </c>
      <c r="F26">
        <v>376</v>
      </c>
      <c r="G26" t="s">
        <v>62</v>
      </c>
      <c r="H26" t="s">
        <v>67</v>
      </c>
      <c r="I26">
        <v>4373</v>
      </c>
    </row>
    <row r="27" spans="1:9" x14ac:dyDescent="0.35">
      <c r="A27" t="s">
        <v>61</v>
      </c>
      <c r="B27">
        <v>107228984</v>
      </c>
      <c r="C27" t="s">
        <v>529</v>
      </c>
      <c r="D27" t="s">
        <v>60</v>
      </c>
      <c r="E27" t="s">
        <v>70</v>
      </c>
      <c r="F27">
        <v>376</v>
      </c>
      <c r="G27" t="s">
        <v>62</v>
      </c>
      <c r="H27" t="s">
        <v>63</v>
      </c>
      <c r="I27">
        <v>1706</v>
      </c>
    </row>
    <row r="28" spans="1:9" x14ac:dyDescent="0.35">
      <c r="A28" t="s">
        <v>61</v>
      </c>
      <c r="B28">
        <v>107228984</v>
      </c>
      <c r="C28" t="s">
        <v>529</v>
      </c>
      <c r="D28" t="s">
        <v>60</v>
      </c>
      <c r="E28" t="s">
        <v>70</v>
      </c>
      <c r="F28">
        <v>376</v>
      </c>
      <c r="G28" t="s">
        <v>62</v>
      </c>
      <c r="H28" t="s">
        <v>64</v>
      </c>
      <c r="I28">
        <v>2667</v>
      </c>
    </row>
    <row r="29" spans="1:9" x14ac:dyDescent="0.35">
      <c r="A29" t="s">
        <v>61</v>
      </c>
      <c r="B29">
        <v>107228984</v>
      </c>
      <c r="C29" t="s">
        <v>529</v>
      </c>
      <c r="D29" t="s">
        <v>60</v>
      </c>
      <c r="E29" t="s">
        <v>70</v>
      </c>
      <c r="F29">
        <v>376</v>
      </c>
      <c r="G29" t="s">
        <v>68</v>
      </c>
      <c r="H29" t="s">
        <v>67</v>
      </c>
      <c r="I29">
        <v>376</v>
      </c>
    </row>
    <row r="30" spans="1:9" x14ac:dyDescent="0.35">
      <c r="A30" t="s">
        <v>61</v>
      </c>
      <c r="B30">
        <v>106036050</v>
      </c>
      <c r="C30" t="s">
        <v>79</v>
      </c>
      <c r="D30" t="s">
        <v>60</v>
      </c>
      <c r="E30" t="s">
        <v>70</v>
      </c>
      <c r="F30">
        <v>149</v>
      </c>
      <c r="G30" t="s">
        <v>62</v>
      </c>
      <c r="H30" t="s">
        <v>67</v>
      </c>
      <c r="I30">
        <v>1743</v>
      </c>
    </row>
    <row r="31" spans="1:9" x14ac:dyDescent="0.35">
      <c r="A31" t="s">
        <v>61</v>
      </c>
      <c r="B31">
        <v>106036050</v>
      </c>
      <c r="C31" t="s">
        <v>79</v>
      </c>
      <c r="D31" t="s">
        <v>60</v>
      </c>
      <c r="E31" t="s">
        <v>70</v>
      </c>
      <c r="F31">
        <v>149</v>
      </c>
      <c r="G31" t="s">
        <v>62</v>
      </c>
      <c r="H31" t="s">
        <v>63</v>
      </c>
      <c r="I31">
        <v>900</v>
      </c>
    </row>
    <row r="32" spans="1:9" x14ac:dyDescent="0.35">
      <c r="A32" t="s">
        <v>61</v>
      </c>
      <c r="B32">
        <v>106036050</v>
      </c>
      <c r="C32" t="s">
        <v>79</v>
      </c>
      <c r="D32" t="s">
        <v>60</v>
      </c>
      <c r="E32" t="s">
        <v>70</v>
      </c>
      <c r="F32">
        <v>149</v>
      </c>
      <c r="G32" t="s">
        <v>62</v>
      </c>
      <c r="H32" t="s">
        <v>64</v>
      </c>
      <c r="I32">
        <v>843</v>
      </c>
    </row>
    <row r="33" spans="1:9" x14ac:dyDescent="0.35">
      <c r="A33" t="s">
        <v>61</v>
      </c>
      <c r="B33">
        <v>106036050</v>
      </c>
      <c r="C33" t="s">
        <v>79</v>
      </c>
      <c r="D33" t="s">
        <v>60</v>
      </c>
      <c r="E33" t="s">
        <v>70</v>
      </c>
      <c r="F33">
        <v>149</v>
      </c>
      <c r="G33" t="s">
        <v>68</v>
      </c>
      <c r="H33" t="s">
        <v>67</v>
      </c>
      <c r="I33">
        <v>149</v>
      </c>
    </row>
    <row r="34" spans="1:9" x14ac:dyDescent="0.35">
      <c r="A34" t="s">
        <v>61</v>
      </c>
      <c r="B34">
        <v>107826232</v>
      </c>
      <c r="C34" t="s">
        <v>540</v>
      </c>
      <c r="D34" t="s">
        <v>60</v>
      </c>
      <c r="E34" t="s">
        <v>70</v>
      </c>
      <c r="F34">
        <v>280</v>
      </c>
      <c r="G34" t="s">
        <v>62</v>
      </c>
      <c r="H34" t="s">
        <v>67</v>
      </c>
      <c r="I34">
        <v>1931</v>
      </c>
    </row>
    <row r="35" spans="1:9" x14ac:dyDescent="0.35">
      <c r="A35" t="s">
        <v>61</v>
      </c>
      <c r="B35">
        <v>107826232</v>
      </c>
      <c r="C35" t="s">
        <v>540</v>
      </c>
      <c r="D35" t="s">
        <v>60</v>
      </c>
      <c r="E35" t="s">
        <v>70</v>
      </c>
      <c r="F35">
        <v>280</v>
      </c>
      <c r="G35" t="s">
        <v>62</v>
      </c>
      <c r="H35" t="s">
        <v>63</v>
      </c>
      <c r="I35">
        <v>327</v>
      </c>
    </row>
    <row r="36" spans="1:9" x14ac:dyDescent="0.35">
      <c r="A36" t="s">
        <v>61</v>
      </c>
      <c r="B36">
        <v>107826232</v>
      </c>
      <c r="C36" t="s">
        <v>540</v>
      </c>
      <c r="D36" t="s">
        <v>60</v>
      </c>
      <c r="E36" t="s">
        <v>70</v>
      </c>
      <c r="F36">
        <v>280</v>
      </c>
      <c r="G36" t="s">
        <v>62</v>
      </c>
      <c r="H36" t="s">
        <v>64</v>
      </c>
      <c r="I36">
        <v>1604</v>
      </c>
    </row>
    <row r="37" spans="1:9" x14ac:dyDescent="0.35">
      <c r="A37" t="s">
        <v>61</v>
      </c>
      <c r="B37">
        <v>107826232</v>
      </c>
      <c r="C37" t="s">
        <v>540</v>
      </c>
      <c r="D37" t="s">
        <v>60</v>
      </c>
      <c r="E37" t="s">
        <v>70</v>
      </c>
      <c r="F37">
        <v>280</v>
      </c>
      <c r="G37" t="s">
        <v>68</v>
      </c>
      <c r="H37" t="s">
        <v>67</v>
      </c>
      <c r="I37">
        <v>280</v>
      </c>
    </row>
    <row r="38" spans="1:9" x14ac:dyDescent="0.35">
      <c r="A38" t="s">
        <v>61</v>
      </c>
      <c r="B38">
        <v>107843891</v>
      </c>
      <c r="C38" t="s">
        <v>544</v>
      </c>
      <c r="D38" t="s">
        <v>72</v>
      </c>
      <c r="E38" t="s">
        <v>70</v>
      </c>
      <c r="F38">
        <v>393</v>
      </c>
      <c r="G38" t="s">
        <v>62</v>
      </c>
      <c r="H38" t="s">
        <v>67</v>
      </c>
      <c r="I38">
        <v>1877</v>
      </c>
    </row>
    <row r="39" spans="1:9" x14ac:dyDescent="0.35">
      <c r="A39" t="s">
        <v>61</v>
      </c>
      <c r="B39">
        <v>107843891</v>
      </c>
      <c r="C39" t="s">
        <v>544</v>
      </c>
      <c r="D39" t="s">
        <v>72</v>
      </c>
      <c r="E39" t="s">
        <v>70</v>
      </c>
      <c r="F39">
        <v>393</v>
      </c>
      <c r="G39" t="s">
        <v>62</v>
      </c>
      <c r="H39" t="s">
        <v>63</v>
      </c>
      <c r="I39">
        <v>488</v>
      </c>
    </row>
    <row r="40" spans="1:9" x14ac:dyDescent="0.35">
      <c r="A40" t="s">
        <v>61</v>
      </c>
      <c r="B40">
        <v>107843891</v>
      </c>
      <c r="C40" t="s">
        <v>544</v>
      </c>
      <c r="D40" t="s">
        <v>72</v>
      </c>
      <c r="E40" t="s">
        <v>70</v>
      </c>
      <c r="F40">
        <v>393</v>
      </c>
      <c r="G40" t="s">
        <v>62</v>
      </c>
      <c r="H40" t="s">
        <v>64</v>
      </c>
      <c r="I40">
        <v>1389</v>
      </c>
    </row>
    <row r="41" spans="1:9" x14ac:dyDescent="0.35">
      <c r="A41" t="s">
        <v>61</v>
      </c>
      <c r="B41">
        <v>107843891</v>
      </c>
      <c r="C41" t="s">
        <v>544</v>
      </c>
      <c r="D41" t="s">
        <v>72</v>
      </c>
      <c r="E41" t="s">
        <v>70</v>
      </c>
      <c r="F41">
        <v>393</v>
      </c>
      <c r="G41" t="s">
        <v>68</v>
      </c>
      <c r="H41" t="s">
        <v>67</v>
      </c>
      <c r="I41">
        <v>393</v>
      </c>
    </row>
    <row r="42" spans="1:9" x14ac:dyDescent="0.35">
      <c r="A42" t="s">
        <v>61</v>
      </c>
      <c r="B42">
        <v>106550554</v>
      </c>
      <c r="C42" t="s">
        <v>527</v>
      </c>
      <c r="D42" t="s">
        <v>60</v>
      </c>
      <c r="E42" t="s">
        <v>58</v>
      </c>
      <c r="F42">
        <v>2</v>
      </c>
      <c r="G42" t="s">
        <v>62</v>
      </c>
      <c r="H42" t="s">
        <v>67</v>
      </c>
      <c r="I42">
        <v>2904</v>
      </c>
    </row>
    <row r="43" spans="1:9" x14ac:dyDescent="0.35">
      <c r="A43" t="s">
        <v>61</v>
      </c>
      <c r="B43">
        <v>106550554</v>
      </c>
      <c r="C43" t="s">
        <v>527</v>
      </c>
      <c r="D43" t="s">
        <v>60</v>
      </c>
      <c r="E43" t="s">
        <v>58</v>
      </c>
      <c r="F43">
        <v>2</v>
      </c>
      <c r="G43" t="s">
        <v>62</v>
      </c>
      <c r="H43" t="s">
        <v>63</v>
      </c>
      <c r="I43">
        <v>1750</v>
      </c>
    </row>
    <row r="44" spans="1:9" x14ac:dyDescent="0.35">
      <c r="A44" t="s">
        <v>61</v>
      </c>
      <c r="B44">
        <v>106550554</v>
      </c>
      <c r="C44" t="s">
        <v>527</v>
      </c>
      <c r="D44" t="s">
        <v>60</v>
      </c>
      <c r="E44" t="s">
        <v>58</v>
      </c>
      <c r="F44">
        <v>2</v>
      </c>
      <c r="G44" t="s">
        <v>62</v>
      </c>
      <c r="H44" t="s">
        <v>64</v>
      </c>
      <c r="I44">
        <v>1154</v>
      </c>
    </row>
    <row r="45" spans="1:9" x14ac:dyDescent="0.35">
      <c r="A45" t="s">
        <v>61</v>
      </c>
      <c r="B45">
        <v>106550554</v>
      </c>
      <c r="C45" t="s">
        <v>527</v>
      </c>
      <c r="D45" t="s">
        <v>60</v>
      </c>
      <c r="E45" t="s">
        <v>58</v>
      </c>
      <c r="F45">
        <v>2</v>
      </c>
      <c r="G45" t="s">
        <v>68</v>
      </c>
      <c r="H45" t="s">
        <v>67</v>
      </c>
      <c r="I45">
        <v>185</v>
      </c>
    </row>
    <row r="46" spans="1:9" x14ac:dyDescent="0.35">
      <c r="A46" t="s">
        <v>61</v>
      </c>
      <c r="B46">
        <v>106550554</v>
      </c>
      <c r="C46" t="s">
        <v>527</v>
      </c>
      <c r="D46" t="s">
        <v>60</v>
      </c>
      <c r="E46" t="s">
        <v>58</v>
      </c>
      <c r="F46">
        <v>2</v>
      </c>
      <c r="G46" t="s">
        <v>69</v>
      </c>
      <c r="H46" t="s">
        <v>67</v>
      </c>
      <c r="I46">
        <v>2</v>
      </c>
    </row>
    <row r="47" spans="1:9" x14ac:dyDescent="0.35">
      <c r="A47" t="s">
        <v>61</v>
      </c>
      <c r="B47">
        <v>107916626</v>
      </c>
      <c r="C47" t="s">
        <v>567</v>
      </c>
      <c r="D47" t="s">
        <v>60</v>
      </c>
      <c r="E47" t="s">
        <v>70</v>
      </c>
      <c r="F47">
        <v>202</v>
      </c>
      <c r="G47" t="s">
        <v>62</v>
      </c>
      <c r="H47" t="s">
        <v>67</v>
      </c>
      <c r="I47">
        <v>769</v>
      </c>
    </row>
    <row r="48" spans="1:9" x14ac:dyDescent="0.35">
      <c r="A48" t="s">
        <v>61</v>
      </c>
      <c r="B48">
        <v>107916626</v>
      </c>
      <c r="C48" t="s">
        <v>567</v>
      </c>
      <c r="D48" t="s">
        <v>60</v>
      </c>
      <c r="E48" t="s">
        <v>70</v>
      </c>
      <c r="F48">
        <v>202</v>
      </c>
      <c r="G48" t="s">
        <v>62</v>
      </c>
      <c r="H48" t="s">
        <v>63</v>
      </c>
      <c r="I48">
        <v>114</v>
      </c>
    </row>
    <row r="49" spans="1:9" x14ac:dyDescent="0.35">
      <c r="A49" t="s">
        <v>61</v>
      </c>
      <c r="B49">
        <v>107916626</v>
      </c>
      <c r="C49" t="s">
        <v>567</v>
      </c>
      <c r="D49" t="s">
        <v>60</v>
      </c>
      <c r="E49" t="s">
        <v>70</v>
      </c>
      <c r="F49">
        <v>202</v>
      </c>
      <c r="G49" t="s">
        <v>62</v>
      </c>
      <c r="H49" t="s">
        <v>64</v>
      </c>
      <c r="I49">
        <v>655</v>
      </c>
    </row>
    <row r="50" spans="1:9" x14ac:dyDescent="0.35">
      <c r="A50" t="s">
        <v>61</v>
      </c>
      <c r="B50">
        <v>107916626</v>
      </c>
      <c r="C50" t="s">
        <v>567</v>
      </c>
      <c r="D50" t="s">
        <v>60</v>
      </c>
      <c r="E50" t="s">
        <v>70</v>
      </c>
      <c r="F50">
        <v>202</v>
      </c>
      <c r="G50" t="s">
        <v>68</v>
      </c>
      <c r="H50" t="s">
        <v>67</v>
      </c>
      <c r="I50">
        <v>202</v>
      </c>
    </row>
    <row r="51" spans="1:9" x14ac:dyDescent="0.35">
      <c r="A51" t="s">
        <v>61</v>
      </c>
      <c r="B51">
        <v>107843844</v>
      </c>
      <c r="C51" t="s">
        <v>542</v>
      </c>
      <c r="D51" t="s">
        <v>72</v>
      </c>
      <c r="E51" t="s">
        <v>70</v>
      </c>
      <c r="F51">
        <v>336</v>
      </c>
      <c r="G51" t="s">
        <v>62</v>
      </c>
      <c r="H51" t="s">
        <v>67</v>
      </c>
      <c r="I51">
        <v>1486</v>
      </c>
    </row>
    <row r="52" spans="1:9" x14ac:dyDescent="0.35">
      <c r="A52" t="s">
        <v>61</v>
      </c>
      <c r="B52">
        <v>107843844</v>
      </c>
      <c r="C52" t="s">
        <v>542</v>
      </c>
      <c r="D52" t="s">
        <v>72</v>
      </c>
      <c r="E52" t="s">
        <v>70</v>
      </c>
      <c r="F52">
        <v>336</v>
      </c>
      <c r="G52" t="s">
        <v>62</v>
      </c>
      <c r="H52" t="s">
        <v>63</v>
      </c>
      <c r="I52">
        <v>274</v>
      </c>
    </row>
    <row r="53" spans="1:9" x14ac:dyDescent="0.35">
      <c r="A53" t="s">
        <v>61</v>
      </c>
      <c r="B53">
        <v>107843844</v>
      </c>
      <c r="C53" t="s">
        <v>542</v>
      </c>
      <c r="D53" t="s">
        <v>72</v>
      </c>
      <c r="E53" t="s">
        <v>70</v>
      </c>
      <c r="F53">
        <v>336</v>
      </c>
      <c r="G53" t="s">
        <v>62</v>
      </c>
      <c r="H53" t="s">
        <v>64</v>
      </c>
      <c r="I53">
        <v>1212</v>
      </c>
    </row>
    <row r="54" spans="1:9" x14ac:dyDescent="0.35">
      <c r="A54" t="s">
        <v>61</v>
      </c>
      <c r="B54">
        <v>107843844</v>
      </c>
      <c r="C54" t="s">
        <v>542</v>
      </c>
      <c r="D54" t="s">
        <v>72</v>
      </c>
      <c r="E54" t="s">
        <v>70</v>
      </c>
      <c r="F54">
        <v>336</v>
      </c>
      <c r="G54" t="s">
        <v>68</v>
      </c>
      <c r="H54" t="s">
        <v>67</v>
      </c>
      <c r="I54">
        <v>336</v>
      </c>
    </row>
    <row r="55" spans="1:9" x14ac:dyDescent="0.35">
      <c r="A55" t="s">
        <v>61</v>
      </c>
      <c r="B55">
        <v>107065561</v>
      </c>
      <c r="C55" t="s">
        <v>528</v>
      </c>
      <c r="D55" t="s">
        <v>78</v>
      </c>
      <c r="E55" t="s">
        <v>58</v>
      </c>
      <c r="F55">
        <v>277</v>
      </c>
      <c r="G55" t="s">
        <v>62</v>
      </c>
      <c r="H55" t="s">
        <v>67</v>
      </c>
      <c r="I55">
        <v>2953</v>
      </c>
    </row>
    <row r="56" spans="1:9" x14ac:dyDescent="0.35">
      <c r="A56" t="s">
        <v>61</v>
      </c>
      <c r="B56">
        <v>107065561</v>
      </c>
      <c r="C56" t="s">
        <v>528</v>
      </c>
      <c r="D56" t="s">
        <v>78</v>
      </c>
      <c r="E56" t="s">
        <v>58</v>
      </c>
      <c r="F56">
        <v>277</v>
      </c>
      <c r="G56" t="s">
        <v>62</v>
      </c>
      <c r="H56" t="s">
        <v>63</v>
      </c>
      <c r="I56">
        <v>730</v>
      </c>
    </row>
    <row r="57" spans="1:9" x14ac:dyDescent="0.35">
      <c r="A57" t="s">
        <v>61</v>
      </c>
      <c r="B57">
        <v>107065561</v>
      </c>
      <c r="C57" t="s">
        <v>528</v>
      </c>
      <c r="D57" t="s">
        <v>78</v>
      </c>
      <c r="E57" t="s">
        <v>58</v>
      </c>
      <c r="F57">
        <v>277</v>
      </c>
      <c r="G57" t="s">
        <v>62</v>
      </c>
      <c r="H57" t="s">
        <v>64</v>
      </c>
      <c r="I57">
        <v>2223</v>
      </c>
    </row>
    <row r="58" spans="1:9" x14ac:dyDescent="0.35">
      <c r="A58" t="s">
        <v>61</v>
      </c>
      <c r="B58">
        <v>107065561</v>
      </c>
      <c r="C58" t="s">
        <v>528</v>
      </c>
      <c r="D58" t="s">
        <v>78</v>
      </c>
      <c r="E58" t="s">
        <v>58</v>
      </c>
      <c r="F58">
        <v>277</v>
      </c>
      <c r="G58" t="s">
        <v>68</v>
      </c>
      <c r="H58" t="s">
        <v>67</v>
      </c>
      <c r="I58">
        <v>277</v>
      </c>
    </row>
    <row r="59" spans="1:9" x14ac:dyDescent="0.35">
      <c r="A59" t="s">
        <v>61</v>
      </c>
      <c r="B59">
        <v>107229417</v>
      </c>
      <c r="C59" t="s">
        <v>565</v>
      </c>
      <c r="D59" t="s">
        <v>60</v>
      </c>
      <c r="E59" t="s">
        <v>70</v>
      </c>
      <c r="F59">
        <v>475</v>
      </c>
      <c r="G59" t="s">
        <v>62</v>
      </c>
      <c r="H59" t="s">
        <v>67</v>
      </c>
      <c r="I59">
        <v>2689</v>
      </c>
    </row>
    <row r="60" spans="1:9" x14ac:dyDescent="0.35">
      <c r="A60" t="s">
        <v>61</v>
      </c>
      <c r="B60">
        <v>107229417</v>
      </c>
      <c r="C60" t="s">
        <v>565</v>
      </c>
      <c r="D60" t="s">
        <v>60</v>
      </c>
      <c r="E60" t="s">
        <v>70</v>
      </c>
      <c r="F60">
        <v>475</v>
      </c>
      <c r="G60" t="s">
        <v>62</v>
      </c>
      <c r="H60" t="s">
        <v>63</v>
      </c>
      <c r="I60">
        <v>710</v>
      </c>
    </row>
    <row r="61" spans="1:9" x14ac:dyDescent="0.35">
      <c r="A61" t="s">
        <v>61</v>
      </c>
      <c r="B61">
        <v>107229417</v>
      </c>
      <c r="C61" t="s">
        <v>565</v>
      </c>
      <c r="D61" t="s">
        <v>60</v>
      </c>
      <c r="E61" t="s">
        <v>70</v>
      </c>
      <c r="F61">
        <v>475</v>
      </c>
      <c r="G61" t="s">
        <v>62</v>
      </c>
      <c r="H61" t="s">
        <v>64</v>
      </c>
      <c r="I61">
        <v>1979</v>
      </c>
    </row>
    <row r="62" spans="1:9" x14ac:dyDescent="0.35">
      <c r="A62" t="s">
        <v>61</v>
      </c>
      <c r="B62">
        <v>107229417</v>
      </c>
      <c r="C62" t="s">
        <v>565</v>
      </c>
      <c r="D62" t="s">
        <v>60</v>
      </c>
      <c r="E62" t="s">
        <v>70</v>
      </c>
      <c r="F62">
        <v>475</v>
      </c>
      <c r="G62" t="s">
        <v>68</v>
      </c>
      <c r="H62" t="s">
        <v>67</v>
      </c>
      <c r="I62">
        <v>475</v>
      </c>
    </row>
    <row r="63" spans="1:9" x14ac:dyDescent="0.35">
      <c r="A63" t="s">
        <v>61</v>
      </c>
      <c r="B63">
        <v>107741612</v>
      </c>
      <c r="C63" t="s">
        <v>96</v>
      </c>
      <c r="D63" t="s">
        <v>60</v>
      </c>
      <c r="E63" t="s">
        <v>70</v>
      </c>
      <c r="F63">
        <v>525</v>
      </c>
      <c r="G63" t="s">
        <v>62</v>
      </c>
      <c r="H63" t="s">
        <v>67</v>
      </c>
      <c r="I63">
        <v>2337</v>
      </c>
    </row>
    <row r="64" spans="1:9" x14ac:dyDescent="0.35">
      <c r="A64" t="s">
        <v>61</v>
      </c>
      <c r="B64">
        <v>107741612</v>
      </c>
      <c r="C64" t="s">
        <v>96</v>
      </c>
      <c r="D64" t="s">
        <v>60</v>
      </c>
      <c r="E64" t="s">
        <v>70</v>
      </c>
      <c r="F64">
        <v>525</v>
      </c>
      <c r="G64" t="s">
        <v>62</v>
      </c>
      <c r="H64" t="s">
        <v>63</v>
      </c>
      <c r="I64">
        <v>244</v>
      </c>
    </row>
    <row r="65" spans="1:9" x14ac:dyDescent="0.35">
      <c r="A65" t="s">
        <v>61</v>
      </c>
      <c r="B65">
        <v>107741612</v>
      </c>
      <c r="C65" t="s">
        <v>96</v>
      </c>
      <c r="D65" t="s">
        <v>60</v>
      </c>
      <c r="E65" t="s">
        <v>70</v>
      </c>
      <c r="F65">
        <v>525</v>
      </c>
      <c r="G65" t="s">
        <v>62</v>
      </c>
      <c r="H65" t="s">
        <v>64</v>
      </c>
      <c r="I65">
        <v>2093</v>
      </c>
    </row>
    <row r="66" spans="1:9" x14ac:dyDescent="0.35">
      <c r="A66" t="s">
        <v>61</v>
      </c>
      <c r="B66">
        <v>107741612</v>
      </c>
      <c r="C66" t="s">
        <v>96</v>
      </c>
      <c r="D66" t="s">
        <v>60</v>
      </c>
      <c r="E66" t="s">
        <v>70</v>
      </c>
      <c r="F66">
        <v>525</v>
      </c>
      <c r="G66" t="s">
        <v>68</v>
      </c>
      <c r="H66" t="s">
        <v>67</v>
      </c>
      <c r="I66">
        <v>525</v>
      </c>
    </row>
    <row r="67" spans="1:9" x14ac:dyDescent="0.35">
      <c r="A67" t="s">
        <v>61</v>
      </c>
      <c r="B67">
        <v>107232917</v>
      </c>
      <c r="C67" t="s">
        <v>530</v>
      </c>
      <c r="D67" t="s">
        <v>72</v>
      </c>
      <c r="E67" t="s">
        <v>70</v>
      </c>
      <c r="F67">
        <v>569</v>
      </c>
      <c r="G67" t="s">
        <v>62</v>
      </c>
      <c r="H67" t="s">
        <v>67</v>
      </c>
      <c r="I67">
        <v>1931</v>
      </c>
    </row>
    <row r="68" spans="1:9" x14ac:dyDescent="0.35">
      <c r="A68" t="s">
        <v>61</v>
      </c>
      <c r="B68">
        <v>107232917</v>
      </c>
      <c r="C68" t="s">
        <v>530</v>
      </c>
      <c r="D68" t="s">
        <v>72</v>
      </c>
      <c r="E68" t="s">
        <v>70</v>
      </c>
      <c r="F68">
        <v>569</v>
      </c>
      <c r="G68" t="s">
        <v>62</v>
      </c>
      <c r="H68" t="s">
        <v>63</v>
      </c>
      <c r="I68">
        <v>93</v>
      </c>
    </row>
    <row r="69" spans="1:9" x14ac:dyDescent="0.35">
      <c r="A69" t="s">
        <v>61</v>
      </c>
      <c r="B69">
        <v>107232917</v>
      </c>
      <c r="C69" t="s">
        <v>530</v>
      </c>
      <c r="D69" t="s">
        <v>72</v>
      </c>
      <c r="E69" t="s">
        <v>70</v>
      </c>
      <c r="F69">
        <v>569</v>
      </c>
      <c r="G69" t="s">
        <v>62</v>
      </c>
      <c r="H69" t="s">
        <v>64</v>
      </c>
      <c r="I69">
        <v>1838</v>
      </c>
    </row>
    <row r="70" spans="1:9" x14ac:dyDescent="0.35">
      <c r="A70" t="s">
        <v>61</v>
      </c>
      <c r="B70">
        <v>107232917</v>
      </c>
      <c r="C70" t="s">
        <v>530</v>
      </c>
      <c r="D70" t="s">
        <v>72</v>
      </c>
      <c r="E70" t="s">
        <v>70</v>
      </c>
      <c r="F70">
        <v>569</v>
      </c>
      <c r="G70" t="s">
        <v>68</v>
      </c>
      <c r="H70" t="s">
        <v>67</v>
      </c>
      <c r="I70">
        <v>569</v>
      </c>
    </row>
    <row r="71" spans="1:9" x14ac:dyDescent="0.35">
      <c r="A71" t="s">
        <v>61</v>
      </c>
      <c r="B71">
        <v>107843876</v>
      </c>
      <c r="C71" t="s">
        <v>543</v>
      </c>
      <c r="D71" t="s">
        <v>72</v>
      </c>
      <c r="E71" t="s">
        <v>70</v>
      </c>
      <c r="F71">
        <v>360</v>
      </c>
      <c r="G71" t="s">
        <v>62</v>
      </c>
      <c r="H71" t="s">
        <v>67</v>
      </c>
      <c r="I71">
        <v>1760</v>
      </c>
    </row>
    <row r="72" spans="1:9" x14ac:dyDescent="0.35">
      <c r="A72" t="s">
        <v>61</v>
      </c>
      <c r="B72">
        <v>107843876</v>
      </c>
      <c r="C72" t="s">
        <v>543</v>
      </c>
      <c r="D72" t="s">
        <v>72</v>
      </c>
      <c r="E72" t="s">
        <v>70</v>
      </c>
      <c r="F72">
        <v>360</v>
      </c>
      <c r="G72" t="s">
        <v>62</v>
      </c>
      <c r="H72" t="s">
        <v>63</v>
      </c>
      <c r="I72">
        <v>236</v>
      </c>
    </row>
    <row r="73" spans="1:9" x14ac:dyDescent="0.35">
      <c r="A73" t="s">
        <v>61</v>
      </c>
      <c r="B73">
        <v>107843876</v>
      </c>
      <c r="C73" t="s">
        <v>543</v>
      </c>
      <c r="D73" t="s">
        <v>72</v>
      </c>
      <c r="E73" t="s">
        <v>70</v>
      </c>
      <c r="F73">
        <v>360</v>
      </c>
      <c r="G73" t="s">
        <v>62</v>
      </c>
      <c r="H73" t="s">
        <v>64</v>
      </c>
      <c r="I73">
        <v>1524</v>
      </c>
    </row>
    <row r="74" spans="1:9" x14ac:dyDescent="0.35">
      <c r="A74" t="s">
        <v>61</v>
      </c>
      <c r="B74">
        <v>107843876</v>
      </c>
      <c r="C74" t="s">
        <v>543</v>
      </c>
      <c r="D74" t="s">
        <v>72</v>
      </c>
      <c r="E74" t="s">
        <v>70</v>
      </c>
      <c r="F74">
        <v>360</v>
      </c>
      <c r="G74" t="s">
        <v>68</v>
      </c>
      <c r="H74" t="s">
        <v>67</v>
      </c>
      <c r="I74">
        <v>360</v>
      </c>
    </row>
    <row r="75" spans="1:9" x14ac:dyDescent="0.35">
      <c r="A75" t="s">
        <v>61</v>
      </c>
      <c r="B75">
        <v>107233197</v>
      </c>
      <c r="C75" t="s">
        <v>553</v>
      </c>
      <c r="D75" t="s">
        <v>72</v>
      </c>
      <c r="E75" t="s">
        <v>70</v>
      </c>
      <c r="F75">
        <v>422</v>
      </c>
      <c r="G75" t="s">
        <v>62</v>
      </c>
      <c r="H75" t="s">
        <v>67</v>
      </c>
      <c r="I75">
        <v>2357</v>
      </c>
    </row>
    <row r="76" spans="1:9" x14ac:dyDescent="0.35">
      <c r="A76" t="s">
        <v>61</v>
      </c>
      <c r="B76">
        <v>107233197</v>
      </c>
      <c r="C76" t="s">
        <v>553</v>
      </c>
      <c r="D76" t="s">
        <v>72</v>
      </c>
      <c r="E76" t="s">
        <v>70</v>
      </c>
      <c r="F76">
        <v>422</v>
      </c>
      <c r="G76" t="s">
        <v>62</v>
      </c>
      <c r="H76" t="s">
        <v>63</v>
      </c>
      <c r="I76">
        <v>920</v>
      </c>
    </row>
    <row r="77" spans="1:9" x14ac:dyDescent="0.35">
      <c r="A77" t="s">
        <v>61</v>
      </c>
      <c r="B77">
        <v>107233197</v>
      </c>
      <c r="C77" t="s">
        <v>553</v>
      </c>
      <c r="D77" t="s">
        <v>72</v>
      </c>
      <c r="E77" t="s">
        <v>70</v>
      </c>
      <c r="F77">
        <v>422</v>
      </c>
      <c r="G77" t="s">
        <v>62</v>
      </c>
      <c r="H77" t="s">
        <v>64</v>
      </c>
      <c r="I77">
        <v>1437</v>
      </c>
    </row>
    <row r="78" spans="1:9" x14ac:dyDescent="0.35">
      <c r="A78" t="s">
        <v>61</v>
      </c>
      <c r="B78">
        <v>107233197</v>
      </c>
      <c r="C78" t="s">
        <v>553</v>
      </c>
      <c r="D78" t="s">
        <v>72</v>
      </c>
      <c r="E78" t="s">
        <v>70</v>
      </c>
      <c r="F78">
        <v>422</v>
      </c>
      <c r="G78" t="s">
        <v>68</v>
      </c>
      <c r="H78" t="s">
        <v>67</v>
      </c>
      <c r="I78">
        <v>422</v>
      </c>
    </row>
    <row r="79" spans="1:9" x14ac:dyDescent="0.35">
      <c r="A79" t="s">
        <v>61</v>
      </c>
      <c r="B79">
        <v>107221225</v>
      </c>
      <c r="C79" t="s">
        <v>87</v>
      </c>
      <c r="D79" t="s">
        <v>60</v>
      </c>
      <c r="E79" t="s">
        <v>58</v>
      </c>
      <c r="F79">
        <v>355</v>
      </c>
      <c r="G79" t="s">
        <v>62</v>
      </c>
      <c r="H79" t="s">
        <v>67</v>
      </c>
      <c r="I79">
        <v>3651</v>
      </c>
    </row>
    <row r="80" spans="1:9" x14ac:dyDescent="0.35">
      <c r="A80" t="s">
        <v>61</v>
      </c>
      <c r="B80">
        <v>107221225</v>
      </c>
      <c r="C80" t="s">
        <v>87</v>
      </c>
      <c r="D80" t="s">
        <v>60</v>
      </c>
      <c r="E80" t="s">
        <v>58</v>
      </c>
      <c r="F80">
        <v>355</v>
      </c>
      <c r="G80" t="s">
        <v>62</v>
      </c>
      <c r="H80" t="s">
        <v>63</v>
      </c>
      <c r="I80">
        <v>778</v>
      </c>
    </row>
    <row r="81" spans="1:9" x14ac:dyDescent="0.35">
      <c r="A81" t="s">
        <v>61</v>
      </c>
      <c r="B81">
        <v>107221225</v>
      </c>
      <c r="C81" t="s">
        <v>87</v>
      </c>
      <c r="D81" t="s">
        <v>60</v>
      </c>
      <c r="E81" t="s">
        <v>58</v>
      </c>
      <c r="F81">
        <v>355</v>
      </c>
      <c r="G81" t="s">
        <v>62</v>
      </c>
      <c r="H81" t="s">
        <v>64</v>
      </c>
      <c r="I81">
        <v>2873</v>
      </c>
    </row>
    <row r="82" spans="1:9" x14ac:dyDescent="0.35">
      <c r="A82" t="s">
        <v>61</v>
      </c>
      <c r="B82">
        <v>107221225</v>
      </c>
      <c r="C82" t="s">
        <v>87</v>
      </c>
      <c r="D82" t="s">
        <v>60</v>
      </c>
      <c r="E82" t="s">
        <v>58</v>
      </c>
      <c r="F82">
        <v>355</v>
      </c>
      <c r="G82" t="s">
        <v>68</v>
      </c>
      <c r="H82" t="s">
        <v>67</v>
      </c>
      <c r="I82">
        <v>355</v>
      </c>
    </row>
    <row r="83" spans="1:9" x14ac:dyDescent="0.35">
      <c r="A83" t="s">
        <v>61</v>
      </c>
      <c r="B83">
        <v>106534121</v>
      </c>
      <c r="C83" t="s">
        <v>562</v>
      </c>
      <c r="D83" t="s">
        <v>60</v>
      </c>
      <c r="E83" t="s">
        <v>70</v>
      </c>
      <c r="F83">
        <v>264</v>
      </c>
      <c r="G83" t="s">
        <v>62</v>
      </c>
      <c r="H83" t="s">
        <v>67</v>
      </c>
      <c r="I83">
        <v>1336</v>
      </c>
    </row>
    <row r="84" spans="1:9" x14ac:dyDescent="0.35">
      <c r="A84" t="s">
        <v>61</v>
      </c>
      <c r="B84">
        <v>106534121</v>
      </c>
      <c r="C84" t="s">
        <v>562</v>
      </c>
      <c r="D84" t="s">
        <v>60</v>
      </c>
      <c r="E84" t="s">
        <v>70</v>
      </c>
      <c r="F84">
        <v>264</v>
      </c>
      <c r="G84" t="s">
        <v>62</v>
      </c>
      <c r="H84" t="s">
        <v>63</v>
      </c>
      <c r="I84">
        <v>165</v>
      </c>
    </row>
    <row r="85" spans="1:9" x14ac:dyDescent="0.35">
      <c r="A85" t="s">
        <v>61</v>
      </c>
      <c r="B85">
        <v>106534121</v>
      </c>
      <c r="C85" t="s">
        <v>562</v>
      </c>
      <c r="D85" t="s">
        <v>60</v>
      </c>
      <c r="E85" t="s">
        <v>70</v>
      </c>
      <c r="F85">
        <v>264</v>
      </c>
      <c r="G85" t="s">
        <v>62</v>
      </c>
      <c r="H85" t="s">
        <v>64</v>
      </c>
      <c r="I85">
        <v>1171</v>
      </c>
    </row>
    <row r="86" spans="1:9" x14ac:dyDescent="0.35">
      <c r="A86" t="s">
        <v>61</v>
      </c>
      <c r="B86">
        <v>106534121</v>
      </c>
      <c r="C86" t="s">
        <v>562</v>
      </c>
      <c r="D86" t="s">
        <v>60</v>
      </c>
      <c r="E86" t="s">
        <v>70</v>
      </c>
      <c r="F86">
        <v>264</v>
      </c>
      <c r="G86" t="s">
        <v>68</v>
      </c>
      <c r="H86" t="s">
        <v>67</v>
      </c>
      <c r="I86">
        <v>264</v>
      </c>
    </row>
    <row r="87" spans="1:9" x14ac:dyDescent="0.35">
      <c r="A87" t="s">
        <v>61</v>
      </c>
      <c r="B87">
        <v>107221231</v>
      </c>
      <c r="C87" t="s">
        <v>88</v>
      </c>
      <c r="D87" t="s">
        <v>60</v>
      </c>
      <c r="E87" t="s">
        <v>70</v>
      </c>
      <c r="F87">
        <v>331</v>
      </c>
      <c r="G87" t="s">
        <v>62</v>
      </c>
      <c r="H87" t="s">
        <v>67</v>
      </c>
      <c r="I87">
        <v>3036</v>
      </c>
    </row>
    <row r="88" spans="1:9" x14ac:dyDescent="0.35">
      <c r="A88" t="s">
        <v>61</v>
      </c>
      <c r="B88">
        <v>107221231</v>
      </c>
      <c r="C88" t="s">
        <v>88</v>
      </c>
      <c r="D88" t="s">
        <v>60</v>
      </c>
      <c r="E88" t="s">
        <v>70</v>
      </c>
      <c r="F88">
        <v>331</v>
      </c>
      <c r="G88" t="s">
        <v>62</v>
      </c>
      <c r="H88" t="s">
        <v>63</v>
      </c>
      <c r="I88">
        <v>1215</v>
      </c>
    </row>
    <row r="89" spans="1:9" x14ac:dyDescent="0.35">
      <c r="A89" t="s">
        <v>61</v>
      </c>
      <c r="B89">
        <v>107221231</v>
      </c>
      <c r="C89" t="s">
        <v>88</v>
      </c>
      <c r="D89" t="s">
        <v>60</v>
      </c>
      <c r="E89" t="s">
        <v>70</v>
      </c>
      <c r="F89">
        <v>331</v>
      </c>
      <c r="G89" t="s">
        <v>62</v>
      </c>
      <c r="H89" t="s">
        <v>64</v>
      </c>
      <c r="I89">
        <v>1821</v>
      </c>
    </row>
    <row r="90" spans="1:9" x14ac:dyDescent="0.35">
      <c r="A90" t="s">
        <v>61</v>
      </c>
      <c r="B90">
        <v>107221231</v>
      </c>
      <c r="C90" t="s">
        <v>88</v>
      </c>
      <c r="D90" t="s">
        <v>60</v>
      </c>
      <c r="E90" t="s">
        <v>70</v>
      </c>
      <c r="F90">
        <v>331</v>
      </c>
      <c r="G90" t="s">
        <v>68</v>
      </c>
      <c r="H90" t="s">
        <v>67</v>
      </c>
      <c r="I90">
        <v>331</v>
      </c>
    </row>
    <row r="91" spans="1:9" x14ac:dyDescent="0.35">
      <c r="A91" t="s">
        <v>61</v>
      </c>
      <c r="B91">
        <v>107826201</v>
      </c>
      <c r="C91" t="s">
        <v>539</v>
      </c>
      <c r="D91" t="s">
        <v>60</v>
      </c>
      <c r="E91" t="s">
        <v>58</v>
      </c>
      <c r="F91">
        <v>341</v>
      </c>
      <c r="G91" t="s">
        <v>62</v>
      </c>
      <c r="H91" t="s">
        <v>67</v>
      </c>
      <c r="I91">
        <v>3189</v>
      </c>
    </row>
    <row r="92" spans="1:9" x14ac:dyDescent="0.35">
      <c r="A92" t="s">
        <v>61</v>
      </c>
      <c r="B92">
        <v>107826201</v>
      </c>
      <c r="C92" t="s">
        <v>539</v>
      </c>
      <c r="D92" t="s">
        <v>60</v>
      </c>
      <c r="E92" t="s">
        <v>58</v>
      </c>
      <c r="F92">
        <v>341</v>
      </c>
      <c r="G92" t="s">
        <v>62</v>
      </c>
      <c r="H92" t="s">
        <v>63</v>
      </c>
      <c r="I92">
        <v>968</v>
      </c>
    </row>
    <row r="93" spans="1:9" x14ac:dyDescent="0.35">
      <c r="A93" t="s">
        <v>61</v>
      </c>
      <c r="B93">
        <v>107826201</v>
      </c>
      <c r="C93" t="s">
        <v>539</v>
      </c>
      <c r="D93" t="s">
        <v>60</v>
      </c>
      <c r="E93" t="s">
        <v>58</v>
      </c>
      <c r="F93">
        <v>341</v>
      </c>
      <c r="G93" t="s">
        <v>62</v>
      </c>
      <c r="H93" t="s">
        <v>64</v>
      </c>
      <c r="I93">
        <v>2221</v>
      </c>
    </row>
    <row r="94" spans="1:9" x14ac:dyDescent="0.35">
      <c r="A94" t="s">
        <v>61</v>
      </c>
      <c r="B94">
        <v>107826201</v>
      </c>
      <c r="C94" t="s">
        <v>539</v>
      </c>
      <c r="D94" t="s">
        <v>60</v>
      </c>
      <c r="E94" t="s">
        <v>58</v>
      </c>
      <c r="F94">
        <v>341</v>
      </c>
      <c r="G94" t="s">
        <v>68</v>
      </c>
      <c r="H94" t="s">
        <v>67</v>
      </c>
      <c r="I94">
        <v>341</v>
      </c>
    </row>
    <row r="95" spans="1:9" x14ac:dyDescent="0.35">
      <c r="A95" t="s">
        <v>61</v>
      </c>
      <c r="B95">
        <v>106406425</v>
      </c>
      <c r="C95" t="s">
        <v>561</v>
      </c>
      <c r="D95" t="s">
        <v>78</v>
      </c>
      <c r="E95" t="s">
        <v>70</v>
      </c>
      <c r="F95">
        <v>276</v>
      </c>
      <c r="G95" t="s">
        <v>62</v>
      </c>
      <c r="H95" t="s">
        <v>67</v>
      </c>
      <c r="I95">
        <v>1079</v>
      </c>
    </row>
    <row r="96" spans="1:9" x14ac:dyDescent="0.35">
      <c r="A96" t="s">
        <v>61</v>
      </c>
      <c r="B96">
        <v>106406425</v>
      </c>
      <c r="C96" t="s">
        <v>561</v>
      </c>
      <c r="D96" t="s">
        <v>78</v>
      </c>
      <c r="E96" t="s">
        <v>70</v>
      </c>
      <c r="F96">
        <v>276</v>
      </c>
      <c r="G96" t="s">
        <v>62</v>
      </c>
      <c r="H96" t="s">
        <v>63</v>
      </c>
      <c r="I96">
        <v>120</v>
      </c>
    </row>
    <row r="97" spans="1:9" x14ac:dyDescent="0.35">
      <c r="A97" t="s">
        <v>61</v>
      </c>
      <c r="B97">
        <v>106406425</v>
      </c>
      <c r="C97" t="s">
        <v>561</v>
      </c>
      <c r="D97" t="s">
        <v>78</v>
      </c>
      <c r="E97" t="s">
        <v>70</v>
      </c>
      <c r="F97">
        <v>276</v>
      </c>
      <c r="G97" t="s">
        <v>62</v>
      </c>
      <c r="H97" t="s">
        <v>64</v>
      </c>
      <c r="I97">
        <v>959</v>
      </c>
    </row>
    <row r="98" spans="1:9" x14ac:dyDescent="0.35">
      <c r="A98" t="s">
        <v>61</v>
      </c>
      <c r="B98">
        <v>106406425</v>
      </c>
      <c r="C98" t="s">
        <v>561</v>
      </c>
      <c r="D98" t="s">
        <v>78</v>
      </c>
      <c r="E98" t="s">
        <v>70</v>
      </c>
      <c r="F98">
        <v>276</v>
      </c>
      <c r="G98" t="s">
        <v>68</v>
      </c>
      <c r="H98" t="s">
        <v>67</v>
      </c>
      <c r="I98">
        <v>276</v>
      </c>
    </row>
    <row r="99" spans="1:9" x14ac:dyDescent="0.35">
      <c r="A99" t="s">
        <v>61</v>
      </c>
      <c r="B99">
        <v>107233200</v>
      </c>
      <c r="C99" t="s">
        <v>533</v>
      </c>
      <c r="D99" t="s">
        <v>72</v>
      </c>
      <c r="E99" t="s">
        <v>70</v>
      </c>
      <c r="F99">
        <v>506</v>
      </c>
      <c r="G99" t="s">
        <v>62</v>
      </c>
      <c r="H99" t="s">
        <v>67</v>
      </c>
      <c r="I99">
        <v>2650</v>
      </c>
    </row>
    <row r="100" spans="1:9" x14ac:dyDescent="0.35">
      <c r="A100" t="s">
        <v>61</v>
      </c>
      <c r="B100">
        <v>107233200</v>
      </c>
      <c r="C100" t="s">
        <v>533</v>
      </c>
      <c r="D100" t="s">
        <v>72</v>
      </c>
      <c r="E100" t="s">
        <v>70</v>
      </c>
      <c r="F100">
        <v>506</v>
      </c>
      <c r="G100" t="s">
        <v>62</v>
      </c>
      <c r="H100" t="s">
        <v>63</v>
      </c>
      <c r="I100">
        <v>296</v>
      </c>
    </row>
    <row r="101" spans="1:9" x14ac:dyDescent="0.35">
      <c r="A101" t="s">
        <v>61</v>
      </c>
      <c r="B101">
        <v>107233200</v>
      </c>
      <c r="C101" t="s">
        <v>533</v>
      </c>
      <c r="D101" t="s">
        <v>72</v>
      </c>
      <c r="E101" t="s">
        <v>70</v>
      </c>
      <c r="F101">
        <v>506</v>
      </c>
      <c r="G101" t="s">
        <v>62</v>
      </c>
      <c r="H101" t="s">
        <v>64</v>
      </c>
      <c r="I101">
        <v>2354</v>
      </c>
    </row>
    <row r="102" spans="1:9" x14ac:dyDescent="0.35">
      <c r="A102" t="s">
        <v>61</v>
      </c>
      <c r="B102">
        <v>107233200</v>
      </c>
      <c r="C102" t="s">
        <v>533</v>
      </c>
      <c r="D102" t="s">
        <v>72</v>
      </c>
      <c r="E102" t="s">
        <v>70</v>
      </c>
      <c r="F102">
        <v>506</v>
      </c>
      <c r="G102" t="s">
        <v>68</v>
      </c>
      <c r="H102" t="s">
        <v>67</v>
      </c>
      <c r="I102">
        <v>506</v>
      </c>
    </row>
    <row r="103" spans="1:9" x14ac:dyDescent="0.35">
      <c r="A103" t="s">
        <v>61</v>
      </c>
      <c r="B103">
        <v>104378003</v>
      </c>
      <c r="C103" t="s">
        <v>526</v>
      </c>
      <c r="D103" t="s">
        <v>72</v>
      </c>
      <c r="E103" t="s">
        <v>70</v>
      </c>
      <c r="F103">
        <v>410</v>
      </c>
      <c r="G103" t="s">
        <v>62</v>
      </c>
      <c r="H103" t="s">
        <v>67</v>
      </c>
      <c r="I103">
        <v>2250</v>
      </c>
    </row>
    <row r="104" spans="1:9" x14ac:dyDescent="0.35">
      <c r="A104" t="s">
        <v>61</v>
      </c>
      <c r="B104">
        <v>104378003</v>
      </c>
      <c r="C104" t="s">
        <v>526</v>
      </c>
      <c r="D104" t="s">
        <v>72</v>
      </c>
      <c r="E104" t="s">
        <v>70</v>
      </c>
      <c r="F104">
        <v>410</v>
      </c>
      <c r="G104" t="s">
        <v>62</v>
      </c>
      <c r="H104" t="s">
        <v>63</v>
      </c>
      <c r="I104">
        <v>526</v>
      </c>
    </row>
    <row r="105" spans="1:9" x14ac:dyDescent="0.35">
      <c r="A105" t="s">
        <v>61</v>
      </c>
      <c r="B105">
        <v>104378003</v>
      </c>
      <c r="C105" t="s">
        <v>526</v>
      </c>
      <c r="D105" t="s">
        <v>72</v>
      </c>
      <c r="E105" t="s">
        <v>70</v>
      </c>
      <c r="F105">
        <v>410</v>
      </c>
      <c r="G105" t="s">
        <v>62</v>
      </c>
      <c r="H105" t="s">
        <v>64</v>
      </c>
      <c r="I105">
        <v>1724</v>
      </c>
    </row>
    <row r="106" spans="1:9" x14ac:dyDescent="0.35">
      <c r="A106" t="s">
        <v>61</v>
      </c>
      <c r="B106">
        <v>104378003</v>
      </c>
      <c r="C106" t="s">
        <v>526</v>
      </c>
      <c r="D106" t="s">
        <v>72</v>
      </c>
      <c r="E106" t="s">
        <v>70</v>
      </c>
      <c r="F106">
        <v>410</v>
      </c>
      <c r="G106" t="s">
        <v>68</v>
      </c>
      <c r="H106" t="s">
        <v>67</v>
      </c>
      <c r="I106">
        <v>410</v>
      </c>
    </row>
    <row r="107" spans="1:9" x14ac:dyDescent="0.35">
      <c r="A107" t="s">
        <v>61</v>
      </c>
      <c r="B107">
        <v>107253126</v>
      </c>
      <c r="C107" t="s">
        <v>676</v>
      </c>
      <c r="D107" t="s">
        <v>78</v>
      </c>
      <c r="E107" t="s">
        <v>58</v>
      </c>
      <c r="F107">
        <v>132</v>
      </c>
      <c r="G107" t="s">
        <v>62</v>
      </c>
      <c r="H107" t="s">
        <v>67</v>
      </c>
      <c r="I107">
        <v>565</v>
      </c>
    </row>
    <row r="108" spans="1:9" x14ac:dyDescent="0.35">
      <c r="A108" t="s">
        <v>61</v>
      </c>
      <c r="B108">
        <v>107253126</v>
      </c>
      <c r="C108" t="s">
        <v>676</v>
      </c>
      <c r="D108" t="s">
        <v>78</v>
      </c>
      <c r="E108" t="s">
        <v>58</v>
      </c>
      <c r="F108">
        <v>132</v>
      </c>
      <c r="G108" t="s">
        <v>62</v>
      </c>
      <c r="H108" t="s">
        <v>63</v>
      </c>
      <c r="I108">
        <v>48</v>
      </c>
    </row>
    <row r="109" spans="1:9" x14ac:dyDescent="0.35">
      <c r="A109" t="s">
        <v>61</v>
      </c>
      <c r="B109">
        <v>107253126</v>
      </c>
      <c r="C109" t="s">
        <v>676</v>
      </c>
      <c r="D109" t="s">
        <v>78</v>
      </c>
      <c r="E109" t="s">
        <v>58</v>
      </c>
      <c r="F109">
        <v>132</v>
      </c>
      <c r="G109" t="s">
        <v>62</v>
      </c>
      <c r="H109" t="s">
        <v>64</v>
      </c>
      <c r="I109">
        <v>517</v>
      </c>
    </row>
    <row r="110" spans="1:9" x14ac:dyDescent="0.35">
      <c r="A110" t="s">
        <v>61</v>
      </c>
      <c r="B110">
        <v>107253126</v>
      </c>
      <c r="C110" t="s">
        <v>676</v>
      </c>
      <c r="D110" t="s">
        <v>78</v>
      </c>
      <c r="E110" t="s">
        <v>58</v>
      </c>
      <c r="F110">
        <v>132</v>
      </c>
      <c r="G110" t="s">
        <v>68</v>
      </c>
      <c r="H110" t="s">
        <v>67</v>
      </c>
      <c r="I110">
        <v>132</v>
      </c>
    </row>
    <row r="111" spans="1:9" x14ac:dyDescent="0.35">
      <c r="A111" t="s">
        <v>61</v>
      </c>
      <c r="B111">
        <v>107824169</v>
      </c>
      <c r="C111" t="s">
        <v>103</v>
      </c>
      <c r="D111" t="s">
        <v>60</v>
      </c>
      <c r="E111" t="s">
        <v>58</v>
      </c>
      <c r="F111">
        <v>136</v>
      </c>
      <c r="G111" t="s">
        <v>62</v>
      </c>
      <c r="H111" t="s">
        <v>67</v>
      </c>
      <c r="I111">
        <v>1972</v>
      </c>
    </row>
    <row r="112" spans="1:9" x14ac:dyDescent="0.35">
      <c r="A112" t="s">
        <v>61</v>
      </c>
      <c r="B112">
        <v>107824169</v>
      </c>
      <c r="C112" t="s">
        <v>103</v>
      </c>
      <c r="D112" t="s">
        <v>60</v>
      </c>
      <c r="E112" t="s">
        <v>58</v>
      </c>
      <c r="F112">
        <v>136</v>
      </c>
      <c r="G112" t="s">
        <v>62</v>
      </c>
      <c r="H112" t="s">
        <v>63</v>
      </c>
      <c r="I112">
        <v>902</v>
      </c>
    </row>
    <row r="113" spans="1:9" x14ac:dyDescent="0.35">
      <c r="A113" t="s">
        <v>61</v>
      </c>
      <c r="B113">
        <v>107824169</v>
      </c>
      <c r="C113" t="s">
        <v>103</v>
      </c>
      <c r="D113" t="s">
        <v>60</v>
      </c>
      <c r="E113" t="s">
        <v>58</v>
      </c>
      <c r="F113">
        <v>136</v>
      </c>
      <c r="G113" t="s">
        <v>62</v>
      </c>
      <c r="H113" t="s">
        <v>64</v>
      </c>
      <c r="I113">
        <v>1070</v>
      </c>
    </row>
    <row r="114" spans="1:9" x14ac:dyDescent="0.35">
      <c r="A114" t="s">
        <v>61</v>
      </c>
      <c r="B114">
        <v>107824169</v>
      </c>
      <c r="C114" t="s">
        <v>103</v>
      </c>
      <c r="D114" t="s">
        <v>60</v>
      </c>
      <c r="E114" t="s">
        <v>58</v>
      </c>
      <c r="F114">
        <v>136</v>
      </c>
      <c r="G114" t="s">
        <v>68</v>
      </c>
      <c r="H114" t="s">
        <v>67</v>
      </c>
      <c r="I114">
        <v>136</v>
      </c>
    </row>
    <row r="115" spans="1:9" x14ac:dyDescent="0.35">
      <c r="A115" t="s">
        <v>61</v>
      </c>
      <c r="B115">
        <v>107826193</v>
      </c>
      <c r="C115" t="s">
        <v>538</v>
      </c>
      <c r="D115" t="s">
        <v>60</v>
      </c>
      <c r="E115" t="s">
        <v>58</v>
      </c>
      <c r="F115">
        <v>421</v>
      </c>
      <c r="G115" t="s">
        <v>62</v>
      </c>
      <c r="H115" t="s">
        <v>67</v>
      </c>
      <c r="I115">
        <v>1604</v>
      </c>
    </row>
    <row r="116" spans="1:9" x14ac:dyDescent="0.35">
      <c r="A116" t="s">
        <v>61</v>
      </c>
      <c r="B116">
        <v>107826193</v>
      </c>
      <c r="C116" t="s">
        <v>538</v>
      </c>
      <c r="D116" t="s">
        <v>60</v>
      </c>
      <c r="E116" t="s">
        <v>58</v>
      </c>
      <c r="F116">
        <v>421</v>
      </c>
      <c r="G116" t="s">
        <v>62</v>
      </c>
      <c r="H116" t="s">
        <v>63</v>
      </c>
      <c r="I116">
        <v>386</v>
      </c>
    </row>
    <row r="117" spans="1:9" x14ac:dyDescent="0.35">
      <c r="A117" t="s">
        <v>61</v>
      </c>
      <c r="B117">
        <v>107826193</v>
      </c>
      <c r="C117" t="s">
        <v>538</v>
      </c>
      <c r="D117" t="s">
        <v>60</v>
      </c>
      <c r="E117" t="s">
        <v>58</v>
      </c>
      <c r="F117">
        <v>421</v>
      </c>
      <c r="G117" t="s">
        <v>62</v>
      </c>
      <c r="H117" t="s">
        <v>64</v>
      </c>
      <c r="I117">
        <v>1218</v>
      </c>
    </row>
    <row r="118" spans="1:9" x14ac:dyDescent="0.35">
      <c r="A118" t="s">
        <v>61</v>
      </c>
      <c r="B118">
        <v>107826193</v>
      </c>
      <c r="C118" t="s">
        <v>538</v>
      </c>
      <c r="D118" t="s">
        <v>60</v>
      </c>
      <c r="E118" t="s">
        <v>58</v>
      </c>
      <c r="F118">
        <v>421</v>
      </c>
      <c r="G118" t="s">
        <v>68</v>
      </c>
      <c r="H118" t="s">
        <v>67</v>
      </c>
      <c r="I118">
        <v>421</v>
      </c>
    </row>
    <row r="119" spans="1:9" x14ac:dyDescent="0.35">
      <c r="A119" t="s">
        <v>61</v>
      </c>
      <c r="B119">
        <v>101446428</v>
      </c>
      <c r="C119" t="s">
        <v>73</v>
      </c>
      <c r="D119" t="s">
        <v>60</v>
      </c>
      <c r="E119" t="s">
        <v>58</v>
      </c>
      <c r="F119">
        <v>317</v>
      </c>
      <c r="G119" t="s">
        <v>62</v>
      </c>
      <c r="H119" t="s">
        <v>67</v>
      </c>
      <c r="I119">
        <v>2669</v>
      </c>
    </row>
    <row r="120" spans="1:9" x14ac:dyDescent="0.35">
      <c r="A120" t="s">
        <v>61</v>
      </c>
      <c r="B120">
        <v>101446428</v>
      </c>
      <c r="C120" t="s">
        <v>73</v>
      </c>
      <c r="D120" t="s">
        <v>60</v>
      </c>
      <c r="E120" t="s">
        <v>58</v>
      </c>
      <c r="F120">
        <v>317</v>
      </c>
      <c r="G120" t="s">
        <v>62</v>
      </c>
      <c r="H120" t="s">
        <v>63</v>
      </c>
      <c r="I120">
        <v>356</v>
      </c>
    </row>
    <row r="121" spans="1:9" x14ac:dyDescent="0.35">
      <c r="A121" t="s">
        <v>61</v>
      </c>
      <c r="B121">
        <v>101446428</v>
      </c>
      <c r="C121" t="s">
        <v>73</v>
      </c>
      <c r="D121" t="s">
        <v>60</v>
      </c>
      <c r="E121" t="s">
        <v>58</v>
      </c>
      <c r="F121">
        <v>317</v>
      </c>
      <c r="G121" t="s">
        <v>62</v>
      </c>
      <c r="H121" t="s">
        <v>64</v>
      </c>
      <c r="I121">
        <v>2313</v>
      </c>
    </row>
    <row r="122" spans="1:9" x14ac:dyDescent="0.35">
      <c r="A122" t="s">
        <v>61</v>
      </c>
      <c r="B122">
        <v>101446428</v>
      </c>
      <c r="C122" t="s">
        <v>73</v>
      </c>
      <c r="D122" t="s">
        <v>60</v>
      </c>
      <c r="E122" t="s">
        <v>58</v>
      </c>
      <c r="F122">
        <v>317</v>
      </c>
      <c r="G122" t="s">
        <v>68</v>
      </c>
      <c r="H122" t="s">
        <v>67</v>
      </c>
      <c r="I122">
        <v>317</v>
      </c>
    </row>
    <row r="123" spans="1:9" x14ac:dyDescent="0.35">
      <c r="A123" t="s">
        <v>61</v>
      </c>
      <c r="B123">
        <v>107221213</v>
      </c>
      <c r="C123" t="s">
        <v>85</v>
      </c>
      <c r="D123" t="s">
        <v>60</v>
      </c>
      <c r="E123" t="s">
        <v>70</v>
      </c>
      <c r="F123">
        <v>283</v>
      </c>
      <c r="G123" t="s">
        <v>62</v>
      </c>
      <c r="H123" t="s">
        <v>67</v>
      </c>
      <c r="I123">
        <v>3634</v>
      </c>
    </row>
    <row r="124" spans="1:9" x14ac:dyDescent="0.35">
      <c r="A124" t="s">
        <v>61</v>
      </c>
      <c r="B124">
        <v>107221213</v>
      </c>
      <c r="C124" t="s">
        <v>85</v>
      </c>
      <c r="D124" t="s">
        <v>60</v>
      </c>
      <c r="E124" t="s">
        <v>70</v>
      </c>
      <c r="F124">
        <v>283</v>
      </c>
      <c r="G124" t="s">
        <v>62</v>
      </c>
      <c r="H124" t="s">
        <v>63</v>
      </c>
      <c r="I124">
        <v>1666</v>
      </c>
    </row>
    <row r="125" spans="1:9" x14ac:dyDescent="0.35">
      <c r="A125" t="s">
        <v>61</v>
      </c>
      <c r="B125">
        <v>107221213</v>
      </c>
      <c r="C125" t="s">
        <v>85</v>
      </c>
      <c r="D125" t="s">
        <v>60</v>
      </c>
      <c r="E125" t="s">
        <v>70</v>
      </c>
      <c r="F125">
        <v>283</v>
      </c>
      <c r="G125" t="s">
        <v>62</v>
      </c>
      <c r="H125" t="s">
        <v>64</v>
      </c>
      <c r="I125">
        <v>1968</v>
      </c>
    </row>
    <row r="126" spans="1:9" x14ac:dyDescent="0.35">
      <c r="A126" t="s">
        <v>61</v>
      </c>
      <c r="B126">
        <v>107221213</v>
      </c>
      <c r="C126" t="s">
        <v>85</v>
      </c>
      <c r="D126" t="s">
        <v>60</v>
      </c>
      <c r="E126" t="s">
        <v>70</v>
      </c>
      <c r="F126">
        <v>283</v>
      </c>
      <c r="G126" t="s">
        <v>68</v>
      </c>
      <c r="H126" t="s">
        <v>67</v>
      </c>
      <c r="I126">
        <v>283</v>
      </c>
    </row>
    <row r="127" spans="1:9" x14ac:dyDescent="0.35">
      <c r="A127" t="s">
        <v>61</v>
      </c>
      <c r="B127">
        <v>100633196</v>
      </c>
      <c r="C127" t="s">
        <v>59</v>
      </c>
      <c r="D127" t="s">
        <v>60</v>
      </c>
      <c r="E127" t="s">
        <v>58</v>
      </c>
      <c r="F127">
        <v>311</v>
      </c>
      <c r="G127" t="s">
        <v>62</v>
      </c>
      <c r="H127" t="s">
        <v>67</v>
      </c>
      <c r="I127">
        <v>1844</v>
      </c>
    </row>
    <row r="128" spans="1:9" x14ac:dyDescent="0.35">
      <c r="A128" t="s">
        <v>61</v>
      </c>
      <c r="B128">
        <v>100633196</v>
      </c>
      <c r="C128" t="s">
        <v>59</v>
      </c>
      <c r="D128" t="s">
        <v>60</v>
      </c>
      <c r="E128" t="s">
        <v>58</v>
      </c>
      <c r="F128">
        <v>311</v>
      </c>
      <c r="G128" t="s">
        <v>62</v>
      </c>
      <c r="H128" t="s">
        <v>63</v>
      </c>
      <c r="I128">
        <v>282</v>
      </c>
    </row>
    <row r="129" spans="1:9" x14ac:dyDescent="0.35">
      <c r="A129" t="s">
        <v>61</v>
      </c>
      <c r="B129">
        <v>100633196</v>
      </c>
      <c r="C129" t="s">
        <v>59</v>
      </c>
      <c r="D129" t="s">
        <v>60</v>
      </c>
      <c r="E129" t="s">
        <v>58</v>
      </c>
      <c r="F129">
        <v>311</v>
      </c>
      <c r="G129" t="s">
        <v>62</v>
      </c>
      <c r="H129" t="s">
        <v>64</v>
      </c>
      <c r="I129">
        <v>1562</v>
      </c>
    </row>
    <row r="130" spans="1:9" x14ac:dyDescent="0.35">
      <c r="A130" t="s">
        <v>61</v>
      </c>
      <c r="B130">
        <v>100633196</v>
      </c>
      <c r="C130" t="s">
        <v>59</v>
      </c>
      <c r="D130" t="s">
        <v>60</v>
      </c>
      <c r="E130" t="s">
        <v>58</v>
      </c>
      <c r="F130">
        <v>311</v>
      </c>
      <c r="G130" t="s">
        <v>68</v>
      </c>
      <c r="H130" t="s">
        <v>67</v>
      </c>
      <c r="I130">
        <v>311</v>
      </c>
    </row>
    <row r="131" spans="1:9" x14ac:dyDescent="0.35">
      <c r="A131" t="s">
        <v>61</v>
      </c>
      <c r="B131">
        <v>107232971</v>
      </c>
      <c r="C131" t="s">
        <v>531</v>
      </c>
      <c r="D131" t="s">
        <v>72</v>
      </c>
      <c r="E131" t="s">
        <v>70</v>
      </c>
      <c r="F131">
        <v>288</v>
      </c>
      <c r="G131" t="s">
        <v>62</v>
      </c>
      <c r="H131" t="s">
        <v>67</v>
      </c>
      <c r="I131">
        <v>2940</v>
      </c>
    </row>
    <row r="132" spans="1:9" x14ac:dyDescent="0.35">
      <c r="A132" t="s">
        <v>61</v>
      </c>
      <c r="B132">
        <v>107232971</v>
      </c>
      <c r="C132" t="s">
        <v>531</v>
      </c>
      <c r="D132" t="s">
        <v>72</v>
      </c>
      <c r="E132" t="s">
        <v>70</v>
      </c>
      <c r="F132">
        <v>288</v>
      </c>
      <c r="G132" t="s">
        <v>62</v>
      </c>
      <c r="H132" t="s">
        <v>63</v>
      </c>
      <c r="I132">
        <v>1214</v>
      </c>
    </row>
    <row r="133" spans="1:9" x14ac:dyDescent="0.35">
      <c r="A133" t="s">
        <v>61</v>
      </c>
      <c r="B133">
        <v>107232971</v>
      </c>
      <c r="C133" t="s">
        <v>531</v>
      </c>
      <c r="D133" t="s">
        <v>72</v>
      </c>
      <c r="E133" t="s">
        <v>70</v>
      </c>
      <c r="F133">
        <v>288</v>
      </c>
      <c r="G133" t="s">
        <v>62</v>
      </c>
      <c r="H133" t="s">
        <v>64</v>
      </c>
      <c r="I133">
        <v>1726</v>
      </c>
    </row>
    <row r="134" spans="1:9" x14ac:dyDescent="0.35">
      <c r="A134" t="s">
        <v>61</v>
      </c>
      <c r="B134">
        <v>107232971</v>
      </c>
      <c r="C134" t="s">
        <v>531</v>
      </c>
      <c r="D134" t="s">
        <v>72</v>
      </c>
      <c r="E134" t="s">
        <v>70</v>
      </c>
      <c r="F134">
        <v>288</v>
      </c>
      <c r="G134" t="s">
        <v>68</v>
      </c>
      <c r="H134" t="s">
        <v>67</v>
      </c>
      <c r="I134">
        <v>288</v>
      </c>
    </row>
    <row r="135" spans="1:9" x14ac:dyDescent="0.35">
      <c r="A135" t="s">
        <v>61</v>
      </c>
      <c r="B135">
        <v>107748062</v>
      </c>
      <c r="C135" t="s">
        <v>537</v>
      </c>
      <c r="D135" t="s">
        <v>78</v>
      </c>
      <c r="E135" t="s">
        <v>70</v>
      </c>
      <c r="F135">
        <v>282</v>
      </c>
      <c r="G135" t="s">
        <v>62</v>
      </c>
      <c r="H135" t="s">
        <v>67</v>
      </c>
      <c r="I135">
        <v>1842</v>
      </c>
    </row>
    <row r="136" spans="1:9" x14ac:dyDescent="0.35">
      <c r="A136" t="s">
        <v>61</v>
      </c>
      <c r="B136">
        <v>107748062</v>
      </c>
      <c r="C136" t="s">
        <v>537</v>
      </c>
      <c r="D136" t="s">
        <v>78</v>
      </c>
      <c r="E136" t="s">
        <v>70</v>
      </c>
      <c r="F136">
        <v>282</v>
      </c>
      <c r="G136" t="s">
        <v>62</v>
      </c>
      <c r="H136" t="s">
        <v>63</v>
      </c>
      <c r="I136">
        <v>428</v>
      </c>
    </row>
    <row r="137" spans="1:9" x14ac:dyDescent="0.35">
      <c r="A137" t="s">
        <v>61</v>
      </c>
      <c r="B137">
        <v>107748062</v>
      </c>
      <c r="C137" t="s">
        <v>537</v>
      </c>
      <c r="D137" t="s">
        <v>78</v>
      </c>
      <c r="E137" t="s">
        <v>70</v>
      </c>
      <c r="F137">
        <v>282</v>
      </c>
      <c r="G137" t="s">
        <v>62</v>
      </c>
      <c r="H137" t="s">
        <v>64</v>
      </c>
      <c r="I137">
        <v>1414</v>
      </c>
    </row>
    <row r="138" spans="1:9" x14ac:dyDescent="0.35">
      <c r="A138" t="s">
        <v>61</v>
      </c>
      <c r="B138">
        <v>107748062</v>
      </c>
      <c r="C138" t="s">
        <v>537</v>
      </c>
      <c r="D138" t="s">
        <v>78</v>
      </c>
      <c r="E138" t="s">
        <v>70</v>
      </c>
      <c r="F138">
        <v>282</v>
      </c>
      <c r="G138" t="s">
        <v>68</v>
      </c>
      <c r="H138" t="s">
        <v>67</v>
      </c>
      <c r="I138">
        <v>282</v>
      </c>
    </row>
    <row r="139" spans="1:9" x14ac:dyDescent="0.35">
      <c r="A139" t="s">
        <v>61</v>
      </c>
      <c r="B139">
        <v>105749066</v>
      </c>
      <c r="C139" t="s">
        <v>666</v>
      </c>
      <c r="D139" t="s">
        <v>72</v>
      </c>
      <c r="E139" t="s">
        <v>70</v>
      </c>
      <c r="F139">
        <v>387</v>
      </c>
      <c r="G139" t="s">
        <v>62</v>
      </c>
      <c r="H139" t="s">
        <v>67</v>
      </c>
      <c r="I139">
        <v>3689</v>
      </c>
    </row>
    <row r="140" spans="1:9" x14ac:dyDescent="0.35">
      <c r="A140" t="s">
        <v>61</v>
      </c>
      <c r="B140">
        <v>105749066</v>
      </c>
      <c r="C140" t="s">
        <v>666</v>
      </c>
      <c r="D140" t="s">
        <v>72</v>
      </c>
      <c r="E140" t="s">
        <v>70</v>
      </c>
      <c r="F140">
        <v>387</v>
      </c>
      <c r="G140" t="s">
        <v>62</v>
      </c>
      <c r="H140" t="s">
        <v>63</v>
      </c>
      <c r="I140">
        <v>1004</v>
      </c>
    </row>
    <row r="141" spans="1:9" x14ac:dyDescent="0.35">
      <c r="A141" t="s">
        <v>61</v>
      </c>
      <c r="B141">
        <v>105749066</v>
      </c>
      <c r="C141" t="s">
        <v>666</v>
      </c>
      <c r="D141" t="s">
        <v>72</v>
      </c>
      <c r="E141" t="s">
        <v>70</v>
      </c>
      <c r="F141">
        <v>387</v>
      </c>
      <c r="G141" t="s">
        <v>62</v>
      </c>
      <c r="H141" t="s">
        <v>64</v>
      </c>
      <c r="I141">
        <v>2685</v>
      </c>
    </row>
    <row r="142" spans="1:9" x14ac:dyDescent="0.35">
      <c r="A142" t="s">
        <v>61</v>
      </c>
      <c r="B142">
        <v>105749066</v>
      </c>
      <c r="C142" t="s">
        <v>666</v>
      </c>
      <c r="D142" t="s">
        <v>72</v>
      </c>
      <c r="E142" t="s">
        <v>70</v>
      </c>
      <c r="F142">
        <v>387</v>
      </c>
      <c r="G142" t="s">
        <v>68</v>
      </c>
      <c r="H142" t="s">
        <v>67</v>
      </c>
      <c r="I142">
        <v>387</v>
      </c>
    </row>
    <row r="143" spans="1:9" x14ac:dyDescent="0.35">
      <c r="A143" t="s">
        <v>61</v>
      </c>
      <c r="B143">
        <v>100865064</v>
      </c>
      <c r="C143" t="s">
        <v>525</v>
      </c>
      <c r="D143" t="s">
        <v>72</v>
      </c>
      <c r="E143" t="s">
        <v>70</v>
      </c>
      <c r="F143">
        <v>343</v>
      </c>
      <c r="G143" t="s">
        <v>62</v>
      </c>
      <c r="H143" t="s">
        <v>67</v>
      </c>
      <c r="I143">
        <v>1530</v>
      </c>
    </row>
    <row r="144" spans="1:9" x14ac:dyDescent="0.35">
      <c r="A144" t="s">
        <v>61</v>
      </c>
      <c r="B144">
        <v>100865064</v>
      </c>
      <c r="C144" t="s">
        <v>525</v>
      </c>
      <c r="D144" t="s">
        <v>72</v>
      </c>
      <c r="E144" t="s">
        <v>70</v>
      </c>
      <c r="F144">
        <v>343</v>
      </c>
      <c r="G144" t="s">
        <v>62</v>
      </c>
      <c r="H144" t="s">
        <v>63</v>
      </c>
      <c r="I144">
        <v>336</v>
      </c>
    </row>
    <row r="145" spans="1:9" x14ac:dyDescent="0.35">
      <c r="A145" t="s">
        <v>61</v>
      </c>
      <c r="B145">
        <v>100865064</v>
      </c>
      <c r="C145" t="s">
        <v>525</v>
      </c>
      <c r="D145" t="s">
        <v>72</v>
      </c>
      <c r="E145" t="s">
        <v>70</v>
      </c>
      <c r="F145">
        <v>343</v>
      </c>
      <c r="G145" t="s">
        <v>62</v>
      </c>
      <c r="H145" t="s">
        <v>64</v>
      </c>
      <c r="I145">
        <v>1194</v>
      </c>
    </row>
    <row r="146" spans="1:9" x14ac:dyDescent="0.35">
      <c r="A146" t="s">
        <v>61</v>
      </c>
      <c r="B146">
        <v>100865064</v>
      </c>
      <c r="C146" t="s">
        <v>525</v>
      </c>
      <c r="D146" t="s">
        <v>72</v>
      </c>
      <c r="E146" t="s">
        <v>70</v>
      </c>
      <c r="F146">
        <v>343</v>
      </c>
      <c r="G146" t="s">
        <v>68</v>
      </c>
      <c r="H146" t="s">
        <v>67</v>
      </c>
      <c r="I146">
        <v>344</v>
      </c>
    </row>
    <row r="147" spans="1:9" x14ac:dyDescent="0.35">
      <c r="A147" t="s">
        <v>61</v>
      </c>
      <c r="B147">
        <v>107819512</v>
      </c>
      <c r="C147" t="s">
        <v>101</v>
      </c>
      <c r="D147" t="s">
        <v>60</v>
      </c>
      <c r="E147" t="s">
        <v>58</v>
      </c>
      <c r="F147">
        <v>243</v>
      </c>
      <c r="G147" t="s">
        <v>62</v>
      </c>
      <c r="H147" t="s">
        <v>67</v>
      </c>
      <c r="I147">
        <v>2379</v>
      </c>
    </row>
    <row r="148" spans="1:9" x14ac:dyDescent="0.35">
      <c r="A148" t="s">
        <v>61</v>
      </c>
      <c r="B148">
        <v>107819512</v>
      </c>
      <c r="C148" t="s">
        <v>101</v>
      </c>
      <c r="D148" t="s">
        <v>60</v>
      </c>
      <c r="E148" t="s">
        <v>58</v>
      </c>
      <c r="F148">
        <v>243</v>
      </c>
      <c r="G148" t="s">
        <v>62</v>
      </c>
      <c r="H148" t="s">
        <v>63</v>
      </c>
      <c r="I148">
        <v>492</v>
      </c>
    </row>
    <row r="149" spans="1:9" x14ac:dyDescent="0.35">
      <c r="A149" t="s">
        <v>61</v>
      </c>
      <c r="B149">
        <v>107819512</v>
      </c>
      <c r="C149" t="s">
        <v>101</v>
      </c>
      <c r="D149" t="s">
        <v>60</v>
      </c>
      <c r="E149" t="s">
        <v>58</v>
      </c>
      <c r="F149">
        <v>243</v>
      </c>
      <c r="G149" t="s">
        <v>62</v>
      </c>
      <c r="H149" t="s">
        <v>64</v>
      </c>
      <c r="I149">
        <v>1887</v>
      </c>
    </row>
    <row r="150" spans="1:9" x14ac:dyDescent="0.35">
      <c r="A150" t="s">
        <v>61</v>
      </c>
      <c r="B150">
        <v>107819512</v>
      </c>
      <c r="C150" t="s">
        <v>101</v>
      </c>
      <c r="D150" t="s">
        <v>60</v>
      </c>
      <c r="E150" t="s">
        <v>58</v>
      </c>
      <c r="F150">
        <v>243</v>
      </c>
      <c r="G150" t="s">
        <v>68</v>
      </c>
      <c r="H150" t="s">
        <v>67</v>
      </c>
      <c r="I150">
        <v>243</v>
      </c>
    </row>
    <row r="151" spans="1:9" x14ac:dyDescent="0.35">
      <c r="A151" t="s">
        <v>61</v>
      </c>
      <c r="B151">
        <v>107844158</v>
      </c>
      <c r="C151" t="s">
        <v>546</v>
      </c>
      <c r="D151" t="s">
        <v>72</v>
      </c>
      <c r="E151" t="s">
        <v>70</v>
      </c>
      <c r="F151">
        <v>539</v>
      </c>
      <c r="G151" t="s">
        <v>62</v>
      </c>
      <c r="H151" t="s">
        <v>67</v>
      </c>
      <c r="I151">
        <v>2295</v>
      </c>
    </row>
    <row r="152" spans="1:9" x14ac:dyDescent="0.35">
      <c r="A152" t="s">
        <v>61</v>
      </c>
      <c r="B152">
        <v>107844158</v>
      </c>
      <c r="C152" t="s">
        <v>546</v>
      </c>
      <c r="D152" t="s">
        <v>72</v>
      </c>
      <c r="E152" t="s">
        <v>70</v>
      </c>
      <c r="F152">
        <v>539</v>
      </c>
      <c r="G152" t="s">
        <v>62</v>
      </c>
      <c r="H152" t="s">
        <v>63</v>
      </c>
      <c r="I152">
        <v>315</v>
      </c>
    </row>
    <row r="153" spans="1:9" x14ac:dyDescent="0.35">
      <c r="A153" t="s">
        <v>61</v>
      </c>
      <c r="B153">
        <v>107844158</v>
      </c>
      <c r="C153" t="s">
        <v>546</v>
      </c>
      <c r="D153" t="s">
        <v>72</v>
      </c>
      <c r="E153" t="s">
        <v>70</v>
      </c>
      <c r="F153">
        <v>539</v>
      </c>
      <c r="G153" t="s">
        <v>62</v>
      </c>
      <c r="H153" t="s">
        <v>64</v>
      </c>
      <c r="I153">
        <v>1980</v>
      </c>
    </row>
    <row r="154" spans="1:9" x14ac:dyDescent="0.35">
      <c r="A154" t="s">
        <v>61</v>
      </c>
      <c r="B154">
        <v>107844158</v>
      </c>
      <c r="C154" t="s">
        <v>546</v>
      </c>
      <c r="D154" t="s">
        <v>72</v>
      </c>
      <c r="E154" t="s">
        <v>70</v>
      </c>
      <c r="F154">
        <v>539</v>
      </c>
      <c r="G154" t="s">
        <v>68</v>
      </c>
      <c r="H154" t="s">
        <v>67</v>
      </c>
      <c r="I154">
        <v>539</v>
      </c>
    </row>
    <row r="155" spans="1:9" x14ac:dyDescent="0.35">
      <c r="A155" t="s">
        <v>61</v>
      </c>
      <c r="B155">
        <v>107463281</v>
      </c>
      <c r="C155" t="s">
        <v>91</v>
      </c>
      <c r="D155" t="s">
        <v>60</v>
      </c>
      <c r="E155" t="s">
        <v>70</v>
      </c>
      <c r="F155">
        <v>410</v>
      </c>
      <c r="G155" t="s">
        <v>62</v>
      </c>
      <c r="H155" t="s">
        <v>67</v>
      </c>
      <c r="I155">
        <v>4534</v>
      </c>
    </row>
    <row r="156" spans="1:9" x14ac:dyDescent="0.35">
      <c r="A156" t="s">
        <v>61</v>
      </c>
      <c r="B156">
        <v>107463281</v>
      </c>
      <c r="C156" t="s">
        <v>91</v>
      </c>
      <c r="D156" t="s">
        <v>60</v>
      </c>
      <c r="E156" t="s">
        <v>70</v>
      </c>
      <c r="F156">
        <v>410</v>
      </c>
      <c r="G156" t="s">
        <v>62</v>
      </c>
      <c r="H156" t="s">
        <v>63</v>
      </c>
      <c r="I156">
        <v>1927</v>
      </c>
    </row>
    <row r="157" spans="1:9" x14ac:dyDescent="0.35">
      <c r="A157" t="s">
        <v>61</v>
      </c>
      <c r="B157">
        <v>107463281</v>
      </c>
      <c r="C157" t="s">
        <v>91</v>
      </c>
      <c r="D157" t="s">
        <v>60</v>
      </c>
      <c r="E157" t="s">
        <v>70</v>
      </c>
      <c r="F157">
        <v>410</v>
      </c>
      <c r="G157" t="s">
        <v>62</v>
      </c>
      <c r="H157" t="s">
        <v>64</v>
      </c>
      <c r="I157">
        <v>2589</v>
      </c>
    </row>
    <row r="158" spans="1:9" x14ac:dyDescent="0.35">
      <c r="A158" t="s">
        <v>61</v>
      </c>
      <c r="B158">
        <v>107463281</v>
      </c>
      <c r="C158" t="s">
        <v>91</v>
      </c>
      <c r="D158" t="s">
        <v>60</v>
      </c>
      <c r="E158" t="s">
        <v>70</v>
      </c>
      <c r="F158">
        <v>410</v>
      </c>
      <c r="G158" t="s">
        <v>62</v>
      </c>
      <c r="H158" t="s">
        <v>65</v>
      </c>
      <c r="I158">
        <v>18</v>
      </c>
    </row>
    <row r="159" spans="1:9" x14ac:dyDescent="0.35">
      <c r="A159" t="s">
        <v>61</v>
      </c>
      <c r="B159">
        <v>107463281</v>
      </c>
      <c r="C159" t="s">
        <v>91</v>
      </c>
      <c r="D159" t="s">
        <v>60</v>
      </c>
      <c r="E159" t="s">
        <v>70</v>
      </c>
      <c r="F159">
        <v>410</v>
      </c>
      <c r="G159" t="s">
        <v>68</v>
      </c>
      <c r="H159" t="s">
        <v>67</v>
      </c>
      <c r="I159">
        <v>410</v>
      </c>
    </row>
    <row r="160" spans="1:9" x14ac:dyDescent="0.35">
      <c r="A160" t="s">
        <v>61</v>
      </c>
      <c r="B160">
        <v>107284888</v>
      </c>
      <c r="C160" t="s">
        <v>535</v>
      </c>
      <c r="D160" t="s">
        <v>78</v>
      </c>
      <c r="E160" t="s">
        <v>70</v>
      </c>
      <c r="F160">
        <v>298</v>
      </c>
      <c r="G160" t="s">
        <v>62</v>
      </c>
      <c r="H160" t="s">
        <v>67</v>
      </c>
      <c r="I160">
        <v>1287</v>
      </c>
    </row>
    <row r="161" spans="1:9" x14ac:dyDescent="0.35">
      <c r="A161" t="s">
        <v>61</v>
      </c>
      <c r="B161">
        <v>107284888</v>
      </c>
      <c r="C161" t="s">
        <v>535</v>
      </c>
      <c r="D161" t="s">
        <v>78</v>
      </c>
      <c r="E161" t="s">
        <v>70</v>
      </c>
      <c r="F161">
        <v>298</v>
      </c>
      <c r="G161" t="s">
        <v>62</v>
      </c>
      <c r="H161" t="s">
        <v>63</v>
      </c>
      <c r="I161">
        <v>261</v>
      </c>
    </row>
    <row r="162" spans="1:9" x14ac:dyDescent="0.35">
      <c r="A162" t="s">
        <v>61</v>
      </c>
      <c r="B162">
        <v>107284888</v>
      </c>
      <c r="C162" t="s">
        <v>535</v>
      </c>
      <c r="D162" t="s">
        <v>78</v>
      </c>
      <c r="E162" t="s">
        <v>70</v>
      </c>
      <c r="F162">
        <v>298</v>
      </c>
      <c r="G162" t="s">
        <v>62</v>
      </c>
      <c r="H162" t="s">
        <v>64</v>
      </c>
      <c r="I162">
        <v>1026</v>
      </c>
    </row>
    <row r="163" spans="1:9" x14ac:dyDescent="0.35">
      <c r="A163" t="s">
        <v>61</v>
      </c>
      <c r="B163">
        <v>107284888</v>
      </c>
      <c r="C163" t="s">
        <v>535</v>
      </c>
      <c r="D163" t="s">
        <v>78</v>
      </c>
      <c r="E163" t="s">
        <v>70</v>
      </c>
      <c r="F163">
        <v>298</v>
      </c>
      <c r="G163" t="s">
        <v>68</v>
      </c>
      <c r="H163" t="s">
        <v>67</v>
      </c>
      <c r="I163">
        <v>298</v>
      </c>
    </row>
    <row r="164" spans="1:9" x14ac:dyDescent="0.35">
      <c r="A164" t="s">
        <v>61</v>
      </c>
      <c r="B164">
        <v>105750200</v>
      </c>
      <c r="C164" t="s">
        <v>577</v>
      </c>
      <c r="D164" t="s">
        <v>78</v>
      </c>
      <c r="E164" t="s">
        <v>70</v>
      </c>
      <c r="F164">
        <v>393</v>
      </c>
      <c r="G164" t="s">
        <v>62</v>
      </c>
      <c r="H164" t="s">
        <v>67</v>
      </c>
      <c r="I164">
        <v>4381</v>
      </c>
    </row>
    <row r="165" spans="1:9" x14ac:dyDescent="0.35">
      <c r="A165" t="s">
        <v>61</v>
      </c>
      <c r="B165">
        <v>105750200</v>
      </c>
      <c r="C165" t="s">
        <v>577</v>
      </c>
      <c r="D165" t="s">
        <v>78</v>
      </c>
      <c r="E165" t="s">
        <v>70</v>
      </c>
      <c r="F165">
        <v>393</v>
      </c>
      <c r="G165" t="s">
        <v>62</v>
      </c>
      <c r="H165" t="s">
        <v>63</v>
      </c>
      <c r="I165">
        <v>1636</v>
      </c>
    </row>
    <row r="166" spans="1:9" x14ac:dyDescent="0.35">
      <c r="A166" t="s">
        <v>61</v>
      </c>
      <c r="B166">
        <v>105750200</v>
      </c>
      <c r="C166" t="s">
        <v>577</v>
      </c>
      <c r="D166" t="s">
        <v>78</v>
      </c>
      <c r="E166" t="s">
        <v>70</v>
      </c>
      <c r="F166">
        <v>393</v>
      </c>
      <c r="G166" t="s">
        <v>62</v>
      </c>
      <c r="H166" t="s">
        <v>64</v>
      </c>
      <c r="I166">
        <v>2745</v>
      </c>
    </row>
    <row r="167" spans="1:9" x14ac:dyDescent="0.35">
      <c r="A167" t="s">
        <v>61</v>
      </c>
      <c r="B167">
        <v>105750200</v>
      </c>
      <c r="C167" t="s">
        <v>577</v>
      </c>
      <c r="D167" t="s">
        <v>78</v>
      </c>
      <c r="E167" t="s">
        <v>70</v>
      </c>
      <c r="F167">
        <v>393</v>
      </c>
      <c r="G167" t="s">
        <v>68</v>
      </c>
      <c r="H167" t="s">
        <v>67</v>
      </c>
      <c r="I167">
        <v>393</v>
      </c>
    </row>
    <row r="168" spans="1:9" x14ac:dyDescent="0.35">
      <c r="A16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547</vt:i4>
      </vt:variant>
    </vt:vector>
  </HeadingPairs>
  <TitlesOfParts>
    <vt:vector size="597" baseType="lpstr"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Report Generator</vt:lpstr>
      <vt:lpstr>pid1</vt:lpstr>
      <vt:lpstr>pid2</vt:lpstr>
      <vt:lpstr>pid3</vt:lpstr>
      <vt:lpstr>ppr1</vt:lpstr>
      <vt:lpstr>ppr2</vt:lpstr>
      <vt:lpstr>ppr3</vt:lpstr>
      <vt:lpstr>ppr4</vt:lpstr>
      <vt:lpstr>pid4</vt:lpstr>
      <vt:lpstr>frr1</vt:lpstr>
      <vt:lpstr>frr2</vt:lpstr>
      <vt:lpstr>frr3</vt:lpstr>
      <vt:lpstr>frr4</vt:lpstr>
      <vt:lpstr>ur1</vt:lpstr>
      <vt:lpstr>ur2</vt:lpstr>
      <vt:lpstr>ur3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'frr5'!website1</vt:lpstr>
      <vt:lpstr>'pid5'!website1</vt:lpstr>
      <vt:lpstr>'ppr5'!website1</vt:lpstr>
      <vt:lpstr>'ur5'!website1</vt:lpstr>
      <vt:lpstr>'frr5'!website1_1</vt:lpstr>
      <vt:lpstr>'pid5'!website1_1</vt:lpstr>
      <vt:lpstr>'ppr5'!website1_1</vt:lpstr>
      <vt:lpstr>'ur5'!website1_1</vt:lpstr>
      <vt:lpstr>'frr7'!website10</vt:lpstr>
      <vt:lpstr>'pid7'!website10</vt:lpstr>
      <vt:lpstr>'ppr7'!website10</vt:lpstr>
      <vt:lpstr>'ur7'!website10</vt:lpstr>
      <vt:lpstr>'frr7'!website10_1</vt:lpstr>
      <vt:lpstr>'pid7'!website10_1</vt:lpstr>
      <vt:lpstr>'ppr7'!website10_1</vt:lpstr>
      <vt:lpstr>'ur7'!website10_1</vt:lpstr>
      <vt:lpstr>'frr7'!website10_2</vt:lpstr>
      <vt:lpstr>'pid7'!website10_2</vt:lpstr>
      <vt:lpstr>'ppr7'!website10_2</vt:lpstr>
      <vt:lpstr>'ur7'!website10_2</vt:lpstr>
      <vt:lpstr>'frr7'!website10_3</vt:lpstr>
      <vt:lpstr>'pid7'!website10_3</vt:lpstr>
      <vt:lpstr>'ppr7'!website10_3</vt:lpstr>
      <vt:lpstr>'ur7'!website10_3</vt:lpstr>
      <vt:lpstr>'frr6'!website2</vt:lpstr>
      <vt:lpstr>'pid6'!website2</vt:lpstr>
      <vt:lpstr>'ppr6'!website2</vt:lpstr>
      <vt:lpstr>'ur6'!website2</vt:lpstr>
      <vt:lpstr>'frr6'!website2_1</vt:lpstr>
      <vt:lpstr>'pid6'!website2_1</vt:lpstr>
      <vt:lpstr>'ppr6'!website2_1</vt:lpstr>
      <vt:lpstr>'ur6'!website2_1</vt:lpstr>
      <vt:lpstr>'frr1'!website20</vt:lpstr>
      <vt:lpstr>'pid1'!website20</vt:lpstr>
      <vt:lpstr>'ppr1'!website20</vt:lpstr>
      <vt:lpstr>'ur1'!website20</vt:lpstr>
      <vt:lpstr>'frr1'!website20_1</vt:lpstr>
      <vt:lpstr>'pid1'!website20_1</vt:lpstr>
      <vt:lpstr>'ppr1'!website20_1</vt:lpstr>
      <vt:lpstr>'ur1'!website20_1</vt:lpstr>
      <vt:lpstr>'frr1'!website20_2</vt:lpstr>
      <vt:lpstr>'pid1'!website20_2</vt:lpstr>
      <vt:lpstr>'ppr1'!website20_2</vt:lpstr>
      <vt:lpstr>'ur1'!website20_2</vt:lpstr>
      <vt:lpstr>'frr2'!website21</vt:lpstr>
      <vt:lpstr>'pid2'!website21</vt:lpstr>
      <vt:lpstr>'ppr2'!website21</vt:lpstr>
      <vt:lpstr>'ur2'!website21</vt:lpstr>
      <vt:lpstr>'frr2'!website21_1</vt:lpstr>
      <vt:lpstr>'pid2'!website21_1</vt:lpstr>
      <vt:lpstr>'ppr2'!website21_1</vt:lpstr>
      <vt:lpstr>'ur2'!website21_1</vt:lpstr>
      <vt:lpstr>'frr2'!website21_2</vt:lpstr>
      <vt:lpstr>'pid2'!website21_2</vt:lpstr>
      <vt:lpstr>'ppr2'!website21_2</vt:lpstr>
      <vt:lpstr>'ur2'!website21_2</vt:lpstr>
      <vt:lpstr>'frr3'!website22</vt:lpstr>
      <vt:lpstr>'pid3'!website22</vt:lpstr>
      <vt:lpstr>'ppr3'!website22</vt:lpstr>
      <vt:lpstr>'ur3'!website22</vt:lpstr>
      <vt:lpstr>'frr3'!website22_1</vt:lpstr>
      <vt:lpstr>'pid3'!website22_1</vt:lpstr>
      <vt:lpstr>'ppr3'!website22_1</vt:lpstr>
      <vt:lpstr>'ur3'!website22_1</vt:lpstr>
      <vt:lpstr>'frr3'!website22_2</vt:lpstr>
      <vt:lpstr>'pid3'!website22_2</vt:lpstr>
      <vt:lpstr>'ppr3'!website22_2</vt:lpstr>
      <vt:lpstr>'ur3'!website22_2</vt:lpstr>
      <vt:lpstr>'frr4'!website23</vt:lpstr>
      <vt:lpstr>'pid4'!website23</vt:lpstr>
      <vt:lpstr>'ppr4'!website23</vt:lpstr>
      <vt:lpstr>'ur4'!website23</vt:lpstr>
      <vt:lpstr>'frr4'!website23_1</vt:lpstr>
      <vt:lpstr>'pid4'!website23_1</vt:lpstr>
      <vt:lpstr>'ppr4'!website23_1</vt:lpstr>
      <vt:lpstr>'ur4'!website23_1</vt:lpstr>
      <vt:lpstr>'frr4'!website23_2</vt:lpstr>
      <vt:lpstr>'pid4'!website23_2</vt:lpstr>
      <vt:lpstr>'ppr4'!website23_2</vt:lpstr>
      <vt:lpstr>'ur4'!website23_2</vt:lpstr>
      <vt:lpstr>'frr5'!website24</vt:lpstr>
      <vt:lpstr>'pid5'!website24</vt:lpstr>
      <vt:lpstr>'ppr5'!website24</vt:lpstr>
      <vt:lpstr>'ur5'!website24</vt:lpstr>
      <vt:lpstr>'frr5'!website24_1</vt:lpstr>
      <vt:lpstr>'pid5'!website24_1</vt:lpstr>
      <vt:lpstr>'ppr5'!website24_1</vt:lpstr>
      <vt:lpstr>'ur5'!website24_1</vt:lpstr>
      <vt:lpstr>'frr5'!website24_2</vt:lpstr>
      <vt:lpstr>'pid5'!website24_2</vt:lpstr>
      <vt:lpstr>'ppr5'!website24_2</vt:lpstr>
      <vt:lpstr>'ur5'!website24_2</vt:lpstr>
      <vt:lpstr>'frr6'!website25</vt:lpstr>
      <vt:lpstr>'pid6'!website25</vt:lpstr>
      <vt:lpstr>'ppr6'!website25</vt:lpstr>
      <vt:lpstr>'ur6'!website25</vt:lpstr>
      <vt:lpstr>'frr6'!website25_1</vt:lpstr>
      <vt:lpstr>'pid6'!website25_1</vt:lpstr>
      <vt:lpstr>'ppr6'!website25_1</vt:lpstr>
      <vt:lpstr>'ur6'!website25_1</vt:lpstr>
      <vt:lpstr>'frr6'!website25_2</vt:lpstr>
      <vt:lpstr>'pid6'!website25_2</vt:lpstr>
      <vt:lpstr>'ppr6'!website25_2</vt:lpstr>
      <vt:lpstr>'ur6'!website25_2</vt:lpstr>
      <vt:lpstr>'frr7'!website26</vt:lpstr>
      <vt:lpstr>'pid7'!website26</vt:lpstr>
      <vt:lpstr>'ppr7'!website26</vt:lpstr>
      <vt:lpstr>'ur7'!website26</vt:lpstr>
      <vt:lpstr>'frr7'!website26_1</vt:lpstr>
      <vt:lpstr>'pid7'!website26_1</vt:lpstr>
      <vt:lpstr>'ppr7'!website26_1</vt:lpstr>
      <vt:lpstr>'ur7'!website26_1</vt:lpstr>
      <vt:lpstr>'frr7'!website26_2</vt:lpstr>
      <vt:lpstr>'pid7'!website26_2</vt:lpstr>
      <vt:lpstr>'ppr7'!website26_2</vt:lpstr>
      <vt:lpstr>'ur7'!website26_2</vt:lpstr>
      <vt:lpstr>'frr1'!website27</vt:lpstr>
      <vt:lpstr>'pid1'!website27</vt:lpstr>
      <vt:lpstr>'ppr1'!website27</vt:lpstr>
      <vt:lpstr>'ur1'!website27</vt:lpstr>
      <vt:lpstr>'frr1'!website27_1</vt:lpstr>
      <vt:lpstr>'pid1'!website27_1</vt:lpstr>
      <vt:lpstr>'ppr1'!website27_1</vt:lpstr>
      <vt:lpstr>'ur1'!website27_1</vt:lpstr>
      <vt:lpstr>'frr1'!website27_10</vt:lpstr>
      <vt:lpstr>'pid1'!website27_10</vt:lpstr>
      <vt:lpstr>'ppr1'!website27_10</vt:lpstr>
      <vt:lpstr>'ur1'!website27_10</vt:lpstr>
      <vt:lpstr>'frr1'!website27_11</vt:lpstr>
      <vt:lpstr>'pid1'!website27_11</vt:lpstr>
      <vt:lpstr>'ppr1'!website27_11</vt:lpstr>
      <vt:lpstr>'ur1'!website27_11</vt:lpstr>
      <vt:lpstr>'frr1'!website27_12</vt:lpstr>
      <vt:lpstr>'pid1'!website27_12</vt:lpstr>
      <vt:lpstr>'ppr1'!website27_12</vt:lpstr>
      <vt:lpstr>'ur1'!website27_12</vt:lpstr>
      <vt:lpstr>'frr1'!website27_13</vt:lpstr>
      <vt:lpstr>'pid1'!website27_13</vt:lpstr>
      <vt:lpstr>'ppr1'!website27_13</vt:lpstr>
      <vt:lpstr>'ur1'!website27_13</vt:lpstr>
      <vt:lpstr>'frr1'!website27_14</vt:lpstr>
      <vt:lpstr>'pid1'!website27_14</vt:lpstr>
      <vt:lpstr>'ppr1'!website27_14</vt:lpstr>
      <vt:lpstr>'ur1'!website27_14</vt:lpstr>
      <vt:lpstr>'frr1'!website27_15</vt:lpstr>
      <vt:lpstr>'pid1'!website27_15</vt:lpstr>
      <vt:lpstr>'ppr1'!website27_15</vt:lpstr>
      <vt:lpstr>'frr1'!website27_16</vt:lpstr>
      <vt:lpstr>'pid1'!website27_16</vt:lpstr>
      <vt:lpstr>'ppr1'!website27_16</vt:lpstr>
      <vt:lpstr>'frr1'!website27_17</vt:lpstr>
      <vt:lpstr>'pid1'!website27_17</vt:lpstr>
      <vt:lpstr>'ppr1'!website27_17</vt:lpstr>
      <vt:lpstr>'frr1'!website27_18</vt:lpstr>
      <vt:lpstr>'pid1'!website27_18</vt:lpstr>
      <vt:lpstr>'ppr1'!website27_18</vt:lpstr>
      <vt:lpstr>'pid1'!website27_19</vt:lpstr>
      <vt:lpstr>'ppr1'!website27_19</vt:lpstr>
      <vt:lpstr>'frr1'!website27_2</vt:lpstr>
      <vt:lpstr>'pid1'!website27_2</vt:lpstr>
      <vt:lpstr>'ppr1'!website27_2</vt:lpstr>
      <vt:lpstr>'ur1'!website27_2</vt:lpstr>
      <vt:lpstr>'pid1'!website27_20</vt:lpstr>
      <vt:lpstr>'ppr1'!website27_20</vt:lpstr>
      <vt:lpstr>'pid1'!website27_21</vt:lpstr>
      <vt:lpstr>'ppr1'!website27_21</vt:lpstr>
      <vt:lpstr>'pid1'!website27_22</vt:lpstr>
      <vt:lpstr>'ppr1'!website27_22</vt:lpstr>
      <vt:lpstr>'pid1'!website27_23</vt:lpstr>
      <vt:lpstr>'ppr1'!website27_23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'frr1'!website27_6</vt:lpstr>
      <vt:lpstr>'pid1'!website27_6</vt:lpstr>
      <vt:lpstr>'ppr1'!website27_6</vt:lpstr>
      <vt:lpstr>'ur1'!website27_6</vt:lpstr>
      <vt:lpstr>'frr1'!website27_7</vt:lpstr>
      <vt:lpstr>'pid1'!website27_7</vt:lpstr>
      <vt:lpstr>'ppr1'!website27_7</vt:lpstr>
      <vt:lpstr>'ur1'!website27_7</vt:lpstr>
      <vt:lpstr>'frr1'!website27_8</vt:lpstr>
      <vt:lpstr>'pid1'!website27_8</vt:lpstr>
      <vt:lpstr>'ppr1'!website27_8</vt:lpstr>
      <vt:lpstr>'ur1'!website27_8</vt:lpstr>
      <vt:lpstr>'frr1'!website27_9</vt:lpstr>
      <vt:lpstr>'pid1'!website27_9</vt:lpstr>
      <vt:lpstr>'ppr1'!website27_9</vt:lpstr>
      <vt:lpstr>'ur1'!website27_9</vt:lpstr>
      <vt:lpstr>'frr2'!website28</vt:lpstr>
      <vt:lpstr>'pid2'!website28</vt:lpstr>
      <vt:lpstr>'ppr2'!website28</vt:lpstr>
      <vt:lpstr>'ur2'!website28</vt:lpstr>
      <vt:lpstr>'frr2'!website28_1</vt:lpstr>
      <vt:lpstr>'pid2'!website28_1</vt:lpstr>
      <vt:lpstr>'ppr2'!website28_1</vt:lpstr>
      <vt:lpstr>'ur2'!website28_1</vt:lpstr>
      <vt:lpstr>'frr2'!website28_10</vt:lpstr>
      <vt:lpstr>'pid2'!website28_10</vt:lpstr>
      <vt:lpstr>'ppr2'!website28_10</vt:lpstr>
      <vt:lpstr>'ur2'!website28_10</vt:lpstr>
      <vt:lpstr>'frr2'!website28_11</vt:lpstr>
      <vt:lpstr>'pid2'!website28_11</vt:lpstr>
      <vt:lpstr>'ppr2'!website28_11</vt:lpstr>
      <vt:lpstr>'ur2'!website28_11</vt:lpstr>
      <vt:lpstr>'frr2'!website28_12</vt:lpstr>
      <vt:lpstr>'pid2'!website28_12</vt:lpstr>
      <vt:lpstr>'ppr2'!website28_12</vt:lpstr>
      <vt:lpstr>'ur2'!website28_12</vt:lpstr>
      <vt:lpstr>'frr2'!website28_13</vt:lpstr>
      <vt:lpstr>'pid2'!website28_13</vt:lpstr>
      <vt:lpstr>'ppr2'!website28_13</vt:lpstr>
      <vt:lpstr>'ur2'!website28_13</vt:lpstr>
      <vt:lpstr>'frr2'!website28_14</vt:lpstr>
      <vt:lpstr>'pid2'!website28_14</vt:lpstr>
      <vt:lpstr>'ppr2'!website28_14</vt:lpstr>
      <vt:lpstr>'ur2'!website28_14</vt:lpstr>
      <vt:lpstr>'frr2'!website28_15</vt:lpstr>
      <vt:lpstr>'pid2'!website28_15</vt:lpstr>
      <vt:lpstr>'ppr2'!website28_15</vt:lpstr>
      <vt:lpstr>'frr2'!website28_16</vt:lpstr>
      <vt:lpstr>'pid2'!website28_16</vt:lpstr>
      <vt:lpstr>'ppr2'!website28_16</vt:lpstr>
      <vt:lpstr>'frr2'!website28_17</vt:lpstr>
      <vt:lpstr>'pid2'!website28_17</vt:lpstr>
      <vt:lpstr>'ppr2'!website28_17</vt:lpstr>
      <vt:lpstr>'frr2'!website28_18</vt:lpstr>
      <vt:lpstr>'pid2'!website28_18</vt:lpstr>
      <vt:lpstr>'ppr2'!website28_18</vt:lpstr>
      <vt:lpstr>'pid2'!website28_19</vt:lpstr>
      <vt:lpstr>'ppr2'!website28_19</vt:lpstr>
      <vt:lpstr>'frr2'!website28_2</vt:lpstr>
      <vt:lpstr>'pid2'!website28_2</vt:lpstr>
      <vt:lpstr>'ppr2'!website28_2</vt:lpstr>
      <vt:lpstr>'ur2'!website28_2</vt:lpstr>
      <vt:lpstr>'pid2'!website28_20</vt:lpstr>
      <vt:lpstr>'ppr2'!website28_20</vt:lpstr>
      <vt:lpstr>'pid2'!website28_21</vt:lpstr>
      <vt:lpstr>'ppr2'!website28_21</vt:lpstr>
      <vt:lpstr>'pid2'!website28_22</vt:lpstr>
      <vt:lpstr>'ppr2'!website28_22</vt:lpstr>
      <vt:lpstr>'pid2'!website28_23</vt:lpstr>
      <vt:lpstr>'ppr2'!website28_23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'frr2'!website28_6</vt:lpstr>
      <vt:lpstr>'pid2'!website28_6</vt:lpstr>
      <vt:lpstr>'ppr2'!website28_6</vt:lpstr>
      <vt:lpstr>'ur2'!website28_6</vt:lpstr>
      <vt:lpstr>'frr2'!website28_7</vt:lpstr>
      <vt:lpstr>'pid2'!website28_7</vt:lpstr>
      <vt:lpstr>'ppr2'!website28_7</vt:lpstr>
      <vt:lpstr>'ur2'!website28_7</vt:lpstr>
      <vt:lpstr>'frr2'!website28_8</vt:lpstr>
      <vt:lpstr>'pid2'!website28_8</vt:lpstr>
      <vt:lpstr>'ppr2'!website28_8</vt:lpstr>
      <vt:lpstr>'ur2'!website28_8</vt:lpstr>
      <vt:lpstr>'frr2'!website28_9</vt:lpstr>
      <vt:lpstr>'pid2'!website28_9</vt:lpstr>
      <vt:lpstr>'ppr2'!website28_9</vt:lpstr>
      <vt:lpstr>'ur2'!website28_9</vt:lpstr>
      <vt:lpstr>'frr3'!website29</vt:lpstr>
      <vt:lpstr>'pid3'!website29</vt:lpstr>
      <vt:lpstr>'ppr3'!website29</vt:lpstr>
      <vt:lpstr>'ur3'!website29</vt:lpstr>
      <vt:lpstr>'frr3'!website29_1</vt:lpstr>
      <vt:lpstr>'pid3'!website29_1</vt:lpstr>
      <vt:lpstr>'ppr3'!website29_1</vt:lpstr>
      <vt:lpstr>'ur3'!website29_1</vt:lpstr>
      <vt:lpstr>'frr3'!website29_10</vt:lpstr>
      <vt:lpstr>'pid3'!website29_10</vt:lpstr>
      <vt:lpstr>'ppr3'!website29_10</vt:lpstr>
      <vt:lpstr>'ur3'!website29_10</vt:lpstr>
      <vt:lpstr>'frr3'!website29_11</vt:lpstr>
      <vt:lpstr>'pid3'!website29_11</vt:lpstr>
      <vt:lpstr>'ppr3'!website29_11</vt:lpstr>
      <vt:lpstr>'ur3'!website29_11</vt:lpstr>
      <vt:lpstr>'frr3'!website29_12</vt:lpstr>
      <vt:lpstr>'pid3'!website29_12</vt:lpstr>
      <vt:lpstr>'ppr3'!website29_12</vt:lpstr>
      <vt:lpstr>'ur3'!website29_12</vt:lpstr>
      <vt:lpstr>'frr3'!website29_13</vt:lpstr>
      <vt:lpstr>'pid3'!website29_13</vt:lpstr>
      <vt:lpstr>'ppr3'!website29_13</vt:lpstr>
      <vt:lpstr>'ur3'!website29_13</vt:lpstr>
      <vt:lpstr>'frr3'!website29_14</vt:lpstr>
      <vt:lpstr>'pid3'!website29_14</vt:lpstr>
      <vt:lpstr>'ppr3'!website29_14</vt:lpstr>
      <vt:lpstr>'ur3'!website29_14</vt:lpstr>
      <vt:lpstr>'frr3'!website29_15</vt:lpstr>
      <vt:lpstr>'pid3'!website29_15</vt:lpstr>
      <vt:lpstr>'ppr3'!website29_15</vt:lpstr>
      <vt:lpstr>'frr3'!website29_16</vt:lpstr>
      <vt:lpstr>'pid3'!website29_16</vt:lpstr>
      <vt:lpstr>'ppr3'!website29_16</vt:lpstr>
      <vt:lpstr>'frr3'!website29_17</vt:lpstr>
      <vt:lpstr>'pid3'!website29_17</vt:lpstr>
      <vt:lpstr>'ppr3'!website29_17</vt:lpstr>
      <vt:lpstr>'frr3'!website29_18</vt:lpstr>
      <vt:lpstr>'pid3'!website29_18</vt:lpstr>
      <vt:lpstr>'ppr3'!website29_18</vt:lpstr>
      <vt:lpstr>'pid3'!website29_19</vt:lpstr>
      <vt:lpstr>'ppr3'!website29_19</vt:lpstr>
      <vt:lpstr>'frr3'!website29_2</vt:lpstr>
      <vt:lpstr>'pid3'!website29_2</vt:lpstr>
      <vt:lpstr>'ppr3'!website29_2</vt:lpstr>
      <vt:lpstr>'ur3'!website29_2</vt:lpstr>
      <vt:lpstr>'pid3'!website29_20</vt:lpstr>
      <vt:lpstr>'ppr3'!website29_20</vt:lpstr>
      <vt:lpstr>'pid3'!website29_21</vt:lpstr>
      <vt:lpstr>'ppr3'!website29_21</vt:lpstr>
      <vt:lpstr>'pid3'!website29_22</vt:lpstr>
      <vt:lpstr>'ppr3'!website29_22</vt:lpstr>
      <vt:lpstr>'pid3'!website29_23</vt:lpstr>
      <vt:lpstr>'ppr3'!website29_23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'frr3'!website29_6</vt:lpstr>
      <vt:lpstr>'pid3'!website29_6</vt:lpstr>
      <vt:lpstr>'ppr3'!website29_6</vt:lpstr>
      <vt:lpstr>'ur3'!website29_6</vt:lpstr>
      <vt:lpstr>'frr3'!website29_7</vt:lpstr>
      <vt:lpstr>'pid3'!website29_7</vt:lpstr>
      <vt:lpstr>'ppr3'!website29_7</vt:lpstr>
      <vt:lpstr>'ur3'!website29_7</vt:lpstr>
      <vt:lpstr>'frr3'!website29_8</vt:lpstr>
      <vt:lpstr>'pid3'!website29_8</vt:lpstr>
      <vt:lpstr>'ppr3'!website29_8</vt:lpstr>
      <vt:lpstr>'ur3'!website29_8</vt:lpstr>
      <vt:lpstr>'frr3'!website29_9</vt:lpstr>
      <vt:lpstr>'pid3'!website29_9</vt:lpstr>
      <vt:lpstr>'ppr3'!website29_9</vt:lpstr>
      <vt:lpstr>'ur3'!website29_9</vt:lpstr>
      <vt:lpstr>'frr7'!website3</vt:lpstr>
      <vt:lpstr>'pid7'!website3</vt:lpstr>
      <vt:lpstr>'ppr7'!website3</vt:lpstr>
      <vt:lpstr>'ur7'!website3</vt:lpstr>
      <vt:lpstr>'frr7'!website3_1</vt:lpstr>
      <vt:lpstr>'pid7'!website3_1</vt:lpstr>
      <vt:lpstr>'ppr7'!website3_1</vt:lpstr>
      <vt:lpstr>'ur7'!website3_1</vt:lpstr>
      <vt:lpstr>'frr4'!website30</vt:lpstr>
      <vt:lpstr>'pid4'!website30</vt:lpstr>
      <vt:lpstr>'ppr4'!website30</vt:lpstr>
      <vt:lpstr>'ur4'!website30</vt:lpstr>
      <vt:lpstr>'frr4'!website30_1</vt:lpstr>
      <vt:lpstr>'pid4'!website30_1</vt:lpstr>
      <vt:lpstr>'ppr4'!website30_1</vt:lpstr>
      <vt:lpstr>'ur4'!website30_1</vt:lpstr>
      <vt:lpstr>'frr4'!website30_10</vt:lpstr>
      <vt:lpstr>'pid4'!website30_10</vt:lpstr>
      <vt:lpstr>'ppr4'!website30_10</vt:lpstr>
      <vt:lpstr>'ur4'!website30_10</vt:lpstr>
      <vt:lpstr>'frr4'!website30_11</vt:lpstr>
      <vt:lpstr>'pid4'!website30_11</vt:lpstr>
      <vt:lpstr>'ppr4'!website30_11</vt:lpstr>
      <vt:lpstr>'ur4'!website30_11</vt:lpstr>
      <vt:lpstr>'frr4'!website30_12</vt:lpstr>
      <vt:lpstr>'pid4'!website30_12</vt:lpstr>
      <vt:lpstr>'ppr4'!website30_12</vt:lpstr>
      <vt:lpstr>'ur4'!website30_12</vt:lpstr>
      <vt:lpstr>'frr4'!website30_13</vt:lpstr>
      <vt:lpstr>'pid4'!website30_13</vt:lpstr>
      <vt:lpstr>'ppr4'!website30_13</vt:lpstr>
      <vt:lpstr>'ur4'!website30_13</vt:lpstr>
      <vt:lpstr>'frr4'!website30_14</vt:lpstr>
      <vt:lpstr>'pid4'!website30_14</vt:lpstr>
      <vt:lpstr>'ppr4'!website30_14</vt:lpstr>
      <vt:lpstr>'ur4'!website30_14</vt:lpstr>
      <vt:lpstr>'frr4'!website30_15</vt:lpstr>
      <vt:lpstr>'pid4'!website30_15</vt:lpstr>
      <vt:lpstr>'ppr4'!website30_15</vt:lpstr>
      <vt:lpstr>'frr4'!website30_16</vt:lpstr>
      <vt:lpstr>'pid4'!website30_16</vt:lpstr>
      <vt:lpstr>'ppr4'!website30_16</vt:lpstr>
      <vt:lpstr>'frr4'!website30_17</vt:lpstr>
      <vt:lpstr>'pid4'!website30_17</vt:lpstr>
      <vt:lpstr>'ppr4'!website30_17</vt:lpstr>
      <vt:lpstr>'frr4'!website30_18</vt:lpstr>
      <vt:lpstr>'pid4'!website30_18</vt:lpstr>
      <vt:lpstr>'ppr4'!website30_18</vt:lpstr>
      <vt:lpstr>'pid4'!website30_19</vt:lpstr>
      <vt:lpstr>'ppr4'!website30_19</vt:lpstr>
      <vt:lpstr>'frr4'!website30_2</vt:lpstr>
      <vt:lpstr>'pid4'!website30_2</vt:lpstr>
      <vt:lpstr>'ppr4'!website30_2</vt:lpstr>
      <vt:lpstr>'ur4'!website30_2</vt:lpstr>
      <vt:lpstr>'pid4'!website30_20</vt:lpstr>
      <vt:lpstr>'ppr4'!website30_20</vt:lpstr>
      <vt:lpstr>'pid4'!website30_21</vt:lpstr>
      <vt:lpstr>'ppr4'!website30_21</vt:lpstr>
      <vt:lpstr>'pid4'!website30_22</vt:lpstr>
      <vt:lpstr>'ppr4'!website30_22</vt:lpstr>
      <vt:lpstr>'ppr4'!website30_23</vt:lpstr>
      <vt:lpstr>'frr4'!website30_3</vt:lpstr>
      <vt:lpstr>'pid4'!website30_3</vt:lpstr>
      <vt:lpstr>'ppr4'!website30_3</vt:lpstr>
      <vt:lpstr>'ur4'!website30_3</vt:lpstr>
      <vt:lpstr>'frr4'!website30_4</vt:lpstr>
      <vt:lpstr>'pid4'!website30_4</vt:lpstr>
      <vt:lpstr>'ppr4'!website30_4</vt:lpstr>
      <vt:lpstr>'ur4'!website30_4</vt:lpstr>
      <vt:lpstr>'frr4'!website30_5</vt:lpstr>
      <vt:lpstr>'pid4'!website30_5</vt:lpstr>
      <vt:lpstr>'ppr4'!website30_5</vt:lpstr>
      <vt:lpstr>'ur4'!website30_5</vt:lpstr>
      <vt:lpstr>'frr4'!website30_6</vt:lpstr>
      <vt:lpstr>'pid4'!website30_6</vt:lpstr>
      <vt:lpstr>'ppr4'!website30_6</vt:lpstr>
      <vt:lpstr>'ur4'!website30_6</vt:lpstr>
      <vt:lpstr>'frr4'!website30_7</vt:lpstr>
      <vt:lpstr>'pid4'!website30_7</vt:lpstr>
      <vt:lpstr>'ppr4'!website30_7</vt:lpstr>
      <vt:lpstr>'ur4'!website30_7</vt:lpstr>
      <vt:lpstr>'frr4'!website30_8</vt:lpstr>
      <vt:lpstr>'pid4'!website30_8</vt:lpstr>
      <vt:lpstr>'ppr4'!website30_8</vt:lpstr>
      <vt:lpstr>'ur4'!website30_8</vt:lpstr>
      <vt:lpstr>'frr4'!website30_9</vt:lpstr>
      <vt:lpstr>'pid4'!website30_9</vt:lpstr>
      <vt:lpstr>'ppr4'!website30_9</vt:lpstr>
      <vt:lpstr>'ur4'!website30_9</vt:lpstr>
      <vt:lpstr>'frr1'!website4</vt:lpstr>
      <vt:lpstr>'pid1'!website4</vt:lpstr>
      <vt:lpstr>'ppr1'!website4</vt:lpstr>
      <vt:lpstr>'ur1'!website4</vt:lpstr>
      <vt:lpstr>'frr1'!website4_1</vt:lpstr>
      <vt:lpstr>'pid1'!website4_1</vt:lpstr>
      <vt:lpstr>'ppr1'!website4_1</vt:lpstr>
      <vt:lpstr>'ur1'!website4_1</vt:lpstr>
      <vt:lpstr>'frr1'!website4_2</vt:lpstr>
      <vt:lpstr>'pid1'!website4_2</vt:lpstr>
      <vt:lpstr>'ppr1'!website4_2</vt:lpstr>
      <vt:lpstr>'ur1'!website4_2</vt:lpstr>
      <vt:lpstr>'frr1'!website4_3</vt:lpstr>
      <vt:lpstr>'pid1'!website4_3</vt:lpstr>
      <vt:lpstr>'ppr1'!website4_3</vt:lpstr>
      <vt:lpstr>'ur1'!website4_3</vt:lpstr>
      <vt:lpstr>'frr2'!website5</vt:lpstr>
      <vt:lpstr>'pid2'!website5</vt:lpstr>
      <vt:lpstr>'ppr2'!website5</vt:lpstr>
      <vt:lpstr>'ur2'!website5</vt:lpstr>
      <vt:lpstr>'frr2'!website5_1</vt:lpstr>
      <vt:lpstr>'pid2'!website5_1</vt:lpstr>
      <vt:lpstr>'ppr2'!website5_1</vt:lpstr>
      <vt:lpstr>'ur2'!website5_1</vt:lpstr>
      <vt:lpstr>'frr2'!website5_2</vt:lpstr>
      <vt:lpstr>'pid2'!website5_2</vt:lpstr>
      <vt:lpstr>'ppr2'!website5_2</vt:lpstr>
      <vt:lpstr>'ur2'!website5_2</vt:lpstr>
      <vt:lpstr>'frr2'!website5_3</vt:lpstr>
      <vt:lpstr>'pid2'!website5_3</vt:lpstr>
      <vt:lpstr>'ppr2'!website5_3</vt:lpstr>
      <vt:lpstr>'ur2'!website5_3</vt:lpstr>
      <vt:lpstr>'frr3'!website6</vt:lpstr>
      <vt:lpstr>'pid3'!website6</vt:lpstr>
      <vt:lpstr>'ppr3'!website6</vt:lpstr>
      <vt:lpstr>'ur3'!website6</vt:lpstr>
      <vt:lpstr>'frr3'!website6_1</vt:lpstr>
      <vt:lpstr>'pid3'!website6_1</vt:lpstr>
      <vt:lpstr>'ppr3'!website6_1</vt:lpstr>
      <vt:lpstr>'ur3'!website6_1</vt:lpstr>
      <vt:lpstr>'frr3'!website6_2</vt:lpstr>
      <vt:lpstr>'pid3'!website6_2</vt:lpstr>
      <vt:lpstr>'ppr3'!website6_2</vt:lpstr>
      <vt:lpstr>'ur3'!website6_2</vt:lpstr>
      <vt:lpstr>'frr3'!website6_3</vt:lpstr>
      <vt:lpstr>'pid3'!website6_3</vt:lpstr>
      <vt:lpstr>'ppr3'!website6_3</vt:lpstr>
      <vt:lpstr>'ur3'!website6_3</vt:lpstr>
      <vt:lpstr>'frr4'!website7</vt:lpstr>
      <vt:lpstr>'pid4'!website7</vt:lpstr>
      <vt:lpstr>'ppr4'!website7</vt:lpstr>
      <vt:lpstr>'ur4'!website7</vt:lpstr>
      <vt:lpstr>'frr4'!website7_1</vt:lpstr>
      <vt:lpstr>'pid4'!website7_1</vt:lpstr>
      <vt:lpstr>'ppr4'!website7_1</vt:lpstr>
      <vt:lpstr>'ur4'!website7_1</vt:lpstr>
      <vt:lpstr>'frr4'!website7_2</vt:lpstr>
      <vt:lpstr>'pid4'!website7_2</vt:lpstr>
      <vt:lpstr>'ppr4'!website7_2</vt:lpstr>
      <vt:lpstr>'ur4'!website7_2</vt:lpstr>
      <vt:lpstr>'frr4'!website7_3</vt:lpstr>
      <vt:lpstr>'pid4'!website7_3</vt:lpstr>
      <vt:lpstr>'ppr4'!website7_3</vt:lpstr>
      <vt:lpstr>'ur4'!website7_3</vt:lpstr>
      <vt:lpstr>'frr5'!website8</vt:lpstr>
      <vt:lpstr>'pid5'!website8</vt:lpstr>
      <vt:lpstr>'ppr5'!website8</vt:lpstr>
      <vt:lpstr>'ur5'!website8</vt:lpstr>
      <vt:lpstr>'frr5'!website8_1</vt:lpstr>
      <vt:lpstr>'pid5'!website8_1</vt:lpstr>
      <vt:lpstr>'ppr5'!website8_1</vt:lpstr>
      <vt:lpstr>'ur5'!website8_1</vt:lpstr>
      <vt:lpstr>'frr5'!website8_2</vt:lpstr>
      <vt:lpstr>'pid5'!website8_2</vt:lpstr>
      <vt:lpstr>'ppr5'!website8_2</vt:lpstr>
      <vt:lpstr>'ur5'!website8_2</vt:lpstr>
      <vt:lpstr>'frr5'!website8_3</vt:lpstr>
      <vt:lpstr>'pid5'!website8_3</vt:lpstr>
      <vt:lpstr>'ppr5'!website8_3</vt:lpstr>
      <vt:lpstr>'ur5'!website8_3</vt:lpstr>
      <vt:lpstr>'frr6'!website9</vt:lpstr>
      <vt:lpstr>'pid6'!website9</vt:lpstr>
      <vt:lpstr>'ppr6'!website9</vt:lpstr>
      <vt:lpstr>'ur6'!website9</vt:lpstr>
      <vt:lpstr>'frr6'!website9_1</vt:lpstr>
      <vt:lpstr>'pid6'!website9_1</vt:lpstr>
      <vt:lpstr>'ppr6'!website9_1</vt:lpstr>
      <vt:lpstr>'ur6'!website9_1</vt:lpstr>
      <vt:lpstr>'frr6'!website9_2</vt:lpstr>
      <vt:lpstr>'pid6'!website9_2</vt:lpstr>
      <vt:lpstr>'ppr6'!website9_2</vt:lpstr>
      <vt:lpstr>'ur6'!website9_2</vt:lpstr>
      <vt:lpstr>'frr6'!website9_3</vt:lpstr>
      <vt:lpstr>'pid6'!website9_3</vt:lpstr>
      <vt:lpstr>'ppr6'!website9_3</vt:lpstr>
      <vt:lpstr>'ur6'!website9_3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2020-10-13T17:50:24Z</dcterms:modified>
</cp:coreProperties>
</file>